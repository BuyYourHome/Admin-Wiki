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trlProps/ctrlProp1.xml" ContentType="application/vnd.ms-excel.controlproperties+xml"/>
  <Override PartName="/xl/tables/table3.xml" ContentType="application/vnd.openxmlformats-officedocument.spreadsheetml.table+xml"/>
  <Override PartName="/xl/queryTables/queryTable2.xml" ContentType="application/vnd.openxmlformats-officedocument.spreadsheetml.query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codeName="ThisWorkbook"/>
  <mc:AlternateContent xmlns:mc="http://schemas.openxmlformats.org/markup-compatibility/2006">
    <mc:Choice Requires="x15">
      <x15ac:absPath xmlns:x15ac="http://schemas.microsoft.com/office/spreadsheetml/2010/11/ac" url="https://lifeisanadventure.sharepoint.com/sites/SellYourHome/Shared Documents/Property/"/>
    </mc:Choice>
  </mc:AlternateContent>
  <xr:revisionPtr revIDLastSave="31912" documentId="13_ncr:1_{5A205BEF-1DC0-433E-BD9B-E0B8EFB2F08B}" xr6:coauthVersionLast="47" xr6:coauthVersionMax="47" xr10:uidLastSave="{76A0D4A6-BF24-42D8-BAD0-D8F7489383A0}"/>
  <bookViews>
    <workbookView xWindow="-120" yWindow="-120" windowWidth="38640" windowHeight="15720" tabRatio="889" activeTab="4" xr2:uid="{00000000-000D-0000-FFFF-FFFF00000000}"/>
  </bookViews>
  <sheets>
    <sheet name="Profit" sheetId="1" r:id="rId1"/>
    <sheet name="MOG" sheetId="33" r:id="rId2"/>
    <sheet name="Todo" sheetId="19" r:id="rId3"/>
    <sheet name="Contact" sheetId="10" r:id="rId4"/>
    <sheet name="Carrying" sheetId="51" r:id="rId5"/>
    <sheet name="Proposal" sheetId="36" r:id="rId6"/>
    <sheet name="ProposalUpdate" sheetId="47" r:id="rId7"/>
    <sheet name="Gnatt Chart" sheetId="37" r:id="rId8"/>
    <sheet name="Taxes" sheetId="48" r:id="rId9"/>
    <sheet name="Financing" sheetId="34" r:id="rId10"/>
    <sheet name="Seller Advance" sheetId="9" r:id="rId11"/>
    <sheet name="MISC 2" sheetId="50" r:id="rId12"/>
    <sheet name="Demo &amp; Trash Haul" sheetId="21" r:id="rId13"/>
    <sheet name="Appliances" sheetId="15" r:id="rId14"/>
    <sheet name="Plumbing Fixtures" sheetId="22" r:id="rId15"/>
    <sheet name="Windows &amp; Doors" sheetId="20" r:id="rId16"/>
    <sheet name="Cabinets" sheetId="6" r:id="rId17"/>
    <sheet name="Paint" sheetId="4" r:id="rId18"/>
    <sheet name="Flooring" sheetId="3" r:id="rId19"/>
    <sheet name="HVAC" sheetId="18" r:id="rId20"/>
    <sheet name="Electrical Fixtures" sheetId="35" r:id="rId21"/>
    <sheet name="Landscape" sheetId="13" r:id="rId22"/>
    <sheet name="Exterior" sheetId="16" r:id="rId23"/>
  </sheets>
  <definedNames>
    <definedName name="_xlnm._FilterDatabase" localSheetId="7" hidden="1">'Gnatt Chart'!$A$1:$DU$28</definedName>
    <definedName name="ExternalData_3" localSheetId="6" hidden="1">ProposalUpdate!$B$4:$H$20</definedName>
    <definedName name="ExternalData_4" localSheetId="7" hidden="1">'Gnatt Chart'!$A$29:$O$45</definedName>
    <definedName name="Milestone_Marker">'Gnatt Chart'!$G$4</definedName>
    <definedName name="Project_Start">'Gnatt Chart'!$F$2</definedName>
    <definedName name="Scrolling_Increment">'Gnatt Chart'!$AB$26</definedName>
    <definedName name="Today" localSheetId="7">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47" l="1"/>
  <c r="A6" i="47"/>
  <c r="A7" i="47"/>
  <c r="A8" i="47"/>
  <c r="A9" i="47"/>
  <c r="A10" i="47"/>
  <c r="A11" i="47"/>
  <c r="A12" i="47"/>
  <c r="A13" i="47"/>
  <c r="A14" i="47"/>
  <c r="A15" i="47"/>
  <c r="A16" i="47"/>
  <c r="A17" i="47"/>
  <c r="A18" i="47"/>
  <c r="A19" i="47"/>
  <c r="A20" i="47"/>
  <c r="F49" i="51" l="1"/>
  <c r="F50" i="51" s="1"/>
  <c r="F51" i="51" s="1"/>
  <c r="F52" i="51" s="1"/>
  <c r="F53" i="51" s="1"/>
  <c r="F54" i="51" s="1"/>
  <c r="F55" i="51" s="1"/>
  <c r="F56" i="51" s="1"/>
  <c r="F57" i="51" s="1"/>
  <c r="F58" i="51" s="1"/>
  <c r="F59" i="51" s="1"/>
  <c r="F60" i="51" s="1"/>
  <c r="F61" i="51" s="1"/>
  <c r="F62" i="51" s="1"/>
  <c r="F63" i="51" s="1"/>
  <c r="F64" i="51" s="1"/>
  <c r="F66" i="51" s="1"/>
  <c r="F67" i="51" s="1"/>
  <c r="F68" i="51" s="1"/>
  <c r="F69" i="51" s="1"/>
  <c r="F70" i="51" s="1"/>
  <c r="F71" i="51" s="1"/>
  <c r="F72" i="51" s="1"/>
  <c r="F73" i="51" s="1"/>
  <c r="F74" i="51" s="1"/>
  <c r="F75" i="51" s="1"/>
  <c r="F76" i="51" s="1"/>
  <c r="F77" i="51" s="1"/>
  <c r="F78" i="51" s="1"/>
  <c r="F79" i="51" s="1"/>
  <c r="F80" i="51" s="1"/>
  <c r="F81" i="51" s="1"/>
  <c r="F82" i="51" s="1"/>
  <c r="F83" i="51" s="1"/>
  <c r="F84" i="51" s="1"/>
  <c r="F85" i="51" s="1"/>
  <c r="F86" i="51" s="1"/>
  <c r="G21" i="51"/>
  <c r="G22" i="51" s="1"/>
  <c r="E47" i="19"/>
  <c r="L88" i="51"/>
  <c r="J31" i="51"/>
  <c r="J32" i="51" s="1"/>
  <c r="J33" i="51" s="1"/>
  <c r="J28" i="51"/>
  <c r="J9" i="51"/>
  <c r="J11" i="51" s="1"/>
  <c r="J12" i="51" s="1"/>
  <c r="J14" i="51" s="1"/>
  <c r="J15" i="51" s="1"/>
  <c r="J16" i="51" s="1"/>
  <c r="J17" i="51" s="1"/>
  <c r="J18" i="51" s="1"/>
  <c r="J19" i="51" s="1"/>
  <c r="J20" i="51" s="1"/>
  <c r="J21" i="51" s="1"/>
  <c r="D88" i="51"/>
  <c r="B8" i="51"/>
  <c r="B9" i="51" s="1"/>
  <c r="B19" i="51" s="1"/>
  <c r="B26" i="51" s="1"/>
  <c r="B6" i="51"/>
  <c r="F15" i="51"/>
  <c r="F18" i="51"/>
  <c r="F17" i="51" s="1"/>
  <c r="F20" i="51"/>
  <c r="F21" i="51" s="1"/>
  <c r="F24" i="51" s="1"/>
  <c r="F25" i="51" s="1"/>
  <c r="F26" i="51" s="1"/>
  <c r="F28" i="51" s="1"/>
  <c r="F29" i="51" s="1"/>
  <c r="F30" i="51" s="1"/>
  <c r="F31" i="51" s="1"/>
  <c r="F32" i="51" s="1"/>
  <c r="F33" i="51" s="1"/>
  <c r="F34" i="51" s="1"/>
  <c r="F35" i="51" s="1"/>
  <c r="F37" i="51" s="1"/>
  <c r="F38" i="51" s="1"/>
  <c r="F39" i="51" s="1"/>
  <c r="F40" i="51" s="1"/>
  <c r="F41" i="51" s="1"/>
  <c r="F42" i="51" s="1"/>
  <c r="F43" i="51" s="1"/>
  <c r="F44" i="51" s="1"/>
  <c r="F45" i="51" s="1"/>
  <c r="F46" i="51" s="1"/>
  <c r="F47" i="51" s="1"/>
  <c r="J57" i="1"/>
  <c r="F57" i="1" s="1"/>
  <c r="B20" i="1" s="1"/>
  <c r="P88" i="51"/>
  <c r="G23" i="51" l="1"/>
  <c r="G24" i="51" s="1"/>
  <c r="G25" i="51" s="1"/>
  <c r="G26" i="51" s="1"/>
  <c r="G27" i="51" s="1"/>
  <c r="G28" i="51" s="1"/>
  <c r="G29" i="51" s="1"/>
  <c r="G30" i="51" s="1"/>
  <c r="G31" i="51" s="1"/>
  <c r="G32" i="51" s="1"/>
  <c r="G33" i="51" s="1"/>
  <c r="G34" i="51" s="1"/>
  <c r="G35" i="51" s="1"/>
  <c r="G36" i="51" s="1"/>
  <c r="G37" i="51" s="1"/>
  <c r="G38" i="51" s="1"/>
  <c r="G39" i="51" s="1"/>
  <c r="G40" i="51" s="1"/>
  <c r="G41" i="51" s="1"/>
  <c r="G43" i="51" s="1"/>
  <c r="G44" i="51" s="1"/>
  <c r="G45" i="51" s="1"/>
  <c r="G46" i="51" s="1"/>
  <c r="G47" i="51" s="1"/>
  <c r="G49" i="51" s="1"/>
  <c r="G50" i="51" s="1"/>
  <c r="G51" i="51" s="1"/>
  <c r="G52" i="51" s="1"/>
  <c r="G53" i="51" s="1"/>
  <c r="G54" i="51" s="1"/>
  <c r="G55" i="51" s="1"/>
  <c r="G56" i="51" s="1"/>
  <c r="G57" i="51" s="1"/>
  <c r="G58" i="51" s="1"/>
  <c r="G59" i="51" s="1"/>
  <c r="G60" i="51" s="1"/>
  <c r="G61" i="51" s="1"/>
  <c r="G62" i="51" s="1"/>
  <c r="G63" i="51" s="1"/>
  <c r="G64" i="51" s="1"/>
  <c r="G66" i="51" s="1"/>
  <c r="G67" i="51" s="1"/>
  <c r="G68" i="51" s="1"/>
  <c r="G69" i="51" s="1"/>
  <c r="G70" i="51" s="1"/>
  <c r="G71" i="51" s="1"/>
  <c r="G72" i="51" s="1"/>
  <c r="G73" i="51" s="1"/>
  <c r="G74" i="51" s="1"/>
  <c r="G75" i="51" s="1"/>
  <c r="G76" i="51" s="1"/>
  <c r="G77" i="51" s="1"/>
  <c r="G78" i="51" s="1"/>
  <c r="G79" i="51" s="1"/>
  <c r="G80" i="51" s="1"/>
  <c r="G81" i="51" s="1"/>
  <c r="G82" i="51" s="1"/>
  <c r="G83" i="51" s="1"/>
  <c r="G84" i="51" s="1"/>
  <c r="G85" i="51" s="1"/>
  <c r="G86" i="51" s="1"/>
  <c r="B25" i="1"/>
  <c r="B23" i="1"/>
  <c r="H88" i="51" l="1"/>
  <c r="B21" i="1" s="1"/>
  <c r="G10" i="13"/>
  <c r="G9" i="13"/>
  <c r="G8" i="13"/>
  <c r="G7" i="13"/>
  <c r="G6" i="13"/>
  <c r="G5" i="13"/>
  <c r="G4" i="13"/>
  <c r="F19" i="21"/>
  <c r="F18" i="21"/>
  <c r="F17" i="21"/>
  <c r="F16" i="21"/>
  <c r="F15" i="21"/>
  <c r="F14" i="21"/>
  <c r="P4" i="1" l="1"/>
  <c r="P26" i="1"/>
  <c r="Q31" i="1" s="1"/>
  <c r="F20" i="4" l="1"/>
  <c r="J4" i="37"/>
  <c r="E5" i="35"/>
  <c r="F12" i="4"/>
  <c r="C32" i="1"/>
  <c r="B6" i="1" l="1"/>
  <c r="B29" i="1" s="1"/>
  <c r="E41" i="6"/>
  <c r="E40" i="6"/>
  <c r="E39" i="6"/>
  <c r="E38" i="6"/>
  <c r="E37" i="6"/>
  <c r="E36" i="6"/>
  <c r="E30" i="6"/>
  <c r="E28" i="6"/>
  <c r="E27" i="6"/>
  <c r="E26" i="6"/>
  <c r="E22" i="6"/>
  <c r="E21" i="6"/>
  <c r="E20" i="6"/>
  <c r="E19" i="6"/>
  <c r="E18" i="6"/>
  <c r="E17" i="6"/>
  <c r="E16" i="6"/>
  <c r="E15" i="6"/>
  <c r="E14" i="6"/>
  <c r="E13" i="6"/>
  <c r="E12" i="6"/>
  <c r="E11" i="6"/>
  <c r="E10" i="6"/>
  <c r="E9" i="6"/>
  <c r="E8" i="6"/>
  <c r="E7" i="6"/>
  <c r="E6" i="6"/>
  <c r="E5" i="6"/>
  <c r="E4" i="6"/>
  <c r="F23" i="6" l="1"/>
  <c r="F42" i="6"/>
  <c r="G44" i="6" l="1"/>
  <c r="A57" i="33"/>
  <c r="D12" i="1"/>
  <c r="B37" i="33" l="1"/>
  <c r="I16" i="33"/>
  <c r="C37" i="33" l="1"/>
  <c r="B24" i="33"/>
  <c r="F14" i="33" s="1"/>
  <c r="I52" i="33"/>
  <c r="C38" i="33"/>
  <c r="I61" i="33"/>
  <c r="G7" i="1"/>
  <c r="I1" i="33"/>
  <c r="I74" i="33"/>
  <c r="K27" i="1"/>
  <c r="C14" i="33"/>
  <c r="H19" i="33"/>
  <c r="H25" i="33" s="1"/>
  <c r="D14" i="33" l="1"/>
  <c r="B14" i="33" s="1"/>
  <c r="E45" i="19"/>
  <c r="H32" i="33"/>
  <c r="H41" i="33" l="1"/>
  <c r="F15" i="1" l="1"/>
  <c r="I31" i="33"/>
  <c r="D18" i="1"/>
  <c r="D16" i="1"/>
  <c r="F13" i="1"/>
  <c r="H14" i="1"/>
  <c r="F14" i="1"/>
  <c r="H15" i="1" l="1"/>
  <c r="H7" i="1"/>
  <c r="H42" i="1" l="1"/>
  <c r="D37" i="33"/>
  <c r="G12" i="1"/>
  <c r="B3" i="3"/>
  <c r="B4" i="3" s="1"/>
  <c r="F4" i="3" s="1"/>
  <c r="F27" i="4"/>
  <c r="F26" i="4"/>
  <c r="G7" i="3" l="1"/>
  <c r="B5" i="3"/>
  <c r="B6" i="3"/>
  <c r="E57" i="50"/>
  <c r="E56" i="50"/>
  <c r="E55" i="50"/>
  <c r="E54" i="50"/>
  <c r="E53" i="50"/>
  <c r="E52" i="50"/>
  <c r="E51" i="50"/>
  <c r="E50" i="50"/>
  <c r="E49" i="50"/>
  <c r="E48" i="50"/>
  <c r="E47" i="50"/>
  <c r="E46" i="50"/>
  <c r="E45" i="50"/>
  <c r="E44" i="50"/>
  <c r="E43" i="50"/>
  <c r="E61" i="50"/>
  <c r="E60" i="50"/>
  <c r="E59" i="50"/>
  <c r="E58" i="50"/>
  <c r="E42" i="50"/>
  <c r="E41" i="50"/>
  <c r="E40" i="50"/>
  <c r="E39" i="50"/>
  <c r="E38" i="50"/>
  <c r="E37" i="50"/>
  <c r="E36" i="50"/>
  <c r="E35" i="50"/>
  <c r="E34" i="50"/>
  <c r="E33" i="50"/>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E5" i="50"/>
  <c r="E4" i="50"/>
  <c r="E3" i="50"/>
  <c r="F62" i="50" l="1"/>
  <c r="E44" i="19"/>
  <c r="C52" i="19" l="1"/>
  <c r="C44" i="19"/>
  <c r="B3" i="4" l="1"/>
  <c r="G6" i="1" l="1"/>
  <c r="B27" i="4"/>
  <c r="B26" i="4"/>
  <c r="B25" i="4"/>
  <c r="S43" i="19"/>
  <c r="R43" i="19"/>
  <c r="Q43" i="19"/>
  <c r="P43" i="19"/>
  <c r="O43" i="19"/>
  <c r="L43" i="19" l="1"/>
  <c r="E6" i="21"/>
  <c r="E9" i="21"/>
  <c r="N43" i="19" l="1"/>
  <c r="F24" i="33" l="1"/>
  <c r="M43" i="19" l="1"/>
  <c r="K43" i="19"/>
  <c r="F10" i="4" l="1"/>
  <c r="F8" i="4"/>
  <c r="F7" i="4"/>
  <c r="F11" i="4"/>
  <c r="F9" i="4"/>
  <c r="F6" i="4"/>
  <c r="F5" i="4"/>
  <c r="F4" i="4"/>
  <c r="F17" i="4"/>
  <c r="F16" i="4"/>
  <c r="F18" i="4"/>
  <c r="J4" i="4" l="1"/>
  <c r="G15" i="37"/>
  <c r="A18" i="37" l="1"/>
  <c r="A17" i="37"/>
  <c r="I8" i="1"/>
  <c r="H21" i="1"/>
  <c r="H22" i="1"/>
  <c r="H23" i="1"/>
  <c r="H24" i="1"/>
  <c r="B1" i="19" l="1"/>
  <c r="E43" i="19" s="1"/>
  <c r="A9" i="37" l="1"/>
  <c r="B9" i="37"/>
  <c r="E19" i="48"/>
  <c r="G9" i="37" s="1"/>
  <c r="H9" i="37" s="1"/>
  <c r="O9" i="37" s="1"/>
  <c r="A22" i="37"/>
  <c r="A21" i="37"/>
  <c r="A20" i="37"/>
  <c r="A19" i="37"/>
  <c r="A16" i="37"/>
  <c r="A15" i="37"/>
  <c r="A14" i="37"/>
  <c r="A13" i="37"/>
  <c r="A12" i="37"/>
  <c r="A11" i="37"/>
  <c r="A10" i="37"/>
  <c r="A8" i="37"/>
  <c r="B27" i="1" l="1"/>
  <c r="E48" i="19" s="1"/>
  <c r="E6" i="37"/>
  <c r="C48" i="19" l="1"/>
  <c r="E23" i="37"/>
  <c r="F13" i="21"/>
  <c r="F12" i="21"/>
  <c r="F11" i="21"/>
  <c r="F10" i="21"/>
  <c r="F9" i="21"/>
  <c r="F8" i="21"/>
  <c r="F7" i="21"/>
  <c r="F6" i="21"/>
  <c r="F5" i="21"/>
  <c r="F4" i="21"/>
  <c r="F3" i="21"/>
  <c r="M4" i="37" a="1"/>
  <c r="M4" i="37" s="1"/>
  <c r="G21" i="21" l="1"/>
  <c r="G8" i="37" s="1"/>
  <c r="A2" i="37"/>
  <c r="B2" i="36"/>
  <c r="O27" i="37" l="1"/>
  <c r="O24" i="37"/>
  <c r="O26" i="37"/>
  <c r="D14" i="16"/>
  <c r="D13" i="16"/>
  <c r="D12" i="16"/>
  <c r="D11" i="16"/>
  <c r="D10" i="16"/>
  <c r="D9" i="16"/>
  <c r="D8" i="16"/>
  <c r="D7" i="16"/>
  <c r="D5" i="16"/>
  <c r="D4" i="16"/>
  <c r="A4" i="37"/>
  <c r="B4" i="37"/>
  <c r="F2" i="37"/>
  <c r="D16" i="16" l="1"/>
  <c r="G17" i="37" s="1"/>
  <c r="H17" i="37" s="1"/>
  <c r="O17" i="37" s="1"/>
  <c r="P29" i="37"/>
  <c r="G22" i="37"/>
  <c r="H22" i="37" s="1"/>
  <c r="O22" i="37" s="1"/>
  <c r="H21" i="37"/>
  <c r="O21" i="37" s="1"/>
  <c r="G20" i="37"/>
  <c r="H20" i="37" s="1"/>
  <c r="O20" i="37" s="1"/>
  <c r="G19" i="37"/>
  <c r="H27" i="37"/>
  <c r="DU25" i="37"/>
  <c r="DT25" i="37"/>
  <c r="DS25" i="37"/>
  <c r="DR25" i="37"/>
  <c r="DQ25" i="37"/>
  <c r="DP25" i="37"/>
  <c r="DO25" i="37"/>
  <c r="DN25" i="37"/>
  <c r="DM25" i="37"/>
  <c r="DL25" i="37"/>
  <c r="DK25" i="37"/>
  <c r="DJ25" i="37"/>
  <c r="DI25" i="37"/>
  <c r="DH25" i="37"/>
  <c r="DG25" i="37"/>
  <c r="DF25" i="37"/>
  <c r="DE25" i="37"/>
  <c r="DD25" i="37"/>
  <c r="DC25" i="37"/>
  <c r="DB25" i="37"/>
  <c r="DA25" i="37"/>
  <c r="CZ25" i="37"/>
  <c r="CY25" i="37"/>
  <c r="CX25" i="37"/>
  <c r="CW25" i="37"/>
  <c r="CV25" i="37"/>
  <c r="CU25" i="37"/>
  <c r="CT25" i="37"/>
  <c r="CS25" i="37"/>
  <c r="CR25" i="37"/>
  <c r="CQ25" i="37"/>
  <c r="CP25" i="37"/>
  <c r="CO25" i="37"/>
  <c r="CN25" i="37"/>
  <c r="CM25" i="37"/>
  <c r="CL25" i="37"/>
  <c r="CK25" i="37"/>
  <c r="CJ25" i="37"/>
  <c r="CI25" i="37"/>
  <c r="CH25" i="37"/>
  <c r="CG25" i="37"/>
  <c r="CF25" i="37"/>
  <c r="CE25" i="37"/>
  <c r="CD25" i="37"/>
  <c r="CC25" i="37"/>
  <c r="CB25" i="37"/>
  <c r="CA25" i="37"/>
  <c r="BZ25" i="37"/>
  <c r="BY25" i="37"/>
  <c r="BX25" i="37"/>
  <c r="BW25" i="37"/>
  <c r="BV25" i="37"/>
  <c r="BU25" i="37"/>
  <c r="BT25" i="37"/>
  <c r="BS25" i="37"/>
  <c r="BR25" i="37"/>
  <c r="BQ25" i="37"/>
  <c r="BP25" i="37"/>
  <c r="BO25" i="37"/>
  <c r="BN25" i="37"/>
  <c r="BM25" i="37"/>
  <c r="BL25" i="37"/>
  <c r="BK25" i="37"/>
  <c r="BJ25" i="37"/>
  <c r="BI25" i="37"/>
  <c r="BH25" i="37"/>
  <c r="BG25" i="37"/>
  <c r="BF25" i="37"/>
  <c r="BE25" i="37"/>
  <c r="BD25" i="37"/>
  <c r="BC25" i="37"/>
  <c r="BB25" i="37"/>
  <c r="BA25" i="37"/>
  <c r="AZ25" i="37"/>
  <c r="AY25" i="37"/>
  <c r="AX25" i="37"/>
  <c r="AW25" i="37"/>
  <c r="AV25" i="37"/>
  <c r="AU25" i="37"/>
  <c r="AT25" i="37"/>
  <c r="AS25" i="37"/>
  <c r="AR25" i="37"/>
  <c r="AQ25" i="37"/>
  <c r="AP25" i="37"/>
  <c r="H25" i="37"/>
  <c r="O25" i="37" s="1"/>
  <c r="DU24" i="37"/>
  <c r="DT24" i="37"/>
  <c r="DS24" i="37"/>
  <c r="DR24" i="37"/>
  <c r="DQ24" i="37"/>
  <c r="DP24" i="37"/>
  <c r="DO24" i="37"/>
  <c r="DN24" i="37"/>
  <c r="DM24" i="37"/>
  <c r="DL24" i="37"/>
  <c r="DK24" i="37"/>
  <c r="DJ24" i="37"/>
  <c r="DI24" i="37"/>
  <c r="DH24" i="37"/>
  <c r="DG24" i="37"/>
  <c r="DF24" i="37"/>
  <c r="DE24" i="37"/>
  <c r="DD24" i="37"/>
  <c r="DC24" i="37"/>
  <c r="DB24" i="37"/>
  <c r="DA24" i="37"/>
  <c r="CZ24" i="37"/>
  <c r="CY24" i="37"/>
  <c r="CX24" i="37"/>
  <c r="CW24" i="37"/>
  <c r="CV24" i="37"/>
  <c r="CU24" i="37"/>
  <c r="CT24" i="37"/>
  <c r="CS24" i="37"/>
  <c r="CR24" i="37"/>
  <c r="CQ24" i="37"/>
  <c r="CP24" i="37"/>
  <c r="CO24" i="37"/>
  <c r="CN24" i="37"/>
  <c r="CM24" i="37"/>
  <c r="CL24" i="37"/>
  <c r="CK24" i="37"/>
  <c r="CJ24" i="37"/>
  <c r="CI24" i="37"/>
  <c r="CH24" i="37"/>
  <c r="CG24" i="37"/>
  <c r="CF24" i="37"/>
  <c r="CE24" i="37"/>
  <c r="CD24" i="37"/>
  <c r="CC24" i="37"/>
  <c r="CB24" i="37"/>
  <c r="CA24" i="37"/>
  <c r="BZ24" i="37"/>
  <c r="BY24" i="37"/>
  <c r="BX24" i="37"/>
  <c r="BW24" i="37"/>
  <c r="BV24" i="37"/>
  <c r="BU24" i="37"/>
  <c r="BT24" i="37"/>
  <c r="BS24" i="37"/>
  <c r="BR24" i="37"/>
  <c r="BQ24" i="37"/>
  <c r="BP24" i="37"/>
  <c r="BO24" i="37"/>
  <c r="BN24" i="37"/>
  <c r="BM24" i="37"/>
  <c r="BL24" i="37"/>
  <c r="BK24" i="37"/>
  <c r="BJ24" i="37"/>
  <c r="BI24" i="37"/>
  <c r="BH24" i="37"/>
  <c r="BG24" i="37"/>
  <c r="BF24" i="37"/>
  <c r="BE24" i="37"/>
  <c r="BD24" i="37"/>
  <c r="BC24" i="37"/>
  <c r="BB24" i="37"/>
  <c r="BA24" i="37"/>
  <c r="AZ24" i="37"/>
  <c r="AY24" i="37"/>
  <c r="AX24" i="37"/>
  <c r="AW24" i="37"/>
  <c r="AV24" i="37"/>
  <c r="AU24" i="37"/>
  <c r="AT24" i="37"/>
  <c r="AS24" i="37"/>
  <c r="AR24" i="37"/>
  <c r="AQ24" i="37"/>
  <c r="AP24" i="37"/>
  <c r="H24" i="37"/>
  <c r="DU23" i="37"/>
  <c r="DT23" i="37"/>
  <c r="DS23" i="37"/>
  <c r="DR23" i="37"/>
  <c r="DQ23" i="37"/>
  <c r="DP23" i="37"/>
  <c r="DO23" i="37"/>
  <c r="DN23" i="37"/>
  <c r="DM23" i="37"/>
  <c r="DL23" i="37"/>
  <c r="DK23" i="37"/>
  <c r="DJ23" i="37"/>
  <c r="DI23" i="37"/>
  <c r="DH23" i="37"/>
  <c r="DG23" i="37"/>
  <c r="DF23" i="37"/>
  <c r="DE23" i="37"/>
  <c r="DD23" i="37"/>
  <c r="DC23" i="37"/>
  <c r="DB23" i="37"/>
  <c r="DA23" i="37"/>
  <c r="CZ23" i="37"/>
  <c r="CY23" i="37"/>
  <c r="CX23" i="37"/>
  <c r="CW23" i="37"/>
  <c r="CV23" i="37"/>
  <c r="CU23" i="37"/>
  <c r="CT23" i="37"/>
  <c r="CS23" i="37"/>
  <c r="CR23" i="37"/>
  <c r="CQ23" i="37"/>
  <c r="CP23" i="37"/>
  <c r="CO23" i="37"/>
  <c r="CN23" i="37"/>
  <c r="CM23" i="37"/>
  <c r="CL23" i="37"/>
  <c r="CK23" i="37"/>
  <c r="CJ23" i="37"/>
  <c r="CI23" i="37"/>
  <c r="CH23" i="37"/>
  <c r="CG23" i="37"/>
  <c r="CF23" i="37"/>
  <c r="CE23" i="37"/>
  <c r="CD23" i="37"/>
  <c r="CC23" i="37"/>
  <c r="CB23" i="37"/>
  <c r="CA23" i="37"/>
  <c r="BZ23" i="37"/>
  <c r="BY23" i="37"/>
  <c r="BX23" i="37"/>
  <c r="BW23" i="37"/>
  <c r="BV23" i="37"/>
  <c r="BU23" i="37"/>
  <c r="BT23" i="37"/>
  <c r="BS23" i="37"/>
  <c r="BR23" i="37"/>
  <c r="BQ23" i="37"/>
  <c r="BP23" i="37"/>
  <c r="BO23" i="37"/>
  <c r="BN23" i="37"/>
  <c r="BM23" i="37"/>
  <c r="BL23" i="37"/>
  <c r="BK23" i="37"/>
  <c r="BJ23" i="37"/>
  <c r="BI23" i="37"/>
  <c r="BH23" i="37"/>
  <c r="BG23" i="37"/>
  <c r="BF23" i="37"/>
  <c r="BE23" i="37"/>
  <c r="BD23" i="37"/>
  <c r="BC23" i="37"/>
  <c r="BB23" i="37"/>
  <c r="BA23" i="37"/>
  <c r="AZ23" i="37"/>
  <c r="AY23" i="37"/>
  <c r="AX23" i="37"/>
  <c r="AW23" i="37"/>
  <c r="AV23" i="37"/>
  <c r="AU23" i="37"/>
  <c r="AT23" i="37"/>
  <c r="AS23" i="37"/>
  <c r="AR23" i="37"/>
  <c r="AQ23" i="37"/>
  <c r="AP23" i="37"/>
  <c r="DU22" i="37"/>
  <c r="DT22" i="37"/>
  <c r="DS22" i="37"/>
  <c r="DR22" i="37"/>
  <c r="DQ22" i="37"/>
  <c r="DP22" i="37"/>
  <c r="DO22" i="37"/>
  <c r="DN22" i="37"/>
  <c r="DM22" i="37"/>
  <c r="DL22" i="37"/>
  <c r="DK22" i="37"/>
  <c r="DJ22" i="37"/>
  <c r="DI22" i="37"/>
  <c r="DH22" i="37"/>
  <c r="DG22" i="37"/>
  <c r="DF22" i="37"/>
  <c r="DE22" i="37"/>
  <c r="DD22" i="37"/>
  <c r="DC22" i="37"/>
  <c r="DB22" i="37"/>
  <c r="DA22" i="37"/>
  <c r="CZ22" i="37"/>
  <c r="CY22" i="37"/>
  <c r="CX22" i="37"/>
  <c r="CW22" i="37"/>
  <c r="CV22" i="37"/>
  <c r="CU22" i="37"/>
  <c r="CT22" i="37"/>
  <c r="CS22" i="37"/>
  <c r="CR22" i="37"/>
  <c r="CQ22" i="37"/>
  <c r="CP22" i="37"/>
  <c r="CO22" i="37"/>
  <c r="CN22" i="37"/>
  <c r="CM22" i="37"/>
  <c r="CL22" i="37"/>
  <c r="CK22" i="37"/>
  <c r="CJ22" i="37"/>
  <c r="CI22" i="37"/>
  <c r="CH22" i="37"/>
  <c r="CG22" i="37"/>
  <c r="CF22" i="37"/>
  <c r="CE22" i="37"/>
  <c r="CD22" i="37"/>
  <c r="CC22" i="37"/>
  <c r="CB22" i="37"/>
  <c r="CA22" i="37"/>
  <c r="BZ22" i="37"/>
  <c r="BY22" i="37"/>
  <c r="BX22" i="37"/>
  <c r="BW22" i="37"/>
  <c r="BV22" i="37"/>
  <c r="BU22" i="37"/>
  <c r="BT22" i="37"/>
  <c r="BS22" i="37"/>
  <c r="BR22" i="37"/>
  <c r="BQ22" i="37"/>
  <c r="BP22" i="37"/>
  <c r="BO22" i="37"/>
  <c r="BN22" i="37"/>
  <c r="BM22" i="37"/>
  <c r="BL22" i="37"/>
  <c r="BK22" i="37"/>
  <c r="BJ22" i="37"/>
  <c r="BI22" i="37"/>
  <c r="BH22" i="37"/>
  <c r="BG22" i="37"/>
  <c r="BF22" i="37"/>
  <c r="BE22" i="37"/>
  <c r="BD22" i="37"/>
  <c r="BC22" i="37"/>
  <c r="BB22" i="37"/>
  <c r="BA22" i="37"/>
  <c r="AZ22" i="37"/>
  <c r="AY22" i="37"/>
  <c r="AX22" i="37"/>
  <c r="AW22" i="37"/>
  <c r="AV22" i="37"/>
  <c r="AU22" i="37"/>
  <c r="AT22" i="37"/>
  <c r="AS22" i="37"/>
  <c r="AR22" i="37"/>
  <c r="AQ22" i="37"/>
  <c r="AP22" i="37"/>
  <c r="DU21" i="37"/>
  <c r="DT21" i="37"/>
  <c r="DS21" i="37"/>
  <c r="DR21" i="37"/>
  <c r="DQ21" i="37"/>
  <c r="DP21" i="37"/>
  <c r="DO21" i="37"/>
  <c r="DN21" i="37"/>
  <c r="DM21" i="37"/>
  <c r="DL21" i="37"/>
  <c r="DK21" i="37"/>
  <c r="DJ21" i="37"/>
  <c r="DI21" i="37"/>
  <c r="DH21" i="37"/>
  <c r="DG21" i="37"/>
  <c r="DF21" i="37"/>
  <c r="DE21" i="37"/>
  <c r="DD21" i="37"/>
  <c r="DC21" i="37"/>
  <c r="DB21" i="37"/>
  <c r="DA21" i="37"/>
  <c r="CZ21" i="37"/>
  <c r="CY21" i="37"/>
  <c r="CX21" i="37"/>
  <c r="CW21" i="37"/>
  <c r="CV21" i="37"/>
  <c r="CU21" i="37"/>
  <c r="CT21" i="37"/>
  <c r="CS21" i="37"/>
  <c r="CR21" i="37"/>
  <c r="CQ21" i="37"/>
  <c r="CP21" i="37"/>
  <c r="CO21" i="37"/>
  <c r="CN21" i="37"/>
  <c r="CM21" i="37"/>
  <c r="CL21" i="37"/>
  <c r="CK21" i="37"/>
  <c r="CJ21" i="37"/>
  <c r="CI21" i="37"/>
  <c r="CH21" i="37"/>
  <c r="CG21" i="37"/>
  <c r="CF21" i="37"/>
  <c r="CE21" i="37"/>
  <c r="CD21" i="37"/>
  <c r="CC21" i="37"/>
  <c r="CB21" i="37"/>
  <c r="CA21" i="37"/>
  <c r="BZ21" i="37"/>
  <c r="BY21" i="37"/>
  <c r="BX21" i="37"/>
  <c r="BW21" i="37"/>
  <c r="BV21" i="37"/>
  <c r="BU21" i="37"/>
  <c r="BT21" i="37"/>
  <c r="BS21" i="37"/>
  <c r="BR21" i="37"/>
  <c r="BQ21" i="37"/>
  <c r="BP21" i="37"/>
  <c r="BO21" i="37"/>
  <c r="BN21" i="37"/>
  <c r="BM21" i="37"/>
  <c r="BL21" i="37"/>
  <c r="BK21" i="37"/>
  <c r="BJ21" i="37"/>
  <c r="BI21" i="37"/>
  <c r="BH21" i="37"/>
  <c r="BG21" i="37"/>
  <c r="BF21" i="37"/>
  <c r="BE21" i="37"/>
  <c r="BD21" i="37"/>
  <c r="BC21" i="37"/>
  <c r="BB21" i="37"/>
  <c r="BA21" i="37"/>
  <c r="AZ21" i="37"/>
  <c r="AY21" i="37"/>
  <c r="AX21" i="37"/>
  <c r="AW21" i="37"/>
  <c r="AV21" i="37"/>
  <c r="AU21" i="37"/>
  <c r="AT21" i="37"/>
  <c r="AS21" i="37"/>
  <c r="AR21" i="37"/>
  <c r="AQ21" i="37"/>
  <c r="AP21" i="37"/>
  <c r="DU20" i="37"/>
  <c r="DT20" i="37"/>
  <c r="DS20" i="37"/>
  <c r="DR20" i="37"/>
  <c r="DQ20" i="37"/>
  <c r="DP20" i="37"/>
  <c r="DO20" i="37"/>
  <c r="DN20" i="37"/>
  <c r="DM20" i="37"/>
  <c r="DL20" i="37"/>
  <c r="DK20" i="37"/>
  <c r="DJ20" i="37"/>
  <c r="DI20" i="37"/>
  <c r="DH20" i="37"/>
  <c r="DG20" i="37"/>
  <c r="DF20" i="37"/>
  <c r="DE20" i="37"/>
  <c r="DD20" i="37"/>
  <c r="DC20" i="37"/>
  <c r="DB20" i="37"/>
  <c r="DA20" i="37"/>
  <c r="CZ20" i="37"/>
  <c r="CY20" i="37"/>
  <c r="CX20" i="37"/>
  <c r="CW20" i="37"/>
  <c r="CV20" i="37"/>
  <c r="CU20" i="37"/>
  <c r="CT20" i="37"/>
  <c r="CS20" i="37"/>
  <c r="CR20" i="37"/>
  <c r="CQ20" i="37"/>
  <c r="CP20" i="37"/>
  <c r="CO20" i="37"/>
  <c r="CN20" i="37"/>
  <c r="CM20" i="37"/>
  <c r="CL20" i="37"/>
  <c r="CK20" i="37"/>
  <c r="CJ20" i="37"/>
  <c r="CI20" i="37"/>
  <c r="CH20" i="37"/>
  <c r="CG20" i="37"/>
  <c r="CF20" i="37"/>
  <c r="CE20" i="37"/>
  <c r="CD20" i="37"/>
  <c r="CC20" i="37"/>
  <c r="CB20" i="37"/>
  <c r="CA20" i="37"/>
  <c r="BZ20" i="37"/>
  <c r="BY20" i="37"/>
  <c r="BX20" i="37"/>
  <c r="BW20" i="37"/>
  <c r="BV20" i="37"/>
  <c r="BU20" i="37"/>
  <c r="BT20" i="37"/>
  <c r="BS20" i="37"/>
  <c r="BR20" i="37"/>
  <c r="BQ20" i="37"/>
  <c r="BP20" i="37"/>
  <c r="BO20" i="37"/>
  <c r="BN20" i="37"/>
  <c r="BM20" i="37"/>
  <c r="BL20" i="37"/>
  <c r="BK20" i="37"/>
  <c r="BJ20" i="37"/>
  <c r="BI20" i="37"/>
  <c r="BH20" i="37"/>
  <c r="BG20" i="37"/>
  <c r="BF20" i="37"/>
  <c r="BE20" i="37"/>
  <c r="BD20" i="37"/>
  <c r="BC20" i="37"/>
  <c r="BB20" i="37"/>
  <c r="BA20" i="37"/>
  <c r="AZ20" i="37"/>
  <c r="AY20" i="37"/>
  <c r="AX20" i="37"/>
  <c r="AW20" i="37"/>
  <c r="AV20" i="37"/>
  <c r="AU20" i="37"/>
  <c r="AT20" i="37"/>
  <c r="AS20" i="37"/>
  <c r="AR20" i="37"/>
  <c r="AQ20" i="37"/>
  <c r="AP20" i="37"/>
  <c r="DU19" i="37"/>
  <c r="DT19" i="37"/>
  <c r="DS19" i="37"/>
  <c r="DR19" i="37"/>
  <c r="DQ19" i="37"/>
  <c r="DP19" i="37"/>
  <c r="DO19" i="37"/>
  <c r="DN19" i="37"/>
  <c r="DM19" i="37"/>
  <c r="DL19" i="37"/>
  <c r="DK19" i="37"/>
  <c r="DJ19" i="37"/>
  <c r="DI19" i="37"/>
  <c r="DH19" i="37"/>
  <c r="DG19" i="37"/>
  <c r="DF19" i="37"/>
  <c r="DE19" i="37"/>
  <c r="DD19" i="37"/>
  <c r="DC19" i="37"/>
  <c r="DB19" i="37"/>
  <c r="DA19" i="37"/>
  <c r="CZ19" i="37"/>
  <c r="CY19" i="37"/>
  <c r="CX19" i="37"/>
  <c r="CW19" i="37"/>
  <c r="CV19" i="37"/>
  <c r="CU19" i="37"/>
  <c r="CT19" i="37"/>
  <c r="CS19" i="37"/>
  <c r="CR19" i="37"/>
  <c r="CQ19" i="37"/>
  <c r="CP19" i="37"/>
  <c r="CO19" i="37"/>
  <c r="CN19" i="37"/>
  <c r="CM19" i="37"/>
  <c r="CL19" i="37"/>
  <c r="CK19" i="37"/>
  <c r="CJ19" i="37"/>
  <c r="CI19" i="37"/>
  <c r="CH19" i="37"/>
  <c r="CG19" i="37"/>
  <c r="CF19" i="37"/>
  <c r="CE19" i="37"/>
  <c r="CD19" i="37"/>
  <c r="CC19" i="37"/>
  <c r="CB19" i="37"/>
  <c r="CA19" i="37"/>
  <c r="BZ19" i="37"/>
  <c r="BY19" i="37"/>
  <c r="BX19" i="37"/>
  <c r="BW19" i="37"/>
  <c r="BV19" i="37"/>
  <c r="BU19" i="37"/>
  <c r="BT19" i="37"/>
  <c r="BS19" i="37"/>
  <c r="BR19" i="37"/>
  <c r="BQ19" i="37"/>
  <c r="BP19" i="37"/>
  <c r="BO19" i="37"/>
  <c r="BN19" i="37"/>
  <c r="BM19" i="37"/>
  <c r="BL19" i="37"/>
  <c r="BK19" i="37"/>
  <c r="BJ19" i="37"/>
  <c r="BI19" i="37"/>
  <c r="BH19" i="37"/>
  <c r="BG19" i="37"/>
  <c r="BF19" i="37"/>
  <c r="BE19" i="37"/>
  <c r="BD19" i="37"/>
  <c r="BC19" i="37"/>
  <c r="BB19" i="37"/>
  <c r="BA19" i="37"/>
  <c r="AZ19" i="37"/>
  <c r="AY19" i="37"/>
  <c r="AX19" i="37"/>
  <c r="AW19" i="37"/>
  <c r="AV19" i="37"/>
  <c r="AU19" i="37"/>
  <c r="AT19" i="37"/>
  <c r="AS19" i="37"/>
  <c r="AR19" i="37"/>
  <c r="AQ19" i="37"/>
  <c r="AP19" i="37"/>
  <c r="H19" i="37"/>
  <c r="O19" i="37" s="1"/>
  <c r="DU16" i="37"/>
  <c r="DT16" i="37"/>
  <c r="DS16" i="37"/>
  <c r="DR16" i="37"/>
  <c r="DQ16" i="37"/>
  <c r="DP16" i="37"/>
  <c r="DO16" i="37"/>
  <c r="DN16" i="37"/>
  <c r="DM16" i="37"/>
  <c r="DL16" i="37"/>
  <c r="DK16" i="37"/>
  <c r="DJ16" i="37"/>
  <c r="DI16" i="37"/>
  <c r="DH16" i="37"/>
  <c r="DG16" i="37"/>
  <c r="DF16" i="37"/>
  <c r="DE16" i="37"/>
  <c r="DD16" i="37"/>
  <c r="DC16" i="37"/>
  <c r="DB16" i="37"/>
  <c r="DA16" i="37"/>
  <c r="CZ16" i="37"/>
  <c r="CY16" i="37"/>
  <c r="CX16" i="37"/>
  <c r="CW16" i="37"/>
  <c r="CV16" i="37"/>
  <c r="CU16" i="37"/>
  <c r="CT16" i="37"/>
  <c r="CS16" i="37"/>
  <c r="CR16" i="37"/>
  <c r="CQ16" i="37"/>
  <c r="CP16" i="37"/>
  <c r="CO16" i="37"/>
  <c r="CN16" i="37"/>
  <c r="CM16" i="37"/>
  <c r="CL16" i="37"/>
  <c r="CK16" i="37"/>
  <c r="CJ16" i="37"/>
  <c r="CI16" i="37"/>
  <c r="CH16" i="37"/>
  <c r="CG16" i="37"/>
  <c r="CF16" i="37"/>
  <c r="CE16" i="37"/>
  <c r="CD16" i="37"/>
  <c r="CC16" i="37"/>
  <c r="CB16" i="37"/>
  <c r="CA16" i="37"/>
  <c r="BZ16" i="37"/>
  <c r="BY16" i="37"/>
  <c r="BX16" i="37"/>
  <c r="BW16" i="37"/>
  <c r="BV16" i="37"/>
  <c r="BU16" i="37"/>
  <c r="BT16" i="37"/>
  <c r="BS16" i="37"/>
  <c r="BR16" i="37"/>
  <c r="BQ16" i="37"/>
  <c r="BP16" i="37"/>
  <c r="BO16" i="37"/>
  <c r="BN16" i="37"/>
  <c r="BM16" i="37"/>
  <c r="BL16" i="37"/>
  <c r="BK16" i="37"/>
  <c r="BJ16" i="37"/>
  <c r="BI16" i="37"/>
  <c r="BH16" i="37"/>
  <c r="BG16" i="37"/>
  <c r="BF16" i="37"/>
  <c r="BE16" i="37"/>
  <c r="BD16" i="37"/>
  <c r="BC16" i="37"/>
  <c r="BB16" i="37"/>
  <c r="BA16" i="37"/>
  <c r="AZ16" i="37"/>
  <c r="AY16" i="37"/>
  <c r="AX16" i="37"/>
  <c r="AW16" i="37"/>
  <c r="AV16" i="37"/>
  <c r="AU16" i="37"/>
  <c r="AT16" i="37"/>
  <c r="AS16" i="37"/>
  <c r="AR16" i="37"/>
  <c r="AQ16" i="37"/>
  <c r="AP16" i="37"/>
  <c r="DU15" i="37"/>
  <c r="DT15" i="37"/>
  <c r="DS15" i="37"/>
  <c r="DR15" i="37"/>
  <c r="DQ15" i="37"/>
  <c r="DP15" i="37"/>
  <c r="DO15" i="37"/>
  <c r="DN15" i="37"/>
  <c r="DM15" i="37"/>
  <c r="DL15" i="37"/>
  <c r="DK15" i="37"/>
  <c r="DJ15" i="37"/>
  <c r="DI15" i="37"/>
  <c r="DH15" i="37"/>
  <c r="DG15" i="37"/>
  <c r="DF15" i="37"/>
  <c r="DE15" i="37"/>
  <c r="DD15" i="37"/>
  <c r="DC15" i="37"/>
  <c r="DB15" i="37"/>
  <c r="DA15" i="37"/>
  <c r="CZ15" i="37"/>
  <c r="CY15" i="37"/>
  <c r="CX15" i="37"/>
  <c r="CW15" i="37"/>
  <c r="CV15" i="37"/>
  <c r="CU15" i="37"/>
  <c r="CT15" i="37"/>
  <c r="CS15" i="37"/>
  <c r="CR15" i="37"/>
  <c r="CQ15" i="37"/>
  <c r="CP15" i="37"/>
  <c r="CO15" i="37"/>
  <c r="CN15" i="37"/>
  <c r="CM15" i="37"/>
  <c r="CL15" i="37"/>
  <c r="CK15" i="37"/>
  <c r="CJ15" i="37"/>
  <c r="CI15" i="37"/>
  <c r="CH15" i="37"/>
  <c r="CG15" i="37"/>
  <c r="CF15" i="37"/>
  <c r="CE15" i="37"/>
  <c r="CD15" i="37"/>
  <c r="CC15" i="37"/>
  <c r="CB15" i="37"/>
  <c r="CA15" i="37"/>
  <c r="BZ15" i="37"/>
  <c r="BY15" i="37"/>
  <c r="BX15" i="37"/>
  <c r="BW15" i="37"/>
  <c r="BV15" i="37"/>
  <c r="BU15" i="37"/>
  <c r="BT15" i="37"/>
  <c r="BS15" i="37"/>
  <c r="BR15" i="37"/>
  <c r="BQ15" i="37"/>
  <c r="BP15" i="37"/>
  <c r="BO15" i="37"/>
  <c r="BN15" i="37"/>
  <c r="BM15" i="37"/>
  <c r="BL15" i="37"/>
  <c r="BK15" i="37"/>
  <c r="BJ15" i="37"/>
  <c r="BI15" i="37"/>
  <c r="BH15" i="37"/>
  <c r="BG15" i="37"/>
  <c r="BF15" i="37"/>
  <c r="BE15" i="37"/>
  <c r="BD15" i="37"/>
  <c r="BC15" i="37"/>
  <c r="BB15" i="37"/>
  <c r="BA15" i="37"/>
  <c r="AZ15" i="37"/>
  <c r="AY15" i="37"/>
  <c r="AX15" i="37"/>
  <c r="AW15" i="37"/>
  <c r="AV15" i="37"/>
  <c r="AU15" i="37"/>
  <c r="AT15" i="37"/>
  <c r="AS15" i="37"/>
  <c r="AR15" i="37"/>
  <c r="AQ15" i="37"/>
  <c r="AP15" i="37"/>
  <c r="H15" i="37"/>
  <c r="O15" i="37" s="1"/>
  <c r="B10" i="37"/>
  <c r="B11" i="37" s="1"/>
  <c r="B12" i="37" s="1"/>
  <c r="B13" i="37" s="1"/>
  <c r="B14" i="37" s="1"/>
  <c r="B15" i="37" s="1"/>
  <c r="B16" i="37" s="1"/>
  <c r="AO7" i="37"/>
  <c r="E20" i="15"/>
  <c r="E18" i="15"/>
  <c r="E17" i="15"/>
  <c r="E15" i="15"/>
  <c r="E12" i="15"/>
  <c r="E11" i="15"/>
  <c r="E6" i="15"/>
  <c r="E5" i="15"/>
  <c r="E4" i="15"/>
  <c r="F21" i="15" l="1"/>
  <c r="B17" i="37"/>
  <c r="P30" i="37"/>
  <c r="P31" i="37"/>
  <c r="P33" i="37"/>
  <c r="P35" i="37"/>
  <c r="P36" i="37"/>
  <c r="P32" i="37"/>
  <c r="P34" i="37"/>
  <c r="P39" i="37"/>
  <c r="P43" i="37"/>
  <c r="P40" i="37"/>
  <c r="P37" i="37"/>
  <c r="P41" i="37"/>
  <c r="P44" i="37"/>
  <c r="P45" i="37"/>
  <c r="P46" i="37"/>
  <c r="P47" i="37"/>
  <c r="P48" i="37"/>
  <c r="P49" i="37"/>
  <c r="P50" i="37"/>
  <c r="P51" i="37"/>
  <c r="P52" i="37"/>
  <c r="P53" i="37"/>
  <c r="P54" i="37"/>
  <c r="P55" i="37"/>
  <c r="P38" i="37"/>
  <c r="P42" i="37"/>
  <c r="P56" i="37"/>
  <c r="P57" i="37"/>
  <c r="P58" i="37"/>
  <c r="P59" i="37"/>
  <c r="P60" i="37"/>
  <c r="P61" i="37"/>
  <c r="P62" i="37"/>
  <c r="P63" i="37"/>
  <c r="P64" i="37"/>
  <c r="P65" i="37"/>
  <c r="P66" i="37"/>
  <c r="P67" i="37"/>
  <c r="P68" i="37"/>
  <c r="P69" i="37"/>
  <c r="P70" i="37"/>
  <c r="P71" i="37"/>
  <c r="P72" i="37"/>
  <c r="P73" i="37"/>
  <c r="P74" i="37"/>
  <c r="P75" i="37"/>
  <c r="P76" i="37"/>
  <c r="P77" i="37"/>
  <c r="P78" i="37"/>
  <c r="P79" i="37"/>
  <c r="P80" i="37"/>
  <c r="P81" i="37"/>
  <c r="P82" i="37"/>
  <c r="P83" i="37"/>
  <c r="P84" i="37"/>
  <c r="F8" i="15"/>
  <c r="P28" i="37"/>
  <c r="B18" i="37" l="1"/>
  <c r="B19" i="37" s="1"/>
  <c r="B20" i="37" s="1"/>
  <c r="B21" i="37" s="1"/>
  <c r="B22" i="37" s="1"/>
  <c r="B24" i="37" s="1"/>
  <c r="B25" i="37" s="1"/>
  <c r="B26" i="37" s="1"/>
  <c r="B27" i="37" s="1"/>
  <c r="G10" i="37"/>
  <c r="H10" i="37" s="1"/>
  <c r="O10" i="37" s="1"/>
  <c r="E22" i="35"/>
  <c r="E21" i="35"/>
  <c r="E20" i="35"/>
  <c r="E19" i="35"/>
  <c r="E18" i="35"/>
  <c r="E17" i="35"/>
  <c r="E16" i="35"/>
  <c r="E15" i="35"/>
  <c r="E14" i="35"/>
  <c r="E13" i="35"/>
  <c r="E12" i="35"/>
  <c r="E11" i="35"/>
  <c r="E10" i="35"/>
  <c r="E9" i="35"/>
  <c r="E8" i="35"/>
  <c r="E7" i="35"/>
  <c r="E6" i="35"/>
  <c r="E4" i="35"/>
  <c r="E50" i="34"/>
  <c r="D50" i="34"/>
  <c r="F48" i="34"/>
  <c r="F47" i="34"/>
  <c r="F46" i="34"/>
  <c r="F45" i="34"/>
  <c r="F44" i="34"/>
  <c r="F43" i="34"/>
  <c r="F42" i="34"/>
  <c r="F41" i="34"/>
  <c r="F40" i="34"/>
  <c r="F39" i="34"/>
  <c r="F38" i="34"/>
  <c r="F37" i="34"/>
  <c r="F36" i="34"/>
  <c r="F35" i="34"/>
  <c r="F34" i="34"/>
  <c r="F33" i="34"/>
  <c r="F32" i="34"/>
  <c r="F31" i="34"/>
  <c r="F30" i="34"/>
  <c r="F29" i="34"/>
  <c r="F28" i="34"/>
  <c r="F27" i="34"/>
  <c r="F26" i="34"/>
  <c r="F25" i="34"/>
  <c r="F24" i="34"/>
  <c r="F23" i="34"/>
  <c r="F22" i="34"/>
  <c r="F21" i="34"/>
  <c r="F20" i="34"/>
  <c r="F19" i="34"/>
  <c r="F18" i="34"/>
  <c r="F17" i="34"/>
  <c r="F16" i="34"/>
  <c r="F15" i="34"/>
  <c r="F14" i="34"/>
  <c r="F13" i="34"/>
  <c r="F12" i="34"/>
  <c r="F11" i="34"/>
  <c r="F10" i="34"/>
  <c r="F9" i="34"/>
  <c r="F8" i="34"/>
  <c r="F7" i="34"/>
  <c r="D19" i="1"/>
  <c r="F50" i="34" l="1"/>
  <c r="F23" i="35"/>
  <c r="G16" i="37" s="1"/>
  <c r="H16" i="37" s="1"/>
  <c r="O16" i="37" s="1"/>
  <c r="Q29" i="37"/>
  <c r="Q31" i="37" l="1"/>
  <c r="Q32" i="37"/>
  <c r="Q33" i="37"/>
  <c r="Q34" i="37"/>
  <c r="Q35" i="37"/>
  <c r="Q36" i="37"/>
  <c r="Q37" i="37"/>
  <c r="Q38" i="37"/>
  <c r="Q39" i="37"/>
  <c r="Q40" i="37"/>
  <c r="Q41" i="37"/>
  <c r="Q42" i="37"/>
  <c r="Q43" i="37"/>
  <c r="Q44" i="37"/>
  <c r="Q48" i="37"/>
  <c r="Q45" i="37"/>
  <c r="Q46" i="37"/>
  <c r="Q49" i="37"/>
  <c r="Q50" i="37"/>
  <c r="Q51" i="37"/>
  <c r="Q52" i="37"/>
  <c r="Q53" i="37"/>
  <c r="Q54" i="37"/>
  <c r="Q55" i="37"/>
  <c r="Q47" i="37"/>
  <c r="Q58" i="37"/>
  <c r="Q62" i="37"/>
  <c r="Q66" i="37"/>
  <c r="Q59" i="37"/>
  <c r="Q63" i="37"/>
  <c r="Q68" i="37"/>
  <c r="Q56" i="37"/>
  <c r="Q60" i="37"/>
  <c r="Q64" i="37"/>
  <c r="Q57" i="37"/>
  <c r="Q61" i="37"/>
  <c r="Q65" i="37"/>
  <c r="Q67" i="37"/>
  <c r="Q69" i="37"/>
  <c r="Q70" i="37"/>
  <c r="Q71" i="37"/>
  <c r="Q72" i="37"/>
  <c r="Q73" i="37"/>
  <c r="Q74" i="37"/>
  <c r="Q75" i="37"/>
  <c r="Q76" i="37"/>
  <c r="Q77" i="37"/>
  <c r="Q78" i="37"/>
  <c r="Q79" i="37"/>
  <c r="Q80" i="37"/>
  <c r="Q81" i="37"/>
  <c r="Q82" i="37"/>
  <c r="Q83" i="37"/>
  <c r="Q84" i="37"/>
  <c r="Q30" i="37"/>
  <c r="P96" i="37"/>
  <c r="P95" i="37"/>
  <c r="P94" i="37"/>
  <c r="P93" i="37"/>
  <c r="P92" i="37"/>
  <c r="P91" i="37"/>
  <c r="P90" i="37"/>
  <c r="P89" i="37"/>
  <c r="P88" i="37"/>
  <c r="P87" i="37"/>
  <c r="P86" i="37"/>
  <c r="P85" i="37"/>
  <c r="Q28" i="37"/>
  <c r="R29" i="37"/>
  <c r="R30" i="37" l="1"/>
  <c r="R31" i="37"/>
  <c r="R32" i="37"/>
  <c r="R33" i="37"/>
  <c r="R34" i="37"/>
  <c r="R35" i="37"/>
  <c r="R36" i="37"/>
  <c r="R37" i="37"/>
  <c r="R38" i="37"/>
  <c r="R39" i="37"/>
  <c r="R40" i="37"/>
  <c r="R41" i="37"/>
  <c r="R42" i="37"/>
  <c r="R44" i="37"/>
  <c r="R45" i="37"/>
  <c r="R46" i="37"/>
  <c r="R47" i="37"/>
  <c r="R48" i="37"/>
  <c r="R43" i="37"/>
  <c r="R50" i="37"/>
  <c r="R54" i="37"/>
  <c r="R56" i="37"/>
  <c r="R57" i="37"/>
  <c r="R58" i="37"/>
  <c r="R59" i="37"/>
  <c r="R60" i="37"/>
  <c r="R61" i="37"/>
  <c r="R62" i="37"/>
  <c r="R63" i="37"/>
  <c r="R64" i="37"/>
  <c r="R65" i="37"/>
  <c r="R66" i="37"/>
  <c r="R49" i="37"/>
  <c r="R51" i="37"/>
  <c r="R55" i="37"/>
  <c r="R52" i="37"/>
  <c r="R67" i="37"/>
  <c r="R69" i="37"/>
  <c r="R53" i="37"/>
  <c r="R68" i="37"/>
  <c r="R70" i="37"/>
  <c r="R71" i="37"/>
  <c r="R72" i="37"/>
  <c r="R73" i="37"/>
  <c r="R74" i="37"/>
  <c r="R75" i="37"/>
  <c r="R76" i="37"/>
  <c r="R77" i="37"/>
  <c r="R78" i="37"/>
  <c r="R79" i="37"/>
  <c r="R80" i="37"/>
  <c r="R81" i="37"/>
  <c r="R82" i="37"/>
  <c r="R83" i="37"/>
  <c r="R84" i="37"/>
  <c r="Q96" i="37"/>
  <c r="Q95" i="37"/>
  <c r="Q94" i="37"/>
  <c r="Q93" i="37"/>
  <c r="Q88" i="37"/>
  <c r="Q92" i="37"/>
  <c r="Q85" i="37"/>
  <c r="Q87" i="37"/>
  <c r="Q90" i="37"/>
  <c r="Q91" i="37"/>
  <c r="Q86" i="37"/>
  <c r="Q89" i="37"/>
  <c r="R28" i="37"/>
  <c r="S29" i="37"/>
  <c r="S30" i="37" l="1"/>
  <c r="S31" i="37"/>
  <c r="S33" i="37"/>
  <c r="S32" i="37"/>
  <c r="S34" i="37"/>
  <c r="S35" i="37"/>
  <c r="S37" i="37"/>
  <c r="S38" i="37"/>
  <c r="S39" i="37"/>
  <c r="S40" i="37"/>
  <c r="S41" i="37"/>
  <c r="S42" i="37"/>
  <c r="S43" i="37"/>
  <c r="S36" i="37"/>
  <c r="S44" i="37"/>
  <c r="S45" i="37"/>
  <c r="S46" i="37"/>
  <c r="S47" i="37"/>
  <c r="S48" i="37"/>
  <c r="S49" i="37"/>
  <c r="S50" i="37"/>
  <c r="S51" i="37"/>
  <c r="S52" i="37"/>
  <c r="S53" i="37"/>
  <c r="S54" i="37"/>
  <c r="S55" i="37"/>
  <c r="S56" i="37"/>
  <c r="S57" i="37"/>
  <c r="S58" i="37"/>
  <c r="S59" i="37"/>
  <c r="S60" i="37"/>
  <c r="S61" i="37"/>
  <c r="S62" i="37"/>
  <c r="S63" i="37"/>
  <c r="S64" i="37"/>
  <c r="S65" i="37"/>
  <c r="S66" i="37"/>
  <c r="S67" i="37"/>
  <c r="S68" i="37"/>
  <c r="S69" i="37"/>
  <c r="S70" i="37"/>
  <c r="S71" i="37"/>
  <c r="S72" i="37"/>
  <c r="S73" i="37"/>
  <c r="S74" i="37"/>
  <c r="S75" i="37"/>
  <c r="S76" i="37"/>
  <c r="S77" i="37"/>
  <c r="S78" i="37"/>
  <c r="S79" i="37"/>
  <c r="S80" i="37"/>
  <c r="S81" i="37"/>
  <c r="S82" i="37"/>
  <c r="S83" i="37"/>
  <c r="S84" i="37"/>
  <c r="R96" i="37"/>
  <c r="R95" i="37"/>
  <c r="R94" i="37"/>
  <c r="R93" i="37"/>
  <c r="R85" i="37"/>
  <c r="R91" i="37"/>
  <c r="R86" i="37"/>
  <c r="R90" i="37"/>
  <c r="R87" i="37"/>
  <c r="R89" i="37"/>
  <c r="R92" i="37"/>
  <c r="R88" i="37"/>
  <c r="S28" i="37"/>
  <c r="T29" i="37"/>
  <c r="T30" i="37" l="1"/>
  <c r="T32" i="37"/>
  <c r="T34" i="37"/>
  <c r="T35" i="37"/>
  <c r="T36" i="37"/>
  <c r="T31" i="37"/>
  <c r="T33" i="37"/>
  <c r="T38" i="37"/>
  <c r="T42" i="37"/>
  <c r="T39" i="37"/>
  <c r="T40" i="37"/>
  <c r="T43" i="37"/>
  <c r="T44" i="37"/>
  <c r="T45" i="37"/>
  <c r="T46" i="37"/>
  <c r="T47" i="37"/>
  <c r="T48" i="37"/>
  <c r="T49" i="37"/>
  <c r="T37" i="37"/>
  <c r="T50" i="37"/>
  <c r="T51" i="37"/>
  <c r="T52" i="37"/>
  <c r="T53" i="37"/>
  <c r="T54" i="37"/>
  <c r="T55" i="37"/>
  <c r="T41" i="37"/>
  <c r="T56" i="37"/>
  <c r="T57" i="37"/>
  <c r="T58" i="37"/>
  <c r="T59" i="37"/>
  <c r="T60" i="37"/>
  <c r="T61" i="37"/>
  <c r="T62" i="37"/>
  <c r="T63" i="37"/>
  <c r="T64" i="37"/>
  <c r="T65" i="37"/>
  <c r="T66" i="37"/>
  <c r="T67" i="37"/>
  <c r="T68" i="37"/>
  <c r="T69" i="37"/>
  <c r="T70" i="37"/>
  <c r="T71" i="37"/>
  <c r="T72" i="37"/>
  <c r="T73" i="37"/>
  <c r="T74" i="37"/>
  <c r="T75" i="37"/>
  <c r="T76" i="37"/>
  <c r="T77" i="37"/>
  <c r="T78" i="37"/>
  <c r="T79" i="37"/>
  <c r="T80" i="37"/>
  <c r="T81" i="37"/>
  <c r="T82" i="37"/>
  <c r="T83" i="37"/>
  <c r="T84" i="37"/>
  <c r="S96" i="37"/>
  <c r="S95" i="37"/>
  <c r="S94" i="37"/>
  <c r="S93" i="37"/>
  <c r="S92" i="37"/>
  <c r="S91" i="37"/>
  <c r="S90" i="37"/>
  <c r="S89" i="37"/>
  <c r="S88" i="37"/>
  <c r="S87" i="37"/>
  <c r="S86" i="37"/>
  <c r="S85" i="37"/>
  <c r="T28" i="37"/>
  <c r="U29" i="37"/>
  <c r="U30" i="37" l="1"/>
  <c r="U31" i="37"/>
  <c r="U32" i="37"/>
  <c r="U33" i="37"/>
  <c r="U34" i="37"/>
  <c r="U35" i="37"/>
  <c r="U36" i="37"/>
  <c r="U37" i="37"/>
  <c r="U38" i="37"/>
  <c r="U39" i="37"/>
  <c r="U40" i="37"/>
  <c r="U41" i="37"/>
  <c r="U42" i="37"/>
  <c r="U43" i="37"/>
  <c r="U47" i="37"/>
  <c r="U49" i="37"/>
  <c r="U44" i="37"/>
  <c r="U48" i="37"/>
  <c r="U45" i="37"/>
  <c r="U50" i="37"/>
  <c r="U51" i="37"/>
  <c r="U52" i="37"/>
  <c r="U53" i="37"/>
  <c r="U54" i="37"/>
  <c r="U55" i="37"/>
  <c r="U46" i="37"/>
  <c r="U57" i="37"/>
  <c r="U61" i="37"/>
  <c r="U65" i="37"/>
  <c r="U58" i="37"/>
  <c r="U62" i="37"/>
  <c r="U66" i="37"/>
  <c r="U67" i="37"/>
  <c r="U69" i="37"/>
  <c r="U59" i="37"/>
  <c r="U63" i="37"/>
  <c r="U56" i="37"/>
  <c r="U60" i="37"/>
  <c r="U64" i="37"/>
  <c r="U68" i="37"/>
  <c r="U70" i="37"/>
  <c r="U71" i="37"/>
  <c r="U72" i="37"/>
  <c r="U73" i="37"/>
  <c r="U74" i="37"/>
  <c r="U75" i="37"/>
  <c r="U76" i="37"/>
  <c r="U78" i="37"/>
  <c r="U79" i="37"/>
  <c r="U80" i="37"/>
  <c r="U81" i="37"/>
  <c r="U82" i="37"/>
  <c r="U83" i="37"/>
  <c r="U84" i="37"/>
  <c r="U77" i="37"/>
  <c r="T96" i="37"/>
  <c r="T95" i="37"/>
  <c r="T94" i="37"/>
  <c r="T89" i="37"/>
  <c r="T93" i="37"/>
  <c r="T91" i="37"/>
  <c r="T86" i="37"/>
  <c r="T88" i="37"/>
  <c r="T90" i="37"/>
  <c r="T85" i="37"/>
  <c r="T87" i="37"/>
  <c r="T92" i="37"/>
  <c r="U28" i="37"/>
  <c r="V29" i="37"/>
  <c r="V30" i="37" l="1"/>
  <c r="V31" i="37"/>
  <c r="V32" i="37"/>
  <c r="V33" i="37"/>
  <c r="V34" i="37"/>
  <c r="V35" i="37"/>
  <c r="V36" i="37"/>
  <c r="V37" i="37"/>
  <c r="V38" i="37"/>
  <c r="V39" i="37"/>
  <c r="V40" i="37"/>
  <c r="V41" i="37"/>
  <c r="V42" i="37"/>
  <c r="V44" i="37"/>
  <c r="V45" i="37"/>
  <c r="V46" i="37"/>
  <c r="V47" i="37"/>
  <c r="V48" i="37"/>
  <c r="V43" i="37"/>
  <c r="V49" i="37"/>
  <c r="V53" i="37"/>
  <c r="V56" i="37"/>
  <c r="V57" i="37"/>
  <c r="V58" i="37"/>
  <c r="V59" i="37"/>
  <c r="V60" i="37"/>
  <c r="V61" i="37"/>
  <c r="V62" i="37"/>
  <c r="V63" i="37"/>
  <c r="V64" i="37"/>
  <c r="V65" i="37"/>
  <c r="V66" i="37"/>
  <c r="V50" i="37"/>
  <c r="V54" i="37"/>
  <c r="V51" i="37"/>
  <c r="V55" i="37"/>
  <c r="V68" i="37"/>
  <c r="V52" i="37"/>
  <c r="V67" i="37"/>
  <c r="V69" i="37"/>
  <c r="V70" i="37"/>
  <c r="V71" i="37"/>
  <c r="V72" i="37"/>
  <c r="V73" i="37"/>
  <c r="V74" i="37"/>
  <c r="V75" i="37"/>
  <c r="V76" i="37"/>
  <c r="V77" i="37"/>
  <c r="V84" i="37"/>
  <c r="V78" i="37"/>
  <c r="V79" i="37"/>
  <c r="V80" i="37"/>
  <c r="V81" i="37"/>
  <c r="V82" i="37"/>
  <c r="V83" i="37"/>
  <c r="U96" i="37"/>
  <c r="U95" i="37"/>
  <c r="U94" i="37"/>
  <c r="U93" i="37"/>
  <c r="U92" i="37"/>
  <c r="U91" i="37"/>
  <c r="U90" i="37"/>
  <c r="U89" i="37"/>
  <c r="U86" i="37"/>
  <c r="U87" i="37"/>
  <c r="U85" i="37"/>
  <c r="U88" i="37"/>
  <c r="V28" i="37"/>
  <c r="W29" i="37"/>
  <c r="E19" i="20"/>
  <c r="E9" i="20"/>
  <c r="E6" i="20"/>
  <c r="W30" i="37" l="1"/>
  <c r="W32" i="37"/>
  <c r="W36" i="37"/>
  <c r="W31" i="37"/>
  <c r="W34" i="37"/>
  <c r="W37" i="37"/>
  <c r="W38" i="37"/>
  <c r="W39" i="37"/>
  <c r="W40" i="37"/>
  <c r="W41" i="37"/>
  <c r="W42" i="37"/>
  <c r="W43" i="37"/>
  <c r="W44" i="37"/>
  <c r="W45" i="37"/>
  <c r="W46" i="37"/>
  <c r="W47" i="37"/>
  <c r="W48" i="37"/>
  <c r="W49" i="37"/>
  <c r="W50" i="37"/>
  <c r="W51" i="37"/>
  <c r="W52" i="37"/>
  <c r="W53" i="37"/>
  <c r="W54" i="37"/>
  <c r="W55" i="37"/>
  <c r="W33" i="37"/>
  <c r="W35" i="37"/>
  <c r="W56" i="37"/>
  <c r="W57" i="37"/>
  <c r="W58" i="37"/>
  <c r="W59" i="37"/>
  <c r="W60" i="37"/>
  <c r="W61" i="37"/>
  <c r="W62" i="37"/>
  <c r="W63" i="37"/>
  <c r="W64" i="37"/>
  <c r="W65" i="37"/>
  <c r="W66" i="37"/>
  <c r="W67" i="37"/>
  <c r="W68" i="37"/>
  <c r="W69" i="37"/>
  <c r="W70" i="37"/>
  <c r="W71" i="37"/>
  <c r="W72" i="37"/>
  <c r="W73" i="37"/>
  <c r="W74" i="37"/>
  <c r="W75" i="37"/>
  <c r="W76" i="37"/>
  <c r="W77" i="37"/>
  <c r="W78" i="37"/>
  <c r="W79" i="37"/>
  <c r="W80" i="37"/>
  <c r="W81" i="37"/>
  <c r="W82" i="37"/>
  <c r="W83" i="37"/>
  <c r="W84" i="37"/>
  <c r="V96" i="37"/>
  <c r="V95" i="37"/>
  <c r="V94" i="37"/>
  <c r="V93" i="37"/>
  <c r="V91" i="37"/>
  <c r="V87" i="37"/>
  <c r="V90" i="37"/>
  <c r="V88" i="37"/>
  <c r="V85" i="37"/>
  <c r="V86" i="37"/>
  <c r="V89" i="37"/>
  <c r="V92" i="37"/>
  <c r="W28" i="37"/>
  <c r="X29" i="37"/>
  <c r="E17" i="20"/>
  <c r="E15" i="20"/>
  <c r="E12" i="20"/>
  <c r="E11" i="20"/>
  <c r="E8" i="20"/>
  <c r="E5" i="20"/>
  <c r="X31" i="37" l="1"/>
  <c r="X33" i="37"/>
  <c r="X34" i="37"/>
  <c r="X35" i="37"/>
  <c r="X30" i="37"/>
  <c r="X32" i="37"/>
  <c r="X36" i="37"/>
  <c r="X37" i="37"/>
  <c r="X41" i="37"/>
  <c r="X38" i="37"/>
  <c r="X42" i="37"/>
  <c r="X43" i="37"/>
  <c r="X39" i="37"/>
  <c r="X44" i="37"/>
  <c r="X45" i="37"/>
  <c r="X46" i="37"/>
  <c r="X47" i="37"/>
  <c r="X48" i="37"/>
  <c r="X49" i="37"/>
  <c r="X40" i="37"/>
  <c r="X50" i="37"/>
  <c r="X51" i="37"/>
  <c r="X52" i="37"/>
  <c r="X53" i="37"/>
  <c r="X54" i="37"/>
  <c r="X55" i="37"/>
  <c r="X56" i="37"/>
  <c r="X57" i="37"/>
  <c r="X58" i="37"/>
  <c r="X59" i="37"/>
  <c r="X60" i="37"/>
  <c r="X61" i="37"/>
  <c r="X62" i="37"/>
  <c r="X63" i="37"/>
  <c r="X64" i="37"/>
  <c r="X65" i="37"/>
  <c r="X66" i="37"/>
  <c r="X67" i="37"/>
  <c r="X68" i="37"/>
  <c r="X69" i="37"/>
  <c r="X70" i="37"/>
  <c r="X71" i="37"/>
  <c r="X72" i="37"/>
  <c r="X73" i="37"/>
  <c r="X74" i="37"/>
  <c r="X75" i="37"/>
  <c r="X76" i="37"/>
  <c r="X77" i="37"/>
  <c r="X78" i="37"/>
  <c r="X79" i="37"/>
  <c r="X80" i="37"/>
  <c r="X81" i="37"/>
  <c r="X82" i="37"/>
  <c r="X83" i="37"/>
  <c r="X84" i="37"/>
  <c r="W96" i="37"/>
  <c r="W95" i="37"/>
  <c r="W94" i="37"/>
  <c r="W93" i="37"/>
  <c r="W92" i="37"/>
  <c r="W87" i="37"/>
  <c r="W90" i="37"/>
  <c r="W88" i="37"/>
  <c r="W89" i="37"/>
  <c r="W91" i="37"/>
  <c r="W85" i="37"/>
  <c r="W86" i="37"/>
  <c r="X28" i="37"/>
  <c r="Y29" i="37"/>
  <c r="E11" i="18"/>
  <c r="E10" i="18"/>
  <c r="E9" i="18"/>
  <c r="E8" i="18"/>
  <c r="E7" i="18"/>
  <c r="E6" i="18"/>
  <c r="Y30" i="37" l="1"/>
  <c r="Y31" i="37"/>
  <c r="Y32" i="37"/>
  <c r="Y33" i="37"/>
  <c r="Y34" i="37"/>
  <c r="Y35" i="37"/>
  <c r="Y36" i="37"/>
  <c r="Y37" i="37"/>
  <c r="Y38" i="37"/>
  <c r="Y39" i="37"/>
  <c r="Y40" i="37"/>
  <c r="Y41" i="37"/>
  <c r="Y42" i="37"/>
  <c r="Y43" i="37"/>
  <c r="Y46" i="37"/>
  <c r="Y47" i="37"/>
  <c r="Y44" i="37"/>
  <c r="Y48" i="37"/>
  <c r="Y49" i="37"/>
  <c r="Y50" i="37"/>
  <c r="Y51" i="37"/>
  <c r="Y52" i="37"/>
  <c r="Y53" i="37"/>
  <c r="Y54" i="37"/>
  <c r="Y55" i="37"/>
  <c r="Y45" i="37"/>
  <c r="Y56" i="37"/>
  <c r="Y60" i="37"/>
  <c r="Y64" i="37"/>
  <c r="Y57" i="37"/>
  <c r="Y61" i="37"/>
  <c r="Y65" i="37"/>
  <c r="Y68" i="37"/>
  <c r="Y58" i="37"/>
  <c r="Y62" i="37"/>
  <c r="Y59" i="37"/>
  <c r="Y63" i="37"/>
  <c r="Y67" i="37"/>
  <c r="Y66" i="37"/>
  <c r="Y69" i="37"/>
  <c r="Y70" i="37"/>
  <c r="Y71" i="37"/>
  <c r="Y72" i="37"/>
  <c r="Y73" i="37"/>
  <c r="Y74" i="37"/>
  <c r="Y75" i="37"/>
  <c r="Y76" i="37"/>
  <c r="Y77" i="37"/>
  <c r="Y78" i="37"/>
  <c r="Y79" i="37"/>
  <c r="Y80" i="37"/>
  <c r="Y81" i="37"/>
  <c r="Y82" i="37"/>
  <c r="Y83" i="37"/>
  <c r="Y84" i="37"/>
  <c r="X96" i="37"/>
  <c r="X95" i="37"/>
  <c r="X94" i="37"/>
  <c r="X92" i="37"/>
  <c r="X85" i="37"/>
  <c r="X90" i="37"/>
  <c r="X88" i="37"/>
  <c r="X93" i="37"/>
  <c r="X89" i="37"/>
  <c r="X86" i="37"/>
  <c r="X91" i="37"/>
  <c r="X87" i="37"/>
  <c r="Y28" i="37"/>
  <c r="Z29" i="37"/>
  <c r="Z30" i="37" l="1"/>
  <c r="Z31" i="37"/>
  <c r="Z32" i="37"/>
  <c r="Z33" i="37"/>
  <c r="Z34" i="37"/>
  <c r="Z35" i="37"/>
  <c r="Z37" i="37"/>
  <c r="Z38" i="37"/>
  <c r="Z39" i="37"/>
  <c r="Z40" i="37"/>
  <c r="Z41" i="37"/>
  <c r="Z42" i="37"/>
  <c r="Z36" i="37"/>
  <c r="Z44" i="37"/>
  <c r="Z45" i="37"/>
  <c r="Z46" i="37"/>
  <c r="Z47" i="37"/>
  <c r="Z48" i="37"/>
  <c r="Z43" i="37"/>
  <c r="Z52" i="37"/>
  <c r="Z56" i="37"/>
  <c r="Z57" i="37"/>
  <c r="Z58" i="37"/>
  <c r="Z59" i="37"/>
  <c r="Z60" i="37"/>
  <c r="Z61" i="37"/>
  <c r="Z62" i="37"/>
  <c r="Z63" i="37"/>
  <c r="Z64" i="37"/>
  <c r="Z65" i="37"/>
  <c r="Z66" i="37"/>
  <c r="Z53" i="37"/>
  <c r="Z49" i="37"/>
  <c r="Z50" i="37"/>
  <c r="Z54" i="37"/>
  <c r="Z51" i="37"/>
  <c r="Z67" i="37"/>
  <c r="Z69" i="37"/>
  <c r="Z55" i="37"/>
  <c r="Z68" i="37"/>
  <c r="Z70" i="37"/>
  <c r="Z71" i="37"/>
  <c r="Z72" i="37"/>
  <c r="Z73" i="37"/>
  <c r="Z74" i="37"/>
  <c r="Z75" i="37"/>
  <c r="Z76" i="37"/>
  <c r="Z83" i="37"/>
  <c r="Z77" i="37"/>
  <c r="Z78" i="37"/>
  <c r="Z79" i="37"/>
  <c r="Z80" i="37"/>
  <c r="Z81" i="37"/>
  <c r="Z82" i="37"/>
  <c r="Z84" i="37"/>
  <c r="Y96" i="37"/>
  <c r="Y95" i="37"/>
  <c r="Y94" i="37"/>
  <c r="Y93" i="37"/>
  <c r="Y90" i="37"/>
  <c r="Y88" i="37"/>
  <c r="Y87" i="37"/>
  <c r="Y92" i="37"/>
  <c r="Y86" i="37"/>
  <c r="Y89" i="37"/>
  <c r="Y85" i="37"/>
  <c r="Y91" i="37"/>
  <c r="Z28" i="37"/>
  <c r="AA29" i="37"/>
  <c r="AA30" i="37" s="1"/>
  <c r="AA31" i="37" l="1"/>
  <c r="AA33" i="37"/>
  <c r="AA35" i="37"/>
  <c r="AA32" i="37"/>
  <c r="AA37" i="37"/>
  <c r="AA38" i="37"/>
  <c r="AA39" i="37"/>
  <c r="AA40" i="37"/>
  <c r="AA41" i="37"/>
  <c r="AA42" i="37"/>
  <c r="AA36" i="37"/>
  <c r="AA44" i="37"/>
  <c r="AA45" i="37"/>
  <c r="AA46" i="37"/>
  <c r="AA47" i="37"/>
  <c r="AA48" i="37"/>
  <c r="AA49" i="37"/>
  <c r="AA34" i="37"/>
  <c r="AA50" i="37"/>
  <c r="AA51" i="37"/>
  <c r="AA52" i="37"/>
  <c r="AA53" i="37"/>
  <c r="AA54" i="37"/>
  <c r="AA55" i="37"/>
  <c r="AA43" i="37"/>
  <c r="AA56" i="37"/>
  <c r="AA57" i="37"/>
  <c r="AA58" i="37"/>
  <c r="AA59" i="37"/>
  <c r="AA60" i="37"/>
  <c r="AA61" i="37"/>
  <c r="AA62" i="37"/>
  <c r="AA63" i="37"/>
  <c r="AA64" i="37"/>
  <c r="AA65" i="37"/>
  <c r="AA66" i="37"/>
  <c r="AA67" i="37"/>
  <c r="AA68" i="37"/>
  <c r="AA69" i="37"/>
  <c r="AA70" i="37"/>
  <c r="AA71" i="37"/>
  <c r="AA72" i="37"/>
  <c r="AA73" i="37"/>
  <c r="AA74" i="37"/>
  <c r="AA75" i="37"/>
  <c r="AA76" i="37"/>
  <c r="AA77" i="37"/>
  <c r="AA78" i="37"/>
  <c r="AA79" i="37"/>
  <c r="AA80" i="37"/>
  <c r="AA81" i="37"/>
  <c r="AA82" i="37"/>
  <c r="AA83" i="37"/>
  <c r="AA84" i="37"/>
  <c r="Z96" i="37"/>
  <c r="Z95" i="37"/>
  <c r="Z94" i="37"/>
  <c r="Z86" i="37"/>
  <c r="Z93" i="37"/>
  <c r="Z89" i="37"/>
  <c r="Z92" i="37"/>
  <c r="Z85" i="37"/>
  <c r="Z91" i="37"/>
  <c r="Z87" i="37"/>
  <c r="Z88" i="37"/>
  <c r="Z90" i="37"/>
  <c r="AA28" i="37"/>
  <c r="AB29" i="37"/>
  <c r="E22" i="22"/>
  <c r="E20" i="22"/>
  <c r="E19" i="22"/>
  <c r="E18" i="22"/>
  <c r="E17" i="22"/>
  <c r="E16" i="22"/>
  <c r="E15" i="22"/>
  <c r="E14" i="22"/>
  <c r="E13" i="22"/>
  <c r="E12" i="22"/>
  <c r="E11" i="22"/>
  <c r="E9" i="22"/>
  <c r="E8" i="22"/>
  <c r="E7" i="22"/>
  <c r="E6" i="22"/>
  <c r="E5" i="22"/>
  <c r="E4" i="22"/>
  <c r="AB30" i="37" l="1"/>
  <c r="AB32" i="37"/>
  <c r="AB34" i="37"/>
  <c r="AB35" i="37"/>
  <c r="AB31" i="37"/>
  <c r="AB33" i="37"/>
  <c r="AB36" i="37"/>
  <c r="AB40" i="37"/>
  <c r="AB43" i="37"/>
  <c r="AB37" i="37"/>
  <c r="AB41" i="37"/>
  <c r="AB38" i="37"/>
  <c r="AB42" i="37"/>
  <c r="AB44" i="37"/>
  <c r="AB45" i="37"/>
  <c r="AB46" i="37"/>
  <c r="AB47" i="37"/>
  <c r="AB48" i="37"/>
  <c r="AB49" i="37"/>
  <c r="AB39" i="37"/>
  <c r="AB50" i="37"/>
  <c r="AB51" i="37"/>
  <c r="AB52" i="37"/>
  <c r="AB53" i="37"/>
  <c r="AB54" i="37"/>
  <c r="AB55" i="37"/>
  <c r="AB56" i="37"/>
  <c r="AB57" i="37"/>
  <c r="AB58" i="37"/>
  <c r="AB59" i="37"/>
  <c r="AB60" i="37"/>
  <c r="AB61" i="37"/>
  <c r="AB62" i="37"/>
  <c r="AB63" i="37"/>
  <c r="AB64" i="37"/>
  <c r="AB65" i="37"/>
  <c r="AB66" i="37"/>
  <c r="AB67" i="37"/>
  <c r="AB68" i="37"/>
  <c r="AB69" i="37"/>
  <c r="AB70" i="37"/>
  <c r="AB71" i="37"/>
  <c r="AB72" i="37"/>
  <c r="AB73" i="37"/>
  <c r="AB74" i="37"/>
  <c r="AB75" i="37"/>
  <c r="AB76" i="37"/>
  <c r="AB77" i="37"/>
  <c r="AB78" i="37"/>
  <c r="AB79" i="37"/>
  <c r="AB80" i="37"/>
  <c r="AB81" i="37"/>
  <c r="AB82" i="37"/>
  <c r="AB83" i="37"/>
  <c r="AB84" i="37"/>
  <c r="AA95" i="37"/>
  <c r="AA93" i="37"/>
  <c r="AA91" i="37"/>
  <c r="AA96" i="37"/>
  <c r="AA89" i="37"/>
  <c r="AA94" i="37"/>
  <c r="AA92" i="37"/>
  <c r="AA86" i="37"/>
  <c r="AA87" i="37"/>
  <c r="AA88" i="37"/>
  <c r="AA90" i="37"/>
  <c r="AA85" i="37"/>
  <c r="AB28" i="37"/>
  <c r="AC29" i="37"/>
  <c r="F23" i="22"/>
  <c r="G11" i="37" s="1"/>
  <c r="H11" i="37" s="1"/>
  <c r="E12" i="18"/>
  <c r="E5" i="18"/>
  <c r="F44" i="20"/>
  <c r="E28" i="20"/>
  <c r="E27" i="20"/>
  <c r="E25" i="20"/>
  <c r="E24" i="20"/>
  <c r="E23" i="20"/>
  <c r="E22" i="20"/>
  <c r="E21" i="20"/>
  <c r="E20" i="20"/>
  <c r="E18" i="20"/>
  <c r="E16" i="20"/>
  <c r="E14" i="20"/>
  <c r="E13" i="20"/>
  <c r="E10" i="20"/>
  <c r="E7" i="20"/>
  <c r="E4" i="20"/>
  <c r="F30" i="20" l="1"/>
  <c r="AC30" i="37"/>
  <c r="AC31" i="37"/>
  <c r="AC32" i="37"/>
  <c r="AC33" i="37"/>
  <c r="AC34" i="37"/>
  <c r="AC35" i="37"/>
  <c r="AC36" i="37"/>
  <c r="AC37" i="37"/>
  <c r="AC38" i="37"/>
  <c r="AC39" i="37"/>
  <c r="AC40" i="37"/>
  <c r="AC41" i="37"/>
  <c r="AC42" i="37"/>
  <c r="AC43" i="37"/>
  <c r="AC45" i="37"/>
  <c r="AC49" i="37"/>
  <c r="AC46" i="37"/>
  <c r="AC47" i="37"/>
  <c r="AC50" i="37"/>
  <c r="AC51" i="37"/>
  <c r="AC52" i="37"/>
  <c r="AC53" i="37"/>
  <c r="AC54" i="37"/>
  <c r="AC55" i="37"/>
  <c r="AC48" i="37"/>
  <c r="AC59" i="37"/>
  <c r="AC63" i="37"/>
  <c r="AC56" i="37"/>
  <c r="AC60" i="37"/>
  <c r="AC64" i="37"/>
  <c r="AC67" i="37"/>
  <c r="AC69" i="37"/>
  <c r="AC57" i="37"/>
  <c r="AC61" i="37"/>
  <c r="AC44" i="37"/>
  <c r="AC58" i="37"/>
  <c r="AC62" i="37"/>
  <c r="AC66" i="37"/>
  <c r="AC65" i="37"/>
  <c r="AC68" i="37"/>
  <c r="AC70" i="37"/>
  <c r="AC71" i="37"/>
  <c r="AC72" i="37"/>
  <c r="AC73" i="37"/>
  <c r="AC74" i="37"/>
  <c r="AC75" i="37"/>
  <c r="AC76" i="37"/>
  <c r="AC78" i="37"/>
  <c r="AC79" i="37"/>
  <c r="AC80" i="37"/>
  <c r="AC81" i="37"/>
  <c r="AC82" i="37"/>
  <c r="AC83" i="37"/>
  <c r="AC84" i="37"/>
  <c r="AC77" i="37"/>
  <c r="O11" i="37"/>
  <c r="AB96" i="37"/>
  <c r="AB95" i="37"/>
  <c r="AB94" i="37"/>
  <c r="AB93" i="37"/>
  <c r="AB92" i="37"/>
  <c r="AB91" i="37"/>
  <c r="AB90" i="37"/>
  <c r="AB89" i="37"/>
  <c r="AB88" i="37"/>
  <c r="AB87" i="37"/>
  <c r="AB86" i="37"/>
  <c r="AB85" i="37"/>
  <c r="AC28" i="37"/>
  <c r="AD29" i="37"/>
  <c r="H8" i="37"/>
  <c r="O8" i="37" s="1"/>
  <c r="G12" i="37"/>
  <c r="H12" i="37" s="1"/>
  <c r="O12" i="37" s="1"/>
  <c r="F32" i="1"/>
  <c r="AD30" i="37" l="1"/>
  <c r="AD31" i="37"/>
  <c r="AD32" i="37"/>
  <c r="AD33" i="37"/>
  <c r="AD34" i="37"/>
  <c r="AD35" i="37"/>
  <c r="AD36" i="37"/>
  <c r="AD37" i="37"/>
  <c r="AD38" i="37"/>
  <c r="AD39" i="37"/>
  <c r="AD40" i="37"/>
  <c r="AD41" i="37"/>
  <c r="AD42" i="37"/>
  <c r="AD44" i="37"/>
  <c r="AD45" i="37"/>
  <c r="AD46" i="37"/>
  <c r="AD47" i="37"/>
  <c r="AD48" i="37"/>
  <c r="AD43" i="37"/>
  <c r="AD49" i="37"/>
  <c r="AD51" i="37"/>
  <c r="AD55" i="37"/>
  <c r="AD56" i="37"/>
  <c r="AD57" i="37"/>
  <c r="AD58" i="37"/>
  <c r="AD59" i="37"/>
  <c r="AD60" i="37"/>
  <c r="AD61" i="37"/>
  <c r="AD62" i="37"/>
  <c r="AD63" i="37"/>
  <c r="AD64" i="37"/>
  <c r="AD65" i="37"/>
  <c r="AD66" i="37"/>
  <c r="AD52" i="37"/>
  <c r="AD53" i="37"/>
  <c r="AD54" i="37"/>
  <c r="AD68" i="37"/>
  <c r="AD50" i="37"/>
  <c r="AD67" i="37"/>
  <c r="AD69" i="37"/>
  <c r="AD70" i="37"/>
  <c r="AD71" i="37"/>
  <c r="AD72" i="37"/>
  <c r="AD73" i="37"/>
  <c r="AD74" i="37"/>
  <c r="AD75" i="37"/>
  <c r="AD76" i="37"/>
  <c r="AD77" i="37"/>
  <c r="AD84" i="37"/>
  <c r="AD78" i="37"/>
  <c r="AD79" i="37"/>
  <c r="AD80" i="37"/>
  <c r="AD81" i="37"/>
  <c r="AD82" i="37"/>
  <c r="AD83" i="37"/>
  <c r="AC96" i="37"/>
  <c r="AC95" i="37"/>
  <c r="AC94" i="37"/>
  <c r="AC93" i="37"/>
  <c r="AC87" i="37"/>
  <c r="AC89" i="37"/>
  <c r="AC86" i="37"/>
  <c r="AC90" i="37"/>
  <c r="AC88" i="37"/>
  <c r="AC85" i="37"/>
  <c r="AC91" i="37"/>
  <c r="AC92" i="37"/>
  <c r="AE29" i="37"/>
  <c r="AD28" i="37"/>
  <c r="G49" i="20"/>
  <c r="AE30" i="37" l="1"/>
  <c r="AE32" i="37"/>
  <c r="AE33" i="37"/>
  <c r="AE34" i="37"/>
  <c r="AE35" i="37"/>
  <c r="AE36" i="37"/>
  <c r="AE37" i="37"/>
  <c r="AE38" i="37"/>
  <c r="AE39" i="37"/>
  <c r="AE40" i="37"/>
  <c r="AE41" i="37"/>
  <c r="AE42" i="37"/>
  <c r="AE44" i="37"/>
  <c r="AE45" i="37"/>
  <c r="AE46" i="37"/>
  <c r="AE47" i="37"/>
  <c r="AE48" i="37"/>
  <c r="AE49" i="37"/>
  <c r="AE31" i="37"/>
  <c r="AE43" i="37"/>
  <c r="AE50" i="37"/>
  <c r="AE51" i="37"/>
  <c r="AE52" i="37"/>
  <c r="AE53" i="37"/>
  <c r="AE54" i="37"/>
  <c r="AE55" i="37"/>
  <c r="AE56" i="37"/>
  <c r="AE57" i="37"/>
  <c r="AE58" i="37"/>
  <c r="AE59" i="37"/>
  <c r="AE60" i="37"/>
  <c r="AE61" i="37"/>
  <c r="AE62" i="37"/>
  <c r="AE63" i="37"/>
  <c r="AE64" i="37"/>
  <c r="AE65" i="37"/>
  <c r="AE66" i="37"/>
  <c r="AE67" i="37"/>
  <c r="AE68" i="37"/>
  <c r="AE69" i="37"/>
  <c r="AE70" i="37"/>
  <c r="AE71" i="37"/>
  <c r="AE72" i="37"/>
  <c r="AE73" i="37"/>
  <c r="AE74" i="37"/>
  <c r="AE75" i="37"/>
  <c r="AE76" i="37"/>
  <c r="AE77" i="37"/>
  <c r="AE78" i="37"/>
  <c r="AE79" i="37"/>
  <c r="AE80" i="37"/>
  <c r="AE81" i="37"/>
  <c r="AE82" i="37"/>
  <c r="AE83" i="37"/>
  <c r="AE84" i="37"/>
  <c r="AD96" i="37"/>
  <c r="AD95" i="37"/>
  <c r="AD94" i="37"/>
  <c r="AD92" i="37"/>
  <c r="AD85" i="37"/>
  <c r="AD91" i="37"/>
  <c r="AD90" i="37"/>
  <c r="AD87" i="37"/>
  <c r="AD86" i="37"/>
  <c r="AD88" i="37"/>
  <c r="AD93" i="37"/>
  <c r="AD89" i="37"/>
  <c r="AE28" i="37"/>
  <c r="AF29" i="37"/>
  <c r="AF31" i="37" l="1"/>
  <c r="AF33" i="37"/>
  <c r="AF34" i="37"/>
  <c r="AF35" i="37"/>
  <c r="AF30" i="37"/>
  <c r="AF32" i="37"/>
  <c r="AF39" i="37"/>
  <c r="AF40" i="37"/>
  <c r="AF36" i="37"/>
  <c r="AF37" i="37"/>
  <c r="AF41" i="37"/>
  <c r="AF44" i="37"/>
  <c r="AF45" i="37"/>
  <c r="AF46" i="37"/>
  <c r="AF47" i="37"/>
  <c r="AF48" i="37"/>
  <c r="AF49" i="37"/>
  <c r="AF42" i="37"/>
  <c r="AF50" i="37"/>
  <c r="AF51" i="37"/>
  <c r="AF52" i="37"/>
  <c r="AF53" i="37"/>
  <c r="AF54" i="37"/>
  <c r="AF55" i="37"/>
  <c r="AF43" i="37"/>
  <c r="AF56" i="37"/>
  <c r="AF57" i="37"/>
  <c r="AF58" i="37"/>
  <c r="AF59" i="37"/>
  <c r="AF60" i="37"/>
  <c r="AF61" i="37"/>
  <c r="AF62" i="37"/>
  <c r="AF63" i="37"/>
  <c r="AF64" i="37"/>
  <c r="AF65" i="37"/>
  <c r="AF66" i="37"/>
  <c r="AF67" i="37"/>
  <c r="AF68" i="37"/>
  <c r="AF69" i="37"/>
  <c r="AF38" i="37"/>
  <c r="AF70" i="37"/>
  <c r="AF71" i="37"/>
  <c r="AF72" i="37"/>
  <c r="AF73" i="37"/>
  <c r="AF74" i="37"/>
  <c r="AF75" i="37"/>
  <c r="AF76" i="37"/>
  <c r="AF77" i="37"/>
  <c r="AF78" i="37"/>
  <c r="AF79" i="37"/>
  <c r="AF80" i="37"/>
  <c r="AF81" i="37"/>
  <c r="AF82" i="37"/>
  <c r="AF83" i="37"/>
  <c r="AF84" i="37"/>
  <c r="AE96" i="37"/>
  <c r="AE95" i="37"/>
  <c r="AE94" i="37"/>
  <c r="AE93" i="37"/>
  <c r="AE92" i="37"/>
  <c r="AE91" i="37"/>
  <c r="AE90" i="37"/>
  <c r="AE89" i="37"/>
  <c r="AE88" i="37"/>
  <c r="AE87" i="37"/>
  <c r="AE86" i="37"/>
  <c r="AE85" i="37"/>
  <c r="AF28" i="37"/>
  <c r="AG29" i="37"/>
  <c r="E4" i="18"/>
  <c r="AG30" i="37" l="1"/>
  <c r="AG31" i="37"/>
  <c r="AG32" i="37"/>
  <c r="AG33" i="37"/>
  <c r="AG34" i="37"/>
  <c r="AG35" i="37"/>
  <c r="AG36" i="37"/>
  <c r="AG37" i="37"/>
  <c r="AG38" i="37"/>
  <c r="AG39" i="37"/>
  <c r="AG40" i="37"/>
  <c r="AG41" i="37"/>
  <c r="AG42" i="37"/>
  <c r="AG43" i="37"/>
  <c r="AG44" i="37"/>
  <c r="AG48" i="37"/>
  <c r="AG45" i="37"/>
  <c r="AG46" i="37"/>
  <c r="AG49" i="37"/>
  <c r="AG50" i="37"/>
  <c r="AG51" i="37"/>
  <c r="AG52" i="37"/>
  <c r="AG53" i="37"/>
  <c r="AG54" i="37"/>
  <c r="AG55" i="37"/>
  <c r="AG58" i="37"/>
  <c r="AG62" i="37"/>
  <c r="AG66" i="37"/>
  <c r="AG59" i="37"/>
  <c r="AG63" i="37"/>
  <c r="AG68" i="37"/>
  <c r="AG56" i="37"/>
  <c r="AG60" i="37"/>
  <c r="AG64" i="37"/>
  <c r="AG47" i="37"/>
  <c r="AG57" i="37"/>
  <c r="AG61" i="37"/>
  <c r="AG65" i="37"/>
  <c r="AG67" i="37"/>
  <c r="AG69" i="37"/>
  <c r="AG70" i="37"/>
  <c r="AG71" i="37"/>
  <c r="AG72" i="37"/>
  <c r="AG73" i="37"/>
  <c r="AG74" i="37"/>
  <c r="AG75" i="37"/>
  <c r="AG76" i="37"/>
  <c r="AG77" i="37"/>
  <c r="AG78" i="37"/>
  <c r="AG79" i="37"/>
  <c r="AG80" i="37"/>
  <c r="AG81" i="37"/>
  <c r="AG82" i="37"/>
  <c r="AG83" i="37"/>
  <c r="AG84" i="37"/>
  <c r="AF96" i="37"/>
  <c r="AF95" i="37"/>
  <c r="AF94" i="37"/>
  <c r="AF90" i="37"/>
  <c r="AF88" i="37"/>
  <c r="AF92" i="37"/>
  <c r="AF85" i="37"/>
  <c r="AF93" i="37"/>
  <c r="AF87" i="37"/>
  <c r="AF89" i="37"/>
  <c r="AF86" i="37"/>
  <c r="AF91" i="37"/>
  <c r="AG28" i="37"/>
  <c r="AH29" i="37"/>
  <c r="F13" i="18"/>
  <c r="G26" i="37" s="1"/>
  <c r="H26" i="37" s="1"/>
  <c r="J3" i="37" s="1"/>
  <c r="M3" i="37" s="1"/>
  <c r="F36" i="1"/>
  <c r="AH30" i="37" l="1"/>
  <c r="AH31" i="37"/>
  <c r="AH32" i="37"/>
  <c r="AH33" i="37"/>
  <c r="AH34" i="37"/>
  <c r="AH35" i="37"/>
  <c r="AH36" i="37"/>
  <c r="AH37" i="37"/>
  <c r="AH38" i="37"/>
  <c r="AH39" i="37"/>
  <c r="AH40" i="37"/>
  <c r="AH41" i="37"/>
  <c r="AH42" i="37"/>
  <c r="AH43" i="37"/>
  <c r="AH44" i="37"/>
  <c r="AH45" i="37"/>
  <c r="AH46" i="37"/>
  <c r="AH47" i="37"/>
  <c r="AH48" i="37"/>
  <c r="AH50" i="37"/>
  <c r="AH54" i="37"/>
  <c r="AH56" i="37"/>
  <c r="AH57" i="37"/>
  <c r="AH58" i="37"/>
  <c r="AH59" i="37"/>
  <c r="AH60" i="37"/>
  <c r="AH61" i="37"/>
  <c r="AH62" i="37"/>
  <c r="AH63" i="37"/>
  <c r="AH64" i="37"/>
  <c r="AH65" i="37"/>
  <c r="AH66" i="37"/>
  <c r="AH51" i="37"/>
  <c r="AH52" i="37"/>
  <c r="AH55" i="37"/>
  <c r="AH67" i="37"/>
  <c r="AH69" i="37"/>
  <c r="AH49" i="37"/>
  <c r="AH53" i="37"/>
  <c r="AH68" i="37"/>
  <c r="AH70" i="37"/>
  <c r="AH71" i="37"/>
  <c r="AH72" i="37"/>
  <c r="AH73" i="37"/>
  <c r="AH74" i="37"/>
  <c r="AH75" i="37"/>
  <c r="AH76" i="37"/>
  <c r="AH83" i="37"/>
  <c r="AH77" i="37"/>
  <c r="AH78" i="37"/>
  <c r="AH79" i="37"/>
  <c r="AH80" i="37"/>
  <c r="AH81" i="37"/>
  <c r="AH82" i="37"/>
  <c r="AH84" i="37"/>
  <c r="AG96" i="37"/>
  <c r="AG95" i="37"/>
  <c r="AG94" i="37"/>
  <c r="AG93" i="37"/>
  <c r="AG92" i="37"/>
  <c r="AG91" i="37"/>
  <c r="AG90" i="37"/>
  <c r="AG89" i="37"/>
  <c r="AG85" i="37"/>
  <c r="AG86" i="37"/>
  <c r="AG88" i="37"/>
  <c r="AG87" i="37"/>
  <c r="AH28" i="37"/>
  <c r="AI29" i="37"/>
  <c r="F7" i="1"/>
  <c r="AI31" i="37" l="1"/>
  <c r="AI33" i="37"/>
  <c r="AI30" i="37"/>
  <c r="AI34" i="37"/>
  <c r="AI36" i="37"/>
  <c r="AI32" i="37"/>
  <c r="AI35" i="37"/>
  <c r="AI37" i="37"/>
  <c r="AI38" i="37"/>
  <c r="AI39" i="37"/>
  <c r="AI40" i="37"/>
  <c r="AI41" i="37"/>
  <c r="AI42" i="37"/>
  <c r="AI43" i="37"/>
  <c r="AI44" i="37"/>
  <c r="AI45" i="37"/>
  <c r="AI46" i="37"/>
  <c r="AI47" i="37"/>
  <c r="AI48" i="37"/>
  <c r="AI49" i="37"/>
  <c r="AI50" i="37"/>
  <c r="AI51" i="37"/>
  <c r="AI52" i="37"/>
  <c r="AI53" i="37"/>
  <c r="AI54" i="37"/>
  <c r="AI56" i="37"/>
  <c r="AI57" i="37"/>
  <c r="AI58" i="37"/>
  <c r="AI59" i="37"/>
  <c r="AI60" i="37"/>
  <c r="AI61" i="37"/>
  <c r="AI62" i="37"/>
  <c r="AI63" i="37"/>
  <c r="AI64" i="37"/>
  <c r="AI65" i="37"/>
  <c r="AI66" i="37"/>
  <c r="AI67" i="37"/>
  <c r="AI68" i="37"/>
  <c r="AI69" i="37"/>
  <c r="AI55" i="37"/>
  <c r="AI70" i="37"/>
  <c r="AI71" i="37"/>
  <c r="AI72" i="37"/>
  <c r="AI73" i="37"/>
  <c r="AI74" i="37"/>
  <c r="AI75" i="37"/>
  <c r="AI76" i="37"/>
  <c r="AI77" i="37"/>
  <c r="AI78" i="37"/>
  <c r="AI79" i="37"/>
  <c r="AI80" i="37"/>
  <c r="AI81" i="37"/>
  <c r="AI82" i="37"/>
  <c r="AI83" i="37"/>
  <c r="AI84" i="37"/>
  <c r="AH96" i="37"/>
  <c r="AH95" i="37"/>
  <c r="AH94" i="37"/>
  <c r="AH93" i="37"/>
  <c r="AH92" i="37"/>
  <c r="AH86" i="37"/>
  <c r="AH88" i="37"/>
  <c r="AH91" i="37"/>
  <c r="AH89" i="37"/>
  <c r="AH87" i="37"/>
  <c r="AH90" i="37"/>
  <c r="AH85" i="37"/>
  <c r="AI28" i="37"/>
  <c r="AJ29" i="37"/>
  <c r="AJ30" i="37" l="1"/>
  <c r="AJ32" i="37"/>
  <c r="AJ34" i="37"/>
  <c r="AJ35" i="37"/>
  <c r="AJ31" i="37"/>
  <c r="AJ33" i="37"/>
  <c r="AJ36" i="37"/>
  <c r="AJ38" i="37"/>
  <c r="AJ42" i="37"/>
  <c r="AJ39" i="37"/>
  <c r="AJ40" i="37"/>
  <c r="AJ43" i="37"/>
  <c r="AJ44" i="37"/>
  <c r="AJ45" i="37"/>
  <c r="AJ46" i="37"/>
  <c r="AJ47" i="37"/>
  <c r="AJ48" i="37"/>
  <c r="AJ49" i="37"/>
  <c r="AJ50" i="37"/>
  <c r="AJ51" i="37"/>
  <c r="AJ52" i="37"/>
  <c r="AJ53" i="37"/>
  <c r="AJ54" i="37"/>
  <c r="AJ55" i="37"/>
  <c r="AJ37" i="37"/>
  <c r="AJ56" i="37"/>
  <c r="AJ57" i="37"/>
  <c r="AJ58" i="37"/>
  <c r="AJ59" i="37"/>
  <c r="AJ60" i="37"/>
  <c r="AJ61" i="37"/>
  <c r="AJ62" i="37"/>
  <c r="AJ63" i="37"/>
  <c r="AJ64" i="37"/>
  <c r="AJ65" i="37"/>
  <c r="AJ66" i="37"/>
  <c r="AJ67" i="37"/>
  <c r="AJ68" i="37"/>
  <c r="AJ69" i="37"/>
  <c r="AJ41" i="37"/>
  <c r="AJ70" i="37"/>
  <c r="AJ71" i="37"/>
  <c r="AJ72" i="37"/>
  <c r="AJ73" i="37"/>
  <c r="AJ74" i="37"/>
  <c r="AJ75" i="37"/>
  <c r="AJ76" i="37"/>
  <c r="AJ77" i="37"/>
  <c r="AJ78" i="37"/>
  <c r="AJ79" i="37"/>
  <c r="AJ80" i="37"/>
  <c r="AJ81" i="37"/>
  <c r="AJ82" i="37"/>
  <c r="AJ83" i="37"/>
  <c r="AJ84" i="37"/>
  <c r="AI96" i="37"/>
  <c r="AI95" i="37"/>
  <c r="AI94" i="37"/>
  <c r="AI93" i="37"/>
  <c r="AI86" i="37"/>
  <c r="AI91" i="37"/>
  <c r="AI87" i="37"/>
  <c r="AI90" i="37"/>
  <c r="AI92" i="37"/>
  <c r="AI85" i="37"/>
  <c r="AI88" i="37"/>
  <c r="AI89" i="37"/>
  <c r="AJ28" i="37"/>
  <c r="AK29" i="37"/>
  <c r="D82" i="1"/>
  <c r="D71" i="1"/>
  <c r="B37" i="1" s="1"/>
  <c r="D37" i="1" s="1"/>
  <c r="AK30" i="37" l="1"/>
  <c r="AK31" i="37"/>
  <c r="AK32" i="37"/>
  <c r="AK33" i="37"/>
  <c r="AK34" i="37"/>
  <c r="AK35" i="37"/>
  <c r="AK36" i="37"/>
  <c r="AK37" i="37"/>
  <c r="AK38" i="37"/>
  <c r="AK39" i="37"/>
  <c r="AK40" i="37"/>
  <c r="AK41" i="37"/>
  <c r="AK42" i="37"/>
  <c r="AK43" i="37"/>
  <c r="AK47" i="37"/>
  <c r="AK44" i="37"/>
  <c r="AK48" i="37"/>
  <c r="AK45" i="37"/>
  <c r="AK49" i="37"/>
  <c r="AK50" i="37"/>
  <c r="AK51" i="37"/>
  <c r="AK52" i="37"/>
  <c r="AK53" i="37"/>
  <c r="AK54" i="37"/>
  <c r="AK55" i="37"/>
  <c r="AK46" i="37"/>
  <c r="AK57" i="37"/>
  <c r="AK61" i="37"/>
  <c r="AK65" i="37"/>
  <c r="AK58" i="37"/>
  <c r="AK62" i="37"/>
  <c r="AK66" i="37"/>
  <c r="AK67" i="37"/>
  <c r="AK69" i="37"/>
  <c r="AK59" i="37"/>
  <c r="AK63" i="37"/>
  <c r="AK56" i="37"/>
  <c r="AK60" i="37"/>
  <c r="AK64" i="37"/>
  <c r="AK68" i="37"/>
  <c r="AK70" i="37"/>
  <c r="AK71" i="37"/>
  <c r="AK72" i="37"/>
  <c r="AK73" i="37"/>
  <c r="AK74" i="37"/>
  <c r="AK75" i="37"/>
  <c r="AK76" i="37"/>
  <c r="AK77" i="37"/>
  <c r="AK78" i="37"/>
  <c r="AK79" i="37"/>
  <c r="AK80" i="37"/>
  <c r="AK81" i="37"/>
  <c r="AK82" i="37"/>
  <c r="AK83" i="37"/>
  <c r="AK84" i="37"/>
  <c r="AJ96" i="37"/>
  <c r="AJ95" i="37"/>
  <c r="AJ94" i="37"/>
  <c r="AJ89" i="37"/>
  <c r="AJ91" i="37"/>
  <c r="AJ87" i="37"/>
  <c r="AJ93" i="37"/>
  <c r="AJ86" i="37"/>
  <c r="AJ85" i="37"/>
  <c r="AJ88" i="37"/>
  <c r="AJ90" i="37"/>
  <c r="AJ92" i="37"/>
  <c r="AK28" i="37"/>
  <c r="AL29" i="37"/>
  <c r="B38" i="1"/>
  <c r="F38" i="1" s="1"/>
  <c r="G15" i="13"/>
  <c r="AL30" i="37" l="1"/>
  <c r="AL31" i="37"/>
  <c r="AL32" i="37"/>
  <c r="AL33" i="37"/>
  <c r="AL34" i="37"/>
  <c r="AL35" i="37"/>
  <c r="AL37" i="37"/>
  <c r="AL38" i="37"/>
  <c r="AL39" i="37"/>
  <c r="AL40" i="37"/>
  <c r="AL41" i="37"/>
  <c r="AL42" i="37"/>
  <c r="AL43" i="37"/>
  <c r="AL44" i="37"/>
  <c r="AL45" i="37"/>
  <c r="AL46" i="37"/>
  <c r="AL47" i="37"/>
  <c r="AL48" i="37"/>
  <c r="AL36" i="37"/>
  <c r="AL49" i="37"/>
  <c r="AL53" i="37"/>
  <c r="AL56" i="37"/>
  <c r="AL57" i="37"/>
  <c r="AL58" i="37"/>
  <c r="AL59" i="37"/>
  <c r="AL60" i="37"/>
  <c r="AL61" i="37"/>
  <c r="AL62" i="37"/>
  <c r="AL63" i="37"/>
  <c r="AL64" i="37"/>
  <c r="AL65" i="37"/>
  <c r="AL66" i="37"/>
  <c r="AL50" i="37"/>
  <c r="AL54" i="37"/>
  <c r="AL55" i="37"/>
  <c r="AL51" i="37"/>
  <c r="AL68" i="37"/>
  <c r="AL52" i="37"/>
  <c r="AL69" i="37"/>
  <c r="AL67" i="37"/>
  <c r="AL70" i="37"/>
  <c r="AL71" i="37"/>
  <c r="AL72" i="37"/>
  <c r="AL73" i="37"/>
  <c r="AL74" i="37"/>
  <c r="AL75" i="37"/>
  <c r="AL76" i="37"/>
  <c r="AL84" i="37"/>
  <c r="AL77" i="37"/>
  <c r="AL78" i="37"/>
  <c r="AL79" i="37"/>
  <c r="AL80" i="37"/>
  <c r="AL81" i="37"/>
  <c r="AL82" i="37"/>
  <c r="AL83" i="37"/>
  <c r="AK96" i="37"/>
  <c r="AK95" i="37"/>
  <c r="AK94" i="37"/>
  <c r="AK93" i="37"/>
  <c r="AK91" i="37"/>
  <c r="AK87" i="37"/>
  <c r="AK88" i="37"/>
  <c r="AK85" i="37"/>
  <c r="AK92" i="37"/>
  <c r="AK89" i="37"/>
  <c r="AK90" i="37"/>
  <c r="AK86" i="37"/>
  <c r="AL28" i="37"/>
  <c r="AM29" i="37"/>
  <c r="AM30" i="37" l="1"/>
  <c r="AM32" i="37"/>
  <c r="AM31" i="37"/>
  <c r="AM36" i="37"/>
  <c r="AM33" i="37"/>
  <c r="AM34" i="37"/>
  <c r="AM37" i="37"/>
  <c r="AM38" i="37"/>
  <c r="AM39" i="37"/>
  <c r="AM40" i="37"/>
  <c r="AM41" i="37"/>
  <c r="AM42" i="37"/>
  <c r="AM35" i="37"/>
  <c r="AM43" i="37"/>
  <c r="AM44" i="37"/>
  <c r="AM45" i="37"/>
  <c r="AM46" i="37"/>
  <c r="AM47" i="37"/>
  <c r="AM48" i="37"/>
  <c r="AM49" i="37"/>
  <c r="AM50" i="37"/>
  <c r="AM51" i="37"/>
  <c r="AM52" i="37"/>
  <c r="AM53" i="37"/>
  <c r="AM54" i="37"/>
  <c r="AM56" i="37"/>
  <c r="AM57" i="37"/>
  <c r="AM58" i="37"/>
  <c r="AM59" i="37"/>
  <c r="AM60" i="37"/>
  <c r="AM61" i="37"/>
  <c r="AM62" i="37"/>
  <c r="AM63" i="37"/>
  <c r="AM64" i="37"/>
  <c r="AM65" i="37"/>
  <c r="AM66" i="37"/>
  <c r="AM67" i="37"/>
  <c r="AM68" i="37"/>
  <c r="AM69" i="37"/>
  <c r="AM55" i="37"/>
  <c r="AM70" i="37"/>
  <c r="AM71" i="37"/>
  <c r="AM72" i="37"/>
  <c r="AM73" i="37"/>
  <c r="AM74" i="37"/>
  <c r="AM75" i="37"/>
  <c r="AM76" i="37"/>
  <c r="AM77" i="37"/>
  <c r="AM78" i="37"/>
  <c r="AM79" i="37"/>
  <c r="AM80" i="37"/>
  <c r="AM81" i="37"/>
  <c r="AM82" i="37"/>
  <c r="AM83" i="37"/>
  <c r="AM84" i="37"/>
  <c r="AL96" i="37"/>
  <c r="AL95" i="37"/>
  <c r="AL94" i="37"/>
  <c r="AL85" i="37"/>
  <c r="AL92" i="37"/>
  <c r="AL88" i="37"/>
  <c r="AL90" i="37"/>
  <c r="AL89" i="37"/>
  <c r="AL93" i="37"/>
  <c r="AL91" i="37"/>
  <c r="AL86" i="37"/>
  <c r="AL87" i="37"/>
  <c r="AM28" i="37"/>
  <c r="AN29" i="37"/>
  <c r="AN31" i="37" l="1"/>
  <c r="AN33" i="37"/>
  <c r="AN34" i="37"/>
  <c r="AN35" i="37"/>
  <c r="AN30" i="37"/>
  <c r="AN32" i="37"/>
  <c r="AN36" i="37"/>
  <c r="AN37" i="37"/>
  <c r="AN41" i="37"/>
  <c r="AN38" i="37"/>
  <c r="AN42" i="37"/>
  <c r="AN39" i="37"/>
  <c r="AN43" i="37"/>
  <c r="AN44" i="37"/>
  <c r="AN45" i="37"/>
  <c r="AN46" i="37"/>
  <c r="AN47" i="37"/>
  <c r="AN48" i="37"/>
  <c r="AN49" i="37"/>
  <c r="AN50" i="37"/>
  <c r="AN51" i="37"/>
  <c r="AN52" i="37"/>
  <c r="AN53" i="37"/>
  <c r="AN54" i="37"/>
  <c r="AN55" i="37"/>
  <c r="AN40" i="37"/>
  <c r="AN56" i="37"/>
  <c r="AN57" i="37"/>
  <c r="AN58" i="37"/>
  <c r="AN59" i="37"/>
  <c r="AN60" i="37"/>
  <c r="AN61" i="37"/>
  <c r="AN62" i="37"/>
  <c r="AN63" i="37"/>
  <c r="AN64" i="37"/>
  <c r="AN65" i="37"/>
  <c r="AN66" i="37"/>
  <c r="AN67" i="37"/>
  <c r="AN68" i="37"/>
  <c r="AN69" i="37"/>
  <c r="AN70" i="37"/>
  <c r="AN71" i="37"/>
  <c r="AN72" i="37"/>
  <c r="AN73" i="37"/>
  <c r="AN74" i="37"/>
  <c r="AN75" i="37"/>
  <c r="AN76" i="37"/>
  <c r="AN77" i="37"/>
  <c r="AN78" i="37"/>
  <c r="AN79" i="37"/>
  <c r="AN80" i="37"/>
  <c r="AN81" i="37"/>
  <c r="AN82" i="37"/>
  <c r="AN83" i="37"/>
  <c r="AN84" i="37"/>
  <c r="AM92" i="37"/>
  <c r="AM96" i="37"/>
  <c r="AM88" i="37"/>
  <c r="AM94" i="37"/>
  <c r="AM90" i="37"/>
  <c r="AM93" i="37"/>
  <c r="AM87" i="37"/>
  <c r="AM95" i="37"/>
  <c r="AM89" i="37"/>
  <c r="AM91" i="37"/>
  <c r="AM86" i="37"/>
  <c r="AM85" i="37"/>
  <c r="AN28" i="37"/>
  <c r="AO29" i="37"/>
  <c r="AO30" i="37" l="1"/>
  <c r="AO31" i="37"/>
  <c r="AO32" i="37"/>
  <c r="AO33" i="37"/>
  <c r="AO34" i="37"/>
  <c r="AO35" i="37"/>
  <c r="AO36" i="37"/>
  <c r="AO37" i="37"/>
  <c r="AO38" i="37"/>
  <c r="AO39" i="37"/>
  <c r="AO40" i="37"/>
  <c r="AO41" i="37"/>
  <c r="AO42" i="37"/>
  <c r="AO46" i="37"/>
  <c r="AO43" i="37"/>
  <c r="AO47" i="37"/>
  <c r="AO44" i="37"/>
  <c r="AO48" i="37"/>
  <c r="AO49" i="37"/>
  <c r="AO50" i="37"/>
  <c r="AO51" i="37"/>
  <c r="AO52" i="37"/>
  <c r="AO53" i="37"/>
  <c r="AO54" i="37"/>
  <c r="AO45" i="37"/>
  <c r="AO56" i="37"/>
  <c r="AO60" i="37"/>
  <c r="AO64" i="37"/>
  <c r="AO57" i="37"/>
  <c r="AO61" i="37"/>
  <c r="AO65" i="37"/>
  <c r="AO68" i="37"/>
  <c r="AO58" i="37"/>
  <c r="AO62" i="37"/>
  <c r="AO55" i="37"/>
  <c r="AO59" i="37"/>
  <c r="AO63" i="37"/>
  <c r="AO67" i="37"/>
  <c r="AO66" i="37"/>
  <c r="AO69" i="37"/>
  <c r="AO70" i="37"/>
  <c r="AO71" i="37"/>
  <c r="AO72" i="37"/>
  <c r="AO73" i="37"/>
  <c r="AO74" i="37"/>
  <c r="AO75" i="37"/>
  <c r="AO76" i="37"/>
  <c r="AO77" i="37"/>
  <c r="AO78" i="37"/>
  <c r="AO79" i="37"/>
  <c r="AO80" i="37"/>
  <c r="AO81" i="37"/>
  <c r="AO82" i="37"/>
  <c r="AO83" i="37"/>
  <c r="AO84" i="37"/>
  <c r="AN96" i="37"/>
  <c r="AN95" i="37"/>
  <c r="AN94" i="37"/>
  <c r="AN93" i="37"/>
  <c r="AN92" i="37"/>
  <c r="AN91" i="37"/>
  <c r="AN90" i="37"/>
  <c r="AN89" i="37"/>
  <c r="AN88" i="37"/>
  <c r="AN87" i="37"/>
  <c r="AN86" i="37"/>
  <c r="AN85" i="37"/>
  <c r="AP29" i="37"/>
  <c r="AO28" i="37"/>
  <c r="F21" i="4"/>
  <c r="F19" i="4"/>
  <c r="G14" i="13"/>
  <c r="G13" i="13"/>
  <c r="G12" i="13"/>
  <c r="D5" i="13"/>
  <c r="AP30" i="37" l="1"/>
  <c r="AP31" i="37"/>
  <c r="AP32" i="37"/>
  <c r="AP33" i="37"/>
  <c r="AP34" i="37"/>
  <c r="AP35" i="37"/>
  <c r="AP37" i="37"/>
  <c r="AP38" i="37"/>
  <c r="AP39" i="37"/>
  <c r="AP40" i="37"/>
  <c r="AP41" i="37"/>
  <c r="AP42" i="37"/>
  <c r="AP36" i="37"/>
  <c r="AP43" i="37"/>
  <c r="AP44" i="37"/>
  <c r="AP45" i="37"/>
  <c r="AP46" i="37"/>
  <c r="AP47" i="37"/>
  <c r="AP48" i="37"/>
  <c r="AP52" i="37"/>
  <c r="AP55" i="37"/>
  <c r="AP56" i="37"/>
  <c r="AP57" i="37"/>
  <c r="AP58" i="37"/>
  <c r="AP59" i="37"/>
  <c r="AP60" i="37"/>
  <c r="AP61" i="37"/>
  <c r="AP62" i="37"/>
  <c r="AP63" i="37"/>
  <c r="AP64" i="37"/>
  <c r="AP65" i="37"/>
  <c r="AP66" i="37"/>
  <c r="AP49" i="37"/>
  <c r="AP53" i="37"/>
  <c r="AP50" i="37"/>
  <c r="AP54" i="37"/>
  <c r="AP67" i="37"/>
  <c r="AP69" i="37"/>
  <c r="AP51" i="37"/>
  <c r="AP68" i="37"/>
  <c r="AP70" i="37"/>
  <c r="AP71" i="37"/>
  <c r="AP72" i="37"/>
  <c r="AP73" i="37"/>
  <c r="AP74" i="37"/>
  <c r="AP75" i="37"/>
  <c r="AP76" i="37"/>
  <c r="AP83" i="37"/>
  <c r="AP77" i="37"/>
  <c r="AP78" i="37"/>
  <c r="AP79" i="37"/>
  <c r="AP80" i="37"/>
  <c r="AP81" i="37"/>
  <c r="AP82" i="37"/>
  <c r="AP84" i="37"/>
  <c r="AO96" i="37"/>
  <c r="AO95" i="37"/>
  <c r="AO94" i="37"/>
  <c r="AO93" i="37"/>
  <c r="AO86" i="37"/>
  <c r="AO90" i="37"/>
  <c r="AO85" i="37"/>
  <c r="AO92" i="37"/>
  <c r="AO88" i="37"/>
  <c r="AO87" i="37"/>
  <c r="AO89" i="37"/>
  <c r="AO91" i="37"/>
  <c r="AQ29" i="37"/>
  <c r="AP28" i="37"/>
  <c r="D17" i="13"/>
  <c r="C6" i="9"/>
  <c r="AQ31" i="37" l="1"/>
  <c r="AQ33" i="37"/>
  <c r="AQ35" i="37"/>
  <c r="AQ30" i="37"/>
  <c r="AQ37" i="37"/>
  <c r="AQ38" i="37"/>
  <c r="AQ39" i="37"/>
  <c r="AQ40" i="37"/>
  <c r="AQ41" i="37"/>
  <c r="AQ42" i="37"/>
  <c r="AQ36" i="37"/>
  <c r="AQ32" i="37"/>
  <c r="AQ43" i="37"/>
  <c r="AQ44" i="37"/>
  <c r="AQ45" i="37"/>
  <c r="AQ46" i="37"/>
  <c r="AQ47" i="37"/>
  <c r="AQ48" i="37"/>
  <c r="AQ49" i="37"/>
  <c r="AQ50" i="37"/>
  <c r="AQ51" i="37"/>
  <c r="AQ52" i="37"/>
  <c r="AQ53" i="37"/>
  <c r="AQ54" i="37"/>
  <c r="AQ34" i="37"/>
  <c r="AQ55" i="37"/>
  <c r="AQ56" i="37"/>
  <c r="AQ57" i="37"/>
  <c r="AQ58" i="37"/>
  <c r="AQ59" i="37"/>
  <c r="AQ60" i="37"/>
  <c r="AQ61" i="37"/>
  <c r="AQ62" i="37"/>
  <c r="AQ63" i="37"/>
  <c r="AQ64" i="37"/>
  <c r="AQ65" i="37"/>
  <c r="AQ66" i="37"/>
  <c r="AQ67" i="37"/>
  <c r="AQ68" i="37"/>
  <c r="AQ69" i="37"/>
  <c r="AQ70" i="37"/>
  <c r="AQ71" i="37"/>
  <c r="AQ72" i="37"/>
  <c r="AQ73" i="37"/>
  <c r="AQ74" i="37"/>
  <c r="AQ75" i="37"/>
  <c r="AQ76" i="37"/>
  <c r="AQ77" i="37"/>
  <c r="AQ78" i="37"/>
  <c r="AQ79" i="37"/>
  <c r="AQ80" i="37"/>
  <c r="AQ81" i="37"/>
  <c r="AQ82" i="37"/>
  <c r="AQ83" i="37"/>
  <c r="AQ84" i="37"/>
  <c r="AP96" i="37"/>
  <c r="AP95" i="37"/>
  <c r="AP94" i="37"/>
  <c r="AP93" i="37"/>
  <c r="AP89" i="37"/>
  <c r="AP92" i="37"/>
  <c r="AP87" i="37"/>
  <c r="AP91" i="37"/>
  <c r="AP90" i="37"/>
  <c r="AP86" i="37"/>
  <c r="AP85" i="37"/>
  <c r="AP88" i="37"/>
  <c r="AQ28" i="37"/>
  <c r="AR29" i="37"/>
  <c r="D7" i="9"/>
  <c r="E11" i="9"/>
  <c r="G11" i="13"/>
  <c r="AR30" i="37" l="1"/>
  <c r="AR32" i="37"/>
  <c r="AR34" i="37"/>
  <c r="AR35" i="37"/>
  <c r="AR31" i="37"/>
  <c r="AR33" i="37"/>
  <c r="AR36" i="37"/>
  <c r="AR40" i="37"/>
  <c r="AR37" i="37"/>
  <c r="AR41" i="37"/>
  <c r="AR38" i="37"/>
  <c r="AR42" i="37"/>
  <c r="AR43" i="37"/>
  <c r="AR44" i="37"/>
  <c r="AR45" i="37"/>
  <c r="AR46" i="37"/>
  <c r="AR47" i="37"/>
  <c r="AR48" i="37"/>
  <c r="AR39" i="37"/>
  <c r="AR49" i="37"/>
  <c r="AR50" i="37"/>
  <c r="AR51" i="37"/>
  <c r="AR52" i="37"/>
  <c r="AR53" i="37"/>
  <c r="AR54" i="37"/>
  <c r="AR55" i="37"/>
  <c r="AR56" i="37"/>
  <c r="AR57" i="37"/>
  <c r="AR58" i="37"/>
  <c r="AR59" i="37"/>
  <c r="AR60" i="37"/>
  <c r="AR61" i="37"/>
  <c r="AR62" i="37"/>
  <c r="AR63" i="37"/>
  <c r="AR64" i="37"/>
  <c r="AR65" i="37"/>
  <c r="AR66" i="37"/>
  <c r="AR67" i="37"/>
  <c r="AR68" i="37"/>
  <c r="AR69" i="37"/>
  <c r="AR70" i="37"/>
  <c r="AR71" i="37"/>
  <c r="AR72" i="37"/>
  <c r="AR73" i="37"/>
  <c r="AR74" i="37"/>
  <c r="AR75" i="37"/>
  <c r="AR76" i="37"/>
  <c r="AR77" i="37"/>
  <c r="AR78" i="37"/>
  <c r="AR79" i="37"/>
  <c r="AR80" i="37"/>
  <c r="AR81" i="37"/>
  <c r="AR82" i="37"/>
  <c r="AR83" i="37"/>
  <c r="AR84" i="37"/>
  <c r="AQ96" i="37"/>
  <c r="AQ95" i="37"/>
  <c r="AQ94" i="37"/>
  <c r="AQ93" i="37"/>
  <c r="AQ92" i="37"/>
  <c r="AQ91" i="37"/>
  <c r="AQ90" i="37"/>
  <c r="AQ89" i="37"/>
  <c r="AQ88" i="37"/>
  <c r="AQ87" i="37"/>
  <c r="AQ86" i="37"/>
  <c r="AQ85" i="37"/>
  <c r="AR28" i="37"/>
  <c r="AS29" i="37"/>
  <c r="H17" i="13"/>
  <c r="G18" i="37" s="1"/>
  <c r="H18" i="37" s="1"/>
  <c r="O18" i="37" s="1"/>
  <c r="AS30" i="37" l="1"/>
  <c r="AS31" i="37"/>
  <c r="AS32" i="37"/>
  <c r="AS33" i="37"/>
  <c r="AS34" i="37"/>
  <c r="AS35" i="37"/>
  <c r="AS36" i="37"/>
  <c r="AS37" i="37"/>
  <c r="AS38" i="37"/>
  <c r="AS39" i="37"/>
  <c r="AS40" i="37"/>
  <c r="AS41" i="37"/>
  <c r="AS42" i="37"/>
  <c r="AS45" i="37"/>
  <c r="AS46" i="37"/>
  <c r="AS43" i="37"/>
  <c r="AS47" i="37"/>
  <c r="AS49" i="37"/>
  <c r="AS50" i="37"/>
  <c r="AS51" i="37"/>
  <c r="AS52" i="37"/>
  <c r="AS53" i="37"/>
  <c r="AS54" i="37"/>
  <c r="AS44" i="37"/>
  <c r="AS48" i="37"/>
  <c r="AS55" i="37"/>
  <c r="AS59" i="37"/>
  <c r="AS63" i="37"/>
  <c r="AS56" i="37"/>
  <c r="AS60" i="37"/>
  <c r="AS64" i="37"/>
  <c r="AS67" i="37"/>
  <c r="AS69" i="37"/>
  <c r="AS57" i="37"/>
  <c r="AS61" i="37"/>
  <c r="AS58" i="37"/>
  <c r="AS62" i="37"/>
  <c r="AS66" i="37"/>
  <c r="AS65" i="37"/>
  <c r="AS68" i="37"/>
  <c r="AS70" i="37"/>
  <c r="AS71" i="37"/>
  <c r="AS72" i="37"/>
  <c r="AS73" i="37"/>
  <c r="AS74" i="37"/>
  <c r="AS75" i="37"/>
  <c r="AS76" i="37"/>
  <c r="AS77" i="37"/>
  <c r="AS78" i="37"/>
  <c r="AS79" i="37"/>
  <c r="AS80" i="37"/>
  <c r="AS81" i="37"/>
  <c r="AS82" i="37"/>
  <c r="AS83" i="37"/>
  <c r="AS84" i="37"/>
  <c r="AR96" i="37"/>
  <c r="AR95" i="37"/>
  <c r="AR94" i="37"/>
  <c r="AR91" i="37"/>
  <c r="AR87" i="37"/>
  <c r="AR93" i="37"/>
  <c r="AR89" i="37"/>
  <c r="AR92" i="37"/>
  <c r="AR86" i="37"/>
  <c r="AR85" i="37"/>
  <c r="AR88" i="37"/>
  <c r="AR90" i="37"/>
  <c r="AS28" i="37"/>
  <c r="AT29" i="37"/>
  <c r="AT30" i="37" l="1"/>
  <c r="AT31" i="37"/>
  <c r="AT32" i="37"/>
  <c r="AT33" i="37"/>
  <c r="AT34" i="37"/>
  <c r="AT35" i="37"/>
  <c r="AT36" i="37"/>
  <c r="AT37" i="37"/>
  <c r="AT38" i="37"/>
  <c r="AT39" i="37"/>
  <c r="AT40" i="37"/>
  <c r="AT41" i="37"/>
  <c r="AT42" i="37"/>
  <c r="AT43" i="37"/>
  <c r="AT44" i="37"/>
  <c r="AT45" i="37"/>
  <c r="AT46" i="37"/>
  <c r="AT47" i="37"/>
  <c r="AT48" i="37"/>
  <c r="AT51" i="37"/>
  <c r="AT55" i="37"/>
  <c r="AT56" i="37"/>
  <c r="AT57" i="37"/>
  <c r="AT58" i="37"/>
  <c r="AT59" i="37"/>
  <c r="AT60" i="37"/>
  <c r="AT61" i="37"/>
  <c r="AT62" i="37"/>
  <c r="AT63" i="37"/>
  <c r="AT64" i="37"/>
  <c r="AT65" i="37"/>
  <c r="AT66" i="37"/>
  <c r="AT52" i="37"/>
  <c r="AT49" i="37"/>
  <c r="AT53" i="37"/>
  <c r="AT50" i="37"/>
  <c r="AT68" i="37"/>
  <c r="AT54" i="37"/>
  <c r="AT67" i="37"/>
  <c r="AT69" i="37"/>
  <c r="AT70" i="37"/>
  <c r="AT71" i="37"/>
  <c r="AT72" i="37"/>
  <c r="AT73" i="37"/>
  <c r="AT74" i="37"/>
  <c r="AT75" i="37"/>
  <c r="AT76" i="37"/>
  <c r="AT84" i="37"/>
  <c r="AT77" i="37"/>
  <c r="AT78" i="37"/>
  <c r="AT79" i="37"/>
  <c r="AT80" i="37"/>
  <c r="AT81" i="37"/>
  <c r="AT82" i="37"/>
  <c r="AT83" i="37"/>
  <c r="AS96" i="37"/>
  <c r="AS95" i="37"/>
  <c r="AS94" i="37"/>
  <c r="AS93" i="37"/>
  <c r="AS92" i="37"/>
  <c r="AS91" i="37"/>
  <c r="AS90" i="37"/>
  <c r="AS89" i="37"/>
  <c r="AS85" i="37"/>
  <c r="AS86" i="37"/>
  <c r="AS88" i="37"/>
  <c r="AS87" i="37"/>
  <c r="AT28" i="37"/>
  <c r="AU29" i="37"/>
  <c r="AU30" i="37" l="1"/>
  <c r="AU32" i="37"/>
  <c r="AU34" i="37"/>
  <c r="AU31" i="37"/>
  <c r="AU35" i="37"/>
  <c r="AU33" i="37"/>
  <c r="AU36" i="37"/>
  <c r="AU37" i="37"/>
  <c r="AU38" i="37"/>
  <c r="AU39" i="37"/>
  <c r="AU40" i="37"/>
  <c r="AU41" i="37"/>
  <c r="AU42" i="37"/>
  <c r="AU43" i="37"/>
  <c r="AU44" i="37"/>
  <c r="AU45" i="37"/>
  <c r="AU46" i="37"/>
  <c r="AU47" i="37"/>
  <c r="AU48" i="37"/>
  <c r="AU49" i="37"/>
  <c r="AU50" i="37"/>
  <c r="AU51" i="37"/>
  <c r="AU52" i="37"/>
  <c r="AU53" i="37"/>
  <c r="AU54" i="37"/>
  <c r="AU55" i="37"/>
  <c r="AU56" i="37"/>
  <c r="AU57" i="37"/>
  <c r="AU58" i="37"/>
  <c r="AU59" i="37"/>
  <c r="AU60" i="37"/>
  <c r="AU61" i="37"/>
  <c r="AU62" i="37"/>
  <c r="AU63" i="37"/>
  <c r="AU64" i="37"/>
  <c r="AU65" i="37"/>
  <c r="AU66" i="37"/>
  <c r="AU67" i="37"/>
  <c r="AU68" i="37"/>
  <c r="AU69" i="37"/>
  <c r="AU70" i="37"/>
  <c r="AU71" i="37"/>
  <c r="AU72" i="37"/>
  <c r="AU73" i="37"/>
  <c r="AU74" i="37"/>
  <c r="AU75" i="37"/>
  <c r="AU76" i="37"/>
  <c r="AU77" i="37"/>
  <c r="AU78" i="37"/>
  <c r="AU79" i="37"/>
  <c r="AU80" i="37"/>
  <c r="AU81" i="37"/>
  <c r="AU82" i="37"/>
  <c r="AU83" i="37"/>
  <c r="AU84" i="37"/>
  <c r="AT96" i="37"/>
  <c r="AT95" i="37"/>
  <c r="AT94" i="37"/>
  <c r="AT93" i="37"/>
  <c r="AT92" i="37"/>
  <c r="AT88" i="37"/>
  <c r="AT89" i="37"/>
  <c r="AT85" i="37"/>
  <c r="AT87" i="37"/>
  <c r="AT90" i="37"/>
  <c r="AT91" i="37"/>
  <c r="AT86" i="37"/>
  <c r="AU28" i="37"/>
  <c r="AV29" i="37"/>
  <c r="AV31" i="37" l="1"/>
  <c r="AV33" i="37"/>
  <c r="AV34" i="37"/>
  <c r="AV35" i="37"/>
  <c r="AV30" i="37"/>
  <c r="AV32" i="37"/>
  <c r="AV39" i="37"/>
  <c r="AV36" i="37"/>
  <c r="AV40" i="37"/>
  <c r="AV37" i="37"/>
  <c r="AV41" i="37"/>
  <c r="AV43" i="37"/>
  <c r="AV44" i="37"/>
  <c r="AV45" i="37"/>
  <c r="AV46" i="37"/>
  <c r="AV47" i="37"/>
  <c r="AV48" i="37"/>
  <c r="AV38" i="37"/>
  <c r="AV42" i="37"/>
  <c r="AV49" i="37"/>
  <c r="AV50" i="37"/>
  <c r="AV51" i="37"/>
  <c r="AV52" i="37"/>
  <c r="AV53" i="37"/>
  <c r="AV54" i="37"/>
  <c r="AV55" i="37"/>
  <c r="AV56" i="37"/>
  <c r="AV57" i="37"/>
  <c r="AV58" i="37"/>
  <c r="AV59" i="37"/>
  <c r="AV60" i="37"/>
  <c r="AV61" i="37"/>
  <c r="AV62" i="37"/>
  <c r="AV63" i="37"/>
  <c r="AV64" i="37"/>
  <c r="AV65" i="37"/>
  <c r="AV66" i="37"/>
  <c r="AV67" i="37"/>
  <c r="AV68" i="37"/>
  <c r="AV69" i="37"/>
  <c r="AV70" i="37"/>
  <c r="AV71" i="37"/>
  <c r="AV72" i="37"/>
  <c r="AV73" i="37"/>
  <c r="AV74" i="37"/>
  <c r="AV75" i="37"/>
  <c r="AV76" i="37"/>
  <c r="AV77" i="37"/>
  <c r="AV78" i="37"/>
  <c r="AV79" i="37"/>
  <c r="AV80" i="37"/>
  <c r="AV81" i="37"/>
  <c r="AV82" i="37"/>
  <c r="AV83" i="37"/>
  <c r="AV84" i="37"/>
  <c r="AU96" i="37"/>
  <c r="AU95" i="37"/>
  <c r="AU94" i="37"/>
  <c r="AU93" i="37"/>
  <c r="AU85" i="37"/>
  <c r="AU86" i="37"/>
  <c r="AU91" i="37"/>
  <c r="AU88" i="37"/>
  <c r="AU89" i="37"/>
  <c r="AU90" i="37"/>
  <c r="AU92" i="37"/>
  <c r="AU87" i="37"/>
  <c r="AV28" i="37"/>
  <c r="AW29" i="37"/>
  <c r="G13" i="37"/>
  <c r="H13" i="37" s="1"/>
  <c r="AW30" i="37" l="1"/>
  <c r="AW31" i="37"/>
  <c r="AW32" i="37"/>
  <c r="AW33" i="37"/>
  <c r="AW34" i="37"/>
  <c r="AW35" i="37"/>
  <c r="AW36" i="37"/>
  <c r="AW37" i="37"/>
  <c r="AW38" i="37"/>
  <c r="AW39" i="37"/>
  <c r="AW40" i="37"/>
  <c r="AW41" i="37"/>
  <c r="AW42" i="37"/>
  <c r="AW44" i="37"/>
  <c r="AW48" i="37"/>
  <c r="AW45" i="37"/>
  <c r="AW46" i="37"/>
  <c r="AW49" i="37"/>
  <c r="AW50" i="37"/>
  <c r="AW51" i="37"/>
  <c r="AW52" i="37"/>
  <c r="AW53" i="37"/>
  <c r="AW54" i="37"/>
  <c r="AW47" i="37"/>
  <c r="AW58" i="37"/>
  <c r="AW62" i="37"/>
  <c r="AW66" i="37"/>
  <c r="AW55" i="37"/>
  <c r="AW59" i="37"/>
  <c r="AW63" i="37"/>
  <c r="AW68" i="37"/>
  <c r="AW43" i="37"/>
  <c r="AW56" i="37"/>
  <c r="AW60" i="37"/>
  <c r="AW64" i="37"/>
  <c r="AW57" i="37"/>
  <c r="AW61" i="37"/>
  <c r="AW65" i="37"/>
  <c r="AW67" i="37"/>
  <c r="AW69" i="37"/>
  <c r="AW70" i="37"/>
  <c r="AW71" i="37"/>
  <c r="AW72" i="37"/>
  <c r="AW73" i="37"/>
  <c r="AW74" i="37"/>
  <c r="AW75" i="37"/>
  <c r="AW76" i="37"/>
  <c r="AW77" i="37"/>
  <c r="AW78" i="37"/>
  <c r="AW79" i="37"/>
  <c r="AW80" i="37"/>
  <c r="AW81" i="37"/>
  <c r="AW82" i="37"/>
  <c r="AW83" i="37"/>
  <c r="AW84" i="37"/>
  <c r="O13" i="37"/>
  <c r="AV96" i="37"/>
  <c r="AV95" i="37"/>
  <c r="AV94" i="37"/>
  <c r="AV93" i="37"/>
  <c r="AV90" i="37"/>
  <c r="AV86" i="37"/>
  <c r="AV92" i="37"/>
  <c r="AV88" i="37"/>
  <c r="AV87" i="37"/>
  <c r="AV91" i="37"/>
  <c r="AV89" i="37"/>
  <c r="AV85" i="37"/>
  <c r="AW28" i="37"/>
  <c r="AX29" i="37"/>
  <c r="AX30" i="37" l="1"/>
  <c r="AX31" i="37"/>
  <c r="AX32" i="37"/>
  <c r="AX33" i="37"/>
  <c r="AX34" i="37"/>
  <c r="AX35" i="37"/>
  <c r="AX36" i="37"/>
  <c r="AX37" i="37"/>
  <c r="AX38" i="37"/>
  <c r="AX39" i="37"/>
  <c r="AX40" i="37"/>
  <c r="AX41" i="37"/>
  <c r="AX42" i="37"/>
  <c r="AX43" i="37"/>
  <c r="AX44" i="37"/>
  <c r="AX45" i="37"/>
  <c r="AX46" i="37"/>
  <c r="AX47" i="37"/>
  <c r="AX48" i="37"/>
  <c r="AX50" i="37"/>
  <c r="AX54" i="37"/>
  <c r="AX55" i="37"/>
  <c r="AX56" i="37"/>
  <c r="AX57" i="37"/>
  <c r="AX58" i="37"/>
  <c r="AX59" i="37"/>
  <c r="AX60" i="37"/>
  <c r="AX61" i="37"/>
  <c r="AX62" i="37"/>
  <c r="AX63" i="37"/>
  <c r="AX64" i="37"/>
  <c r="AX65" i="37"/>
  <c r="AX66" i="37"/>
  <c r="AX51" i="37"/>
  <c r="AX52" i="37"/>
  <c r="AX53" i="37"/>
  <c r="AX67" i="37"/>
  <c r="AX69" i="37"/>
  <c r="AX49" i="37"/>
  <c r="AX68" i="37"/>
  <c r="AX70" i="37"/>
  <c r="AX71" i="37"/>
  <c r="AX72" i="37"/>
  <c r="AX73" i="37"/>
  <c r="AX74" i="37"/>
  <c r="AX75" i="37"/>
  <c r="AX76" i="37"/>
  <c r="AX83" i="37"/>
  <c r="AX77" i="37"/>
  <c r="AX78" i="37"/>
  <c r="AX79" i="37"/>
  <c r="AX80" i="37"/>
  <c r="AX81" i="37"/>
  <c r="AX82" i="37"/>
  <c r="AX84" i="37"/>
  <c r="AW96" i="37"/>
  <c r="AW95" i="37"/>
  <c r="AW94" i="37"/>
  <c r="AW93" i="37"/>
  <c r="AW86" i="37"/>
  <c r="AW92" i="37"/>
  <c r="AW87" i="37"/>
  <c r="AW90" i="37"/>
  <c r="AW85" i="37"/>
  <c r="AW91" i="37"/>
  <c r="AW88" i="37"/>
  <c r="AW89" i="37"/>
  <c r="AX28" i="37"/>
  <c r="AY29" i="37"/>
  <c r="G23" i="4"/>
  <c r="G28" i="4" s="1"/>
  <c r="D27" i="1"/>
  <c r="H9" i="1"/>
  <c r="E49" i="19" s="1"/>
  <c r="C49" i="19" s="1"/>
  <c r="D31" i="1"/>
  <c r="G14" i="37" l="1"/>
  <c r="H14" i="37" s="1"/>
  <c r="J2" i="37" s="1"/>
  <c r="J5" i="37" s="1"/>
  <c r="B48" i="1" s="1"/>
  <c r="B50" i="1" s="1"/>
  <c r="AY31" i="37"/>
  <c r="AY33" i="37"/>
  <c r="AY32" i="37"/>
  <c r="AY34" i="37"/>
  <c r="AY35" i="37"/>
  <c r="AY36" i="37"/>
  <c r="AY37" i="37"/>
  <c r="AY38" i="37"/>
  <c r="AY39" i="37"/>
  <c r="AY40" i="37"/>
  <c r="AY41" i="37"/>
  <c r="AY42" i="37"/>
  <c r="AY30" i="37"/>
  <c r="AY43" i="37"/>
  <c r="AY44" i="37"/>
  <c r="AY45" i="37"/>
  <c r="AY46" i="37"/>
  <c r="AY47" i="37"/>
  <c r="AY48" i="37"/>
  <c r="AY49" i="37"/>
  <c r="AY50" i="37"/>
  <c r="AY51" i="37"/>
  <c r="AY52" i="37"/>
  <c r="AY53" i="37"/>
  <c r="AY54" i="37"/>
  <c r="AY55" i="37"/>
  <c r="AY56" i="37"/>
  <c r="AY57" i="37"/>
  <c r="AY58" i="37"/>
  <c r="AY59" i="37"/>
  <c r="AY60" i="37"/>
  <c r="AY61" i="37"/>
  <c r="AY62" i="37"/>
  <c r="AY63" i="37"/>
  <c r="AY64" i="37"/>
  <c r="AY65" i="37"/>
  <c r="AY66" i="37"/>
  <c r="AY67" i="37"/>
  <c r="AY68" i="37"/>
  <c r="AY69" i="37"/>
  <c r="AY70" i="37"/>
  <c r="AY71" i="37"/>
  <c r="AY72" i="37"/>
  <c r="AY73" i="37"/>
  <c r="AY74" i="37"/>
  <c r="AY75" i="37"/>
  <c r="AY76" i="37"/>
  <c r="AY77" i="37"/>
  <c r="AY78" i="37"/>
  <c r="AY79" i="37"/>
  <c r="AY80" i="37"/>
  <c r="AY81" i="37"/>
  <c r="AY82" i="37"/>
  <c r="AY83" i="37"/>
  <c r="AY84" i="37"/>
  <c r="AY28" i="37"/>
  <c r="AX96" i="37"/>
  <c r="AX95" i="37"/>
  <c r="AX94" i="37"/>
  <c r="AX93" i="37"/>
  <c r="AX92" i="37"/>
  <c r="AX87" i="37"/>
  <c r="AX91" i="37"/>
  <c r="AX90" i="37"/>
  <c r="AX89" i="37"/>
  <c r="AX86" i="37"/>
  <c r="AX85" i="37"/>
  <c r="AX88" i="37"/>
  <c r="AZ29" i="37"/>
  <c r="O14" i="37" l="1"/>
  <c r="M2" i="37" s="1"/>
  <c r="M5" i="37" s="1"/>
  <c r="AZ30" i="37"/>
  <c r="AZ32" i="37"/>
  <c r="AZ34" i="37"/>
  <c r="AZ35" i="37"/>
  <c r="AZ31" i="37"/>
  <c r="AZ33" i="37"/>
  <c r="AZ38" i="37"/>
  <c r="AZ42" i="37"/>
  <c r="AZ39" i="37"/>
  <c r="AZ36" i="37"/>
  <c r="AZ40" i="37"/>
  <c r="AZ43" i="37"/>
  <c r="AZ44" i="37"/>
  <c r="AZ45" i="37"/>
  <c r="AZ46" i="37"/>
  <c r="AZ47" i="37"/>
  <c r="AZ48" i="37"/>
  <c r="AZ41" i="37"/>
  <c r="AZ49" i="37"/>
  <c r="AZ50" i="37"/>
  <c r="AZ51" i="37"/>
  <c r="AZ52" i="37"/>
  <c r="AZ53" i="37"/>
  <c r="AZ54" i="37"/>
  <c r="AZ37" i="37"/>
  <c r="AZ55" i="37"/>
  <c r="AZ56" i="37"/>
  <c r="AZ57" i="37"/>
  <c r="AZ58" i="37"/>
  <c r="AZ59" i="37"/>
  <c r="AZ60" i="37"/>
  <c r="AZ61" i="37"/>
  <c r="AZ62" i="37"/>
  <c r="AZ63" i="37"/>
  <c r="AZ64" i="37"/>
  <c r="AZ65" i="37"/>
  <c r="AZ66" i="37"/>
  <c r="AZ67" i="37"/>
  <c r="AZ68" i="37"/>
  <c r="AZ69" i="37"/>
  <c r="AZ70" i="37"/>
  <c r="AZ71" i="37"/>
  <c r="AZ72" i="37"/>
  <c r="AZ73" i="37"/>
  <c r="AZ74" i="37"/>
  <c r="AZ75" i="37"/>
  <c r="AZ76" i="37"/>
  <c r="AZ77" i="37"/>
  <c r="AZ78" i="37"/>
  <c r="AZ79" i="37"/>
  <c r="AZ80" i="37"/>
  <c r="AZ81" i="37"/>
  <c r="AZ82" i="37"/>
  <c r="AZ83" i="37"/>
  <c r="AZ84" i="37"/>
  <c r="AY89" i="37"/>
  <c r="AY96" i="37"/>
  <c r="AY93" i="37"/>
  <c r="AY94" i="37"/>
  <c r="AY87" i="37"/>
  <c r="AY91" i="37"/>
  <c r="AY88" i="37"/>
  <c r="AY95" i="37"/>
  <c r="AY86" i="37"/>
  <c r="AY92" i="37"/>
  <c r="AY90" i="37"/>
  <c r="AY85" i="37"/>
  <c r="AZ28" i="37"/>
  <c r="BA29" i="37"/>
  <c r="D48" i="1"/>
  <c r="D50" i="1"/>
  <c r="BA30" i="37" l="1"/>
  <c r="BA31" i="37"/>
  <c r="BA32" i="37"/>
  <c r="BA33" i="37"/>
  <c r="BA34" i="37"/>
  <c r="BA35" i="37"/>
  <c r="BA36" i="37"/>
  <c r="BA37" i="37"/>
  <c r="BA38" i="37"/>
  <c r="BA39" i="37"/>
  <c r="BA40" i="37"/>
  <c r="BA41" i="37"/>
  <c r="BA42" i="37"/>
  <c r="BA43" i="37"/>
  <c r="BA47" i="37"/>
  <c r="BA44" i="37"/>
  <c r="BA48" i="37"/>
  <c r="BA45" i="37"/>
  <c r="BA49" i="37"/>
  <c r="BA50" i="37"/>
  <c r="BA51" i="37"/>
  <c r="BA52" i="37"/>
  <c r="BA53" i="37"/>
  <c r="BA54" i="37"/>
  <c r="BA57" i="37"/>
  <c r="BA61" i="37"/>
  <c r="BA65" i="37"/>
  <c r="BA58" i="37"/>
  <c r="BA62" i="37"/>
  <c r="BA66" i="37"/>
  <c r="BA67" i="37"/>
  <c r="BA69" i="37"/>
  <c r="BA46" i="37"/>
  <c r="BA55" i="37"/>
  <c r="BA59" i="37"/>
  <c r="BA63" i="37"/>
  <c r="BA56" i="37"/>
  <c r="BA60" i="37"/>
  <c r="BA64" i="37"/>
  <c r="BA68" i="37"/>
  <c r="BA70" i="37"/>
  <c r="BA71" i="37"/>
  <c r="BA72" i="37"/>
  <c r="BA73" i="37"/>
  <c r="BA74" i="37"/>
  <c r="BA75" i="37"/>
  <c r="BA76" i="37"/>
  <c r="BA77" i="37"/>
  <c r="BA78" i="37"/>
  <c r="BA79" i="37"/>
  <c r="BA80" i="37"/>
  <c r="BA81" i="37"/>
  <c r="BA82" i="37"/>
  <c r="BA83" i="37"/>
  <c r="BA84" i="37"/>
  <c r="AZ96" i="37"/>
  <c r="AZ95" i="37"/>
  <c r="AZ94" i="37"/>
  <c r="AZ93" i="37"/>
  <c r="AZ92" i="37"/>
  <c r="AZ91" i="37"/>
  <c r="AZ90" i="37"/>
  <c r="AZ89" i="37"/>
  <c r="AZ88" i="37"/>
  <c r="AZ87" i="37"/>
  <c r="AZ86" i="37"/>
  <c r="AZ85" i="37"/>
  <c r="BB29" i="37"/>
  <c r="BA28" i="37"/>
  <c r="D51" i="1"/>
  <c r="B30" i="1" s="1"/>
  <c r="K29" i="1" l="1"/>
  <c r="E52" i="33" s="1"/>
  <c r="M30" i="1"/>
  <c r="E46" i="19"/>
  <c r="BB30" i="37"/>
  <c r="BB31" i="37"/>
  <c r="BB32" i="37"/>
  <c r="BB33" i="37"/>
  <c r="BB34" i="37"/>
  <c r="BB35" i="37"/>
  <c r="BB36" i="37"/>
  <c r="BB37" i="37"/>
  <c r="BB38" i="37"/>
  <c r="BB39" i="37"/>
  <c r="BB40" i="37"/>
  <c r="BB41" i="37"/>
  <c r="BB42" i="37"/>
  <c r="BB43" i="37"/>
  <c r="BB44" i="37"/>
  <c r="BB45" i="37"/>
  <c r="BB46" i="37"/>
  <c r="BB47" i="37"/>
  <c r="BB48" i="37"/>
  <c r="BB49" i="37"/>
  <c r="BB53" i="37"/>
  <c r="BB55" i="37"/>
  <c r="BB56" i="37"/>
  <c r="BB57" i="37"/>
  <c r="BB58" i="37"/>
  <c r="BB59" i="37"/>
  <c r="BB60" i="37"/>
  <c r="BB61" i="37"/>
  <c r="BB62" i="37"/>
  <c r="BB63" i="37"/>
  <c r="BB64" i="37"/>
  <c r="BB65" i="37"/>
  <c r="BB66" i="37"/>
  <c r="BB50" i="37"/>
  <c r="BB54" i="37"/>
  <c r="BB51" i="37"/>
  <c r="BB68" i="37"/>
  <c r="BB52" i="37"/>
  <c r="BB67" i="37"/>
  <c r="BB69" i="37"/>
  <c r="BB70" i="37"/>
  <c r="BB71" i="37"/>
  <c r="BB72" i="37"/>
  <c r="BB73" i="37"/>
  <c r="BB74" i="37"/>
  <c r="BB75" i="37"/>
  <c r="BB76" i="37"/>
  <c r="BB84" i="37"/>
  <c r="BB77" i="37"/>
  <c r="BB78" i="37"/>
  <c r="BB79" i="37"/>
  <c r="BB80" i="37"/>
  <c r="BB81" i="37"/>
  <c r="BB82" i="37"/>
  <c r="BB83" i="37"/>
  <c r="BA96" i="37"/>
  <c r="BA95" i="37"/>
  <c r="BA94" i="37"/>
  <c r="BA93" i="37"/>
  <c r="BA85" i="37"/>
  <c r="BA92" i="37"/>
  <c r="BA91" i="37"/>
  <c r="BA88" i="37"/>
  <c r="BA86" i="37"/>
  <c r="BA90" i="37"/>
  <c r="BA87" i="37"/>
  <c r="BA89" i="37"/>
  <c r="BB28" i="37"/>
  <c r="BC29" i="37"/>
  <c r="D30" i="1"/>
  <c r="E39" i="1" s="1"/>
  <c r="D7" i="1"/>
  <c r="E9" i="1" s="1"/>
  <c r="G14" i="33" l="1"/>
  <c r="I20" i="33" s="1"/>
  <c r="C47" i="19"/>
  <c r="H29" i="1"/>
  <c r="H39" i="1" s="1"/>
  <c r="I42" i="1" s="1"/>
  <c r="F29" i="1"/>
  <c r="E39" i="33"/>
  <c r="E15" i="33"/>
  <c r="E25" i="33"/>
  <c r="BC30" i="37"/>
  <c r="BC32" i="37"/>
  <c r="BC31" i="37"/>
  <c r="BC34" i="37"/>
  <c r="BC36" i="37"/>
  <c r="BC37" i="37"/>
  <c r="BC38" i="37"/>
  <c r="BC39" i="37"/>
  <c r="BC40" i="37"/>
  <c r="BC41" i="37"/>
  <c r="BC42" i="37"/>
  <c r="BC33" i="37"/>
  <c r="BC35" i="37"/>
  <c r="BC43" i="37"/>
  <c r="BC44" i="37"/>
  <c r="BC45" i="37"/>
  <c r="BC46" i="37"/>
  <c r="BC47" i="37"/>
  <c r="BC48" i="37"/>
  <c r="BC49" i="37"/>
  <c r="BC50" i="37"/>
  <c r="BC51" i="37"/>
  <c r="BC52" i="37"/>
  <c r="BC53" i="37"/>
  <c r="BC54" i="37"/>
  <c r="BC55" i="37"/>
  <c r="BC56" i="37"/>
  <c r="BC57" i="37"/>
  <c r="BC58" i="37"/>
  <c r="BC59" i="37"/>
  <c r="BC60" i="37"/>
  <c r="BC61" i="37"/>
  <c r="BC62" i="37"/>
  <c r="BC63" i="37"/>
  <c r="BC64" i="37"/>
  <c r="BC65" i="37"/>
  <c r="BC66" i="37"/>
  <c r="BC67" i="37"/>
  <c r="BC68" i="37"/>
  <c r="BC70" i="37"/>
  <c r="BC71" i="37"/>
  <c r="BC72" i="37"/>
  <c r="BC73" i="37"/>
  <c r="BC74" i="37"/>
  <c r="BC75" i="37"/>
  <c r="BC76" i="37"/>
  <c r="BC69" i="37"/>
  <c r="BC77" i="37"/>
  <c r="BC78" i="37"/>
  <c r="BC79" i="37"/>
  <c r="BC80" i="37"/>
  <c r="BC81" i="37"/>
  <c r="BC82" i="37"/>
  <c r="BC83" i="37"/>
  <c r="BC84" i="37"/>
  <c r="BB96" i="37"/>
  <c r="BB95" i="37"/>
  <c r="BB94" i="37"/>
  <c r="BB93" i="37"/>
  <c r="BB88" i="37"/>
  <c r="BB90" i="37"/>
  <c r="BB89" i="37"/>
  <c r="BB85" i="37"/>
  <c r="BB92" i="37"/>
  <c r="BB86" i="37"/>
  <c r="BB91" i="37"/>
  <c r="BB87" i="37"/>
  <c r="BC28" i="37"/>
  <c r="BD29" i="37"/>
  <c r="F9" i="1"/>
  <c r="F33" i="1" s="1"/>
  <c r="E17" i="33" l="1"/>
  <c r="F34" i="1"/>
  <c r="BD31" i="37"/>
  <c r="BD33" i="37"/>
  <c r="BD34" i="37"/>
  <c r="BD35" i="37"/>
  <c r="BD30" i="37"/>
  <c r="BD32" i="37"/>
  <c r="BD37" i="37"/>
  <c r="BD41" i="37"/>
  <c r="BD38" i="37"/>
  <c r="BD42" i="37"/>
  <c r="BD39" i="37"/>
  <c r="BD43" i="37"/>
  <c r="BD44" i="37"/>
  <c r="BD45" i="37"/>
  <c r="BD46" i="37"/>
  <c r="BD47" i="37"/>
  <c r="BD48" i="37"/>
  <c r="BD49" i="37"/>
  <c r="BD50" i="37"/>
  <c r="BD51" i="37"/>
  <c r="BD52" i="37"/>
  <c r="BD53" i="37"/>
  <c r="BD54" i="37"/>
  <c r="BD36" i="37"/>
  <c r="BD40" i="37"/>
  <c r="BD55" i="37"/>
  <c r="BD56" i="37"/>
  <c r="BD57" i="37"/>
  <c r="BD58" i="37"/>
  <c r="BD59" i="37"/>
  <c r="BD60" i="37"/>
  <c r="BD61" i="37"/>
  <c r="BD62" i="37"/>
  <c r="BD63" i="37"/>
  <c r="BD64" i="37"/>
  <c r="BD65" i="37"/>
  <c r="BD66" i="37"/>
  <c r="BD67" i="37"/>
  <c r="BD68" i="37"/>
  <c r="BD69" i="37"/>
  <c r="BD70" i="37"/>
  <c r="BD71" i="37"/>
  <c r="BD72" i="37"/>
  <c r="BD73" i="37"/>
  <c r="BD74" i="37"/>
  <c r="BD75" i="37"/>
  <c r="BD76" i="37"/>
  <c r="BD77" i="37"/>
  <c r="BD78" i="37"/>
  <c r="BD79" i="37"/>
  <c r="BD80" i="37"/>
  <c r="BD81" i="37"/>
  <c r="BD82" i="37"/>
  <c r="BD83" i="37"/>
  <c r="BD84" i="37"/>
  <c r="BC96" i="37"/>
  <c r="BC95" i="37"/>
  <c r="BC94" i="37"/>
  <c r="BC93" i="37"/>
  <c r="BC92" i="37"/>
  <c r="BC91" i="37"/>
  <c r="BC90" i="37"/>
  <c r="BC89" i="37"/>
  <c r="BC88" i="37"/>
  <c r="BC87" i="37"/>
  <c r="BC86" i="37"/>
  <c r="BC85" i="37"/>
  <c r="BD28" i="37"/>
  <c r="BE29" i="37"/>
  <c r="E40" i="1"/>
  <c r="BE30" i="37" l="1"/>
  <c r="BE31" i="37"/>
  <c r="BE32" i="37"/>
  <c r="BE33" i="37"/>
  <c r="BE34" i="37"/>
  <c r="BE35" i="37"/>
  <c r="BE36" i="37"/>
  <c r="BE37" i="37"/>
  <c r="BE38" i="37"/>
  <c r="BE39" i="37"/>
  <c r="BE40" i="37"/>
  <c r="BE41" i="37"/>
  <c r="BE42" i="37"/>
  <c r="BE46" i="37"/>
  <c r="BE43" i="37"/>
  <c r="BE47" i="37"/>
  <c r="BE44" i="37"/>
  <c r="BE48" i="37"/>
  <c r="BE49" i="37"/>
  <c r="BE50" i="37"/>
  <c r="BE51" i="37"/>
  <c r="BE52" i="37"/>
  <c r="BE53" i="37"/>
  <c r="BE54" i="37"/>
  <c r="BE45" i="37"/>
  <c r="BE56" i="37"/>
  <c r="BE60" i="37"/>
  <c r="BE64" i="37"/>
  <c r="BE57" i="37"/>
  <c r="BE61" i="37"/>
  <c r="BE65" i="37"/>
  <c r="BE68" i="37"/>
  <c r="BE69" i="37"/>
  <c r="BE58" i="37"/>
  <c r="BE62" i="37"/>
  <c r="BE55" i="37"/>
  <c r="BE59" i="37"/>
  <c r="BE63" i="37"/>
  <c r="BE67" i="37"/>
  <c r="BE70" i="37"/>
  <c r="BE71" i="37"/>
  <c r="BE72" i="37"/>
  <c r="BE73" i="37"/>
  <c r="BE74" i="37"/>
  <c r="BE75" i="37"/>
  <c r="BE76" i="37"/>
  <c r="BE66" i="37"/>
  <c r="BE77" i="37"/>
  <c r="BE78" i="37"/>
  <c r="BE79" i="37"/>
  <c r="BE80" i="37"/>
  <c r="BE81" i="37"/>
  <c r="BE82" i="37"/>
  <c r="BE83" i="37"/>
  <c r="BE84" i="37"/>
  <c r="BD96" i="37"/>
  <c r="BD95" i="37"/>
  <c r="BD94" i="37"/>
  <c r="BD93" i="37"/>
  <c r="BD86" i="37"/>
  <c r="BD92" i="37"/>
  <c r="BD90" i="37"/>
  <c r="BD85" i="37"/>
  <c r="BD91" i="37"/>
  <c r="BD88" i="37"/>
  <c r="BD87" i="37"/>
  <c r="BD89" i="37"/>
  <c r="BE28" i="37"/>
  <c r="BF29" i="37"/>
  <c r="BF30" i="37" l="1"/>
  <c r="BF31" i="37"/>
  <c r="BF32" i="37"/>
  <c r="BF33" i="37"/>
  <c r="BF34" i="37"/>
  <c r="BF35" i="37"/>
  <c r="BF36" i="37"/>
  <c r="BF37" i="37"/>
  <c r="BF38" i="37"/>
  <c r="BF39" i="37"/>
  <c r="BF40" i="37"/>
  <c r="BF41" i="37"/>
  <c r="BF42" i="37"/>
  <c r="BF43" i="37"/>
  <c r="BF44" i="37"/>
  <c r="BF45" i="37"/>
  <c r="BF46" i="37"/>
  <c r="BF47" i="37"/>
  <c r="BF48" i="37"/>
  <c r="BF52" i="37"/>
  <c r="BF55" i="37"/>
  <c r="BF56" i="37"/>
  <c r="BF57" i="37"/>
  <c r="BF58" i="37"/>
  <c r="BF59" i="37"/>
  <c r="BF60" i="37"/>
  <c r="BF61" i="37"/>
  <c r="BF62" i="37"/>
  <c r="BF63" i="37"/>
  <c r="BF64" i="37"/>
  <c r="BF65" i="37"/>
  <c r="BF66" i="37"/>
  <c r="BF49" i="37"/>
  <c r="BF53" i="37"/>
  <c r="BF50" i="37"/>
  <c r="BF54" i="37"/>
  <c r="BF67" i="37"/>
  <c r="BF51" i="37"/>
  <c r="BF68" i="37"/>
  <c r="BF69" i="37"/>
  <c r="BF70" i="37"/>
  <c r="BF71" i="37"/>
  <c r="BF72" i="37"/>
  <c r="BF73" i="37"/>
  <c r="BF74" i="37"/>
  <c r="BF75" i="37"/>
  <c r="BF76" i="37"/>
  <c r="BF83" i="37"/>
  <c r="BF77" i="37"/>
  <c r="BF78" i="37"/>
  <c r="BF79" i="37"/>
  <c r="BF80" i="37"/>
  <c r="BF81" i="37"/>
  <c r="BF82" i="37"/>
  <c r="BF84" i="37"/>
  <c r="BE96" i="37"/>
  <c r="BE95" i="37"/>
  <c r="BE94" i="37"/>
  <c r="BE93" i="37"/>
  <c r="BE92" i="37"/>
  <c r="BE91" i="37"/>
  <c r="BE90" i="37"/>
  <c r="BE89" i="37"/>
  <c r="BE88" i="37"/>
  <c r="BE85" i="37"/>
  <c r="BE87" i="37"/>
  <c r="BE86" i="37"/>
  <c r="BF28" i="37"/>
  <c r="BG29" i="37"/>
  <c r="F39" i="1" l="1"/>
  <c r="F40" i="1"/>
  <c r="G41" i="1" s="1"/>
  <c r="BG31" i="37"/>
  <c r="BG33" i="37"/>
  <c r="BG30" i="37"/>
  <c r="BG35" i="37"/>
  <c r="BG32" i="37"/>
  <c r="BG36" i="37"/>
  <c r="BG37" i="37"/>
  <c r="BG38" i="37"/>
  <c r="BG39" i="37"/>
  <c r="BG40" i="37"/>
  <c r="BG41" i="37"/>
  <c r="BG42" i="37"/>
  <c r="BG34" i="37"/>
  <c r="BG43" i="37"/>
  <c r="BG44" i="37"/>
  <c r="BG45" i="37"/>
  <c r="BG46" i="37"/>
  <c r="BG47" i="37"/>
  <c r="BG48" i="37"/>
  <c r="BG49" i="37"/>
  <c r="BG50" i="37"/>
  <c r="BG51" i="37"/>
  <c r="BG52" i="37"/>
  <c r="BG53" i="37"/>
  <c r="BG54" i="37"/>
  <c r="BG55" i="37"/>
  <c r="BG56" i="37"/>
  <c r="BG57" i="37"/>
  <c r="BG58" i="37"/>
  <c r="BG59" i="37"/>
  <c r="BG60" i="37"/>
  <c r="BG61" i="37"/>
  <c r="BG62" i="37"/>
  <c r="BG63" i="37"/>
  <c r="BG64" i="37"/>
  <c r="BG65" i="37"/>
  <c r="BG66" i="37"/>
  <c r="BG67" i="37"/>
  <c r="BG68" i="37"/>
  <c r="BG69" i="37"/>
  <c r="BG70" i="37"/>
  <c r="BG71" i="37"/>
  <c r="BG72" i="37"/>
  <c r="BG73" i="37"/>
  <c r="BG74" i="37"/>
  <c r="BG75" i="37"/>
  <c r="BG76" i="37"/>
  <c r="BG77" i="37"/>
  <c r="BG78" i="37"/>
  <c r="BG79" i="37"/>
  <c r="BG80" i="37"/>
  <c r="BG81" i="37"/>
  <c r="BG82" i="37"/>
  <c r="BG83" i="37"/>
  <c r="BG84" i="37"/>
  <c r="BF96" i="37"/>
  <c r="BF95" i="37"/>
  <c r="BF94" i="37"/>
  <c r="BF93" i="37"/>
  <c r="BF92" i="37"/>
  <c r="BF87" i="37"/>
  <c r="BF90" i="37"/>
  <c r="BF86" i="37"/>
  <c r="BF89" i="37"/>
  <c r="BF88" i="37"/>
  <c r="BF85" i="37"/>
  <c r="BF91" i="37"/>
  <c r="BG28" i="37"/>
  <c r="BH29" i="37"/>
  <c r="BH30" i="37" l="1"/>
  <c r="BH32" i="37"/>
  <c r="BH34" i="37"/>
  <c r="BH35" i="37"/>
  <c r="BH31" i="37"/>
  <c r="BH33" i="37"/>
  <c r="BH36" i="37"/>
  <c r="BH40" i="37"/>
  <c r="BH37" i="37"/>
  <c r="BH41" i="37"/>
  <c r="BH38" i="37"/>
  <c r="BH42" i="37"/>
  <c r="BH43" i="37"/>
  <c r="BH44" i="37"/>
  <c r="BH45" i="37"/>
  <c r="BH46" i="37"/>
  <c r="BH47" i="37"/>
  <c r="BH48" i="37"/>
  <c r="BH49" i="37"/>
  <c r="BH50" i="37"/>
  <c r="BH51" i="37"/>
  <c r="BH52" i="37"/>
  <c r="BH53" i="37"/>
  <c r="BH54" i="37"/>
  <c r="BH39" i="37"/>
  <c r="BH55" i="37"/>
  <c r="BH56" i="37"/>
  <c r="BH57" i="37"/>
  <c r="BH58" i="37"/>
  <c r="BH59" i="37"/>
  <c r="BH60" i="37"/>
  <c r="BH61" i="37"/>
  <c r="BH62" i="37"/>
  <c r="BH63" i="37"/>
  <c r="BH64" i="37"/>
  <c r="BH65" i="37"/>
  <c r="BH66" i="37"/>
  <c r="BH67" i="37"/>
  <c r="BH68" i="37"/>
  <c r="BH69" i="37"/>
  <c r="BH70" i="37"/>
  <c r="BH71" i="37"/>
  <c r="BH72" i="37"/>
  <c r="BH73" i="37"/>
  <c r="BH74" i="37"/>
  <c r="BH75" i="37"/>
  <c r="BH76" i="37"/>
  <c r="BH77" i="37"/>
  <c r="BH78" i="37"/>
  <c r="BH79" i="37"/>
  <c r="BH80" i="37"/>
  <c r="BH81" i="37"/>
  <c r="BH82" i="37"/>
  <c r="BH83" i="37"/>
  <c r="BH84" i="37"/>
  <c r="BG96" i="37"/>
  <c r="BG95" i="37"/>
  <c r="BG94" i="37"/>
  <c r="BG93" i="37"/>
  <c r="BG92" i="37"/>
  <c r="BG89" i="37"/>
  <c r="BG85" i="37"/>
  <c r="BG90" i="37"/>
  <c r="BG86" i="37"/>
  <c r="BG87" i="37"/>
  <c r="BG91" i="37"/>
  <c r="BG88" i="37"/>
  <c r="BH28" i="37"/>
  <c r="BI29" i="37"/>
  <c r="I43" i="1"/>
  <c r="J43" i="1" l="1"/>
  <c r="J44" i="1" s="1"/>
  <c r="BI30" i="37"/>
  <c r="BI31" i="37"/>
  <c r="BI32" i="37"/>
  <c r="BI33" i="37"/>
  <c r="BI34" i="37"/>
  <c r="BI35" i="37"/>
  <c r="BI36" i="37"/>
  <c r="BI37" i="37"/>
  <c r="BI38" i="37"/>
  <c r="BI39" i="37"/>
  <c r="BI40" i="37"/>
  <c r="BI41" i="37"/>
  <c r="BI42" i="37"/>
  <c r="BI45" i="37"/>
  <c r="BI46" i="37"/>
  <c r="BI43" i="37"/>
  <c r="BI47" i="37"/>
  <c r="BI49" i="37"/>
  <c r="BI50" i="37"/>
  <c r="BI51" i="37"/>
  <c r="BI52" i="37"/>
  <c r="BI53" i="37"/>
  <c r="BI54" i="37"/>
  <c r="BI44" i="37"/>
  <c r="BI48" i="37"/>
  <c r="BI55" i="37"/>
  <c r="BI59" i="37"/>
  <c r="BI63" i="37"/>
  <c r="BI56" i="37"/>
  <c r="BI60" i="37"/>
  <c r="BI64" i="37"/>
  <c r="BI67" i="37"/>
  <c r="BI57" i="37"/>
  <c r="BI61" i="37"/>
  <c r="BI58" i="37"/>
  <c r="BI62" i="37"/>
  <c r="BI66" i="37"/>
  <c r="BI65" i="37"/>
  <c r="BI68" i="37"/>
  <c r="BI69" i="37"/>
  <c r="BI70" i="37"/>
  <c r="BI71" i="37"/>
  <c r="BI72" i="37"/>
  <c r="BI73" i="37"/>
  <c r="BI74" i="37"/>
  <c r="BI75" i="37"/>
  <c r="BI76" i="37"/>
  <c r="BI77" i="37"/>
  <c r="BI78" i="37"/>
  <c r="BI79" i="37"/>
  <c r="BI80" i="37"/>
  <c r="BI81" i="37"/>
  <c r="BI82" i="37"/>
  <c r="BI83" i="37"/>
  <c r="BI84" i="37"/>
  <c r="BH96" i="37"/>
  <c r="BH95" i="37"/>
  <c r="BH94" i="37"/>
  <c r="BH93" i="37"/>
  <c r="BH92" i="37"/>
  <c r="BH91" i="37"/>
  <c r="BH88" i="37"/>
  <c r="BH89" i="37"/>
  <c r="BH85" i="37"/>
  <c r="BH87" i="37"/>
  <c r="BH86" i="37"/>
  <c r="BH90" i="37"/>
  <c r="BI28" i="37"/>
  <c r="BJ29" i="37"/>
  <c r="K43" i="1" l="1"/>
  <c r="K44" i="1" s="1"/>
  <c r="J45" i="1"/>
  <c r="BJ30" i="37"/>
  <c r="BJ31" i="37"/>
  <c r="BJ32" i="37"/>
  <c r="BJ33" i="37"/>
  <c r="BJ34" i="37"/>
  <c r="BJ35" i="37"/>
  <c r="BJ36" i="37"/>
  <c r="BJ37" i="37"/>
  <c r="BJ38" i="37"/>
  <c r="BJ39" i="37"/>
  <c r="BJ40" i="37"/>
  <c r="BJ41" i="37"/>
  <c r="BJ42" i="37"/>
  <c r="BJ43" i="37"/>
  <c r="BJ44" i="37"/>
  <c r="BJ45" i="37"/>
  <c r="BJ46" i="37"/>
  <c r="BJ47" i="37"/>
  <c r="BJ48" i="37"/>
  <c r="BJ51" i="37"/>
  <c r="BJ55" i="37"/>
  <c r="BJ56" i="37"/>
  <c r="BJ57" i="37"/>
  <c r="BJ58" i="37"/>
  <c r="BJ59" i="37"/>
  <c r="BJ60" i="37"/>
  <c r="BJ61" i="37"/>
  <c r="BJ62" i="37"/>
  <c r="BJ63" i="37"/>
  <c r="BJ64" i="37"/>
  <c r="BJ65" i="37"/>
  <c r="BJ52" i="37"/>
  <c r="BJ49" i="37"/>
  <c r="BJ53" i="37"/>
  <c r="BJ66" i="37"/>
  <c r="BJ68" i="37"/>
  <c r="BJ50" i="37"/>
  <c r="BJ54" i="37"/>
  <c r="BJ67" i="37"/>
  <c r="BJ69" i="37"/>
  <c r="BJ70" i="37"/>
  <c r="BJ71" i="37"/>
  <c r="BJ72" i="37"/>
  <c r="BJ73" i="37"/>
  <c r="BJ74" i="37"/>
  <c r="BJ75" i="37"/>
  <c r="BJ76" i="37"/>
  <c r="BJ84" i="37"/>
  <c r="BJ77" i="37"/>
  <c r="BJ78" i="37"/>
  <c r="BJ79" i="37"/>
  <c r="BJ80" i="37"/>
  <c r="BJ81" i="37"/>
  <c r="BJ82" i="37"/>
  <c r="BJ83" i="37"/>
  <c r="BI96" i="37"/>
  <c r="BI95" i="37"/>
  <c r="BI94" i="37"/>
  <c r="BI93" i="37"/>
  <c r="BI89" i="37"/>
  <c r="BI85" i="37"/>
  <c r="BI86" i="37"/>
  <c r="BI92" i="37"/>
  <c r="BI90" i="37"/>
  <c r="BI87" i="37"/>
  <c r="BI91" i="37"/>
  <c r="BI88" i="37"/>
  <c r="BJ28" i="37"/>
  <c r="BK29" i="37"/>
  <c r="K45" i="1" l="1"/>
  <c r="C50" i="33" s="1"/>
  <c r="BK30" i="37"/>
  <c r="BK32" i="37"/>
  <c r="BK33" i="37"/>
  <c r="BK34" i="37"/>
  <c r="BK35" i="37"/>
  <c r="BK36" i="37"/>
  <c r="BK37" i="37"/>
  <c r="BK38" i="37"/>
  <c r="BK39" i="37"/>
  <c r="BK40" i="37"/>
  <c r="BK41" i="37"/>
  <c r="BK42" i="37"/>
  <c r="BK43" i="37"/>
  <c r="BK44" i="37"/>
  <c r="BK45" i="37"/>
  <c r="BK46" i="37"/>
  <c r="BK47" i="37"/>
  <c r="BK48" i="37"/>
  <c r="BK31" i="37"/>
  <c r="BK49" i="37"/>
  <c r="BK50" i="37"/>
  <c r="BK51" i="37"/>
  <c r="BK52" i="37"/>
  <c r="BK53" i="37"/>
  <c r="BK54" i="37"/>
  <c r="BK55" i="37"/>
  <c r="BK56" i="37"/>
  <c r="BK57" i="37"/>
  <c r="BK58" i="37"/>
  <c r="BK59" i="37"/>
  <c r="BK60" i="37"/>
  <c r="BK61" i="37"/>
  <c r="BK62" i="37"/>
  <c r="BK63" i="37"/>
  <c r="BK64" i="37"/>
  <c r="BK65" i="37"/>
  <c r="BK66" i="37"/>
  <c r="BK67" i="37"/>
  <c r="BK68" i="37"/>
  <c r="BK69" i="37"/>
  <c r="BK70" i="37"/>
  <c r="BK71" i="37"/>
  <c r="BK72" i="37"/>
  <c r="BK73" i="37"/>
  <c r="BK74" i="37"/>
  <c r="BK75" i="37"/>
  <c r="BK76" i="37"/>
  <c r="BK77" i="37"/>
  <c r="BK78" i="37"/>
  <c r="BK79" i="37"/>
  <c r="BK80" i="37"/>
  <c r="BK81" i="37"/>
  <c r="BK82" i="37"/>
  <c r="BK83" i="37"/>
  <c r="BK84" i="37"/>
  <c r="BJ96" i="37"/>
  <c r="BJ95" i="37"/>
  <c r="BJ94" i="37"/>
  <c r="BJ93" i="37"/>
  <c r="BJ86" i="37"/>
  <c r="BJ92" i="37"/>
  <c r="BJ91" i="37"/>
  <c r="BJ88" i="37"/>
  <c r="BJ87" i="37"/>
  <c r="BJ85" i="37"/>
  <c r="BJ89" i="37"/>
  <c r="BJ90" i="37"/>
  <c r="BK28" i="37"/>
  <c r="BL29" i="37"/>
  <c r="G24" i="33" l="1"/>
  <c r="I26" i="33" s="1"/>
  <c r="G37" i="33"/>
  <c r="E16" i="33"/>
  <c r="D45" i="1"/>
  <c r="E50" i="19"/>
  <c r="BL31" i="37"/>
  <c r="BL33" i="37"/>
  <c r="BL34" i="37"/>
  <c r="BL35" i="37"/>
  <c r="BL30" i="37"/>
  <c r="BL32" i="37"/>
  <c r="BL39" i="37"/>
  <c r="BL36" i="37"/>
  <c r="BL40" i="37"/>
  <c r="BL37" i="37"/>
  <c r="BL41" i="37"/>
  <c r="BL43" i="37"/>
  <c r="BL44" i="37"/>
  <c r="BL45" i="37"/>
  <c r="BL46" i="37"/>
  <c r="BL47" i="37"/>
  <c r="BL48" i="37"/>
  <c r="BL38" i="37"/>
  <c r="BL49" i="37"/>
  <c r="BL50" i="37"/>
  <c r="BL51" i="37"/>
  <c r="BL52" i="37"/>
  <c r="BL53" i="37"/>
  <c r="BL54" i="37"/>
  <c r="BL42" i="37"/>
  <c r="BL55" i="37"/>
  <c r="BL56" i="37"/>
  <c r="BL57" i="37"/>
  <c r="BL58" i="37"/>
  <c r="BL59" i="37"/>
  <c r="BL60" i="37"/>
  <c r="BL61" i="37"/>
  <c r="BL62" i="37"/>
  <c r="BL63" i="37"/>
  <c r="BL64" i="37"/>
  <c r="BL65" i="37"/>
  <c r="BL66" i="37"/>
  <c r="BL67" i="37"/>
  <c r="BL68" i="37"/>
  <c r="BL69" i="37"/>
  <c r="BL70" i="37"/>
  <c r="BL71" i="37"/>
  <c r="BL72" i="37"/>
  <c r="BL73" i="37"/>
  <c r="BL74" i="37"/>
  <c r="BL75" i="37"/>
  <c r="BL76" i="37"/>
  <c r="BL77" i="37"/>
  <c r="BL78" i="37"/>
  <c r="BL79" i="37"/>
  <c r="BL80" i="37"/>
  <c r="BL81" i="37"/>
  <c r="BL82" i="37"/>
  <c r="BL83" i="37"/>
  <c r="BL84" i="37"/>
  <c r="BK90" i="37"/>
  <c r="BK96" i="37"/>
  <c r="BK94" i="37"/>
  <c r="BK86" i="37"/>
  <c r="BK87" i="37"/>
  <c r="BK95" i="37"/>
  <c r="BK92" i="37"/>
  <c r="BK93" i="37"/>
  <c r="BK88" i="37"/>
  <c r="BK85" i="37"/>
  <c r="BK89" i="37"/>
  <c r="BK91" i="37"/>
  <c r="BL28" i="37"/>
  <c r="BM29" i="37"/>
  <c r="E51" i="19" l="1"/>
  <c r="E27" i="33"/>
  <c r="E50" i="33"/>
  <c r="G50" i="33"/>
  <c r="E26" i="33"/>
  <c r="E40" i="33"/>
  <c r="BM30" i="37"/>
  <c r="BM31" i="37"/>
  <c r="BM32" i="37"/>
  <c r="BM33" i="37"/>
  <c r="BM34" i="37"/>
  <c r="BM35" i="37"/>
  <c r="BM36" i="37"/>
  <c r="BM37" i="37"/>
  <c r="BM38" i="37"/>
  <c r="BM39" i="37"/>
  <c r="BM40" i="37"/>
  <c r="BM41" i="37"/>
  <c r="BM42" i="37"/>
  <c r="BM44" i="37"/>
  <c r="BM48" i="37"/>
  <c r="BM45" i="37"/>
  <c r="BM46" i="37"/>
  <c r="BM49" i="37"/>
  <c r="BM50" i="37"/>
  <c r="BM51" i="37"/>
  <c r="BM52" i="37"/>
  <c r="BM53" i="37"/>
  <c r="BM54" i="37"/>
  <c r="BM43" i="37"/>
  <c r="BM47" i="37"/>
  <c r="BM58" i="37"/>
  <c r="BM62" i="37"/>
  <c r="BM55" i="37"/>
  <c r="BM59" i="37"/>
  <c r="BM63" i="37"/>
  <c r="BM66" i="37"/>
  <c r="BM68" i="37"/>
  <c r="BM56" i="37"/>
  <c r="BM60" i="37"/>
  <c r="BM64" i="37"/>
  <c r="BM57" i="37"/>
  <c r="BM61" i="37"/>
  <c r="BM65" i="37"/>
  <c r="BM67" i="37"/>
  <c r="BM69" i="37"/>
  <c r="BM70" i="37"/>
  <c r="BM71" i="37"/>
  <c r="BM72" i="37"/>
  <c r="BM73" i="37"/>
  <c r="BM74" i="37"/>
  <c r="BM75" i="37"/>
  <c r="BM76" i="37"/>
  <c r="BM77" i="37"/>
  <c r="BM78" i="37"/>
  <c r="BM79" i="37"/>
  <c r="BM80" i="37"/>
  <c r="BM81" i="37"/>
  <c r="BM82" i="37"/>
  <c r="BM83" i="37"/>
  <c r="BM84" i="37"/>
  <c r="BL96" i="37"/>
  <c r="BL95" i="37"/>
  <c r="BL94" i="37"/>
  <c r="BL93" i="37"/>
  <c r="BL92" i="37"/>
  <c r="BL91" i="37"/>
  <c r="BL90" i="37"/>
  <c r="BL89" i="37"/>
  <c r="BL88" i="37"/>
  <c r="BL87" i="37"/>
  <c r="BL86" i="37"/>
  <c r="BL85" i="37"/>
  <c r="BM28" i="37"/>
  <c r="BN29" i="37"/>
  <c r="F50" i="33" l="1"/>
  <c r="E54" i="33" s="1"/>
  <c r="E53" i="33"/>
  <c r="F37" i="33"/>
  <c r="I33" i="33" s="1"/>
  <c r="BN30" i="37"/>
  <c r="BN31" i="37"/>
  <c r="BN32" i="37"/>
  <c r="BN33" i="37"/>
  <c r="BN34" i="37"/>
  <c r="BN35" i="37"/>
  <c r="BN36" i="37"/>
  <c r="BN37" i="37"/>
  <c r="BN38" i="37"/>
  <c r="BN39" i="37"/>
  <c r="BN40" i="37"/>
  <c r="BN41" i="37"/>
  <c r="BN42" i="37"/>
  <c r="BN43" i="37"/>
  <c r="BN44" i="37"/>
  <c r="BN45" i="37"/>
  <c r="BN46" i="37"/>
  <c r="BN47" i="37"/>
  <c r="BN48" i="37"/>
  <c r="BN50" i="37"/>
  <c r="BN54" i="37"/>
  <c r="BN55" i="37"/>
  <c r="BN56" i="37"/>
  <c r="BN57" i="37"/>
  <c r="BN58" i="37"/>
  <c r="BN59" i="37"/>
  <c r="BN60" i="37"/>
  <c r="BN61" i="37"/>
  <c r="BN62" i="37"/>
  <c r="BN63" i="37"/>
  <c r="BN64" i="37"/>
  <c r="BN65" i="37"/>
  <c r="BN51" i="37"/>
  <c r="BN52" i="37"/>
  <c r="BN49" i="37"/>
  <c r="BN67" i="37"/>
  <c r="BN53" i="37"/>
  <c r="BN66" i="37"/>
  <c r="BN68" i="37"/>
  <c r="BN69" i="37"/>
  <c r="BN70" i="37"/>
  <c r="BN71" i="37"/>
  <c r="BN72" i="37"/>
  <c r="BN73" i="37"/>
  <c r="BN74" i="37"/>
  <c r="BN75" i="37"/>
  <c r="BN76" i="37"/>
  <c r="BN83" i="37"/>
  <c r="BN77" i="37"/>
  <c r="BN78" i="37"/>
  <c r="BN79" i="37"/>
  <c r="BN80" i="37"/>
  <c r="BN81" i="37"/>
  <c r="BN82" i="37"/>
  <c r="BN84" i="37"/>
  <c r="BM96" i="37"/>
  <c r="BM95" i="37"/>
  <c r="BM94" i="37"/>
  <c r="BM93" i="37"/>
  <c r="BM87" i="37"/>
  <c r="BM90" i="37"/>
  <c r="BM85" i="37"/>
  <c r="BM91" i="37"/>
  <c r="BM92" i="37"/>
  <c r="BM86" i="37"/>
  <c r="BM88" i="37"/>
  <c r="BM89" i="37"/>
  <c r="BN28" i="37"/>
  <c r="BO29" i="37"/>
  <c r="I42" i="33" l="1"/>
  <c r="K1" i="33" s="1"/>
  <c r="E41" i="33"/>
  <c r="BO31" i="37"/>
  <c r="BO33" i="37"/>
  <c r="BO30" i="37"/>
  <c r="BO34" i="37"/>
  <c r="BO32" i="37"/>
  <c r="BO35" i="37"/>
  <c r="BO36" i="37"/>
  <c r="BO37" i="37"/>
  <c r="BO38" i="37"/>
  <c r="BO39" i="37"/>
  <c r="BO40" i="37"/>
  <c r="BO41" i="37"/>
  <c r="BO42" i="37"/>
  <c r="BO43" i="37"/>
  <c r="BO44" i="37"/>
  <c r="BO45" i="37"/>
  <c r="BO46" i="37"/>
  <c r="BO47" i="37"/>
  <c r="BO48" i="37"/>
  <c r="BO49" i="37"/>
  <c r="BO50" i="37"/>
  <c r="BO51" i="37"/>
  <c r="BO52" i="37"/>
  <c r="BO53" i="37"/>
  <c r="BO54" i="37"/>
  <c r="BO55" i="37"/>
  <c r="BO56" i="37"/>
  <c r="BO57" i="37"/>
  <c r="BO58" i="37"/>
  <c r="BO59" i="37"/>
  <c r="BO60" i="37"/>
  <c r="BO61" i="37"/>
  <c r="BO62" i="37"/>
  <c r="BO63" i="37"/>
  <c r="BO64" i="37"/>
  <c r="BO65" i="37"/>
  <c r="BO66" i="37"/>
  <c r="BO67" i="37"/>
  <c r="BO68" i="37"/>
  <c r="BO69" i="37"/>
  <c r="BO70" i="37"/>
  <c r="BO71" i="37"/>
  <c r="BO72" i="37"/>
  <c r="BO73" i="37"/>
  <c r="BO74" i="37"/>
  <c r="BO75" i="37"/>
  <c r="BO76" i="37"/>
  <c r="BO77" i="37"/>
  <c r="BO78" i="37"/>
  <c r="BO79" i="37"/>
  <c r="BO80" i="37"/>
  <c r="BO81" i="37"/>
  <c r="BO82" i="37"/>
  <c r="BO83" i="37"/>
  <c r="BO84" i="37"/>
  <c r="BN96" i="37"/>
  <c r="BN95" i="37"/>
  <c r="BN94" i="37"/>
  <c r="BN93" i="37"/>
  <c r="BN87" i="37"/>
  <c r="BN92" i="37"/>
  <c r="BN91" i="37"/>
  <c r="BN88" i="37"/>
  <c r="BN90" i="37"/>
  <c r="BN89" i="37"/>
  <c r="BN85" i="37"/>
  <c r="BN86" i="37"/>
  <c r="BO28" i="37"/>
  <c r="BP29" i="37"/>
  <c r="BP30" i="37" l="1"/>
  <c r="BP32" i="37"/>
  <c r="BP34" i="37"/>
  <c r="BP35" i="37"/>
  <c r="BP31" i="37"/>
  <c r="BP33" i="37"/>
  <c r="BP38" i="37"/>
  <c r="BP42" i="37"/>
  <c r="BP39" i="37"/>
  <c r="BP36" i="37"/>
  <c r="BP40" i="37"/>
  <c r="BP43" i="37"/>
  <c r="BP44" i="37"/>
  <c r="BP45" i="37"/>
  <c r="BP46" i="37"/>
  <c r="BP47" i="37"/>
  <c r="BP48" i="37"/>
  <c r="BP37" i="37"/>
  <c r="BP41" i="37"/>
  <c r="BP49" i="37"/>
  <c r="BP50" i="37"/>
  <c r="BP51" i="37"/>
  <c r="BP52" i="37"/>
  <c r="BP53" i="37"/>
  <c r="BP54" i="37"/>
  <c r="BP55" i="37"/>
  <c r="BP56" i="37"/>
  <c r="BP57" i="37"/>
  <c r="BP58" i="37"/>
  <c r="BP59" i="37"/>
  <c r="BP60" i="37"/>
  <c r="BP61" i="37"/>
  <c r="BP62" i="37"/>
  <c r="BP63" i="37"/>
  <c r="BP64" i="37"/>
  <c r="BP65" i="37"/>
  <c r="BP66" i="37"/>
  <c r="BP67" i="37"/>
  <c r="BP68" i="37"/>
  <c r="BP69" i="37"/>
  <c r="BP70" i="37"/>
  <c r="BP71" i="37"/>
  <c r="BP72" i="37"/>
  <c r="BP73" i="37"/>
  <c r="BP74" i="37"/>
  <c r="BP75" i="37"/>
  <c r="BP76" i="37"/>
  <c r="BP77" i="37"/>
  <c r="BP78" i="37"/>
  <c r="BP79" i="37"/>
  <c r="BP80" i="37"/>
  <c r="BP81" i="37"/>
  <c r="BP82" i="37"/>
  <c r="BP83" i="37"/>
  <c r="BP84" i="37"/>
  <c r="BO96" i="37"/>
  <c r="BO95" i="37"/>
  <c r="BO94" i="37"/>
  <c r="BO93" i="37"/>
  <c r="BO92" i="37"/>
  <c r="BO91" i="37"/>
  <c r="BO90" i="37"/>
  <c r="BO89" i="37"/>
  <c r="BO88" i="37"/>
  <c r="BO87" i="37"/>
  <c r="BO86" i="37"/>
  <c r="BO85" i="37"/>
  <c r="BP28" i="37"/>
  <c r="BQ29" i="37"/>
  <c r="BQ30" i="37" l="1"/>
  <c r="BQ31" i="37"/>
  <c r="BQ32" i="37"/>
  <c r="BQ33" i="37"/>
  <c r="BQ34" i="37"/>
  <c r="BQ35" i="37"/>
  <c r="BQ36" i="37"/>
  <c r="BQ37" i="37"/>
  <c r="BQ38" i="37"/>
  <c r="BQ39" i="37"/>
  <c r="BQ40" i="37"/>
  <c r="BQ41" i="37"/>
  <c r="BQ42" i="37"/>
  <c r="BQ43" i="37"/>
  <c r="BQ47" i="37"/>
  <c r="BQ44" i="37"/>
  <c r="BQ48" i="37"/>
  <c r="BQ45" i="37"/>
  <c r="BQ49" i="37"/>
  <c r="BQ50" i="37"/>
  <c r="BQ51" i="37"/>
  <c r="BQ52" i="37"/>
  <c r="BQ53" i="37"/>
  <c r="BQ54" i="37"/>
  <c r="BQ46" i="37"/>
  <c r="BQ57" i="37"/>
  <c r="BQ61" i="37"/>
  <c r="BQ65" i="37"/>
  <c r="BQ58" i="37"/>
  <c r="BQ62" i="37"/>
  <c r="BQ67" i="37"/>
  <c r="BQ55" i="37"/>
  <c r="BQ59" i="37"/>
  <c r="BQ63" i="37"/>
  <c r="BQ56" i="37"/>
  <c r="BQ60" i="37"/>
  <c r="BQ64" i="37"/>
  <c r="BQ66" i="37"/>
  <c r="BQ68" i="37"/>
  <c r="BQ69" i="37"/>
  <c r="BQ70" i="37"/>
  <c r="BQ71" i="37"/>
  <c r="BQ72" i="37"/>
  <c r="BQ73" i="37"/>
  <c r="BQ74" i="37"/>
  <c r="BQ75" i="37"/>
  <c r="BQ76" i="37"/>
  <c r="BQ77" i="37"/>
  <c r="BQ78" i="37"/>
  <c r="BQ79" i="37"/>
  <c r="BQ80" i="37"/>
  <c r="BQ81" i="37"/>
  <c r="BQ82" i="37"/>
  <c r="BQ83" i="37"/>
  <c r="BQ84" i="37"/>
  <c r="BP96" i="37"/>
  <c r="BP95" i="37"/>
  <c r="BP94" i="37"/>
  <c r="BP93" i="37"/>
  <c r="BP89" i="37"/>
  <c r="BP85" i="37"/>
  <c r="BP92" i="37"/>
  <c r="BP91" i="37"/>
  <c r="BP88" i="37"/>
  <c r="BP87" i="37"/>
  <c r="BP86" i="37"/>
  <c r="BP90" i="37"/>
  <c r="BQ28" i="37"/>
  <c r="BR29" i="37"/>
  <c r="BR30" i="37" l="1"/>
  <c r="BR31" i="37"/>
  <c r="BR32" i="37"/>
  <c r="BR33" i="37"/>
  <c r="BR34" i="37"/>
  <c r="BR35" i="37"/>
  <c r="BR36" i="37"/>
  <c r="BR37" i="37"/>
  <c r="BR38" i="37"/>
  <c r="BR39" i="37"/>
  <c r="BR40" i="37"/>
  <c r="BR41" i="37"/>
  <c r="BR42" i="37"/>
  <c r="BR43" i="37"/>
  <c r="BR44" i="37"/>
  <c r="BR45" i="37"/>
  <c r="BR46" i="37"/>
  <c r="BR47" i="37"/>
  <c r="BR48" i="37"/>
  <c r="BR49" i="37"/>
  <c r="BR53" i="37"/>
  <c r="BR55" i="37"/>
  <c r="BR56" i="37"/>
  <c r="BR57" i="37"/>
  <c r="BR58" i="37"/>
  <c r="BR59" i="37"/>
  <c r="BR60" i="37"/>
  <c r="BR61" i="37"/>
  <c r="BR62" i="37"/>
  <c r="BR63" i="37"/>
  <c r="BR64" i="37"/>
  <c r="BR65" i="37"/>
  <c r="BR50" i="37"/>
  <c r="BR54" i="37"/>
  <c r="BR51" i="37"/>
  <c r="BR52" i="37"/>
  <c r="BR66" i="37"/>
  <c r="BR68" i="37"/>
  <c r="BR67" i="37"/>
  <c r="BR69" i="37"/>
  <c r="BR70" i="37"/>
  <c r="BR71" i="37"/>
  <c r="BR72" i="37"/>
  <c r="BR73" i="37"/>
  <c r="BR74" i="37"/>
  <c r="BR75" i="37"/>
  <c r="BR76" i="37"/>
  <c r="BR84" i="37"/>
  <c r="BR77" i="37"/>
  <c r="BR78" i="37"/>
  <c r="BR79" i="37"/>
  <c r="BR80" i="37"/>
  <c r="BR81" i="37"/>
  <c r="BR82" i="37"/>
  <c r="BR83" i="37"/>
  <c r="BQ96" i="37"/>
  <c r="BQ95" i="37"/>
  <c r="BQ94" i="37"/>
  <c r="BQ93" i="37"/>
  <c r="BQ92" i="37"/>
  <c r="BQ91" i="37"/>
  <c r="BQ90" i="37"/>
  <c r="BQ89" i="37"/>
  <c r="BQ88" i="37"/>
  <c r="BQ85" i="37"/>
  <c r="BQ87" i="37"/>
  <c r="BQ86" i="37"/>
  <c r="BR28" i="37"/>
  <c r="BS29" i="37"/>
  <c r="BS30" i="37" l="1"/>
  <c r="BS32" i="37"/>
  <c r="BS31" i="37"/>
  <c r="BS33" i="37"/>
  <c r="BS34" i="37"/>
  <c r="BS36" i="37"/>
  <c r="BS37" i="37"/>
  <c r="BS38" i="37"/>
  <c r="BS39" i="37"/>
  <c r="BS40" i="37"/>
  <c r="BS41" i="37"/>
  <c r="BS42" i="37"/>
  <c r="BS43" i="37"/>
  <c r="BS44" i="37"/>
  <c r="BS45" i="37"/>
  <c r="BS46" i="37"/>
  <c r="BS47" i="37"/>
  <c r="BS48" i="37"/>
  <c r="BS35" i="37"/>
  <c r="BS49" i="37"/>
  <c r="BS50" i="37"/>
  <c r="BS51" i="37"/>
  <c r="BS52" i="37"/>
  <c r="BS53" i="37"/>
  <c r="BS54" i="37"/>
  <c r="BS55" i="37"/>
  <c r="BS56" i="37"/>
  <c r="BS57" i="37"/>
  <c r="BS58" i="37"/>
  <c r="BS59" i="37"/>
  <c r="BS60" i="37"/>
  <c r="BS61" i="37"/>
  <c r="BS62" i="37"/>
  <c r="BS63" i="37"/>
  <c r="BS64" i="37"/>
  <c r="BS65" i="37"/>
  <c r="BS66" i="37"/>
  <c r="BS67" i="37"/>
  <c r="BS68" i="37"/>
  <c r="BS69" i="37"/>
  <c r="BS70" i="37"/>
  <c r="BS71" i="37"/>
  <c r="BS72" i="37"/>
  <c r="BS73" i="37"/>
  <c r="BS74" i="37"/>
  <c r="BS75" i="37"/>
  <c r="BS76" i="37"/>
  <c r="BS77" i="37"/>
  <c r="BS78" i="37"/>
  <c r="BS79" i="37"/>
  <c r="BS80" i="37"/>
  <c r="BS81" i="37"/>
  <c r="BS82" i="37"/>
  <c r="BS83" i="37"/>
  <c r="BS84" i="37"/>
  <c r="BR96" i="37"/>
  <c r="BR95" i="37"/>
  <c r="BR94" i="37"/>
  <c r="BR93" i="37"/>
  <c r="BR92" i="37"/>
  <c r="BR86" i="37"/>
  <c r="BR91" i="37"/>
  <c r="BR85" i="37"/>
  <c r="BR87" i="37"/>
  <c r="BR88" i="37"/>
  <c r="BR89" i="37"/>
  <c r="BR90" i="37"/>
  <c r="BT29" i="37"/>
  <c r="BS28" i="37"/>
  <c r="BT31" i="37" l="1"/>
  <c r="BT33" i="37"/>
  <c r="BT34" i="37"/>
  <c r="BT35" i="37"/>
  <c r="BT30" i="37"/>
  <c r="BT32" i="37"/>
  <c r="BT37" i="37"/>
  <c r="BT41" i="37"/>
  <c r="BT38" i="37"/>
  <c r="BT42" i="37"/>
  <c r="BT39" i="37"/>
  <c r="BT43" i="37"/>
  <c r="BT44" i="37"/>
  <c r="BT45" i="37"/>
  <c r="BT46" i="37"/>
  <c r="BT47" i="37"/>
  <c r="BT48" i="37"/>
  <c r="BT40" i="37"/>
  <c r="BT49" i="37"/>
  <c r="BT50" i="37"/>
  <c r="BT51" i="37"/>
  <c r="BT52" i="37"/>
  <c r="BT53" i="37"/>
  <c r="BT54" i="37"/>
  <c r="BT36" i="37"/>
  <c r="BT55" i="37"/>
  <c r="BT56" i="37"/>
  <c r="BT57" i="37"/>
  <c r="BT58" i="37"/>
  <c r="BT59" i="37"/>
  <c r="BT60" i="37"/>
  <c r="BT61" i="37"/>
  <c r="BT62" i="37"/>
  <c r="BT63" i="37"/>
  <c r="BT64" i="37"/>
  <c r="BT65" i="37"/>
  <c r="BT66" i="37"/>
  <c r="BT67" i="37"/>
  <c r="BT68" i="37"/>
  <c r="BT69" i="37"/>
  <c r="BT70" i="37"/>
  <c r="BT71" i="37"/>
  <c r="BT72" i="37"/>
  <c r="BT73" i="37"/>
  <c r="BT74" i="37"/>
  <c r="BT75" i="37"/>
  <c r="BT76" i="37"/>
  <c r="BT77" i="37"/>
  <c r="BT78" i="37"/>
  <c r="BT79" i="37"/>
  <c r="BT80" i="37"/>
  <c r="BT81" i="37"/>
  <c r="BT84" i="37"/>
  <c r="BT82" i="37"/>
  <c r="BT83" i="37"/>
  <c r="BS96" i="37"/>
  <c r="BS95" i="37"/>
  <c r="BS94" i="37"/>
  <c r="BS93" i="37"/>
  <c r="BS92" i="37"/>
  <c r="BS90" i="37"/>
  <c r="BS89" i="37"/>
  <c r="BS91" i="37"/>
  <c r="BS85" i="37"/>
  <c r="BS86" i="37"/>
  <c r="BS87" i="37"/>
  <c r="BS88" i="37"/>
  <c r="BT28" i="37"/>
  <c r="BU29" i="37"/>
  <c r="BU30" i="37" l="1"/>
  <c r="BU31" i="37"/>
  <c r="BU32" i="37"/>
  <c r="BU33" i="37"/>
  <c r="BU34" i="37"/>
  <c r="BU35" i="37"/>
  <c r="BU36" i="37"/>
  <c r="BU37" i="37"/>
  <c r="BU38" i="37"/>
  <c r="BU39" i="37"/>
  <c r="BU40" i="37"/>
  <c r="BU41" i="37"/>
  <c r="BU42" i="37"/>
  <c r="BU46" i="37"/>
  <c r="BU43" i="37"/>
  <c r="BU47" i="37"/>
  <c r="BU44" i="37"/>
  <c r="BU48" i="37"/>
  <c r="BU49" i="37"/>
  <c r="BU50" i="37"/>
  <c r="BU51" i="37"/>
  <c r="BU52" i="37"/>
  <c r="BU53" i="37"/>
  <c r="BU54" i="37"/>
  <c r="BU56" i="37"/>
  <c r="BU60" i="37"/>
  <c r="BU64" i="37"/>
  <c r="BU45" i="37"/>
  <c r="BU57" i="37"/>
  <c r="BU61" i="37"/>
  <c r="BU65" i="37"/>
  <c r="BU66" i="37"/>
  <c r="BU68" i="37"/>
  <c r="BU58" i="37"/>
  <c r="BU62" i="37"/>
  <c r="BU55" i="37"/>
  <c r="BU59" i="37"/>
  <c r="BU63" i="37"/>
  <c r="BU67" i="37"/>
  <c r="BU69" i="37"/>
  <c r="BU70" i="37"/>
  <c r="BU71" i="37"/>
  <c r="BU72" i="37"/>
  <c r="BU73" i="37"/>
  <c r="BU74" i="37"/>
  <c r="BU75" i="37"/>
  <c r="BU76" i="37"/>
  <c r="BU77" i="37"/>
  <c r="BU78" i="37"/>
  <c r="BU79" i="37"/>
  <c r="BU80" i="37"/>
  <c r="BU81" i="37"/>
  <c r="BU82" i="37"/>
  <c r="BU83" i="37"/>
  <c r="BU84" i="37"/>
  <c r="BT96" i="37"/>
  <c r="BT95" i="37"/>
  <c r="BT94" i="37"/>
  <c r="BT93" i="37"/>
  <c r="BT87" i="37"/>
  <c r="BT92" i="37"/>
  <c r="BT90" i="37"/>
  <c r="BT86" i="37"/>
  <c r="BT91" i="37"/>
  <c r="BT85" i="37"/>
  <c r="BT88" i="37"/>
  <c r="BT89" i="37"/>
  <c r="BU28" i="37"/>
  <c r="BV29" i="37"/>
  <c r="BV30" i="37" l="1"/>
  <c r="BV31" i="37"/>
  <c r="BV32" i="37"/>
  <c r="BV33" i="37"/>
  <c r="BV34" i="37"/>
  <c r="BV35" i="37"/>
  <c r="BV36" i="37"/>
  <c r="BV37" i="37"/>
  <c r="BV38" i="37"/>
  <c r="BV39" i="37"/>
  <c r="BV40" i="37"/>
  <c r="BV41" i="37"/>
  <c r="BV42" i="37"/>
  <c r="BV43" i="37"/>
  <c r="BV44" i="37"/>
  <c r="BV45" i="37"/>
  <c r="BV46" i="37"/>
  <c r="BV47" i="37"/>
  <c r="BV48" i="37"/>
  <c r="BV52" i="37"/>
  <c r="BV55" i="37"/>
  <c r="BV56" i="37"/>
  <c r="BV57" i="37"/>
  <c r="BV58" i="37"/>
  <c r="BV59" i="37"/>
  <c r="BV60" i="37"/>
  <c r="BV61" i="37"/>
  <c r="BV62" i="37"/>
  <c r="BV63" i="37"/>
  <c r="BV64" i="37"/>
  <c r="BV65" i="37"/>
  <c r="BV49" i="37"/>
  <c r="BV53" i="37"/>
  <c r="BV50" i="37"/>
  <c r="BV54" i="37"/>
  <c r="BV67" i="37"/>
  <c r="BV51" i="37"/>
  <c r="BV66" i="37"/>
  <c r="BV68" i="37"/>
  <c r="BV69" i="37"/>
  <c r="BV70" i="37"/>
  <c r="BV71" i="37"/>
  <c r="BV72" i="37"/>
  <c r="BV73" i="37"/>
  <c r="BV74" i="37"/>
  <c r="BV75" i="37"/>
  <c r="BV76" i="37"/>
  <c r="BV82" i="37"/>
  <c r="BV83" i="37"/>
  <c r="BV77" i="37"/>
  <c r="BV78" i="37"/>
  <c r="BV79" i="37"/>
  <c r="BV80" i="37"/>
  <c r="BV81" i="37"/>
  <c r="BV84" i="37"/>
  <c r="BU96" i="37"/>
  <c r="BU95" i="37"/>
  <c r="BU94" i="37"/>
  <c r="BU93" i="37"/>
  <c r="BU92" i="37"/>
  <c r="BU90" i="37"/>
  <c r="BU85" i="37"/>
  <c r="BU87" i="37"/>
  <c r="BU89" i="37"/>
  <c r="BU86" i="37"/>
  <c r="BU88" i="37"/>
  <c r="BU91" i="37"/>
  <c r="BV28" i="37"/>
  <c r="BW29" i="37"/>
  <c r="BW31" i="37" l="1"/>
  <c r="BW33" i="37"/>
  <c r="BW35" i="37"/>
  <c r="BW30" i="37"/>
  <c r="BW36" i="37"/>
  <c r="BW37" i="37"/>
  <c r="BW38" i="37"/>
  <c r="BW39" i="37"/>
  <c r="BW40" i="37"/>
  <c r="BW41" i="37"/>
  <c r="BW42" i="37"/>
  <c r="BW34" i="37"/>
  <c r="BW43" i="37"/>
  <c r="BW44" i="37"/>
  <c r="BW45" i="37"/>
  <c r="BW46" i="37"/>
  <c r="BW47" i="37"/>
  <c r="BW48" i="37"/>
  <c r="BW32" i="37"/>
  <c r="BW49" i="37"/>
  <c r="BW50" i="37"/>
  <c r="BW51" i="37"/>
  <c r="BW52" i="37"/>
  <c r="BW53" i="37"/>
  <c r="BW54" i="37"/>
  <c r="BW55" i="37"/>
  <c r="BW56" i="37"/>
  <c r="BW57" i="37"/>
  <c r="BW58" i="37"/>
  <c r="BW59" i="37"/>
  <c r="BW60" i="37"/>
  <c r="BW61" i="37"/>
  <c r="BW62" i="37"/>
  <c r="BW63" i="37"/>
  <c r="BW64" i="37"/>
  <c r="BW65" i="37"/>
  <c r="BW66" i="37"/>
  <c r="BW67" i="37"/>
  <c r="BW68" i="37"/>
  <c r="BW69" i="37"/>
  <c r="BW70" i="37"/>
  <c r="BW71" i="37"/>
  <c r="BW72" i="37"/>
  <c r="BW73" i="37"/>
  <c r="BW74" i="37"/>
  <c r="BW75" i="37"/>
  <c r="BW76" i="37"/>
  <c r="BW77" i="37"/>
  <c r="BW78" i="37"/>
  <c r="BW79" i="37"/>
  <c r="BW80" i="37"/>
  <c r="BW81" i="37"/>
  <c r="BW82" i="37"/>
  <c r="BW83" i="37"/>
  <c r="BW84" i="37"/>
  <c r="BV96" i="37"/>
  <c r="BV95" i="37"/>
  <c r="BV94" i="37"/>
  <c r="BV93" i="37"/>
  <c r="BV88" i="37"/>
  <c r="BV91" i="37"/>
  <c r="BV92" i="37"/>
  <c r="BV85" i="37"/>
  <c r="BV89" i="37"/>
  <c r="BV87" i="37"/>
  <c r="BV90" i="37"/>
  <c r="BV86" i="37"/>
  <c r="BW28" i="37"/>
  <c r="BX29" i="37"/>
  <c r="BX30" i="37" l="1"/>
  <c r="BX32" i="37"/>
  <c r="BX34" i="37"/>
  <c r="BX35" i="37"/>
  <c r="BX31" i="37"/>
  <c r="BX33" i="37"/>
  <c r="BX36" i="37"/>
  <c r="BX40" i="37"/>
  <c r="BX37" i="37"/>
  <c r="BX41" i="37"/>
  <c r="BX38" i="37"/>
  <c r="BX42" i="37"/>
  <c r="BX43" i="37"/>
  <c r="BX44" i="37"/>
  <c r="BX45" i="37"/>
  <c r="BX46" i="37"/>
  <c r="BX47" i="37"/>
  <c r="BX48" i="37"/>
  <c r="BX49" i="37"/>
  <c r="BX50" i="37"/>
  <c r="BX51" i="37"/>
  <c r="BX52" i="37"/>
  <c r="BX53" i="37"/>
  <c r="BX54" i="37"/>
  <c r="BX39" i="37"/>
  <c r="BX55" i="37"/>
  <c r="BX56" i="37"/>
  <c r="BX57" i="37"/>
  <c r="BX58" i="37"/>
  <c r="BX59" i="37"/>
  <c r="BX60" i="37"/>
  <c r="BX61" i="37"/>
  <c r="BX62" i="37"/>
  <c r="BX63" i="37"/>
  <c r="BX64" i="37"/>
  <c r="BX65" i="37"/>
  <c r="BX66" i="37"/>
  <c r="BX67" i="37"/>
  <c r="BX68" i="37"/>
  <c r="BX69" i="37"/>
  <c r="BX70" i="37"/>
  <c r="BX71" i="37"/>
  <c r="BX72" i="37"/>
  <c r="BX73" i="37"/>
  <c r="BX74" i="37"/>
  <c r="BX75" i="37"/>
  <c r="BX76" i="37"/>
  <c r="BX77" i="37"/>
  <c r="BX78" i="37"/>
  <c r="BX79" i="37"/>
  <c r="BX80" i="37"/>
  <c r="BX81" i="37"/>
  <c r="BX82" i="37"/>
  <c r="BX83" i="37"/>
  <c r="BX84" i="37"/>
  <c r="BW93" i="37"/>
  <c r="BW91" i="37"/>
  <c r="BW96" i="37"/>
  <c r="BW94" i="37"/>
  <c r="BW92" i="37"/>
  <c r="BW85" i="37"/>
  <c r="BW89" i="37"/>
  <c r="BW86" i="37"/>
  <c r="BW95" i="37"/>
  <c r="BW87" i="37"/>
  <c r="BW88" i="37"/>
  <c r="BW90" i="37"/>
  <c r="BY29" i="37"/>
  <c r="BX28" i="37"/>
  <c r="BY30" i="37" l="1"/>
  <c r="BY31" i="37"/>
  <c r="BY32" i="37"/>
  <c r="BY33" i="37"/>
  <c r="BY34" i="37"/>
  <c r="BY35" i="37"/>
  <c r="BY36" i="37"/>
  <c r="BY37" i="37"/>
  <c r="BY38" i="37"/>
  <c r="BY39" i="37"/>
  <c r="BY40" i="37"/>
  <c r="BY41" i="37"/>
  <c r="BY42" i="37"/>
  <c r="BY45" i="37"/>
  <c r="BY46" i="37"/>
  <c r="BY43" i="37"/>
  <c r="BY47" i="37"/>
  <c r="BY49" i="37"/>
  <c r="BY50" i="37"/>
  <c r="BY51" i="37"/>
  <c r="BY52" i="37"/>
  <c r="BY53" i="37"/>
  <c r="BY54" i="37"/>
  <c r="BY44" i="37"/>
  <c r="BY55" i="37"/>
  <c r="BY59" i="37"/>
  <c r="BY63" i="37"/>
  <c r="BY48" i="37"/>
  <c r="BY56" i="37"/>
  <c r="BY60" i="37"/>
  <c r="BY64" i="37"/>
  <c r="BY67" i="37"/>
  <c r="BY57" i="37"/>
  <c r="BY61" i="37"/>
  <c r="BY58" i="37"/>
  <c r="BY62" i="37"/>
  <c r="BY66" i="37"/>
  <c r="BY68" i="37"/>
  <c r="BY69" i="37"/>
  <c r="BY70" i="37"/>
  <c r="BY71" i="37"/>
  <c r="BY72" i="37"/>
  <c r="BY73" i="37"/>
  <c r="BY74" i="37"/>
  <c r="BY75" i="37"/>
  <c r="BY76" i="37"/>
  <c r="BY65" i="37"/>
  <c r="BY77" i="37"/>
  <c r="BY78" i="37"/>
  <c r="BY79" i="37"/>
  <c r="BY80" i="37"/>
  <c r="BY81" i="37"/>
  <c r="BY82" i="37"/>
  <c r="BY83" i="37"/>
  <c r="BY84" i="37"/>
  <c r="BX96" i="37"/>
  <c r="BX95" i="37"/>
  <c r="BX94" i="37"/>
  <c r="BX93" i="37"/>
  <c r="BX92" i="37"/>
  <c r="BX91" i="37"/>
  <c r="BX90" i="37"/>
  <c r="BX89" i="37"/>
  <c r="BX88" i="37"/>
  <c r="BX87" i="37"/>
  <c r="BX86" i="37"/>
  <c r="BX85" i="37"/>
  <c r="BZ29" i="37"/>
  <c r="BY28" i="37"/>
  <c r="BZ30" i="37" l="1"/>
  <c r="BZ31" i="37"/>
  <c r="BZ32" i="37"/>
  <c r="BZ33" i="37"/>
  <c r="BZ34" i="37"/>
  <c r="BZ35" i="37"/>
  <c r="BZ36" i="37"/>
  <c r="BZ37" i="37"/>
  <c r="BZ38" i="37"/>
  <c r="BZ39" i="37"/>
  <c r="BZ40" i="37"/>
  <c r="BZ41" i="37"/>
  <c r="BZ42" i="37"/>
  <c r="BZ43" i="37"/>
  <c r="BZ44" i="37"/>
  <c r="BZ45" i="37"/>
  <c r="BZ46" i="37"/>
  <c r="BZ47" i="37"/>
  <c r="BZ48" i="37"/>
  <c r="BZ51" i="37"/>
  <c r="BZ55" i="37"/>
  <c r="BZ56" i="37"/>
  <c r="BZ57" i="37"/>
  <c r="BZ58" i="37"/>
  <c r="BZ59" i="37"/>
  <c r="BZ60" i="37"/>
  <c r="BZ61" i="37"/>
  <c r="BZ62" i="37"/>
  <c r="BZ63" i="37"/>
  <c r="BZ64" i="37"/>
  <c r="BZ65" i="37"/>
  <c r="BZ52" i="37"/>
  <c r="BZ49" i="37"/>
  <c r="BZ53" i="37"/>
  <c r="BZ66" i="37"/>
  <c r="BZ68" i="37"/>
  <c r="BZ50" i="37"/>
  <c r="BZ54" i="37"/>
  <c r="BZ67" i="37"/>
  <c r="BZ69" i="37"/>
  <c r="BZ70" i="37"/>
  <c r="BZ71" i="37"/>
  <c r="BZ72" i="37"/>
  <c r="BZ73" i="37"/>
  <c r="BZ74" i="37"/>
  <c r="BZ75" i="37"/>
  <c r="BZ76" i="37"/>
  <c r="BZ84" i="37"/>
  <c r="BZ77" i="37"/>
  <c r="BZ78" i="37"/>
  <c r="BZ79" i="37"/>
  <c r="BZ80" i="37"/>
  <c r="BZ81" i="37"/>
  <c r="BZ82" i="37"/>
  <c r="BZ83" i="37"/>
  <c r="BY96" i="37"/>
  <c r="BY95" i="37"/>
  <c r="BY94" i="37"/>
  <c r="BY93" i="37"/>
  <c r="BY92" i="37"/>
  <c r="BY89" i="37"/>
  <c r="BY86" i="37"/>
  <c r="BY88" i="37"/>
  <c r="BY91" i="37"/>
  <c r="BY90" i="37"/>
  <c r="BY87" i="37"/>
  <c r="BY85" i="37"/>
  <c r="BZ28" i="37"/>
  <c r="CA29" i="37"/>
  <c r="CA30" i="37" l="1"/>
  <c r="CA32" i="37"/>
  <c r="CA34" i="37"/>
  <c r="CA31" i="37"/>
  <c r="CA35" i="37"/>
  <c r="CA33" i="37"/>
  <c r="CA36" i="37"/>
  <c r="CA37" i="37"/>
  <c r="CA38" i="37"/>
  <c r="CA39" i="37"/>
  <c r="CA40" i="37"/>
  <c r="CA41" i="37"/>
  <c r="CA42" i="37"/>
  <c r="CA43" i="37"/>
  <c r="CA44" i="37"/>
  <c r="CA45" i="37"/>
  <c r="CA46" i="37"/>
  <c r="CA47" i="37"/>
  <c r="CA48" i="37"/>
  <c r="CA49" i="37"/>
  <c r="CA50" i="37"/>
  <c r="CA51" i="37"/>
  <c r="CA52" i="37"/>
  <c r="CA53" i="37"/>
  <c r="CA54" i="37"/>
  <c r="CA55" i="37"/>
  <c r="CA56" i="37"/>
  <c r="CA57" i="37"/>
  <c r="CA58" i="37"/>
  <c r="CA59" i="37"/>
  <c r="CA60" i="37"/>
  <c r="CA61" i="37"/>
  <c r="CA62" i="37"/>
  <c r="CA63" i="37"/>
  <c r="CA64" i="37"/>
  <c r="CA65" i="37"/>
  <c r="CA66" i="37"/>
  <c r="CA67" i="37"/>
  <c r="CA68" i="37"/>
  <c r="CA69" i="37"/>
  <c r="CA70" i="37"/>
  <c r="CA71" i="37"/>
  <c r="CA72" i="37"/>
  <c r="CA73" i="37"/>
  <c r="CA74" i="37"/>
  <c r="CA75" i="37"/>
  <c r="CA76" i="37"/>
  <c r="CA77" i="37"/>
  <c r="CA78" i="37"/>
  <c r="CA79" i="37"/>
  <c r="CA80" i="37"/>
  <c r="CA81" i="37"/>
  <c r="CA82" i="37"/>
  <c r="CA83" i="37"/>
  <c r="CA84" i="37"/>
  <c r="BZ96" i="37"/>
  <c r="BZ95" i="37"/>
  <c r="BZ94" i="37"/>
  <c r="BZ86" i="37"/>
  <c r="BZ87" i="37"/>
  <c r="BZ91" i="37"/>
  <c r="BZ88" i="37"/>
  <c r="BZ89" i="37"/>
  <c r="BZ85" i="37"/>
  <c r="BZ92" i="37"/>
  <c r="BZ93" i="37"/>
  <c r="BZ90" i="37"/>
  <c r="CB29" i="37"/>
  <c r="CA28" i="37"/>
  <c r="CB31" i="37" l="1"/>
  <c r="CB33" i="37"/>
  <c r="CB34" i="37"/>
  <c r="CB35" i="37"/>
  <c r="CB30" i="37"/>
  <c r="CB32" i="37"/>
  <c r="CB39" i="37"/>
  <c r="CB36" i="37"/>
  <c r="CB40" i="37"/>
  <c r="CB37" i="37"/>
  <c r="CB41" i="37"/>
  <c r="CB43" i="37"/>
  <c r="CB44" i="37"/>
  <c r="CB45" i="37"/>
  <c r="CB46" i="37"/>
  <c r="CB47" i="37"/>
  <c r="CB48" i="37"/>
  <c r="CB49" i="37"/>
  <c r="CB50" i="37"/>
  <c r="CB51" i="37"/>
  <c r="CB52" i="37"/>
  <c r="CB53" i="37"/>
  <c r="CB54" i="37"/>
  <c r="CB38" i="37"/>
  <c r="CB42" i="37"/>
  <c r="CB55" i="37"/>
  <c r="CB56" i="37"/>
  <c r="CB57" i="37"/>
  <c r="CB58" i="37"/>
  <c r="CB59" i="37"/>
  <c r="CB60" i="37"/>
  <c r="CB61" i="37"/>
  <c r="CB62" i="37"/>
  <c r="CB63" i="37"/>
  <c r="CB64" i="37"/>
  <c r="CB65" i="37"/>
  <c r="CB66" i="37"/>
  <c r="CB67" i="37"/>
  <c r="CB68" i="37"/>
  <c r="CB69" i="37"/>
  <c r="CB70" i="37"/>
  <c r="CB71" i="37"/>
  <c r="CB72" i="37"/>
  <c r="CB73" i="37"/>
  <c r="CB74" i="37"/>
  <c r="CB75" i="37"/>
  <c r="CB76" i="37"/>
  <c r="CB77" i="37"/>
  <c r="CB78" i="37"/>
  <c r="CB79" i="37"/>
  <c r="CB80" i="37"/>
  <c r="CB81" i="37"/>
  <c r="CB82" i="37"/>
  <c r="CB84" i="37"/>
  <c r="CB83" i="37"/>
  <c r="CA96" i="37"/>
  <c r="CA95" i="37"/>
  <c r="CA94" i="37"/>
  <c r="CA93" i="37"/>
  <c r="CA92" i="37"/>
  <c r="CA91" i="37"/>
  <c r="CA90" i="37"/>
  <c r="CA89" i="37"/>
  <c r="CA88" i="37"/>
  <c r="CA87" i="37"/>
  <c r="CA86" i="37"/>
  <c r="CA85" i="37"/>
  <c r="CB28" i="37"/>
  <c r="CC29" i="37"/>
  <c r="CC30" i="37" l="1"/>
  <c r="CC31" i="37"/>
  <c r="CC32" i="37"/>
  <c r="CC33" i="37"/>
  <c r="CC34" i="37"/>
  <c r="CC35" i="37"/>
  <c r="CC36" i="37"/>
  <c r="CC37" i="37"/>
  <c r="CC38" i="37"/>
  <c r="CC39" i="37"/>
  <c r="CC40" i="37"/>
  <c r="CC41" i="37"/>
  <c r="CC42" i="37"/>
  <c r="CC44" i="37"/>
  <c r="CC48" i="37"/>
  <c r="CC45" i="37"/>
  <c r="CC46" i="37"/>
  <c r="CC49" i="37"/>
  <c r="CC50" i="37"/>
  <c r="CC51" i="37"/>
  <c r="CC52" i="37"/>
  <c r="CC53" i="37"/>
  <c r="CC54" i="37"/>
  <c r="CC43" i="37"/>
  <c r="CC47" i="37"/>
  <c r="CC58" i="37"/>
  <c r="CC62" i="37"/>
  <c r="CC55" i="37"/>
  <c r="CC59" i="37"/>
  <c r="CC63" i="37"/>
  <c r="CC66" i="37"/>
  <c r="CC68" i="37"/>
  <c r="CC56" i="37"/>
  <c r="CC60" i="37"/>
  <c r="CC64" i="37"/>
  <c r="CC57" i="37"/>
  <c r="CC61" i="37"/>
  <c r="CC65" i="37"/>
  <c r="CC67" i="37"/>
  <c r="CC69" i="37"/>
  <c r="CC70" i="37"/>
  <c r="CC71" i="37"/>
  <c r="CC72" i="37"/>
  <c r="CC73" i="37"/>
  <c r="CC74" i="37"/>
  <c r="CC75" i="37"/>
  <c r="CC76" i="37"/>
  <c r="CC77" i="37"/>
  <c r="CC78" i="37"/>
  <c r="CC79" i="37"/>
  <c r="CC80" i="37"/>
  <c r="CC81" i="37"/>
  <c r="CC82" i="37"/>
  <c r="CC83" i="37"/>
  <c r="CC84" i="37"/>
  <c r="CB96" i="37"/>
  <c r="CB95" i="37"/>
  <c r="CB94" i="37"/>
  <c r="CB93" i="37"/>
  <c r="CB90" i="37"/>
  <c r="CB92" i="37"/>
  <c r="CB87" i="37"/>
  <c r="CB91" i="37"/>
  <c r="CB89" i="37"/>
  <c r="CB86" i="37"/>
  <c r="CB88" i="37"/>
  <c r="CB85" i="37"/>
  <c r="CD29" i="37"/>
  <c r="CC28" i="37"/>
  <c r="CD30" i="37" l="1"/>
  <c r="CD31" i="37"/>
  <c r="CD32" i="37"/>
  <c r="CD33" i="37"/>
  <c r="CD34" i="37"/>
  <c r="CD35" i="37"/>
  <c r="CD36" i="37"/>
  <c r="CD37" i="37"/>
  <c r="CD38" i="37"/>
  <c r="CD39" i="37"/>
  <c r="CD40" i="37"/>
  <c r="CD41" i="37"/>
  <c r="CD42" i="37"/>
  <c r="CD43" i="37"/>
  <c r="CD44" i="37"/>
  <c r="CD45" i="37"/>
  <c r="CD46" i="37"/>
  <c r="CD47" i="37"/>
  <c r="CD48" i="37"/>
  <c r="CD50" i="37"/>
  <c r="CD54" i="37"/>
  <c r="CD55" i="37"/>
  <c r="CD56" i="37"/>
  <c r="CD57" i="37"/>
  <c r="CD58" i="37"/>
  <c r="CD59" i="37"/>
  <c r="CD60" i="37"/>
  <c r="CD61" i="37"/>
  <c r="CD62" i="37"/>
  <c r="CD63" i="37"/>
  <c r="CD64" i="37"/>
  <c r="CD65" i="37"/>
  <c r="CD51" i="37"/>
  <c r="CD52" i="37"/>
  <c r="CD67" i="37"/>
  <c r="CD49" i="37"/>
  <c r="CD53" i="37"/>
  <c r="CD66" i="37"/>
  <c r="CD68" i="37"/>
  <c r="CD69" i="37"/>
  <c r="CD70" i="37"/>
  <c r="CD71" i="37"/>
  <c r="CD72" i="37"/>
  <c r="CD73" i="37"/>
  <c r="CD74" i="37"/>
  <c r="CD75" i="37"/>
  <c r="CD76" i="37"/>
  <c r="CD83" i="37"/>
  <c r="CD77" i="37"/>
  <c r="CD78" i="37"/>
  <c r="CD79" i="37"/>
  <c r="CD80" i="37"/>
  <c r="CD81" i="37"/>
  <c r="CD82" i="37"/>
  <c r="CD84" i="37"/>
  <c r="CC96" i="37"/>
  <c r="CC95" i="37"/>
  <c r="CC94" i="37"/>
  <c r="CC93" i="37"/>
  <c r="CC92" i="37"/>
  <c r="CC91" i="37"/>
  <c r="CC90" i="37"/>
  <c r="CC89" i="37"/>
  <c r="CC87" i="37"/>
  <c r="CC88" i="37"/>
  <c r="CC86" i="37"/>
  <c r="CC85" i="37"/>
  <c r="CD28" i="37"/>
  <c r="CE29" i="37"/>
  <c r="CE31" i="37" l="1"/>
  <c r="CE33" i="37"/>
  <c r="CE32" i="37"/>
  <c r="CE34" i="37"/>
  <c r="CE35" i="37"/>
  <c r="CE36" i="37"/>
  <c r="CE37" i="37"/>
  <c r="CE38" i="37"/>
  <c r="CE39" i="37"/>
  <c r="CE40" i="37"/>
  <c r="CE41" i="37"/>
  <c r="CE42" i="37"/>
  <c r="CE30" i="37"/>
  <c r="CE43" i="37"/>
  <c r="CE44" i="37"/>
  <c r="CE45" i="37"/>
  <c r="CE46" i="37"/>
  <c r="CE47" i="37"/>
  <c r="CE48" i="37"/>
  <c r="CE49" i="37"/>
  <c r="CE50" i="37"/>
  <c r="CE51" i="37"/>
  <c r="CE52" i="37"/>
  <c r="CE53" i="37"/>
  <c r="CE54" i="37"/>
  <c r="CE55" i="37"/>
  <c r="CE56" i="37"/>
  <c r="CE57" i="37"/>
  <c r="CE58" i="37"/>
  <c r="CE59" i="37"/>
  <c r="CE60" i="37"/>
  <c r="CE61" i="37"/>
  <c r="CE62" i="37"/>
  <c r="CE63" i="37"/>
  <c r="CE64" i="37"/>
  <c r="CE65" i="37"/>
  <c r="CE66" i="37"/>
  <c r="CE67" i="37"/>
  <c r="CE68" i="37"/>
  <c r="CE69" i="37"/>
  <c r="CE70" i="37"/>
  <c r="CE71" i="37"/>
  <c r="CE72" i="37"/>
  <c r="CE73" i="37"/>
  <c r="CE74" i="37"/>
  <c r="CE75" i="37"/>
  <c r="CE76" i="37"/>
  <c r="CE77" i="37"/>
  <c r="CE78" i="37"/>
  <c r="CE79" i="37"/>
  <c r="CE80" i="37"/>
  <c r="CE81" i="37"/>
  <c r="CE82" i="37"/>
  <c r="CE83" i="37"/>
  <c r="CE84" i="37"/>
  <c r="CD96" i="37"/>
  <c r="CD95" i="37"/>
  <c r="CD94" i="37"/>
  <c r="CD93" i="37"/>
  <c r="CD92" i="37"/>
  <c r="CD85" i="37"/>
  <c r="CD88" i="37"/>
  <c r="CD90" i="37"/>
  <c r="CD91" i="37"/>
  <c r="CD87" i="37"/>
  <c r="CD89" i="37"/>
  <c r="CD86" i="37"/>
  <c r="CE28" i="37"/>
  <c r="CF29" i="37"/>
  <c r="CF30" i="37" l="1"/>
  <c r="CF32" i="37"/>
  <c r="CF34" i="37"/>
  <c r="CF35" i="37"/>
  <c r="CF31" i="37"/>
  <c r="CF33" i="37"/>
  <c r="CF38" i="37"/>
  <c r="CF42" i="37"/>
  <c r="CF39" i="37"/>
  <c r="CF36" i="37"/>
  <c r="CF40" i="37"/>
  <c r="CF43" i="37"/>
  <c r="CF44" i="37"/>
  <c r="CF45" i="37"/>
  <c r="CF46" i="37"/>
  <c r="CF47" i="37"/>
  <c r="CF48" i="37"/>
  <c r="CF37" i="37"/>
  <c r="CF49" i="37"/>
  <c r="CF50" i="37"/>
  <c r="CF51" i="37"/>
  <c r="CF52" i="37"/>
  <c r="CF53" i="37"/>
  <c r="CF54" i="37"/>
  <c r="CF41" i="37"/>
  <c r="CF55" i="37"/>
  <c r="CF56" i="37"/>
  <c r="CF57" i="37"/>
  <c r="CF58" i="37"/>
  <c r="CF59" i="37"/>
  <c r="CF60" i="37"/>
  <c r="CF61" i="37"/>
  <c r="CF62" i="37"/>
  <c r="CF63" i="37"/>
  <c r="CF64" i="37"/>
  <c r="CF65" i="37"/>
  <c r="CF66" i="37"/>
  <c r="CF67" i="37"/>
  <c r="CF68" i="37"/>
  <c r="CF69" i="37"/>
  <c r="CF70" i="37"/>
  <c r="CF71" i="37"/>
  <c r="CF72" i="37"/>
  <c r="CF73" i="37"/>
  <c r="CF74" i="37"/>
  <c r="CF75" i="37"/>
  <c r="CF76" i="37"/>
  <c r="CF77" i="37"/>
  <c r="CF78" i="37"/>
  <c r="CF79" i="37"/>
  <c r="CF80" i="37"/>
  <c r="CF81" i="37"/>
  <c r="CF82" i="37"/>
  <c r="CF83" i="37"/>
  <c r="CF84" i="37"/>
  <c r="CE96" i="37"/>
  <c r="CE95" i="37"/>
  <c r="CE94" i="37"/>
  <c r="CE93" i="37"/>
  <c r="CE92" i="37"/>
  <c r="CE88" i="37"/>
  <c r="CE91" i="37"/>
  <c r="CE90" i="37"/>
  <c r="CE86" i="37"/>
  <c r="CE85" i="37"/>
  <c r="CE89" i="37"/>
  <c r="CE87" i="37"/>
  <c r="CF28" i="37"/>
  <c r="CG29" i="37"/>
  <c r="CG30" i="37" l="1"/>
  <c r="CG31" i="37"/>
  <c r="CG32" i="37"/>
  <c r="CG33" i="37"/>
  <c r="CG34" i="37"/>
  <c r="CG35" i="37"/>
  <c r="CG36" i="37"/>
  <c r="CG37" i="37"/>
  <c r="CG38" i="37"/>
  <c r="CG39" i="37"/>
  <c r="CG40" i="37"/>
  <c r="CG41" i="37"/>
  <c r="CG42" i="37"/>
  <c r="CG43" i="37"/>
  <c r="CG47" i="37"/>
  <c r="CG44" i="37"/>
  <c r="CG48" i="37"/>
  <c r="CG45" i="37"/>
  <c r="CG49" i="37"/>
  <c r="CG50" i="37"/>
  <c r="CG51" i="37"/>
  <c r="CG52" i="37"/>
  <c r="CG53" i="37"/>
  <c r="CG54" i="37"/>
  <c r="CG46" i="37"/>
  <c r="CG57" i="37"/>
  <c r="CG61" i="37"/>
  <c r="CG65" i="37"/>
  <c r="CG58" i="37"/>
  <c r="CG62" i="37"/>
  <c r="CG67" i="37"/>
  <c r="CG55" i="37"/>
  <c r="CG59" i="37"/>
  <c r="CG63" i="37"/>
  <c r="CG56" i="37"/>
  <c r="CG60" i="37"/>
  <c r="CG64" i="37"/>
  <c r="CG66" i="37"/>
  <c r="CG68" i="37"/>
  <c r="CG69" i="37"/>
  <c r="CG70" i="37"/>
  <c r="CG71" i="37"/>
  <c r="CG72" i="37"/>
  <c r="CG73" i="37"/>
  <c r="CG74" i="37"/>
  <c r="CG75" i="37"/>
  <c r="CG76" i="37"/>
  <c r="CG77" i="37"/>
  <c r="CG78" i="37"/>
  <c r="CG79" i="37"/>
  <c r="CG80" i="37"/>
  <c r="CG81" i="37"/>
  <c r="CG82" i="37"/>
  <c r="CG83" i="37"/>
  <c r="CG84" i="37"/>
  <c r="CF96" i="37"/>
  <c r="CF95" i="37"/>
  <c r="CF94" i="37"/>
  <c r="CF93" i="37"/>
  <c r="CF92" i="37"/>
  <c r="CF89" i="37"/>
  <c r="CF86" i="37"/>
  <c r="CF91" i="37"/>
  <c r="CF85" i="37"/>
  <c r="CF90" i="37"/>
  <c r="CF88" i="37"/>
  <c r="CF87" i="37"/>
  <c r="CG28" i="37"/>
  <c r="CH29" i="37"/>
  <c r="CH30" i="37" l="1"/>
  <c r="CH31" i="37"/>
  <c r="CH32" i="37"/>
  <c r="CH33" i="37"/>
  <c r="CH34" i="37"/>
  <c r="CH35" i="37"/>
  <c r="CH36" i="37"/>
  <c r="CH37" i="37"/>
  <c r="CH38" i="37"/>
  <c r="CH39" i="37"/>
  <c r="CH40" i="37"/>
  <c r="CH41" i="37"/>
  <c r="CH42" i="37"/>
  <c r="CH43" i="37"/>
  <c r="CH44" i="37"/>
  <c r="CH45" i="37"/>
  <c r="CH46" i="37"/>
  <c r="CH47" i="37"/>
  <c r="CH48" i="37"/>
  <c r="CH49" i="37"/>
  <c r="CH53" i="37"/>
  <c r="CH55" i="37"/>
  <c r="CH56" i="37"/>
  <c r="CH57" i="37"/>
  <c r="CH58" i="37"/>
  <c r="CH59" i="37"/>
  <c r="CH60" i="37"/>
  <c r="CH61" i="37"/>
  <c r="CH62" i="37"/>
  <c r="CH63" i="37"/>
  <c r="CH64" i="37"/>
  <c r="CH65" i="37"/>
  <c r="CH50" i="37"/>
  <c r="CH54" i="37"/>
  <c r="CH51" i="37"/>
  <c r="CH66" i="37"/>
  <c r="CH68" i="37"/>
  <c r="CH52" i="37"/>
  <c r="CH67" i="37"/>
  <c r="CH69" i="37"/>
  <c r="CH70" i="37"/>
  <c r="CH71" i="37"/>
  <c r="CH72" i="37"/>
  <c r="CH73" i="37"/>
  <c r="CH74" i="37"/>
  <c r="CH75" i="37"/>
  <c r="CH76" i="37"/>
  <c r="CH84" i="37"/>
  <c r="CH77" i="37"/>
  <c r="CH78" i="37"/>
  <c r="CH79" i="37"/>
  <c r="CH80" i="37"/>
  <c r="CH81" i="37"/>
  <c r="CH82" i="37"/>
  <c r="CH83" i="37"/>
  <c r="CG96" i="37"/>
  <c r="CG95" i="37"/>
  <c r="CG94" i="37"/>
  <c r="CG93" i="37"/>
  <c r="CG92" i="37"/>
  <c r="CG91" i="37"/>
  <c r="CG89" i="37"/>
  <c r="CG86" i="37"/>
  <c r="CG88" i="37"/>
  <c r="CG90" i="37"/>
  <c r="CG85" i="37"/>
  <c r="CG87" i="37"/>
  <c r="CH28" i="37"/>
  <c r="CI29" i="37"/>
  <c r="CI30" i="37" l="1"/>
  <c r="CI32" i="37"/>
  <c r="CI31" i="37"/>
  <c r="CI34" i="37"/>
  <c r="CI36" i="37"/>
  <c r="CI37" i="37"/>
  <c r="CI38" i="37"/>
  <c r="CI39" i="37"/>
  <c r="CI40" i="37"/>
  <c r="CI41" i="37"/>
  <c r="CI42" i="37"/>
  <c r="CI33" i="37"/>
  <c r="CI43" i="37"/>
  <c r="CI44" i="37"/>
  <c r="CI45" i="37"/>
  <c r="CI46" i="37"/>
  <c r="CI47" i="37"/>
  <c r="CI48" i="37"/>
  <c r="CI35" i="37"/>
  <c r="CI49" i="37"/>
  <c r="CI50" i="37"/>
  <c r="CI51" i="37"/>
  <c r="CI52" i="37"/>
  <c r="CI53" i="37"/>
  <c r="CI54" i="37"/>
  <c r="CI55" i="37"/>
  <c r="CI56" i="37"/>
  <c r="CI57" i="37"/>
  <c r="CI58" i="37"/>
  <c r="CI59" i="37"/>
  <c r="CI60" i="37"/>
  <c r="CI61" i="37"/>
  <c r="CI62" i="37"/>
  <c r="CI63" i="37"/>
  <c r="CI64" i="37"/>
  <c r="CI65" i="37"/>
  <c r="CI66" i="37"/>
  <c r="CI67" i="37"/>
  <c r="CI68" i="37"/>
  <c r="CI69" i="37"/>
  <c r="CI70" i="37"/>
  <c r="CI71" i="37"/>
  <c r="CI72" i="37"/>
  <c r="CI73" i="37"/>
  <c r="CI74" i="37"/>
  <c r="CI75" i="37"/>
  <c r="CI76" i="37"/>
  <c r="CI77" i="37"/>
  <c r="CI78" i="37"/>
  <c r="CI79" i="37"/>
  <c r="CI80" i="37"/>
  <c r="CI81" i="37"/>
  <c r="CI82" i="37"/>
  <c r="CI83" i="37"/>
  <c r="CI84" i="37"/>
  <c r="CH96" i="37"/>
  <c r="CH95" i="37"/>
  <c r="CH94" i="37"/>
  <c r="CH93" i="37"/>
  <c r="CH87" i="37"/>
  <c r="CH90" i="37"/>
  <c r="CH89" i="37"/>
  <c r="CH86" i="37"/>
  <c r="CH85" i="37"/>
  <c r="CH92" i="37"/>
  <c r="CH91" i="37"/>
  <c r="CH88" i="37"/>
  <c r="CI28" i="37"/>
  <c r="CJ29" i="37"/>
  <c r="CJ31" i="37" l="1"/>
  <c r="CJ33" i="37"/>
  <c r="CJ34" i="37"/>
  <c r="CJ35" i="37"/>
  <c r="CJ30" i="37"/>
  <c r="CJ32" i="37"/>
  <c r="CJ37" i="37"/>
  <c r="CJ41" i="37"/>
  <c r="CJ38" i="37"/>
  <c r="CJ42" i="37"/>
  <c r="CJ39" i="37"/>
  <c r="CJ43" i="37"/>
  <c r="CJ44" i="37"/>
  <c r="CJ45" i="37"/>
  <c r="CJ46" i="37"/>
  <c r="CJ47" i="37"/>
  <c r="CJ48" i="37"/>
  <c r="CJ36" i="37"/>
  <c r="CJ40" i="37"/>
  <c r="CJ49" i="37"/>
  <c r="CJ50" i="37"/>
  <c r="CJ51" i="37"/>
  <c r="CJ52" i="37"/>
  <c r="CJ53" i="37"/>
  <c r="CJ54" i="37"/>
  <c r="CJ55" i="37"/>
  <c r="CJ56" i="37"/>
  <c r="CJ57" i="37"/>
  <c r="CJ58" i="37"/>
  <c r="CJ59" i="37"/>
  <c r="CJ60" i="37"/>
  <c r="CJ61" i="37"/>
  <c r="CJ62" i="37"/>
  <c r="CJ63" i="37"/>
  <c r="CJ64" i="37"/>
  <c r="CJ65" i="37"/>
  <c r="CJ66" i="37"/>
  <c r="CJ67" i="37"/>
  <c r="CJ68" i="37"/>
  <c r="CJ69" i="37"/>
  <c r="CJ70" i="37"/>
  <c r="CJ71" i="37"/>
  <c r="CJ72" i="37"/>
  <c r="CJ73" i="37"/>
  <c r="CJ74" i="37"/>
  <c r="CJ75" i="37"/>
  <c r="CJ76" i="37"/>
  <c r="CJ77" i="37"/>
  <c r="CJ78" i="37"/>
  <c r="CJ79" i="37"/>
  <c r="CJ80" i="37"/>
  <c r="CJ81" i="37"/>
  <c r="CJ82" i="37"/>
  <c r="CJ83" i="37"/>
  <c r="CJ84" i="37"/>
  <c r="CI96" i="37"/>
  <c r="CI90" i="37"/>
  <c r="CI95" i="37"/>
  <c r="CI85" i="37"/>
  <c r="CI93" i="37"/>
  <c r="CI92" i="37"/>
  <c r="CI91" i="37"/>
  <c r="CI88" i="37"/>
  <c r="CI87" i="37"/>
  <c r="CI94" i="37"/>
  <c r="CI89" i="37"/>
  <c r="CI86" i="37"/>
  <c r="CJ28" i="37"/>
  <c r="CK29" i="37"/>
  <c r="CK30" i="37" l="1"/>
  <c r="CK31" i="37"/>
  <c r="CK32" i="37"/>
  <c r="CK33" i="37"/>
  <c r="CK34" i="37"/>
  <c r="CK35" i="37"/>
  <c r="CK36" i="37"/>
  <c r="CK37" i="37"/>
  <c r="CK38" i="37"/>
  <c r="CK39" i="37"/>
  <c r="CK40" i="37"/>
  <c r="CK41" i="37"/>
  <c r="CK42" i="37"/>
  <c r="CK46" i="37"/>
  <c r="CK43" i="37"/>
  <c r="CK47" i="37"/>
  <c r="CK44" i="37"/>
  <c r="CK48" i="37"/>
  <c r="CK49" i="37"/>
  <c r="CK50" i="37"/>
  <c r="CK51" i="37"/>
  <c r="CK52" i="37"/>
  <c r="CK53" i="37"/>
  <c r="CK54" i="37"/>
  <c r="CK45" i="37"/>
  <c r="CK56" i="37"/>
  <c r="CK60" i="37"/>
  <c r="CK64" i="37"/>
  <c r="CK57" i="37"/>
  <c r="CK61" i="37"/>
  <c r="CK65" i="37"/>
  <c r="CK66" i="37"/>
  <c r="CK68" i="37"/>
  <c r="CK58" i="37"/>
  <c r="CK62" i="37"/>
  <c r="CK55" i="37"/>
  <c r="CK59" i="37"/>
  <c r="CK63" i="37"/>
  <c r="CK67" i="37"/>
  <c r="CK69" i="37"/>
  <c r="CK70" i="37"/>
  <c r="CK71" i="37"/>
  <c r="CK72" i="37"/>
  <c r="CK73" i="37"/>
  <c r="CK74" i="37"/>
  <c r="CK75" i="37"/>
  <c r="CK76" i="37"/>
  <c r="CK77" i="37"/>
  <c r="CK78" i="37"/>
  <c r="CK79" i="37"/>
  <c r="CK80" i="37"/>
  <c r="CK81" i="37"/>
  <c r="CK82" i="37"/>
  <c r="CK83" i="37"/>
  <c r="CK84" i="37"/>
  <c r="CJ96" i="37"/>
  <c r="CJ95" i="37"/>
  <c r="CJ94" i="37"/>
  <c r="CJ93" i="37"/>
  <c r="CJ92" i="37"/>
  <c r="CJ91" i="37"/>
  <c r="CJ90" i="37"/>
  <c r="CJ89" i="37"/>
  <c r="CJ88" i="37"/>
  <c r="CJ87" i="37"/>
  <c r="CJ86" i="37"/>
  <c r="CJ85" i="37"/>
  <c r="CK28" i="37"/>
  <c r="CL29" i="37"/>
  <c r="CL30" i="37" l="1"/>
  <c r="CL31" i="37"/>
  <c r="CL32" i="37"/>
  <c r="CL33" i="37"/>
  <c r="CL34" i="37"/>
  <c r="CL35" i="37"/>
  <c r="CL36" i="37"/>
  <c r="CL37" i="37"/>
  <c r="CL38" i="37"/>
  <c r="CL39" i="37"/>
  <c r="CL40" i="37"/>
  <c r="CL41" i="37"/>
  <c r="CL42" i="37"/>
  <c r="CL43" i="37"/>
  <c r="CL44" i="37"/>
  <c r="CL45" i="37"/>
  <c r="CL46" i="37"/>
  <c r="CL47" i="37"/>
  <c r="CL48" i="37"/>
  <c r="CL52" i="37"/>
  <c r="CL55" i="37"/>
  <c r="CL56" i="37"/>
  <c r="CL57" i="37"/>
  <c r="CL58" i="37"/>
  <c r="CL59" i="37"/>
  <c r="CL60" i="37"/>
  <c r="CL61" i="37"/>
  <c r="CL62" i="37"/>
  <c r="CL63" i="37"/>
  <c r="CL64" i="37"/>
  <c r="CL65" i="37"/>
  <c r="CL49" i="37"/>
  <c r="CL53" i="37"/>
  <c r="CL50" i="37"/>
  <c r="CL54" i="37"/>
  <c r="CL51" i="37"/>
  <c r="CL67" i="37"/>
  <c r="CL68" i="37"/>
  <c r="CL66" i="37"/>
  <c r="CL69" i="37"/>
  <c r="CL70" i="37"/>
  <c r="CL71" i="37"/>
  <c r="CL72" i="37"/>
  <c r="CL73" i="37"/>
  <c r="CL74" i="37"/>
  <c r="CL75" i="37"/>
  <c r="CL76" i="37"/>
  <c r="CL82" i="37"/>
  <c r="CL83" i="37"/>
  <c r="CL84" i="37"/>
  <c r="CL77" i="37"/>
  <c r="CL78" i="37"/>
  <c r="CL79" i="37"/>
  <c r="CL80" i="37"/>
  <c r="CL81" i="37"/>
  <c r="CK96" i="37"/>
  <c r="CK95" i="37"/>
  <c r="CK94" i="37"/>
  <c r="CK93" i="37"/>
  <c r="CK92" i="37"/>
  <c r="CK88" i="37"/>
  <c r="CK90" i="37"/>
  <c r="CK85" i="37"/>
  <c r="CK87" i="37"/>
  <c r="CK91" i="37"/>
  <c r="CK89" i="37"/>
  <c r="CK86" i="37"/>
  <c r="CL28" i="37"/>
  <c r="CM29" i="37"/>
  <c r="CM31" i="37" l="1"/>
  <c r="CM33" i="37"/>
  <c r="CM30" i="37"/>
  <c r="CM35" i="37"/>
  <c r="CM32" i="37"/>
  <c r="CM36" i="37"/>
  <c r="CM37" i="37"/>
  <c r="CM38" i="37"/>
  <c r="CM39" i="37"/>
  <c r="CM40" i="37"/>
  <c r="CM41" i="37"/>
  <c r="CM42" i="37"/>
  <c r="CM43" i="37"/>
  <c r="CM44" i="37"/>
  <c r="CM45" i="37"/>
  <c r="CM46" i="37"/>
  <c r="CM47" i="37"/>
  <c r="CM48" i="37"/>
  <c r="CM34" i="37"/>
  <c r="CM49" i="37"/>
  <c r="CM50" i="37"/>
  <c r="CM51" i="37"/>
  <c r="CM52" i="37"/>
  <c r="CM53" i="37"/>
  <c r="CM54" i="37"/>
  <c r="CM55" i="37"/>
  <c r="CM56" i="37"/>
  <c r="CM57" i="37"/>
  <c r="CM58" i="37"/>
  <c r="CM59" i="37"/>
  <c r="CM60" i="37"/>
  <c r="CM61" i="37"/>
  <c r="CM62" i="37"/>
  <c r="CM63" i="37"/>
  <c r="CM64" i="37"/>
  <c r="CM65" i="37"/>
  <c r="CM66" i="37"/>
  <c r="CM67" i="37"/>
  <c r="CM68" i="37"/>
  <c r="CM69" i="37"/>
  <c r="CM70" i="37"/>
  <c r="CM71" i="37"/>
  <c r="CM72" i="37"/>
  <c r="CM73" i="37"/>
  <c r="CM74" i="37"/>
  <c r="CM75" i="37"/>
  <c r="CM76" i="37"/>
  <c r="CM77" i="37"/>
  <c r="CM78" i="37"/>
  <c r="CM79" i="37"/>
  <c r="CM80" i="37"/>
  <c r="CM81" i="37"/>
  <c r="CM82" i="37"/>
  <c r="CM83" i="37"/>
  <c r="CM84" i="37"/>
  <c r="CL96" i="37"/>
  <c r="CL95" i="37"/>
  <c r="CL94" i="37"/>
  <c r="CL91" i="37"/>
  <c r="CL85" i="37"/>
  <c r="CL89" i="37"/>
  <c r="CL86" i="37"/>
  <c r="CL93" i="37"/>
  <c r="CL92" i="37"/>
  <c r="CL88" i="37"/>
  <c r="CL90" i="37"/>
  <c r="CL87" i="37"/>
  <c r="CM28" i="37"/>
  <c r="CN29" i="37"/>
  <c r="CN30" i="37" l="1"/>
  <c r="CN32" i="37"/>
  <c r="CN34" i="37"/>
  <c r="CN35" i="37"/>
  <c r="CN31" i="37"/>
  <c r="CN33" i="37"/>
  <c r="CN36" i="37"/>
  <c r="CN40" i="37"/>
  <c r="CN37" i="37"/>
  <c r="CN41" i="37"/>
  <c r="CN38" i="37"/>
  <c r="CN42" i="37"/>
  <c r="CN43" i="37"/>
  <c r="CN44" i="37"/>
  <c r="CN45" i="37"/>
  <c r="CN46" i="37"/>
  <c r="CN47" i="37"/>
  <c r="CN48" i="37"/>
  <c r="CN39" i="37"/>
  <c r="CN49" i="37"/>
  <c r="CN50" i="37"/>
  <c r="CN51" i="37"/>
  <c r="CN52" i="37"/>
  <c r="CN53" i="37"/>
  <c r="CN54" i="37"/>
  <c r="CN55" i="37"/>
  <c r="CN56" i="37"/>
  <c r="CN57" i="37"/>
  <c r="CN58" i="37"/>
  <c r="CN59" i="37"/>
  <c r="CN60" i="37"/>
  <c r="CN61" i="37"/>
  <c r="CN62" i="37"/>
  <c r="CN63" i="37"/>
  <c r="CN64" i="37"/>
  <c r="CN65" i="37"/>
  <c r="CN66" i="37"/>
  <c r="CN67" i="37"/>
  <c r="CN68" i="37"/>
  <c r="CN69" i="37"/>
  <c r="CN70" i="37"/>
  <c r="CN71" i="37"/>
  <c r="CN72" i="37"/>
  <c r="CN73" i="37"/>
  <c r="CN74" i="37"/>
  <c r="CN75" i="37"/>
  <c r="CN76" i="37"/>
  <c r="CN77" i="37"/>
  <c r="CN78" i="37"/>
  <c r="CN79" i="37"/>
  <c r="CN80" i="37"/>
  <c r="CN81" i="37"/>
  <c r="CN82" i="37"/>
  <c r="CN83" i="37"/>
  <c r="CN84" i="37"/>
  <c r="CM96" i="37"/>
  <c r="CM95" i="37"/>
  <c r="CM94" i="37"/>
  <c r="CM93" i="37"/>
  <c r="CM92" i="37"/>
  <c r="CM91" i="37"/>
  <c r="CM90" i="37"/>
  <c r="CM89" i="37"/>
  <c r="CM88" i="37"/>
  <c r="CM87" i="37"/>
  <c r="CM86" i="37"/>
  <c r="CM85" i="37"/>
  <c r="CN28" i="37"/>
  <c r="CO29" i="37"/>
  <c r="CO30" i="37" l="1"/>
  <c r="CO31" i="37"/>
  <c r="CO32" i="37"/>
  <c r="CO33" i="37"/>
  <c r="CO34" i="37"/>
  <c r="CO35" i="37"/>
  <c r="CO36" i="37"/>
  <c r="CO37" i="37"/>
  <c r="CO38" i="37"/>
  <c r="CO39" i="37"/>
  <c r="CO40" i="37"/>
  <c r="CO41" i="37"/>
  <c r="CO42" i="37"/>
  <c r="CO45" i="37"/>
  <c r="CO46" i="37"/>
  <c r="CO43" i="37"/>
  <c r="CO47" i="37"/>
  <c r="CO49" i="37"/>
  <c r="CO50" i="37"/>
  <c r="CO51" i="37"/>
  <c r="CO52" i="37"/>
  <c r="CO53" i="37"/>
  <c r="CO54" i="37"/>
  <c r="CO48" i="37"/>
  <c r="CO44" i="37"/>
  <c r="CO55" i="37"/>
  <c r="CO59" i="37"/>
  <c r="CO63" i="37"/>
  <c r="CO56" i="37"/>
  <c r="CO60" i="37"/>
  <c r="CO64" i="37"/>
  <c r="CO67" i="37"/>
  <c r="CO57" i="37"/>
  <c r="CO61" i="37"/>
  <c r="CO58" i="37"/>
  <c r="CO62" i="37"/>
  <c r="CO66" i="37"/>
  <c r="CO65" i="37"/>
  <c r="CO68" i="37"/>
  <c r="CO69" i="37"/>
  <c r="CO70" i="37"/>
  <c r="CO71" i="37"/>
  <c r="CO72" i="37"/>
  <c r="CO73" i="37"/>
  <c r="CO74" i="37"/>
  <c r="CO75" i="37"/>
  <c r="CO76" i="37"/>
  <c r="CO77" i="37"/>
  <c r="CO78" i="37"/>
  <c r="CO79" i="37"/>
  <c r="CO80" i="37"/>
  <c r="CO81" i="37"/>
  <c r="CO82" i="37"/>
  <c r="CO83" i="37"/>
  <c r="CO84" i="37"/>
  <c r="CN96" i="37"/>
  <c r="CN95" i="37"/>
  <c r="CN94" i="37"/>
  <c r="CN93" i="37"/>
  <c r="CN91" i="37"/>
  <c r="CN89" i="37"/>
  <c r="CN86" i="37"/>
  <c r="CN88" i="37"/>
  <c r="CN87" i="37"/>
  <c r="CN92" i="37"/>
  <c r="CN90" i="37"/>
  <c r="CN85" i="37"/>
  <c r="CP29" i="37"/>
  <c r="CO28" i="37"/>
  <c r="CP30" i="37" l="1"/>
  <c r="CP31" i="37"/>
  <c r="CP32" i="37"/>
  <c r="CP33" i="37"/>
  <c r="CP34" i="37"/>
  <c r="CP35" i="37"/>
  <c r="CP36" i="37"/>
  <c r="CP37" i="37"/>
  <c r="CP38" i="37"/>
  <c r="CP39" i="37"/>
  <c r="CP40" i="37"/>
  <c r="CP41" i="37"/>
  <c r="CP42" i="37"/>
  <c r="CP43" i="37"/>
  <c r="CP44" i="37"/>
  <c r="CP45" i="37"/>
  <c r="CP46" i="37"/>
  <c r="CP47" i="37"/>
  <c r="CP48" i="37"/>
  <c r="CP51" i="37"/>
  <c r="CP55" i="37"/>
  <c r="CP56" i="37"/>
  <c r="CP57" i="37"/>
  <c r="CP58" i="37"/>
  <c r="CP59" i="37"/>
  <c r="CP60" i="37"/>
  <c r="CP61" i="37"/>
  <c r="CP62" i="37"/>
  <c r="CP63" i="37"/>
  <c r="CP64" i="37"/>
  <c r="CP65" i="37"/>
  <c r="CP52" i="37"/>
  <c r="CP49" i="37"/>
  <c r="CP53" i="37"/>
  <c r="CP54" i="37"/>
  <c r="CP66" i="37"/>
  <c r="CP68" i="37"/>
  <c r="CP50" i="37"/>
  <c r="CP67" i="37"/>
  <c r="CP69" i="37"/>
  <c r="CP70" i="37"/>
  <c r="CP71" i="37"/>
  <c r="CP72" i="37"/>
  <c r="CP73" i="37"/>
  <c r="CP74" i="37"/>
  <c r="CP75" i="37"/>
  <c r="CP76" i="37"/>
  <c r="CP77" i="37"/>
  <c r="CP78" i="37"/>
  <c r="CP79" i="37"/>
  <c r="CP80" i="37"/>
  <c r="CP81" i="37"/>
  <c r="CP82" i="37"/>
  <c r="CP83" i="37"/>
  <c r="CP84" i="37"/>
  <c r="CO96" i="37"/>
  <c r="CO95" i="37"/>
  <c r="CO94" i="37"/>
  <c r="CO93" i="37"/>
  <c r="CO92" i="37"/>
  <c r="CO91" i="37"/>
  <c r="CO90" i="37"/>
  <c r="CO89" i="37"/>
  <c r="CO86" i="37"/>
  <c r="CO87" i="37"/>
  <c r="CO85" i="37"/>
  <c r="CO88" i="37"/>
  <c r="CP28" i="37"/>
  <c r="CQ29" i="37"/>
  <c r="CQ30" i="37" l="1"/>
  <c r="CQ32" i="37"/>
  <c r="CQ33" i="37"/>
  <c r="CQ34" i="37"/>
  <c r="CQ35" i="37"/>
  <c r="CQ36" i="37"/>
  <c r="CQ37" i="37"/>
  <c r="CQ38" i="37"/>
  <c r="CQ39" i="37"/>
  <c r="CQ40" i="37"/>
  <c r="CQ41" i="37"/>
  <c r="CQ42" i="37"/>
  <c r="CQ31" i="37"/>
  <c r="CQ43" i="37"/>
  <c r="CQ44" i="37"/>
  <c r="CQ45" i="37"/>
  <c r="CQ46" i="37"/>
  <c r="CQ47" i="37"/>
  <c r="CQ48" i="37"/>
  <c r="CQ49" i="37"/>
  <c r="CQ50" i="37"/>
  <c r="CQ51" i="37"/>
  <c r="CQ52" i="37"/>
  <c r="CQ53" i="37"/>
  <c r="CQ54" i="37"/>
  <c r="CQ55" i="37"/>
  <c r="CQ56" i="37"/>
  <c r="CQ57" i="37"/>
  <c r="CQ58" i="37"/>
  <c r="CQ59" i="37"/>
  <c r="CQ60" i="37"/>
  <c r="CQ61" i="37"/>
  <c r="CQ62" i="37"/>
  <c r="CQ63" i="37"/>
  <c r="CQ64" i="37"/>
  <c r="CQ65" i="37"/>
  <c r="CQ66" i="37"/>
  <c r="CQ67" i="37"/>
  <c r="CQ68" i="37"/>
  <c r="CQ69" i="37"/>
  <c r="CQ70" i="37"/>
  <c r="CQ71" i="37"/>
  <c r="CQ72" i="37"/>
  <c r="CQ73" i="37"/>
  <c r="CQ74" i="37"/>
  <c r="CQ75" i="37"/>
  <c r="CQ76" i="37"/>
  <c r="CQ77" i="37"/>
  <c r="CQ78" i="37"/>
  <c r="CQ79" i="37"/>
  <c r="CQ80" i="37"/>
  <c r="CQ81" i="37"/>
  <c r="CQ82" i="37"/>
  <c r="CQ83" i="37"/>
  <c r="CQ84" i="37"/>
  <c r="CP96" i="37"/>
  <c r="CP95" i="37"/>
  <c r="CP94" i="37"/>
  <c r="CP93" i="37"/>
  <c r="CP92" i="37"/>
  <c r="CP89" i="37"/>
  <c r="CP87" i="37"/>
  <c r="CP85" i="37"/>
  <c r="CP86" i="37"/>
  <c r="CP90" i="37"/>
  <c r="CP91" i="37"/>
  <c r="CP88" i="37"/>
  <c r="CR29" i="37"/>
  <c r="CQ28" i="37"/>
  <c r="CR31" i="37" l="1"/>
  <c r="CR33" i="37"/>
  <c r="CR34" i="37"/>
  <c r="CR35" i="37"/>
  <c r="CR30" i="37"/>
  <c r="CR32" i="37"/>
  <c r="CR39" i="37"/>
  <c r="CR36" i="37"/>
  <c r="CR40" i="37"/>
  <c r="CR37" i="37"/>
  <c r="CR41" i="37"/>
  <c r="CR43" i="37"/>
  <c r="CR44" i="37"/>
  <c r="CR45" i="37"/>
  <c r="CR46" i="37"/>
  <c r="CR47" i="37"/>
  <c r="CR48" i="37"/>
  <c r="CR42" i="37"/>
  <c r="CR49" i="37"/>
  <c r="CR50" i="37"/>
  <c r="CR51" i="37"/>
  <c r="CR52" i="37"/>
  <c r="CR53" i="37"/>
  <c r="CR54" i="37"/>
  <c r="CR38" i="37"/>
  <c r="CR55" i="37"/>
  <c r="CR56" i="37"/>
  <c r="CR57" i="37"/>
  <c r="CR58" i="37"/>
  <c r="CR59" i="37"/>
  <c r="CR60" i="37"/>
  <c r="CR61" i="37"/>
  <c r="CR62" i="37"/>
  <c r="CR63" i="37"/>
  <c r="CR64" i="37"/>
  <c r="CR65" i="37"/>
  <c r="CR66" i="37"/>
  <c r="CR67" i="37"/>
  <c r="CR68" i="37"/>
  <c r="CR69" i="37"/>
  <c r="CR70" i="37"/>
  <c r="CR71" i="37"/>
  <c r="CR72" i="37"/>
  <c r="CR73" i="37"/>
  <c r="CR74" i="37"/>
  <c r="CR75" i="37"/>
  <c r="CR76" i="37"/>
  <c r="CR77" i="37"/>
  <c r="CR78" i="37"/>
  <c r="CR79" i="37"/>
  <c r="CR80" i="37"/>
  <c r="CR81" i="37"/>
  <c r="CR82" i="37"/>
  <c r="CR83" i="37"/>
  <c r="CR84" i="37"/>
  <c r="CQ96" i="37"/>
  <c r="CQ95" i="37"/>
  <c r="CQ94" i="37"/>
  <c r="CQ93" i="37"/>
  <c r="CQ92" i="37"/>
  <c r="CQ87" i="37"/>
  <c r="CQ88" i="37"/>
  <c r="CQ91" i="37"/>
  <c r="CQ89" i="37"/>
  <c r="CQ90" i="37"/>
  <c r="CQ85" i="37"/>
  <c r="CQ86" i="37"/>
  <c r="CR28" i="37"/>
  <c r="CS29" i="37"/>
  <c r="CS30" i="37" l="1"/>
  <c r="CS31" i="37"/>
  <c r="CS32" i="37"/>
  <c r="CS33" i="37"/>
  <c r="CS34" i="37"/>
  <c r="CS35" i="37"/>
  <c r="CS36" i="37"/>
  <c r="CS37" i="37"/>
  <c r="CS38" i="37"/>
  <c r="CS39" i="37"/>
  <c r="CS40" i="37"/>
  <c r="CS41" i="37"/>
  <c r="CS42" i="37"/>
  <c r="CS44" i="37"/>
  <c r="CS48" i="37"/>
  <c r="CS45" i="37"/>
  <c r="CS46" i="37"/>
  <c r="CS49" i="37"/>
  <c r="CS50" i="37"/>
  <c r="CS51" i="37"/>
  <c r="CS52" i="37"/>
  <c r="CS53" i="37"/>
  <c r="CS54" i="37"/>
  <c r="CS43" i="37"/>
  <c r="CS47" i="37"/>
  <c r="CS58" i="37"/>
  <c r="CS62" i="37"/>
  <c r="CS55" i="37"/>
  <c r="CS59" i="37"/>
  <c r="CS63" i="37"/>
  <c r="CS66" i="37"/>
  <c r="CS68" i="37"/>
  <c r="CS56" i="37"/>
  <c r="CS60" i="37"/>
  <c r="CS64" i="37"/>
  <c r="CS57" i="37"/>
  <c r="CS61" i="37"/>
  <c r="CS65" i="37"/>
  <c r="CS67" i="37"/>
  <c r="CS69" i="37"/>
  <c r="CS70" i="37"/>
  <c r="CS71" i="37"/>
  <c r="CS72" i="37"/>
  <c r="CS73" i="37"/>
  <c r="CS74" i="37"/>
  <c r="CS75" i="37"/>
  <c r="CS76" i="37"/>
  <c r="CS77" i="37"/>
  <c r="CS78" i="37"/>
  <c r="CS79" i="37"/>
  <c r="CS80" i="37"/>
  <c r="CS81" i="37"/>
  <c r="CS82" i="37"/>
  <c r="CS83" i="37"/>
  <c r="CS84" i="37"/>
  <c r="CR96" i="37"/>
  <c r="CR95" i="37"/>
  <c r="CR94" i="37"/>
  <c r="CR93" i="37"/>
  <c r="CR90" i="37"/>
  <c r="CR85" i="37"/>
  <c r="CR88" i="37"/>
  <c r="CR92" i="37"/>
  <c r="CR91" i="37"/>
  <c r="CR87" i="37"/>
  <c r="CR86" i="37"/>
  <c r="CR89" i="37"/>
  <c r="CS28" i="37"/>
  <c r="CT29" i="37"/>
  <c r="CT30" i="37" l="1"/>
  <c r="CT31" i="37"/>
  <c r="CT32" i="37"/>
  <c r="CT33" i="37"/>
  <c r="CT34" i="37"/>
  <c r="CT35" i="37"/>
  <c r="CT36" i="37"/>
  <c r="CT37" i="37"/>
  <c r="CT38" i="37"/>
  <c r="CT39" i="37"/>
  <c r="CT40" i="37"/>
  <c r="CT41" i="37"/>
  <c r="CT42" i="37"/>
  <c r="CT43" i="37"/>
  <c r="CT44" i="37"/>
  <c r="CT45" i="37"/>
  <c r="CT46" i="37"/>
  <c r="CT47" i="37"/>
  <c r="CT48" i="37"/>
  <c r="CT50" i="37"/>
  <c r="CT54" i="37"/>
  <c r="CT55" i="37"/>
  <c r="CT56" i="37"/>
  <c r="CT57" i="37"/>
  <c r="CT58" i="37"/>
  <c r="CT59" i="37"/>
  <c r="CT60" i="37"/>
  <c r="CT61" i="37"/>
  <c r="CT62" i="37"/>
  <c r="CT63" i="37"/>
  <c r="CT64" i="37"/>
  <c r="CT65" i="37"/>
  <c r="CT51" i="37"/>
  <c r="CT52" i="37"/>
  <c r="CT67" i="37"/>
  <c r="CT49" i="37"/>
  <c r="CT53" i="37"/>
  <c r="CT66" i="37"/>
  <c r="CT68" i="37"/>
  <c r="CT69" i="37"/>
  <c r="CT70" i="37"/>
  <c r="CT71" i="37"/>
  <c r="CT72" i="37"/>
  <c r="CT73" i="37"/>
  <c r="CT74" i="37"/>
  <c r="CT75" i="37"/>
  <c r="CT76" i="37"/>
  <c r="CT82" i="37"/>
  <c r="CT83" i="37"/>
  <c r="CT84" i="37"/>
  <c r="CT77" i="37"/>
  <c r="CT78" i="37"/>
  <c r="CT79" i="37"/>
  <c r="CT80" i="37"/>
  <c r="CT81" i="37"/>
  <c r="CS96" i="37"/>
  <c r="CS95" i="37"/>
  <c r="CS94" i="37"/>
  <c r="CS93" i="37"/>
  <c r="CS92" i="37"/>
  <c r="CS88" i="37"/>
  <c r="CS86" i="37"/>
  <c r="CS89" i="37"/>
  <c r="CS85" i="37"/>
  <c r="CS90" i="37"/>
  <c r="CS87" i="37"/>
  <c r="CS91" i="37"/>
  <c r="CV84" i="37"/>
  <c r="CV83" i="37"/>
  <c r="CV82" i="37"/>
  <c r="CV81" i="37"/>
  <c r="CV80" i="37"/>
  <c r="CT28" i="37"/>
  <c r="CU29" i="37"/>
  <c r="CU31" i="37" l="1"/>
  <c r="CU33" i="37"/>
  <c r="CU30" i="37"/>
  <c r="CU34" i="37"/>
  <c r="CU32" i="37"/>
  <c r="CU35" i="37"/>
  <c r="CU36" i="37"/>
  <c r="CU37" i="37"/>
  <c r="CU38" i="37"/>
  <c r="CU39" i="37"/>
  <c r="CU40" i="37"/>
  <c r="CU41" i="37"/>
  <c r="CU42" i="37"/>
  <c r="CU43" i="37"/>
  <c r="CU44" i="37"/>
  <c r="CU45" i="37"/>
  <c r="CU46" i="37"/>
  <c r="CU47" i="37"/>
  <c r="CU48" i="37"/>
  <c r="CU49" i="37"/>
  <c r="CU50" i="37"/>
  <c r="CU51" i="37"/>
  <c r="CU52" i="37"/>
  <c r="CU53" i="37"/>
  <c r="CU54" i="37"/>
  <c r="CU55" i="37"/>
  <c r="CU56" i="37"/>
  <c r="CU57" i="37"/>
  <c r="CU58" i="37"/>
  <c r="CU59" i="37"/>
  <c r="CU60" i="37"/>
  <c r="CU61" i="37"/>
  <c r="CU62" i="37"/>
  <c r="CU63" i="37"/>
  <c r="CU64" i="37"/>
  <c r="CU65" i="37"/>
  <c r="CU66" i="37"/>
  <c r="CU67" i="37"/>
  <c r="CU68" i="37"/>
  <c r="CU69" i="37"/>
  <c r="CU70" i="37"/>
  <c r="CU71" i="37"/>
  <c r="CU72" i="37"/>
  <c r="CU73" i="37"/>
  <c r="CU74" i="37"/>
  <c r="CU75" i="37"/>
  <c r="CU76" i="37"/>
  <c r="CU77" i="37"/>
  <c r="CU78" i="37"/>
  <c r="CU79" i="37"/>
  <c r="CU80" i="37"/>
  <c r="CU81" i="37"/>
  <c r="CU82" i="37"/>
  <c r="CU83" i="37"/>
  <c r="CU84" i="37"/>
  <c r="CT96" i="37"/>
  <c r="CT95" i="37"/>
  <c r="CT94" i="37"/>
  <c r="CT93" i="37"/>
  <c r="CT86" i="37"/>
  <c r="CT92" i="37"/>
  <c r="CT91" i="37"/>
  <c r="CT90" i="37"/>
  <c r="CT85" i="37"/>
  <c r="CT87" i="37"/>
  <c r="CT88" i="37"/>
  <c r="CT89" i="37"/>
  <c r="CW84" i="37"/>
  <c r="CW83" i="37"/>
  <c r="CW82" i="37"/>
  <c r="CW81" i="37"/>
  <c r="CW80" i="37"/>
  <c r="CU28" i="37"/>
  <c r="C45" i="19" l="1"/>
  <c r="C53" i="19"/>
  <c r="C54" i="19" l="1"/>
  <c r="C46" i="19"/>
  <c r="C51" i="19" l="1"/>
  <c r="C50" i="19" l="1"/>
  <c r="C55"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F7B74B-0DBB-4BF1-A7DE-5698B13845F2}" keepAlive="1" name="Query - FromProposal" description="Connection to the 'FromProposal' query in the workbook." type="5" refreshedVersion="8" background="1" saveData="1">
    <dbPr connection="Provider=Microsoft.Mashup.OleDb.1;Data Source=$Workbook$;Location=FromProposal;Extended Properties=&quot;&quot;" command="SELECT * FROM [FromProposal]"/>
  </connection>
  <connection id="2" xr16:uid="{8DE257EE-DAEB-4596-BC1E-28526168BD2E}" keepAlive="1" name="Query - Proposal" description="Connection to the 'Proposal' query in the workbook." type="5" refreshedVersion="7" background="1" saveData="1">
    <dbPr connection="Provider=Microsoft.Mashup.OleDb.1;Data Source=$Workbook$;Location=Proposal;Extended Properties=&quot;&quot;" command="SELECT * FROM [Proposal]"/>
  </connection>
  <connection id="3" xr16:uid="{99B8A5AE-B634-4F62-9A3D-26C4E9127160}" keepAlive="1" interval="5" name="Query - ProposalToGnatt" description="Connection to the 'ProposalToGnatt' query in the workbook." type="5" refreshedVersion="8" background="1" refreshOnLoad="1" saveData="1">
    <dbPr connection="Provider=Microsoft.Mashup.OleDb.1;Data Source=$Workbook$;Location=ProposalToGnatt;Extended Properties=&quot;&quot;" command="SELECT * FROM [ProposalToGnat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<sst xmlns="http://schemas.openxmlformats.org/spreadsheetml/2006/main" count="1160" uniqueCount="731">
  <si>
    <t>Flip, Hold or Wholetale:</t>
  </si>
  <si>
    <t>flip</t>
  </si>
  <si>
    <t>Buy</t>
  </si>
  <si>
    <t>Your Home LLC</t>
  </si>
  <si>
    <t>3325 Banks Rd, Raleigh, NC 27603</t>
  </si>
  <si>
    <t>Monthly Cash Flow</t>
  </si>
  <si>
    <t>Hearing Date:</t>
  </si>
  <si>
    <t>Income</t>
  </si>
  <si>
    <t>Immediate</t>
  </si>
  <si>
    <t>Upon Sale</t>
  </si>
  <si>
    <t>CMA:</t>
  </si>
  <si>
    <t>Finalized:</t>
  </si>
  <si>
    <t>No</t>
  </si>
  <si>
    <t>Todays' date:</t>
  </si>
  <si>
    <t>% Above/Below Market Sale:</t>
  </si>
  <si>
    <t>Zillow</t>
  </si>
  <si>
    <t>Sale Price:</t>
  </si>
  <si>
    <t>Anuual Growth:</t>
  </si>
  <si>
    <t>NonRefundable Deposit:</t>
  </si>
  <si>
    <t>Rent:</t>
  </si>
  <si>
    <t>Sq Footage</t>
  </si>
  <si>
    <t>Net Income:</t>
  </si>
  <si>
    <t>Expenses</t>
  </si>
  <si>
    <t>Reinstatment Cost 1st:</t>
  </si>
  <si>
    <t>&lt;-- Approx Pay-Down</t>
  </si>
  <si>
    <t>If the Subject To Value is finalized, zero-out the Pay-Down savings</t>
  </si>
  <si>
    <t>Subject To 1st:Truist</t>
  </si>
  <si>
    <t>Reinstatment Cost 2st:</t>
  </si>
  <si>
    <t>Subject To 2st:Notes</t>
  </si>
  <si>
    <t>Liens - IRS &amp; HOA</t>
  </si>
  <si>
    <t>Partners Share %</t>
  </si>
  <si>
    <t>or Seller Payout:</t>
  </si>
  <si>
    <t>Yellow cells can be edited</t>
  </si>
  <si>
    <t>HOA Fees(Catch Up)</t>
  </si>
  <si>
    <t>Months Carried</t>
  </si>
  <si>
    <t>Do not edit Green cells. They are highlighted only to show profit</t>
  </si>
  <si>
    <t>Mortgage Payment:</t>
  </si>
  <si>
    <t>Mortgage Payment - 2nd:</t>
  </si>
  <si>
    <t>Property Insurance</t>
  </si>
  <si>
    <t>HOA Fees (monthly)</t>
  </si>
  <si>
    <t>Electric</t>
  </si>
  <si>
    <t>water</t>
  </si>
  <si>
    <t>1st Mortgage</t>
  </si>
  <si>
    <t>Carrying Cost</t>
  </si>
  <si>
    <t>Purchase  Cost</t>
  </si>
  <si>
    <t>Private Lender</t>
  </si>
  <si>
    <t>Neal Issacs</t>
  </si>
  <si>
    <t>Private Lender  Rate:</t>
  </si>
  <si>
    <t>yes</t>
  </si>
  <si>
    <t>75%ARV-Debt:</t>
  </si>
  <si>
    <t>Out of Pocket</t>
  </si>
  <si>
    <t>Rehab:</t>
  </si>
  <si>
    <t>Marketing:</t>
  </si>
  <si>
    <t>PL Balance +Interest</t>
  </si>
  <si>
    <t xml:space="preserve">Seller Realtor's Flat Fee </t>
  </si>
  <si>
    <t>Seller Realtor's Fee Percent:</t>
  </si>
  <si>
    <t>Buyers Realtors Fee Percent:</t>
  </si>
  <si>
    <t>Number of Rent Payments :</t>
  </si>
  <si>
    <t>Buyer  Assistance</t>
  </si>
  <si>
    <t>Buying Closing Cost:</t>
  </si>
  <si>
    <t>Selling Closing Cost:</t>
  </si>
  <si>
    <t>Net Expenses:</t>
  </si>
  <si>
    <t>Immediate Profit:</t>
  </si>
  <si>
    <t>Long Term Profit:</t>
  </si>
  <si>
    <t>Partners Profit Share</t>
  </si>
  <si>
    <t>Our Profit Share</t>
  </si>
  <si>
    <t>Cash Flow Profit for Months:</t>
  </si>
  <si>
    <t>Gross Profit:</t>
  </si>
  <si>
    <t>Capital Gains Tax</t>
  </si>
  <si>
    <t>Capital Gains</t>
  </si>
  <si>
    <t>Chartiable Contribution:</t>
  </si>
  <si>
    <t>Rehab Cost Detail</t>
  </si>
  <si>
    <t>Gnatt Chart</t>
  </si>
  <si>
    <t>Murphy %:</t>
  </si>
  <si>
    <t>Murphy will be Zeroed-Out whe project is finalized</t>
  </si>
  <si>
    <t>Murphy's Cut:</t>
  </si>
  <si>
    <t>Rehab Summary:</t>
  </si>
  <si>
    <t>This value is carried up to cell C29,                         Labeled Rehab</t>
  </si>
  <si>
    <t>Buying Closing Cost</t>
  </si>
  <si>
    <t>Settlement  Fee to Attorney:</t>
  </si>
  <si>
    <t>Probate  Attorney</t>
  </si>
  <si>
    <t>Seller Doc Prep</t>
  </si>
  <si>
    <t>Days Invested</t>
  </si>
  <si>
    <t>Start Date</t>
  </si>
  <si>
    <t>End Date</t>
  </si>
  <si>
    <t>Wire Fee</t>
  </si>
  <si>
    <t>Deed Package:</t>
  </si>
  <si>
    <t>Indemnety:</t>
  </si>
  <si>
    <t>Ttitle Search:</t>
  </si>
  <si>
    <t>Cancelation Fee:</t>
  </si>
  <si>
    <t>Overnight Express Fees:</t>
  </si>
  <si>
    <t>Title Insurance:</t>
  </si>
  <si>
    <t>Affadavits:</t>
  </si>
  <si>
    <t>Notice to Creditors Ad</t>
  </si>
  <si>
    <t>Recording Fee Deed:</t>
  </si>
  <si>
    <t>Transfer Taxes - Wake County</t>
  </si>
  <si>
    <t>Revenue Stamps</t>
  </si>
  <si>
    <t xml:space="preserve">LLC Manager Fee </t>
  </si>
  <si>
    <t>This value is carried up to cell C36,                        Labeled Buying Closing Cost</t>
  </si>
  <si>
    <t>Selling Closing Cost</t>
  </si>
  <si>
    <t>Seller concesson:</t>
  </si>
  <si>
    <t>Home Warrenty:</t>
  </si>
  <si>
    <t>This value is carried up to cell C37,                        Labeled Selling Closing Cost</t>
  </si>
  <si>
    <t>Multiple Offer Generator</t>
  </si>
  <si>
    <t>Buyers Copy</t>
  </si>
  <si>
    <t>Seller 1:</t>
  </si>
  <si>
    <t>Nikki</t>
  </si>
  <si>
    <t>Kulas</t>
  </si>
  <si>
    <t>no</t>
  </si>
  <si>
    <t>Seller 2:</t>
  </si>
  <si>
    <t>email:</t>
  </si>
  <si>
    <t>Phone #:</t>
  </si>
  <si>
    <t>Offer 1</t>
  </si>
  <si>
    <t xml:space="preserve">Traditional, All Cash </t>
  </si>
  <si>
    <t>This is an all cash payment, at closing with no other allowances considered. Seller pays all Mortgages, liens, HOA expenses out of closings proceedings.</t>
  </si>
  <si>
    <t>Seller's Equity</t>
  </si>
  <si>
    <t>Sales Price</t>
  </si>
  <si>
    <t>ARV</t>
  </si>
  <si>
    <t>Debt</t>
  </si>
  <si>
    <t>BYH's Profit</t>
  </si>
  <si>
    <t>BYH Out of Pocket:</t>
  </si>
  <si>
    <t>BYH Profit/Out of Pocket:</t>
  </si>
  <si>
    <t>X</t>
  </si>
  <si>
    <t>Buy Your Home's % of Profit:</t>
  </si>
  <si>
    <t>less than Opt 2</t>
  </si>
  <si>
    <t>Offer 2</t>
  </si>
  <si>
    <t>Cash plus Assumption of Mortgage</t>
  </si>
  <si>
    <t>*This is the default values from the Profit Sheet.</t>
  </si>
  <si>
    <t>Cash payment in conjunction with taking the existing mortgage subject to:</t>
  </si>
  <si>
    <t>After reinstating existing loans and HOA fees</t>
  </si>
  <si>
    <t>Seller's Total Value</t>
  </si>
  <si>
    <t>Cash</t>
  </si>
  <si>
    <t>&lt;- The default value form profit sheet</t>
  </si>
  <si>
    <t>x</t>
  </si>
  <si>
    <t>Offer 3</t>
  </si>
  <si>
    <t>Cash plus Promissory Note</t>
  </si>
  <si>
    <t xml:space="preserve"> - this is the one to stear seller to:</t>
  </si>
  <si>
    <t>Note is a simple interest note for:</t>
  </si>
  <si>
    <t>Months</t>
  </si>
  <si>
    <t>(Based on Current Valuation)</t>
  </si>
  <si>
    <t>Value added to Note:</t>
  </si>
  <si>
    <t xml:space="preserve">Cash </t>
  </si>
  <si>
    <t>Note</t>
  </si>
  <si>
    <t>Interest Earned</t>
  </si>
  <si>
    <t>Interest Rate</t>
  </si>
  <si>
    <t>Offer 4</t>
  </si>
  <si>
    <t>Cash plus Beneficial Interest in Trust</t>
  </si>
  <si>
    <t>Profit split is a split of the profits upon the eventual sale of the pproperty.</t>
  </si>
  <si>
    <t>Profits will be calculated after deducting all expenses incurred from the sales price</t>
  </si>
  <si>
    <t>(Based on Future Valuation)</t>
  </si>
  <si>
    <t>Trust Future Profit</t>
  </si>
  <si>
    <t>Seller's Profit Sharing Percent</t>
  </si>
  <si>
    <t>Seller's Profit Share</t>
  </si>
  <si>
    <t>Sellers Share Profit</t>
  </si>
  <si>
    <t>*This precentage is not set in Profit sheet. It is for proposal only.</t>
  </si>
  <si>
    <t>Personalize Note</t>
  </si>
  <si>
    <t>{alt}{enter] = carrage return</t>
  </si>
  <si>
    <t>Foreclosure Leads</t>
  </si>
  <si>
    <t>(919) 899-4954</t>
  </si>
  <si>
    <t>Liberty Leads</t>
  </si>
  <si>
    <t>(919) 899-2104</t>
  </si>
  <si>
    <t>Notes</t>
  </si>
  <si>
    <t>6004  Sandy Run</t>
  </si>
  <si>
    <t>Larchmont</t>
  </si>
  <si>
    <t>2608 Alton</t>
  </si>
  <si>
    <t>202 Avery</t>
  </si>
  <si>
    <t>1900 Red Quartz</t>
  </si>
  <si>
    <t>120 Keith</t>
  </si>
  <si>
    <t>3007 Eric</t>
  </si>
  <si>
    <t>2153 Haig Point</t>
  </si>
  <si>
    <t>178 Patricia</t>
  </si>
  <si>
    <t>1201 Hazelnut</t>
  </si>
  <si>
    <t>1223 Roffler</t>
  </si>
  <si>
    <t>2025 Metacomet</t>
  </si>
  <si>
    <t xml:space="preserve">5619 Marthonna </t>
  </si>
  <si>
    <t>New Seller</t>
  </si>
  <si>
    <t>Purchase &amp; Sale Agreement</t>
  </si>
  <si>
    <t>Yes</t>
  </si>
  <si>
    <t xml:space="preserve"> </t>
  </si>
  <si>
    <t>Letter of Authorization</t>
  </si>
  <si>
    <t>Yes (2)</t>
  </si>
  <si>
    <t>Reinstatement Quote</t>
  </si>
  <si>
    <t>Bank Acknowledgement</t>
  </si>
  <si>
    <t>On-Line Bank Access</t>
  </si>
  <si>
    <t>Change Mail</t>
  </si>
  <si>
    <t>Bank Attorney letter of dismisal</t>
  </si>
  <si>
    <t>na</t>
  </si>
  <si>
    <t>Get (orignal) Property Authorization</t>
  </si>
  <si>
    <t>After Purchase</t>
  </si>
  <si>
    <t>Insurance Claim for Roof</t>
  </si>
  <si>
    <t>Locks Changed</t>
  </si>
  <si>
    <t>Gas Service</t>
  </si>
  <si>
    <t>Electrical &amp; Water Service</t>
  </si>
  <si>
    <t>Rehab bids</t>
  </si>
  <si>
    <t>In progress</t>
  </si>
  <si>
    <t>Order Dumpster</t>
  </si>
  <si>
    <t>n/a</t>
  </si>
  <si>
    <t>A/C service</t>
  </si>
  <si>
    <t>Establish Mortgage payment</t>
  </si>
  <si>
    <t>Remove PMI</t>
  </si>
  <si>
    <t>Claim Property on Zillow</t>
  </si>
  <si>
    <t xml:space="preserve">yes  </t>
  </si>
  <si>
    <t>Add property to Our Website</t>
  </si>
  <si>
    <t>Make sure deed and agreement are done</t>
  </si>
  <si>
    <t>Change Insurance</t>
  </si>
  <si>
    <t>Get Insurance payments installed</t>
  </si>
  <si>
    <t>Add Private Lender to Insurance</t>
  </si>
  <si>
    <t>In progess Add Scott Moore</t>
  </si>
  <si>
    <t>Probate letters - Notice to Creditors</t>
  </si>
  <si>
    <t>Upon Sales Contract</t>
  </si>
  <si>
    <t>Send Clay contract</t>
  </si>
  <si>
    <t>Get Payoff Letter from Mortgage</t>
  </si>
  <si>
    <t>Respond to Closing Attorney</t>
  </si>
  <si>
    <t>Turn off utilities</t>
  </si>
  <si>
    <t>Alert Private Lenders</t>
  </si>
  <si>
    <t>Upon Closing</t>
  </si>
  <si>
    <t>Documents to send to Clay</t>
  </si>
  <si>
    <t>Send Clay CD/Alta signed by all</t>
  </si>
  <si>
    <t>Drop Insurance</t>
  </si>
  <si>
    <t>Totals Across Projects</t>
  </si>
  <si>
    <t>Total CMA:</t>
  </si>
  <si>
    <t>Total Purchase Cost:</t>
  </si>
  <si>
    <t>Total Rehab Expense:</t>
  </si>
  <si>
    <t>Total Debt</t>
  </si>
  <si>
    <t>Monthly Carring Cost:</t>
  </si>
  <si>
    <t>Monthly Income:</t>
  </si>
  <si>
    <t>Total Expected Profit:</t>
  </si>
  <si>
    <t>Total Chartable Contribution:</t>
  </si>
  <si>
    <t>Average CMA:</t>
  </si>
  <si>
    <t>Average Purchase Cost:</t>
  </si>
  <si>
    <t>Uncompleted Project</t>
  </si>
  <si>
    <t>Average Rehab Expense:</t>
  </si>
  <si>
    <t>Completed for Sell Your Home</t>
  </si>
  <si>
    <t>Average Profit:</t>
  </si>
  <si>
    <t>Completed for Buy Your Home</t>
  </si>
  <si>
    <t>Vendor</t>
  </si>
  <si>
    <t>Phone Number</t>
  </si>
  <si>
    <t>Contact</t>
  </si>
  <si>
    <t>Acct/Policy</t>
  </si>
  <si>
    <t>Email</t>
  </si>
  <si>
    <t>Purpose</t>
  </si>
  <si>
    <t>Zola Turner</t>
  </si>
  <si>
    <t>SS#: 404-54-1686</t>
  </si>
  <si>
    <t>Karen Reilly</t>
  </si>
  <si>
    <t>SS#: 244-23-5473</t>
  </si>
  <si>
    <t>Could be SS#: 244-23-5173</t>
  </si>
  <si>
    <t>Scooby Steve Power Wash</t>
  </si>
  <si>
    <t>919-714-9713</t>
  </si>
  <si>
    <t>Steve Simeus</t>
  </si>
  <si>
    <t>Power Wash</t>
  </si>
  <si>
    <t>Mortgagee</t>
  </si>
  <si>
    <t>Additional Insured</t>
  </si>
  <si>
    <t>Loss Payee</t>
  </si>
  <si>
    <t>Lenders Loss Payee</t>
  </si>
  <si>
    <t>Certificate</t>
  </si>
  <si>
    <t>Braswell Realty</t>
  </si>
  <si>
    <t>919-262-6828</t>
  </si>
  <si>
    <t>Brantley Baker</t>
  </si>
  <si>
    <t>brantley@eldridgeandfranklin.com</t>
  </si>
  <si>
    <t>RE Investor - contacts</t>
  </si>
  <si>
    <t>Rushmore Loan Services</t>
  </si>
  <si>
    <t>919 579 8743</t>
  </si>
  <si>
    <t>LaLogallazo@gmail.com</t>
  </si>
  <si>
    <t>Painter</t>
  </si>
  <si>
    <t>Handyman of Hedingham</t>
  </si>
  <si>
    <t>919-819-6201</t>
  </si>
  <si>
    <t>Tim Fleming</t>
  </si>
  <si>
    <t>Handyman</t>
  </si>
  <si>
    <t>Hedingham</t>
  </si>
  <si>
    <t>LoLa Turner</t>
  </si>
  <si>
    <t>The Raleigh Handyman</t>
  </si>
  <si>
    <t>919-210-1525</t>
  </si>
  <si>
    <t>Alan C Thompson</t>
  </si>
  <si>
    <t>ac63yhompson@gmail.com</t>
  </si>
  <si>
    <t>Scott Moore</t>
  </si>
  <si>
    <t>Caliber Flooring, Inc</t>
  </si>
  <si>
    <t>919-977-1153</t>
  </si>
  <si>
    <t>Jennifer Lynn</t>
  </si>
  <si>
    <t xml:space="preserve">Flooring </t>
  </si>
  <si>
    <t>1239 Wicker Drive</t>
  </si>
  <si>
    <t>Referral Sarah Huffman</t>
  </si>
  <si>
    <t>Andy  Carlson</t>
  </si>
  <si>
    <t>(213) 293-7539</t>
  </si>
  <si>
    <t>andycarlson27@yahoo.com</t>
  </si>
  <si>
    <t>True Service Heating and AC</t>
  </si>
  <si>
    <t>919 794 1804</t>
  </si>
  <si>
    <t>Matt Truelove</t>
  </si>
  <si>
    <t>Matt@trueserviceinc.com</t>
  </si>
  <si>
    <t>Walter Brothers</t>
  </si>
  <si>
    <t>919 228 9107</t>
  </si>
  <si>
    <t>Walter@GlasgowDB.com</t>
  </si>
  <si>
    <t>Rushmore Loan Mangement</t>
  </si>
  <si>
    <t>888 504 6700</t>
  </si>
  <si>
    <t>888 504 7200</t>
  </si>
  <si>
    <t>User:WesWill@BuyYourHomeLLC.com</t>
  </si>
  <si>
    <t>PW:w3638B0@</t>
  </si>
  <si>
    <t>New Mortage Info:</t>
  </si>
  <si>
    <t>877 888 4606</t>
  </si>
  <si>
    <t>Loan #708108824</t>
  </si>
  <si>
    <t>https://www.rushmoreservicing.com</t>
  </si>
  <si>
    <t>Rushmore Servicing</t>
  </si>
  <si>
    <t>Att: Payment Processing</t>
  </si>
  <si>
    <t>PO BOX 650783</t>
  </si>
  <si>
    <t>Dallas, TX 75265-0783</t>
  </si>
  <si>
    <t>3rd party authorization</t>
  </si>
  <si>
    <t>Fax 949 341 2242</t>
  </si>
  <si>
    <t>sent on 9/21/21</t>
  </si>
  <si>
    <t>PW:W3638B0@</t>
  </si>
  <si>
    <t>SS# 404 54 1686</t>
  </si>
  <si>
    <t>SS# 244 23 5473</t>
  </si>
  <si>
    <t>NREIG</t>
  </si>
  <si>
    <t>770 734 1523</t>
  </si>
  <si>
    <t>Jennifer Knight</t>
  </si>
  <si>
    <t>NRE8120320</t>
  </si>
  <si>
    <t>https://nreig.com/contact/</t>
  </si>
  <si>
    <t>Insurance National Real Estate Insurance Group LLC</t>
  </si>
  <si>
    <t>Morgagee Clause: Truest Bank ISAOA/ATIMA, PO Box 47047,Atlanta GA, 30362</t>
  </si>
  <si>
    <t>juriscition</t>
  </si>
  <si>
    <t>Wake County</t>
  </si>
  <si>
    <t>Zoning</t>
  </si>
  <si>
    <t>R-30</t>
  </si>
  <si>
    <t>Acres</t>
  </si>
  <si>
    <t>All Utilities</t>
  </si>
  <si>
    <t>Mortgage Payment paid after Reinstatement</t>
  </si>
  <si>
    <t>Insurance Payments</t>
  </si>
  <si>
    <t>Aqua America (Water)</t>
  </si>
  <si>
    <t>Utility</t>
  </si>
  <si>
    <t>Date</t>
  </si>
  <si>
    <t>Tax</t>
  </si>
  <si>
    <t>payment</t>
  </si>
  <si>
    <t>Duke</t>
  </si>
  <si>
    <t>Preassigned Rows Cordination of Glasgow with Contrtactors</t>
  </si>
  <si>
    <t>Pasted rows from Builder's Trend Proposal</t>
  </si>
  <si>
    <t>Notes: Only add rows to the bottom of the table</t>
  </si>
  <si>
    <r>
      <rPr>
        <sz val="12"/>
        <rFont val="Arial"/>
        <family val="2"/>
      </rPr>
      <t>Cost Code</t>
    </r>
  </si>
  <si>
    <r>
      <rPr>
        <sz val="12"/>
        <rFont val="Arial"/>
        <family val="2"/>
      </rPr>
      <t>Title</t>
    </r>
  </si>
  <si>
    <r>
      <rPr>
        <sz val="12"/>
        <rFont val="Arial"/>
        <family val="2"/>
      </rPr>
      <t>Description</t>
    </r>
  </si>
  <si>
    <t>Qty</t>
  </si>
  <si>
    <t>Unit Price</t>
  </si>
  <si>
    <t>Deposit</t>
  </si>
  <si>
    <t>Initial Deposit to Start Job</t>
  </si>
  <si>
    <t>Draw</t>
  </si>
  <si>
    <t xml:space="preserve">Draw 1 </t>
  </si>
  <si>
    <t>Draw 1</t>
  </si>
  <si>
    <t>Draw 2</t>
  </si>
  <si>
    <t>Sell</t>
  </si>
  <si>
    <t>List with MLS</t>
  </si>
  <si>
    <t>HVAC</t>
  </si>
  <si>
    <t>Cordinate Sub</t>
  </si>
  <si>
    <t>Floor Coverings</t>
  </si>
  <si>
    <t>Flooring Contractor</t>
  </si>
  <si>
    <t>Supervision</t>
  </si>
  <si>
    <t>Termite Treatment</t>
  </si>
  <si>
    <t>Cabinets &amp; Vanities</t>
  </si>
  <si>
    <t>Cabinet Delivery</t>
  </si>
  <si>
    <t>Countertops</t>
  </si>
  <si>
    <t>Manage installion of granite countertops by others in kitchen</t>
  </si>
  <si>
    <t>Clean out House</t>
  </si>
  <si>
    <t>Contract</t>
  </si>
  <si>
    <t>Deck labor</t>
  </si>
  <si>
    <t>Deck material</t>
  </si>
  <si>
    <t>... Demo</t>
  </si>
  <si>
    <t>Demo labor</t>
  </si>
  <si>
    <t>20 Millwork &amp; Trim</t>
  </si>
  <si>
    <t>22 Specialty</t>
  </si>
  <si>
    <t>Bath Accessories</t>
  </si>
  <si>
    <t>Building Permits</t>
  </si>
  <si>
    <t>Electrical &amp; Lighting</t>
  </si>
  <si>
    <t>Frame labor</t>
  </si>
  <si>
    <t>Frame materials</t>
  </si>
  <si>
    <t>Insulation</t>
  </si>
  <si>
    <t>Landscaping &amp; Paving</t>
  </si>
  <si>
    <t>Miscellaneous</t>
  </si>
  <si>
    <t>Plumbing</t>
  </si>
  <si>
    <t>Siding labor</t>
  </si>
  <si>
    <t>Siding material</t>
  </si>
  <si>
    <t>... Site Preparation</t>
  </si>
  <si>
    <t>Trim labor</t>
  </si>
  <si>
    <t>Frame Labor</t>
  </si>
  <si>
    <t>Sheetrock</t>
  </si>
  <si>
    <t>Trim Labor</t>
  </si>
  <si>
    <t>These Cells are updated from the Proposal tab and are protected here.</t>
  </si>
  <si>
    <t>These cells are updated here and carried over to the Gnatt Chart</t>
  </si>
  <si>
    <t>Contracted Task</t>
  </si>
  <si>
    <t>Payment</t>
  </si>
  <si>
    <t>Change Order</t>
  </si>
  <si>
    <t>Not Used</t>
  </si>
  <si>
    <t>Manage Vendor</t>
  </si>
  <si>
    <t>Post Contract</t>
  </si>
  <si>
    <t>Party</t>
  </si>
  <si>
    <t>Item</t>
  </si>
  <si>
    <t>Cost Code</t>
  </si>
  <si>
    <t>Title</t>
  </si>
  <si>
    <t>Description</t>
  </si>
  <si>
    <t>Price</t>
  </si>
  <si>
    <t>Done</t>
  </si>
  <si>
    <t>Group Order</t>
  </si>
  <si>
    <t>Days</t>
  </si>
  <si>
    <t>Paid</t>
  </si>
  <si>
    <t>Expense</t>
  </si>
  <si>
    <t>Due:</t>
  </si>
  <si>
    <t>Project Start Date:</t>
  </si>
  <si>
    <t>Company  Paid  Materials Total:</t>
  </si>
  <si>
    <t>Jonathan Brothers</t>
  </si>
  <si>
    <t>Contractors Total:</t>
  </si>
  <si>
    <t>Milestone Marker:</t>
  </si>
  <si>
    <t>Glasgow Total:</t>
  </si>
  <si>
    <t>Cells H5 through BK5 contain the day number of the month for the Month represented in the cell block above each date cell and are auto calculated.
Do not modify these cells.
Dates leading up to Today are shaded.</t>
  </si>
  <si>
    <t>Milestone Marker 2:</t>
  </si>
  <si>
    <t>Grand Total</t>
  </si>
  <si>
    <t>Assigned</t>
  </si>
  <si>
    <t>Item #</t>
  </si>
  <si>
    <t>Due</t>
  </si>
  <si>
    <t>Cleanup (from Demo &amp; Trash Haul Tab)</t>
  </si>
  <si>
    <t>Taxes - outside of closing (from Taxes tab)</t>
  </si>
  <si>
    <t>Appliances (from Appliances Tab)</t>
  </si>
  <si>
    <t>Plubing Fixtures</t>
  </si>
  <si>
    <t>Windows &amp; Doors</t>
  </si>
  <si>
    <t>Cabinets  (from Cabinets Tab)</t>
  </si>
  <si>
    <t>Paint  (from Paint Tab)</t>
  </si>
  <si>
    <t>Flooring</t>
  </si>
  <si>
    <t>Electrical fixtures  (from Misc Tab)</t>
  </si>
  <si>
    <t>Exterior Tab</t>
  </si>
  <si>
    <t>Landscaping Tab</t>
  </si>
  <si>
    <t>HVAC Contractor</t>
  </si>
  <si>
    <t>Landscape</t>
  </si>
  <si>
    <t>Exterior- Termite</t>
  </si>
  <si>
    <t>Drainage</t>
  </si>
  <si>
    <t>Mabrey Roofing</t>
  </si>
  <si>
    <t>Esitimate on new build</t>
  </si>
  <si>
    <t>Scrolling Increment:</t>
  </si>
  <si>
    <t>Remodeling Solutions</t>
  </si>
  <si>
    <t>Design Plans</t>
  </si>
  <si>
    <t>Love Services</t>
  </si>
  <si>
    <t>HVAC Contractor - Package Heat Pump</t>
  </si>
  <si>
    <t>HVAC Contractor - Duct Work</t>
  </si>
  <si>
    <t>Glasgow Design Items (all items should be updated from Proposal or ProposalUpdate tab)</t>
  </si>
  <si>
    <t>Glasgow</t>
  </si>
  <si>
    <t/>
  </si>
  <si>
    <t>This is for taxes paid, outside of closing process</t>
  </si>
  <si>
    <t>Gov't Entity</t>
  </si>
  <si>
    <t>Tax Event</t>
  </si>
  <si>
    <t>19-22</t>
  </si>
  <si>
    <t>Property Transfer Tax</t>
  </si>
  <si>
    <t>QUANTA FINANCE</t>
  </si>
  <si>
    <t>CLIENT:</t>
  </si>
  <si>
    <t>TBD</t>
  </si>
  <si>
    <t>DATE:</t>
  </si>
  <si>
    <t>PROJECT:</t>
  </si>
  <si>
    <t>DESCRIPTION OF WORK</t>
  </si>
  <si>
    <t xml:space="preserve">REHAB BUDGET </t>
  </si>
  <si>
    <t>PRE-FUNDING COSTS</t>
  </si>
  <si>
    <t>SCHEDULED VALUES</t>
  </si>
  <si>
    <t>Soft Costs (Plans/Permits/Fees)</t>
  </si>
  <si>
    <t>Demo &amp; Trash Haul</t>
  </si>
  <si>
    <t>Sitework/ Shoring</t>
  </si>
  <si>
    <t>Foundation</t>
  </si>
  <si>
    <t>Framing</t>
  </si>
  <si>
    <t>Plumbing Finish Materials</t>
  </si>
  <si>
    <t>Plumbing install/ Rough</t>
  </si>
  <si>
    <t>Electrical Finish Materials</t>
  </si>
  <si>
    <t>Electrical Install/ rough</t>
  </si>
  <si>
    <t>Metal Works (iron, etc.)</t>
  </si>
  <si>
    <t xml:space="preserve">HVAC </t>
  </si>
  <si>
    <t>Roof</t>
  </si>
  <si>
    <t>Stucco, Siding, Etc. Coverings</t>
  </si>
  <si>
    <t>Drywall</t>
  </si>
  <si>
    <t>Tile Finish Materials</t>
  </si>
  <si>
    <t>Tile Installations</t>
  </si>
  <si>
    <t>Doors/ Windows</t>
  </si>
  <si>
    <t>Finish Carpentry</t>
  </si>
  <si>
    <t>Paint/ Specialties</t>
  </si>
  <si>
    <t>Glazing (Glass installs)</t>
  </si>
  <si>
    <t>Hardware</t>
  </si>
  <si>
    <t xml:space="preserve">Pool </t>
  </si>
  <si>
    <t>Appliances</t>
  </si>
  <si>
    <t>Countertops (w/ Install)</t>
  </si>
  <si>
    <t>General Labor</t>
  </si>
  <si>
    <t>Landscaping</t>
  </si>
  <si>
    <t>Hardscape</t>
  </si>
  <si>
    <t>Fireplaces</t>
  </si>
  <si>
    <t>General Contractor</t>
  </si>
  <si>
    <t>Cabinets</t>
  </si>
  <si>
    <t>Bathrooms</t>
  </si>
  <si>
    <t>Fence</t>
  </si>
  <si>
    <t>PM Fee</t>
  </si>
  <si>
    <t>Open Item</t>
  </si>
  <si>
    <t>Staging &amp; final Clean up</t>
  </si>
  <si>
    <t>Contingency</t>
  </si>
  <si>
    <t>Owner's Contribution</t>
  </si>
  <si>
    <t>TOTAL</t>
  </si>
  <si>
    <t>Misc Cost</t>
  </si>
  <si>
    <t>AdvancesReduce Seller Pauout</t>
  </si>
  <si>
    <t>Sellers Payout</t>
  </si>
  <si>
    <t>Sellers Payoff</t>
  </si>
  <si>
    <t>Seller Incentive/Day:</t>
  </si>
  <si>
    <t>Seller Vacate Days Early:</t>
  </si>
  <si>
    <t>Total Cost</t>
  </si>
  <si>
    <t>Total Owed:</t>
  </si>
  <si>
    <t>Misc</t>
  </si>
  <si>
    <t>Item Name</t>
  </si>
  <si>
    <t>Quanity</t>
  </si>
  <si>
    <t>Cost/Unit</t>
  </si>
  <si>
    <t>Sub-Total</t>
  </si>
  <si>
    <t>Total</t>
  </si>
  <si>
    <t xml:space="preserve">Living Room Ceiling Fan </t>
  </si>
  <si>
    <t>Bedroom Ceiling Fan</t>
  </si>
  <si>
    <t>Ceiling Fan Pole</t>
  </si>
  <si>
    <t>Kitchen Light Fixture</t>
  </si>
  <si>
    <t>Dining Room Light Fixture</t>
  </si>
  <si>
    <t>Over Kitchen Sink Light Fixture</t>
  </si>
  <si>
    <t>Hall Light Fixture</t>
  </si>
  <si>
    <t>Hall Bath Light Fixture</t>
  </si>
  <si>
    <t>Master Bath Light Fixture</t>
  </si>
  <si>
    <t>1/2 Bath Light Fixture</t>
  </si>
  <si>
    <t>Bedroom Light Fixture</t>
  </si>
  <si>
    <t>Laundry Light Fixture</t>
  </si>
  <si>
    <t>Closet Light Fixture</t>
  </si>
  <si>
    <t>Exterior Light Fixture</t>
  </si>
  <si>
    <t>Exterior  Motion Light Fixture</t>
  </si>
  <si>
    <t>Bulbs</t>
  </si>
  <si>
    <t>Kitchen Sink Faucet</t>
  </si>
  <si>
    <t>Bathroom Sink Faucet</t>
  </si>
  <si>
    <t>Toilet</t>
  </si>
  <si>
    <t>Shower Head</t>
  </si>
  <si>
    <t>Shower Handle</t>
  </si>
  <si>
    <t>Tub Faucet</t>
  </si>
  <si>
    <t>Shower Kit</t>
  </si>
  <si>
    <t xml:space="preserve">Tub  </t>
  </si>
  <si>
    <t>Washing Machine Outlet</t>
  </si>
  <si>
    <t>Dryer Vent</t>
  </si>
  <si>
    <t>Kitchen Disposal</t>
  </si>
  <si>
    <t>Hall Bath Vanity</t>
  </si>
  <si>
    <t>1/2 Bath Vanity</t>
  </si>
  <si>
    <t>Master Bath Vanity</t>
  </si>
  <si>
    <t>Bath Sink Top</t>
  </si>
  <si>
    <t>Hall Bath Mirror</t>
  </si>
  <si>
    <t>Vender</t>
  </si>
  <si>
    <t>Per Event</t>
  </si>
  <si>
    <t>Iterations</t>
  </si>
  <si>
    <t>Carge</t>
  </si>
  <si>
    <t>Sub Total</t>
  </si>
  <si>
    <t>Meridian</t>
  </si>
  <si>
    <t>15 Yrd Delivery</t>
  </si>
  <si>
    <t>15 yard Haul swap</t>
  </si>
  <si>
    <t>C&amp;D Disp</t>
  </si>
  <si>
    <t>Fuel Surcharge</t>
  </si>
  <si>
    <t>Dest Fee</t>
  </si>
  <si>
    <t>Admin Fee</t>
  </si>
  <si>
    <t>Environmental Fee</t>
  </si>
  <si>
    <t>Inv 1</t>
  </si>
  <si>
    <t>inv 2</t>
  </si>
  <si>
    <t>Inv 4816485</t>
  </si>
  <si>
    <t>ITEM</t>
  </si>
  <si>
    <t>HD Microwave White</t>
  </si>
  <si>
    <t>FB Marketplace Ref</t>
  </si>
  <si>
    <t>HD Dishwasher</t>
  </si>
  <si>
    <t>Sub-total for Lowes</t>
  </si>
  <si>
    <t>Dishwasher Hose</t>
  </si>
  <si>
    <t>Lowes Range</t>
  </si>
  <si>
    <t>Lowes Dishwasher</t>
  </si>
  <si>
    <t>Lowes Range cord</t>
  </si>
  <si>
    <t>Kitchen Sink</t>
  </si>
  <si>
    <t>Kitchen faucet</t>
  </si>
  <si>
    <t>Lowes Microwave</t>
  </si>
  <si>
    <t>Accumulating tax</t>
  </si>
  <si>
    <t>FB Ref</t>
  </si>
  <si>
    <t>Total for Appliances:</t>
  </si>
  <si>
    <t>Lowes Kitchen Faucet</t>
  </si>
  <si>
    <t>Lowes Bath Accessory Kit</t>
  </si>
  <si>
    <t>Lowes Shower Head</t>
  </si>
  <si>
    <t>Lowes Bath Faucets</t>
  </si>
  <si>
    <t>toilets</t>
  </si>
  <si>
    <t>Resurface tubs</t>
  </si>
  <si>
    <t>Doors &amp; Windows</t>
  </si>
  <si>
    <t>36" Exterior (R) Out Swing</t>
  </si>
  <si>
    <t>36" Exterior (L) Out Swing</t>
  </si>
  <si>
    <t>36" Exterior (L) In Swing</t>
  </si>
  <si>
    <t>32" Exterior (R) Out Swing</t>
  </si>
  <si>
    <t>32" Exterior (L)  Out Swing</t>
  </si>
  <si>
    <t>32" Exterior (L)  In Swing</t>
  </si>
  <si>
    <t>30" Interior (R)</t>
  </si>
  <si>
    <t>30" Interior (L)</t>
  </si>
  <si>
    <t>28" Interior (R)</t>
  </si>
  <si>
    <t>28" Interior (L)</t>
  </si>
  <si>
    <t>24" Interior (R)</t>
  </si>
  <si>
    <t>24" Interior (L)</t>
  </si>
  <si>
    <t>bifold closet - 60" (not prehung)</t>
  </si>
  <si>
    <t>Prehung French 60"</t>
  </si>
  <si>
    <t>Windows 32"x62" Project 640493559</t>
  </si>
  <si>
    <t xml:space="preserve">Windows 59"x4446.562" Project </t>
  </si>
  <si>
    <t>Int Dummy knobs</t>
  </si>
  <si>
    <t>HD</t>
  </si>
  <si>
    <t>L399125</t>
  </si>
  <si>
    <t>Bed/bath knob</t>
  </si>
  <si>
    <t>HD883624</t>
  </si>
  <si>
    <t>Lowes Front door kw powerbolt</t>
  </si>
  <si>
    <t>Lowes Front door kw door handle</t>
  </si>
  <si>
    <t>HD Ext Deadbolt combo</t>
  </si>
  <si>
    <t>Laundry room Fr Doors</t>
  </si>
  <si>
    <t>HD154372</t>
  </si>
  <si>
    <t>Closet door knob</t>
  </si>
  <si>
    <t>HD883767</t>
  </si>
  <si>
    <t>B21R</t>
  </si>
  <si>
    <t>24" Arcadia Cab Master</t>
  </si>
  <si>
    <t>SCR36</t>
  </si>
  <si>
    <t>36 sink base</t>
  </si>
  <si>
    <t>B24R</t>
  </si>
  <si>
    <t>Panel</t>
  </si>
  <si>
    <t>PePR335</t>
  </si>
  <si>
    <t>Sink Base</t>
  </si>
  <si>
    <t>SB36B</t>
  </si>
  <si>
    <t>Base Cab</t>
  </si>
  <si>
    <t>B12R</t>
  </si>
  <si>
    <t>Wall Cab</t>
  </si>
  <si>
    <t>W1230R</t>
  </si>
  <si>
    <t>W2730B</t>
  </si>
  <si>
    <t>W2430B</t>
  </si>
  <si>
    <t>Diag Corner</t>
  </si>
  <si>
    <t>DC2430R</t>
  </si>
  <si>
    <t>Lowes Vanity Master</t>
  </si>
  <si>
    <t>W2130R</t>
  </si>
  <si>
    <t>W3014B</t>
  </si>
  <si>
    <t>Toe Kicks</t>
  </si>
  <si>
    <t>Filler F331</t>
  </si>
  <si>
    <t>Installation</t>
  </si>
  <si>
    <t>Buy from Lowes</t>
  </si>
  <si>
    <t>Cabinet Tops</t>
  </si>
  <si>
    <t>surface 1</t>
  </si>
  <si>
    <t>surface 2</t>
  </si>
  <si>
    <t>surface 3</t>
  </si>
  <si>
    <t>Estimate for Pilier</t>
  </si>
  <si>
    <t>Cabinet Hardware</t>
  </si>
  <si>
    <t>Vanities - Sun HS Warehouse</t>
  </si>
  <si>
    <t>Satin Nick cabinet knob</t>
  </si>
  <si>
    <t>Arched 3" Drawer pull</t>
  </si>
  <si>
    <t>Lowes 10 pk Matte Black Knob</t>
  </si>
  <si>
    <t>HD Satin Nickel Knobs</t>
  </si>
  <si>
    <t>Paint</t>
  </si>
  <si>
    <t>Sq Ft</t>
  </si>
  <si>
    <t>Interior Wall Paint</t>
  </si>
  <si>
    <t xml:space="preserve">SW   </t>
  </si>
  <si>
    <t>6509-48698</t>
  </si>
  <si>
    <t>SW</t>
  </si>
  <si>
    <t>6510-78628</t>
  </si>
  <si>
    <t>5 gal Lowes Kilz</t>
  </si>
  <si>
    <t>6508-68102</t>
  </si>
  <si>
    <t>HD Behr Int/ext black paint</t>
  </si>
  <si>
    <t>HD White Int/ext white paint</t>
  </si>
  <si>
    <t>HD 5 gal Wh Flat Int ceiling</t>
  </si>
  <si>
    <t>Valspar</t>
  </si>
  <si>
    <t>L1028086</t>
  </si>
  <si>
    <t>SW 5galover White</t>
  </si>
  <si>
    <t>6504-06788</t>
  </si>
  <si>
    <t>Kitchen Cabinets</t>
  </si>
  <si>
    <t>Exterior Wall Paint</t>
  </si>
  <si>
    <t>5 Gal -Valspar Signature Signature flat</t>
  </si>
  <si>
    <t>Stone Eagle HGSW1456</t>
  </si>
  <si>
    <t>Deck Stain</t>
  </si>
  <si>
    <t xml:space="preserve">L Valspar Semi trans deck stain </t>
  </si>
  <si>
    <t>Lowes 1028086</t>
  </si>
  <si>
    <t xml:space="preserve">L Valspar solid porch stain </t>
  </si>
  <si>
    <t>Lowes 1028091</t>
  </si>
  <si>
    <t>Ongoing tax</t>
  </si>
  <si>
    <t>Lowes Sub Total for Paint</t>
  </si>
  <si>
    <t>Inside</t>
  </si>
  <si>
    <t>Front Porch</t>
  </si>
  <si>
    <t>Back Porch</t>
  </si>
  <si>
    <t>Floor</t>
  </si>
  <si>
    <t>LVP Floor Installation</t>
  </si>
  <si>
    <t>LVP Floor Repair RediCarpet #2</t>
  </si>
  <si>
    <t>LVP Floor RediCarpet #1</t>
  </si>
  <si>
    <t xml:space="preserve">Item </t>
  </si>
  <si>
    <t>New unit</t>
  </si>
  <si>
    <t>True Service HVAC</t>
  </si>
  <si>
    <t>A/C registers</t>
  </si>
  <si>
    <t>Lowes 66848</t>
  </si>
  <si>
    <t>HD 4x10  803492136468</t>
  </si>
  <si>
    <t>A/C Return Vent</t>
  </si>
  <si>
    <t>Lowes 20x25   753897</t>
  </si>
  <si>
    <t>AC Filter</t>
  </si>
  <si>
    <t>HD 20x25 31949488390</t>
  </si>
  <si>
    <t>Lowes 20x20 259930</t>
  </si>
  <si>
    <t>Grill</t>
  </si>
  <si>
    <t>L65185</t>
  </si>
  <si>
    <t>HVAC Service</t>
  </si>
  <si>
    <t>Electrical</t>
  </si>
  <si>
    <t>Lowes Bedroom Ceiling Fans</t>
  </si>
  <si>
    <t>Lowes Liv Rm Ceiling Fan</t>
  </si>
  <si>
    <t>Lowes 4light bath vanity</t>
  </si>
  <si>
    <t>Lowes Flush Kitchen Light</t>
  </si>
  <si>
    <t>Lowes Pendant Dining Light</t>
  </si>
  <si>
    <t>Lowes Ext Motion Lights</t>
  </si>
  <si>
    <t>Lowes 2' Strip Light Mast Closet</t>
  </si>
  <si>
    <t>Floor registers</t>
  </si>
  <si>
    <t>HD1002265221</t>
  </si>
  <si>
    <t>LED Bulbs</t>
  </si>
  <si>
    <t>HD1006211602</t>
  </si>
  <si>
    <t>Outdoor flood light fixture</t>
  </si>
  <si>
    <t>HD233840</t>
  </si>
  <si>
    <t>Hall Light</t>
  </si>
  <si>
    <t>HD385544</t>
  </si>
  <si>
    <t>Flood Light Bulbs</t>
  </si>
  <si>
    <t>HD1006248217</t>
  </si>
  <si>
    <t>Wall protectors</t>
  </si>
  <si>
    <t>HD316307</t>
  </si>
  <si>
    <t>Cost/sf</t>
  </si>
  <si>
    <t>Square Feet</t>
  </si>
  <si>
    <t>cost/unit</t>
  </si>
  <si>
    <t>SubTotal</t>
  </si>
  <si>
    <t>Andrew</t>
  </si>
  <si>
    <t>6/23/22-11/15/23</t>
  </si>
  <si>
    <t>Grenview Works</t>
  </si>
  <si>
    <t>Mow Grass 8/5/23</t>
  </si>
  <si>
    <t>Mow Grass 10/2/23</t>
  </si>
  <si>
    <t>Mow Grass 11/2/23</t>
  </si>
  <si>
    <t>Mow Grass 4/24/24</t>
  </si>
  <si>
    <t>Mow Grass 5/25/24</t>
  </si>
  <si>
    <t>Cost/item</t>
  </si>
  <si>
    <t>Hourly Rate:</t>
  </si>
  <si>
    <t>Lowes Mailbox</t>
  </si>
  <si>
    <t>Mailbox post</t>
  </si>
  <si>
    <t>HD106052</t>
  </si>
  <si>
    <t>Crawl Plumbing</t>
  </si>
  <si>
    <t>Siding Repair</t>
  </si>
  <si>
    <t>Drainage repair</t>
  </si>
  <si>
    <t>Oil Tank remidation</t>
  </si>
  <si>
    <t>Deck rebuild</t>
  </si>
  <si>
    <t>Masking tape</t>
  </si>
  <si>
    <t>Drop cloths</t>
  </si>
  <si>
    <t>Power wash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</si>
</sst>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0.0%"/>
    <numFmt numFmtId="166" formatCode="&quot;$&quot;#,##0.00"/>
    <numFmt numFmtId="167" formatCode="m/d/yy;@"/>
    <numFmt numFmtId="168" formatCode="d"/>
    <numFmt numFmtId="169" formatCode="m/d/yy"/>
    <numFmt numFmtId="170" formatCode="m/d;@"/>
    <numFmt numFmtId="171" formatCode="mm/dd/yy;@"/>
    <numFmt numFmtId="172" formatCode="#,##0.##"/>
    <numFmt numFmtId="173" formatCode="0.000%"/>
  </numFmts>
  <fonts count="54">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name val="Calibri"/>
      <family val="2"/>
      <scheme val="minor"/>
    </font>
    <font>
      <sz val="11"/>
      <color theme="1"/>
      <name val="Arial"/>
      <family val="2"/>
    </font>
    <font>
      <b/>
      <sz val="13"/>
      <color theme="3"/>
      <name val="Calibri"/>
      <family val="2"/>
      <scheme val="minor"/>
    </font>
    <font>
      <b/>
      <sz val="11"/>
      <color theme="3"/>
      <name val="Calibri"/>
      <family val="2"/>
      <scheme val="minor"/>
    </font>
    <font>
      <sz val="11"/>
      <color theme="0"/>
      <name val="Calibri"/>
      <family val="2"/>
      <scheme val="minor"/>
    </font>
    <font>
      <sz val="11"/>
      <color theme="8" tint="-0.499984740745262"/>
      <name val="Calibri"/>
      <family val="2"/>
      <scheme val="minor"/>
    </font>
    <font>
      <sz val="11"/>
      <color rgb="FF006100"/>
      <name val="Calibri"/>
      <family val="2"/>
      <scheme val="minor"/>
    </font>
    <font>
      <sz val="11"/>
      <color rgb="FF9C5700"/>
      <name val="Calibri"/>
      <family val="2"/>
      <scheme val="minor"/>
    </font>
    <font>
      <b/>
      <sz val="11"/>
      <name val="Calibri"/>
      <family val="2"/>
      <scheme val="minor"/>
    </font>
    <font>
      <b/>
      <sz val="11"/>
      <color rgb="FF373A3C"/>
      <name val="Open Sans"/>
      <family val="2"/>
    </font>
    <font>
      <sz val="10"/>
      <color theme="1"/>
      <name val="Calibri"/>
      <family val="2"/>
      <scheme val="minor"/>
    </font>
    <font>
      <b/>
      <sz val="10"/>
      <color theme="1"/>
      <name val="Calibri"/>
      <family val="2"/>
      <scheme val="minor"/>
    </font>
    <font>
      <sz val="11"/>
      <color rgb="FF9C0006"/>
      <name val="Calibri"/>
      <family val="2"/>
      <scheme val="minor"/>
    </font>
    <font>
      <b/>
      <sz val="11"/>
      <color theme="0"/>
      <name val="Calibri"/>
      <family val="2"/>
      <scheme val="minor"/>
    </font>
    <font>
      <b/>
      <sz val="18"/>
      <color theme="0"/>
      <name val="Calibri"/>
      <family val="2"/>
    </font>
    <font>
      <sz val="12"/>
      <color theme="0"/>
      <name val="Verdana"/>
      <family val="2"/>
    </font>
    <font>
      <b/>
      <sz val="18"/>
      <color rgb="FFC00000"/>
      <name val="Calibri"/>
      <family val="2"/>
    </font>
    <font>
      <sz val="12"/>
      <color rgb="FFC00000"/>
      <name val="Calibri"/>
      <family val="2"/>
    </font>
    <font>
      <sz val="12"/>
      <color rgb="FF000000"/>
      <name val="Calibri"/>
      <family val="2"/>
    </font>
    <font>
      <sz val="8"/>
      <color rgb="FFC00000"/>
      <name val="Calibri"/>
      <family val="2"/>
    </font>
    <font>
      <b/>
      <sz val="10"/>
      <color rgb="FF000000"/>
      <name val="Calibri"/>
      <family val="2"/>
    </font>
    <font>
      <sz val="10"/>
      <color rgb="FF000000"/>
      <name val="Calibri"/>
      <family val="2"/>
    </font>
    <font>
      <sz val="12"/>
      <name val="Verdana"/>
      <family val="2"/>
    </font>
    <font>
      <sz val="10"/>
      <color theme="0"/>
      <name val="Calibri"/>
      <family val="2"/>
    </font>
    <font>
      <b/>
      <sz val="10"/>
      <color theme="0"/>
      <name val="Calibri"/>
      <family val="2"/>
    </font>
    <font>
      <i/>
      <sz val="10"/>
      <name val="Calibri"/>
      <family val="2"/>
    </font>
    <font>
      <b/>
      <sz val="10"/>
      <name val="Calibri"/>
      <family val="2"/>
    </font>
    <font>
      <sz val="10"/>
      <name val="Calibri"/>
      <family val="2"/>
    </font>
    <font>
      <i/>
      <sz val="10"/>
      <color rgb="FF000000"/>
      <name val="Calibri"/>
      <family val="2"/>
    </font>
    <font>
      <sz val="8"/>
      <color rgb="FF000000"/>
      <name val="Calibri"/>
      <family val="2"/>
    </font>
    <font>
      <b/>
      <sz val="11"/>
      <color rgb="FF00B0F0"/>
      <name val="Calibri"/>
      <family val="2"/>
      <scheme val="minor"/>
    </font>
    <font>
      <b/>
      <sz val="16"/>
      <name val="Calibri"/>
      <family val="2"/>
      <scheme val="minor"/>
    </font>
    <font>
      <sz val="12"/>
      <name val="Arial"/>
      <family val="2"/>
    </font>
    <font>
      <b/>
      <sz val="10"/>
      <color theme="3"/>
      <name val="Calibri"/>
      <family val="2"/>
      <scheme val="minor"/>
    </font>
    <font>
      <sz val="8"/>
      <name val="Calibri"/>
      <family val="2"/>
      <scheme val="minor"/>
    </font>
    <font>
      <sz val="16"/>
      <color theme="0"/>
      <name val="Calibri"/>
      <family val="2"/>
      <scheme val="minor"/>
    </font>
    <font>
      <b/>
      <sz val="12"/>
      <name val="Arial"/>
      <family val="2"/>
    </font>
    <font>
      <b/>
      <sz val="14"/>
      <name val="Calibri"/>
      <family val="2"/>
      <scheme val="minor"/>
    </font>
    <font>
      <b/>
      <sz val="14"/>
      <color theme="1"/>
      <name val="Calibri"/>
      <family val="2"/>
      <scheme val="minor"/>
    </font>
    <font>
      <b/>
      <sz val="16"/>
      <color theme="1"/>
      <name val="Calibri"/>
      <family val="2"/>
      <scheme val="minor"/>
    </font>
    <font>
      <b/>
      <sz val="14"/>
      <color theme="3"/>
      <name val="Calibri"/>
      <family val="2"/>
      <scheme val="minor"/>
    </font>
    <font>
      <sz val="14"/>
      <color theme="1"/>
      <name val="Calibri"/>
      <family val="2"/>
      <scheme val="minor"/>
    </font>
    <font>
      <sz val="10"/>
      <name val="Calibri"/>
      <family val="2"/>
      <scheme val="minor"/>
    </font>
    <font>
      <sz val="10"/>
      <color rgb="FF000000"/>
      <name val="Calibri"/>
      <family val="2"/>
      <scheme val="minor"/>
    </font>
    <font>
      <sz val="8"/>
      <color rgb="FF222222"/>
      <name val="Courier New"/>
      <family val="3"/>
    </font>
    <font>
      <b/>
      <sz val="10"/>
      <name val="Calibri"/>
      <family val="2"/>
      <scheme val="minor"/>
    </font>
    <font>
      <b/>
      <sz val="10"/>
      <color rgb="FF000000"/>
      <name val="Calibri"/>
      <family val="2"/>
      <scheme val="minor"/>
    </font>
    <font>
      <b/>
      <sz val="11"/>
      <color rgb="FF373A3C"/>
      <name val="Calibri"/>
      <family val="2"/>
      <scheme val="minor"/>
    </font>
    <font>
      <sz val="10"/>
      <name val="Arial"/>
      <family val="2"/>
    </font>
    <font>
      <sz val="11"/>
      <color rgb="FF1F497D"/>
      <name val="Calibri"/>
      <family val="2"/>
      <scheme val="minor"/>
    </font>
  </fonts>
  <fills count="2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00"/>
        <bgColor rgb="FF000000"/>
      </patternFill>
    </fill>
    <fill>
      <patternFill patternType="solid">
        <fgColor theme="1" tint="0.34998626667073579"/>
        <bgColor indexed="64"/>
      </patternFill>
    </fill>
    <fill>
      <patternFill patternType="solid">
        <fgColor rgb="FFC6EFCE"/>
      </patternFill>
    </fill>
    <fill>
      <patternFill patternType="solid">
        <fgColor rgb="FFFFEB9C"/>
      </patternFill>
    </fill>
    <fill>
      <patternFill patternType="solid">
        <fgColor theme="4"/>
      </patternFill>
    </fill>
    <fill>
      <patternFill patternType="solid">
        <fgColor theme="0"/>
        <bgColor indexed="64"/>
      </patternFill>
    </fill>
    <fill>
      <patternFill patternType="solid">
        <fgColor rgb="FFFFC7CE"/>
      </patternFill>
    </fill>
    <fill>
      <patternFill patternType="solid">
        <fgColor theme="1"/>
        <bgColor rgb="FF244061"/>
      </patternFill>
    </fill>
    <fill>
      <patternFill patternType="solid">
        <fgColor theme="1"/>
        <bgColor indexed="64"/>
      </patternFill>
    </fill>
    <fill>
      <patternFill patternType="solid">
        <fgColor rgb="FFFFFFFF"/>
        <bgColor rgb="FFFFFFFF"/>
      </patternFill>
    </fill>
    <fill>
      <patternFill patternType="solid">
        <fgColor rgb="FFF2F2F2"/>
        <bgColor rgb="FFF2F2F2"/>
      </patternFill>
    </fill>
    <fill>
      <patternFill patternType="solid">
        <fgColor rgb="FFA5A5A5"/>
        <bgColor rgb="FFA5A5A5"/>
      </patternFill>
    </fill>
    <fill>
      <patternFill patternType="solid">
        <fgColor rgb="FF00B0F0"/>
        <bgColor indexed="64"/>
      </patternFill>
    </fill>
    <fill>
      <patternFill patternType="solid">
        <fgColor theme="7" tint="0.39997558519241921"/>
        <bgColor indexed="64"/>
      </patternFill>
    </fill>
    <fill>
      <patternFill patternType="solid">
        <fgColor theme="7" tint="0.79998168889431442"/>
        <bgColor theme="7" tint="0.79998168889431442"/>
      </patternFill>
    </fill>
    <fill>
      <patternFill patternType="solid">
        <fgColor theme="5"/>
        <bgColor indexed="64"/>
      </patternFill>
    </fill>
    <fill>
      <patternFill patternType="solid">
        <fgColor rgb="FFFFFF00"/>
        <bgColor theme="7" tint="0.79998168889431442"/>
      </patternFill>
    </fill>
    <fill>
      <patternFill patternType="solid">
        <fgColor rgb="FFFFFFFF"/>
        <bgColor indexed="64"/>
      </patternFill>
    </fill>
    <fill>
      <patternFill patternType="solid">
        <fgColor theme="7"/>
        <bgColor indexed="64"/>
      </patternFill>
    </fill>
    <fill>
      <patternFill patternType="solid">
        <fgColor rgb="FFFFC000"/>
        <bgColor indexed="64"/>
      </patternFill>
    </fill>
    <fill>
      <patternFill patternType="solid">
        <fgColor theme="0"/>
        <bgColor rgb="FF000000"/>
      </patternFill>
    </fill>
    <fill>
      <patternFill patternType="solid">
        <fgColor rgb="FF00B050"/>
        <bgColor indexed="64"/>
      </patternFill>
    </fill>
  </fills>
  <borders count="80">
    <border>
      <left/>
      <right/>
      <top/>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dashed">
        <color auto="1"/>
      </right>
      <top/>
      <bottom style="medium">
        <color auto="1"/>
      </bottom>
      <diagonal/>
    </border>
    <border>
      <left/>
      <right style="dashed">
        <color auto="1"/>
      </right>
      <top/>
      <bottom/>
      <diagonal/>
    </border>
    <border>
      <left/>
      <right/>
      <top style="medium">
        <color auto="1"/>
      </top>
      <bottom/>
      <diagonal/>
    </border>
    <border>
      <left/>
      <right/>
      <top/>
      <bottom style="thin">
        <color auto="1"/>
      </bottom>
      <diagonal/>
    </border>
    <border>
      <left style="dashed">
        <color auto="1"/>
      </left>
      <right/>
      <top style="medium">
        <color auto="1"/>
      </top>
      <bottom/>
      <diagonal/>
    </border>
    <border>
      <left/>
      <right style="dashed">
        <color auto="1"/>
      </right>
      <top style="medium">
        <color auto="1"/>
      </top>
      <bottom/>
      <diagonal/>
    </border>
    <border>
      <left/>
      <right/>
      <top style="double">
        <color auto="1"/>
      </top>
      <bottom/>
      <diagonal/>
    </border>
    <border>
      <left/>
      <right/>
      <top style="thin">
        <color auto="1"/>
      </top>
      <bottom style="medium">
        <color auto="1"/>
      </bottom>
      <diagonal/>
    </border>
    <border>
      <left style="hair">
        <color auto="1"/>
      </left>
      <right/>
      <top/>
      <bottom/>
      <diagonal/>
    </border>
    <border>
      <left/>
      <right style="hair">
        <color auto="1"/>
      </right>
      <top/>
      <bottom/>
      <diagonal/>
    </border>
    <border>
      <left/>
      <right/>
      <top/>
      <bottom style="thick">
        <color theme="4" tint="0.499984740745262"/>
      </bottom>
      <diagonal/>
    </border>
    <border>
      <left/>
      <right/>
      <top/>
      <bottom style="medium">
        <color theme="4" tint="0.39997558519241921"/>
      </bottom>
      <diagonal/>
    </border>
    <border>
      <left/>
      <right style="thin">
        <color theme="8" tint="0.79998168889431442"/>
      </right>
      <top style="medium">
        <color theme="8"/>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style="thick">
        <color indexed="55"/>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bottom/>
      <diagonal/>
    </border>
    <border>
      <left/>
      <right style="thick">
        <color auto="1"/>
      </right>
      <top/>
      <bottom/>
      <diagonal/>
    </border>
    <border>
      <left style="medium">
        <color auto="1"/>
      </left>
      <right style="medium">
        <color auto="1"/>
      </right>
      <top style="medium">
        <color auto="1"/>
      </top>
      <bottom style="medium">
        <color auto="1"/>
      </bottom>
      <diagonal/>
    </border>
    <border>
      <left/>
      <right/>
      <top style="medium">
        <color auto="1"/>
      </top>
      <bottom style="thin">
        <color indexed="64"/>
      </bottom>
      <diagonal/>
    </border>
    <border>
      <left/>
      <right style="medium">
        <color auto="1"/>
      </right>
      <top style="medium">
        <color auto="1"/>
      </top>
      <bottom style="thin">
        <color auto="1"/>
      </bottom>
      <diagonal/>
    </border>
    <border>
      <left style="medium">
        <color auto="1"/>
      </left>
      <right/>
      <top/>
      <bottom style="thick">
        <color auto="1"/>
      </bottom>
      <diagonal/>
    </border>
    <border>
      <left/>
      <right style="medium">
        <color auto="1"/>
      </right>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double">
        <color auto="1"/>
      </bottom>
      <diagonal/>
    </border>
    <border>
      <left style="dashed">
        <color auto="1"/>
      </left>
      <right style="medium">
        <color auto="1"/>
      </right>
      <top style="medium">
        <color auto="1"/>
      </top>
      <bottom/>
      <diagonal/>
    </border>
    <border>
      <left style="dashed">
        <color auto="1"/>
      </left>
      <right style="medium">
        <color auto="1"/>
      </right>
      <top/>
      <bottom/>
      <diagonal/>
    </border>
    <border>
      <left style="dashed">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dashed">
        <color auto="1"/>
      </left>
      <right style="dashed">
        <color auto="1"/>
      </right>
      <top/>
      <bottom/>
      <diagonal/>
    </border>
    <border>
      <left style="thin">
        <color auto="1"/>
      </left>
      <right/>
      <top/>
      <bottom/>
      <diagonal/>
    </border>
    <border>
      <left/>
      <right style="medium">
        <color auto="1"/>
      </right>
      <top style="thin">
        <color auto="1"/>
      </top>
      <bottom style="thin">
        <color indexed="64"/>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medium">
        <color auto="1"/>
      </left>
      <right/>
      <top/>
      <bottom style="thin">
        <color auto="1"/>
      </bottom>
      <diagonal/>
    </border>
    <border>
      <left/>
      <right style="medium">
        <color auto="1"/>
      </right>
      <top/>
      <bottom style="thin">
        <color auto="1"/>
      </bottom>
      <diagonal/>
    </border>
    <border>
      <left style="dashed">
        <color auto="1"/>
      </left>
      <right/>
      <top/>
      <bottom/>
      <diagonal/>
    </border>
    <border>
      <left style="thick">
        <color auto="1"/>
      </left>
      <right/>
      <top style="medium">
        <color auto="1"/>
      </top>
      <bottom/>
      <diagonal/>
    </border>
  </borders>
  <cellStyleXfs count="15">
    <xf numFmtId="0" fontId="0" fillId="0" borderId="0"/>
    <xf numFmtId="0" fontId="2" fillId="0" borderId="0" applyNumberFormat="0" applyFill="0" applyBorder="0" applyAlignment="0" applyProtection="0"/>
    <xf numFmtId="0" fontId="6" fillId="0" borderId="18" applyNumberFormat="0" applyFill="0" applyAlignment="0" applyProtection="0"/>
    <xf numFmtId="0" fontId="7" fillId="0" borderId="19" applyNumberFormat="0" applyFill="0" applyAlignment="0" applyProtection="0"/>
    <xf numFmtId="0" fontId="7" fillId="0" borderId="0" applyNumberFormat="0" applyFill="0" applyBorder="0" applyAlignment="0" applyProtection="0"/>
    <xf numFmtId="0" fontId="8" fillId="0" borderId="0"/>
    <xf numFmtId="14" fontId="9" fillId="0" borderId="0" applyFill="0" applyBorder="0">
      <alignment horizontal="center" vertical="center"/>
    </xf>
    <xf numFmtId="0" fontId="10" fillId="6" borderId="0" applyNumberFormat="0" applyBorder="0" applyAlignment="0" applyProtection="0"/>
    <xf numFmtId="0" fontId="11" fillId="7" borderId="0" applyNumberFormat="0" applyBorder="0" applyAlignment="0" applyProtection="0"/>
    <xf numFmtId="14" fontId="10" fillId="6" borderId="0" applyBorder="0" applyAlignment="0" applyProtection="0"/>
    <xf numFmtId="0" fontId="11" fillId="7" borderId="0" applyBorder="0" applyAlignment="0" applyProtection="0"/>
    <xf numFmtId="0" fontId="8" fillId="8" borderId="0" applyBorder="0" applyAlignment="0" applyProtection="0"/>
    <xf numFmtId="0" fontId="16" fillId="10" borderId="0" applyNumberFormat="0" applyBorder="0" applyAlignment="0" applyProtection="0"/>
    <xf numFmtId="43" fontId="3" fillId="0" borderId="0" applyFont="0" applyFill="0" applyBorder="0" applyAlignment="0" applyProtection="0"/>
    <xf numFmtId="0" fontId="52" fillId="0" borderId="0"/>
  </cellStyleXfs>
  <cellXfs count="635">
    <xf numFmtId="0" fontId="0" fillId="0" borderId="0" xfId="0"/>
    <xf numFmtId="164" fontId="0" fillId="0" borderId="0" xfId="0" applyNumberFormat="1"/>
    <xf numFmtId="0" fontId="0" fillId="0" borderId="0" xfId="0" applyAlignment="1">
      <alignment horizontal="right"/>
    </xf>
    <xf numFmtId="0" fontId="1" fillId="0" borderId="0" xfId="0" applyFont="1" applyAlignment="1">
      <alignment horizontal="center"/>
    </xf>
    <xf numFmtId="164" fontId="1" fillId="0" borderId="0" xfId="0" applyNumberFormat="1" applyFont="1"/>
    <xf numFmtId="166" fontId="0" fillId="0" borderId="0" xfId="0" applyNumberFormat="1"/>
    <xf numFmtId="164" fontId="1" fillId="0" borderId="0" xfId="0" applyNumberFormat="1" applyFont="1" applyAlignment="1">
      <alignment horizontal="center"/>
    </xf>
    <xf numFmtId="164" fontId="1" fillId="0" borderId="0" xfId="0" applyNumberFormat="1" applyFont="1" applyAlignment="1">
      <alignment horizontal="center" wrapText="1"/>
    </xf>
    <xf numFmtId="166" fontId="1" fillId="0" borderId="0" xfId="0" applyNumberFormat="1" applyFont="1" applyAlignment="1">
      <alignment horizontal="center"/>
    </xf>
    <xf numFmtId="164" fontId="1" fillId="0" borderId="0" xfId="0" applyNumberFormat="1" applyFont="1" applyAlignment="1">
      <alignment horizontal="right"/>
    </xf>
    <xf numFmtId="166" fontId="1" fillId="0" borderId="0" xfId="0" applyNumberFormat="1" applyFont="1"/>
    <xf numFmtId="1" fontId="0" fillId="0" borderId="0" xfId="0" applyNumberFormat="1"/>
    <xf numFmtId="14" fontId="0" fillId="0" borderId="0" xfId="0" applyNumberFormat="1"/>
    <xf numFmtId="4" fontId="1" fillId="0" borderId="0" xfId="0" applyNumberFormat="1" applyFont="1" applyAlignment="1">
      <alignment horizontal="center"/>
    </xf>
    <xf numFmtId="4" fontId="0" fillId="0" borderId="0" xfId="0" applyNumberFormat="1"/>
    <xf numFmtId="0" fontId="1" fillId="0" borderId="0" xfId="0" applyFont="1"/>
    <xf numFmtId="2" fontId="1" fillId="0" borderId="0" xfId="0" applyNumberFormat="1" applyFont="1" applyAlignment="1">
      <alignment horizontal="center"/>
    </xf>
    <xf numFmtId="2" fontId="1" fillId="0" borderId="0" xfId="0" applyNumberFormat="1" applyFont="1" applyAlignment="1">
      <alignment horizontal="right"/>
    </xf>
    <xf numFmtId="2" fontId="0" fillId="0" borderId="0" xfId="0" applyNumberFormat="1" applyAlignment="1">
      <alignment horizontal="right"/>
    </xf>
    <xf numFmtId="0" fontId="2" fillId="0" borderId="0" xfId="1"/>
    <xf numFmtId="3" fontId="0" fillId="0" borderId="11" xfId="0" applyNumberFormat="1" applyBorder="1"/>
    <xf numFmtId="4" fontId="0" fillId="0" borderId="1" xfId="0" applyNumberFormat="1" applyBorder="1"/>
    <xf numFmtId="0" fontId="0" fillId="0" borderId="0" xfId="0" applyAlignment="1">
      <alignment horizontal="center"/>
    </xf>
    <xf numFmtId="0" fontId="0" fillId="0" borderId="1" xfId="0" applyBorder="1"/>
    <xf numFmtId="0" fontId="1" fillId="0" borderId="1" xfId="0" applyFont="1" applyBorder="1"/>
    <xf numFmtId="0" fontId="0" fillId="0" borderId="0" xfId="0" applyAlignment="1">
      <alignment horizontal="left"/>
    </xf>
    <xf numFmtId="2" fontId="0" fillId="0" borderId="0" xfId="0" applyNumberFormat="1"/>
    <xf numFmtId="2" fontId="1" fillId="0" borderId="0" xfId="0" applyNumberFormat="1" applyFont="1"/>
    <xf numFmtId="0" fontId="2" fillId="0" borderId="0" xfId="1" applyAlignment="1">
      <alignment horizontal="left"/>
    </xf>
    <xf numFmtId="0" fontId="0" fillId="2" borderId="0" xfId="0" applyFill="1" applyAlignment="1">
      <alignment horizontal="left"/>
    </xf>
    <xf numFmtId="164" fontId="0" fillId="0" borderId="1" xfId="0" applyNumberFormat="1" applyBorder="1"/>
    <xf numFmtId="0" fontId="1" fillId="0" borderId="0" xfId="0" applyFont="1" applyAlignment="1">
      <alignment horizontal="right"/>
    </xf>
    <xf numFmtId="0" fontId="1" fillId="0" borderId="1" xfId="0" applyFont="1" applyBorder="1" applyAlignment="1">
      <alignment horizontal="center"/>
    </xf>
    <xf numFmtId="0" fontId="1" fillId="0" borderId="0" xfId="0" applyFont="1" applyAlignment="1">
      <alignment horizontal="left"/>
    </xf>
    <xf numFmtId="0" fontId="5" fillId="0" borderId="0" xfId="0" applyFont="1"/>
    <xf numFmtId="0" fontId="4" fillId="0" borderId="0" xfId="0" applyFont="1" applyAlignment="1">
      <alignment horizontal="center" vertical="center"/>
    </xf>
    <xf numFmtId="0" fontId="0" fillId="0" borderId="0" xfId="0" applyAlignment="1">
      <alignment horizontal="right" vertical="center"/>
    </xf>
    <xf numFmtId="0" fontId="0" fillId="0" borderId="21" xfId="0" applyBorder="1" applyAlignment="1">
      <alignment horizontal="center" vertical="center"/>
    </xf>
    <xf numFmtId="10" fontId="1" fillId="0" borderId="0" xfId="0" applyNumberFormat="1" applyFont="1"/>
    <xf numFmtId="0" fontId="14" fillId="0" borderId="0" xfId="0" applyFont="1"/>
    <xf numFmtId="0" fontId="14" fillId="0" borderId="0" xfId="0" applyFont="1" applyAlignment="1">
      <alignment horizontal="right"/>
    </xf>
    <xf numFmtId="0" fontId="15" fillId="0" borderId="0" xfId="0" applyFont="1" applyAlignment="1">
      <alignment horizontal="right"/>
    </xf>
    <xf numFmtId="0" fontId="0" fillId="0" borderId="0" xfId="0" applyAlignment="1">
      <alignment vertical="center"/>
    </xf>
    <xf numFmtId="0" fontId="20" fillId="11" borderId="23" xfId="0" applyFont="1" applyFill="1" applyBorder="1" applyAlignment="1">
      <alignment horizontal="left" vertical="center"/>
    </xf>
    <xf numFmtId="0" fontId="21" fillId="11" borderId="24" xfId="0" applyFont="1" applyFill="1" applyBorder="1" applyAlignment="1">
      <alignment vertical="top"/>
    </xf>
    <xf numFmtId="0" fontId="22" fillId="0" borderId="0" xfId="0" applyFont="1" applyAlignment="1">
      <alignment vertical="top"/>
    </xf>
    <xf numFmtId="0" fontId="20" fillId="11" borderId="0" xfId="0" applyFont="1" applyFill="1" applyAlignment="1">
      <alignment horizontal="left" vertical="center"/>
    </xf>
    <xf numFmtId="1" fontId="23" fillId="11" borderId="26" xfId="0" applyNumberFormat="1" applyFont="1" applyFill="1" applyBorder="1"/>
    <xf numFmtId="1" fontId="24" fillId="0" borderId="22" xfId="0" applyNumberFormat="1" applyFont="1" applyBorder="1" applyAlignment="1">
      <alignment horizontal="right" vertical="center"/>
    </xf>
    <xf numFmtId="0" fontId="22" fillId="0" borderId="24" xfId="0" applyFont="1" applyBorder="1" applyAlignment="1">
      <alignment vertical="top"/>
    </xf>
    <xf numFmtId="0" fontId="24" fillId="0" borderId="25" xfId="0" applyFont="1" applyBorder="1" applyAlignment="1">
      <alignment horizontal="right" vertical="center"/>
    </xf>
    <xf numFmtId="0" fontId="22" fillId="0" borderId="26" xfId="0" applyFont="1" applyBorder="1" applyAlignment="1">
      <alignment vertical="top"/>
    </xf>
    <xf numFmtId="1" fontId="25" fillId="0" borderId="0" xfId="0" applyNumberFormat="1" applyFont="1" applyAlignment="1">
      <alignment vertical="center"/>
    </xf>
    <xf numFmtId="0" fontId="27" fillId="11" borderId="27" xfId="0" applyFont="1" applyFill="1" applyBorder="1" applyAlignment="1">
      <alignment vertical="center"/>
    </xf>
    <xf numFmtId="1" fontId="28" fillId="11" borderId="30" xfId="0" applyNumberFormat="1" applyFont="1" applyFill="1" applyBorder="1" applyAlignment="1">
      <alignment horizontal="center" vertical="center" wrapText="1"/>
    </xf>
    <xf numFmtId="0" fontId="28" fillId="11" borderId="30" xfId="0" applyFont="1" applyFill="1" applyBorder="1" applyAlignment="1">
      <alignment horizontal="center" vertical="center" wrapText="1"/>
    </xf>
    <xf numFmtId="0" fontId="29" fillId="13" borderId="0" xfId="0" applyFont="1" applyFill="1" applyAlignment="1">
      <alignment vertical="top"/>
    </xf>
    <xf numFmtId="1" fontId="30" fillId="0" borderId="0" xfId="0" applyNumberFormat="1" applyFont="1" applyAlignment="1">
      <alignment horizontal="right" vertical="center"/>
    </xf>
    <xf numFmtId="0" fontId="25" fillId="0" borderId="27" xfId="0" applyFont="1" applyBorder="1" applyAlignment="1">
      <alignment horizontal="center"/>
    </xf>
    <xf numFmtId="44" fontId="25" fillId="0" borderId="30" xfId="0" applyNumberFormat="1" applyFont="1" applyBorder="1" applyAlignment="1">
      <alignment vertical="center"/>
    </xf>
    <xf numFmtId="44" fontId="25" fillId="14" borderId="30" xfId="0" applyNumberFormat="1" applyFont="1" applyFill="1" applyBorder="1" applyAlignment="1">
      <alignment vertical="center"/>
    </xf>
    <xf numFmtId="0" fontId="25" fillId="0" borderId="30" xfId="0" applyFont="1" applyBorder="1" applyAlignment="1">
      <alignment horizontal="left"/>
    </xf>
    <xf numFmtId="44" fontId="25" fillId="0" borderId="29" xfId="0" applyNumberFormat="1" applyFont="1" applyBorder="1" applyAlignment="1">
      <alignment vertical="center"/>
    </xf>
    <xf numFmtId="0" fontId="31" fillId="13" borderId="0" xfId="0" applyFont="1" applyFill="1" applyAlignment="1">
      <alignment vertical="top"/>
    </xf>
    <xf numFmtId="1" fontId="25" fillId="0" borderId="30" xfId="0" applyNumberFormat="1" applyFont="1" applyBorder="1" applyAlignment="1">
      <alignment horizontal="left"/>
    </xf>
    <xf numFmtId="44" fontId="32" fillId="0" borderId="29" xfId="0" applyNumberFormat="1" applyFont="1" applyBorder="1" applyAlignment="1">
      <alignment vertical="center"/>
    </xf>
    <xf numFmtId="0" fontId="25" fillId="0" borderId="28" xfId="0" applyFont="1" applyBorder="1" applyAlignment="1">
      <alignment horizontal="left"/>
    </xf>
    <xf numFmtId="0" fontId="25" fillId="0" borderId="29" xfId="0" applyFont="1" applyBorder="1" applyAlignment="1">
      <alignment horizontal="left"/>
    </xf>
    <xf numFmtId="0" fontId="25" fillId="15" borderId="27" xfId="0" applyFont="1" applyFill="1" applyBorder="1" applyAlignment="1">
      <alignment horizontal="center"/>
    </xf>
    <xf numFmtId="44" fontId="24" fillId="15" borderId="29" xfId="0" applyNumberFormat="1" applyFont="1" applyFill="1" applyBorder="1"/>
    <xf numFmtId="44" fontId="25" fillId="15" borderId="30" xfId="0" applyNumberFormat="1" applyFont="1" applyFill="1" applyBorder="1"/>
    <xf numFmtId="1" fontId="25" fillId="0" borderId="31" xfId="0" applyNumberFormat="1" applyFont="1" applyBorder="1"/>
    <xf numFmtId="44" fontId="24" fillId="0" borderId="34" xfId="0" applyNumberFormat="1" applyFont="1" applyBorder="1"/>
    <xf numFmtId="1" fontId="33" fillId="0" borderId="0" xfId="0" applyNumberFormat="1" applyFont="1"/>
    <xf numFmtId="1" fontId="25" fillId="0" borderId="0" xfId="0" applyNumberFormat="1" applyFont="1"/>
    <xf numFmtId="2" fontId="34" fillId="0" borderId="0" xfId="12" applyNumberFormat="1" applyFont="1" applyFill="1" applyAlignment="1">
      <alignment horizontal="center" vertical="center"/>
    </xf>
    <xf numFmtId="43" fontId="8" fillId="16" borderId="0" xfId="13" applyFont="1" applyFill="1" applyAlignment="1">
      <alignment horizontal="right" vertical="center"/>
    </xf>
    <xf numFmtId="0" fontId="36" fillId="0" borderId="35" xfId="0" applyFont="1" applyBorder="1" applyAlignment="1">
      <alignment horizontal="center" vertical="top"/>
    </xf>
    <xf numFmtId="0" fontId="0" fillId="0" borderId="0" xfId="0" applyAlignment="1">
      <alignment horizontal="center" vertical="top"/>
    </xf>
    <xf numFmtId="9" fontId="0" fillId="0" borderId="0" xfId="0" applyNumberFormat="1" applyAlignment="1">
      <alignment horizontal="center" vertical="top"/>
    </xf>
    <xf numFmtId="49" fontId="36" fillId="3" borderId="0" xfId="0" applyNumberFormat="1" applyFont="1" applyFill="1" applyAlignment="1">
      <alignment vertical="top"/>
    </xf>
    <xf numFmtId="49" fontId="36" fillId="16" borderId="0" xfId="0" applyNumberFormat="1" applyFont="1" applyFill="1" applyAlignment="1">
      <alignment vertical="top"/>
    </xf>
    <xf numFmtId="1" fontId="36" fillId="16" borderId="0" xfId="0" applyNumberFormat="1" applyFont="1" applyFill="1" applyAlignment="1">
      <alignment vertical="top"/>
    </xf>
    <xf numFmtId="4" fontId="36" fillId="16" borderId="0" xfId="0" applyNumberFormat="1" applyFont="1" applyFill="1" applyAlignment="1">
      <alignment vertical="top"/>
    </xf>
    <xf numFmtId="0" fontId="0" fillId="0" borderId="0" xfId="0" applyAlignment="1">
      <alignment vertical="top"/>
    </xf>
    <xf numFmtId="1" fontId="0" fillId="0" borderId="0" xfId="0" applyNumberFormat="1" applyAlignment="1">
      <alignment vertical="top"/>
    </xf>
    <xf numFmtId="4" fontId="0" fillId="0" borderId="0" xfId="0" applyNumberFormat="1" applyAlignment="1">
      <alignment vertical="top"/>
    </xf>
    <xf numFmtId="8" fontId="1" fillId="9" borderId="0" xfId="0" applyNumberFormat="1" applyFont="1" applyFill="1" applyAlignment="1">
      <alignment horizontal="right"/>
    </xf>
    <xf numFmtId="0" fontId="37" fillId="0" borderId="18" xfId="2" applyFont="1"/>
    <xf numFmtId="0" fontId="1" fillId="0" borderId="0" xfId="0" applyFont="1" applyAlignment="1">
      <alignment horizontal="right" vertical="center" wrapText="1"/>
    </xf>
    <xf numFmtId="0" fontId="1" fillId="0" borderId="0" xfId="0" applyFont="1" applyAlignment="1">
      <alignment horizontal="right" wrapText="1"/>
    </xf>
    <xf numFmtId="8" fontId="0" fillId="9" borderId="0" xfId="0" applyNumberFormat="1" applyFill="1" applyAlignment="1">
      <alignment horizontal="right"/>
    </xf>
    <xf numFmtId="168" fontId="7" fillId="0" borderId="20" xfId="4" applyNumberFormat="1" applyBorder="1" applyAlignment="1">
      <alignment horizontal="center" vertical="top"/>
    </xf>
    <xf numFmtId="0" fontId="1" fillId="0" borderId="0" xfId="0" applyFont="1" applyAlignment="1">
      <alignment horizontal="center" wrapText="1"/>
    </xf>
    <xf numFmtId="1" fontId="36" fillId="19" borderId="0" xfId="0" applyNumberFormat="1" applyFont="1" applyFill="1" applyAlignment="1">
      <alignment vertical="top"/>
    </xf>
    <xf numFmtId="4" fontId="36" fillId="3" borderId="0" xfId="0" applyNumberFormat="1" applyFont="1" applyFill="1" applyAlignment="1">
      <alignment vertical="top"/>
    </xf>
    <xf numFmtId="1" fontId="36" fillId="0" borderId="0" xfId="0" applyNumberFormat="1" applyFont="1" applyAlignment="1">
      <alignment horizontal="center" vertical="top"/>
    </xf>
    <xf numFmtId="4" fontId="36" fillId="0" borderId="0" xfId="0" applyNumberFormat="1" applyFont="1" applyAlignment="1">
      <alignment horizontal="center" vertical="top"/>
    </xf>
    <xf numFmtId="0" fontId="44" fillId="0" borderId="0" xfId="3" applyFont="1" applyBorder="1" applyAlignment="1">
      <alignment horizontal="right" vertical="center" indent="1"/>
    </xf>
    <xf numFmtId="1" fontId="12" fillId="3" borderId="0" xfId="0" applyNumberFormat="1" applyFont="1" applyFill="1" applyAlignment="1" applyProtection="1">
      <alignment horizontal="center" wrapText="1"/>
      <protection locked="0"/>
    </xf>
    <xf numFmtId="1" fontId="0" fillId="2" borderId="0" xfId="0" applyNumberFormat="1" applyFill="1" applyProtection="1">
      <protection locked="0"/>
    </xf>
    <xf numFmtId="0" fontId="0" fillId="2" borderId="0" xfId="0" applyFill="1" applyProtection="1">
      <protection locked="0"/>
    </xf>
    <xf numFmtId="1" fontId="0" fillId="0" borderId="0" xfId="0" applyNumberFormat="1" applyProtection="1">
      <protection locked="0"/>
    </xf>
    <xf numFmtId="170" fontId="0" fillId="0" borderId="0" xfId="0" applyNumberFormat="1" applyProtection="1">
      <protection locked="0"/>
    </xf>
    <xf numFmtId="0" fontId="0" fillId="0" borderId="0" xfId="0" applyProtection="1">
      <protection locked="0"/>
    </xf>
    <xf numFmtId="0" fontId="8" fillId="0" borderId="0" xfId="5"/>
    <xf numFmtId="1" fontId="8" fillId="0" borderId="0" xfId="5" applyNumberFormat="1"/>
    <xf numFmtId="0" fontId="17" fillId="0" borderId="0" xfId="5" applyFont="1" applyAlignment="1">
      <alignment horizontal="center"/>
    </xf>
    <xf numFmtId="0" fontId="17" fillId="0" borderId="0" xfId="3" applyFont="1" applyBorder="1" applyAlignment="1" applyProtection="1">
      <alignment horizontal="right" vertical="center" wrapText="1" indent="1"/>
    </xf>
    <xf numFmtId="0" fontId="8" fillId="5" borderId="0" xfId="0" applyFont="1" applyFill="1" applyAlignment="1">
      <alignment horizontal="center" wrapText="1"/>
    </xf>
    <xf numFmtId="1" fontId="8" fillId="5" borderId="0" xfId="0" applyNumberFormat="1" applyFont="1" applyFill="1" applyAlignment="1">
      <alignment horizontal="center" wrapText="1"/>
    </xf>
    <xf numFmtId="0" fontId="17" fillId="5" borderId="0" xfId="0" applyFont="1" applyFill="1" applyAlignment="1">
      <alignment horizontal="center" wrapText="1"/>
    </xf>
    <xf numFmtId="0" fontId="39" fillId="5" borderId="0" xfId="0" applyFont="1" applyFill="1" applyAlignment="1">
      <alignment horizontal="center" wrapText="1"/>
    </xf>
    <xf numFmtId="2" fontId="8" fillId="5" borderId="0" xfId="0" applyNumberFormat="1" applyFont="1" applyFill="1" applyAlignment="1">
      <alignment horizontal="center" wrapText="1"/>
    </xf>
    <xf numFmtId="170" fontId="8" fillId="5" borderId="0" xfId="0" applyNumberFormat="1" applyFont="1" applyFill="1" applyAlignment="1">
      <alignment horizontal="center" wrapText="1"/>
    </xf>
    <xf numFmtId="2" fontId="4" fillId="3" borderId="0" xfId="0" applyNumberFormat="1" applyFont="1" applyFill="1" applyAlignment="1">
      <alignment horizontal="left" vertical="center"/>
    </xf>
    <xf numFmtId="1" fontId="4" fillId="3" borderId="0" xfId="0" applyNumberFormat="1" applyFont="1" applyFill="1" applyAlignment="1">
      <alignment horizontal="right" vertical="center"/>
    </xf>
    <xf numFmtId="2" fontId="12" fillId="3" borderId="0" xfId="0" applyNumberFormat="1" applyFont="1" applyFill="1" applyAlignment="1">
      <alignment horizontal="center" vertical="center"/>
    </xf>
    <xf numFmtId="2" fontId="4" fillId="3" borderId="0" xfId="0" applyNumberFormat="1" applyFont="1" applyFill="1" applyAlignment="1">
      <alignment horizontal="right" vertical="center"/>
    </xf>
    <xf numFmtId="2" fontId="4" fillId="3" borderId="0" xfId="0" applyNumberFormat="1" applyFont="1" applyFill="1" applyAlignment="1">
      <alignment horizontal="center" vertical="center"/>
    </xf>
    <xf numFmtId="170" fontId="4" fillId="3" borderId="0" xfId="0" applyNumberFormat="1" applyFont="1" applyFill="1" applyAlignment="1">
      <alignment horizontal="right" vertical="center"/>
    </xf>
    <xf numFmtId="2" fontId="34" fillId="0" borderId="0" xfId="12" applyNumberFormat="1" applyFont="1" applyFill="1" applyAlignment="1" applyProtection="1">
      <alignment horizontal="left" vertical="center"/>
    </xf>
    <xf numFmtId="2" fontId="34" fillId="0" borderId="0" xfId="12" applyNumberFormat="1" applyFont="1" applyFill="1" applyAlignment="1" applyProtection="1">
      <alignment horizontal="right" vertical="center"/>
    </xf>
    <xf numFmtId="2" fontId="34" fillId="0" borderId="0" xfId="12" applyNumberFormat="1" applyFont="1" applyFill="1" applyAlignment="1" applyProtection="1">
      <alignment horizontal="center" vertical="center"/>
    </xf>
    <xf numFmtId="2" fontId="35" fillId="0" borderId="0" xfId="0" applyNumberFormat="1" applyFont="1" applyAlignment="1">
      <alignment horizontal="center" vertical="center"/>
    </xf>
    <xf numFmtId="1" fontId="34" fillId="0" borderId="0" xfId="12" applyNumberFormat="1" applyFont="1" applyFill="1" applyAlignment="1" applyProtection="1">
      <alignment horizontal="center" vertical="center"/>
    </xf>
    <xf numFmtId="170" fontId="34" fillId="0" borderId="0" xfId="12" applyNumberFormat="1" applyFont="1" applyFill="1" applyAlignment="1" applyProtection="1">
      <alignment horizontal="center" vertical="center"/>
    </xf>
    <xf numFmtId="2" fontId="8" fillId="16" borderId="0" xfId="12" applyNumberFormat="1" applyFont="1" applyFill="1" applyBorder="1" applyAlignment="1" applyProtection="1">
      <alignment horizontal="left" vertical="center"/>
    </xf>
    <xf numFmtId="1" fontId="8" fillId="16" borderId="0" xfId="12" applyNumberFormat="1" applyFont="1" applyFill="1" applyAlignment="1" applyProtection="1">
      <alignment horizontal="right" vertical="center"/>
    </xf>
    <xf numFmtId="2" fontId="17" fillId="16" borderId="0" xfId="12" applyNumberFormat="1" applyFont="1" applyFill="1" applyBorder="1" applyAlignment="1" applyProtection="1">
      <alignment horizontal="center" vertical="center"/>
    </xf>
    <xf numFmtId="2" fontId="8" fillId="16" borderId="0" xfId="12" applyNumberFormat="1" applyFont="1" applyFill="1" applyAlignment="1" applyProtection="1">
      <alignment horizontal="left" vertical="center"/>
    </xf>
    <xf numFmtId="2" fontId="17" fillId="16" borderId="0" xfId="12" applyNumberFormat="1" applyFont="1" applyFill="1" applyAlignment="1" applyProtection="1">
      <alignment horizontal="left" vertical="center"/>
    </xf>
    <xf numFmtId="1" fontId="17" fillId="16" borderId="0" xfId="12" applyNumberFormat="1" applyFont="1" applyFill="1" applyAlignment="1" applyProtection="1">
      <alignment horizontal="right" vertical="center"/>
    </xf>
    <xf numFmtId="2" fontId="8" fillId="16" borderId="0" xfId="13" applyNumberFormat="1" applyFont="1" applyFill="1" applyAlignment="1" applyProtection="1">
      <alignment horizontal="right" vertical="center"/>
    </xf>
    <xf numFmtId="43" fontId="8" fillId="16" borderId="0" xfId="13" applyFont="1" applyFill="1" applyAlignment="1" applyProtection="1">
      <alignment horizontal="right" vertical="center"/>
    </xf>
    <xf numFmtId="170" fontId="8" fillId="16" borderId="0" xfId="13" applyNumberFormat="1" applyFont="1" applyFill="1" applyAlignment="1" applyProtection="1">
      <alignment horizontal="right" vertical="center"/>
    </xf>
    <xf numFmtId="2" fontId="12" fillId="0" borderId="0" xfId="0" applyNumberFormat="1" applyFont="1" applyAlignment="1">
      <alignment horizontal="center" vertical="center"/>
    </xf>
    <xf numFmtId="1" fontId="12" fillId="0" borderId="0" xfId="0" applyNumberFormat="1" applyFont="1" applyAlignment="1">
      <alignment horizontal="center" vertical="center"/>
    </xf>
    <xf numFmtId="170" fontId="12" fillId="0" borderId="0" xfId="0" applyNumberFormat="1" applyFont="1" applyAlignment="1">
      <alignment horizontal="center" vertical="center"/>
    </xf>
    <xf numFmtId="0" fontId="0" fillId="0" borderId="0" xfId="0" applyAlignment="1">
      <alignment horizontal="center" vertical="top" wrapText="1"/>
    </xf>
    <xf numFmtId="2" fontId="0" fillId="0" borderId="0" xfId="0" applyNumberFormat="1" applyAlignment="1">
      <alignment horizontal="center" vertical="top" wrapText="1"/>
    </xf>
    <xf numFmtId="171" fontId="0" fillId="0" borderId="0" xfId="0" applyNumberFormat="1" applyAlignment="1">
      <alignment horizontal="center" vertical="top" wrapText="1"/>
    </xf>
    <xf numFmtId="167" fontId="12" fillId="3" borderId="0" xfId="0" applyNumberFormat="1" applyFont="1" applyFill="1" applyAlignment="1" applyProtection="1">
      <alignment horizontal="center" wrapText="1"/>
      <protection locked="0"/>
    </xf>
    <xf numFmtId="167" fontId="0" fillId="0" borderId="0" xfId="0" applyNumberFormat="1" applyProtection="1">
      <protection locked="0"/>
    </xf>
    <xf numFmtId="0" fontId="12" fillId="0" borderId="0" xfId="0" applyFont="1" applyAlignment="1" applyProtection="1">
      <alignment horizontal="center" wrapText="1"/>
      <protection locked="0"/>
    </xf>
    <xf numFmtId="1" fontId="12" fillId="0" borderId="0" xfId="0" applyNumberFormat="1" applyFont="1" applyAlignment="1" applyProtection="1">
      <alignment horizontal="center" wrapText="1"/>
      <protection locked="0"/>
    </xf>
    <xf numFmtId="2" fontId="12" fillId="0" borderId="0" xfId="0" applyNumberFormat="1" applyFont="1" applyAlignment="1" applyProtection="1">
      <alignment horizontal="center" wrapText="1"/>
      <protection locked="0"/>
    </xf>
    <xf numFmtId="2" fontId="0" fillId="0" borderId="0" xfId="0" applyNumberFormat="1" applyProtection="1">
      <protection locked="0"/>
    </xf>
    <xf numFmtId="49" fontId="0" fillId="2" borderId="0" xfId="0" applyNumberFormat="1" applyFill="1" applyProtection="1">
      <protection locked="0"/>
    </xf>
    <xf numFmtId="164" fontId="14" fillId="0" borderId="0" xfId="0" applyNumberFormat="1" applyFont="1"/>
    <xf numFmtId="164" fontId="15" fillId="0" borderId="2" xfId="0" applyNumberFormat="1" applyFont="1" applyBorder="1" applyAlignment="1">
      <alignment horizontal="left"/>
    </xf>
    <xf numFmtId="0" fontId="14" fillId="0" borderId="10" xfId="0" applyFont="1" applyBorder="1"/>
    <xf numFmtId="0" fontId="15" fillId="0" borderId="6" xfId="0" applyFont="1" applyBorder="1" applyAlignment="1">
      <alignment horizontal="center"/>
    </xf>
    <xf numFmtId="0" fontId="15" fillId="0" borderId="0" xfId="0" applyFont="1" applyAlignment="1">
      <alignment horizontal="center"/>
    </xf>
    <xf numFmtId="0" fontId="14" fillId="0" borderId="9" xfId="0" applyFont="1" applyBorder="1"/>
    <xf numFmtId="164" fontId="14" fillId="0" borderId="1" xfId="0" applyNumberFormat="1" applyFont="1" applyBorder="1"/>
    <xf numFmtId="164" fontId="14" fillId="0" borderId="8" xfId="0" applyNumberFormat="1" applyFont="1" applyBorder="1"/>
    <xf numFmtId="0" fontId="14" fillId="0" borderId="8" xfId="0" applyFont="1" applyBorder="1"/>
    <xf numFmtId="164" fontId="14" fillId="0" borderId="9" xfId="0" applyNumberFormat="1" applyFont="1" applyBorder="1"/>
    <xf numFmtId="164" fontId="15" fillId="0" borderId="0" xfId="0" applyNumberFormat="1" applyFont="1" applyAlignment="1">
      <alignment horizontal="right"/>
    </xf>
    <xf numFmtId="0" fontId="15" fillId="0" borderId="16" xfId="0" applyFont="1" applyBorder="1" applyAlignment="1">
      <alignment horizontal="right"/>
    </xf>
    <xf numFmtId="0" fontId="14" fillId="0" borderId="17" xfId="0" applyFont="1" applyBorder="1"/>
    <xf numFmtId="0" fontId="15" fillId="0" borderId="14" xfId="0" applyFont="1" applyBorder="1" applyAlignment="1">
      <alignment horizontal="center"/>
    </xf>
    <xf numFmtId="164" fontId="14" fillId="0" borderId="14" xfId="0" applyNumberFormat="1" applyFont="1" applyBorder="1"/>
    <xf numFmtId="0" fontId="14" fillId="0" borderId="2" xfId="0" applyFont="1" applyBorder="1"/>
    <xf numFmtId="3" fontId="14" fillId="0" borderId="2" xfId="0" applyNumberFormat="1" applyFont="1" applyBorder="1"/>
    <xf numFmtId="0" fontId="14" fillId="0" borderId="2" xfId="0" applyFont="1" applyBorder="1" applyAlignment="1">
      <alignment horizontal="right"/>
    </xf>
    <xf numFmtId="164" fontId="14" fillId="0" borderId="3" xfId="0" applyNumberFormat="1" applyFont="1" applyBorder="1"/>
    <xf numFmtId="164" fontId="14" fillId="0" borderId="4" xfId="0" applyNumberFormat="1" applyFont="1" applyBorder="1"/>
    <xf numFmtId="0" fontId="14" fillId="0" borderId="5" xfId="0" applyFont="1" applyBorder="1"/>
    <xf numFmtId="3" fontId="14" fillId="0" borderId="4" xfId="0" applyNumberFormat="1" applyFont="1" applyBorder="1"/>
    <xf numFmtId="0" fontId="14" fillId="0" borderId="4" xfId="0" applyFont="1" applyBorder="1" applyAlignment="1">
      <alignment horizontal="right"/>
    </xf>
    <xf numFmtId="164" fontId="14" fillId="0" borderId="5" xfId="0" applyNumberFormat="1" applyFont="1" applyBorder="1"/>
    <xf numFmtId="10" fontId="14" fillId="0" borderId="0" xfId="0" applyNumberFormat="1" applyFont="1"/>
    <xf numFmtId="164" fontId="14" fillId="0" borderId="4" xfId="0" applyNumberFormat="1" applyFont="1" applyBorder="1" applyAlignment="1">
      <alignment horizontal="right"/>
    </xf>
    <xf numFmtId="0" fontId="47" fillId="4" borderId="2" xfId="0" applyFont="1" applyFill="1" applyBorder="1" applyAlignment="1">
      <alignment horizontal="right"/>
    </xf>
    <xf numFmtId="6" fontId="47" fillId="4" borderId="10" xfId="0" applyNumberFormat="1" applyFont="1" applyFill="1" applyBorder="1"/>
    <xf numFmtId="164" fontId="14" fillId="0" borderId="6" xfId="0" applyNumberFormat="1" applyFont="1" applyBorder="1"/>
    <xf numFmtId="164" fontId="14" fillId="0" borderId="7" xfId="0" applyNumberFormat="1" applyFont="1" applyBorder="1"/>
    <xf numFmtId="3" fontId="14" fillId="0" borderId="6" xfId="0" applyNumberFormat="1" applyFont="1" applyBorder="1"/>
    <xf numFmtId="3" fontId="15" fillId="3" borderId="0" xfId="0" applyNumberFormat="1" applyFont="1" applyFill="1"/>
    <xf numFmtId="164" fontId="15" fillId="3" borderId="45" xfId="0" applyNumberFormat="1" applyFont="1" applyFill="1" applyBorder="1"/>
    <xf numFmtId="164" fontId="15" fillId="3" borderId="46" xfId="0" applyNumberFormat="1" applyFont="1" applyFill="1" applyBorder="1"/>
    <xf numFmtId="0" fontId="14" fillId="0" borderId="14" xfId="0" applyFont="1" applyBorder="1" applyAlignment="1">
      <alignment horizontal="right"/>
    </xf>
    <xf numFmtId="164" fontId="15" fillId="3" borderId="7" xfId="0" applyNumberFormat="1" applyFont="1" applyFill="1" applyBorder="1"/>
    <xf numFmtId="9" fontId="14" fillId="2" borderId="44" xfId="0" applyNumberFormat="1" applyFont="1" applyFill="1" applyBorder="1" applyAlignment="1">
      <alignment horizontal="left"/>
    </xf>
    <xf numFmtId="0" fontId="15" fillId="0" borderId="14" xfId="0" applyFont="1" applyBorder="1" applyAlignment="1">
      <alignment horizontal="center" vertical="center"/>
    </xf>
    <xf numFmtId="0" fontId="14" fillId="9" borderId="5" xfId="0" applyFont="1" applyFill="1" applyBorder="1"/>
    <xf numFmtId="164" fontId="15" fillId="3" borderId="15" xfId="0" applyNumberFormat="1" applyFont="1" applyFill="1" applyBorder="1"/>
    <xf numFmtId="1" fontId="15" fillId="3" borderId="0" xfId="0" applyNumberFormat="1" applyFont="1" applyFill="1"/>
    <xf numFmtId="49" fontId="0" fillId="0" borderId="0" xfId="0" applyNumberFormat="1"/>
    <xf numFmtId="0" fontId="0" fillId="2" borderId="49" xfId="0" applyFill="1" applyBorder="1"/>
    <xf numFmtId="0" fontId="0" fillId="2" borderId="50" xfId="0" applyFill="1" applyBorder="1"/>
    <xf numFmtId="0" fontId="1" fillId="2" borderId="50" xfId="0" applyFont="1" applyFill="1" applyBorder="1"/>
    <xf numFmtId="165" fontId="46" fillId="2" borderId="46" xfId="0" applyNumberFormat="1" applyFont="1" applyFill="1" applyBorder="1" applyAlignment="1">
      <alignment horizontal="center"/>
    </xf>
    <xf numFmtId="0" fontId="14" fillId="9" borderId="0" xfId="0" applyFont="1" applyFill="1" applyAlignment="1">
      <alignment horizontal="right"/>
    </xf>
    <xf numFmtId="0" fontId="14" fillId="2" borderId="55" xfId="0" applyFont="1" applyFill="1" applyBorder="1"/>
    <xf numFmtId="3" fontId="14" fillId="2" borderId="55" xfId="0" applyNumberFormat="1" applyFont="1" applyFill="1" applyBorder="1"/>
    <xf numFmtId="0" fontId="47" fillId="0" borderId="0" xfId="0" applyFont="1" applyAlignment="1">
      <alignment horizontal="right"/>
    </xf>
    <xf numFmtId="9" fontId="46" fillId="2" borderId="57" xfId="0" applyNumberFormat="1" applyFont="1" applyFill="1" applyBorder="1" applyAlignment="1">
      <alignment horizontal="center"/>
    </xf>
    <xf numFmtId="1" fontId="47" fillId="4" borderId="4" xfId="0" applyNumberFormat="1" applyFont="1" applyFill="1" applyBorder="1" applyAlignment="1">
      <alignment horizontal="right"/>
    </xf>
    <xf numFmtId="165" fontId="47" fillId="4" borderId="0" xfId="0" applyNumberFormat="1" applyFont="1" applyFill="1" applyAlignment="1">
      <alignment horizontal="right"/>
    </xf>
    <xf numFmtId="3" fontId="14" fillId="0" borderId="0" xfId="0" applyNumberFormat="1" applyFont="1"/>
    <xf numFmtId="3" fontId="14" fillId="0" borderId="9" xfId="0" applyNumberFormat="1" applyFont="1" applyBorder="1"/>
    <xf numFmtId="3" fontId="14" fillId="0" borderId="7" xfId="0" applyNumberFormat="1" applyFont="1" applyBorder="1"/>
    <xf numFmtId="164" fontId="15" fillId="3" borderId="0" xfId="0" applyNumberFormat="1" applyFont="1" applyFill="1"/>
    <xf numFmtId="0" fontId="14" fillId="3" borderId="0" xfId="0" applyFont="1" applyFill="1" applyAlignment="1">
      <alignment horizontal="right"/>
    </xf>
    <xf numFmtId="164" fontId="14" fillId="3" borderId="0" xfId="0" applyNumberFormat="1" applyFont="1" applyFill="1"/>
    <xf numFmtId="164" fontId="15" fillId="3" borderId="4" xfId="0" applyNumberFormat="1" applyFont="1" applyFill="1" applyBorder="1"/>
    <xf numFmtId="0" fontId="14" fillId="0" borderId="60" xfId="0" applyFont="1" applyBorder="1"/>
    <xf numFmtId="164" fontId="14" fillId="3" borderId="5" xfId="0" applyNumberFormat="1" applyFont="1" applyFill="1" applyBorder="1"/>
    <xf numFmtId="0" fontId="14" fillId="0" borderId="61" xfId="0" applyFont="1" applyBorder="1"/>
    <xf numFmtId="3" fontId="14" fillId="0" borderId="62" xfId="0" applyNumberFormat="1" applyFont="1" applyBorder="1"/>
    <xf numFmtId="3" fontId="14" fillId="0" borderId="63" xfId="0" applyNumberFormat="1" applyFont="1" applyBorder="1"/>
    <xf numFmtId="0" fontId="14" fillId="0" borderId="62" xfId="0" applyFont="1" applyBorder="1"/>
    <xf numFmtId="0" fontId="14" fillId="0" borderId="63" xfId="0" applyFont="1" applyBorder="1"/>
    <xf numFmtId="164" fontId="14" fillId="0" borderId="61" xfId="0" applyNumberFormat="1" applyFont="1" applyBorder="1"/>
    <xf numFmtId="164" fontId="14" fillId="0" borderId="62" xfId="0" applyNumberFormat="1" applyFont="1" applyBorder="1"/>
    <xf numFmtId="164" fontId="14" fillId="0" borderId="63" xfId="0" applyNumberFormat="1" applyFont="1" applyBorder="1"/>
    <xf numFmtId="0" fontId="42" fillId="0" borderId="0" xfId="0" applyFont="1" applyAlignment="1">
      <alignment horizontal="right"/>
    </xf>
    <xf numFmtId="0" fontId="42" fillId="0" borderId="0" xfId="0" applyFont="1"/>
    <xf numFmtId="3" fontId="14" fillId="0" borderId="4" xfId="0" applyNumberFormat="1" applyFont="1" applyBorder="1" applyAlignment="1">
      <alignment horizontal="center"/>
    </xf>
    <xf numFmtId="3" fontId="14" fillId="23" borderId="44" xfId="0" applyNumberFormat="1" applyFont="1" applyFill="1" applyBorder="1"/>
    <xf numFmtId="3" fontId="0" fillId="0" borderId="0" xfId="0" applyNumberFormat="1"/>
    <xf numFmtId="0" fontId="0" fillId="2" borderId="0" xfId="0" applyFill="1" applyAlignment="1">
      <alignment horizontal="right"/>
    </xf>
    <xf numFmtId="0" fontId="1" fillId="2" borderId="64" xfId="0" applyFont="1" applyFill="1" applyBorder="1" applyAlignment="1">
      <alignment horizontal="right"/>
    </xf>
    <xf numFmtId="164" fontId="1" fillId="23" borderId="1" xfId="0" applyNumberFormat="1" applyFont="1" applyFill="1" applyBorder="1"/>
    <xf numFmtId="0" fontId="14" fillId="2" borderId="55" xfId="0" applyFont="1" applyFill="1" applyBorder="1" applyAlignment="1">
      <alignment horizontal="center" vertical="center"/>
    </xf>
    <xf numFmtId="0" fontId="1" fillId="0" borderId="0" xfId="0" quotePrefix="1" applyFont="1" applyAlignment="1">
      <alignment horizontal="center" wrapText="1"/>
    </xf>
    <xf numFmtId="3" fontId="1" fillId="23" borderId="5" xfId="0" applyNumberFormat="1" applyFont="1" applyFill="1" applyBorder="1"/>
    <xf numFmtId="3" fontId="1" fillId="23" borderId="1" xfId="0" applyNumberFormat="1" applyFont="1" applyFill="1" applyBorder="1"/>
    <xf numFmtId="3" fontId="1" fillId="23" borderId="7" xfId="0" applyNumberFormat="1" applyFont="1" applyFill="1" applyBorder="1"/>
    <xf numFmtId="0" fontId="1" fillId="23" borderId="53" xfId="0" applyFont="1" applyFill="1" applyBorder="1" applyAlignment="1">
      <alignment horizontal="center" vertical="center" wrapText="1"/>
    </xf>
    <xf numFmtId="0" fontId="1" fillId="23" borderId="6" xfId="0" applyFont="1" applyFill="1" applyBorder="1" applyAlignment="1">
      <alignment horizontal="right"/>
    </xf>
    <xf numFmtId="49" fontId="1" fillId="23" borderId="53" xfId="0" applyNumberFormat="1" applyFont="1" applyFill="1" applyBorder="1" applyAlignment="1">
      <alignment horizontal="center" vertical="center" wrapText="1"/>
    </xf>
    <xf numFmtId="49" fontId="0" fillId="0" borderId="65" xfId="0" applyNumberFormat="1" applyBorder="1"/>
    <xf numFmtId="0" fontId="0" fillId="0" borderId="65" xfId="0" applyBorder="1"/>
    <xf numFmtId="49" fontId="1" fillId="23" borderId="53" xfId="0" quotePrefix="1" applyNumberFormat="1" applyFont="1" applyFill="1" applyBorder="1" applyAlignment="1">
      <alignment horizontal="center" wrapText="1"/>
    </xf>
    <xf numFmtId="0" fontId="0" fillId="0" borderId="2" xfId="0" applyBorder="1"/>
    <xf numFmtId="0" fontId="0" fillId="0" borderId="4" xfId="0" applyBorder="1"/>
    <xf numFmtId="0" fontId="0" fillId="0" borderId="6" xfId="0" applyBorder="1"/>
    <xf numFmtId="49" fontId="0" fillId="0" borderId="61" xfId="0" applyNumberFormat="1" applyBorder="1"/>
    <xf numFmtId="0" fontId="1" fillId="0" borderId="56" xfId="0" applyFont="1" applyBorder="1" applyAlignment="1">
      <alignment horizontal="right" wrapText="1"/>
    </xf>
    <xf numFmtId="0" fontId="1" fillId="0" borderId="55" xfId="0" applyFont="1" applyBorder="1" applyAlignment="1">
      <alignment horizontal="right"/>
    </xf>
    <xf numFmtId="0" fontId="0" fillId="0" borderId="55" xfId="0" applyBorder="1" applyAlignment="1">
      <alignment horizontal="right"/>
    </xf>
    <xf numFmtId="0" fontId="0" fillId="0" borderId="55" xfId="0" applyBorder="1"/>
    <xf numFmtId="0" fontId="8" fillId="0" borderId="2" xfId="5" applyBorder="1"/>
    <xf numFmtId="1" fontId="8" fillId="0" borderId="10" xfId="5" applyNumberFormat="1" applyBorder="1"/>
    <xf numFmtId="0" fontId="17" fillId="0" borderId="10" xfId="5" applyFont="1" applyBorder="1" applyAlignment="1">
      <alignment horizontal="center"/>
    </xf>
    <xf numFmtId="0" fontId="8" fillId="0" borderId="10" xfId="5" applyBorder="1"/>
    <xf numFmtId="0" fontId="0" fillId="0" borderId="10" xfId="0" applyBorder="1" applyAlignment="1">
      <alignment horizontal="left"/>
    </xf>
    <xf numFmtId="0" fontId="0" fillId="0" borderId="10" xfId="0" applyBorder="1" applyAlignment="1">
      <alignment horizontal="right" vertical="center"/>
    </xf>
    <xf numFmtId="0" fontId="43" fillId="0" borderId="10" xfId="0" applyFont="1" applyBorder="1" applyAlignment="1">
      <alignment horizontal="center" vertical="center"/>
    </xf>
    <xf numFmtId="0" fontId="0" fillId="0" borderId="3" xfId="0" applyBorder="1" applyAlignment="1">
      <alignment horizontal="right" vertical="center"/>
    </xf>
    <xf numFmtId="0" fontId="0" fillId="3" borderId="0" xfId="0" applyFill="1" applyAlignment="1">
      <alignment horizontal="right"/>
    </xf>
    <xf numFmtId="0" fontId="0" fillId="3" borderId="5" xfId="0" applyFill="1" applyBorder="1" applyAlignment="1">
      <alignment horizontal="right"/>
    </xf>
    <xf numFmtId="0" fontId="0" fillId="16" borderId="0" xfId="0" applyFill="1" applyAlignment="1">
      <alignment horizontal="right"/>
    </xf>
    <xf numFmtId="0" fontId="0" fillId="16" borderId="5" xfId="0" applyFill="1" applyBorder="1" applyAlignment="1">
      <alignment horizontal="right"/>
    </xf>
    <xf numFmtId="0" fontId="0" fillId="17" borderId="0" xfId="0" applyFill="1" applyAlignment="1">
      <alignment horizontal="right"/>
    </xf>
    <xf numFmtId="0" fontId="0" fillId="17" borderId="5" xfId="0" applyFill="1" applyBorder="1"/>
    <xf numFmtId="0" fontId="8" fillId="0" borderId="6" xfId="5" applyBorder="1" applyAlignment="1">
      <alignment wrapText="1"/>
    </xf>
    <xf numFmtId="1" fontId="8" fillId="0" borderId="1" xfId="5" applyNumberFormat="1" applyBorder="1" applyAlignment="1">
      <alignment wrapText="1"/>
    </xf>
    <xf numFmtId="0" fontId="17" fillId="0" borderId="1" xfId="5" applyFont="1" applyBorder="1" applyAlignment="1">
      <alignment horizontal="center" wrapText="1"/>
    </xf>
    <xf numFmtId="0" fontId="8" fillId="0" borderId="1" xfId="5" applyBorder="1" applyAlignment="1">
      <alignment wrapText="1"/>
    </xf>
    <xf numFmtId="0" fontId="17" fillId="0" borderId="1" xfId="3" applyFont="1" applyBorder="1" applyAlignment="1" applyProtection="1">
      <alignment horizontal="right" vertical="center" wrapText="1" indent="1"/>
    </xf>
    <xf numFmtId="0" fontId="0" fillId="0" borderId="7" xfId="0" applyBorder="1"/>
    <xf numFmtId="0" fontId="1" fillId="23" borderId="52" xfId="3" applyFont="1" applyFill="1" applyBorder="1" applyAlignment="1" applyProtection="1">
      <alignment horizontal="right" vertical="center" indent="1"/>
    </xf>
    <xf numFmtId="0" fontId="0" fillId="0" borderId="0" xfId="3" applyFont="1" applyBorder="1" applyAlignment="1" applyProtection="1">
      <alignment horizontal="right" vertical="center" indent="1"/>
    </xf>
    <xf numFmtId="0" fontId="0" fillId="0" borderId="66" xfId="0" applyBorder="1"/>
    <xf numFmtId="0" fontId="0" fillId="0" borderId="9" xfId="0" applyBorder="1"/>
    <xf numFmtId="9" fontId="14" fillId="2" borderId="55" xfId="0" applyNumberFormat="1" applyFont="1" applyFill="1" applyBorder="1"/>
    <xf numFmtId="0" fontId="14" fillId="9" borderId="44" xfId="0" applyFont="1" applyFill="1" applyBorder="1"/>
    <xf numFmtId="49" fontId="0" fillId="23" borderId="61" xfId="0" applyNumberFormat="1" applyFill="1" applyBorder="1"/>
    <xf numFmtId="0" fontId="0" fillId="23" borderId="55" xfId="0" applyFill="1" applyBorder="1"/>
    <xf numFmtId="49" fontId="1" fillId="23" borderId="55" xfId="0" applyNumberFormat="1" applyFont="1" applyFill="1" applyBorder="1" applyAlignment="1">
      <alignment horizontal="center" vertical="center" wrapText="1"/>
    </xf>
    <xf numFmtId="16" fontId="0" fillId="0" borderId="0" xfId="0" applyNumberFormat="1"/>
    <xf numFmtId="9" fontId="14" fillId="2" borderId="44" xfId="0" applyNumberFormat="1" applyFont="1" applyFill="1" applyBorder="1" applyAlignment="1">
      <alignment horizontal="right"/>
    </xf>
    <xf numFmtId="164" fontId="15" fillId="3" borderId="11" xfId="0" applyNumberFormat="1" applyFont="1" applyFill="1" applyBorder="1"/>
    <xf numFmtId="164" fontId="15" fillId="3" borderId="67" xfId="0" applyNumberFormat="1" applyFont="1" applyFill="1" applyBorder="1"/>
    <xf numFmtId="49" fontId="1" fillId="3" borderId="53" xfId="0" quotePrefix="1" applyNumberFormat="1" applyFont="1" applyFill="1" applyBorder="1" applyAlignment="1">
      <alignment horizontal="center" wrapText="1"/>
    </xf>
    <xf numFmtId="49" fontId="1" fillId="3" borderId="53" xfId="0" applyNumberFormat="1" applyFont="1" applyFill="1" applyBorder="1" applyAlignment="1">
      <alignment horizontal="center" vertical="center" wrapText="1"/>
    </xf>
    <xf numFmtId="3" fontId="1" fillId="3" borderId="1" xfId="0" applyNumberFormat="1" applyFont="1" applyFill="1" applyBorder="1"/>
    <xf numFmtId="164" fontId="1" fillId="23" borderId="53" xfId="0" applyNumberFormat="1" applyFont="1" applyFill="1" applyBorder="1"/>
    <xf numFmtId="0" fontId="1" fillId="23" borderId="68" xfId="0" applyFont="1" applyFill="1" applyBorder="1" applyAlignment="1">
      <alignment horizontal="right"/>
    </xf>
    <xf numFmtId="164" fontId="1" fillId="23" borderId="45" xfId="0" applyNumberFormat="1" applyFont="1" applyFill="1" applyBorder="1"/>
    <xf numFmtId="0" fontId="1" fillId="23" borderId="69" xfId="0" applyFont="1" applyFill="1" applyBorder="1" applyAlignment="1">
      <alignment horizontal="right"/>
    </xf>
    <xf numFmtId="164" fontId="1" fillId="23" borderId="70" xfId="0" applyNumberFormat="1" applyFont="1" applyFill="1" applyBorder="1"/>
    <xf numFmtId="164" fontId="1" fillId="23" borderId="69" xfId="0" applyNumberFormat="1" applyFont="1" applyFill="1" applyBorder="1"/>
    <xf numFmtId="164" fontId="1" fillId="23" borderId="6" xfId="0" applyNumberFormat="1" applyFont="1" applyFill="1" applyBorder="1"/>
    <xf numFmtId="49" fontId="17" fillId="16" borderId="53" xfId="0" quotePrefix="1" applyNumberFormat="1" applyFont="1" applyFill="1" applyBorder="1" applyAlignment="1">
      <alignment horizontal="center" wrapText="1"/>
    </xf>
    <xf numFmtId="3" fontId="17" fillId="16" borderId="67" xfId="0" applyNumberFormat="1" applyFont="1" applyFill="1" applyBorder="1"/>
    <xf numFmtId="0" fontId="48" fillId="0" borderId="0" xfId="0" applyFont="1" applyAlignment="1">
      <alignment horizontal="left" vertical="center" indent="2"/>
    </xf>
    <xf numFmtId="3" fontId="17" fillId="16" borderId="1" xfId="0" applyNumberFormat="1" applyFont="1" applyFill="1" applyBorder="1"/>
    <xf numFmtId="0" fontId="4" fillId="2" borderId="71" xfId="0" applyFont="1" applyFill="1" applyBorder="1" applyAlignment="1">
      <alignment horizontal="right"/>
    </xf>
    <xf numFmtId="0" fontId="4" fillId="2" borderId="70" xfId="0" applyFont="1" applyFill="1" applyBorder="1" applyAlignment="1">
      <alignment horizontal="right"/>
    </xf>
    <xf numFmtId="0" fontId="4" fillId="2" borderId="70" xfId="0" applyFont="1" applyFill="1" applyBorder="1"/>
    <xf numFmtId="0" fontId="4" fillId="2" borderId="72" xfId="0" applyFont="1" applyFill="1" applyBorder="1"/>
    <xf numFmtId="3" fontId="14" fillId="2" borderId="4" xfId="0" applyNumberFormat="1" applyFont="1" applyFill="1" applyBorder="1"/>
    <xf numFmtId="3" fontId="14" fillId="2" borderId="5" xfId="0" applyNumberFormat="1" applyFont="1" applyFill="1" applyBorder="1"/>
    <xf numFmtId="3" fontId="1" fillId="9" borderId="64" xfId="0" applyNumberFormat="1" applyFont="1" applyFill="1" applyBorder="1" applyAlignment="1">
      <alignment horizontal="right"/>
    </xf>
    <xf numFmtId="0" fontId="49" fillId="0" borderId="0" xfId="0" applyFont="1" applyAlignment="1">
      <alignment horizontal="right"/>
    </xf>
    <xf numFmtId="1" fontId="47" fillId="24" borderId="51" xfId="0" applyNumberFormat="1" applyFont="1" applyFill="1" applyBorder="1" applyAlignment="1">
      <alignment horizontal="right"/>
    </xf>
    <xf numFmtId="1" fontId="47" fillId="4" borderId="6" xfId="0" applyNumberFormat="1" applyFont="1" applyFill="1" applyBorder="1" applyAlignment="1">
      <alignment horizontal="right"/>
    </xf>
    <xf numFmtId="165" fontId="47" fillId="4" borderId="7" xfId="0" applyNumberFormat="1" applyFont="1" applyFill="1" applyBorder="1" applyAlignment="1">
      <alignment horizontal="right"/>
    </xf>
    <xf numFmtId="0" fontId="50" fillId="0" borderId="0" xfId="0" applyFont="1" applyAlignment="1">
      <alignment horizontal="right"/>
    </xf>
    <xf numFmtId="9" fontId="1" fillId="2" borderId="75" xfId="0" applyNumberFormat="1" applyFont="1" applyFill="1" applyBorder="1"/>
    <xf numFmtId="1" fontId="1" fillId="2" borderId="75" xfId="0" applyNumberFormat="1" applyFont="1" applyFill="1" applyBorder="1"/>
    <xf numFmtId="0" fontId="0" fillId="3" borderId="0" xfId="0" applyFill="1"/>
    <xf numFmtId="166" fontId="1" fillId="3" borderId="0" xfId="0" applyNumberFormat="1" applyFont="1" applyFill="1" applyAlignment="1">
      <alignment horizontal="right"/>
    </xf>
    <xf numFmtId="3" fontId="1" fillId="3" borderId="0" xfId="0" applyNumberFormat="1" applyFont="1" applyFill="1"/>
    <xf numFmtId="0" fontId="1" fillId="3" borderId="0" xfId="0" applyFont="1" applyFill="1" applyAlignment="1">
      <alignment horizontal="right"/>
    </xf>
    <xf numFmtId="9" fontId="1" fillId="3" borderId="0" xfId="0" applyNumberFormat="1" applyFont="1" applyFill="1"/>
    <xf numFmtId="166" fontId="1" fillId="3" borderId="0" xfId="0" applyNumberFormat="1" applyFont="1" applyFill="1"/>
    <xf numFmtId="3" fontId="15" fillId="3" borderId="2" xfId="0" applyNumberFormat="1" applyFont="1" applyFill="1" applyBorder="1"/>
    <xf numFmtId="3" fontId="14" fillId="3" borderId="1" xfId="0" applyNumberFormat="1" applyFont="1" applyFill="1" applyBorder="1"/>
    <xf numFmtId="166" fontId="1" fillId="2" borderId="75" xfId="0" applyNumberFormat="1" applyFont="1" applyFill="1" applyBorder="1"/>
    <xf numFmtId="3" fontId="1" fillId="2" borderId="64" xfId="0" applyNumberFormat="1" applyFont="1" applyFill="1" applyBorder="1" applyAlignment="1">
      <alignment horizontal="right"/>
    </xf>
    <xf numFmtId="164" fontId="1" fillId="23" borderId="76" xfId="0" applyNumberFormat="1" applyFont="1" applyFill="1" applyBorder="1"/>
    <xf numFmtId="3" fontId="1" fillId="23" borderId="11" xfId="0" applyNumberFormat="1" applyFont="1" applyFill="1" applyBorder="1"/>
    <xf numFmtId="3" fontId="17" fillId="16" borderId="11" xfId="0" applyNumberFormat="1" applyFont="1" applyFill="1" applyBorder="1"/>
    <xf numFmtId="3" fontId="1" fillId="3" borderId="11" xfId="0" applyNumberFormat="1" applyFont="1" applyFill="1" applyBorder="1"/>
    <xf numFmtId="3" fontId="17" fillId="16" borderId="77" xfId="0" applyNumberFormat="1" applyFont="1" applyFill="1" applyBorder="1"/>
    <xf numFmtId="164" fontId="1" fillId="23" borderId="52" xfId="0" applyNumberFormat="1" applyFont="1" applyFill="1" applyBorder="1"/>
    <xf numFmtId="3" fontId="1" fillId="23" borderId="54" xfId="0" applyNumberFormat="1" applyFont="1" applyFill="1" applyBorder="1"/>
    <xf numFmtId="3" fontId="17" fillId="16" borderId="54" xfId="0" applyNumberFormat="1" applyFont="1" applyFill="1" applyBorder="1"/>
    <xf numFmtId="3" fontId="1" fillId="3" borderId="54" xfId="0" applyNumberFormat="1" applyFont="1" applyFill="1" applyBorder="1"/>
    <xf numFmtId="3" fontId="17" fillId="16" borderId="53" xfId="0" applyNumberFormat="1" applyFont="1" applyFill="1" applyBorder="1"/>
    <xf numFmtId="165" fontId="1" fillId="2" borderId="75" xfId="0" applyNumberFormat="1" applyFont="1" applyFill="1" applyBorder="1"/>
    <xf numFmtId="3" fontId="15" fillId="0" borderId="9" xfId="0" applyNumberFormat="1" applyFont="1" applyBorder="1"/>
    <xf numFmtId="0" fontId="0" fillId="0" borderId="0" xfId="0" applyAlignment="1">
      <alignment horizontal="left" vertical="top"/>
    </xf>
    <xf numFmtId="164" fontId="14" fillId="0" borderId="78" xfId="0" applyNumberFormat="1" applyFont="1" applyBorder="1"/>
    <xf numFmtId="166" fontId="15" fillId="9" borderId="0" xfId="0" applyNumberFormat="1" applyFont="1" applyFill="1"/>
    <xf numFmtId="9" fontId="46" fillId="2" borderId="4" xfId="0" applyNumberFormat="1" applyFont="1" applyFill="1" applyBorder="1"/>
    <xf numFmtId="164" fontId="46" fillId="2" borderId="5" xfId="0" applyNumberFormat="1" applyFont="1" applyFill="1" applyBorder="1"/>
    <xf numFmtId="1" fontId="50" fillId="4" borderId="44" xfId="0" applyNumberFormat="1" applyFont="1" applyFill="1" applyBorder="1" applyAlignment="1">
      <alignment horizontal="right"/>
    </xf>
    <xf numFmtId="165" fontId="1" fillId="9" borderId="0" xfId="0" applyNumberFormat="1" applyFont="1" applyFill="1"/>
    <xf numFmtId="0" fontId="0" fillId="0" borderId="0" xfId="0" applyAlignment="1">
      <alignment vertical="top" wrapText="1"/>
    </xf>
    <xf numFmtId="0" fontId="14" fillId="0" borderId="0" xfId="0" applyFont="1" applyAlignment="1">
      <alignment vertical="top" wrapText="1"/>
    </xf>
    <xf numFmtId="0" fontId="0" fillId="0" borderId="0" xfId="0" applyAlignment="1">
      <alignment horizontal="left" vertical="top" wrapText="1"/>
    </xf>
    <xf numFmtId="0" fontId="1" fillId="0" borderId="1" xfId="0" applyFont="1" applyBorder="1" applyAlignment="1">
      <alignment horizontal="center" wrapText="1"/>
    </xf>
    <xf numFmtId="49" fontId="1" fillId="2" borderId="75" xfId="0" applyNumberFormat="1" applyFont="1" applyFill="1" applyBorder="1" applyAlignment="1">
      <alignment horizontal="center"/>
    </xf>
    <xf numFmtId="0" fontId="13" fillId="2" borderId="4" xfId="0" applyFont="1" applyFill="1" applyBorder="1"/>
    <xf numFmtId="0" fontId="1" fillId="2" borderId="5" xfId="0" applyFont="1" applyFill="1" applyBorder="1" applyAlignment="1">
      <alignment horizontal="center"/>
    </xf>
    <xf numFmtId="0" fontId="0" fillId="2" borderId="6" xfId="0" applyFill="1" applyBorder="1"/>
    <xf numFmtId="0" fontId="1" fillId="2" borderId="7" xfId="0" applyFont="1" applyFill="1" applyBorder="1" applyAlignment="1">
      <alignment horizontal="center"/>
    </xf>
    <xf numFmtId="0" fontId="0" fillId="0" borderId="0" xfId="0" applyAlignment="1">
      <alignment horizontal="right" vertical="top"/>
    </xf>
    <xf numFmtId="0" fontId="0" fillId="2" borderId="0" xfId="0" applyFill="1" applyAlignment="1">
      <alignment horizontal="center"/>
    </xf>
    <xf numFmtId="166" fontId="1" fillId="23" borderId="75" xfId="0" applyNumberFormat="1" applyFont="1" applyFill="1" applyBorder="1"/>
    <xf numFmtId="9" fontId="0" fillId="2" borderId="0" xfId="0" applyNumberFormat="1" applyFill="1"/>
    <xf numFmtId="166" fontId="1" fillId="23" borderId="0" xfId="0" applyNumberFormat="1" applyFont="1" applyFill="1"/>
    <xf numFmtId="164" fontId="1" fillId="23" borderId="75" xfId="0" applyNumberFormat="1" applyFont="1" applyFill="1" applyBorder="1"/>
    <xf numFmtId="0" fontId="51" fillId="2" borderId="4" xfId="0" applyFont="1" applyFill="1" applyBorder="1"/>
    <xf numFmtId="0" fontId="1" fillId="2" borderId="3" xfId="0" applyFont="1" applyFill="1" applyBorder="1" applyAlignment="1">
      <alignment horizontal="left"/>
    </xf>
    <xf numFmtId="0" fontId="51" fillId="2" borderId="2" xfId="0" applyFont="1" applyFill="1" applyBorder="1"/>
    <xf numFmtId="0" fontId="1" fillId="2" borderId="5" xfId="0" applyFont="1" applyFill="1" applyBorder="1" applyAlignment="1">
      <alignment horizontal="left"/>
    </xf>
    <xf numFmtId="14" fontId="14" fillId="0" borderId="0" xfId="0" applyNumberFormat="1" applyFont="1"/>
    <xf numFmtId="49" fontId="36" fillId="0" borderId="0" xfId="14" applyNumberFormat="1" applyFont="1" applyAlignment="1">
      <alignment vertical="top"/>
    </xf>
    <xf numFmtId="172" fontId="52" fillId="0" borderId="0" xfId="14" applyNumberFormat="1" applyAlignment="1">
      <alignment vertical="top"/>
    </xf>
    <xf numFmtId="166" fontId="52" fillId="0" borderId="0" xfId="14" applyNumberFormat="1" applyAlignment="1">
      <alignment vertical="top"/>
    </xf>
    <xf numFmtId="170" fontId="12" fillId="3" borderId="0" xfId="0" applyNumberFormat="1" applyFont="1" applyFill="1" applyAlignment="1" applyProtection="1">
      <alignment horizontal="center" vertical="center" wrapText="1"/>
      <protection locked="0"/>
    </xf>
    <xf numFmtId="170" fontId="0" fillId="2" borderId="0" xfId="0" applyNumberFormat="1" applyFill="1" applyAlignment="1" applyProtection="1">
      <alignment horizontal="center" vertical="center"/>
      <protection locked="0"/>
    </xf>
    <xf numFmtId="1" fontId="0" fillId="0" borderId="0" xfId="0" applyNumberFormat="1" applyAlignment="1" applyProtection="1">
      <alignment horizontal="center" vertical="center"/>
      <protection locked="0"/>
    </xf>
    <xf numFmtId="49" fontId="36" fillId="0" borderId="0" xfId="0" applyNumberFormat="1" applyFont="1" applyAlignment="1">
      <alignment vertical="top"/>
    </xf>
    <xf numFmtId="171" fontId="0" fillId="0" borderId="0" xfId="0" applyNumberFormat="1"/>
    <xf numFmtId="1" fontId="0" fillId="0" borderId="0" xfId="0" applyNumberFormat="1" applyAlignment="1">
      <alignment horizontal="right" vertical="center"/>
    </xf>
    <xf numFmtId="2" fontId="0" fillId="0" borderId="0" xfId="0" applyNumberFormat="1" applyAlignment="1">
      <alignment horizontal="right" vertical="center"/>
    </xf>
    <xf numFmtId="0" fontId="0" fillId="2" borderId="0" xfId="0" applyFill="1"/>
    <xf numFmtId="0" fontId="0" fillId="0" borderId="0" xfId="0" applyAlignment="1">
      <alignment horizontal="left" vertical="center"/>
    </xf>
    <xf numFmtId="171" fontId="0" fillId="0" borderId="0" xfId="0" applyNumberFormat="1" applyAlignment="1">
      <alignment horizontal="right" vertical="center"/>
    </xf>
    <xf numFmtId="1" fontId="36" fillId="21" borderId="0" xfId="0" applyNumberFormat="1" applyFont="1" applyFill="1" applyAlignment="1">
      <alignment vertical="top"/>
    </xf>
    <xf numFmtId="4" fontId="36" fillId="21" borderId="0" xfId="0" applyNumberFormat="1" applyFont="1" applyFill="1" applyAlignment="1">
      <alignment vertical="top"/>
    </xf>
    <xf numFmtId="164" fontId="1" fillId="23" borderId="54" xfId="0" applyNumberFormat="1" applyFont="1" applyFill="1" applyBorder="1"/>
    <xf numFmtId="0" fontId="0" fillId="0" borderId="53" xfId="0" applyBorder="1" applyAlignment="1">
      <alignment horizontal="center" wrapText="1"/>
    </xf>
    <xf numFmtId="173" fontId="46" fillId="2" borderId="4" xfId="0" applyNumberFormat="1" applyFont="1" applyFill="1" applyBorder="1"/>
    <xf numFmtId="164" fontId="1" fillId="23" borderId="11" xfId="0" applyNumberFormat="1" applyFont="1" applyFill="1" applyBorder="1"/>
    <xf numFmtId="3" fontId="8" fillId="16" borderId="0" xfId="13" applyNumberFormat="1" applyFont="1" applyFill="1" applyAlignment="1" applyProtection="1">
      <alignment horizontal="right" vertical="center"/>
    </xf>
    <xf numFmtId="0" fontId="53" fillId="0" borderId="0" xfId="0" applyFont="1" applyAlignment="1">
      <alignment horizontal="right"/>
    </xf>
    <xf numFmtId="22" fontId="14" fillId="0" borderId="0" xfId="0" applyNumberFormat="1" applyFont="1"/>
    <xf numFmtId="1" fontId="14" fillId="0" borderId="0" xfId="0" applyNumberFormat="1" applyFont="1"/>
    <xf numFmtId="1" fontId="14" fillId="0" borderId="5" xfId="0" applyNumberFormat="1" applyFont="1" applyBorder="1"/>
    <xf numFmtId="0" fontId="15" fillId="0" borderId="3" xfId="0" applyFont="1" applyBorder="1" applyAlignment="1">
      <alignment horizontal="center"/>
    </xf>
    <xf numFmtId="14" fontId="15" fillId="0" borderId="7" xfId="0" applyNumberFormat="1" applyFont="1" applyBorder="1" applyAlignment="1">
      <alignment horizontal="center"/>
    </xf>
    <xf numFmtId="164" fontId="1" fillId="23" borderId="64" xfId="0" applyNumberFormat="1" applyFont="1" applyFill="1" applyBorder="1"/>
    <xf numFmtId="3" fontId="1" fillId="23" borderId="64" xfId="0" applyNumberFormat="1" applyFont="1" applyFill="1" applyBorder="1"/>
    <xf numFmtId="3" fontId="17" fillId="16" borderId="64" xfId="0" applyNumberFormat="1" applyFont="1" applyFill="1" applyBorder="1"/>
    <xf numFmtId="3" fontId="1" fillId="3" borderId="64" xfId="0" applyNumberFormat="1" applyFont="1" applyFill="1" applyBorder="1"/>
    <xf numFmtId="0" fontId="17" fillId="25" borderId="2" xfId="0" applyFont="1" applyFill="1" applyBorder="1" applyAlignment="1">
      <alignment horizontal="right"/>
    </xf>
    <xf numFmtId="164" fontId="17" fillId="25" borderId="70" xfId="0" applyNumberFormat="1" applyFont="1" applyFill="1" applyBorder="1"/>
    <xf numFmtId="0" fontId="15" fillId="9" borderId="2" xfId="0" applyFont="1" applyFill="1" applyBorder="1" applyAlignment="1">
      <alignment horizontal="right" vertical="center" wrapText="1"/>
    </xf>
    <xf numFmtId="0" fontId="14" fillId="9" borderId="6" xfId="0" applyFont="1" applyFill="1" applyBorder="1" applyAlignment="1">
      <alignment horizontal="right" vertical="center" wrapText="1"/>
    </xf>
    <xf numFmtId="0" fontId="14" fillId="2" borderId="56" xfId="0" applyFont="1" applyFill="1" applyBorder="1" applyAlignment="1">
      <alignment horizontal="center" vertical="center"/>
    </xf>
    <xf numFmtId="0" fontId="0" fillId="0" borderId="51" xfId="0" applyBorder="1" applyAlignment="1">
      <alignment horizontal="center" vertical="center"/>
    </xf>
    <xf numFmtId="0" fontId="15" fillId="0" borderId="6" xfId="0" applyFont="1" applyBorder="1" applyAlignment="1">
      <alignment horizontal="center"/>
    </xf>
    <xf numFmtId="0" fontId="1" fillId="0" borderId="1" xfId="0" applyFont="1" applyBorder="1" applyAlignment="1">
      <alignment horizontal="center"/>
    </xf>
    <xf numFmtId="0" fontId="15" fillId="0" borderId="2" xfId="0" applyFont="1" applyBorder="1" applyAlignment="1">
      <alignment horizontal="center"/>
    </xf>
    <xf numFmtId="0" fontId="15" fillId="0" borderId="10" xfId="0" applyFont="1" applyBorder="1" applyAlignment="1">
      <alignment horizontal="center"/>
    </xf>
    <xf numFmtId="3" fontId="47" fillId="4" borderId="58" xfId="0" applyNumberFormat="1" applyFont="1" applyFill="1" applyBorder="1" applyAlignment="1">
      <alignment horizontal="right"/>
    </xf>
    <xf numFmtId="3" fontId="14" fillId="0" borderId="59" xfId="0" applyNumberFormat="1" applyFont="1" applyBorder="1" applyAlignment="1">
      <alignment horizontal="right"/>
    </xf>
    <xf numFmtId="0" fontId="15" fillId="0" borderId="0" xfId="0" applyFont="1" applyAlignment="1">
      <alignment horizontal="right"/>
    </xf>
    <xf numFmtId="9" fontId="14" fillId="2" borderId="52" xfId="0" applyNumberFormat="1" applyFont="1" applyFill="1" applyBorder="1" applyAlignment="1">
      <alignment horizontal="right"/>
    </xf>
    <xf numFmtId="9" fontId="0" fillId="0" borderId="54" xfId="0" applyNumberFormat="1" applyBorder="1" applyAlignment="1">
      <alignment horizontal="right"/>
    </xf>
    <xf numFmtId="9" fontId="0" fillId="0" borderId="53" xfId="0" applyNumberFormat="1" applyBorder="1" applyAlignment="1">
      <alignment horizontal="right"/>
    </xf>
    <xf numFmtId="9" fontId="14" fillId="2" borderId="56" xfId="0" applyNumberFormat="1" applyFont="1" applyFill="1" applyBorder="1" applyAlignment="1">
      <alignment horizontal="center"/>
    </xf>
    <xf numFmtId="9" fontId="0" fillId="0" borderId="51" xfId="0" applyNumberFormat="1" applyBorder="1" applyAlignment="1">
      <alignment horizontal="center"/>
    </xf>
    <xf numFmtId="0" fontId="15" fillId="3" borderId="3" xfId="0" applyFont="1" applyFill="1" applyBorder="1" applyAlignment="1">
      <alignment horizontal="center" wrapText="1"/>
    </xf>
    <xf numFmtId="0" fontId="15" fillId="3" borderId="5" xfId="0" applyFont="1" applyFill="1" applyBorder="1" applyAlignment="1">
      <alignment horizontal="center" wrapText="1"/>
    </xf>
    <xf numFmtId="0" fontId="15" fillId="2"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5" fillId="22" borderId="2" xfId="0" applyFont="1" applyFill="1" applyBorder="1" applyAlignment="1">
      <alignment horizontal="center" vertical="center" wrapText="1"/>
    </xf>
    <xf numFmtId="0" fontId="1" fillId="22" borderId="10" xfId="0" applyFont="1" applyFill="1" applyBorder="1" applyAlignment="1">
      <alignment horizontal="center" vertical="center" wrapText="1"/>
    </xf>
    <xf numFmtId="0" fontId="1" fillId="22" borderId="3" xfId="0" applyFont="1" applyFill="1" applyBorder="1" applyAlignment="1">
      <alignment horizontal="center" vertical="center" wrapText="1"/>
    </xf>
    <xf numFmtId="0" fontId="1" fillId="22" borderId="6" xfId="0" applyFont="1" applyFill="1" applyBorder="1" applyAlignment="1">
      <alignment horizontal="center" vertical="center" wrapText="1"/>
    </xf>
    <xf numFmtId="0" fontId="1" fillId="22" borderId="1" xfId="0" applyFont="1" applyFill="1" applyBorder="1" applyAlignment="1">
      <alignment horizontal="center" vertical="center" wrapText="1"/>
    </xf>
    <xf numFmtId="0" fontId="1" fillId="22" borderId="7" xfId="0" applyFont="1" applyFill="1" applyBorder="1" applyAlignment="1">
      <alignment horizontal="center" vertical="center" wrapText="1"/>
    </xf>
    <xf numFmtId="164" fontId="15" fillId="0" borderId="10" xfId="0" applyNumberFormat="1" applyFont="1" applyBorder="1" applyAlignment="1">
      <alignment horizontal="right"/>
    </xf>
    <xf numFmtId="0" fontId="15" fillId="0" borderId="10" xfId="0" applyFont="1" applyBorder="1" applyAlignment="1">
      <alignment horizontal="right"/>
    </xf>
    <xf numFmtId="0" fontId="15" fillId="3" borderId="6" xfId="0" applyFont="1" applyFill="1" applyBorder="1" applyAlignment="1">
      <alignment horizontal="right"/>
    </xf>
    <xf numFmtId="0" fontId="15" fillId="3" borderId="4" xfId="0" applyFont="1" applyFill="1" applyBorder="1" applyAlignment="1">
      <alignment horizontal="right"/>
    </xf>
    <xf numFmtId="0" fontId="15" fillId="3" borderId="0" xfId="0" applyFont="1" applyFill="1" applyAlignment="1">
      <alignment horizontal="right"/>
    </xf>
    <xf numFmtId="164" fontId="14" fillId="23" borderId="56" xfId="0" applyNumberFormat="1" applyFont="1" applyFill="1" applyBorder="1" applyAlignment="1">
      <alignment horizontal="center" vertical="center" wrapText="1"/>
    </xf>
    <xf numFmtId="164" fontId="0" fillId="23" borderId="51" xfId="0" applyNumberFormat="1" applyFill="1" applyBorder="1" applyAlignment="1">
      <alignment horizontal="center" vertical="center" wrapText="1"/>
    </xf>
    <xf numFmtId="0" fontId="15" fillId="2" borderId="52" xfId="0" applyFont="1" applyFill="1" applyBorder="1" applyAlignment="1">
      <alignment horizontal="center" wrapText="1"/>
    </xf>
    <xf numFmtId="164" fontId="15" fillId="3" borderId="4" xfId="0" applyNumberFormat="1" applyFont="1" applyFill="1" applyBorder="1" applyAlignment="1">
      <alignment horizontal="right"/>
    </xf>
    <xf numFmtId="0" fontId="14" fillId="3" borderId="0" xfId="0" applyFont="1" applyFill="1" applyAlignment="1">
      <alignment horizontal="right"/>
    </xf>
    <xf numFmtId="0" fontId="15" fillId="0" borderId="10" xfId="0" applyFont="1" applyBorder="1" applyAlignment="1">
      <alignment horizontal="center" wrapText="1"/>
    </xf>
    <xf numFmtId="0" fontId="14" fillId="23" borderId="52" xfId="0" applyFont="1" applyFill="1" applyBorder="1" applyAlignment="1">
      <alignment horizontal="left"/>
    </xf>
    <xf numFmtId="0" fontId="0" fillId="0" borderId="53" xfId="0" applyBorder="1" applyAlignment="1">
      <alignment horizontal="left"/>
    </xf>
    <xf numFmtId="0" fontId="1" fillId="2" borderId="52" xfId="0" applyFont="1" applyFill="1" applyBorder="1" applyAlignment="1">
      <alignment horizontal="center"/>
    </xf>
    <xf numFmtId="0" fontId="1" fillId="2" borderId="54" xfId="0" applyFont="1" applyFill="1" applyBorder="1" applyAlignment="1">
      <alignment horizontal="center"/>
    </xf>
    <xf numFmtId="0" fontId="1" fillId="2" borderId="53" xfId="0" applyFont="1" applyFill="1" applyBorder="1" applyAlignment="1">
      <alignment horizontal="center"/>
    </xf>
    <xf numFmtId="0" fontId="15" fillId="0" borderId="1" xfId="0" applyFont="1" applyBorder="1" applyAlignment="1">
      <alignment horizontal="center"/>
    </xf>
    <xf numFmtId="0" fontId="15" fillId="23" borderId="2" xfId="0" applyFont="1" applyFill="1" applyBorder="1" applyAlignment="1">
      <alignment horizontal="center" vertical="center" wrapText="1"/>
    </xf>
    <xf numFmtId="0" fontId="1" fillId="0" borderId="10" xfId="0" applyFont="1" applyBorder="1" applyAlignment="1">
      <alignment horizontal="center" vertical="center" wrapText="1"/>
    </xf>
    <xf numFmtId="0" fontId="0" fillId="0" borderId="6" xfId="0" applyBorder="1" applyAlignment="1">
      <alignment wrapText="1"/>
    </xf>
    <xf numFmtId="0" fontId="0" fillId="0" borderId="1" xfId="0" applyBorder="1" applyAlignment="1">
      <alignment wrapText="1"/>
    </xf>
    <xf numFmtId="0" fontId="0" fillId="0" borderId="7" xfId="0" applyBorder="1" applyAlignment="1">
      <alignment wrapText="1"/>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164" fontId="15" fillId="0" borderId="0" xfId="0" applyNumberFormat="1" applyFont="1" applyAlignment="1">
      <alignment horizontal="right"/>
    </xf>
    <xf numFmtId="0" fontId="14" fillId="23" borderId="56" xfId="0" applyFont="1" applyFill="1" applyBorder="1" applyAlignment="1">
      <alignment horizontal="center" vertical="center" wrapText="1"/>
    </xf>
    <xf numFmtId="0" fontId="0" fillId="23" borderId="51" xfId="0" applyFill="1" applyBorder="1" applyAlignment="1">
      <alignment horizontal="center" vertical="center" wrapText="1"/>
    </xf>
    <xf numFmtId="0" fontId="15" fillId="3" borderId="2" xfId="0" applyFont="1" applyFill="1" applyBorder="1" applyAlignment="1">
      <alignment horizontal="center" vertical="center" wrapText="1"/>
    </xf>
    <xf numFmtId="3" fontId="14" fillId="2" borderId="56" xfId="0" applyNumberFormat="1" applyFont="1" applyFill="1" applyBorder="1" applyAlignment="1">
      <alignment horizontal="center" vertical="center"/>
    </xf>
    <xf numFmtId="3" fontId="0" fillId="0" borderId="51" xfId="0" applyNumberFormat="1" applyBorder="1" applyAlignment="1">
      <alignment horizontal="center"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14" fontId="14" fillId="2" borderId="56" xfId="0" applyNumberFormat="1" applyFont="1" applyFill="1" applyBorder="1" applyAlignment="1">
      <alignment horizontal="center" vertical="center"/>
    </xf>
    <xf numFmtId="0" fontId="15" fillId="22" borderId="4" xfId="0" applyFont="1" applyFill="1" applyBorder="1" applyAlignment="1">
      <alignment horizontal="center" vertical="center" wrapText="1"/>
    </xf>
    <xf numFmtId="0" fontId="1" fillId="22" borderId="0" xfId="0" applyFont="1" applyFill="1" applyAlignment="1">
      <alignment horizontal="center" vertical="center" wrapText="1"/>
    </xf>
    <xf numFmtId="0" fontId="1" fillId="22" borderId="5" xfId="0" applyFont="1" applyFill="1" applyBorder="1" applyAlignment="1">
      <alignment horizontal="center" vertical="center" wrapText="1"/>
    </xf>
    <xf numFmtId="0" fontId="15" fillId="3" borderId="10" xfId="0" applyFont="1" applyFill="1" applyBorder="1" applyAlignment="1">
      <alignment horizontal="center" wrapText="1"/>
    </xf>
    <xf numFmtId="0" fontId="15" fillId="3" borderId="1" xfId="0" applyFont="1" applyFill="1" applyBorder="1" applyAlignment="1">
      <alignment horizontal="center" wrapText="1"/>
    </xf>
    <xf numFmtId="14" fontId="15" fillId="0" borderId="1" xfId="0" applyNumberFormat="1" applyFont="1" applyBorder="1" applyAlignment="1">
      <alignment horizontal="center"/>
    </xf>
    <xf numFmtId="0" fontId="0" fillId="0" borderId="0" xfId="0" applyAlignment="1">
      <alignment horizontal="left" vertical="top" wrapText="1"/>
    </xf>
    <xf numFmtId="0" fontId="1" fillId="0" borderId="0" xfId="0" applyFont="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left" vertical="center" wrapText="1"/>
    </xf>
    <xf numFmtId="0" fontId="0" fillId="0" borderId="1" xfId="0" applyBorder="1" applyAlignment="1">
      <alignment horizontal="left" vertical="center"/>
    </xf>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4" fillId="0" borderId="0" xfId="0" applyFont="1" applyAlignment="1">
      <alignment horizontal="left" vertical="top" wrapText="1"/>
    </xf>
    <xf numFmtId="0" fontId="4" fillId="0" borderId="0" xfId="0" applyFont="1" applyAlignment="1">
      <alignment horizontal="left" vertical="top"/>
    </xf>
    <xf numFmtId="0" fontId="0" fillId="2" borderId="2" xfId="0" applyFill="1" applyBorder="1" applyAlignment="1">
      <alignment horizontal="left" vertical="top" wrapText="1"/>
    </xf>
    <xf numFmtId="0" fontId="0" fillId="2" borderId="10"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0" xfId="0" applyFill="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1" xfId="0" applyFill="1" applyBorder="1" applyAlignment="1">
      <alignment horizontal="left" vertical="top" wrapText="1"/>
    </xf>
    <xf numFmtId="0" fontId="0" fillId="2" borderId="7" xfId="0" applyFill="1" applyBorder="1" applyAlignment="1">
      <alignment horizontal="left" vertical="top" wrapText="1"/>
    </xf>
    <xf numFmtId="0" fontId="0" fillId="0" borderId="0" xfId="0" applyAlignment="1">
      <alignment vertical="top" wrapText="1"/>
    </xf>
    <xf numFmtId="49" fontId="1" fillId="23" borderId="52" xfId="0" applyNumberFormat="1" applyFont="1" applyFill="1" applyBorder="1" applyAlignment="1">
      <alignment horizontal="center" wrapText="1"/>
    </xf>
    <xf numFmtId="0" fontId="0" fillId="0" borderId="53" xfId="0" applyBorder="1" applyAlignment="1">
      <alignment horizontal="center" wrapText="1"/>
    </xf>
    <xf numFmtId="0" fontId="1" fillId="23" borderId="6" xfId="0" applyFont="1" applyFill="1" applyBorder="1" applyAlignment="1">
      <alignment horizontal="center" vertical="center" wrapText="1"/>
    </xf>
    <xf numFmtId="0" fontId="0" fillId="0" borderId="7" xfId="0" applyBorder="1" applyAlignment="1">
      <alignment horizontal="center" wrapText="1"/>
    </xf>
    <xf numFmtId="0" fontId="1" fillId="0" borderId="55" xfId="0" applyFont="1" applyBorder="1" applyAlignment="1">
      <alignment horizontal="center" vertical="center" wrapText="1"/>
    </xf>
    <xf numFmtId="0" fontId="0" fillId="0" borderId="55" xfId="0" applyBorder="1" applyAlignment="1">
      <alignment horizontal="center" vertical="center" wrapText="1"/>
    </xf>
    <xf numFmtId="0" fontId="1" fillId="23" borderId="52" xfId="0" applyFont="1" applyFill="1"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3" fontId="17" fillId="16" borderId="52" xfId="0" applyNumberFormat="1" applyFont="1" applyFill="1" applyBorder="1" applyAlignment="1">
      <alignment horizontal="center"/>
    </xf>
    <xf numFmtId="0" fontId="0" fillId="0" borderId="54" xfId="0" applyBorder="1" applyAlignment="1">
      <alignment horizontal="center"/>
    </xf>
    <xf numFmtId="0" fontId="0" fillId="0" borderId="53" xfId="0" applyBorder="1" applyAlignment="1">
      <alignment horizontal="center"/>
    </xf>
    <xf numFmtId="3" fontId="12" fillId="3" borderId="52" xfId="0" applyNumberFormat="1" applyFont="1" applyFill="1" applyBorder="1" applyAlignment="1">
      <alignment horizontal="center"/>
    </xf>
    <xf numFmtId="0" fontId="4" fillId="3" borderId="54" xfId="0" applyFont="1" applyFill="1" applyBorder="1" applyAlignment="1">
      <alignment horizontal="center"/>
    </xf>
    <xf numFmtId="0" fontId="4" fillId="3" borderId="53" xfId="0" applyFont="1" applyFill="1" applyBorder="1" applyAlignment="1">
      <alignment horizontal="center"/>
    </xf>
    <xf numFmtId="49" fontId="40" fillId="3" borderId="2" xfId="0" applyNumberFormat="1" applyFont="1" applyFill="1" applyBorder="1" applyAlignment="1">
      <alignment horizontal="center" vertical="center"/>
    </xf>
    <xf numFmtId="0" fontId="1" fillId="3" borderId="3"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49" fontId="40" fillId="17" borderId="2" xfId="0" applyNumberFormat="1" applyFont="1" applyFill="1" applyBorder="1" applyAlignment="1">
      <alignment horizontal="center" vertical="center"/>
    </xf>
    <xf numFmtId="0" fontId="1" fillId="17" borderId="3" xfId="0" applyFont="1" applyFill="1" applyBorder="1" applyAlignment="1">
      <alignment horizontal="center" vertical="center"/>
    </xf>
    <xf numFmtId="0" fontId="1" fillId="17" borderId="6" xfId="0" applyFont="1" applyFill="1" applyBorder="1" applyAlignment="1">
      <alignment vertical="center"/>
    </xf>
    <xf numFmtId="0" fontId="1" fillId="17" borderId="7" xfId="0" applyFont="1" applyFill="1" applyBorder="1" applyAlignment="1">
      <alignment vertical="center"/>
    </xf>
    <xf numFmtId="49" fontId="40" fillId="16" borderId="2" xfId="0" applyNumberFormat="1" applyFont="1" applyFill="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49" fontId="40" fillId="2" borderId="2" xfId="0" applyNumberFormat="1" applyFont="1" applyFill="1" applyBorder="1" applyAlignment="1">
      <alignment horizontal="left"/>
    </xf>
    <xf numFmtId="0" fontId="1" fillId="2" borderId="3" xfId="0" applyFont="1" applyFill="1" applyBorder="1" applyAlignment="1">
      <alignment horizontal="left"/>
    </xf>
    <xf numFmtId="0" fontId="1" fillId="2" borderId="6" xfId="0" applyFont="1" applyFill="1" applyBorder="1" applyAlignment="1">
      <alignment horizontal="left"/>
    </xf>
    <xf numFmtId="0" fontId="1" fillId="2" borderId="7" xfId="0" applyFont="1" applyFill="1" applyBorder="1" applyAlignment="1">
      <alignment horizontal="left"/>
    </xf>
    <xf numFmtId="0" fontId="42" fillId="20" borderId="36" xfId="0" applyFont="1" applyFill="1" applyBorder="1" applyAlignment="1" applyProtection="1">
      <alignment horizontal="center" vertical="center" wrapText="1"/>
      <protection locked="0"/>
    </xf>
    <xf numFmtId="0" fontId="45" fillId="0" borderId="37" xfId="0" applyFont="1" applyBorder="1" applyAlignment="1" applyProtection="1">
      <alignment vertical="center" wrapText="1"/>
      <protection locked="0"/>
    </xf>
    <xf numFmtId="0" fontId="45" fillId="0" borderId="38" xfId="0" applyFont="1" applyBorder="1" applyAlignment="1" applyProtection="1">
      <alignment vertical="center" wrapText="1"/>
      <protection locked="0"/>
    </xf>
    <xf numFmtId="0" fontId="42" fillId="20" borderId="42" xfId="0" applyFont="1" applyFill="1" applyBorder="1" applyAlignment="1" applyProtection="1">
      <alignment horizontal="center" vertical="center" wrapText="1"/>
      <protection locked="0"/>
    </xf>
    <xf numFmtId="0" fontId="45" fillId="0" borderId="0" xfId="0" applyFont="1" applyAlignment="1" applyProtection="1">
      <alignment vertical="center" wrapText="1"/>
      <protection locked="0"/>
    </xf>
    <xf numFmtId="0" fontId="45" fillId="0" borderId="43" xfId="0" applyFont="1" applyBorder="1" applyAlignment="1" applyProtection="1">
      <alignment vertical="center" wrapText="1"/>
      <protection locked="0"/>
    </xf>
    <xf numFmtId="0" fontId="45" fillId="0" borderId="39" xfId="0" applyFont="1" applyBorder="1" applyAlignment="1" applyProtection="1">
      <alignment vertical="center" wrapText="1"/>
      <protection locked="0"/>
    </xf>
    <xf numFmtId="0" fontId="45" fillId="0" borderId="40" xfId="0" applyFont="1" applyBorder="1" applyAlignment="1" applyProtection="1">
      <alignment vertical="center" wrapText="1"/>
      <protection locked="0"/>
    </xf>
    <xf numFmtId="0" fontId="45" fillId="0" borderId="41" xfId="0" applyFont="1" applyBorder="1" applyAlignment="1" applyProtection="1">
      <alignment vertical="center" wrapText="1"/>
      <protection locked="0"/>
    </xf>
    <xf numFmtId="0" fontId="42" fillId="18" borderId="36" xfId="0" applyFont="1" applyFill="1" applyBorder="1" applyAlignment="1" applyProtection="1">
      <alignment horizontal="center" vertical="center"/>
      <protection locked="0"/>
    </xf>
    <xf numFmtId="0" fontId="41" fillId="0" borderId="4" xfId="5" applyFont="1" applyBorder="1" applyAlignment="1">
      <alignment horizontal="center" wrapText="1"/>
    </xf>
    <xf numFmtId="0" fontId="42" fillId="0" borderId="0" xfId="0" applyFont="1" applyAlignment="1">
      <alignment horizontal="center"/>
    </xf>
    <xf numFmtId="0" fontId="1" fillId="0" borderId="1" xfId="0" applyFont="1" applyBorder="1" applyAlignment="1">
      <alignment horizontal="right" vertical="center" wrapText="1"/>
    </xf>
    <xf numFmtId="8" fontId="0" fillId="3" borderId="0" xfId="0" applyNumberFormat="1" applyFill="1" applyAlignment="1">
      <alignment horizontal="right"/>
    </xf>
    <xf numFmtId="0" fontId="17" fillId="0" borderId="1" xfId="3" applyFont="1" applyBorder="1" applyAlignment="1" applyProtection="1">
      <alignment horizontal="right" vertical="center" indent="1"/>
    </xf>
    <xf numFmtId="0" fontId="8" fillId="0" borderId="1" xfId="0" applyFont="1" applyBorder="1" applyAlignment="1">
      <alignment horizontal="right" vertical="center" indent="1"/>
    </xf>
    <xf numFmtId="8" fontId="0" fillId="16" borderId="0" xfId="0" applyNumberFormat="1" applyFill="1" applyAlignment="1">
      <alignment horizontal="right"/>
    </xf>
    <xf numFmtId="8" fontId="0" fillId="17" borderId="0" xfId="0" applyNumberFormat="1" applyFill="1" applyAlignment="1">
      <alignment horizontal="right"/>
    </xf>
    <xf numFmtId="8" fontId="1" fillId="9" borderId="1" xfId="0" applyNumberFormat="1" applyFont="1" applyFill="1" applyBorder="1" applyAlignment="1">
      <alignment horizontal="right"/>
    </xf>
    <xf numFmtId="171" fontId="0" fillId="23" borderId="54" xfId="0" applyNumberFormat="1" applyFill="1" applyBorder="1" applyAlignment="1">
      <alignment horizontal="right" vertical="center"/>
    </xf>
    <xf numFmtId="171" fontId="0" fillId="23" borderId="53" xfId="0" applyNumberFormat="1" applyFill="1" applyBorder="1" applyAlignment="1">
      <alignment horizontal="right" vertical="center"/>
    </xf>
    <xf numFmtId="0" fontId="42" fillId="0" borderId="19" xfId="3" applyFont="1" applyAlignment="1">
      <alignment horizontal="left" vertical="center"/>
    </xf>
    <xf numFmtId="0" fontId="42" fillId="0" borderId="0" xfId="0" applyFont="1" applyAlignment="1">
      <alignment vertical="center"/>
    </xf>
    <xf numFmtId="0" fontId="43" fillId="0" borderId="10" xfId="0" applyFont="1" applyBorder="1" applyAlignment="1">
      <alignment horizontal="center"/>
    </xf>
    <xf numFmtId="0" fontId="17" fillId="0" borderId="0" xfId="3" applyFont="1" applyBorder="1" applyAlignment="1" applyProtection="1">
      <alignment horizontal="right" vertical="center" indent="1"/>
    </xf>
    <xf numFmtId="0" fontId="8" fillId="0" borderId="0" xfId="0" applyFont="1" applyAlignment="1">
      <alignment horizontal="right" vertical="center" indent="1"/>
    </xf>
    <xf numFmtId="0" fontId="1" fillId="3" borderId="0" xfId="0" applyFont="1" applyFill="1" applyAlignment="1">
      <alignment horizontal="center" vertical="center" wrapText="1"/>
    </xf>
    <xf numFmtId="0" fontId="0" fillId="3" borderId="0" xfId="0" applyFill="1" applyAlignment="1">
      <alignment horizontal="center" vertical="center" wrapText="1"/>
    </xf>
    <xf numFmtId="0" fontId="1" fillId="16" borderId="0" xfId="0" applyFont="1" applyFill="1" applyAlignment="1">
      <alignment horizontal="right" vertical="center" wrapText="1"/>
    </xf>
    <xf numFmtId="0" fontId="0" fillId="16" borderId="0" xfId="0" applyFill="1" applyAlignment="1">
      <alignment horizontal="right" vertical="center" wrapText="1"/>
    </xf>
    <xf numFmtId="0" fontId="1" fillId="17" borderId="0" xfId="0" applyFont="1" applyFill="1" applyAlignment="1">
      <alignment horizontal="right" vertical="center" wrapText="1"/>
    </xf>
    <xf numFmtId="0" fontId="0" fillId="17" borderId="0" xfId="0" applyFill="1" applyAlignment="1">
      <alignment horizontal="right" vertical="center" wrapText="1"/>
    </xf>
    <xf numFmtId="0" fontId="0" fillId="3" borderId="0" xfId="0" applyFill="1" applyAlignment="1">
      <alignment horizontal="right"/>
    </xf>
    <xf numFmtId="0" fontId="0" fillId="16" borderId="0" xfId="0" applyFill="1" applyAlignment="1">
      <alignment horizontal="right"/>
    </xf>
    <xf numFmtId="8" fontId="0" fillId="9" borderId="1" xfId="0" applyNumberFormat="1" applyFill="1" applyBorder="1" applyAlignment="1">
      <alignment horizontal="right"/>
    </xf>
    <xf numFmtId="1" fontId="25" fillId="0" borderId="0" xfId="0" applyNumberFormat="1" applyFont="1" applyAlignment="1">
      <alignment horizontal="left" vertical="center"/>
    </xf>
    <xf numFmtId="0" fontId="18" fillId="11" borderId="22" xfId="0" applyFont="1" applyFill="1" applyBorder="1" applyAlignment="1">
      <alignment horizontal="left" vertical="center"/>
    </xf>
    <xf numFmtId="1" fontId="25" fillId="0" borderId="23" xfId="0" applyNumberFormat="1" applyFont="1" applyBorder="1" applyAlignment="1">
      <alignment horizontal="left" vertical="center"/>
    </xf>
    <xf numFmtId="1" fontId="25" fillId="0" borderId="23" xfId="0" applyNumberFormat="1" applyFont="1" applyBorder="1" applyAlignment="1">
      <alignment horizontal="center" vertical="center"/>
    </xf>
    <xf numFmtId="0" fontId="22" fillId="0" borderId="23" xfId="0" applyFont="1" applyBorder="1" applyAlignment="1">
      <alignment horizontal="center" vertical="top"/>
    </xf>
    <xf numFmtId="169" fontId="25" fillId="0" borderId="0" xfId="0" applyNumberFormat="1" applyFont="1" applyAlignment="1">
      <alignment horizontal="left" vertical="center"/>
    </xf>
    <xf numFmtId="0" fontId="25" fillId="0" borderId="28" xfId="0" applyFont="1" applyBorder="1" applyAlignment="1">
      <alignment horizontal="left"/>
    </xf>
    <xf numFmtId="0" fontId="28" fillId="11" borderId="28" xfId="0" applyFont="1" applyFill="1" applyBorder="1" applyAlignment="1">
      <alignment vertical="center"/>
    </xf>
    <xf numFmtId="0" fontId="32" fillId="0" borderId="28" xfId="0" applyFont="1" applyBorder="1" applyAlignment="1">
      <alignment horizontal="left"/>
    </xf>
    <xf numFmtId="0" fontId="24" fillId="15" borderId="28" xfId="0" applyFont="1" applyFill="1" applyBorder="1" applyAlignment="1">
      <alignment horizontal="left"/>
    </xf>
    <xf numFmtId="0" fontId="24" fillId="0" borderId="32" xfId="0" applyFont="1" applyBorder="1" applyAlignment="1">
      <alignment horizontal="right"/>
    </xf>
    <xf numFmtId="166" fontId="1" fillId="0" borderId="0" xfId="0" applyNumberFormat="1" applyFont="1" applyAlignment="1">
      <alignment horizontal="right"/>
    </xf>
    <xf numFmtId="0" fontId="1" fillId="0" borderId="0" xfId="0" applyFont="1" applyAlignment="1">
      <alignment horizontal="right"/>
    </xf>
    <xf numFmtId="0" fontId="0" fillId="0" borderId="53" xfId="0" applyBorder="1" applyAlignment="1"/>
    <xf numFmtId="0" fontId="14" fillId="0" borderId="3" xfId="0" applyFont="1" applyBorder="1" applyAlignment="1"/>
    <xf numFmtId="0" fontId="14" fillId="0" borderId="1" xfId="0" applyFont="1" applyBorder="1" applyAlignment="1"/>
    <xf numFmtId="0" fontId="14" fillId="0" borderId="7" xfId="0" applyFont="1" applyBorder="1" applyAlignment="1"/>
    <xf numFmtId="164" fontId="14" fillId="2" borderId="2" xfId="0" applyNumberFormat="1" applyFont="1" applyFill="1" applyBorder="1" applyAlignment="1"/>
    <xf numFmtId="0" fontId="14" fillId="2" borderId="3" xfId="0" applyFont="1" applyFill="1" applyBorder="1" applyAlignment="1"/>
    <xf numFmtId="164" fontId="14" fillId="9" borderId="0" xfId="0" applyNumberFormat="1" applyFont="1" applyFill="1" applyAlignment="1"/>
    <xf numFmtId="0" fontId="14" fillId="9" borderId="0" xfId="0" applyFont="1" applyFill="1" applyAlignment="1"/>
    <xf numFmtId="164" fontId="14" fillId="2" borderId="6" xfId="0" applyNumberFormat="1" applyFont="1" applyFill="1" applyBorder="1" applyAlignment="1"/>
    <xf numFmtId="0" fontId="14" fillId="2" borderId="7" xfId="0" applyFont="1" applyFill="1" applyBorder="1" applyAlignment="1"/>
    <xf numFmtId="164" fontId="14" fillId="0" borderId="12" xfId="0" applyNumberFormat="1" applyFont="1" applyBorder="1" applyAlignment="1"/>
    <xf numFmtId="0" fontId="14" fillId="0" borderId="13" xfId="0" applyFont="1" applyBorder="1" applyAlignment="1"/>
    <xf numFmtId="164" fontId="46" fillId="2" borderId="2" xfId="0" applyNumberFormat="1" applyFont="1" applyFill="1" applyBorder="1" applyAlignment="1"/>
    <xf numFmtId="0" fontId="46" fillId="2" borderId="3" xfId="0" applyFont="1" applyFill="1" applyBorder="1" applyAlignment="1"/>
    <xf numFmtId="164" fontId="14" fillId="2" borderId="4" xfId="0" applyNumberFormat="1" applyFont="1" applyFill="1" applyBorder="1" applyAlignment="1"/>
    <xf numFmtId="0" fontId="0" fillId="0" borderId="3" xfId="0" applyBorder="1" applyAlignment="1"/>
    <xf numFmtId="0" fontId="0" fillId="0" borderId="4" xfId="0" applyBorder="1" applyAlignment="1"/>
    <xf numFmtId="0" fontId="0" fillId="0" borderId="5" xfId="0" applyBorder="1" applyAlignment="1"/>
    <xf numFmtId="0" fontId="0" fillId="0" borderId="6" xfId="0" applyBorder="1" applyAlignment="1"/>
    <xf numFmtId="0" fontId="0" fillId="0" borderId="7" xfId="0" applyBorder="1" applyAlignment="1"/>
    <xf numFmtId="164" fontId="14" fillId="0" borderId="52" xfId="0" applyNumberFormat="1" applyFont="1" applyBorder="1" applyAlignment="1"/>
    <xf numFmtId="0" fontId="14" fillId="0" borderId="53" xfId="0" applyFont="1" applyBorder="1" applyAlignment="1"/>
    <xf numFmtId="164" fontId="14" fillId="23" borderId="2" xfId="0" applyNumberFormat="1" applyFont="1" applyFill="1" applyBorder="1" applyAlignment="1"/>
    <xf numFmtId="0" fontId="14" fillId="23" borderId="3" xfId="0" applyFont="1" applyFill="1" applyBorder="1" applyAlignment="1"/>
    <xf numFmtId="164" fontId="14" fillId="0" borderId="6" xfId="0" applyNumberFormat="1" applyFont="1" applyBorder="1" applyAlignment="1"/>
    <xf numFmtId="0" fontId="0" fillId="2" borderId="7" xfId="0" applyFill="1" applyBorder="1" applyAlignment="1"/>
    <xf numFmtId="3" fontId="14" fillId="23" borderId="2" xfId="0" applyNumberFormat="1" applyFont="1" applyFill="1" applyBorder="1" applyAlignment="1"/>
    <xf numFmtId="164" fontId="14" fillId="23" borderId="6" xfId="0" applyNumberFormat="1" applyFont="1" applyFill="1" applyBorder="1" applyAlignment="1"/>
    <xf numFmtId="0" fontId="14" fillId="23" borderId="7" xfId="0" applyFont="1" applyFill="1" applyBorder="1" applyAlignment="1"/>
    <xf numFmtId="3" fontId="14" fillId="3" borderId="10" xfId="0" applyNumberFormat="1" applyFont="1" applyFill="1" applyBorder="1" applyAlignment="1"/>
    <xf numFmtId="164" fontId="14" fillId="3" borderId="10" xfId="0" applyNumberFormat="1" applyFont="1" applyFill="1" applyBorder="1" applyAlignment="1"/>
    <xf numFmtId="0" fontId="14" fillId="3" borderId="3" xfId="0" applyFont="1" applyFill="1" applyBorder="1" applyAlignment="1"/>
    <xf numFmtId="0" fontId="14" fillId="0" borderId="0" xfId="0" applyFont="1" applyAlignment="1"/>
    <xf numFmtId="0" fontId="14" fillId="3" borderId="1" xfId="0" applyFont="1" applyFill="1" applyBorder="1" applyAlignment="1"/>
    <xf numFmtId="164" fontId="15" fillId="3" borderId="73" xfId="0" applyNumberFormat="1" applyFont="1" applyFill="1" applyBorder="1" applyAlignment="1"/>
    <xf numFmtId="0" fontId="0" fillId="0" borderId="74" xfId="0" applyBorder="1" applyAlignment="1"/>
    <xf numFmtId="3" fontId="14" fillId="0" borderId="0" xfId="0" applyNumberFormat="1" applyFont="1" applyAlignment="1"/>
    <xf numFmtId="0" fontId="15" fillId="0" borderId="0" xfId="0" applyFont="1" applyAlignment="1"/>
    <xf numFmtId="3" fontId="14" fillId="0" borderId="1" xfId="0" applyNumberFormat="1" applyFont="1" applyBorder="1" applyAlignment="1"/>
    <xf numFmtId="164" fontId="14" fillId="22" borderId="52" xfId="0" applyNumberFormat="1" applyFont="1" applyFill="1" applyBorder="1" applyAlignment="1"/>
    <xf numFmtId="164" fontId="14" fillId="22" borderId="53" xfId="0" applyNumberFormat="1" applyFont="1" applyFill="1" applyBorder="1" applyAlignment="1"/>
    <xf numFmtId="3" fontId="14" fillId="2" borderId="2" xfId="0" applyNumberFormat="1" applyFont="1" applyFill="1" applyBorder="1" applyAlignment="1"/>
    <xf numFmtId="3" fontId="14" fillId="2" borderId="3" xfId="0" applyNumberFormat="1" applyFont="1" applyFill="1" applyBorder="1" applyAlignment="1"/>
    <xf numFmtId="3" fontId="14" fillId="2" borderId="4" xfId="0" applyNumberFormat="1" applyFont="1" applyFill="1" applyBorder="1" applyAlignment="1"/>
    <xf numFmtId="3" fontId="14" fillId="2" borderId="5" xfId="0" applyNumberFormat="1" applyFont="1" applyFill="1" applyBorder="1" applyAlignment="1"/>
    <xf numFmtId="0" fontId="0" fillId="0" borderId="1" xfId="0" applyBorder="1" applyAlignment="1"/>
    <xf numFmtId="3" fontId="14" fillId="2" borderId="6" xfId="0" applyNumberFormat="1" applyFont="1" applyFill="1" applyBorder="1" applyAlignment="1"/>
    <xf numFmtId="3" fontId="14" fillId="2" borderId="7" xfId="0" applyNumberFormat="1" applyFont="1" applyFill="1" applyBorder="1" applyAlignment="1"/>
    <xf numFmtId="164" fontId="14" fillId="0" borderId="1" xfId="0" applyNumberFormat="1" applyFont="1" applyBorder="1" applyAlignment="1"/>
    <xf numFmtId="3" fontId="14" fillId="2" borderId="47" xfId="0" applyNumberFormat="1" applyFont="1" applyFill="1" applyBorder="1" applyAlignment="1"/>
    <xf numFmtId="3" fontId="14" fillId="2" borderId="48" xfId="0" applyNumberFormat="1" applyFont="1" applyFill="1" applyBorder="1" applyAlignment="1"/>
    <xf numFmtId="0" fontId="0" fillId="0" borderId="0" xfId="0" applyAlignment="1"/>
    <xf numFmtId="0" fontId="1" fillId="0" borderId="79" xfId="0" applyFont="1" applyBorder="1" applyAlignment="1"/>
    <xf numFmtId="0" fontId="1" fillId="0" borderId="10" xfId="0" applyFont="1" applyBorder="1" applyAlignment="1"/>
    <xf numFmtId="0" fontId="0" fillId="0" borderId="66" xfId="0" applyBorder="1" applyAlignment="1"/>
    <xf numFmtId="0" fontId="0" fillId="0" borderId="9" xfId="0" applyBorder="1" applyAlignment="1"/>
    <xf numFmtId="164" fontId="1" fillId="23" borderId="54" xfId="0" applyNumberFormat="1" applyFont="1" applyFill="1" applyBorder="1" applyAlignment="1"/>
    <xf numFmtId="172" fontId="52" fillId="0" borderId="0" xfId="14" applyNumberFormat="1" applyFont="1" applyAlignment="1">
      <alignment vertical="top"/>
    </xf>
    <xf numFmtId="166" fontId="52" fillId="0" borderId="0" xfId="14" applyNumberFormat="1" applyFont="1" applyAlignment="1">
      <alignment vertical="top"/>
    </xf>
    <xf numFmtId="0" fontId="0" fillId="0" borderId="37" xfId="0" applyBorder="1" applyAlignment="1"/>
    <xf numFmtId="0" fontId="0" fillId="0" borderId="38" xfId="0" applyBorder="1" applyAlignment="1"/>
    <xf numFmtId="0" fontId="0" fillId="0" borderId="42" xfId="0" applyBorder="1" applyAlignment="1"/>
    <xf numFmtId="0" fontId="0" fillId="0" borderId="43" xfId="0" applyBorder="1" applyAlignment="1"/>
    <xf numFmtId="0" fontId="0" fillId="0" borderId="39" xfId="0" applyBorder="1" applyAlignment="1"/>
    <xf numFmtId="0" fontId="0" fillId="0" borderId="40" xfId="0" applyBorder="1" applyAlignment="1"/>
    <xf numFmtId="0" fontId="0" fillId="0" borderId="41" xfId="0" applyBorder="1" applyAlignment="1"/>
    <xf numFmtId="0" fontId="0" fillId="3" borderId="0" xfId="0" applyFill="1" applyAlignment="1"/>
    <xf numFmtId="0" fontId="0" fillId="16" borderId="0" xfId="0" applyFill="1" applyAlignment="1"/>
    <xf numFmtId="0" fontId="0" fillId="17" borderId="0" xfId="0" applyFill="1" applyAlignment="1"/>
    <xf numFmtId="0" fontId="1" fillId="0" borderId="1" xfId="0" applyFont="1" applyBorder="1" applyAlignment="1"/>
    <xf numFmtId="0" fontId="19" fillId="12" borderId="23" xfId="0" applyFont="1" applyFill="1" applyBorder="1" applyAlignment="1"/>
    <xf numFmtId="0" fontId="19" fillId="12" borderId="25" xfId="0" applyFont="1" applyFill="1" applyBorder="1" applyAlignment="1"/>
    <xf numFmtId="0" fontId="19" fillId="12" borderId="0" xfId="0" applyFont="1" applyFill="1" applyAlignment="1"/>
    <xf numFmtId="0" fontId="26" fillId="0" borderId="23" xfId="0" applyFont="1" applyBorder="1" applyAlignment="1"/>
    <xf numFmtId="0" fontId="19" fillId="12" borderId="29" xfId="0" applyFont="1" applyFill="1" applyBorder="1" applyAlignment="1"/>
    <xf numFmtId="0" fontId="26" fillId="0" borderId="29" xfId="0" applyFont="1" applyBorder="1" applyAlignment="1"/>
    <xf numFmtId="0" fontId="26" fillId="0" borderId="33" xfId="0" applyFont="1" applyBorder="1" applyAlignment="1"/>
  </cellXfs>
  <cellStyles count="15">
    <cellStyle name="Bad" xfId="12" builtinId="27"/>
    <cellStyle name="Comma" xfId="13" builtinId="3"/>
    <cellStyle name="Completed" xfId="11" xr:uid="{89AFEC65-4662-41A0-B62C-CC4BC4ADAF5A}"/>
    <cellStyle name="Date" xfId="6" xr:uid="{403F4796-BFA2-4402-91FB-D02A1A4804AA}"/>
    <cellStyle name="Good" xfId="7" builtinId="26" hidden="1"/>
    <cellStyle name="Heading 2" xfId="2" builtinId="17"/>
    <cellStyle name="Heading 3" xfId="3" builtinId="18"/>
    <cellStyle name="Heading 4" xfId="4" builtinId="19"/>
    <cellStyle name="Hyperlink" xfId="1" builtinId="8"/>
    <cellStyle name="Neutral" xfId="8" builtinId="28" hidden="1"/>
    <cellStyle name="Normal" xfId="0" builtinId="0"/>
    <cellStyle name="Normal 2" xfId="14" xr:uid="{A11B5F34-74A2-4AB2-9906-0101C66C71F5}"/>
    <cellStyle name="Scheduled" xfId="9" xr:uid="{B85E50F2-E926-4A98-A53D-F10170DE9815}"/>
    <cellStyle name="Tenative" xfId="10" xr:uid="{4875B139-F858-4DC9-A35E-026F0C0461F0}"/>
    <cellStyle name="zHiddenText" xfId="5" xr:uid="{2FC736B1-A600-482A-A9A8-E3C76645FCAC}"/>
  </cellStyles>
  <dxfs count="56">
    <dxf>
      <numFmt numFmtId="2" formatCode="0.00"/>
      <protection locked="1" hidden="0"/>
    </dxf>
    <dxf>
      <numFmt numFmtId="0" formatCode="General"/>
      <protection locked="1" hidden="0"/>
    </dxf>
    <dxf>
      <protection locked="1" hidden="0"/>
    </dxf>
    <dxf>
      <protection locked="1" hidden="0"/>
    </dxf>
    <dxf>
      <numFmt numFmtId="171" formatCode="mm/dd/yy;@"/>
      <protection locked="1" hidden="0"/>
    </dxf>
    <dxf>
      <protection locked="1" hidden="0"/>
    </dxf>
    <dxf>
      <protection locked="1" hidden="0"/>
    </dxf>
    <dxf>
      <numFmt numFmtId="2" formatCode="0.00"/>
      <protection locked="1" hidden="0"/>
    </dxf>
    <dxf>
      <numFmt numFmtId="1" formatCode="0"/>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alignment horizontal="center" vertical="top" textRotation="0" wrapText="1" indent="0" justifyLastLine="0" shrinkToFit="0" readingOrder="0"/>
      <protection locked="1" hidden="0"/>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0" tint="-4.9989318521683403E-2"/>
        </patternFill>
      </fill>
      <border>
        <left/>
        <right/>
        <top/>
        <bottom/>
        <vertical/>
        <horizontal/>
      </border>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0" tint="-4.9989318521683403E-2"/>
        </patternFill>
      </fill>
      <border>
        <left/>
        <right/>
        <top/>
        <bottom/>
        <vertical/>
        <horizontal/>
      </border>
    </dxf>
    <dxf>
      <font>
        <color theme="8" tint="-0.499984740745262"/>
      </font>
      <fill>
        <patternFill>
          <bgColor theme="0" tint="-4.9989318521683403E-2"/>
        </patternFill>
      </fill>
      <border>
        <right/>
      </border>
    </dxf>
    <dxf>
      <fill>
        <patternFill>
          <bgColor theme="0" tint="-4.9989318521683403E-2"/>
        </patternFill>
      </fill>
      <border>
        <left/>
        <right/>
        <top/>
        <bottom/>
        <vertical/>
        <horizontal/>
      </border>
    </dxf>
    <dxf>
      <fill>
        <patternFill patternType="solid">
          <fgColor indexed="64"/>
          <bgColor rgb="FFFFFF00"/>
        </patternFill>
      </fill>
      <protection locked="0" hidden="0"/>
    </dxf>
    <dxf>
      <fill>
        <patternFill patternType="solid">
          <fgColor indexed="64"/>
          <bgColor rgb="FFFFFF00"/>
        </patternFill>
      </fill>
      <protection locked="0" hidden="0"/>
    </dxf>
    <dxf>
      <numFmt numFmtId="1" formatCode="0"/>
      <fill>
        <patternFill patternType="solid">
          <fgColor indexed="64"/>
          <bgColor rgb="FFFFFF00"/>
        </patternFill>
      </fill>
      <protection locked="0" hidden="0"/>
    </dxf>
    <dxf>
      <numFmt numFmtId="30" formatCode="@"/>
      <fill>
        <patternFill patternType="solid">
          <fgColor indexed="64"/>
          <bgColor rgb="FFFFFF00"/>
        </patternFill>
      </fill>
      <protection locked="0" hidden="0"/>
    </dxf>
    <dxf>
      <numFmt numFmtId="1" formatCode="0"/>
      <fill>
        <patternFill patternType="solid">
          <fgColor indexed="64"/>
          <bgColor rgb="FFFFFF00"/>
        </patternFill>
      </fill>
      <protection locked="0" hidden="0"/>
    </dxf>
    <dxf>
      <numFmt numFmtId="170" formatCode="m/d;@"/>
      <fill>
        <patternFill patternType="solid">
          <fgColor indexed="64"/>
          <bgColor rgb="FFFFFF00"/>
        </patternFill>
      </fill>
      <alignment horizontal="center" vertical="center" textRotation="0" wrapText="0" indent="0" justifyLastLine="0" shrinkToFit="0" readingOrder="0"/>
      <protection locked="0" hidden="0"/>
    </dxf>
    <dxf>
      <numFmt numFmtId="2" formatCode="0.00"/>
      <protection locked="0" hidden="0"/>
    </dxf>
    <dxf>
      <numFmt numFmtId="2" formatCode="0.00"/>
      <protection locked="0" hidden="0"/>
    </dxf>
    <dxf>
      <protection locked="0" hidden="0"/>
    </dxf>
    <dxf>
      <numFmt numFmtId="0" formatCode="General"/>
      <alignment horizontal="general" vertical="bottom" textRotation="0" wrapText="0" indent="0" justifyLastLine="0" shrinkToFit="0" readingOrder="0"/>
      <protection locked="0" hidden="0"/>
    </dxf>
    <dxf>
      <numFmt numFmtId="0" formatCode="General"/>
      <protection locked="0" hidden="0"/>
    </dxf>
    <dxf>
      <numFmt numFmtId="0" formatCode="General"/>
      <protection locked="0" hidden="0"/>
    </dxf>
    <dxf>
      <numFmt numFmtId="1" formatCode="0"/>
      <protection locked="0" hidden="0"/>
    </dxf>
    <dxf>
      <numFmt numFmtId="0" formatCode="General"/>
      <protection locked="0" hidden="0"/>
    </dxf>
    <dxf>
      <protection locked="0" hidden="0"/>
    </dxf>
    <dxf>
      <font>
        <b/>
      </font>
      <alignment horizontal="center" vertical="bottom" textRotation="0" wrapText="1" indent="0" justifyLastLine="0" shrinkToFit="0" readingOrder="0"/>
      <protection locked="0" hidden="0"/>
    </dxf>
    <dxf>
      <font>
        <b val="0"/>
        <i val="0"/>
        <strike val="0"/>
        <condense val="0"/>
        <extend val="0"/>
        <outline val="0"/>
        <shadow val="0"/>
        <u val="none"/>
        <vertAlign val="baseline"/>
        <sz val="12"/>
        <color auto="1"/>
        <name val="Arial"/>
        <scheme val="none"/>
      </font>
      <numFmt numFmtId="4" formatCode="#,##0.0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1" formatCode="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border outline="0">
        <bottom style="thick">
          <color indexed="55"/>
        </bottom>
      </border>
    </dxf>
    <dxf>
      <font>
        <b val="0"/>
        <i val="0"/>
        <strike val="0"/>
        <condense val="0"/>
        <extend val="0"/>
        <outline val="0"/>
        <shadow val="0"/>
        <u val="none"/>
        <vertAlign val="baseline"/>
        <sz val="12"/>
        <color auto="1"/>
        <name val="Arial"/>
        <scheme val="none"/>
      </font>
      <alignment horizontal="center" vertical="top" textRotation="0" wrapText="0" indent="0" justifyLastLine="0" shrinkToFit="0" readingOrder="0"/>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s>
  <tableStyles count="2" defaultTableStyle="TableStyleMedium2" defaultPivotStyle="PivotStyleLight16">
    <tableStyle name="Gantt Table Style" pivot="0" count="3" xr9:uid="{FAB708AF-E22D-403D-BF2C-158F5DFD67AA}">
      <tableStyleElement type="wholeTable" dxfId="55"/>
      <tableStyleElement type="headerRow" dxfId="54"/>
      <tableStyleElement type="firstRowStripe" dxfId="53"/>
    </tableStyle>
    <tableStyle name="Gantt Table Style 2" pivot="0" count="3" xr9:uid="{188EAD57-0217-4B5E-8A07-C858B28862F4}">
      <tableStyleElement type="wholeTable" dxfId="52"/>
      <tableStyleElement type="headerRow" dxfId="51"/>
      <tableStyleElement type="firstRowStripe" dxfId="5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36" Type="http://schemas.openxmlformats.org/officeDocument/2006/relationships/customXml" Target="../customXml/item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8" Type="http://schemas.openxmlformats.org/officeDocument/2006/relationships/worksheet" Target="worksheets/sheet8.xml"/></Relationships>
</file>

<file path=xl/ctrlProps/ctrlProp1.xml><?xml version="1.0" encoding="utf-8"?>
<formControlPr xmlns="http://schemas.microsoft.com/office/spreadsheetml/2009/9/main" objectType="Scroll" dx="39" fmlaLink="$AB$26" horiz="1" max="365" page="0" val="0"/>
</file>

<file path=xl/drawings/_rels/drawing1.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customXml" Target="../ink/ink2.xml"/><Relationship Id="rId7" Type="http://schemas.openxmlformats.org/officeDocument/2006/relationships/customXml" Target="../ink/ink4.xml"/><Relationship Id="rId2" Type="http://schemas.openxmlformats.org/officeDocument/2006/relationships/image" Target="../media/image11.png"/><Relationship Id="rId1" Type="http://schemas.openxmlformats.org/officeDocument/2006/relationships/customXml" Target="../ink/ink1.xml"/><Relationship Id="rId6" Type="http://schemas.openxmlformats.org/officeDocument/2006/relationships/image" Target="../media/image13.png"/><Relationship Id="rId5" Type="http://schemas.openxmlformats.org/officeDocument/2006/relationships/customXml" Target="../ink/ink3.xml"/><Relationship Id="rId10" Type="http://schemas.openxmlformats.org/officeDocument/2006/relationships/image" Target="../media/image1.png"/><Relationship Id="rId4" Type="http://schemas.openxmlformats.org/officeDocument/2006/relationships/image" Target="../media/image12.png"/><Relationship Id="rId9" Type="http://schemas.openxmlformats.org/officeDocument/2006/relationships/customXml" Target="../ink/ink5.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4" name="Ink 2">
              <a:extLst>
                <a:ext uri="{FF2B5EF4-FFF2-40B4-BE49-F238E27FC236}">
                  <a16:creationId xmlns:a16="http://schemas.microsoft.com/office/drawing/2014/main" id="{00000000-0008-0000-0200-000004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5" name="Ink 3">
              <a:extLst>
                <a:ext uri="{FF2B5EF4-FFF2-40B4-BE49-F238E27FC236}">
                  <a16:creationId xmlns:a16="http://schemas.microsoft.com/office/drawing/2014/main" id="{00000000-0008-0000-0200-000005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4"/>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48</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6" name="Ink 4">
              <a:extLst>
                <a:ext uri="{FF2B5EF4-FFF2-40B4-BE49-F238E27FC236}">
                  <a16:creationId xmlns:a16="http://schemas.microsoft.com/office/drawing/2014/main" id="{00000000-0008-0000-0200-000006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6"/>
            <a:stretch>
              <a:fillRect/>
            </a:stretch>
          </xdr:blipFill>
          <xdr:spPr>
            <a:xfrm>
              <a:off x="4519800" y="8360237"/>
              <a:ext cx="64440" cy="60120"/>
            </a:xfrm>
            <a:prstGeom prst="rect">
              <a:avLst/>
            </a:prstGeom>
          </xdr:spPr>
        </xdr:pic>
      </mc:Fallback>
    </mc:AlternateContent>
    <xdr:clientData/>
  </xdr:oneCellAnchor>
  <xdr:oneCellAnchor>
    <xdr:from>
      <xdr:col>3</xdr:col>
      <xdr:colOff>359571</xdr:colOff>
      <xdr:row>45</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3" name="Ink 6">
              <a:extLst>
                <a:ext uri="{FF2B5EF4-FFF2-40B4-BE49-F238E27FC236}">
                  <a16:creationId xmlns:a16="http://schemas.microsoft.com/office/drawing/2014/main" id="{00000000-0008-0000-0200-000003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8"/>
            <a:stretch>
              <a:fillRect/>
            </a:stretch>
          </xdr:blipFill>
          <xdr:spPr>
            <a:xfrm>
              <a:off x="4519800" y="8360237"/>
              <a:ext cx="64440" cy="60120"/>
            </a:xfrm>
            <a:prstGeom prst="rect">
              <a:avLst/>
            </a:prstGeom>
          </xdr:spPr>
        </xdr:pic>
      </mc:Fallback>
    </mc:AlternateContent>
    <xdr:clientData/>
  </xdr:oneCellAnchor>
  <xdr:oneCellAnchor>
    <xdr:from>
      <xdr:col>3</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2" name="Ink 1">
              <a:extLst>
                <a:ext uri="{FF2B5EF4-FFF2-40B4-BE49-F238E27FC236}">
                  <a16:creationId xmlns:a16="http://schemas.microsoft.com/office/drawing/2014/main" id="{00000000-0008-0000-02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10"/>
            <a:stretch>
              <a:fillRect/>
            </a:stretch>
          </xdr:blipFill>
          <xdr:spPr>
            <a:xfrm>
              <a:off x="4519800" y="8360237"/>
              <a:ext cx="64440" cy="6012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38100</xdr:colOff>
          <xdr:row>23</xdr:row>
          <xdr:rowOff>142875</xdr:rowOff>
        </xdr:from>
        <xdr:to>
          <xdr:col>24</xdr:col>
          <xdr:colOff>142875</xdr:colOff>
          <xdr:row>25</xdr:row>
          <xdr:rowOff>38100</xdr:rowOff>
        </xdr:to>
        <xdr:sp macro="" textlink="">
          <xdr:nvSpPr>
            <xdr:cNvPr id="29697" name="Scroll Bar 1" descr="Scrollbar for scrolling through the Gantt Timeline." hidden="1">
              <a:extLst>
                <a:ext uri="{63B3BB69-23CF-44E3-9099-C40C66FF867C}">
                  <a14:compatExt spid="_x0000_s29697"/>
                </a:ext>
                <a:ext uri="{FF2B5EF4-FFF2-40B4-BE49-F238E27FC236}">
                  <a16:creationId xmlns:a16="http://schemas.microsoft.com/office/drawing/2014/main" id="{00000000-0008-0000-0700-000001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4</xdr:col>
      <xdr:colOff>381000</xdr:colOff>
      <xdr:row>2</xdr:row>
      <xdr:rowOff>85725</xdr:rowOff>
    </xdr:from>
    <xdr:to>
      <xdr:col>7</xdr:col>
      <xdr:colOff>285750</xdr:colOff>
      <xdr:row>4</xdr:row>
      <xdr:rowOff>104387</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43325" y="390525"/>
          <a:ext cx="1266825" cy="399662"/>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23:16.439"/>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23:16.440"/>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23:16.441"/>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2-04-24T18:21:41.326"/>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4:26:18.927"/>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E7BA7171-083D-4CB4-8ABE-298E470EBB62}" autoFormatId="16" applyNumberFormats="0" applyBorderFormats="0" applyFontFormats="0" applyPatternFormats="0" applyAlignmentFormats="0" applyWidthHeightFormats="0">
  <queryTableRefresh nextId="21" unboundColumnsLeft="1" unboundColumnsRight="6">
    <queryTableFields count="14">
      <queryTableField id="8" dataBound="0" tableColumnId="8"/>
      <queryTableField id="15" name="Item" tableColumnId="1"/>
      <queryTableField id="2" name="Cost Code" tableColumnId="2"/>
      <queryTableField id="3" name="Title" tableColumnId="3"/>
      <queryTableField id="4" name="Description" tableColumnId="4"/>
      <queryTableField id="5" name="Qty" tableColumnId="5"/>
      <queryTableField id="6" name="Unit Price" tableColumnId="6"/>
      <queryTableField id="7" name="Price" tableColumnId="7"/>
      <queryTableField id="17" dataBound="0" tableColumnId="9"/>
      <queryTableField id="20" dataBound="0" tableColumnId="14"/>
      <queryTableField id="12" dataBound="0" tableColumnId="12"/>
      <queryTableField id="14" dataBound="0" tableColumnId="15"/>
      <queryTableField id="18" dataBound="0" tableColumnId="10"/>
      <queryTableField id="19"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refreshOnLoad="1" growShrinkType="insertClear" adjustColumnWidth="0" connectionId="3" xr16:uid="{AF163B3A-4144-4DA6-B14A-D446DCD77367}" autoFormatId="16" applyNumberFormats="0" applyBorderFormats="0" applyFontFormats="0" applyPatternFormats="0" applyAlignmentFormats="0" applyWidthHeightFormats="0">
  <queryTableRefresh nextId="16">
    <queryTableFields count="15">
      <queryTableField id="1" name="Party" tableColumnId="106"/>
      <queryTableField id="2" name="Item" tableColumnId="107"/>
      <queryTableField id="3" name="Cost Code" tableColumnId="108"/>
      <queryTableField id="4" name="Title" tableColumnId="109"/>
      <queryTableField id="5" name="Description" tableColumnId="110"/>
      <queryTableField id="6" name="Qty" tableColumnId="111"/>
      <queryTableField id="7" name="Unit Price" tableColumnId="112"/>
      <queryTableField id="8" name="Price" tableColumnId="113"/>
      <queryTableField id="9" name="Done" tableColumnId="114"/>
      <queryTableField id="10" name="Group Order" tableColumnId="115"/>
      <queryTableField id="11" name="Start Date" tableColumnId="116"/>
      <queryTableField id="12" name="Days" tableColumnId="117"/>
      <queryTableField id="13" name="Paid" tableColumnId="118"/>
      <queryTableField id="14" name="Notes" tableColumnId="119"/>
      <queryTableField id="15" name="Due" tableColumnId="120"/>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A9C9B7-BAF7-4CAB-9067-DC10D354858C}" name="Proposal" displayName="Proposal" ref="A11:E27" totalsRowShown="0" headerRowDxfId="49" headerRowBorderDxfId="48">
  <autoFilter ref="A11:E27" xr:uid="{E8A9C9B7-BAF7-4CAB-9067-DC10D354858C}"/>
  <tableColumns count="5">
    <tableColumn id="1" xr3:uid="{9A4F1599-587C-4C12-AC23-D5B3879D1321}" name="Cost Code" dataDxfId="47"/>
    <tableColumn id="2" xr3:uid="{3ACCA719-70D2-4F0D-A8A3-69AE3272D3C1}" name="Title" dataDxfId="46"/>
    <tableColumn id="3" xr3:uid="{661FF8D2-2D43-4F8B-B73F-EC14A34B7050}" name="Description" dataDxfId="45"/>
    <tableColumn id="5" xr3:uid="{96319F4C-C120-4B14-BEB7-1D271C147258}" name="Qty" dataDxfId="44"/>
    <tableColumn id="6" xr3:uid="{CAFF8447-B9F2-4425-B2CD-C62CE1EB051F}" name="Unit Price" dataDxfId="43"/>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A34AA4E-C13A-41A2-95E8-83E7E9409806}" name="FromProposal" displayName="FromProposal" ref="A4:N20" tableType="queryTable" totalsRowShown="0" headerRowDxfId="42" dataDxfId="41">
  <autoFilter ref="A4:N20" xr:uid="{4A34AA4E-C13A-41A2-95E8-83E7E9409806}"/>
  <sortState xmlns:xlrd2="http://schemas.microsoft.com/office/spreadsheetml/2017/richdata2" ref="A5:N20">
    <sortCondition ref="B5:B14"/>
  </sortState>
  <tableColumns count="14">
    <tableColumn id="8" xr3:uid="{96E49A5C-5367-4ACB-B14D-E01CC163A0F1}" uniqueName="8" name="Party" queryTableFieldId="8" dataDxfId="40">
      <calculatedColumnFormula>+IF(FromProposal[[#This Row],[Cost Code]]&lt;&gt;0,"Glasgow","")</calculatedColumnFormula>
    </tableColumn>
    <tableColumn id="1" xr3:uid="{6ADBCE42-4844-4052-8DB6-AB34AD671DD5}" uniqueName="1" name="Item" queryTableFieldId="15" dataDxfId="39"/>
    <tableColumn id="2" xr3:uid="{33F8A9BB-342C-4F7D-B125-F381BCB77C64}" uniqueName="2" name="Cost Code" queryTableFieldId="2" dataDxfId="38"/>
    <tableColumn id="3" xr3:uid="{EAE8FFCB-2C04-49B6-85CD-78C67097E902}" uniqueName="3" name="Title" queryTableFieldId="3" dataDxfId="37"/>
    <tableColumn id="4" xr3:uid="{439B82DD-03F8-428D-9245-8543A46F29DC}" uniqueName="4" name="Description" queryTableFieldId="4" dataDxfId="36"/>
    <tableColumn id="5" xr3:uid="{1E080297-D531-4180-92D4-1B19AACF49C1}" uniqueName="5" name="Qty" queryTableFieldId="5" dataDxfId="35"/>
    <tableColumn id="6" xr3:uid="{575B5FBE-3F82-40CD-8A54-810E146EF82F}" uniqueName="6" name="Unit Price" queryTableFieldId="6" dataDxfId="34"/>
    <tableColumn id="7" xr3:uid="{766B7F26-7C49-427A-A617-067C40444D87}" uniqueName="7" name="Price" queryTableFieldId="7" dataDxfId="33"/>
    <tableColumn id="9" xr3:uid="{A5701DF5-B99B-45EC-8FC5-7061E5C93440}" uniqueName="9" name="Done" queryTableFieldId="17" dataDxfId="32"/>
    <tableColumn id="14" xr3:uid="{1C4B67EF-B985-4B9A-9327-556AFBB5C4A1}" uniqueName="14" name="Group Order" queryTableFieldId="20" dataDxfId="31"/>
    <tableColumn id="12" xr3:uid="{A3E3248C-A9FB-45EA-9F9E-83897992215A}" uniqueName="12" name="Start Date" queryTableFieldId="12" dataDxfId="30"/>
    <tableColumn id="15" xr3:uid="{E31CECDC-7A24-4472-8474-4283CEDBD8FC}" uniqueName="15" name="Days" queryTableFieldId="14" dataDxfId="29"/>
    <tableColumn id="10" xr3:uid="{3EA3D46A-2606-48C3-B90D-0603A94FFB2E}" uniqueName="10" name="Paid" queryTableFieldId="18" dataDxfId="28"/>
    <tableColumn id="13" xr3:uid="{7268DDA6-B96D-499B-92E4-F124E0D116A3}" uniqueName="13" name="Notes" queryTableFieldId="19" dataDxfId="27"/>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A8D861-A5C8-42AF-A86B-34EC7AE8EE0A}" name="ProposalToGnatt" displayName="ProposalToGnatt" ref="A29:O45" tableType="queryTable" totalsRowShown="0" headerRowDxfId="16" dataDxfId="15">
  <sortState xmlns:xlrd2="http://schemas.microsoft.com/office/spreadsheetml/2017/richdata2" ref="A30:O45">
    <sortCondition ref="J30:J83"/>
    <sortCondition ref="K30:K83"/>
  </sortState>
  <tableColumns count="15">
    <tableColumn id="106" xr3:uid="{88C796C4-2105-4C93-8E7A-CCEA28B0DF71}" uniqueName="106" name="Party" queryTableFieldId="1" dataDxfId="14"/>
    <tableColumn id="107" xr3:uid="{541F33A4-C6A3-44C5-81DB-FAA61B7F72AB}" uniqueName="107" name="Item" queryTableFieldId="2" dataDxfId="13"/>
    <tableColumn id="108" xr3:uid="{3AE45ADE-D247-428D-BB07-058C3457BF76}" uniqueName="108" name="Cost Code" queryTableFieldId="3" dataDxfId="12"/>
    <tableColumn id="109" xr3:uid="{B0D5185D-6AD1-4E8D-B845-F1898A9538BA}" uniqueName="109" name="Title" queryTableFieldId="4" dataDxfId="11"/>
    <tableColumn id="110" xr3:uid="{BF5C7BBF-561F-458E-BF23-5B7C697DF8C9}" uniqueName="110" name="Description" queryTableFieldId="5" dataDxfId="10"/>
    <tableColumn id="111" xr3:uid="{F21AE756-8924-4878-8615-262AB0D00519}" uniqueName="111" name="Qty" queryTableFieldId="6" dataDxfId="9"/>
    <tableColumn id="112" xr3:uid="{0CD8A8A4-BACC-44F4-93A1-F713A821F322}" uniqueName="112" name="Unit Price" queryTableFieldId="7" dataDxfId="8"/>
    <tableColumn id="113" xr3:uid="{26C57DEB-9347-43DE-B22B-A524ED52F9F1}" uniqueName="113" name="Price" queryTableFieldId="8" dataDxfId="7"/>
    <tableColumn id="114" xr3:uid="{EBDB1F65-628C-4940-9612-1C3FD8569DC1}" uniqueName="114" name="Done" queryTableFieldId="9" dataDxfId="6"/>
    <tableColumn id="115" xr3:uid="{12EEE598-AD5C-449D-9592-F3BFFA8A06FB}" uniqueName="115" name="Group Order" queryTableFieldId="10" dataDxfId="5"/>
    <tableColumn id="116" xr3:uid="{C6321B43-2488-4F52-A140-04EF16631EAF}" uniqueName="116" name="Start Date" queryTableFieldId="11" dataDxfId="4"/>
    <tableColumn id="117" xr3:uid="{E22A3266-2A40-492B-9764-940B22EBAEF6}" uniqueName="117" name="Days" queryTableFieldId="12" dataDxfId="3"/>
    <tableColumn id="118" xr3:uid="{DA6448B5-75FA-40C7-BF8D-CB99AC089926}" uniqueName="118" name="Paid" queryTableFieldId="13" dataDxfId="2"/>
    <tableColumn id="119" xr3:uid="{A789D139-5429-44E2-8E4C-EFA46ED90A52}" uniqueName="119" name="Notes" queryTableFieldId="14" dataDxfId="1"/>
    <tableColumn id="120" xr3:uid="{F39BD6C0-B0A7-49E7-AFB2-4F7FD09D606F}" uniqueName="120" name="Due" queryTableFieldId="15"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rushmoreservicing.com/" TargetMode="External"/><Relationship Id="rId3" Type="http://schemas.openxmlformats.org/officeDocument/2006/relationships/hyperlink" Target="mailto:ac63yhompson@gmail.com" TargetMode="External"/><Relationship Id="rId7" Type="http://schemas.openxmlformats.org/officeDocument/2006/relationships/hyperlink" Target="mailto:andycarlson27@yahoo.com" TargetMode="External"/><Relationship Id="rId2" Type="http://schemas.openxmlformats.org/officeDocument/2006/relationships/hyperlink" Target="mailto:LaLogallazo@gmail.com" TargetMode="External"/><Relationship Id="rId1" Type="http://schemas.openxmlformats.org/officeDocument/2006/relationships/hyperlink" Target="mailto:brantley@eldridgeandfranklin.com" TargetMode="External"/><Relationship Id="rId6" Type="http://schemas.openxmlformats.org/officeDocument/2006/relationships/hyperlink" Target="https://nreig.com/contact/" TargetMode="External"/><Relationship Id="rId5" Type="http://schemas.openxmlformats.org/officeDocument/2006/relationships/hyperlink" Target="mailto:Matt@trueserviceinc.com" TargetMode="External"/><Relationship Id="rId4" Type="http://schemas.openxmlformats.org/officeDocument/2006/relationships/hyperlink" Target="mailto:Walter@GlasgowDB.com" TargetMode="External"/><Relationship Id="rId9"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7.bin"/><Relationship Id="rId5" Type="http://schemas.openxmlformats.org/officeDocument/2006/relationships/table" Target="../tables/table3.xml"/><Relationship Id="rId4" Type="http://schemas.openxmlformats.org/officeDocument/2006/relationships/ctrlProp" Target="../ctrlProps/ctrlProp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T108"/>
  <sheetViews>
    <sheetView zoomScaleNormal="100" workbookViewId="0">
      <pane xSplit="1" ySplit="3" topLeftCell="B7" activePane="bottomRight" state="frozen"/>
      <selection pane="bottomRight" activeCell="E29" sqref="E29"/>
      <selection pane="bottomLeft" activeCell="A3" sqref="A3"/>
      <selection pane="topRight" activeCell="B1" sqref="B1"/>
    </sheetView>
  </sheetViews>
  <sheetFormatPr defaultColWidth="9.140625" defaultRowHeight="15" customHeight="1"/>
  <cols>
    <col min="1" max="1" width="24.7109375" style="40" customWidth="1"/>
    <col min="2" max="2" width="6.42578125" style="40" customWidth="1"/>
    <col min="3" max="3" width="8.28515625" style="149" customWidth="1"/>
    <col min="4" max="4" width="9" style="39" customWidth="1"/>
    <col min="5" max="7" width="9.28515625" style="39" bestFit="1" customWidth="1"/>
    <col min="8" max="8" width="10.140625" style="40" customWidth="1"/>
    <col min="9" max="9" width="8.5703125" style="149" bestFit="1" customWidth="1"/>
    <col min="10" max="10" width="11.5703125" style="39" customWidth="1"/>
    <col min="11" max="11" width="9.28515625" style="39" customWidth="1"/>
    <col min="12" max="12" width="5.28515625" style="39" customWidth="1"/>
    <col min="13" max="13" width="8.42578125" style="39" bestFit="1" customWidth="1"/>
    <col min="14" max="14" width="11.28515625" style="39" customWidth="1"/>
    <col min="15" max="15" width="17.140625" style="39" customWidth="1"/>
    <col min="16" max="16" width="21.28515625" style="39" customWidth="1"/>
    <col min="17" max="17" width="13.28515625" style="39" customWidth="1"/>
    <col min="18" max="18" width="17.85546875" style="39" customWidth="1"/>
    <col min="19" max="19" width="10.140625" style="39" bestFit="1" customWidth="1"/>
    <col min="20" max="20" width="18.7109375" style="39" customWidth="1"/>
    <col min="21" max="21" width="11.28515625" style="39" customWidth="1"/>
    <col min="22" max="22" width="11.140625" style="39" bestFit="1" customWidth="1"/>
    <col min="23" max="16384" width="9.140625" style="39"/>
  </cols>
  <sheetData>
    <row r="1" spans="1:20" ht="21" customHeight="1" thickBot="1">
      <c r="A1" s="40" t="s">
        <v>0</v>
      </c>
      <c r="B1" s="423" t="s">
        <v>1</v>
      </c>
      <c r="C1" s="558"/>
      <c r="E1" s="219" t="s">
        <v>2</v>
      </c>
      <c r="F1" s="220" t="s">
        <v>3</v>
      </c>
    </row>
    <row r="2" spans="1:20" ht="16.5" customHeight="1" thickBot="1">
      <c r="A2" s="150"/>
      <c r="B2" s="429" t="s">
        <v>4</v>
      </c>
      <c r="C2" s="430"/>
      <c r="D2" s="430"/>
      <c r="E2" s="430"/>
      <c r="F2" s="431"/>
      <c r="G2" s="151"/>
      <c r="H2" s="426" t="s">
        <v>5</v>
      </c>
      <c r="I2" s="559"/>
      <c r="J2" s="388" t="s">
        <v>6</v>
      </c>
      <c r="K2" s="452"/>
    </row>
    <row r="3" spans="1:20" ht="12" customHeight="1" thickBot="1">
      <c r="A3" s="152" t="s">
        <v>7</v>
      </c>
      <c r="B3" s="153"/>
      <c r="D3" s="432" t="s">
        <v>8</v>
      </c>
      <c r="E3" s="432"/>
      <c r="F3" s="432" t="s">
        <v>9</v>
      </c>
      <c r="G3" s="560"/>
      <c r="H3" s="560"/>
      <c r="I3" s="561"/>
      <c r="J3" s="389"/>
      <c r="K3" s="391"/>
    </row>
    <row r="4" spans="1:20" ht="12" customHeight="1" thickBot="1">
      <c r="A4" s="40" t="s">
        <v>10</v>
      </c>
      <c r="B4" s="562">
        <v>439000</v>
      </c>
      <c r="C4" s="563"/>
      <c r="E4" s="154"/>
      <c r="G4" s="154"/>
      <c r="I4" s="167"/>
      <c r="J4" s="388" t="s">
        <v>11</v>
      </c>
      <c r="K4" s="390" t="s">
        <v>12</v>
      </c>
      <c r="O4" s="40" t="s">
        <v>13</v>
      </c>
      <c r="P4" s="377">
        <f ca="1">NOW()</f>
        <v>46167.634529745374</v>
      </c>
    </row>
    <row r="5" spans="1:20" ht="12" customHeight="1" thickBot="1">
      <c r="A5" s="40" t="s">
        <v>14</v>
      </c>
      <c r="B5" s="276">
        <v>-0.15</v>
      </c>
      <c r="C5" s="276">
        <v>0.1</v>
      </c>
      <c r="E5" s="154"/>
      <c r="G5" s="154"/>
      <c r="I5" s="172"/>
      <c r="J5" s="389"/>
      <c r="K5" s="391"/>
      <c r="N5" s="39" t="s">
        <v>15</v>
      </c>
      <c r="O5" s="355">
        <v>45161</v>
      </c>
      <c r="P5" s="39">
        <v>276600</v>
      </c>
    </row>
    <row r="6" spans="1:20" ht="12" customHeight="1" thickBot="1">
      <c r="A6" s="40" t="s">
        <v>16</v>
      </c>
      <c r="B6" s="564">
        <f>+B4 + IF(B1="Hold",B4*C5,0) + IF(B1="wholetale",B4*B5,0)</f>
        <v>439000</v>
      </c>
      <c r="C6" s="565"/>
      <c r="E6" s="154"/>
      <c r="G6" s="203">
        <f>IF($B$1="hold",$B$4,$B$6)</f>
        <v>439000</v>
      </c>
      <c r="I6" s="172"/>
      <c r="J6" s="388" t="s">
        <v>17</v>
      </c>
      <c r="K6" s="402">
        <v>0.1</v>
      </c>
      <c r="N6" s="149"/>
      <c r="O6" s="355"/>
    </row>
    <row r="7" spans="1:20" ht="12" customHeight="1" thickBot="1">
      <c r="A7" s="40" t="s">
        <v>18</v>
      </c>
      <c r="B7" s="562"/>
      <c r="C7" s="563"/>
      <c r="D7" s="149">
        <f>+B7</f>
        <v>0</v>
      </c>
      <c r="E7" s="154"/>
      <c r="F7" s="149">
        <f>-B7</f>
        <v>0</v>
      </c>
      <c r="G7" s="203">
        <f>+IF($B$1="hold",$K$6,0)*$C$35/12*B4</f>
        <v>0</v>
      </c>
      <c r="H7" s="328" t="str">
        <f>+IF($B$1="hold","&lt;-- Apprication -----------","")</f>
        <v/>
      </c>
      <c r="I7" s="172"/>
      <c r="J7" s="389"/>
      <c r="K7" s="403"/>
    </row>
    <row r="8" spans="1:20" ht="12" customHeight="1" thickBot="1">
      <c r="A8" s="40" t="s">
        <v>19</v>
      </c>
      <c r="B8" s="566">
        <v>2000</v>
      </c>
      <c r="C8" s="567"/>
      <c r="D8" s="155"/>
      <c r="E8" s="156"/>
      <c r="F8" s="155"/>
      <c r="G8" s="157"/>
      <c r="I8" s="204" t="str">
        <f>IF(B1="Hold",+B8,"")</f>
        <v/>
      </c>
      <c r="J8" s="388" t="s">
        <v>20</v>
      </c>
      <c r="K8" s="447">
        <v>1899</v>
      </c>
    </row>
    <row r="9" spans="1:20" ht="12" customHeight="1" thickBot="1">
      <c r="C9" s="443" t="s">
        <v>21</v>
      </c>
      <c r="D9" s="417" t="s">
        <v>21</v>
      </c>
      <c r="E9" s="158">
        <f>SUM(D4:D8)</f>
        <v>0</v>
      </c>
      <c r="F9" s="568">
        <f>+SUM(F4:G8)</f>
        <v>439000</v>
      </c>
      <c r="G9" s="569"/>
      <c r="H9" s="568">
        <f>SUM(H4:I8)</f>
        <v>0</v>
      </c>
      <c r="I9" s="569"/>
      <c r="J9" s="389"/>
      <c r="K9" s="448"/>
    </row>
    <row r="10" spans="1:20" ht="12" customHeight="1" thickBot="1">
      <c r="C10" s="159"/>
      <c r="D10" s="160"/>
      <c r="E10" s="158"/>
      <c r="F10" s="149"/>
      <c r="G10" s="154"/>
      <c r="H10" s="149"/>
      <c r="I10" s="161"/>
    </row>
    <row r="11" spans="1:20" ht="12" customHeight="1" thickTop="1" thickBot="1">
      <c r="A11" s="162" t="s">
        <v>22</v>
      </c>
      <c r="B11" s="162"/>
      <c r="C11" s="163"/>
      <c r="D11" s="164"/>
      <c r="E11" s="211"/>
      <c r="F11" s="165"/>
      <c r="G11" s="211"/>
      <c r="H11" s="166"/>
      <c r="I11" s="216"/>
    </row>
    <row r="12" spans="1:20" ht="11.25" customHeight="1" thickBot="1">
      <c r="A12" s="40" t="s">
        <v>23</v>
      </c>
      <c r="B12" s="570">
        <v>12645</v>
      </c>
      <c r="C12" s="571"/>
      <c r="D12" s="170">
        <f>-B12</f>
        <v>-12645</v>
      </c>
      <c r="E12" s="212"/>
      <c r="F12" s="221"/>
      <c r="G12" s="222" t="str">
        <f>IF(K4="Yes",0.3*B12,"")</f>
        <v/>
      </c>
      <c r="H12" s="427" t="s">
        <v>24</v>
      </c>
      <c r="I12" s="428"/>
      <c r="J12" s="433" t="s">
        <v>25</v>
      </c>
      <c r="K12" s="438"/>
    </row>
    <row r="13" spans="1:20" ht="12" customHeight="1">
      <c r="A13" s="40" t="s">
        <v>26</v>
      </c>
      <c r="B13" s="373">
        <v>3.125E-2</v>
      </c>
      <c r="C13" s="333">
        <v>125037.73</v>
      </c>
      <c r="D13" s="170"/>
      <c r="E13" s="212"/>
      <c r="F13" s="170">
        <f>-C13</f>
        <v>-125037.73</v>
      </c>
      <c r="G13" s="214"/>
      <c r="H13" s="170"/>
      <c r="I13" s="217"/>
      <c r="J13" s="439"/>
      <c r="K13" s="440"/>
      <c r="M13" s="173"/>
    </row>
    <row r="14" spans="1:20" ht="12" customHeight="1">
      <c r="A14" s="40" t="s">
        <v>27</v>
      </c>
      <c r="B14" s="332"/>
      <c r="C14" s="333"/>
      <c r="D14" s="170"/>
      <c r="E14" s="212"/>
      <c r="F14" s="170">
        <f>-+(120-C34)*(C14/120)</f>
        <v>0</v>
      </c>
      <c r="G14" s="214"/>
      <c r="H14" s="170">
        <f>-(C14*B14/12)</f>
        <v>0</v>
      </c>
      <c r="I14" s="217"/>
      <c r="J14" s="439"/>
      <c r="K14" s="440"/>
    </row>
    <row r="15" spans="1:20" ht="12" customHeight="1" thickBot="1">
      <c r="A15" s="40" t="s">
        <v>28</v>
      </c>
      <c r="B15" s="332">
        <v>0.1</v>
      </c>
      <c r="C15" s="333"/>
      <c r="D15" s="168"/>
      <c r="E15" s="212"/>
      <c r="F15" s="170">
        <f>-C15</f>
        <v>0</v>
      </c>
      <c r="G15" s="214"/>
      <c r="H15" s="170">
        <f>-C15/120-(C15*B15/12)</f>
        <v>0</v>
      </c>
      <c r="I15" s="217"/>
      <c r="J15" s="441"/>
      <c r="K15" s="442"/>
      <c r="T15" s="378"/>
    </row>
    <row r="16" spans="1:20" ht="12" customHeight="1" thickBot="1">
      <c r="A16" s="40" t="s">
        <v>29</v>
      </c>
      <c r="B16" s="297"/>
      <c r="C16" s="298"/>
      <c r="D16" s="170">
        <f>-C16</f>
        <v>0</v>
      </c>
      <c r="E16" s="212"/>
      <c r="F16" s="170"/>
      <c r="G16" s="214"/>
      <c r="H16" s="171"/>
      <c r="I16" s="217"/>
      <c r="J16" s="42"/>
      <c r="K16" s="42"/>
    </row>
    <row r="17" spans="1:17" ht="12" customHeight="1" thickBot="1">
      <c r="A17" s="195" t="s">
        <v>30</v>
      </c>
      <c r="B17" s="270">
        <v>0</v>
      </c>
      <c r="C17" s="271"/>
      <c r="D17" s="170"/>
      <c r="E17" s="212"/>
      <c r="F17" s="170"/>
      <c r="G17" s="214"/>
      <c r="H17" s="174"/>
      <c r="I17" s="217"/>
    </row>
    <row r="18" spans="1:17" ht="12" customHeight="1" thickBot="1">
      <c r="A18" s="195" t="s">
        <v>31</v>
      </c>
      <c r="B18" s="572">
        <v>10000</v>
      </c>
      <c r="C18" s="567"/>
      <c r="D18" s="170">
        <f>-B18</f>
        <v>-10000</v>
      </c>
      <c r="E18" s="212"/>
      <c r="F18" s="170"/>
      <c r="G18" s="214"/>
      <c r="H18" s="171"/>
      <c r="I18" s="217"/>
      <c r="J18" s="406" t="s">
        <v>32</v>
      </c>
      <c r="K18" s="407"/>
    </row>
    <row r="19" spans="1:17" ht="12" customHeight="1" thickBot="1">
      <c r="A19" s="195" t="s">
        <v>33</v>
      </c>
      <c r="B19" s="227"/>
      <c r="C19" s="187">
        <v>0</v>
      </c>
      <c r="D19" s="170">
        <f>-B19</f>
        <v>0</v>
      </c>
      <c r="E19" s="212"/>
      <c r="F19" s="170"/>
      <c r="G19" s="214"/>
      <c r="H19" s="171"/>
      <c r="I19" s="217"/>
      <c r="J19" s="408"/>
      <c r="K19" s="409"/>
    </row>
    <row r="20" spans="1:17" ht="12" customHeight="1">
      <c r="A20" s="195" t="s">
        <v>34</v>
      </c>
      <c r="B20" s="197">
        <f ca="1">+F57/30</f>
        <v>59.2</v>
      </c>
      <c r="C20" s="379"/>
      <c r="D20" s="170"/>
      <c r="E20" s="212"/>
      <c r="F20" s="170"/>
      <c r="G20" s="214"/>
      <c r="H20" s="174"/>
      <c r="I20" s="217"/>
      <c r="J20" s="446" t="s">
        <v>35</v>
      </c>
      <c r="K20" s="573"/>
    </row>
    <row r="21" spans="1:17" ht="12" customHeight="1">
      <c r="A21" s="195" t="s">
        <v>36</v>
      </c>
      <c r="B21" s="196">
        <f ca="1">+Carrying!H$88/$B$20</f>
        <v>1178.3023648648655</v>
      </c>
      <c r="C21" s="169"/>
      <c r="D21" s="170"/>
      <c r="E21" s="212"/>
      <c r="F21" s="170"/>
      <c r="G21" s="214"/>
      <c r="H21" s="174" t="str">
        <f ca="1">IF(B1="Hold",-B21,"")</f>
        <v/>
      </c>
      <c r="I21" s="217"/>
      <c r="J21" s="574"/>
      <c r="K21" s="575"/>
    </row>
    <row r="22" spans="1:17" ht="12" customHeight="1">
      <c r="A22" s="195" t="s">
        <v>37</v>
      </c>
      <c r="B22" s="196"/>
      <c r="C22" s="169"/>
      <c r="D22" s="170"/>
      <c r="E22" s="212"/>
      <c r="F22" s="170"/>
      <c r="G22" s="214"/>
      <c r="H22" s="174" t="str">
        <f>IF(B1="Hold",-B22,"")</f>
        <v/>
      </c>
      <c r="I22" s="217"/>
      <c r="J22" s="574"/>
      <c r="K22" s="575"/>
    </row>
    <row r="23" spans="1:17" ht="12" customHeight="1" thickBot="1">
      <c r="A23" s="195" t="s">
        <v>38</v>
      </c>
      <c r="B23" s="196">
        <f ca="1">+Carrying!L$88/$B$20</f>
        <v>87.344763513513499</v>
      </c>
      <c r="C23" s="169"/>
      <c r="D23" s="170"/>
      <c r="E23" s="212"/>
      <c r="F23" s="170"/>
      <c r="G23" s="214"/>
      <c r="H23" s="174" t="str">
        <f ca="1">IF(B1="Hold",-B23,"")</f>
        <v/>
      </c>
      <c r="I23" s="217"/>
      <c r="J23" s="576"/>
      <c r="K23" s="577"/>
    </row>
    <row r="24" spans="1:17" ht="12" customHeight="1">
      <c r="A24" s="195" t="s">
        <v>39</v>
      </c>
      <c r="B24" s="196"/>
      <c r="C24" s="169"/>
      <c r="D24" s="170"/>
      <c r="E24" s="212"/>
      <c r="F24" s="170"/>
      <c r="G24" s="214"/>
      <c r="H24" s="174" t="str">
        <f>IF(B1="Hold",-B24,"")</f>
        <v/>
      </c>
      <c r="I24" s="217"/>
    </row>
    <row r="25" spans="1:17" ht="12" customHeight="1">
      <c r="A25" s="195" t="s">
        <v>40</v>
      </c>
      <c r="B25" s="196">
        <f ca="1">+Carrying!D$88/$B$20</f>
        <v>12.243750000000004</v>
      </c>
      <c r="C25" s="169"/>
      <c r="D25" s="170"/>
      <c r="E25" s="212"/>
      <c r="F25" s="170"/>
      <c r="G25" s="214"/>
      <c r="H25" s="174"/>
      <c r="I25" s="217"/>
    </row>
    <row r="26" spans="1:17" ht="12" customHeight="1" thickBot="1">
      <c r="A26" s="195" t="s">
        <v>41</v>
      </c>
      <c r="B26" s="196"/>
      <c r="C26" s="178"/>
      <c r="D26" s="170"/>
      <c r="E26" s="212"/>
      <c r="F26" s="170"/>
      <c r="G26" s="214"/>
      <c r="H26" s="174"/>
      <c r="I26" s="217"/>
      <c r="O26" s="40" t="s">
        <v>42</v>
      </c>
      <c r="P26" s="149">
        <f>+C13</f>
        <v>125037.73</v>
      </c>
    </row>
    <row r="27" spans="1:17" ht="12" customHeight="1" thickBot="1">
      <c r="A27" s="40" t="s">
        <v>43</v>
      </c>
      <c r="B27" s="578">
        <f ca="1">+B20*SUM(B21:B26)</f>
        <v>75651.140000000043</v>
      </c>
      <c r="C27" s="579"/>
      <c r="D27" s="170">
        <f ca="1">-B27</f>
        <v>-75651.140000000043</v>
      </c>
      <c r="E27" s="212"/>
      <c r="F27" s="170"/>
      <c r="G27" s="214"/>
      <c r="H27" s="174"/>
      <c r="I27" s="217"/>
      <c r="J27" s="444" t="s">
        <v>44</v>
      </c>
      <c r="K27" s="421">
        <f>+SUM(B12:C16)+B18</f>
        <v>147682.86124999999</v>
      </c>
      <c r="N27" s="39" t="s">
        <v>45</v>
      </c>
      <c r="O27" s="40" t="s">
        <v>46</v>
      </c>
      <c r="P27" s="39">
        <v>75000</v>
      </c>
    </row>
    <row r="28" spans="1:17" ht="12" customHeight="1" thickBot="1">
      <c r="A28" s="300" t="s">
        <v>47</v>
      </c>
      <c r="B28" s="199">
        <v>0.1</v>
      </c>
      <c r="C28" s="194" t="s">
        <v>48</v>
      </c>
      <c r="D28" s="170"/>
      <c r="E28" s="212"/>
      <c r="F28" s="170"/>
      <c r="G28" s="214"/>
      <c r="H28" s="174"/>
      <c r="I28" s="217"/>
      <c r="J28" s="445"/>
      <c r="K28" s="422"/>
      <c r="O28" s="40"/>
    </row>
    <row r="29" spans="1:17" ht="12" customHeight="1" thickBot="1">
      <c r="A29" s="198" t="s">
        <v>49</v>
      </c>
      <c r="B29" s="396">
        <f>IF(C28="NO",0,+(B6*0.75)-(C13+C14+C15))</f>
        <v>204212.27000000002</v>
      </c>
      <c r="C29" s="397"/>
      <c r="D29" s="170"/>
      <c r="E29" s="212">
        <v>75000</v>
      </c>
      <c r="F29" s="170">
        <f ca="1">IF(C28="No","",-E29-(B20*E29*B28/12))</f>
        <v>-112000</v>
      </c>
      <c r="G29" s="214"/>
      <c r="H29" s="174">
        <f>-IF($B$1="Hold",E29*B28/12,0)</f>
        <v>0</v>
      </c>
      <c r="I29" s="330"/>
      <c r="J29" s="444" t="s">
        <v>50</v>
      </c>
      <c r="K29" s="421">
        <f>+B12+C14+C16+B18+B30</f>
        <v>54069.184000000001</v>
      </c>
      <c r="O29" s="40"/>
    </row>
    <row r="30" spans="1:17" ht="12" customHeight="1" thickBot="1">
      <c r="A30" s="40" t="s">
        <v>51</v>
      </c>
      <c r="B30" s="580">
        <f>-D51</f>
        <v>31424.184000000001</v>
      </c>
      <c r="C30" s="581"/>
      <c r="D30" s="170">
        <f>-B30</f>
        <v>-31424.184000000001</v>
      </c>
      <c r="E30" s="212"/>
      <c r="F30" s="170"/>
      <c r="G30" s="214"/>
      <c r="H30" s="171"/>
      <c r="I30" s="330"/>
      <c r="J30" s="445"/>
      <c r="K30" s="422"/>
      <c r="M30" s="149">
        <f>+K27+B30</f>
        <v>179107.04525</v>
      </c>
      <c r="O30" s="40"/>
    </row>
    <row r="31" spans="1:17" ht="12" customHeight="1" thickBot="1">
      <c r="A31" s="40" t="s">
        <v>52</v>
      </c>
      <c r="B31" s="582">
        <v>600</v>
      </c>
      <c r="C31" s="561"/>
      <c r="D31" s="170">
        <f>-B31</f>
        <v>-600</v>
      </c>
      <c r="E31" s="212"/>
      <c r="F31" s="170"/>
      <c r="G31" s="214"/>
      <c r="H31" s="171"/>
      <c r="I31" s="217"/>
      <c r="J31" s="410" t="s">
        <v>53</v>
      </c>
      <c r="K31" s="449"/>
      <c r="Q31" s="149">
        <f>SUM(P26:P30)</f>
        <v>200037.72999999998</v>
      </c>
    </row>
    <row r="32" spans="1:17" ht="12" customHeight="1" thickBot="1">
      <c r="A32" s="198" t="s">
        <v>54</v>
      </c>
      <c r="B32" s="175">
        <v>1</v>
      </c>
      <c r="C32" s="176">
        <f>+B32*399</f>
        <v>399</v>
      </c>
      <c r="D32" s="170"/>
      <c r="E32" s="212"/>
      <c r="F32" s="170">
        <f>-C32</f>
        <v>-399</v>
      </c>
      <c r="G32" s="214"/>
      <c r="H32" s="171"/>
      <c r="I32" s="217"/>
      <c r="J32" s="450"/>
      <c r="K32" s="451"/>
    </row>
    <row r="33" spans="1:15" ht="12" customHeight="1">
      <c r="A33" s="198" t="s">
        <v>55</v>
      </c>
      <c r="B33" s="200">
        <v>0</v>
      </c>
      <c r="C33" s="201">
        <v>2.5999999999999999E-2</v>
      </c>
      <c r="D33" s="170"/>
      <c r="E33" s="212"/>
      <c r="F33" s="170">
        <f>-B33*C33*$F$9</f>
        <v>0</v>
      </c>
      <c r="G33" s="214"/>
      <c r="H33" s="171"/>
      <c r="I33" s="217"/>
    </row>
    <row r="34" spans="1:15" ht="12" customHeight="1" thickBot="1">
      <c r="A34" s="198" t="s">
        <v>56</v>
      </c>
      <c r="B34" s="302">
        <v>1</v>
      </c>
      <c r="C34" s="303">
        <v>2.4E-2</v>
      </c>
      <c r="D34" s="170"/>
      <c r="E34" s="212"/>
      <c r="F34" s="170">
        <f>-B34*C34*$F$9</f>
        <v>-10536</v>
      </c>
      <c r="G34" s="214"/>
      <c r="H34" s="171"/>
      <c r="I34" s="217"/>
    </row>
    <row r="35" spans="1:15" ht="12" customHeight="1" thickBot="1">
      <c r="A35" s="304" t="s">
        <v>57</v>
      </c>
      <c r="B35" s="301"/>
      <c r="C35" s="334">
        <v>12</v>
      </c>
      <c r="D35" s="170"/>
      <c r="E35" s="212"/>
      <c r="F35" s="170"/>
      <c r="G35" s="214"/>
      <c r="H35" s="171"/>
      <c r="I35" s="217"/>
    </row>
    <row r="36" spans="1:15" ht="12" customHeight="1" thickBot="1">
      <c r="A36" s="40" t="s">
        <v>58</v>
      </c>
      <c r="B36" s="566"/>
      <c r="C36" s="583"/>
      <c r="D36" s="202"/>
      <c r="E36" s="212"/>
      <c r="F36" s="170">
        <f>-C36</f>
        <v>0</v>
      </c>
      <c r="G36" s="214"/>
      <c r="H36" s="168"/>
      <c r="I36" s="217"/>
    </row>
    <row r="37" spans="1:15" ht="12" customHeight="1">
      <c r="A37" s="40" t="s">
        <v>59</v>
      </c>
      <c r="B37" s="584">
        <f>+D71</f>
        <v>5998</v>
      </c>
      <c r="C37" s="581"/>
      <c r="D37" s="170">
        <f>-B37</f>
        <v>-5998</v>
      </c>
      <c r="E37" s="212"/>
      <c r="F37" s="170"/>
      <c r="G37" s="214"/>
      <c r="H37" s="168"/>
      <c r="I37" s="217"/>
    </row>
    <row r="38" spans="1:15" ht="12" customHeight="1" thickBot="1">
      <c r="A38" s="40" t="s">
        <v>60</v>
      </c>
      <c r="B38" s="585">
        <f>+D82</f>
        <v>290</v>
      </c>
      <c r="C38" s="586"/>
      <c r="D38" s="179"/>
      <c r="E38" s="213"/>
      <c r="F38" s="179">
        <f>-B38</f>
        <v>-290</v>
      </c>
      <c r="G38" s="215"/>
      <c r="H38" s="177"/>
      <c r="I38" s="218"/>
    </row>
    <row r="39" spans="1:15" ht="12" customHeight="1" thickBot="1">
      <c r="C39" s="416" t="s">
        <v>61</v>
      </c>
      <c r="D39" s="417"/>
      <c r="E39" s="313">
        <f ca="1">+SUM(D12:D38)</f>
        <v>-136318.32400000005</v>
      </c>
      <c r="F39" s="587">
        <f ca="1">+SUM(F12:F38)</f>
        <v>-248262.72999999998</v>
      </c>
      <c r="G39" s="587"/>
      <c r="H39" s="588">
        <f ca="1">+SUM(H9:I38)</f>
        <v>0</v>
      </c>
      <c r="I39" s="589"/>
    </row>
    <row r="40" spans="1:15" ht="12" customHeight="1" thickBot="1">
      <c r="A40" s="41"/>
      <c r="B40" s="398" t="s">
        <v>62</v>
      </c>
      <c r="C40" s="590"/>
      <c r="D40" s="590"/>
      <c r="E40" s="208">
        <f ca="1">+SUM(E9:E39)</f>
        <v>-61318.324000000051</v>
      </c>
      <c r="F40" s="587">
        <f ca="1">+SUM(F9:G38)</f>
        <v>190737.27000000002</v>
      </c>
      <c r="G40" s="587"/>
      <c r="H40" s="206"/>
      <c r="I40" s="210"/>
      <c r="O40" s="149"/>
    </row>
    <row r="41" spans="1:15" ht="12" customHeight="1">
      <c r="A41" s="41"/>
      <c r="B41" s="41"/>
      <c r="D41" s="41"/>
      <c r="E41" s="424" t="s">
        <v>63</v>
      </c>
      <c r="F41" s="425"/>
      <c r="G41" s="205">
        <f ca="1">+E40+F40</f>
        <v>129418.94599999997</v>
      </c>
      <c r="H41" s="206"/>
      <c r="I41" s="207"/>
      <c r="J41" s="456" t="s">
        <v>64</v>
      </c>
      <c r="K41" s="404" t="s">
        <v>65</v>
      </c>
      <c r="O41" s="149"/>
    </row>
    <row r="42" spans="1:15" ht="12" customHeight="1" thickBot="1">
      <c r="A42" s="41"/>
      <c r="B42" s="41"/>
      <c r="E42" s="424" t="s">
        <v>66</v>
      </c>
      <c r="F42" s="425"/>
      <c r="G42" s="425"/>
      <c r="H42" s="189">
        <f>IF(B1="Hold",C35,0)</f>
        <v>0</v>
      </c>
      <c r="I42" s="314">
        <f ca="1">+H42*H39</f>
        <v>0</v>
      </c>
      <c r="J42" s="457"/>
      <c r="K42" s="405"/>
      <c r="M42" s="40"/>
      <c r="N42" s="149"/>
    </row>
    <row r="43" spans="1:15" ht="12" customHeight="1" thickBot="1">
      <c r="A43" s="41"/>
      <c r="B43" s="41"/>
      <c r="E43" s="209"/>
      <c r="F43" s="418" t="s">
        <v>67</v>
      </c>
      <c r="G43" s="591"/>
      <c r="H43" s="180"/>
      <c r="I43" s="180">
        <f ca="1">+I42+G41</f>
        <v>129418.94599999997</v>
      </c>
      <c r="J43" s="181">
        <f ca="1">$B$17*$I$43</f>
        <v>0</v>
      </c>
      <c r="K43" s="182">
        <f ca="1">+$I$43-J43</f>
        <v>129418.94599999997</v>
      </c>
    </row>
    <row r="44" spans="1:15" ht="12" customHeight="1" thickTop="1" thickBot="1">
      <c r="A44" s="183" t="s">
        <v>68</v>
      </c>
      <c r="B44" s="399">
        <v>0</v>
      </c>
      <c r="C44" s="401"/>
      <c r="D44" s="183"/>
      <c r="E44" s="183"/>
      <c r="H44" s="419" t="s">
        <v>69</v>
      </c>
      <c r="I44" s="420"/>
      <c r="J44" s="277">
        <f ca="1">IF(B44="",0,-$B$44*J43)</f>
        <v>0</v>
      </c>
      <c r="K44" s="278">
        <f ca="1">IF(B44="",0,-$B$44*K43)</f>
        <v>0</v>
      </c>
    </row>
    <row r="45" spans="1:15" ht="12" customHeight="1" thickTop="1" thickBot="1">
      <c r="A45" s="40" t="s">
        <v>70</v>
      </c>
      <c r="B45" s="399">
        <v>0.1</v>
      </c>
      <c r="C45" s="400">
        <v>0.15</v>
      </c>
      <c r="D45" s="592">
        <f ca="1">+K45*B45</f>
        <v>12941.894599999998</v>
      </c>
      <c r="E45" s="593"/>
      <c r="G45" s="41"/>
      <c r="H45" s="418" t="s">
        <v>67</v>
      </c>
      <c r="I45" s="591"/>
      <c r="J45" s="188">
        <f ca="1">+J43+J44</f>
        <v>0</v>
      </c>
      <c r="K45" s="184">
        <f ca="1">+K43+K44</f>
        <v>129418.94599999997</v>
      </c>
    </row>
    <row r="46" spans="1:15" ht="12" customHeight="1" thickBot="1">
      <c r="A46" s="153"/>
      <c r="C46" s="40"/>
      <c r="D46" s="40"/>
      <c r="E46" s="40"/>
    </row>
    <row r="47" spans="1:15" ht="12" customHeight="1" thickTop="1">
      <c r="A47" s="162" t="s">
        <v>71</v>
      </c>
    </row>
    <row r="48" spans="1:15" ht="12" customHeight="1" thickBot="1">
      <c r="A48" s="40" t="s">
        <v>72</v>
      </c>
      <c r="B48" s="594">
        <f>+'Gnatt Chart'!J5</f>
        <v>28567.440000000002</v>
      </c>
      <c r="C48" s="594"/>
      <c r="D48" s="594">
        <f>-B48</f>
        <v>-28567.440000000002</v>
      </c>
      <c r="E48" s="594"/>
      <c r="G48" s="595"/>
      <c r="H48" s="595"/>
      <c r="I48" s="595"/>
    </row>
    <row r="49" spans="1:10" ht="12" customHeight="1" thickBot="1">
      <c r="A49" s="40" t="s">
        <v>73</v>
      </c>
      <c r="B49" s="185">
        <v>0.1</v>
      </c>
      <c r="D49" s="594"/>
      <c r="E49" s="594"/>
      <c r="G49" s="433" t="s">
        <v>74</v>
      </c>
      <c r="H49" s="434"/>
      <c r="I49" s="434"/>
      <c r="J49" s="407"/>
    </row>
    <row r="50" spans="1:10" ht="12" customHeight="1" thickBot="1">
      <c r="A50" s="40" t="s">
        <v>75</v>
      </c>
      <c r="B50" s="596">
        <f>IF(K4&lt;&gt;"Yes",+B49*SUM(B48:C48),0)</f>
        <v>2856.7440000000006</v>
      </c>
      <c r="C50" s="596"/>
      <c r="D50" s="596">
        <f t="shared" ref="D50" si="0">-B50</f>
        <v>-2856.7440000000006</v>
      </c>
      <c r="E50" s="596"/>
      <c r="G50" s="435"/>
      <c r="H50" s="436"/>
      <c r="I50" s="436"/>
      <c r="J50" s="437"/>
    </row>
    <row r="51" spans="1:10" ht="12" customHeight="1" thickBot="1">
      <c r="A51" s="40" t="s">
        <v>76</v>
      </c>
      <c r="D51" s="597">
        <f>+SUM(D48:E50)</f>
        <v>-31424.184000000001</v>
      </c>
      <c r="E51" s="598"/>
      <c r="G51" s="453" t="s">
        <v>77</v>
      </c>
      <c r="H51" s="454"/>
      <c r="I51" s="454"/>
      <c r="J51" s="455"/>
    </row>
    <row r="52" spans="1:10" ht="12" customHeight="1" thickTop="1" thickBot="1">
      <c r="A52" s="186" t="s">
        <v>78</v>
      </c>
      <c r="B52" s="183"/>
      <c r="C52" s="183"/>
      <c r="D52" s="40"/>
      <c r="E52" s="40"/>
      <c r="G52" s="413"/>
      <c r="H52" s="414"/>
      <c r="I52" s="414"/>
      <c r="J52" s="415"/>
    </row>
    <row r="53" spans="1:10" ht="12" customHeight="1">
      <c r="A53" s="40" t="s">
        <v>79</v>
      </c>
      <c r="B53" s="599">
        <v>650</v>
      </c>
      <c r="C53" s="600"/>
      <c r="D53" s="594"/>
      <c r="E53" s="594"/>
    </row>
    <row r="54" spans="1:10" ht="12" customHeight="1">
      <c r="A54" s="40" t="s">
        <v>80</v>
      </c>
      <c r="B54" s="601">
        <v>5000</v>
      </c>
      <c r="C54" s="602"/>
      <c r="D54" s="594"/>
      <c r="E54" s="594"/>
    </row>
    <row r="55" spans="1:10" ht="12" customHeight="1" thickBot="1">
      <c r="A55" s="40" t="s">
        <v>81</v>
      </c>
      <c r="B55" s="601">
        <v>250</v>
      </c>
      <c r="C55" s="602"/>
      <c r="D55" s="594"/>
      <c r="E55" s="594"/>
    </row>
    <row r="56" spans="1:10" ht="12" customHeight="1">
      <c r="A56" s="40" t="s">
        <v>81</v>
      </c>
      <c r="B56" s="601"/>
      <c r="C56" s="602"/>
      <c r="F56" s="394" t="s">
        <v>82</v>
      </c>
      <c r="G56" s="395"/>
      <c r="H56" s="395" t="s">
        <v>83</v>
      </c>
      <c r="I56" s="395"/>
      <c r="J56" s="380" t="s">
        <v>84</v>
      </c>
    </row>
    <row r="57" spans="1:10" ht="12" customHeight="1" thickBot="1">
      <c r="A57" s="40" t="s">
        <v>85</v>
      </c>
      <c r="B57" s="601"/>
      <c r="C57" s="602"/>
      <c r="F57" s="392">
        <f ca="1">_xlfn.DAYS(J57,H57)</f>
        <v>1776</v>
      </c>
      <c r="G57" s="393"/>
      <c r="H57" s="458">
        <v>44391</v>
      </c>
      <c r="I57" s="603"/>
      <c r="J57" s="381">
        <f ca="1">NOW()</f>
        <v>46167.634529745374</v>
      </c>
    </row>
    <row r="58" spans="1:10" ht="12" customHeight="1">
      <c r="A58" s="40" t="s">
        <v>85</v>
      </c>
      <c r="B58" s="601"/>
      <c r="C58" s="602"/>
      <c r="D58" s="594"/>
      <c r="E58" s="594"/>
    </row>
    <row r="59" spans="1:10" ht="12" customHeight="1">
      <c r="A59" s="40" t="s">
        <v>86</v>
      </c>
      <c r="B59" s="601"/>
      <c r="C59" s="602"/>
      <c r="D59" s="594"/>
      <c r="E59" s="594"/>
    </row>
    <row r="60" spans="1:10" ht="12" customHeight="1">
      <c r="A60" s="40" t="s">
        <v>87</v>
      </c>
      <c r="B60" s="601"/>
      <c r="C60" s="602"/>
      <c r="D60" s="594"/>
      <c r="E60" s="594"/>
    </row>
    <row r="61" spans="1:10" ht="12" customHeight="1">
      <c r="A61" s="40" t="s">
        <v>88</v>
      </c>
      <c r="B61" s="601"/>
      <c r="C61" s="602"/>
      <c r="D61" s="594"/>
      <c r="E61" s="594"/>
    </row>
    <row r="62" spans="1:10" ht="12" customHeight="1">
      <c r="A62" s="40" t="s">
        <v>89</v>
      </c>
      <c r="B62" s="601"/>
      <c r="C62" s="602"/>
      <c r="D62" s="594"/>
      <c r="E62" s="594"/>
    </row>
    <row r="63" spans="1:10" ht="12" customHeight="1">
      <c r="A63" s="40" t="s">
        <v>90</v>
      </c>
      <c r="B63" s="601"/>
      <c r="C63" s="602"/>
      <c r="D63" s="594"/>
      <c r="E63" s="594"/>
    </row>
    <row r="64" spans="1:10" ht="12" customHeight="1">
      <c r="A64" s="40" t="s">
        <v>91</v>
      </c>
      <c r="B64" s="601">
        <v>66</v>
      </c>
      <c r="C64" s="602"/>
      <c r="D64" s="594"/>
      <c r="E64" s="594"/>
    </row>
    <row r="65" spans="1:10" ht="12" customHeight="1">
      <c r="A65" s="40" t="s">
        <v>92</v>
      </c>
      <c r="B65" s="601"/>
      <c r="C65" s="602"/>
      <c r="D65" s="594"/>
      <c r="E65" s="594"/>
    </row>
    <row r="66" spans="1:10" ht="12" customHeight="1">
      <c r="A66" s="40" t="s">
        <v>93</v>
      </c>
      <c r="B66" s="601"/>
      <c r="C66" s="602"/>
      <c r="D66" s="594"/>
      <c r="E66" s="594"/>
    </row>
    <row r="67" spans="1:10" ht="12" customHeight="1">
      <c r="A67" s="40" t="s">
        <v>94</v>
      </c>
      <c r="B67" s="601">
        <v>26</v>
      </c>
      <c r="C67" s="602"/>
      <c r="D67" s="594"/>
      <c r="E67" s="594"/>
    </row>
    <row r="68" spans="1:10" ht="12" customHeight="1">
      <c r="A68" s="40" t="s">
        <v>95</v>
      </c>
      <c r="B68" s="601">
        <v>6</v>
      </c>
      <c r="C68" s="602"/>
      <c r="D68" s="594"/>
      <c r="E68" s="594"/>
    </row>
    <row r="69" spans="1:10" ht="12" customHeight="1">
      <c r="A69" s="40" t="s">
        <v>96</v>
      </c>
      <c r="B69" s="601"/>
      <c r="C69" s="602"/>
      <c r="D69" s="594"/>
      <c r="E69" s="594"/>
    </row>
    <row r="70" spans="1:10" ht="12" customHeight="1" thickBot="1">
      <c r="A70" s="40" t="s">
        <v>97</v>
      </c>
      <c r="B70" s="604"/>
      <c r="C70" s="605"/>
      <c r="D70" s="606"/>
      <c r="E70" s="560"/>
    </row>
    <row r="71" spans="1:10" ht="12" customHeight="1" thickBot="1">
      <c r="D71" s="597">
        <f>+SUM(B53:C70)</f>
        <v>5998</v>
      </c>
      <c r="E71" s="598"/>
      <c r="G71" s="410" t="s">
        <v>98</v>
      </c>
      <c r="H71" s="411"/>
      <c r="I71" s="411"/>
      <c r="J71" s="412"/>
    </row>
    <row r="72" spans="1:10" ht="12" customHeight="1" thickBot="1">
      <c r="G72" s="413"/>
      <c r="H72" s="414"/>
      <c r="I72" s="414"/>
      <c r="J72" s="415"/>
    </row>
    <row r="73" spans="1:10" ht="12" customHeight="1" thickTop="1" thickBot="1">
      <c r="A73" s="186" t="s">
        <v>99</v>
      </c>
      <c r="B73" s="183"/>
      <c r="C73" s="183"/>
      <c r="D73" s="183"/>
      <c r="E73" s="183"/>
    </row>
    <row r="74" spans="1:10" ht="12" customHeight="1">
      <c r="A74" s="40" t="s">
        <v>79</v>
      </c>
      <c r="B74" s="599"/>
      <c r="C74" s="600"/>
      <c r="D74" s="594"/>
      <c r="E74" s="594"/>
    </row>
    <row r="75" spans="1:10" ht="12" customHeight="1">
      <c r="A75" s="40" t="s">
        <v>81</v>
      </c>
      <c r="B75" s="601">
        <v>250</v>
      </c>
      <c r="C75" s="602"/>
      <c r="D75" s="594"/>
      <c r="E75" s="594"/>
    </row>
    <row r="76" spans="1:10" ht="12" customHeight="1">
      <c r="A76" s="40" t="s">
        <v>100</v>
      </c>
      <c r="B76" s="601">
        <v>0</v>
      </c>
      <c r="C76" s="602"/>
      <c r="D76" s="594"/>
      <c r="E76" s="594"/>
    </row>
    <row r="77" spans="1:10" ht="12" customHeight="1">
      <c r="A77" s="40" t="s">
        <v>101</v>
      </c>
      <c r="B77" s="601"/>
      <c r="C77" s="602"/>
      <c r="D77" s="594"/>
      <c r="E77" s="594"/>
    </row>
    <row r="78" spans="1:10" ht="12" customHeight="1">
      <c r="A78" s="40" t="s">
        <v>94</v>
      </c>
      <c r="B78" s="601"/>
      <c r="C78" s="602"/>
      <c r="D78" s="594"/>
      <c r="E78" s="594"/>
    </row>
    <row r="79" spans="1:10" ht="12" customHeight="1">
      <c r="A79" s="40" t="s">
        <v>95</v>
      </c>
      <c r="B79" s="601">
        <v>40</v>
      </c>
      <c r="C79" s="602"/>
      <c r="D79" s="594"/>
      <c r="E79" s="594"/>
    </row>
    <row r="80" spans="1:10" ht="12" customHeight="1">
      <c r="A80" s="40" t="s">
        <v>96</v>
      </c>
      <c r="B80" s="601"/>
      <c r="C80" s="602"/>
      <c r="D80" s="594"/>
      <c r="E80" s="594"/>
    </row>
    <row r="81" spans="1:10" ht="12" customHeight="1" thickBot="1">
      <c r="A81" s="40" t="s">
        <v>97</v>
      </c>
      <c r="B81" s="607"/>
      <c r="C81" s="608"/>
      <c r="D81" s="606"/>
      <c r="E81" s="560"/>
    </row>
    <row r="82" spans="1:10" ht="12" customHeight="1" thickTop="1" thickBot="1">
      <c r="D82" s="597">
        <f>+SUM(B74:C81)</f>
        <v>290</v>
      </c>
      <c r="E82" s="598"/>
      <c r="G82" s="410" t="s">
        <v>102</v>
      </c>
      <c r="H82" s="411"/>
      <c r="I82" s="411"/>
      <c r="J82" s="412"/>
    </row>
    <row r="83" spans="1:10" ht="12" customHeight="1" thickBot="1">
      <c r="G83" s="413"/>
      <c r="H83" s="414"/>
      <c r="I83" s="414"/>
      <c r="J83" s="415"/>
    </row>
    <row r="84" spans="1:10" ht="12" customHeight="1"/>
    <row r="85" spans="1:10" ht="12" customHeight="1"/>
    <row r="86" spans="1:10" ht="12" customHeight="1"/>
    <row r="87" spans="1:10" ht="12" customHeight="1"/>
    <row r="88" spans="1:10" ht="12" customHeight="1"/>
    <row r="89" spans="1:10" ht="12" customHeight="1"/>
    <row r="90" spans="1:10" ht="12" customHeight="1"/>
    <row r="91" spans="1:10" ht="12" customHeight="1"/>
    <row r="92" spans="1:10" ht="12" customHeight="1"/>
    <row r="93" spans="1:10" ht="12" customHeight="1"/>
    <row r="94" spans="1:10" ht="12" customHeight="1"/>
    <row r="95" spans="1:10" ht="12" customHeight="1"/>
    <row r="96" spans="1:10"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sheetData>
  <mergeCells count="120">
    <mergeCell ref="G82:J83"/>
    <mergeCell ref="G51:J52"/>
    <mergeCell ref="J41:J42"/>
    <mergeCell ref="F43:G43"/>
    <mergeCell ref="B64:C64"/>
    <mergeCell ref="D65:E65"/>
    <mergeCell ref="D66:E66"/>
    <mergeCell ref="B56:C56"/>
    <mergeCell ref="B74:C74"/>
    <mergeCell ref="D74:E74"/>
    <mergeCell ref="B75:C75"/>
    <mergeCell ref="D75:E75"/>
    <mergeCell ref="B70:C70"/>
    <mergeCell ref="D70:E70"/>
    <mergeCell ref="B66:C66"/>
    <mergeCell ref="B67:C67"/>
    <mergeCell ref="B65:C65"/>
    <mergeCell ref="B69:C69"/>
    <mergeCell ref="B53:C53"/>
    <mergeCell ref="D49:E49"/>
    <mergeCell ref="D48:E48"/>
    <mergeCell ref="D69:E69"/>
    <mergeCell ref="H56:I56"/>
    <mergeCell ref="H57:I57"/>
    <mergeCell ref="H2:I3"/>
    <mergeCell ref="F9:G9"/>
    <mergeCell ref="H9:I9"/>
    <mergeCell ref="H12:I12"/>
    <mergeCell ref="F40:G40"/>
    <mergeCell ref="B2:F2"/>
    <mergeCell ref="D3:E3"/>
    <mergeCell ref="F3:G3"/>
    <mergeCell ref="G49:J50"/>
    <mergeCell ref="J12:K15"/>
    <mergeCell ref="J6:J7"/>
    <mergeCell ref="B38:C38"/>
    <mergeCell ref="J8:J9"/>
    <mergeCell ref="B27:C27"/>
    <mergeCell ref="B31:C31"/>
    <mergeCell ref="C9:D9"/>
    <mergeCell ref="K27:K28"/>
    <mergeCell ref="J27:J28"/>
    <mergeCell ref="J20:K23"/>
    <mergeCell ref="K8:K9"/>
    <mergeCell ref="B8:C8"/>
    <mergeCell ref="J31:K32"/>
    <mergeCell ref="J29:J30"/>
    <mergeCell ref="K2:K3"/>
    <mergeCell ref="B1:C1"/>
    <mergeCell ref="D82:E82"/>
    <mergeCell ref="B76:C76"/>
    <mergeCell ref="D76:E76"/>
    <mergeCell ref="B78:C78"/>
    <mergeCell ref="D78:E78"/>
    <mergeCell ref="B79:C79"/>
    <mergeCell ref="D79:E79"/>
    <mergeCell ref="B77:C77"/>
    <mergeCell ref="D77:E77"/>
    <mergeCell ref="B80:C80"/>
    <mergeCell ref="D80:E80"/>
    <mergeCell ref="B81:C81"/>
    <mergeCell ref="D81:E81"/>
    <mergeCell ref="D58:E58"/>
    <mergeCell ref="D59:E59"/>
    <mergeCell ref="D54:E54"/>
    <mergeCell ref="B60:C60"/>
    <mergeCell ref="B61:C61"/>
    <mergeCell ref="B58:C58"/>
    <mergeCell ref="B59:C59"/>
    <mergeCell ref="B57:C57"/>
    <mergeCell ref="E41:F41"/>
    <mergeCell ref="E42:G42"/>
    <mergeCell ref="K6:K7"/>
    <mergeCell ref="D71:E71"/>
    <mergeCell ref="D62:E62"/>
    <mergeCell ref="D64:E64"/>
    <mergeCell ref="D63:E63"/>
    <mergeCell ref="B54:C54"/>
    <mergeCell ref="D60:E60"/>
    <mergeCell ref="D61:E61"/>
    <mergeCell ref="D55:E55"/>
    <mergeCell ref="K41:K42"/>
    <mergeCell ref="B68:C68"/>
    <mergeCell ref="D68:E68"/>
    <mergeCell ref="D67:E67"/>
    <mergeCell ref="B62:C62"/>
    <mergeCell ref="J18:K19"/>
    <mergeCell ref="G71:J72"/>
    <mergeCell ref="B63:C63"/>
    <mergeCell ref="G48:I48"/>
    <mergeCell ref="F39:G39"/>
    <mergeCell ref="C39:D39"/>
    <mergeCell ref="H45:I45"/>
    <mergeCell ref="H44:I44"/>
    <mergeCell ref="B48:C48"/>
    <mergeCell ref="K29:K30"/>
    <mergeCell ref="J2:J3"/>
    <mergeCell ref="J4:J5"/>
    <mergeCell ref="K4:K5"/>
    <mergeCell ref="B12:C12"/>
    <mergeCell ref="B36:C36"/>
    <mergeCell ref="H39:I39"/>
    <mergeCell ref="F57:G57"/>
    <mergeCell ref="F56:G56"/>
    <mergeCell ref="B4:C4"/>
    <mergeCell ref="B6:C6"/>
    <mergeCell ref="B7:C7"/>
    <mergeCell ref="D53:E53"/>
    <mergeCell ref="D51:E51"/>
    <mergeCell ref="D50:E50"/>
    <mergeCell ref="B50:C50"/>
    <mergeCell ref="B29:C29"/>
    <mergeCell ref="B37:C37"/>
    <mergeCell ref="B40:D40"/>
    <mergeCell ref="B45:C45"/>
    <mergeCell ref="D45:E45"/>
    <mergeCell ref="B44:C44"/>
    <mergeCell ref="B18:C18"/>
    <mergeCell ref="B55:C55"/>
    <mergeCell ref="B30:C30"/>
  </mergeCells>
  <pageMargins left="0.25" right="0.25" top="0.75" bottom="0.75" header="0.3" footer="0.3"/>
  <pageSetup orientation="portrait" r:id="rId1"/>
  <rowBreaks count="1" manualBreakCount="1">
    <brk id="4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2ECA-2BAD-40CC-ABE6-F611B5FB8305}">
  <sheetPr codeName="Sheet2"/>
  <dimension ref="A1:M82"/>
  <sheetViews>
    <sheetView topLeftCell="A147" zoomScale="115" zoomScaleNormal="115" workbookViewId="0">
      <selection activeCell="I20" sqref="I20:I24"/>
    </sheetView>
  </sheetViews>
  <sheetFormatPr defaultRowHeight="15"/>
  <cols>
    <col min="1" max="1" width="8.85546875" customWidth="1"/>
    <col min="2" max="3" width="12.7109375" customWidth="1"/>
    <col min="4" max="4" width="16.28515625" customWidth="1"/>
    <col min="5" max="6" width="12.28515625" bestFit="1" customWidth="1"/>
    <col min="7" max="7" width="12.5703125" customWidth="1"/>
    <col min="8" max="8" width="5.5703125" customWidth="1"/>
    <col min="9" max="9" width="88.28515625" customWidth="1"/>
    <col min="11" max="11" width="88" customWidth="1"/>
    <col min="15" max="15" width="56.7109375" customWidth="1"/>
  </cols>
  <sheetData>
    <row r="1" spans="1:11">
      <c r="C1" s="464" t="s">
        <v>103</v>
      </c>
      <c r="D1" s="465"/>
      <c r="E1" s="609"/>
      <c r="I1" s="459" t="str">
        <f>"Hi "&amp;B3 &amp; IF(B4 ="",""," and ") &amp;B4&amp;",
Thank you for the opportunity to make an offer on your property at "&amp;Profit!B2&amp;". I have several options I would like for you to consider. I also want to give you several very good reasons for you to work with us here at Buy Your Home LLC.
"&amp;REPT(" ",6)&amp;"1. If you sell your home to us, you will incur no expense from the transaction. We will pay all:
"&amp;REPT(" ",20)&amp;"Closing Cost
"&amp;REPT(" ",20)&amp;"Attorney's Fees
"&amp;REPT(" ",20)&amp;"Realtor Commissions
"&amp;REPT(" ",6) &amp;" 2. We can close fast. It will be a matter of days, probably less than two weeks, when we can  
"&amp;REPT(" ",11) &amp;"close at our attorney's office and get you your cash.
"&amp;REPT(" ",6) &amp;"3. We cover the cost, time, and effort of paying any money due to any lender or HOA 
"&amp;REPT(" ",11) &amp;"involved."</f>
        <v>Hi Nikki,
Thank you for the opportunity to make an offer on your property at 3325 Banks Rd, Raleigh, NC 27603.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v>
      </c>
      <c r="J1" s="466" t="s">
        <v>104</v>
      </c>
      <c r="K1" s="459" t="str">
        <f ca="1">+I1&amp;IF(N14="X",O14,"")&amp;"
"&amp; IF(H15="X",I15,"") &amp;"
"&amp; IF(H16="X",I16,"") &amp;"
"&amp; IF(H20="X",I20,"") &amp;"
"&amp; IF(H26="X",I26,"") &amp;"
"&amp; IF(H33="X",I33,"") &amp; "
"&amp; IF(H42="X",I42,"") &amp; "
"&amp; IF(H52="X",I52,"") &amp; "
"&amp; IF(H61="X",I61,"") &amp; "
"&amp; IF(H74="X",I74,"") &amp; "
"&amp; IF(H81="X",I81,"") &amp; "
"&amp; IF(H82="X",I82,"") &amp; "
"&amp; ""</f>
        <v xml:space="preserve">Hi Nikki,
Thank you for the opportunity to make an offer on your property at 3325 Banks Rd, Raleigh, NC 27603.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
Here are some purchase options for your consideration. They are presented in summary form and I am sure you will have some questions that I will be happy to take time needed to answer.  Each option below will have more value than the one above it.
Option 1: Cash plus Assumption of Mortgage
      This is a cash payment, at closing. We will take responsibility for the existing mortgage, HOA
      fees, and any liens that may be discovered until we are able to resell the property. This offer is:
                                           Cash:                      $10,000.00
                                Total Value:                      $10,000.00
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$2,000.00
                        12 Month Note:                        $28,000.00
                         Interest Earned:                         $2,240.00            $93.33 per month
                                Total Value:                    $32,240.00
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$121,323.26   *    Expected 10% appreciation per year
                          Expected Value:                    $131,323.26    ** After 24 months.
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
This offer is based on Zillow's Zestimate of $439,000.00. 
We will clean and prepare the property for a quick resale. There is also an assumption that the property will need no rehab. If that turns out to not be true, an allowance will need to be made. In any case, that will be decided in the due diligence period of the contract.
Sincerely,
Wes Browning
(919) 899-2104
</v>
      </c>
    </row>
    <row r="2" spans="1:11" ht="15.75" thickBot="1">
      <c r="C2" s="3"/>
      <c r="D2" s="22"/>
      <c r="I2" s="609"/>
      <c r="J2" s="466"/>
      <c r="K2" s="459"/>
    </row>
    <row r="3" spans="1:11" ht="16.5" customHeight="1">
      <c r="A3" t="s">
        <v>105</v>
      </c>
      <c r="B3" s="353" t="s">
        <v>106</v>
      </c>
      <c r="C3" s="352" t="s">
        <v>107</v>
      </c>
      <c r="D3" s="22"/>
      <c r="I3" s="609"/>
      <c r="J3" s="346" t="s">
        <v>108</v>
      </c>
      <c r="K3" s="459"/>
    </row>
    <row r="4" spans="1:11">
      <c r="A4" t="s">
        <v>109</v>
      </c>
      <c r="B4" s="351"/>
      <c r="C4" s="354"/>
      <c r="D4" s="22"/>
      <c r="I4" s="609"/>
      <c r="K4" s="459"/>
    </row>
    <row r="5" spans="1:11" ht="16.5">
      <c r="A5" t="s">
        <v>110</v>
      </c>
      <c r="B5" s="341"/>
      <c r="C5" s="342"/>
      <c r="D5" s="22"/>
      <c r="I5" s="609"/>
      <c r="K5" s="459"/>
    </row>
    <row r="6" spans="1:11" ht="15" customHeight="1" thickBot="1">
      <c r="A6" t="s">
        <v>111</v>
      </c>
      <c r="B6" s="343"/>
      <c r="C6" s="344"/>
      <c r="D6" s="22"/>
      <c r="I6" s="609"/>
      <c r="K6" s="459"/>
    </row>
    <row r="7" spans="1:11">
      <c r="I7" s="609"/>
      <c r="K7" s="459"/>
    </row>
    <row r="8" spans="1:11">
      <c r="I8" s="609"/>
      <c r="K8" s="459"/>
    </row>
    <row r="9" spans="1:11">
      <c r="A9" s="15" t="s">
        <v>112</v>
      </c>
      <c r="B9" s="15" t="s">
        <v>113</v>
      </c>
      <c r="C9" s="15"/>
      <c r="I9" s="609"/>
      <c r="K9" s="459"/>
    </row>
    <row r="10" spans="1:11">
      <c r="B10" s="467" t="s">
        <v>114</v>
      </c>
      <c r="C10" s="468"/>
      <c r="D10" s="468"/>
      <c r="E10" s="468"/>
      <c r="F10" s="468"/>
      <c r="G10" s="468"/>
      <c r="I10" s="609"/>
      <c r="K10" s="459"/>
    </row>
    <row r="11" spans="1:11">
      <c r="B11" s="609"/>
      <c r="C11" s="609"/>
      <c r="D11" s="609"/>
      <c r="E11" s="609"/>
      <c r="F11" s="609"/>
      <c r="G11" s="609"/>
      <c r="I11" s="609"/>
      <c r="K11" s="459"/>
    </row>
    <row r="12" spans="1:11">
      <c r="F12" s="460" t="s">
        <v>115</v>
      </c>
      <c r="I12" s="609"/>
      <c r="K12" s="459"/>
    </row>
    <row r="13" spans="1:11" ht="15.75" thickBot="1">
      <c r="B13" s="32" t="s">
        <v>116</v>
      </c>
      <c r="C13" s="339" t="s">
        <v>117</v>
      </c>
      <c r="D13" s="32" t="s">
        <v>118</v>
      </c>
      <c r="E13" s="32"/>
      <c r="F13" s="461"/>
      <c r="G13" s="32" t="s">
        <v>119</v>
      </c>
      <c r="I13" s="609"/>
      <c r="K13" s="459"/>
    </row>
    <row r="14" spans="1:11" ht="16.5" thickTop="1" thickBot="1">
      <c r="B14" s="350">
        <f>+D14+F14</f>
        <v>146682.86124999999</v>
      </c>
      <c r="C14" s="1">
        <f>+Profit!B4</f>
        <v>439000</v>
      </c>
      <c r="D14" s="1">
        <f>+Profit!K27-Profit!B18</f>
        <v>137682.86124999999</v>
      </c>
      <c r="F14" s="349">
        <f>+B24-(B24*F16)</f>
        <v>9000</v>
      </c>
      <c r="G14" s="312">
        <f ca="1">+C14-D14-F14+Profit!E39+Profit!B18</f>
        <v>165998.81474999999</v>
      </c>
      <c r="I14" s="609"/>
      <c r="K14" s="459"/>
    </row>
    <row r="15" spans="1:11" ht="16.5" thickTop="1" thickBot="1">
      <c r="C15" s="307"/>
      <c r="D15" s="308" t="s">
        <v>120</v>
      </c>
      <c r="E15" s="309">
        <f>+Profit!$K$29</f>
        <v>54069.184000000001</v>
      </c>
      <c r="H15" s="340"/>
      <c r="K15" s="459"/>
    </row>
    <row r="16" spans="1:11" ht="16.5" thickTop="1" thickBot="1">
      <c r="C16" s="307"/>
      <c r="D16" s="310" t="s">
        <v>121</v>
      </c>
      <c r="E16" s="311">
        <f ca="1">+G14/E15</f>
        <v>3.0701187343607774</v>
      </c>
      <c r="F16" s="348">
        <v>0.1</v>
      </c>
      <c r="H16" s="340" t="s">
        <v>122</v>
      </c>
      <c r="I16" s="459" t="str">
        <f>"Here are some purchase options for your consideration. They are presented in summary form and I am sure you will have some questions that I will be happy to take time needed to answer.  Each option below will have more value than the one above it."</f>
        <v>Here are some purchase options for your consideration. They are presented in summary form and I am sure you will have some questions that I will be happy to take time needed to answer.  Each option below will have more value than the one above it.</v>
      </c>
      <c r="K16" s="459"/>
    </row>
    <row r="17" spans="1:13" ht="15.75" thickTop="1">
      <c r="C17" s="307"/>
      <c r="D17" s="310" t="s">
        <v>123</v>
      </c>
      <c r="E17" s="311">
        <f ca="1">+G14/(F14+G14)</f>
        <v>0.94857108025070214</v>
      </c>
      <c r="F17" t="s">
        <v>124</v>
      </c>
      <c r="I17" s="459"/>
      <c r="K17" s="459"/>
    </row>
    <row r="18" spans="1:13">
      <c r="I18" s="459"/>
      <c r="K18" s="459"/>
    </row>
    <row r="19" spans="1:13" ht="15.75" thickBot="1">
      <c r="A19" s="15" t="s">
        <v>125</v>
      </c>
      <c r="B19" s="15" t="s">
        <v>126</v>
      </c>
      <c r="D19" s="15" t="s">
        <v>127</v>
      </c>
      <c r="H19">
        <f>IF(H20="X",1,0)</f>
        <v>0</v>
      </c>
      <c r="K19" s="459"/>
    </row>
    <row r="20" spans="1:13" ht="15" customHeight="1" thickTop="1" thickBot="1">
      <c r="B20" t="s">
        <v>128</v>
      </c>
      <c r="H20" s="340"/>
      <c r="I20" s="459" t="str">
        <f ca="1">"Option "&amp;H19&amp;": "&amp;""&amp;B9&amp;"
"&amp;REPT(" ",6)&amp;"This is a, traditional, all cash purchase, at closing with no other allowances considered. Seller 
"&amp;REPT(" ",6)&amp;"pays all mortgages, liens, HOA expenses, etc., out of closings disbursements. This option has 
" &amp; REPT(" ",6) &amp; "the smallest value for the seller. Our cash offer is:
"&amp;REPT(" ",43) &amp;"Cash:"&amp;REPT(" ",21)&amp;+TEXT(B14,"$#,##0.00") &amp; IF(J3="yes",REPT(" ",10) &amp; "Profit = "&amp; TEXT(G14,"$#,##0.00"),"" )&amp; "
"&amp;REPT(" ",32) &amp; "Total Value:"&amp;REPT(" ",21)&amp;TEXT(F14,"$#,##0.00")</f>
        <v>Option 0: Traditional, All Cash 
      This is a, traditional, all cash purchase, at closing with no other allowances considered. Seller 
      pays all mortgages, liens, HOA expenses, etc., out of closings disbursements. This option has 
      the smallest value for the seller. Our cash offer is:
                                           Cash:                     $146,682.86
                                Total Value:                     $9,000.00</v>
      </c>
      <c r="K20" s="459"/>
    </row>
    <row r="21" spans="1:13" ht="15.75" thickTop="1">
      <c r="B21" t="s">
        <v>129</v>
      </c>
      <c r="I21" s="459"/>
      <c r="J21" s="337"/>
      <c r="K21" s="459"/>
      <c r="L21" s="336"/>
      <c r="M21" s="336"/>
    </row>
    <row r="22" spans="1:13" ht="30">
      <c r="F22" s="93" t="s">
        <v>130</v>
      </c>
      <c r="I22" s="459"/>
      <c r="J22" s="336"/>
      <c r="K22" s="459"/>
      <c r="L22" s="336"/>
      <c r="M22" s="336"/>
    </row>
    <row r="23" spans="1:13" ht="15.75" thickBot="1">
      <c r="B23" s="32" t="s">
        <v>131</v>
      </c>
      <c r="C23" s="462"/>
      <c r="D23" s="463"/>
      <c r="E23" s="463"/>
      <c r="F23" s="463"/>
      <c r="G23" s="32" t="s">
        <v>119</v>
      </c>
      <c r="I23" s="478"/>
      <c r="J23" s="336"/>
      <c r="K23" s="459"/>
      <c r="L23" s="336"/>
      <c r="M23" s="336"/>
    </row>
    <row r="24" spans="1:13" ht="16.5" thickTop="1" thickBot="1">
      <c r="B24" s="347">
        <f>+Profit!B18</f>
        <v>10000</v>
      </c>
      <c r="C24" s="610" t="s">
        <v>132</v>
      </c>
      <c r="D24" s="611"/>
      <c r="E24" s="611"/>
      <c r="F24" s="10">
        <f>+B24</f>
        <v>10000</v>
      </c>
      <c r="G24" s="312">
        <f ca="1">+Profit!K45+Profit!B18-B24</f>
        <v>129418.94599999997</v>
      </c>
      <c r="I24" s="609"/>
      <c r="K24" s="459"/>
    </row>
    <row r="25" spans="1:13" ht="15.4" customHeight="1" thickTop="1" thickBot="1">
      <c r="C25" s="307"/>
      <c r="D25" s="308" t="s">
        <v>120</v>
      </c>
      <c r="E25" s="309">
        <f>+Profit!$K$29</f>
        <v>54069.184000000001</v>
      </c>
      <c r="H25">
        <f>IF(H26="X",1+H19,H19)</f>
        <v>1</v>
      </c>
      <c r="K25" s="459"/>
    </row>
    <row r="26" spans="1:13" ht="15" customHeight="1" thickTop="1" thickBot="1">
      <c r="C26" s="307"/>
      <c r="D26" s="310" t="s">
        <v>121</v>
      </c>
      <c r="E26" s="311">
        <f ca="1">+G24/E25</f>
        <v>2.393580528235824</v>
      </c>
      <c r="H26" s="340" t="s">
        <v>133</v>
      </c>
      <c r="I26" s="459" t="str">
        <f ca="1">"Option "  &amp; H25 &amp; ": "&amp;""&amp;B19&amp;"
"&amp;REPT(" ",6) &amp; "This is a cash payment, at closing. We will take responsibility for the existing mortgage, HOA
"&amp;REPT(" ",6) &amp; "fees, and any liens that may be discovered until we are able to resell the property. This offer is:
"&amp;REPT(" ",43)&amp;"Cash:"&amp;REPT(" ",22) &amp; TEXT(F24,"$#,##0.00") &amp; IF(J3="yes",REPT(" ",10) &amp; "Profit = "&amp; TEXT(G24,"$#,##0.00"),"" ) &amp; "
"&amp;REPT(" ",32)&amp;"Total Value:"&amp;REPT(" ",22) &amp; TEXT(F24,"$#,##0.00")</f>
        <v>Option 1: Cash plus Assumption of Mortgage
      This is a cash payment, at closing. We will take responsibility for the existing mortgage, HOA
      fees, and any liens that may be discovered until we are able to resell the property. This offer is:
                                           Cash:                      $10,000.00
                                Total Value:                      $10,000.00</v>
      </c>
      <c r="K26" s="459"/>
    </row>
    <row r="27" spans="1:13" ht="15" customHeight="1" thickTop="1">
      <c r="C27" s="307"/>
      <c r="D27" s="310" t="s">
        <v>123</v>
      </c>
      <c r="E27" s="311">
        <f ca="1">+G24/(F24+G24)</f>
        <v>0.92827373691377635</v>
      </c>
      <c r="I27" s="459"/>
      <c r="K27" s="459"/>
    </row>
    <row r="28" spans="1:13" ht="15" customHeight="1">
      <c r="I28" s="459"/>
      <c r="K28" s="459"/>
    </row>
    <row r="29" spans="1:13">
      <c r="A29" s="15"/>
      <c r="B29" s="15"/>
      <c r="I29" s="478"/>
      <c r="K29" s="459"/>
    </row>
    <row r="30" spans="1:13">
      <c r="A30" s="15" t="s">
        <v>134</v>
      </c>
      <c r="B30" s="15" t="s">
        <v>135</v>
      </c>
      <c r="D30" t="s">
        <v>136</v>
      </c>
      <c r="I30" s="609"/>
      <c r="K30" s="459"/>
    </row>
    <row r="31" spans="1:13" ht="25.5">
      <c r="B31" t="s">
        <v>128</v>
      </c>
      <c r="I31" s="337" t="str">
        <f>"This is a cash payment, at closing, in conjunction with reinstating the existing mortgage taking responsibility for those payments, HOA fees and other liens that may be discovered. Our cash offer is:"</f>
        <v>This is a cash payment, at closing, in conjunction with reinstating the existing mortgage taking responsibility for those payments, HOA fees and other liens that may be discovered. Our cash offer is:</v>
      </c>
      <c r="K31" s="459"/>
    </row>
    <row r="32" spans="1:13" ht="15.75" thickBot="1">
      <c r="B32" t="s">
        <v>129</v>
      </c>
      <c r="H32">
        <f>IF(H33="X",H25+1,H25)</f>
        <v>2</v>
      </c>
      <c r="K32" s="459"/>
    </row>
    <row r="33" spans="1:13" ht="15" customHeight="1" thickTop="1" thickBot="1">
      <c r="H33" s="340" t="s">
        <v>133</v>
      </c>
      <c r="I33" s="459" t="str">
        <f ca="1">"Option "  &amp; H32 &amp; ": " &amp;""&amp;B30&amp;"
"&amp;REPT(" ",6)&amp;"The explanation for the cash component is the same as for option "&amp; H25 &amp; ". However, "&amp;TEXT(B38,"##.#%") &amp;" of the
" &amp; REPT(" ",6) &amp; "value of the offer will be cash and "&amp; TEXT(C38,"##.#%") &amp;" will be in the form of a promissory note, complete
" &amp; REPT(" ",6) &amp; "with a Deed of Trust. The note will have a " &amp; D35 &amp; "-month term that will pay simple interest at
" &amp; REPT(" ",6) &amp; "the rate of "&amp;E37*100&amp;"% per year.
"&amp; REPT(" ",43) &amp; "Cash:" &amp; REPT(" ",23) &amp; TEXT(B37,"$#,##0.00") &amp; IF(J3="yes",REPT(" ",10) &amp; "Profit = "&amp; TEXT(G37,"$#,##0.00"),"" ) &amp;"
"&amp; REPT(" ",24) &amp; "12 Month Note:" &amp; REPT(" ",24) &amp; TEXT(C37,"$#,##0.00")&amp;"
"&amp; REPT(" ",25) &amp; "Interest Earned:" &amp; REPT(" ",25) &amp; TEXT(D37,"$#,##0.00") &amp;REPT(" ",12)&amp;+TEXT(D37/D35,"$#,##0.00") &amp; " per month" &amp; "
"&amp; REPT(" ",32) &amp; "Total Value:" &amp; REPT(" ",20) &amp; TEXT(F37,"$#,##0.00")</f>
        <v>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$2,000.00
                        12 Month Note:                        $28,000.00
                         Interest Earned:                         $2,240.00            $93.33 per month
                                Total Value:                    $32,240.00</v>
      </c>
      <c r="K33" s="459"/>
    </row>
    <row r="34" spans="1:13" ht="16.5" thickTop="1" thickBot="1">
      <c r="C34" s="2" t="s">
        <v>137</v>
      </c>
      <c r="D34" s="3" t="s">
        <v>138</v>
      </c>
      <c r="F34" s="3" t="s">
        <v>139</v>
      </c>
      <c r="I34" s="459"/>
      <c r="K34" s="459"/>
    </row>
    <row r="35" spans="1:13" ht="16.5" thickTop="1" thickBot="1">
      <c r="B35" s="345" t="s">
        <v>140</v>
      </c>
      <c r="C35" s="315">
        <v>20000</v>
      </c>
      <c r="D35" s="306">
        <v>24</v>
      </c>
      <c r="F35" s="460" t="s">
        <v>130</v>
      </c>
      <c r="I35" s="459"/>
      <c r="K35" s="459"/>
    </row>
    <row r="36" spans="1:13" ht="16.5" thickTop="1" thickBot="1">
      <c r="B36" s="32" t="s">
        <v>141</v>
      </c>
      <c r="C36" s="32" t="s">
        <v>142</v>
      </c>
      <c r="D36" s="32" t="s">
        <v>143</v>
      </c>
      <c r="E36" s="32" t="s">
        <v>144</v>
      </c>
      <c r="F36" s="461"/>
      <c r="G36" s="32" t="s">
        <v>119</v>
      </c>
      <c r="I36" s="459"/>
      <c r="K36" s="459"/>
    </row>
    <row r="37" spans="1:13" ht="16.5" thickTop="1" thickBot="1">
      <c r="B37" s="10">
        <f>+(Profit!$B$18)*B38</f>
        <v>2000</v>
      </c>
      <c r="C37" s="10">
        <f>+(Profit!$B$18)-B37+C35</f>
        <v>28000</v>
      </c>
      <c r="D37" s="10">
        <f>+C37*D35/12*E37</f>
        <v>2240</v>
      </c>
      <c r="E37" s="327">
        <v>0.04</v>
      </c>
      <c r="F37" s="10">
        <f>+SUM(B37:D37)</f>
        <v>32240</v>
      </c>
      <c r="G37" s="312">
        <f ca="1">+Profit!$K$45-D37-C35</f>
        <v>107178.94599999997</v>
      </c>
      <c r="I37" s="459"/>
      <c r="K37" s="459"/>
    </row>
    <row r="38" spans="1:13" ht="16.5" thickTop="1" thickBot="1">
      <c r="B38" s="327">
        <v>0.2</v>
      </c>
      <c r="C38" s="335">
        <f>1-B38</f>
        <v>0.8</v>
      </c>
      <c r="D38" s="10"/>
      <c r="E38" s="38"/>
      <c r="F38" s="10"/>
      <c r="G38" s="10"/>
      <c r="I38" s="459"/>
      <c r="K38" s="459"/>
    </row>
    <row r="39" spans="1:13" ht="15.4" customHeight="1" thickTop="1">
      <c r="B39" s="10"/>
      <c r="C39" s="312"/>
      <c r="D39" s="308" t="s">
        <v>120</v>
      </c>
      <c r="E39" s="309">
        <f>+Profit!$K$29-C37+C35</f>
        <v>46069.184000000001</v>
      </c>
      <c r="F39" s="10"/>
      <c r="G39" s="10"/>
      <c r="I39" s="459"/>
      <c r="K39" s="459"/>
    </row>
    <row r="40" spans="1:13">
      <c r="C40" s="307"/>
      <c r="D40" s="310" t="s">
        <v>121</v>
      </c>
      <c r="E40" s="311">
        <f ca="1">+G37/E39</f>
        <v>2.3264780639483424</v>
      </c>
      <c r="I40" s="459"/>
      <c r="K40" s="459"/>
    </row>
    <row r="41" spans="1:13" ht="15" customHeight="1" thickBot="1">
      <c r="C41" s="307"/>
      <c r="D41" s="310" t="s">
        <v>123</v>
      </c>
      <c r="E41" s="311">
        <f ca="1">+G37/(F37+G37)</f>
        <v>0.76875452781001508</v>
      </c>
      <c r="H41">
        <f>IF(H42="X",H32+1,H32)</f>
        <v>3</v>
      </c>
      <c r="K41" s="459"/>
    </row>
    <row r="42" spans="1:13" ht="16.5" thickTop="1" thickBot="1">
      <c r="A42" s="15" t="s">
        <v>145</v>
      </c>
      <c r="B42" s="15" t="s">
        <v>146</v>
      </c>
      <c r="H42" s="340" t="s">
        <v>133</v>
      </c>
      <c r="I42" s="459" t="str">
        <f ca="1">"Option "  &amp; H41 &amp; ": " &amp; B42&amp;"
"&amp;REPT(" ",6)&amp;"The explanation for the cash component is the same as for option "&amp; H32 &amp; ". Instead of a note as in
" &amp; REPT(" ",6) &amp; "Option "&amp; H32 &amp; ", you will share in the profit earned when the property is resold." &amp;" The property will 
" &amp; REPT(" ",6) &amp; "be placed into a trust that you will share a beneficial interest in. The advantage here is you will 
" &amp; REPT(" ",6) &amp; "benefit from the appreciated value of the property, over time." &amp;" You will receive quarterly
" &amp; REPT(" ",6) &amp; "reports on the financial status of the property.
"&amp; REPT(" ",43) &amp; "Cash:" &amp; REPT(" ",23) &amp; TEXT(B50,"$#,##0.00") &amp; IF(J3="yes",REPT(" ",10) &amp; "Profit = "&amp; TEXT(G50,"$#,##0.00"),"" ) &amp;"
"&amp; REPT(" ",24) &amp; "Interest in Trust:" &amp; REPT(" ",33) &amp; TEXT(D50,"#.#%")&amp;"
"&amp; REPT(" ",13) &amp; "Expected Sellers Profit:" &amp; REPT(" ",23) &amp; TEXT(E50,"$#,##0.00") &amp;"   *    Expected "&amp;Profit!$K$6*100&amp;"% appreciation per year" &amp; "
"&amp; REPT(" ",26) &amp; "Expected Value:" &amp; REPT(" ",20) &amp; TEXT(F50,"$#,##0.00") &amp; "    ** After " &amp; D35 &amp;" months."</f>
        <v>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$121,323.26   *    Expected 10% appreciation per year
                          Expected Value:                    $131,323.26    ** After 24 months.</v>
      </c>
      <c r="K42" s="459"/>
    </row>
    <row r="43" spans="1:13" ht="15.75" thickTop="1">
      <c r="B43" t="s">
        <v>128</v>
      </c>
      <c r="I43" s="459"/>
      <c r="K43" s="609"/>
      <c r="M43" s="331"/>
    </row>
    <row r="44" spans="1:13">
      <c r="B44" t="s">
        <v>129</v>
      </c>
      <c r="I44" s="459"/>
      <c r="K44" s="609"/>
    </row>
    <row r="45" spans="1:13" ht="15" customHeight="1">
      <c r="B45" t="s">
        <v>147</v>
      </c>
      <c r="I45" s="459"/>
      <c r="K45" s="609"/>
    </row>
    <row r="46" spans="1:13">
      <c r="B46" t="s">
        <v>148</v>
      </c>
      <c r="I46" s="459"/>
      <c r="K46" s="609"/>
    </row>
    <row r="47" spans="1:13">
      <c r="F47" s="3" t="s">
        <v>149</v>
      </c>
      <c r="I47" s="459"/>
      <c r="K47" s="609"/>
    </row>
    <row r="48" spans="1:13">
      <c r="C48" s="460" t="s">
        <v>150</v>
      </c>
      <c r="D48" s="460" t="s">
        <v>151</v>
      </c>
      <c r="E48" s="460" t="s">
        <v>152</v>
      </c>
      <c r="F48" s="460" t="s">
        <v>130</v>
      </c>
      <c r="I48" s="459"/>
      <c r="K48" s="609"/>
    </row>
    <row r="49" spans="1:11" ht="15.75" thickBot="1">
      <c r="B49" s="3" t="s">
        <v>141</v>
      </c>
      <c r="C49" s="461" t="s">
        <v>150</v>
      </c>
      <c r="D49" s="461" t="s">
        <v>151</v>
      </c>
      <c r="E49" s="461" t="s">
        <v>153</v>
      </c>
      <c r="F49" s="461"/>
      <c r="G49" s="32" t="s">
        <v>119</v>
      </c>
      <c r="I49" s="459"/>
      <c r="K49" s="609"/>
    </row>
    <row r="50" spans="1:11" ht="16.5" thickTop="1" thickBot="1">
      <c r="B50" s="315">
        <v>10000</v>
      </c>
      <c r="C50" s="8">
        <f ca="1">+Profit!$K$45+Profit!B18-B50+(Profit!K6*Profit!C35/12*Profit!B4)</f>
        <v>173318.94599999997</v>
      </c>
      <c r="D50" s="305">
        <v>0.7</v>
      </c>
      <c r="E50" s="10">
        <f ca="1">+D50*C50</f>
        <v>121323.26219999997</v>
      </c>
      <c r="F50" s="10">
        <f ca="1">+B50+E50</f>
        <v>131323.26219999997</v>
      </c>
      <c r="G50" s="312">
        <f ca="1">(1-D50)*C50</f>
        <v>51995.683799999999</v>
      </c>
      <c r="I50" s="459"/>
      <c r="K50" s="609"/>
    </row>
    <row r="51" spans="1:11" ht="15.75" thickTop="1">
      <c r="D51" s="15" t="s">
        <v>154</v>
      </c>
      <c r="I51" s="338"/>
      <c r="K51" s="609"/>
    </row>
    <row r="52" spans="1:11">
      <c r="C52" s="307"/>
      <c r="D52" s="308" t="s">
        <v>120</v>
      </c>
      <c r="E52" s="309">
        <f>+Profit!$K$29-B24+B50</f>
        <v>54069.184000000001</v>
      </c>
      <c r="H52" t="s">
        <v>122</v>
      </c>
      <c r="I52" s="459" t="str">
        <f>B3 &amp; ", this offer is contingent upon a normal due diligence period. The values of each option are predicated on some assumptions that may need to be altered upon further discovery. " &amp; "The more we can learn from you, in advance, the more reliable these options may be considered. When you decide which offer you prefer, I will email you a contract along with an earnest money payment. We are ready to be of service in any way we can."</f>
        <v>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v>
      </c>
      <c r="K52" s="609"/>
    </row>
    <row r="53" spans="1:11" ht="15" customHeight="1">
      <c r="C53" s="307"/>
      <c r="D53" s="310" t="s">
        <v>121</v>
      </c>
      <c r="E53" s="311">
        <f ca="1">+G50/E52</f>
        <v>0.96165098034399776</v>
      </c>
      <c r="I53" s="609"/>
      <c r="K53" s="609"/>
    </row>
    <row r="54" spans="1:11">
      <c r="C54" s="307"/>
      <c r="D54" s="310" t="s">
        <v>123</v>
      </c>
      <c r="E54" s="311">
        <f ca="1">+G50/(F50+G50)</f>
        <v>0.28363507937690197</v>
      </c>
      <c r="I54" s="609"/>
      <c r="K54" s="609"/>
    </row>
    <row r="55" spans="1:11" ht="15" customHeight="1">
      <c r="I55" s="609"/>
      <c r="K55" s="609"/>
    </row>
    <row r="56" spans="1:11" ht="15.75" thickBot="1">
      <c r="B56" s="15" t="s">
        <v>155</v>
      </c>
      <c r="D56" t="s">
        <v>156</v>
      </c>
      <c r="I56" s="609"/>
      <c r="K56" s="609"/>
    </row>
    <row r="57" spans="1:11">
      <c r="A57" s="469" t="str">
        <f>"This offer is based on Zillow's Zestimate of " &amp;  TEXT(Profit!B4,"$#,##0.00") &amp; ". 
" &amp; "We will clean and prepare the property for a quick resale. There is also an assumption that the property will need no rehab." &amp; " If that turns out to not be true, an allowance will need to be made. In any case, that will be decided in the due diligence period of the contract.
" &amp;
""</f>
        <v xml:space="preserve">This offer is based on Zillow's Zestimate of $439,000.00. 
We will clean and prepare the property for a quick resale. There is also an assumption that the property will need no rehab. If that turns out to not be true, an allowance will need to be made. In any case, that will be decided in the due diligence period of the contract.
</v>
      </c>
      <c r="B57" s="470"/>
      <c r="C57" s="470"/>
      <c r="D57" s="470"/>
      <c r="E57" s="470"/>
      <c r="F57" s="470"/>
      <c r="G57" s="471"/>
      <c r="I57" s="609"/>
      <c r="K57" s="609"/>
    </row>
    <row r="58" spans="1:11">
      <c r="A58" s="472"/>
      <c r="B58" s="473"/>
      <c r="C58" s="473"/>
      <c r="D58" s="473"/>
      <c r="E58" s="473"/>
      <c r="F58" s="473"/>
      <c r="G58" s="474"/>
      <c r="I58" s="609"/>
      <c r="K58" s="609"/>
    </row>
    <row r="59" spans="1:11">
      <c r="A59" s="472"/>
      <c r="B59" s="473"/>
      <c r="C59" s="473"/>
      <c r="D59" s="473"/>
      <c r="E59" s="473"/>
      <c r="F59" s="473"/>
      <c r="G59" s="474"/>
      <c r="K59" s="609"/>
    </row>
    <row r="60" spans="1:11">
      <c r="A60" s="472"/>
      <c r="B60" s="473"/>
      <c r="C60" s="473"/>
      <c r="D60" s="473"/>
      <c r="E60" s="473"/>
      <c r="F60" s="473"/>
      <c r="G60" s="474"/>
      <c r="K60" s="609"/>
    </row>
    <row r="61" spans="1:11">
      <c r="A61" s="472"/>
      <c r="B61" s="473"/>
      <c r="C61" s="473"/>
      <c r="D61" s="473"/>
      <c r="E61" s="473"/>
      <c r="F61" s="473"/>
      <c r="G61" s="474"/>
      <c r="H61" t="s">
        <v>122</v>
      </c>
      <c r="I61" s="459" t="str">
        <f>A57</f>
        <v xml:space="preserve">This offer is based on Zillow's Zestimate of $439,000.00. 
We will clean and prepare the property for a quick resale. There is also an assumption that the property will need no rehab. If that turns out to not be true, an allowance will need to be made. In any case, that will be decided in the due diligence period of the contract.
</v>
      </c>
      <c r="K61" s="609"/>
    </row>
    <row r="62" spans="1:11">
      <c r="A62" s="472"/>
      <c r="B62" s="473"/>
      <c r="C62" s="473"/>
      <c r="D62" s="473"/>
      <c r="E62" s="473"/>
      <c r="F62" s="473"/>
      <c r="G62" s="474"/>
      <c r="I62" s="609"/>
      <c r="K62" s="609"/>
    </row>
    <row r="63" spans="1:11">
      <c r="A63" s="472"/>
      <c r="B63" s="473"/>
      <c r="C63" s="473"/>
      <c r="D63" s="473"/>
      <c r="E63" s="473"/>
      <c r="F63" s="473"/>
      <c r="G63" s="474"/>
      <c r="I63" s="609"/>
      <c r="K63" s="609"/>
    </row>
    <row r="64" spans="1:11">
      <c r="A64" s="472"/>
      <c r="B64" s="473"/>
      <c r="C64" s="473"/>
      <c r="D64" s="473"/>
      <c r="E64" s="473"/>
      <c r="F64" s="473"/>
      <c r="G64" s="474"/>
      <c r="I64" s="609"/>
      <c r="K64" s="609"/>
    </row>
    <row r="65" spans="1:11">
      <c r="A65" s="472"/>
      <c r="B65" s="473"/>
      <c r="C65" s="473"/>
      <c r="D65" s="473"/>
      <c r="E65" s="473"/>
      <c r="F65" s="473"/>
      <c r="G65" s="474"/>
      <c r="I65" s="609"/>
      <c r="K65" s="609"/>
    </row>
    <row r="66" spans="1:11">
      <c r="A66" s="472"/>
      <c r="B66" s="473"/>
      <c r="C66" s="473"/>
      <c r="D66" s="473"/>
      <c r="E66" s="473"/>
      <c r="F66" s="473"/>
      <c r="G66" s="474"/>
      <c r="I66" s="609"/>
      <c r="K66" s="609"/>
    </row>
    <row r="67" spans="1:11">
      <c r="A67" s="472"/>
      <c r="B67" s="473"/>
      <c r="C67" s="473"/>
      <c r="D67" s="473"/>
      <c r="E67" s="473"/>
      <c r="F67" s="473"/>
      <c r="G67" s="474"/>
      <c r="I67" s="609"/>
      <c r="K67" s="609"/>
    </row>
    <row r="68" spans="1:11">
      <c r="A68" s="472"/>
      <c r="B68" s="473"/>
      <c r="C68" s="473"/>
      <c r="D68" s="473"/>
      <c r="E68" s="473"/>
      <c r="F68" s="473"/>
      <c r="G68" s="474"/>
      <c r="I68" s="609"/>
    </row>
    <row r="69" spans="1:11">
      <c r="A69" s="472"/>
      <c r="B69" s="473"/>
      <c r="C69" s="473"/>
      <c r="D69" s="473"/>
      <c r="E69" s="473"/>
      <c r="F69" s="473"/>
      <c r="G69" s="474"/>
      <c r="I69" s="609"/>
    </row>
    <row r="70" spans="1:11">
      <c r="A70" s="472"/>
      <c r="B70" s="473"/>
      <c r="C70" s="473"/>
      <c r="D70" s="473"/>
      <c r="E70" s="473"/>
      <c r="F70" s="473"/>
      <c r="G70" s="474"/>
      <c r="I70" s="609"/>
    </row>
    <row r="71" spans="1:11">
      <c r="A71" s="472"/>
      <c r="B71" s="473"/>
      <c r="C71" s="473"/>
      <c r="D71" s="473"/>
      <c r="E71" s="473"/>
      <c r="F71" s="473"/>
      <c r="G71" s="474"/>
      <c r="I71" s="609"/>
    </row>
    <row r="72" spans="1:11">
      <c r="A72" s="472"/>
      <c r="B72" s="473"/>
      <c r="C72" s="473"/>
      <c r="D72" s="473"/>
      <c r="E72" s="473"/>
      <c r="F72" s="473"/>
      <c r="G72" s="474"/>
      <c r="I72" s="609"/>
    </row>
    <row r="73" spans="1:11">
      <c r="A73" s="472"/>
      <c r="B73" s="473"/>
      <c r="C73" s="473"/>
      <c r="D73" s="473"/>
      <c r="E73" s="473"/>
      <c r="F73" s="473"/>
      <c r="G73" s="474"/>
    </row>
    <row r="74" spans="1:11">
      <c r="A74" s="472"/>
      <c r="B74" s="473"/>
      <c r="C74" s="473"/>
      <c r="D74" s="473"/>
      <c r="E74" s="473"/>
      <c r="F74" s="473"/>
      <c r="G74" s="474"/>
      <c r="H74" t="s">
        <v>122</v>
      </c>
      <c r="I74" s="329" t="str">
        <f>"Sincerely,
Wes Browning"</f>
        <v>Sincerely,
Wes Browning</v>
      </c>
    </row>
    <row r="75" spans="1:11" ht="15" customHeight="1">
      <c r="A75" s="472"/>
      <c r="B75" s="473"/>
      <c r="C75" s="473"/>
      <c r="D75" s="473"/>
      <c r="E75" s="473"/>
      <c r="F75" s="473"/>
      <c r="G75" s="474"/>
      <c r="I75" s="329"/>
    </row>
    <row r="76" spans="1:11">
      <c r="A76" s="472"/>
      <c r="B76" s="473"/>
      <c r="C76" s="473"/>
      <c r="D76" s="473"/>
      <c r="E76" s="473"/>
      <c r="F76" s="473"/>
      <c r="G76" s="474"/>
      <c r="I76" s="329"/>
    </row>
    <row r="77" spans="1:11">
      <c r="A77" s="472"/>
      <c r="B77" s="473"/>
      <c r="C77" s="473"/>
      <c r="D77" s="473"/>
      <c r="E77" s="473"/>
      <c r="F77" s="473"/>
      <c r="G77" s="474"/>
    </row>
    <row r="78" spans="1:11">
      <c r="A78" s="472"/>
      <c r="B78" s="473"/>
      <c r="C78" s="473"/>
      <c r="D78" s="473"/>
      <c r="E78" s="473"/>
      <c r="F78" s="473"/>
      <c r="G78" s="474"/>
    </row>
    <row r="79" spans="1:11" ht="15.75" thickBot="1">
      <c r="A79" s="475"/>
      <c r="B79" s="476"/>
      <c r="C79" s="476"/>
      <c r="D79" s="476"/>
      <c r="E79" s="476"/>
      <c r="F79" s="476"/>
      <c r="G79" s="477"/>
    </row>
    <row r="80" spans="1:11">
      <c r="A80" s="329"/>
      <c r="B80" s="329"/>
      <c r="C80" s="329"/>
      <c r="D80" s="329"/>
      <c r="E80" s="329"/>
      <c r="F80" s="329"/>
      <c r="G80" s="329"/>
    </row>
    <row r="81" spans="1:9">
      <c r="A81" s="329"/>
      <c r="B81" s="329"/>
      <c r="C81" s="329"/>
      <c r="D81" s="329"/>
      <c r="E81" s="329"/>
      <c r="F81" s="329"/>
      <c r="G81" s="2" t="s">
        <v>157</v>
      </c>
      <c r="I81" s="329" t="s">
        <v>158</v>
      </c>
    </row>
    <row r="82" spans="1:9">
      <c r="G82" s="2" t="s">
        <v>159</v>
      </c>
      <c r="H82" t="s">
        <v>122</v>
      </c>
      <c r="I82" s="329" t="s">
        <v>160</v>
      </c>
    </row>
  </sheetData>
  <mergeCells count="21">
    <mergeCell ref="A57:G79"/>
    <mergeCell ref="D48:D49"/>
    <mergeCell ref="C48:C49"/>
    <mergeCell ref="I26:I30"/>
    <mergeCell ref="I20:I24"/>
    <mergeCell ref="K1:K67"/>
    <mergeCell ref="I1:I14"/>
    <mergeCell ref="E48:E49"/>
    <mergeCell ref="F35:F36"/>
    <mergeCell ref="F48:F49"/>
    <mergeCell ref="I42:I50"/>
    <mergeCell ref="I52:I58"/>
    <mergeCell ref="I61:I72"/>
    <mergeCell ref="I16:I18"/>
    <mergeCell ref="I33:I40"/>
    <mergeCell ref="C23:F23"/>
    <mergeCell ref="C24:E24"/>
    <mergeCell ref="C1:E1"/>
    <mergeCell ref="F12:F13"/>
    <mergeCell ref="J1:J2"/>
    <mergeCell ref="B10:G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131FC-90AC-443C-A73E-F7CE9DF8AC63}">
  <sheetPr codeName="Sheet3"/>
  <dimension ref="A1:U57"/>
  <sheetViews>
    <sheetView workbookViewId="0">
      <pane xSplit="5" ySplit="1" topLeftCell="F23" activePane="bottomRight" state="frozen"/>
      <selection pane="bottomRight" activeCell="I45" sqref="I45"/>
      <selection pane="bottomLeft" activeCell="A2" sqref="A2"/>
      <selection pane="topRight" activeCell="E1" sqref="E1"/>
    </sheetView>
  </sheetViews>
  <sheetFormatPr defaultRowHeight="15"/>
  <cols>
    <col min="1" max="1" width="11" customWidth="1"/>
    <col min="2" max="2" width="38.140625" bestFit="1" customWidth="1"/>
    <col min="3" max="3" width="10.5703125" customWidth="1"/>
    <col min="4" max="4" width="9.28515625" customWidth="1"/>
    <col min="5" max="6" width="29.140625" style="25" customWidth="1"/>
    <col min="7" max="8" width="10" customWidth="1"/>
    <col min="9" max="11" width="9.28515625" style="190" customWidth="1"/>
    <col min="12" max="12" width="8.28515625" style="190" customWidth="1"/>
    <col min="13" max="13" width="8" style="190" customWidth="1"/>
    <col min="14" max="19" width="8.140625" customWidth="1"/>
    <col min="20" max="20" width="3.140625" customWidth="1"/>
  </cols>
  <sheetData>
    <row r="1" spans="1:21" s="93" customFormat="1" ht="45.75" thickBot="1">
      <c r="A1" s="242"/>
      <c r="B1" s="481" t="str">
        <f>+Profit!B2</f>
        <v>3325 Banks Rd, Raleigh, NC 27603</v>
      </c>
      <c r="C1" s="482"/>
      <c r="D1" s="479" t="s">
        <v>161</v>
      </c>
      <c r="E1" s="480"/>
      <c r="F1" s="372"/>
      <c r="G1" s="237" t="s">
        <v>162</v>
      </c>
      <c r="H1" s="237" t="s">
        <v>163</v>
      </c>
      <c r="I1" s="289" t="s">
        <v>164</v>
      </c>
      <c r="J1" s="289" t="s">
        <v>165</v>
      </c>
      <c r="K1" s="279" t="s">
        <v>166</v>
      </c>
      <c r="L1" s="279" t="s">
        <v>167</v>
      </c>
      <c r="M1" s="279" t="s">
        <v>168</v>
      </c>
      <c r="N1" s="289" t="s">
        <v>169</v>
      </c>
      <c r="O1" s="279" t="s">
        <v>170</v>
      </c>
      <c r="P1" s="289" t="s">
        <v>171</v>
      </c>
      <c r="Q1" s="279" t="s">
        <v>172</v>
      </c>
      <c r="R1" s="279" t="s">
        <v>173</v>
      </c>
      <c r="S1" s="289" t="s">
        <v>174</v>
      </c>
      <c r="T1" s="237"/>
      <c r="U1" s="228"/>
    </row>
    <row r="2" spans="1:21">
      <c r="A2" s="243" t="s">
        <v>175</v>
      </c>
      <c r="B2" s="238"/>
      <c r="G2" s="235"/>
      <c r="H2" s="235"/>
      <c r="I2" s="235"/>
      <c r="J2" s="235"/>
      <c r="K2" s="235"/>
      <c r="L2" s="235"/>
      <c r="M2" s="235"/>
      <c r="N2" s="241"/>
      <c r="O2" s="241"/>
      <c r="P2" s="241"/>
      <c r="Q2" s="241"/>
      <c r="R2" s="241"/>
      <c r="S2" s="241"/>
      <c r="T2" s="272"/>
    </row>
    <row r="3" spans="1:21" ht="13.15" customHeight="1">
      <c r="A3" s="244"/>
      <c r="B3" s="239" t="s">
        <v>176</v>
      </c>
      <c r="C3" s="191" t="s">
        <v>177</v>
      </c>
      <c r="D3" s="612" t="s">
        <v>178</v>
      </c>
      <c r="E3" s="613"/>
      <c r="F3" s="269"/>
      <c r="G3" s="236"/>
      <c r="H3" s="236" t="s">
        <v>177</v>
      </c>
      <c r="I3" s="236"/>
      <c r="J3" s="236"/>
      <c r="K3" s="236"/>
      <c r="L3" s="236"/>
      <c r="M3" s="236"/>
      <c r="N3" s="236"/>
      <c r="T3" s="273"/>
    </row>
    <row r="4" spans="1:21" ht="13.15" customHeight="1">
      <c r="A4" s="244"/>
      <c r="B4" s="239" t="s">
        <v>179</v>
      </c>
      <c r="C4" s="192" t="s">
        <v>177</v>
      </c>
      <c r="D4" s="612" t="s">
        <v>178</v>
      </c>
      <c r="E4" s="613"/>
      <c r="F4" s="269"/>
      <c r="G4" s="236"/>
      <c r="H4" s="236" t="s">
        <v>180</v>
      </c>
      <c r="I4" s="236"/>
      <c r="J4" s="236"/>
      <c r="K4" s="236"/>
      <c r="L4" s="236"/>
      <c r="M4" s="236"/>
      <c r="N4" s="236"/>
      <c r="T4" s="273"/>
    </row>
    <row r="5" spans="1:21" ht="13.15" customHeight="1">
      <c r="A5" s="244"/>
      <c r="B5" s="239" t="s">
        <v>181</v>
      </c>
      <c r="C5" s="192" t="s">
        <v>177</v>
      </c>
      <c r="D5" s="612" t="s">
        <v>178</v>
      </c>
      <c r="E5" s="613"/>
      <c r="F5" s="269"/>
      <c r="G5" s="236"/>
      <c r="H5" s="236" t="s">
        <v>180</v>
      </c>
      <c r="I5" s="236"/>
      <c r="J5" s="236"/>
      <c r="K5" s="236"/>
      <c r="L5" s="236"/>
      <c r="M5" s="236"/>
      <c r="N5" s="236"/>
      <c r="T5" s="273"/>
    </row>
    <row r="6" spans="1:21" ht="13.15" customHeight="1">
      <c r="A6" s="244"/>
      <c r="B6" s="239" t="s">
        <v>182</v>
      </c>
      <c r="C6" s="192" t="s">
        <v>177</v>
      </c>
      <c r="D6" s="612" t="s">
        <v>178</v>
      </c>
      <c r="E6" s="613"/>
      <c r="F6" s="269"/>
      <c r="G6" s="236"/>
      <c r="H6" s="236" t="s">
        <v>48</v>
      </c>
      <c r="I6" s="236"/>
      <c r="J6" s="236"/>
      <c r="K6" s="236"/>
      <c r="L6" s="236"/>
      <c r="M6" s="236"/>
      <c r="N6" s="236"/>
      <c r="T6" s="273"/>
    </row>
    <row r="7" spans="1:21" ht="13.15" customHeight="1">
      <c r="A7" s="244"/>
      <c r="B7" s="239" t="s">
        <v>183</v>
      </c>
      <c r="C7" s="192" t="s">
        <v>48</v>
      </c>
      <c r="D7" s="612"/>
      <c r="E7" s="613"/>
      <c r="F7" s="269"/>
      <c r="G7" s="236"/>
      <c r="H7" s="236" t="s">
        <v>48</v>
      </c>
      <c r="I7" s="236"/>
      <c r="J7" s="236"/>
      <c r="K7" s="236"/>
      <c r="L7" s="236"/>
      <c r="M7" s="236"/>
      <c r="N7" s="236"/>
      <c r="T7" s="273"/>
    </row>
    <row r="8" spans="1:21" ht="13.15" customHeight="1">
      <c r="A8" s="244"/>
      <c r="B8" s="239" t="s">
        <v>184</v>
      </c>
      <c r="C8" s="192" t="s">
        <v>48</v>
      </c>
      <c r="D8" s="612"/>
      <c r="E8" s="613"/>
      <c r="F8" s="269"/>
      <c r="G8" s="236"/>
      <c r="H8" s="236" t="s">
        <v>48</v>
      </c>
      <c r="I8" s="236"/>
      <c r="J8" s="236"/>
      <c r="K8" s="236"/>
      <c r="L8" s="236"/>
      <c r="M8" s="236"/>
      <c r="N8" s="236"/>
      <c r="T8" s="273"/>
    </row>
    <row r="9" spans="1:21" ht="13.15" customHeight="1">
      <c r="A9" s="244"/>
      <c r="B9" s="239" t="s">
        <v>185</v>
      </c>
      <c r="C9" s="192" t="s">
        <v>186</v>
      </c>
      <c r="D9" s="612"/>
      <c r="E9" s="613"/>
      <c r="F9" s="269"/>
      <c r="G9" s="236"/>
      <c r="H9" s="236" t="s">
        <v>48</v>
      </c>
      <c r="I9" s="236"/>
      <c r="J9" s="236"/>
      <c r="K9" s="236"/>
      <c r="L9" s="236"/>
      <c r="M9" s="236"/>
      <c r="N9" s="236"/>
      <c r="T9" s="274"/>
    </row>
    <row r="10" spans="1:21" ht="13.15" customHeight="1">
      <c r="A10" s="244"/>
      <c r="B10" s="239" t="s">
        <v>187</v>
      </c>
      <c r="C10" s="192" t="s">
        <v>186</v>
      </c>
      <c r="D10" s="612"/>
      <c r="E10" s="613"/>
      <c r="F10" s="269"/>
      <c r="G10" s="236"/>
      <c r="H10" s="236" t="s">
        <v>48</v>
      </c>
      <c r="I10" s="236"/>
      <c r="J10" s="236"/>
      <c r="K10" s="236"/>
      <c r="L10" s="236"/>
      <c r="M10" s="236"/>
      <c r="N10" s="236"/>
      <c r="T10" s="274"/>
    </row>
    <row r="11" spans="1:21" ht="13.15" customHeight="1">
      <c r="A11" s="244"/>
      <c r="B11" s="239"/>
      <c r="C11" s="192"/>
      <c r="D11" s="612"/>
      <c r="E11" s="613"/>
      <c r="F11" s="269"/>
      <c r="G11" s="236"/>
      <c r="H11" s="236">
        <v>0</v>
      </c>
      <c r="I11" s="236"/>
      <c r="J11" s="236"/>
      <c r="K11" s="236"/>
      <c r="L11" s="236"/>
      <c r="M11" s="236"/>
      <c r="N11" s="236"/>
      <c r="T11" s="274"/>
    </row>
    <row r="12" spans="1:21" ht="13.15" customHeight="1">
      <c r="A12" s="483" t="s">
        <v>188</v>
      </c>
      <c r="B12" s="239"/>
      <c r="C12" s="192"/>
      <c r="D12" s="612"/>
      <c r="E12" s="613"/>
      <c r="F12" s="269"/>
      <c r="G12" s="236"/>
      <c r="H12" s="236">
        <v>0</v>
      </c>
      <c r="I12" s="236"/>
      <c r="J12" s="236"/>
      <c r="K12" s="236"/>
      <c r="L12" s="236"/>
      <c r="M12" s="236"/>
      <c r="N12" s="236"/>
      <c r="T12" s="274"/>
    </row>
    <row r="13" spans="1:21" ht="13.15" customHeight="1">
      <c r="A13" s="484"/>
      <c r="B13" s="239" t="s">
        <v>189</v>
      </c>
      <c r="C13" s="192" t="s">
        <v>186</v>
      </c>
      <c r="D13" s="612"/>
      <c r="E13" s="613"/>
      <c r="F13" s="269"/>
      <c r="G13" s="236"/>
      <c r="H13" s="236" t="s">
        <v>48</v>
      </c>
      <c r="I13" s="236"/>
      <c r="J13" s="236"/>
      <c r="K13" s="236"/>
      <c r="L13" s="236"/>
      <c r="M13" s="236"/>
      <c r="N13" s="236"/>
      <c r="T13" s="274"/>
    </row>
    <row r="14" spans="1:21" ht="13.15" customHeight="1">
      <c r="A14" s="244"/>
      <c r="B14" s="239" t="s">
        <v>190</v>
      </c>
      <c r="C14" s="192" t="s">
        <v>186</v>
      </c>
      <c r="D14" s="612" t="s">
        <v>178</v>
      </c>
      <c r="E14" s="613"/>
      <c r="F14" s="269"/>
      <c r="G14" s="236"/>
      <c r="H14" s="236" t="s">
        <v>48</v>
      </c>
      <c r="I14" s="236"/>
      <c r="J14" s="236"/>
      <c r="K14" s="236"/>
      <c r="L14" s="236"/>
      <c r="M14" s="236"/>
      <c r="N14" s="236"/>
      <c r="T14" s="274"/>
    </row>
    <row r="15" spans="1:21" ht="13.15" customHeight="1">
      <c r="A15" s="244"/>
      <c r="B15" s="239" t="s">
        <v>191</v>
      </c>
      <c r="C15" s="192" t="s">
        <v>186</v>
      </c>
      <c r="D15" s="612" t="s">
        <v>178</v>
      </c>
      <c r="E15" s="613"/>
      <c r="F15" s="269"/>
      <c r="G15" s="236"/>
      <c r="H15" s="236" t="s">
        <v>48</v>
      </c>
      <c r="I15" s="236"/>
      <c r="J15" s="236"/>
      <c r="K15" s="236"/>
      <c r="L15" s="236"/>
      <c r="M15" s="236"/>
      <c r="N15" s="236"/>
      <c r="T15" s="274"/>
    </row>
    <row r="16" spans="1:21" ht="13.15" customHeight="1">
      <c r="A16" s="244"/>
      <c r="B16" s="239" t="s">
        <v>192</v>
      </c>
      <c r="C16" s="192" t="s">
        <v>48</v>
      </c>
      <c r="D16" s="612"/>
      <c r="E16" s="613"/>
      <c r="F16" s="269"/>
      <c r="G16" s="236"/>
      <c r="H16" s="236" t="s">
        <v>48</v>
      </c>
      <c r="I16" s="236"/>
      <c r="J16" s="236"/>
      <c r="K16" s="236"/>
      <c r="L16" s="236"/>
      <c r="M16" s="236"/>
      <c r="N16" s="236"/>
      <c r="T16" s="274"/>
    </row>
    <row r="17" spans="1:20" ht="13.15" customHeight="1">
      <c r="A17" s="244"/>
      <c r="B17" s="239" t="s">
        <v>193</v>
      </c>
      <c r="C17" s="192"/>
      <c r="D17" s="612" t="s">
        <v>194</v>
      </c>
      <c r="E17" s="613"/>
      <c r="F17" s="269"/>
      <c r="G17" s="236"/>
      <c r="H17" s="236" t="s">
        <v>48</v>
      </c>
      <c r="I17" s="236"/>
      <c r="J17" s="236"/>
      <c r="K17" s="236"/>
      <c r="L17" s="236"/>
      <c r="M17" s="236"/>
      <c r="N17" s="236"/>
      <c r="T17" s="274"/>
    </row>
    <row r="18" spans="1:20" ht="13.15" customHeight="1">
      <c r="A18" s="244"/>
      <c r="B18" s="239" t="s">
        <v>195</v>
      </c>
      <c r="C18" s="192" t="s">
        <v>48</v>
      </c>
      <c r="D18" s="612"/>
      <c r="E18" s="613"/>
      <c r="F18" s="269"/>
      <c r="G18" s="236"/>
      <c r="H18" s="236" t="s">
        <v>196</v>
      </c>
      <c r="I18" s="236"/>
      <c r="J18" s="236"/>
      <c r="K18" s="236"/>
      <c r="L18" s="236"/>
      <c r="M18" s="236"/>
      <c r="N18" s="236"/>
      <c r="T18" s="274"/>
    </row>
    <row r="19" spans="1:20" ht="13.15" customHeight="1">
      <c r="A19" s="244"/>
      <c r="B19" s="239" t="s">
        <v>197</v>
      </c>
      <c r="C19" s="192" t="s">
        <v>186</v>
      </c>
      <c r="D19" s="612"/>
      <c r="E19" s="613"/>
      <c r="F19" s="269"/>
      <c r="G19" s="236"/>
      <c r="H19" s="236" t="s">
        <v>48</v>
      </c>
      <c r="I19" s="236"/>
      <c r="J19" s="236"/>
      <c r="K19" s="236"/>
      <c r="L19" s="236"/>
      <c r="M19" s="236"/>
      <c r="N19" s="236"/>
      <c r="T19" s="274"/>
    </row>
    <row r="20" spans="1:20" ht="13.15" customHeight="1">
      <c r="A20" s="244"/>
      <c r="B20" s="239" t="s">
        <v>198</v>
      </c>
      <c r="C20" s="192" t="s">
        <v>48</v>
      </c>
      <c r="D20" s="612" t="s">
        <v>178</v>
      </c>
      <c r="E20" s="613"/>
      <c r="F20" s="269"/>
      <c r="G20" s="236"/>
      <c r="H20" s="236" t="s">
        <v>48</v>
      </c>
      <c r="I20" s="236"/>
      <c r="J20" s="236"/>
      <c r="K20" s="236"/>
      <c r="L20" s="236"/>
      <c r="M20" s="236"/>
      <c r="N20" s="236"/>
      <c r="T20" s="274"/>
    </row>
    <row r="21" spans="1:20" ht="13.15" customHeight="1">
      <c r="A21" s="244"/>
      <c r="B21" s="239" t="s">
        <v>199</v>
      </c>
      <c r="C21" s="192" t="s">
        <v>186</v>
      </c>
      <c r="D21" s="612"/>
      <c r="E21" s="613"/>
      <c r="F21" s="269"/>
      <c r="G21" s="236"/>
      <c r="H21" s="236" t="s">
        <v>48</v>
      </c>
      <c r="I21" s="236"/>
      <c r="J21" s="236"/>
      <c r="K21" s="236"/>
      <c r="L21" s="236"/>
      <c r="M21" s="236"/>
      <c r="N21" s="236"/>
      <c r="T21" s="274"/>
    </row>
    <row r="22" spans="1:20" ht="13.15" customHeight="1">
      <c r="A22" s="244"/>
      <c r="B22" s="239" t="s">
        <v>200</v>
      </c>
      <c r="C22" s="192" t="s">
        <v>48</v>
      </c>
      <c r="D22" s="612"/>
      <c r="E22" s="613"/>
      <c r="F22" s="269"/>
      <c r="G22" s="236"/>
      <c r="H22" s="236" t="s">
        <v>201</v>
      </c>
      <c r="I22" s="236"/>
      <c r="J22" s="236"/>
      <c r="K22" s="236"/>
      <c r="L22" s="236"/>
      <c r="M22" s="236"/>
      <c r="N22" s="236"/>
      <c r="T22" s="274"/>
    </row>
    <row r="23" spans="1:20" ht="13.15" customHeight="1">
      <c r="A23" s="244"/>
      <c r="B23" s="239" t="s">
        <v>202</v>
      </c>
      <c r="C23" s="192" t="s">
        <v>48</v>
      </c>
      <c r="D23" s="612"/>
      <c r="E23" s="613"/>
      <c r="F23" s="269"/>
      <c r="G23" s="236"/>
      <c r="H23" s="236" t="s">
        <v>48</v>
      </c>
      <c r="I23" s="236"/>
      <c r="J23" s="236"/>
      <c r="K23" s="236"/>
      <c r="L23" s="236"/>
      <c r="M23" s="236"/>
      <c r="N23" s="236"/>
      <c r="T23" s="274"/>
    </row>
    <row r="24" spans="1:20" ht="13.15" customHeight="1">
      <c r="A24" s="244"/>
      <c r="B24" s="239" t="s">
        <v>203</v>
      </c>
      <c r="C24" s="192" t="s">
        <v>48</v>
      </c>
      <c r="D24" s="612"/>
      <c r="E24" s="613"/>
      <c r="F24" s="269"/>
      <c r="G24" s="236"/>
      <c r="H24" s="236" t="s">
        <v>48</v>
      </c>
      <c r="I24" s="236"/>
      <c r="J24" s="236"/>
      <c r="K24" s="236"/>
      <c r="L24" s="236"/>
      <c r="M24" s="236"/>
      <c r="N24" s="236"/>
      <c r="T24" s="274"/>
    </row>
    <row r="25" spans="1:20" ht="13.15" customHeight="1">
      <c r="A25" s="245"/>
      <c r="B25" s="239" t="s">
        <v>204</v>
      </c>
      <c r="C25" s="192" t="s">
        <v>48</v>
      </c>
      <c r="D25" s="612"/>
      <c r="E25" s="613"/>
      <c r="F25" s="269"/>
      <c r="G25" s="236"/>
      <c r="H25" s="236" t="s">
        <v>48</v>
      </c>
      <c r="I25" s="236"/>
      <c r="J25" s="236"/>
      <c r="K25" s="236"/>
      <c r="L25" s="236"/>
      <c r="M25" s="236"/>
      <c r="N25" s="236"/>
      <c r="T25" s="274"/>
    </row>
    <row r="26" spans="1:20" ht="13.15" customHeight="1">
      <c r="A26" s="245"/>
      <c r="B26" s="239" t="s">
        <v>205</v>
      </c>
      <c r="C26" s="192" t="s">
        <v>186</v>
      </c>
      <c r="D26" s="612"/>
      <c r="E26" s="613"/>
      <c r="F26" s="269"/>
      <c r="G26" s="236"/>
      <c r="H26" s="236" t="s">
        <v>48</v>
      </c>
      <c r="I26" s="236"/>
      <c r="J26" s="236"/>
      <c r="K26" s="236"/>
      <c r="L26" s="236"/>
      <c r="M26" s="236"/>
      <c r="N26" s="236"/>
      <c r="T26" s="274"/>
    </row>
    <row r="27" spans="1:20" ht="13.15" customHeight="1">
      <c r="A27" s="244"/>
      <c r="B27" s="239" t="s">
        <v>206</v>
      </c>
      <c r="C27" s="193"/>
      <c r="D27" s="612" t="s">
        <v>207</v>
      </c>
      <c r="E27" s="613"/>
      <c r="F27" s="269"/>
      <c r="G27" s="236"/>
      <c r="H27" s="236" t="s">
        <v>48</v>
      </c>
      <c r="I27" s="236"/>
      <c r="J27" s="236"/>
      <c r="K27" s="236"/>
      <c r="L27" s="236"/>
      <c r="M27" s="236"/>
      <c r="N27" s="236"/>
      <c r="T27" s="274"/>
    </row>
    <row r="28" spans="1:20" ht="13.15" customHeight="1">
      <c r="A28" s="244"/>
      <c r="B28" s="239" t="s">
        <v>208</v>
      </c>
      <c r="C28" s="192" t="s">
        <v>186</v>
      </c>
      <c r="D28" s="612"/>
      <c r="E28" s="613"/>
      <c r="F28" s="269"/>
      <c r="G28" s="236"/>
      <c r="H28" s="236" t="s">
        <v>48</v>
      </c>
      <c r="I28" s="236"/>
      <c r="J28" s="236"/>
      <c r="K28" s="236"/>
      <c r="L28" s="236"/>
      <c r="M28" s="236"/>
      <c r="N28" s="236"/>
      <c r="T28" s="274"/>
    </row>
    <row r="29" spans="1:20" ht="13.15" customHeight="1">
      <c r="A29" s="244"/>
      <c r="B29" s="239"/>
      <c r="C29" s="192"/>
      <c r="D29" s="268"/>
      <c r="E29" s="269"/>
      <c r="F29" s="269"/>
      <c r="G29" s="236"/>
      <c r="H29" s="236">
        <v>0</v>
      </c>
      <c r="I29" s="236"/>
      <c r="J29" s="236"/>
      <c r="K29" s="236"/>
      <c r="L29" s="236"/>
      <c r="M29" s="236"/>
      <c r="N29" s="236"/>
      <c r="T29" s="274"/>
    </row>
    <row r="30" spans="1:20" ht="13.15" customHeight="1">
      <c r="A30" s="483" t="s">
        <v>209</v>
      </c>
      <c r="B30" s="239" t="s">
        <v>210</v>
      </c>
      <c r="C30" s="192"/>
      <c r="D30" s="612"/>
      <c r="E30" s="613"/>
      <c r="F30" s="269"/>
      <c r="G30" s="236"/>
      <c r="H30" s="236">
        <v>0</v>
      </c>
      <c r="I30" s="236"/>
      <c r="J30" s="236"/>
      <c r="K30" s="236"/>
      <c r="L30" s="236"/>
      <c r="M30" s="236"/>
      <c r="N30" s="236"/>
      <c r="T30" s="274"/>
    </row>
    <row r="31" spans="1:20" ht="13.15" customHeight="1">
      <c r="A31" s="484"/>
      <c r="B31" s="239" t="s">
        <v>211</v>
      </c>
      <c r="C31" s="192"/>
      <c r="D31" s="268"/>
      <c r="E31" s="269"/>
      <c r="F31" s="269"/>
      <c r="G31" s="236"/>
      <c r="H31" s="236">
        <v>0</v>
      </c>
      <c r="I31" s="236"/>
      <c r="J31" s="236"/>
      <c r="K31" s="236"/>
      <c r="L31" s="236"/>
      <c r="M31" s="236"/>
      <c r="N31" s="236"/>
      <c r="T31" s="274"/>
    </row>
    <row r="32" spans="1:20" ht="13.15" customHeight="1">
      <c r="A32" s="245"/>
      <c r="B32" s="239" t="s">
        <v>212</v>
      </c>
      <c r="C32" s="192"/>
      <c r="D32" s="268"/>
      <c r="E32" s="269"/>
      <c r="F32" s="269"/>
      <c r="G32" s="236"/>
      <c r="H32" s="236">
        <v>0</v>
      </c>
      <c r="I32" s="236"/>
      <c r="J32" s="236"/>
      <c r="K32" s="236"/>
      <c r="L32" s="236"/>
      <c r="M32" s="236"/>
      <c r="N32" s="236"/>
      <c r="T32" s="274"/>
    </row>
    <row r="33" spans="1:20" ht="13.15" customHeight="1">
      <c r="A33" s="245"/>
      <c r="B33" s="239" t="s">
        <v>213</v>
      </c>
      <c r="C33" s="192"/>
      <c r="D33" s="268"/>
      <c r="E33" s="269"/>
      <c r="F33" s="269"/>
      <c r="G33" s="236"/>
      <c r="H33" s="236">
        <v>0</v>
      </c>
      <c r="I33" s="236"/>
      <c r="J33" s="236"/>
      <c r="K33" s="236"/>
      <c r="L33" s="236"/>
      <c r="M33" s="236"/>
      <c r="N33" s="236"/>
      <c r="T33" s="274"/>
    </row>
    <row r="34" spans="1:20" ht="13.15" customHeight="1">
      <c r="A34" s="245"/>
      <c r="B34" s="239" t="s">
        <v>214</v>
      </c>
      <c r="C34" s="192"/>
      <c r="D34" s="612"/>
      <c r="E34" s="613"/>
      <c r="F34" s="269"/>
      <c r="G34" s="236"/>
      <c r="H34" s="236">
        <v>0</v>
      </c>
      <c r="I34" s="236"/>
      <c r="J34" s="236"/>
      <c r="K34" s="236"/>
      <c r="L34" s="236"/>
      <c r="M34" s="236"/>
      <c r="N34" s="236"/>
      <c r="T34" s="274"/>
    </row>
    <row r="35" spans="1:20" ht="13.15" customHeight="1">
      <c r="A35" s="244"/>
      <c r="B35" s="239"/>
      <c r="C35" s="192"/>
      <c r="D35" s="612"/>
      <c r="E35" s="613"/>
      <c r="F35" s="269"/>
      <c r="G35" s="236"/>
      <c r="H35" s="236">
        <v>0</v>
      </c>
      <c r="I35" s="236"/>
      <c r="J35" s="236"/>
      <c r="K35" s="236"/>
      <c r="L35" s="236"/>
      <c r="M35" s="236"/>
      <c r="N35" s="236"/>
      <c r="T35" s="274"/>
    </row>
    <row r="36" spans="1:20" ht="13.15" customHeight="1">
      <c r="A36" s="244"/>
      <c r="B36" s="239"/>
      <c r="C36" s="192"/>
      <c r="D36" s="612"/>
      <c r="E36" s="613"/>
      <c r="F36" s="269"/>
      <c r="G36" s="236"/>
      <c r="H36" s="236">
        <v>0</v>
      </c>
      <c r="I36" s="236"/>
      <c r="J36" s="236"/>
      <c r="K36" s="236"/>
      <c r="L36" s="236"/>
      <c r="M36" s="236"/>
      <c r="N36" s="236"/>
      <c r="T36" s="274"/>
    </row>
    <row r="37" spans="1:20" ht="13.15" customHeight="1">
      <c r="A37" s="244"/>
      <c r="B37" s="239"/>
      <c r="C37" s="192"/>
      <c r="D37" s="612"/>
      <c r="E37" s="613"/>
      <c r="F37" s="269"/>
      <c r="G37" s="236"/>
      <c r="H37" s="236">
        <v>0</v>
      </c>
      <c r="I37" s="236"/>
      <c r="J37" s="236"/>
      <c r="K37" s="236"/>
      <c r="L37" s="236"/>
      <c r="M37" s="236"/>
      <c r="N37" s="236"/>
      <c r="T37" s="274"/>
    </row>
    <row r="38" spans="1:20" ht="13.15" customHeight="1">
      <c r="A38" s="483" t="s">
        <v>215</v>
      </c>
      <c r="B38" s="239" t="s">
        <v>216</v>
      </c>
      <c r="C38" s="192"/>
      <c r="D38" s="612"/>
      <c r="E38" s="613"/>
      <c r="F38" s="269"/>
      <c r="G38" s="236"/>
      <c r="H38" s="236">
        <v>0</v>
      </c>
      <c r="I38" s="236"/>
      <c r="J38" s="236"/>
      <c r="K38" s="236"/>
      <c r="L38" s="236"/>
      <c r="M38" s="236"/>
      <c r="N38" s="236"/>
      <c r="T38" s="274"/>
    </row>
    <row r="39" spans="1:20" ht="13.15" customHeight="1">
      <c r="A39" s="484"/>
      <c r="B39" s="239" t="s">
        <v>214</v>
      </c>
      <c r="C39" s="192"/>
      <c r="D39" s="612"/>
      <c r="E39" s="613"/>
      <c r="F39" s="269"/>
      <c r="G39" s="236"/>
      <c r="H39" s="236">
        <v>0</v>
      </c>
      <c r="I39" s="236"/>
      <c r="J39" s="236"/>
      <c r="K39" s="236"/>
      <c r="L39" s="236"/>
      <c r="M39" s="236"/>
      <c r="N39" s="236"/>
      <c r="T39" s="274"/>
    </row>
    <row r="40" spans="1:20" ht="13.15" customHeight="1">
      <c r="A40" s="244"/>
      <c r="B40" s="239" t="s">
        <v>217</v>
      </c>
      <c r="C40" s="192"/>
      <c r="D40" s="612"/>
      <c r="E40" s="613"/>
      <c r="F40" s="269"/>
      <c r="G40" s="236"/>
      <c r="H40" s="236">
        <v>0</v>
      </c>
      <c r="I40" s="236"/>
      <c r="J40" s="236"/>
      <c r="K40" s="236"/>
      <c r="L40" s="236"/>
      <c r="M40" s="236"/>
      <c r="N40" s="236"/>
      <c r="T40" s="274"/>
    </row>
    <row r="41" spans="1:20" ht="13.15" customHeight="1">
      <c r="A41" s="244"/>
      <c r="B41" s="239" t="s">
        <v>218</v>
      </c>
      <c r="C41" s="192"/>
      <c r="D41" s="612"/>
      <c r="E41" s="613"/>
      <c r="F41" s="269"/>
      <c r="G41" s="236"/>
      <c r="H41" s="236">
        <v>0</v>
      </c>
      <c r="I41" s="236"/>
      <c r="J41" s="236"/>
      <c r="K41" s="236"/>
      <c r="L41" s="236"/>
      <c r="M41" s="236"/>
      <c r="N41" s="236"/>
      <c r="T41" s="274"/>
    </row>
    <row r="42" spans="1:20" ht="13.15" customHeight="1" thickBot="1">
      <c r="A42" s="244"/>
      <c r="B42" s="239"/>
      <c r="C42" s="192"/>
      <c r="D42" s="612"/>
      <c r="E42" s="613"/>
      <c r="F42" s="269"/>
      <c r="G42" s="236"/>
      <c r="H42" s="236"/>
      <c r="I42" s="236"/>
      <c r="J42" s="236"/>
      <c r="K42" s="236"/>
      <c r="L42" s="236"/>
      <c r="M42" s="236"/>
      <c r="N42" s="236"/>
      <c r="T42" s="274"/>
    </row>
    <row r="43" spans="1:20" ht="45.75" thickBot="1">
      <c r="A43" s="245"/>
      <c r="B43" s="240"/>
      <c r="C43" s="485" t="s">
        <v>219</v>
      </c>
      <c r="D43" s="486"/>
      <c r="E43" s="232" t="str">
        <f>+B1</f>
        <v>3325 Banks Rd, Raleigh, NC 27603</v>
      </c>
      <c r="F43" s="232"/>
      <c r="G43" s="234" t="s">
        <v>162</v>
      </c>
      <c r="H43" s="234" t="s">
        <v>163</v>
      </c>
      <c r="I43" s="289" t="s">
        <v>164</v>
      </c>
      <c r="J43" s="289" t="s">
        <v>165</v>
      </c>
      <c r="K43" s="280" t="str">
        <f t="shared" ref="K43:L43" si="0">+K1</f>
        <v>1900 Red Quartz</v>
      </c>
      <c r="L43" s="280" t="str">
        <f t="shared" si="0"/>
        <v>120 Keith</v>
      </c>
      <c r="M43" s="280" t="str">
        <f t="shared" ref="M43:S43" si="1">+M1</f>
        <v>3007 Eric</v>
      </c>
      <c r="N43" s="289" t="str">
        <f t="shared" si="1"/>
        <v>2153 Haig Point</v>
      </c>
      <c r="O43" s="280" t="str">
        <f t="shared" si="1"/>
        <v>178 Patricia</v>
      </c>
      <c r="P43" s="289" t="str">
        <f t="shared" si="1"/>
        <v>1201 Hazelnut</v>
      </c>
      <c r="Q43" s="280" t="str">
        <f t="shared" si="1"/>
        <v>1223 Roffler</v>
      </c>
      <c r="R43" s="280" t="str">
        <f t="shared" si="1"/>
        <v>2025 Metacomet</v>
      </c>
      <c r="S43" s="289" t="str">
        <f t="shared" si="1"/>
        <v xml:space="preserve">5619 Marthonna </v>
      </c>
      <c r="T43" s="274"/>
    </row>
    <row r="44" spans="1:20" ht="15.75" thickBot="1">
      <c r="A44" s="245"/>
      <c r="B44" s="283" t="s">
        <v>220</v>
      </c>
      <c r="C44" s="284">
        <f>+SUM(E44:T44)</f>
        <v>4285329</v>
      </c>
      <c r="D44" s="284"/>
      <c r="E44" s="322">
        <f>+Profit!$B$4</f>
        <v>439000</v>
      </c>
      <c r="F44" s="371"/>
      <c r="G44" s="323">
        <v>285000</v>
      </c>
      <c r="H44" s="323">
        <v>689000</v>
      </c>
      <c r="I44" s="324">
        <v>258000</v>
      </c>
      <c r="J44" s="324">
        <v>210000</v>
      </c>
      <c r="K44" s="325">
        <v>423529</v>
      </c>
      <c r="L44" s="325">
        <v>330000</v>
      </c>
      <c r="M44" s="325">
        <v>299000</v>
      </c>
      <c r="N44" s="324">
        <v>363900</v>
      </c>
      <c r="O44" s="325">
        <v>210000</v>
      </c>
      <c r="P44" s="324">
        <v>237900</v>
      </c>
      <c r="Q44" s="325">
        <v>150000</v>
      </c>
      <c r="R44" s="325">
        <v>195000</v>
      </c>
      <c r="S44" s="326">
        <v>195000</v>
      </c>
      <c r="T44" s="274"/>
    </row>
    <row r="45" spans="1:20">
      <c r="A45" s="245"/>
      <c r="B45" s="283" t="s">
        <v>221</v>
      </c>
      <c r="C45" s="284">
        <f>+SUM(E45:$T$45)</f>
        <v>1182457.5279111112</v>
      </c>
      <c r="D45" s="284"/>
      <c r="E45" s="317">
        <f>+Profit!K27</f>
        <v>147682.86124999999</v>
      </c>
      <c r="F45" s="374"/>
      <c r="G45" s="318">
        <v>0</v>
      </c>
      <c r="H45" s="318">
        <v>-334733.86333888886</v>
      </c>
      <c r="I45" s="319">
        <v>102500</v>
      </c>
      <c r="J45" s="319">
        <v>127000</v>
      </c>
      <c r="K45" s="320">
        <v>174585.47</v>
      </c>
      <c r="L45" s="320">
        <v>85975.790000000008</v>
      </c>
      <c r="M45" s="320">
        <v>167033.66</v>
      </c>
      <c r="N45" s="319">
        <v>220000</v>
      </c>
      <c r="O45" s="320">
        <v>107061.9</v>
      </c>
      <c r="P45" s="319">
        <v>74709</v>
      </c>
      <c r="Q45" s="320">
        <v>71644.86</v>
      </c>
      <c r="R45" s="320">
        <v>110309.86</v>
      </c>
      <c r="S45" s="321">
        <v>128687.99</v>
      </c>
      <c r="T45" s="274"/>
    </row>
    <row r="46" spans="1:20" ht="15.75" thickBot="1">
      <c r="A46" s="245"/>
      <c r="B46" s="285" t="s">
        <v>222</v>
      </c>
      <c r="C46" s="286">
        <f>+SUM(E46:T46)</f>
        <v>717651.49335412495</v>
      </c>
      <c r="D46" s="286"/>
      <c r="E46" s="287">
        <f>+Profit!B30</f>
        <v>31424.184000000001</v>
      </c>
      <c r="F46" s="382"/>
      <c r="G46" s="383">
        <v>94360</v>
      </c>
      <c r="H46" s="383">
        <v>115791.7062</v>
      </c>
      <c r="I46" s="384">
        <v>131036.71900000001</v>
      </c>
      <c r="J46" s="384">
        <v>15000</v>
      </c>
      <c r="K46" s="385">
        <v>12223</v>
      </c>
      <c r="L46" s="385">
        <v>82805.727499999994</v>
      </c>
      <c r="M46" s="385">
        <v>38679.380000000005</v>
      </c>
      <c r="N46" s="384">
        <v>27507.698</v>
      </c>
      <c r="O46" s="385">
        <v>47760.57</v>
      </c>
      <c r="P46" s="384">
        <v>71081.80715412501</v>
      </c>
      <c r="Q46" s="385">
        <v>6302.96</v>
      </c>
      <c r="R46" s="385">
        <v>20425.14</v>
      </c>
      <c r="S46" s="290">
        <v>23252.601500000001</v>
      </c>
      <c r="T46" s="229"/>
    </row>
    <row r="47" spans="1:20">
      <c r="A47" s="245"/>
      <c r="B47" s="386" t="s">
        <v>223</v>
      </c>
      <c r="C47" s="387">
        <f>+SUM(E47:T47)</f>
        <v>200037.72999999998</v>
      </c>
      <c r="D47" s="286"/>
      <c r="E47" s="287">
        <f>+SUM(Profit!C13:C17)+Profit!E29</f>
        <v>200037.72999999998</v>
      </c>
      <c r="F47" s="382"/>
      <c r="G47" s="383"/>
      <c r="H47" s="383"/>
      <c r="I47" s="384"/>
      <c r="J47" s="384"/>
      <c r="K47" s="385"/>
      <c r="L47" s="385"/>
      <c r="M47" s="385"/>
      <c r="N47" s="384"/>
      <c r="O47" s="385"/>
      <c r="P47" s="384"/>
      <c r="Q47" s="385"/>
      <c r="R47" s="385"/>
      <c r="S47" s="290"/>
      <c r="T47" s="229"/>
    </row>
    <row r="48" spans="1:20">
      <c r="A48" s="245"/>
      <c r="B48" s="285" t="s">
        <v>224</v>
      </c>
      <c r="C48" s="286">
        <f ca="1">+SUM(E48:T48)</f>
        <v>1277.990878378379</v>
      </c>
      <c r="D48" s="286"/>
      <c r="E48" s="287">
        <f ca="1">+Profit!B27/Profit!B20</f>
        <v>1277.8908783783791</v>
      </c>
      <c r="F48" s="382"/>
      <c r="G48" s="383">
        <v>0</v>
      </c>
      <c r="H48" s="383">
        <v>0.1</v>
      </c>
      <c r="I48" s="384"/>
      <c r="J48" s="384"/>
      <c r="K48" s="385"/>
      <c r="L48" s="385"/>
      <c r="M48" s="385"/>
      <c r="N48" s="384"/>
      <c r="O48" s="385"/>
      <c r="P48" s="384"/>
      <c r="Q48" s="385"/>
      <c r="R48" s="385"/>
      <c r="S48" s="290"/>
      <c r="T48" s="229"/>
    </row>
    <row r="49" spans="1:20">
      <c r="A49" s="245"/>
      <c r="B49" s="285" t="s">
        <v>225</v>
      </c>
      <c r="C49" s="286">
        <f>+SUM(E49:N49)</f>
        <v>0</v>
      </c>
      <c r="D49" s="286"/>
      <c r="E49" s="287">
        <f>+Profit!H9</f>
        <v>0</v>
      </c>
      <c r="F49" s="382"/>
      <c r="G49" s="383">
        <v>0</v>
      </c>
      <c r="H49" s="383">
        <v>0</v>
      </c>
      <c r="I49" s="384"/>
      <c r="J49" s="384"/>
      <c r="K49" s="385"/>
      <c r="L49" s="385"/>
      <c r="M49" s="385"/>
      <c r="N49" s="384"/>
      <c r="O49" s="385"/>
      <c r="P49" s="384"/>
      <c r="Q49" s="385"/>
      <c r="R49" s="385"/>
      <c r="S49" s="290"/>
      <c r="T49" s="229"/>
    </row>
    <row r="50" spans="1:20" ht="15.75" thickBot="1">
      <c r="A50" s="245"/>
      <c r="B50" s="233" t="s">
        <v>226</v>
      </c>
      <c r="C50" s="226">
        <f ca="1">+SUM($E$50:$T$50)</f>
        <v>864180.60392912501</v>
      </c>
      <c r="D50" s="226"/>
      <c r="E50" s="288">
        <f ca="1">+Profit!K45</f>
        <v>129418.94599999997</v>
      </c>
      <c r="F50" s="382"/>
      <c r="G50" s="383">
        <v>94360</v>
      </c>
      <c r="H50" s="383">
        <v>164326.054775</v>
      </c>
      <c r="I50" s="384">
        <v>131036.71900000001</v>
      </c>
      <c r="J50" s="384">
        <v>15000</v>
      </c>
      <c r="K50" s="385">
        <v>12223</v>
      </c>
      <c r="L50" s="385">
        <v>82805.727499999994</v>
      </c>
      <c r="M50" s="385">
        <v>38679.380000000005</v>
      </c>
      <c r="N50" s="384">
        <v>27507.698</v>
      </c>
      <c r="O50" s="385">
        <v>47760.57</v>
      </c>
      <c r="P50" s="384">
        <v>71081.80715412501</v>
      </c>
      <c r="Q50" s="385">
        <v>6302.96</v>
      </c>
      <c r="R50" s="385">
        <v>20425.14</v>
      </c>
      <c r="S50" s="290">
        <v>23252.601500000001</v>
      </c>
      <c r="T50" s="229"/>
    </row>
    <row r="51" spans="1:20" ht="15.75" thickBot="1">
      <c r="A51" s="245"/>
      <c r="B51" s="233" t="s">
        <v>227</v>
      </c>
      <c r="C51" s="226">
        <f ca="1">+SUM($E$51:$T$51)</f>
        <v>28412.698400000001</v>
      </c>
      <c r="D51" s="226"/>
      <c r="E51" s="288">
        <f ca="1">+E50*0.1</f>
        <v>12941.894599999998</v>
      </c>
      <c r="F51" s="226"/>
      <c r="G51" s="230"/>
      <c r="H51" s="230"/>
      <c r="I51" s="292"/>
      <c r="J51" s="292"/>
      <c r="K51" s="281">
        <v>15470.803800000003</v>
      </c>
      <c r="L51" s="281"/>
      <c r="M51" s="281"/>
      <c r="N51" s="292"/>
      <c r="O51" s="281"/>
      <c r="P51" s="292"/>
      <c r="Q51" s="281"/>
      <c r="R51" s="281"/>
      <c r="S51" s="292"/>
      <c r="T51" s="229"/>
    </row>
    <row r="52" spans="1:20" ht="15.75" thickBot="1">
      <c r="A52" s="245"/>
      <c r="B52" s="233" t="s">
        <v>228</v>
      </c>
      <c r="C52" s="614">
        <f>+AVERAGE(E44:S44)</f>
        <v>306094.92857142858</v>
      </c>
      <c r="D52" s="558"/>
      <c r="E52" s="282"/>
      <c r="F52" s="226"/>
      <c r="G52" s="230"/>
      <c r="H52" s="230"/>
      <c r="I52" s="230"/>
      <c r="J52" s="230"/>
      <c r="K52" s="230"/>
      <c r="L52" s="230"/>
      <c r="M52" s="230"/>
      <c r="N52" s="230"/>
      <c r="O52" s="230"/>
      <c r="P52" s="230"/>
      <c r="Q52" s="230"/>
      <c r="R52" s="230"/>
      <c r="S52" s="230"/>
      <c r="T52" s="231"/>
    </row>
    <row r="53" spans="1:20" ht="15.75" thickBot="1">
      <c r="A53" s="245"/>
      <c r="B53" s="233" t="s">
        <v>229</v>
      </c>
      <c r="C53" s="614">
        <f>+AVERAGE(E45:S45)</f>
        <v>84461.251993650803</v>
      </c>
      <c r="D53" s="558"/>
      <c r="E53" s="190"/>
      <c r="F53" s="190"/>
      <c r="G53" s="190"/>
      <c r="H53" s="190"/>
      <c r="L53" s="485" t="s">
        <v>230</v>
      </c>
      <c r="M53" s="487"/>
      <c r="N53" s="487"/>
      <c r="O53" s="486"/>
    </row>
    <row r="54" spans="1:20" ht="15.75" thickBot="1">
      <c r="A54" s="245"/>
      <c r="B54" s="233" t="s">
        <v>231</v>
      </c>
      <c r="C54" s="614">
        <f>+AVERAGE(E46:S46)</f>
        <v>51260.820953866067</v>
      </c>
      <c r="D54" s="558"/>
      <c r="L54" s="488" t="s">
        <v>232</v>
      </c>
      <c r="M54" s="489"/>
      <c r="N54" s="489"/>
      <c r="O54" s="490"/>
    </row>
    <row r="55" spans="1:20" ht="15.75" thickBot="1">
      <c r="B55" s="233" t="s">
        <v>233</v>
      </c>
      <c r="C55" s="614">
        <f ca="1">+AVERAGE(D50:S50)</f>
        <v>61727.185994937499</v>
      </c>
      <c r="D55" s="558"/>
      <c r="L55" s="491" t="s">
        <v>234</v>
      </c>
      <c r="M55" s="492"/>
      <c r="N55" s="492"/>
      <c r="O55" s="493"/>
    </row>
    <row r="57" spans="1:20">
      <c r="G57" s="291"/>
      <c r="H57" s="291"/>
    </row>
  </sheetData>
  <mergeCells count="49">
    <mergeCell ref="C55:D55"/>
    <mergeCell ref="L53:O53"/>
    <mergeCell ref="L54:O54"/>
    <mergeCell ref="L55:O55"/>
    <mergeCell ref="C54:D54"/>
    <mergeCell ref="A12:A13"/>
    <mergeCell ref="A38:A39"/>
    <mergeCell ref="C43:D43"/>
    <mergeCell ref="C52:D52"/>
    <mergeCell ref="C53:D53"/>
    <mergeCell ref="D41:E41"/>
    <mergeCell ref="D42:E42"/>
    <mergeCell ref="D37:E37"/>
    <mergeCell ref="D38:E38"/>
    <mergeCell ref="D18:E18"/>
    <mergeCell ref="D14:E14"/>
    <mergeCell ref="D15:E15"/>
    <mergeCell ref="D40:E40"/>
    <mergeCell ref="D23:E23"/>
    <mergeCell ref="A30:A31"/>
    <mergeCell ref="D19:E19"/>
    <mergeCell ref="B1:C1"/>
    <mergeCell ref="D30:E30"/>
    <mergeCell ref="D34:E34"/>
    <mergeCell ref="D35:E35"/>
    <mergeCell ref="D36:E36"/>
    <mergeCell ref="D20:E20"/>
    <mergeCell ref="D24:E24"/>
    <mergeCell ref="D25:E25"/>
    <mergeCell ref="D26:E26"/>
    <mergeCell ref="D27:E27"/>
    <mergeCell ref="D28:E28"/>
    <mergeCell ref="D21:E21"/>
    <mergeCell ref="D13:E13"/>
    <mergeCell ref="D22:E22"/>
    <mergeCell ref="D16:E16"/>
    <mergeCell ref="D17:E17"/>
    <mergeCell ref="D39:E39"/>
    <mergeCell ref="D7:E7"/>
    <mergeCell ref="D1:E1"/>
    <mergeCell ref="D3:E3"/>
    <mergeCell ref="D4:E4"/>
    <mergeCell ref="D5:E5"/>
    <mergeCell ref="D6:E6"/>
    <mergeCell ref="D8:E8"/>
    <mergeCell ref="D9:E9"/>
    <mergeCell ref="D10:E10"/>
    <mergeCell ref="D11:E11"/>
    <mergeCell ref="D12:E12"/>
  </mergeCells>
  <pageMargins left="0.25" right="0.25" top="0.75" bottom="0.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dimension ref="A1:S41"/>
  <sheetViews>
    <sheetView workbookViewId="0">
      <pane ySplit="1" topLeftCell="A2" activePane="bottomLeft" state="frozen"/>
      <selection pane="bottomLeft" activeCell="D20" sqref="D20"/>
    </sheetView>
  </sheetViews>
  <sheetFormatPr defaultRowHeight="15"/>
  <cols>
    <col min="1" max="1" width="47.140625" style="2" bestFit="1" customWidth="1"/>
    <col min="2" max="2" width="25.28515625" style="2" bestFit="1" customWidth="1"/>
    <col min="3" max="3" width="16.42578125" style="25" bestFit="1" customWidth="1"/>
    <col min="4" max="4" width="20.42578125" style="2" bestFit="1" customWidth="1"/>
    <col min="5" max="5" width="36" style="25" customWidth="1"/>
    <col min="6" max="6" width="9.85546875" customWidth="1"/>
    <col min="9" max="9" width="33.140625" bestFit="1" customWidth="1"/>
    <col min="14" max="14" width="22.7109375" bestFit="1" customWidth="1"/>
    <col min="15" max="15" width="10.5703125" bestFit="1" customWidth="1"/>
    <col min="16" max="16" width="17.7109375" bestFit="1" customWidth="1"/>
    <col min="17" max="17" width="10.5703125" bestFit="1" customWidth="1"/>
    <col min="18" max="18" width="18.28515625" bestFit="1" customWidth="1"/>
    <col min="21" max="21" width="34.5703125" bestFit="1" customWidth="1"/>
    <col min="22" max="22" width="4.5703125" bestFit="1" customWidth="1"/>
    <col min="23" max="23" width="10.5703125" bestFit="1" customWidth="1"/>
    <col min="25" max="25" width="5" bestFit="1" customWidth="1"/>
  </cols>
  <sheetData>
    <row r="1" spans="1:19" s="3" customFormat="1">
      <c r="A1" s="3" t="s">
        <v>235</v>
      </c>
      <c r="B1" s="3" t="s">
        <v>236</v>
      </c>
      <c r="C1" s="33" t="s">
        <v>237</v>
      </c>
      <c r="D1" s="31" t="s">
        <v>238</v>
      </c>
      <c r="E1" s="33" t="s">
        <v>239</v>
      </c>
      <c r="F1" s="3" t="s">
        <v>240</v>
      </c>
    </row>
    <row r="2" spans="1:19" s="3" customFormat="1">
      <c r="A2" s="2"/>
      <c r="B2" s="2"/>
      <c r="C2" s="25" t="s">
        <v>241</v>
      </c>
      <c r="D2" s="31" t="s">
        <v>242</v>
      </c>
      <c r="E2" s="25"/>
    </row>
    <row r="3" spans="1:19" s="3" customFormat="1">
      <c r="A3" s="2"/>
      <c r="B3" s="31"/>
      <c r="C3" s="25" t="s">
        <v>243</v>
      </c>
      <c r="D3" s="31" t="s">
        <v>244</v>
      </c>
      <c r="E3" s="33" t="s">
        <v>245</v>
      </c>
    </row>
    <row r="4" spans="1:19" s="3" customFormat="1">
      <c r="A4" s="2"/>
      <c r="B4" s="31"/>
      <c r="C4" s="25"/>
      <c r="D4" s="31"/>
      <c r="E4" s="33"/>
    </row>
    <row r="5" spans="1:19">
      <c r="A5" s="2" t="s">
        <v>246</v>
      </c>
      <c r="B5" s="2" t="s">
        <v>247</v>
      </c>
      <c r="C5" s="25" t="s">
        <v>248</v>
      </c>
      <c r="F5" t="s">
        <v>249</v>
      </c>
      <c r="O5" t="s">
        <v>250</v>
      </c>
      <c r="P5" t="s">
        <v>251</v>
      </c>
      <c r="Q5" t="s">
        <v>252</v>
      </c>
      <c r="R5" t="s">
        <v>253</v>
      </c>
      <c r="S5" t="s">
        <v>254</v>
      </c>
    </row>
    <row r="6" spans="1:19">
      <c r="A6" s="2" t="s">
        <v>255</v>
      </c>
      <c r="B6" s="2" t="s">
        <v>256</v>
      </c>
      <c r="C6" s="25" t="s">
        <v>257</v>
      </c>
      <c r="E6" s="28" t="s">
        <v>258</v>
      </c>
      <c r="F6" t="s">
        <v>259</v>
      </c>
      <c r="N6" t="s">
        <v>260</v>
      </c>
      <c r="O6" t="s">
        <v>122</v>
      </c>
      <c r="P6" t="s">
        <v>122</v>
      </c>
      <c r="R6" t="s">
        <v>122</v>
      </c>
    </row>
    <row r="7" spans="1:19">
      <c r="B7" s="2" t="s">
        <v>261</v>
      </c>
      <c r="E7" s="28" t="s">
        <v>262</v>
      </c>
      <c r="F7" t="s">
        <v>263</v>
      </c>
      <c r="N7" t="s">
        <v>46</v>
      </c>
      <c r="P7" t="s">
        <v>122</v>
      </c>
    </row>
    <row r="8" spans="1:19">
      <c r="A8" s="2" t="s">
        <v>264</v>
      </c>
      <c r="B8" s="2" t="s">
        <v>265</v>
      </c>
      <c r="C8" s="25" t="s">
        <v>266</v>
      </c>
      <c r="F8" t="s">
        <v>267</v>
      </c>
      <c r="I8" t="s">
        <v>268</v>
      </c>
      <c r="N8" t="s">
        <v>269</v>
      </c>
      <c r="P8" t="s">
        <v>122</v>
      </c>
    </row>
    <row r="9" spans="1:19">
      <c r="A9" s="2" t="s">
        <v>270</v>
      </c>
      <c r="B9" s="2" t="s">
        <v>271</v>
      </c>
      <c r="C9" s="25" t="s">
        <v>272</v>
      </c>
      <c r="E9" s="28" t="s">
        <v>273</v>
      </c>
      <c r="F9" t="s">
        <v>267</v>
      </c>
      <c r="I9" t="s">
        <v>268</v>
      </c>
      <c r="N9" t="s">
        <v>274</v>
      </c>
      <c r="P9" t="s">
        <v>122</v>
      </c>
    </row>
    <row r="10" spans="1:19">
      <c r="A10" s="2" t="s">
        <v>275</v>
      </c>
      <c r="B10" s="2" t="s">
        <v>276</v>
      </c>
      <c r="C10" s="25" t="s">
        <v>277</v>
      </c>
      <c r="F10" t="s">
        <v>278</v>
      </c>
      <c r="I10" t="s">
        <v>279</v>
      </c>
      <c r="J10" t="s">
        <v>280</v>
      </c>
      <c r="N10" t="s">
        <v>260</v>
      </c>
      <c r="O10" t="s">
        <v>122</v>
      </c>
      <c r="P10" t="s">
        <v>122</v>
      </c>
      <c r="R10" t="s">
        <v>122</v>
      </c>
    </row>
    <row r="11" spans="1:19">
      <c r="A11" s="2" t="s">
        <v>281</v>
      </c>
      <c r="B11" s="2" t="s">
        <v>282</v>
      </c>
      <c r="C11" s="2"/>
      <c r="D11" s="376"/>
      <c r="E11" s="28" t="s">
        <v>283</v>
      </c>
      <c r="H11" s="25"/>
      <c r="I11" s="25"/>
      <c r="N11" t="s">
        <v>46</v>
      </c>
      <c r="P11" t="s">
        <v>122</v>
      </c>
    </row>
    <row r="12" spans="1:19">
      <c r="N12" t="s">
        <v>269</v>
      </c>
      <c r="P12" t="s">
        <v>122</v>
      </c>
    </row>
    <row r="13" spans="1:19">
      <c r="A13" s="2" t="s">
        <v>284</v>
      </c>
      <c r="B13" s="2" t="s">
        <v>285</v>
      </c>
      <c r="C13" s="25" t="s">
        <v>286</v>
      </c>
      <c r="E13" s="28" t="s">
        <v>287</v>
      </c>
      <c r="N13" t="s">
        <v>274</v>
      </c>
      <c r="P13" t="s">
        <v>122</v>
      </c>
    </row>
    <row r="14" spans="1:19">
      <c r="A14" s="2" t="s">
        <v>288</v>
      </c>
      <c r="B14" s="2" t="s">
        <v>289</v>
      </c>
      <c r="E14" s="28" t="s">
        <v>290</v>
      </c>
      <c r="N14" t="s">
        <v>260</v>
      </c>
      <c r="S14" t="s">
        <v>122</v>
      </c>
    </row>
    <row r="15" spans="1:19">
      <c r="C15" s="29"/>
      <c r="N15" t="s">
        <v>46</v>
      </c>
      <c r="S15" t="s">
        <v>122</v>
      </c>
    </row>
    <row r="16" spans="1:19">
      <c r="A16" s="224"/>
      <c r="C16" s="29"/>
      <c r="N16" t="s">
        <v>269</v>
      </c>
      <c r="S16" t="s">
        <v>122</v>
      </c>
    </row>
    <row r="17" spans="1:19">
      <c r="N17" t="s">
        <v>274</v>
      </c>
      <c r="S17" t="s">
        <v>122</v>
      </c>
    </row>
    <row r="18" spans="1:19">
      <c r="A18" s="2" t="s">
        <v>291</v>
      </c>
      <c r="B18" s="2" t="s">
        <v>292</v>
      </c>
      <c r="E18" s="28"/>
    </row>
    <row r="19" spans="1:19">
      <c r="B19" s="2" t="s">
        <v>293</v>
      </c>
      <c r="E19" s="28" t="s">
        <v>294</v>
      </c>
      <c r="F19" t="s">
        <v>295</v>
      </c>
    </row>
    <row r="20" spans="1:19">
      <c r="A20" s="33" t="s">
        <v>296</v>
      </c>
      <c r="B20" s="2" t="s">
        <v>297</v>
      </c>
      <c r="D20" s="2" t="s">
        <v>298</v>
      </c>
      <c r="E20" s="28" t="s">
        <v>299</v>
      </c>
    </row>
    <row r="21" spans="1:19">
      <c r="E21" s="28" t="s">
        <v>300</v>
      </c>
    </row>
    <row r="22" spans="1:19">
      <c r="E22" s="28" t="s">
        <v>301</v>
      </c>
    </row>
    <row r="23" spans="1:19">
      <c r="E23" s="28" t="s">
        <v>302</v>
      </c>
    </row>
    <row r="24" spans="1:19">
      <c r="E24" s="28" t="s">
        <v>303</v>
      </c>
    </row>
    <row r="25" spans="1:19">
      <c r="E25" s="28"/>
    </row>
    <row r="26" spans="1:19">
      <c r="A26" s="2" t="s">
        <v>304</v>
      </c>
      <c r="B26" s="2" t="s">
        <v>305</v>
      </c>
      <c r="C26" s="25" t="s">
        <v>306</v>
      </c>
      <c r="E26" s="25" t="s">
        <v>307</v>
      </c>
    </row>
    <row r="27" spans="1:19">
      <c r="A27" s="2" t="s">
        <v>241</v>
      </c>
      <c r="D27" s="2" t="s">
        <v>308</v>
      </c>
    </row>
    <row r="28" spans="1:19">
      <c r="A28" s="2" t="s">
        <v>243</v>
      </c>
      <c r="D28" s="2" t="s">
        <v>309</v>
      </c>
    </row>
    <row r="30" spans="1:19">
      <c r="A30" s="2" t="s">
        <v>310</v>
      </c>
      <c r="B30" s="34" t="s">
        <v>311</v>
      </c>
      <c r="C30" s="25" t="s">
        <v>312</v>
      </c>
      <c r="D30" s="2" t="s">
        <v>313</v>
      </c>
      <c r="E30" s="19" t="s">
        <v>314</v>
      </c>
    </row>
    <row r="31" spans="1:19">
      <c r="A31" s="2" t="s">
        <v>315</v>
      </c>
      <c r="E31" s="25" t="s">
        <v>316</v>
      </c>
    </row>
    <row r="33" spans="1:6">
      <c r="A33" s="2" t="s">
        <v>317</v>
      </c>
      <c r="B33" s="2" t="s">
        <v>318</v>
      </c>
      <c r="E33" s="28"/>
      <c r="F33" s="19"/>
    </row>
    <row r="34" spans="1:6">
      <c r="A34" s="2" t="s">
        <v>319</v>
      </c>
      <c r="B34" s="2" t="s">
        <v>320</v>
      </c>
    </row>
    <row r="35" spans="1:6">
      <c r="A35" s="2" t="s">
        <v>321</v>
      </c>
      <c r="B35" s="2">
        <v>1.1200000000000001</v>
      </c>
    </row>
    <row r="41" spans="1:6">
      <c r="A41" s="25"/>
    </row>
  </sheetData>
  <hyperlinks>
    <hyperlink ref="E6" r:id="rId1" xr:uid="{8C83B00F-AC3F-4EEF-89E8-6B47BC3A3BB6}"/>
    <hyperlink ref="E7" r:id="rId2" xr:uid="{6C24B27F-AC8D-4444-9586-E4DF3637ED0E}"/>
    <hyperlink ref="E9" r:id="rId3" xr:uid="{0A0AD2FA-637A-4E14-A51A-A7A4A3383AD0}"/>
    <hyperlink ref="E14" r:id="rId4" xr:uid="{D3FA03CC-F7EB-4151-8F17-7DDF196E1CBC}"/>
    <hyperlink ref="E13" r:id="rId5" xr:uid="{45C5F4A4-880B-42C5-9318-425CF6267ECB}"/>
    <hyperlink ref="E30" r:id="rId6" xr:uid="{AB94FB7C-6245-45BD-AA6A-897D75AF05EE}"/>
    <hyperlink ref="E11" r:id="rId7" xr:uid="{F572C88F-C1CC-4FC3-BD8A-459FEB189139}"/>
    <hyperlink ref="E20" r:id="rId8" xr:uid="{0A8CB5EF-2F49-4B4F-8B3A-574BCFDC7353}"/>
  </hyperlinks>
  <pageMargins left="0.7" right="0.7" top="0.75" bottom="0.75" header="0.3" footer="0.3"/>
  <pageSetup orientation="portrait"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23A59-49E8-4164-BF93-A006E514040E}">
  <sheetPr>
    <tabColor rgb="FFFF0000"/>
  </sheetPr>
  <dimension ref="A1:Q88"/>
  <sheetViews>
    <sheetView tabSelected="1" workbookViewId="0">
      <pane ySplit="3" topLeftCell="A39" activePane="bottomLeft" state="frozen"/>
      <selection pane="bottomLeft" activeCell="D48" sqref="D48"/>
    </sheetView>
  </sheetViews>
  <sheetFormatPr defaultRowHeight="15"/>
  <cols>
    <col min="1" max="1" width="12.7109375" bestFit="1" customWidth="1"/>
    <col min="2" max="2" width="10.7109375" bestFit="1" customWidth="1"/>
    <col min="6" max="6" width="10.7109375" bestFit="1" customWidth="1"/>
    <col min="8" max="8" width="10.140625" bestFit="1" customWidth="1"/>
    <col min="10" max="10" width="10.7109375" bestFit="1" customWidth="1"/>
    <col min="14" max="14" width="9.7109375" bestFit="1" customWidth="1"/>
  </cols>
  <sheetData>
    <row r="1" spans="1:17">
      <c r="A1" s="609" t="s">
        <v>322</v>
      </c>
      <c r="B1" s="609"/>
      <c r="C1" s="609"/>
      <c r="D1" s="609"/>
      <c r="E1" s="609" t="s">
        <v>323</v>
      </c>
      <c r="F1" s="609"/>
      <c r="G1" s="609"/>
      <c r="H1" s="609"/>
      <c r="J1" s="609" t="s">
        <v>324</v>
      </c>
      <c r="K1" s="609"/>
      <c r="L1" s="609"/>
      <c r="M1" s="609"/>
      <c r="N1" s="609" t="s">
        <v>325</v>
      </c>
      <c r="O1" s="609"/>
      <c r="P1" s="609"/>
      <c r="Q1" s="609"/>
    </row>
    <row r="3" spans="1:17">
      <c r="A3" s="3" t="s">
        <v>326</v>
      </c>
      <c r="B3" s="3" t="s">
        <v>327</v>
      </c>
      <c r="C3" s="13" t="s">
        <v>328</v>
      </c>
      <c r="D3" s="3"/>
      <c r="E3" s="3"/>
      <c r="F3" s="3" t="s">
        <v>327</v>
      </c>
      <c r="G3" s="13" t="s">
        <v>329</v>
      </c>
      <c r="H3" s="3"/>
      <c r="J3" s="3" t="s">
        <v>327</v>
      </c>
      <c r="K3" s="13" t="s">
        <v>329</v>
      </c>
      <c r="L3" s="3"/>
      <c r="N3" s="3" t="s">
        <v>327</v>
      </c>
      <c r="O3" s="13" t="s">
        <v>329</v>
      </c>
      <c r="P3" s="3"/>
    </row>
    <row r="4" spans="1:17">
      <c r="A4" s="2"/>
      <c r="C4" s="14"/>
      <c r="D4" s="14"/>
      <c r="E4" s="2"/>
      <c r="G4" s="14"/>
      <c r="H4" s="14"/>
      <c r="K4" s="14"/>
      <c r="L4" s="14"/>
      <c r="O4" s="14"/>
      <c r="P4" s="14"/>
    </row>
    <row r="5" spans="1:17">
      <c r="A5" s="2" t="s">
        <v>330</v>
      </c>
      <c r="B5" s="12">
        <v>44482</v>
      </c>
      <c r="C5" s="14">
        <v>114.72</v>
      </c>
      <c r="D5" s="14"/>
      <c r="E5" s="2"/>
      <c r="F5" s="12">
        <v>44405</v>
      </c>
      <c r="G5" s="14">
        <v>724.38</v>
      </c>
      <c r="H5" s="14"/>
      <c r="J5" s="12">
        <v>44565</v>
      </c>
      <c r="K5" s="14">
        <v>149.79</v>
      </c>
      <c r="L5" s="14"/>
      <c r="N5" s="12" t="s">
        <v>178</v>
      </c>
      <c r="O5" s="14"/>
      <c r="P5" s="14"/>
    </row>
    <row r="6" spans="1:17">
      <c r="A6" s="2"/>
      <c r="B6" s="12">
        <f>+B5+30</f>
        <v>44512</v>
      </c>
      <c r="C6" s="14">
        <v>30.06</v>
      </c>
      <c r="D6" s="14"/>
      <c r="E6" s="2"/>
      <c r="F6" s="12">
        <v>44440</v>
      </c>
      <c r="G6" s="14">
        <v>748.17</v>
      </c>
      <c r="H6" s="14"/>
      <c r="J6" s="12">
        <v>44599</v>
      </c>
      <c r="K6" s="14">
        <v>149.79</v>
      </c>
      <c r="L6" s="14"/>
      <c r="N6" s="12"/>
      <c r="O6" s="14"/>
      <c r="P6" s="14"/>
    </row>
    <row r="7" spans="1:17">
      <c r="A7" s="2"/>
      <c r="B7" s="12">
        <v>44571</v>
      </c>
      <c r="C7" s="14">
        <v>30.21</v>
      </c>
      <c r="D7" s="14"/>
      <c r="E7" s="2"/>
      <c r="F7" s="12">
        <v>44461</v>
      </c>
      <c r="G7" s="14">
        <v>748.17</v>
      </c>
      <c r="H7" s="14"/>
      <c r="J7" s="12">
        <v>44627</v>
      </c>
      <c r="K7" s="14">
        <v>149.79</v>
      </c>
      <c r="L7" s="14"/>
      <c r="N7" s="12"/>
      <c r="O7" s="14"/>
      <c r="P7" s="14"/>
    </row>
    <row r="8" spans="1:17">
      <c r="A8" s="2"/>
      <c r="B8" s="12">
        <f t="shared" ref="B8:B26" si="0">+B7+30</f>
        <v>44601</v>
      </c>
      <c r="C8" s="14">
        <v>30.21</v>
      </c>
      <c r="D8" s="14"/>
      <c r="E8" s="2"/>
      <c r="F8" s="12">
        <v>44504</v>
      </c>
      <c r="G8" s="14">
        <v>748.17</v>
      </c>
      <c r="H8" s="14"/>
      <c r="J8" s="12">
        <v>44656</v>
      </c>
      <c r="K8" s="14">
        <v>149.79</v>
      </c>
      <c r="L8" s="14"/>
      <c r="N8" s="12"/>
      <c r="O8" s="14"/>
      <c r="P8" s="14"/>
    </row>
    <row r="9" spans="1:17">
      <c r="A9" s="2"/>
      <c r="B9" s="12">
        <f t="shared" si="0"/>
        <v>44631</v>
      </c>
      <c r="C9" s="14">
        <v>30.39</v>
      </c>
      <c r="D9" s="14"/>
      <c r="E9" s="2"/>
      <c r="F9" s="12">
        <v>44524</v>
      </c>
      <c r="G9" s="14">
        <v>748.17</v>
      </c>
      <c r="H9" s="14"/>
      <c r="J9" s="12">
        <f t="shared" ref="J9:J21" si="1">+J8+30</f>
        <v>44686</v>
      </c>
      <c r="K9" s="14">
        <v>149.79</v>
      </c>
      <c r="L9" s="14"/>
      <c r="N9" s="12"/>
      <c r="O9" s="14"/>
      <c r="P9" s="14"/>
    </row>
    <row r="10" spans="1:17">
      <c r="A10" s="2"/>
      <c r="B10" s="12">
        <v>44648</v>
      </c>
      <c r="C10" s="14">
        <v>30.31</v>
      </c>
      <c r="D10" s="14"/>
      <c r="E10" s="2"/>
      <c r="F10" s="12">
        <v>44546</v>
      </c>
      <c r="G10" s="14">
        <v>748.17</v>
      </c>
      <c r="H10" s="14"/>
      <c r="J10" s="12">
        <v>44713</v>
      </c>
      <c r="K10" s="14">
        <v>149.79</v>
      </c>
      <c r="L10" s="14"/>
      <c r="N10" s="12"/>
      <c r="O10" s="14"/>
      <c r="P10" s="14"/>
    </row>
    <row r="11" spans="1:17">
      <c r="A11" s="2"/>
      <c r="B11" s="12">
        <v>44712</v>
      </c>
      <c r="C11" s="14">
        <v>60.81</v>
      </c>
      <c r="D11" s="14"/>
      <c r="E11" s="2"/>
      <c r="F11" s="12">
        <v>44573</v>
      </c>
      <c r="G11" s="14">
        <v>748.17</v>
      </c>
      <c r="H11" s="14"/>
      <c r="J11" s="12">
        <f t="shared" si="1"/>
        <v>44743</v>
      </c>
      <c r="K11" s="14">
        <v>149.79</v>
      </c>
      <c r="L11" s="14"/>
      <c r="N11" s="12"/>
      <c r="O11" s="14"/>
      <c r="P11" s="14"/>
    </row>
    <row r="12" spans="1:17">
      <c r="A12" s="2"/>
      <c r="B12" s="12">
        <v>44740</v>
      </c>
      <c r="C12" s="14">
        <v>30.39</v>
      </c>
      <c r="D12" s="14"/>
      <c r="E12" s="2"/>
      <c r="F12" s="12">
        <v>44588</v>
      </c>
      <c r="G12" s="14">
        <v>748.17</v>
      </c>
      <c r="H12" s="14"/>
      <c r="J12" s="12">
        <f t="shared" si="1"/>
        <v>44773</v>
      </c>
      <c r="K12" s="14">
        <v>149.79</v>
      </c>
      <c r="L12" s="14"/>
      <c r="N12" s="12"/>
      <c r="O12" s="14"/>
      <c r="P12" s="14"/>
    </row>
    <row r="13" spans="1:17">
      <c r="A13" s="2"/>
      <c r="B13" s="12">
        <v>44776</v>
      </c>
      <c r="C13" s="14">
        <v>30.39</v>
      </c>
      <c r="D13" s="14"/>
      <c r="E13" s="2"/>
      <c r="F13" s="12">
        <v>44648</v>
      </c>
      <c r="G13" s="14">
        <v>748.17</v>
      </c>
      <c r="H13" s="14"/>
      <c r="J13" s="12">
        <v>44809</v>
      </c>
      <c r="K13" s="14">
        <v>149.79</v>
      </c>
      <c r="L13" s="14"/>
      <c r="N13" s="12"/>
      <c r="O13" s="14"/>
      <c r="P13" s="14"/>
    </row>
    <row r="14" spans="1:17">
      <c r="A14" s="2"/>
      <c r="B14" s="12">
        <v>45041</v>
      </c>
      <c r="C14" s="14">
        <v>33.24</v>
      </c>
      <c r="D14" s="14"/>
      <c r="E14" s="2"/>
      <c r="F14" s="12">
        <v>44649</v>
      </c>
      <c r="G14" s="14">
        <v>748.17</v>
      </c>
      <c r="H14" s="14"/>
      <c r="J14" s="12">
        <f t="shared" si="1"/>
        <v>44839</v>
      </c>
      <c r="K14" s="14">
        <v>149.79</v>
      </c>
      <c r="L14" s="14"/>
      <c r="N14" s="12"/>
      <c r="O14" s="14"/>
      <c r="P14" s="14"/>
    </row>
    <row r="15" spans="1:17">
      <c r="A15" s="2"/>
      <c r="B15" s="12">
        <v>45083</v>
      </c>
      <c r="C15" s="14">
        <v>30.61</v>
      </c>
      <c r="D15" s="14"/>
      <c r="E15" s="2"/>
      <c r="F15" s="12">
        <f t="shared" ref="F15:F17" si="2">+F16-30</f>
        <v>44667</v>
      </c>
      <c r="G15" s="14">
        <v>749.94</v>
      </c>
      <c r="H15" s="14"/>
      <c r="J15" s="12">
        <f t="shared" si="1"/>
        <v>44869</v>
      </c>
      <c r="K15" s="14">
        <v>149.79</v>
      </c>
      <c r="L15" s="14"/>
      <c r="N15" s="12"/>
      <c r="O15" s="14"/>
      <c r="P15" s="14"/>
    </row>
    <row r="16" spans="1:17">
      <c r="A16" s="2"/>
      <c r="B16" s="12">
        <v>45135</v>
      </c>
      <c r="C16" s="14">
        <v>7.74</v>
      </c>
      <c r="D16" s="14"/>
      <c r="E16" s="2"/>
      <c r="F16" s="12">
        <v>44697</v>
      </c>
      <c r="G16" s="14">
        <v>749.94</v>
      </c>
      <c r="H16" s="14"/>
      <c r="J16" s="12">
        <f t="shared" si="1"/>
        <v>44899</v>
      </c>
      <c r="K16" s="14">
        <v>149.79</v>
      </c>
      <c r="L16" s="14"/>
      <c r="N16" s="12"/>
      <c r="O16" s="14"/>
      <c r="P16" s="14"/>
    </row>
    <row r="17" spans="1:16">
      <c r="A17" s="2"/>
      <c r="B17" s="12">
        <v>45166</v>
      </c>
      <c r="C17" s="14">
        <v>25.86</v>
      </c>
      <c r="D17" s="14"/>
      <c r="E17" s="2"/>
      <c r="F17" s="12">
        <f t="shared" si="2"/>
        <v>44745</v>
      </c>
      <c r="G17" s="14">
        <v>748.17</v>
      </c>
      <c r="H17" s="14"/>
      <c r="J17" s="12">
        <f t="shared" si="1"/>
        <v>44929</v>
      </c>
      <c r="K17" s="14">
        <v>149.79</v>
      </c>
      <c r="L17" s="14"/>
      <c r="N17" s="12"/>
      <c r="O17" s="14"/>
      <c r="P17" s="14"/>
    </row>
    <row r="18" spans="1:16">
      <c r="A18" s="2"/>
      <c r="B18" s="12">
        <v>45195</v>
      </c>
      <c r="C18" s="14">
        <v>31.48</v>
      </c>
      <c r="D18" s="14"/>
      <c r="E18" s="2"/>
      <c r="F18" s="12">
        <f>+F19-30</f>
        <v>44775</v>
      </c>
      <c r="G18" s="14">
        <v>748.17</v>
      </c>
      <c r="H18" s="14"/>
      <c r="J18" s="12">
        <f t="shared" si="1"/>
        <v>44959</v>
      </c>
      <c r="K18" s="14">
        <v>149.79</v>
      </c>
      <c r="L18" s="14"/>
      <c r="N18" s="12"/>
      <c r="O18" s="14"/>
      <c r="P18" s="14"/>
    </row>
    <row r="19" spans="1:16">
      <c r="A19" s="2"/>
      <c r="B19" s="12">
        <f t="shared" si="0"/>
        <v>45225</v>
      </c>
      <c r="C19" s="14">
        <v>32.119999999999997</v>
      </c>
      <c r="D19" s="14"/>
      <c r="E19" s="2"/>
      <c r="F19" s="12">
        <v>44805</v>
      </c>
      <c r="G19" s="14">
        <v>748.17</v>
      </c>
      <c r="H19" s="14"/>
      <c r="J19" s="12">
        <f t="shared" si="1"/>
        <v>44989</v>
      </c>
      <c r="K19" s="14">
        <v>149.79</v>
      </c>
      <c r="L19" s="14"/>
      <c r="N19" s="12"/>
      <c r="O19" s="14"/>
      <c r="P19" s="14"/>
    </row>
    <row r="20" spans="1:16">
      <c r="A20" s="2"/>
      <c r="B20" s="12">
        <v>45329</v>
      </c>
      <c r="C20" s="14">
        <v>18.739999999999998</v>
      </c>
      <c r="D20" s="14"/>
      <c r="E20" s="2"/>
      <c r="F20" s="12">
        <f>+F5+30</f>
        <v>44435</v>
      </c>
      <c r="G20" s="14">
        <v>751.63</v>
      </c>
      <c r="H20" s="14"/>
      <c r="J20" s="12">
        <f t="shared" si="1"/>
        <v>45019</v>
      </c>
      <c r="K20" s="14">
        <v>149.79</v>
      </c>
      <c r="L20" s="14"/>
      <c r="N20" s="12"/>
      <c r="O20" s="14"/>
      <c r="P20" s="14"/>
    </row>
    <row r="21" spans="1:16">
      <c r="A21" s="2"/>
      <c r="B21" s="12">
        <v>45364</v>
      </c>
      <c r="C21" s="14">
        <v>32.340000000000003</v>
      </c>
      <c r="D21" s="14"/>
      <c r="E21" s="2"/>
      <c r="F21" s="12">
        <f t="shared" ref="F21:F84" si="3">+F20+30</f>
        <v>44465</v>
      </c>
      <c r="G21" s="14">
        <f t="shared" ref="G21:G39" si="4">+G20</f>
        <v>751.63</v>
      </c>
      <c r="H21" s="14"/>
      <c r="J21" s="12">
        <f t="shared" si="1"/>
        <v>45049</v>
      </c>
      <c r="K21" s="14">
        <v>149.79</v>
      </c>
      <c r="L21" s="14"/>
      <c r="N21" s="12"/>
      <c r="O21" s="14"/>
      <c r="P21" s="14"/>
    </row>
    <row r="22" spans="1:16">
      <c r="A22" s="2"/>
      <c r="B22" s="12">
        <v>45379</v>
      </c>
      <c r="C22" s="14">
        <v>32.340000000000003</v>
      </c>
      <c r="D22" s="14"/>
      <c r="E22" s="2"/>
      <c r="F22" s="12">
        <v>44896</v>
      </c>
      <c r="G22" s="14">
        <f t="shared" si="4"/>
        <v>751.63</v>
      </c>
      <c r="H22" s="14"/>
      <c r="J22" s="12">
        <v>45078</v>
      </c>
      <c r="K22" s="14">
        <v>149.79</v>
      </c>
      <c r="L22" s="14"/>
      <c r="N22" s="12"/>
      <c r="O22" s="14"/>
      <c r="P22" s="14"/>
    </row>
    <row r="23" spans="1:16">
      <c r="A23" s="2"/>
      <c r="B23" s="12">
        <v>45400</v>
      </c>
      <c r="C23" s="14">
        <v>32.340000000000003</v>
      </c>
      <c r="D23" s="14"/>
      <c r="E23" s="2"/>
      <c r="F23" s="12">
        <v>44927</v>
      </c>
      <c r="G23" s="14">
        <f t="shared" si="4"/>
        <v>751.63</v>
      </c>
      <c r="H23" s="14"/>
      <c r="J23" s="12">
        <v>45117</v>
      </c>
      <c r="K23" s="14">
        <v>222.97</v>
      </c>
      <c r="L23" s="14"/>
      <c r="N23" s="12"/>
      <c r="O23" s="14"/>
      <c r="P23" s="14"/>
    </row>
    <row r="24" spans="1:16">
      <c r="A24" s="2"/>
      <c r="B24" s="12">
        <v>45433</v>
      </c>
      <c r="C24" s="14">
        <v>32.340000000000003</v>
      </c>
      <c r="D24" s="14"/>
      <c r="E24" s="2"/>
      <c r="F24" s="12">
        <f t="shared" si="3"/>
        <v>44957</v>
      </c>
      <c r="G24" s="14">
        <f t="shared" si="4"/>
        <v>751.63</v>
      </c>
      <c r="H24" s="14"/>
      <c r="J24" s="12">
        <v>45142</v>
      </c>
      <c r="K24" s="14">
        <v>222.97</v>
      </c>
      <c r="L24" s="14"/>
      <c r="N24" s="12"/>
      <c r="O24" s="14"/>
      <c r="P24" s="14"/>
    </row>
    <row r="25" spans="1:16">
      <c r="A25" s="2"/>
      <c r="B25" s="12">
        <v>45462</v>
      </c>
      <c r="C25" s="14">
        <v>32.340000000000003</v>
      </c>
      <c r="D25" s="14"/>
      <c r="E25" s="2"/>
      <c r="F25" s="12">
        <f t="shared" si="3"/>
        <v>44987</v>
      </c>
      <c r="G25" s="14">
        <f t="shared" si="4"/>
        <v>751.63</v>
      </c>
      <c r="J25" s="12">
        <v>45182</v>
      </c>
      <c r="K25" s="14">
        <v>222.97</v>
      </c>
      <c r="N25" s="12"/>
      <c r="O25" s="14"/>
    </row>
    <row r="26" spans="1:16">
      <c r="A26" s="2"/>
      <c r="B26" s="12">
        <f t="shared" si="0"/>
        <v>45492</v>
      </c>
      <c r="C26" s="14">
        <v>32.340000000000003</v>
      </c>
      <c r="D26" s="14"/>
      <c r="E26" s="2"/>
      <c r="F26" s="12">
        <f t="shared" si="3"/>
        <v>45017</v>
      </c>
      <c r="G26" s="14">
        <f t="shared" si="4"/>
        <v>751.63</v>
      </c>
      <c r="J26" s="12">
        <v>45202</v>
      </c>
      <c r="K26" s="14">
        <v>222.97</v>
      </c>
      <c r="N26" s="12"/>
      <c r="O26" s="14"/>
    </row>
    <row r="27" spans="1:16">
      <c r="A27" s="2"/>
      <c r="B27" s="12">
        <v>45524</v>
      </c>
      <c r="C27" s="14">
        <v>-115.05</v>
      </c>
      <c r="D27" s="14"/>
      <c r="E27" s="2"/>
      <c r="F27" s="12">
        <v>45019</v>
      </c>
      <c r="G27" s="14">
        <f t="shared" si="4"/>
        <v>751.63</v>
      </c>
      <c r="J27" s="12">
        <v>45231</v>
      </c>
      <c r="K27" s="14">
        <v>222.97</v>
      </c>
      <c r="O27" s="14"/>
    </row>
    <row r="28" spans="1:16">
      <c r="A28" s="2"/>
      <c r="B28" s="12">
        <v>45554</v>
      </c>
      <c r="C28" s="14">
        <v>-115.05</v>
      </c>
      <c r="D28" s="14"/>
      <c r="E28" s="2"/>
      <c r="F28" s="12">
        <f t="shared" si="3"/>
        <v>45049</v>
      </c>
      <c r="G28" s="14">
        <f t="shared" si="4"/>
        <v>751.63</v>
      </c>
      <c r="J28" s="12">
        <f>+J27+30</f>
        <v>45261</v>
      </c>
      <c r="K28" s="14">
        <v>222.97</v>
      </c>
      <c r="O28" s="14"/>
    </row>
    <row r="29" spans="1:16">
      <c r="A29" s="2"/>
      <c r="B29" s="12">
        <v>45586</v>
      </c>
      <c r="C29" s="14">
        <v>-82.71</v>
      </c>
      <c r="E29" s="2"/>
      <c r="F29" s="12">
        <f t="shared" si="3"/>
        <v>45079</v>
      </c>
      <c r="G29" s="14">
        <f t="shared" si="4"/>
        <v>751.63</v>
      </c>
      <c r="J29" s="12">
        <v>45292</v>
      </c>
      <c r="K29" s="14">
        <v>222.97</v>
      </c>
      <c r="O29" s="14"/>
    </row>
    <row r="30" spans="1:16">
      <c r="A30" s="2"/>
      <c r="B30" s="12">
        <v>45615</v>
      </c>
      <c r="C30" s="14">
        <v>-50.37</v>
      </c>
      <c r="E30" s="2"/>
      <c r="F30" s="12">
        <f t="shared" si="3"/>
        <v>45109</v>
      </c>
      <c r="G30" s="14">
        <f t="shared" si="4"/>
        <v>751.63</v>
      </c>
      <c r="J30" s="12">
        <v>45323</v>
      </c>
      <c r="K30" s="14">
        <v>182.76</v>
      </c>
      <c r="O30" s="14"/>
    </row>
    <row r="31" spans="1:16">
      <c r="A31" s="2"/>
      <c r="B31" s="12">
        <v>45644</v>
      </c>
      <c r="C31" s="14">
        <v>-17.05</v>
      </c>
      <c r="E31" s="2"/>
      <c r="F31" s="12">
        <f t="shared" si="3"/>
        <v>45139</v>
      </c>
      <c r="G31" s="14">
        <f t="shared" si="4"/>
        <v>751.63</v>
      </c>
      <c r="J31" s="12">
        <f t="shared" ref="J31:J33" si="5">+J30+30</f>
        <v>45353</v>
      </c>
      <c r="K31" s="14">
        <v>182.76</v>
      </c>
      <c r="O31" s="14"/>
    </row>
    <row r="32" spans="1:16">
      <c r="A32" s="2"/>
      <c r="B32" s="12">
        <v>45678</v>
      </c>
      <c r="C32" s="14">
        <v>16.39</v>
      </c>
      <c r="E32" s="2"/>
      <c r="F32" s="12">
        <f t="shared" si="3"/>
        <v>45169</v>
      </c>
      <c r="G32" s="14">
        <f t="shared" si="4"/>
        <v>751.63</v>
      </c>
      <c r="J32" s="12">
        <f t="shared" si="5"/>
        <v>45383</v>
      </c>
      <c r="K32" s="14">
        <v>182.76</v>
      </c>
      <c r="O32" s="14"/>
    </row>
    <row r="33" spans="1:15">
      <c r="A33" s="2"/>
      <c r="B33" s="12">
        <v>45708</v>
      </c>
      <c r="C33" s="14">
        <v>-69.17</v>
      </c>
      <c r="E33" s="2"/>
      <c r="F33" s="12">
        <f t="shared" si="3"/>
        <v>45199</v>
      </c>
      <c r="G33" s="14">
        <f t="shared" si="4"/>
        <v>751.63</v>
      </c>
      <c r="J33" s="12">
        <f t="shared" si="5"/>
        <v>45413</v>
      </c>
      <c r="K33" s="14">
        <v>182.76</v>
      </c>
      <c r="O33" s="14"/>
    </row>
    <row r="34" spans="1:15">
      <c r="A34" s="2"/>
      <c r="B34" s="12">
        <v>45736</v>
      </c>
      <c r="C34" s="14">
        <v>-36.46</v>
      </c>
      <c r="E34" s="2"/>
      <c r="F34" s="12">
        <f t="shared" si="3"/>
        <v>45229</v>
      </c>
      <c r="G34" s="14">
        <f t="shared" si="4"/>
        <v>751.63</v>
      </c>
      <c r="K34" s="14">
        <v>182.76</v>
      </c>
      <c r="O34" s="14"/>
    </row>
    <row r="35" spans="1:15">
      <c r="A35" s="2"/>
      <c r="B35" s="12">
        <v>45768</v>
      </c>
      <c r="C35" s="14">
        <v>-3.75</v>
      </c>
      <c r="E35" s="2"/>
      <c r="F35" s="12">
        <f t="shared" si="3"/>
        <v>45259</v>
      </c>
      <c r="G35" s="14">
        <f t="shared" si="4"/>
        <v>751.63</v>
      </c>
      <c r="K35" s="14"/>
      <c r="O35" s="14"/>
    </row>
    <row r="36" spans="1:15">
      <c r="A36" s="2"/>
      <c r="B36" s="12">
        <v>45797</v>
      </c>
      <c r="C36" s="14">
        <v>28.96</v>
      </c>
      <c r="E36" s="2"/>
      <c r="F36" s="12">
        <v>45292</v>
      </c>
      <c r="G36" s="14">
        <f t="shared" si="4"/>
        <v>751.63</v>
      </c>
      <c r="K36" s="14"/>
      <c r="O36" s="14"/>
    </row>
    <row r="37" spans="1:15">
      <c r="A37" s="2"/>
      <c r="B37" s="12">
        <v>45827</v>
      </c>
      <c r="C37" s="14">
        <v>33.29</v>
      </c>
      <c r="E37" s="2"/>
      <c r="F37" s="12">
        <f t="shared" si="3"/>
        <v>45322</v>
      </c>
      <c r="G37" s="14">
        <f t="shared" si="4"/>
        <v>751.63</v>
      </c>
      <c r="K37" s="14"/>
      <c r="O37" s="14"/>
    </row>
    <row r="38" spans="1:15">
      <c r="A38" s="2"/>
      <c r="B38" s="12">
        <v>45859</v>
      </c>
      <c r="C38" s="14">
        <v>32.71</v>
      </c>
      <c r="E38" s="2"/>
      <c r="F38" s="12">
        <f t="shared" si="3"/>
        <v>45352</v>
      </c>
      <c r="G38" s="14">
        <f t="shared" si="4"/>
        <v>751.63</v>
      </c>
      <c r="K38" s="14"/>
      <c r="O38" s="14"/>
    </row>
    <row r="39" spans="1:15">
      <c r="A39" s="2"/>
      <c r="B39" s="12">
        <v>45889</v>
      </c>
      <c r="C39" s="14">
        <v>32.71</v>
      </c>
      <c r="E39" s="2"/>
      <c r="F39" s="12">
        <f t="shared" si="3"/>
        <v>45382</v>
      </c>
      <c r="G39" s="14">
        <f t="shared" si="4"/>
        <v>751.63</v>
      </c>
      <c r="K39" s="14"/>
      <c r="O39" s="14"/>
    </row>
    <row r="40" spans="1:15">
      <c r="A40" s="2"/>
      <c r="B40" s="12">
        <v>45919</v>
      </c>
      <c r="C40" s="14">
        <v>32.71</v>
      </c>
      <c r="E40" s="2"/>
      <c r="F40" s="12">
        <f t="shared" si="3"/>
        <v>45412</v>
      </c>
      <c r="G40" s="14">
        <f>+G39</f>
        <v>751.63</v>
      </c>
      <c r="K40" s="14"/>
      <c r="O40" s="14"/>
    </row>
    <row r="41" spans="1:15">
      <c r="A41" s="2"/>
      <c r="B41" s="12">
        <v>45951</v>
      </c>
      <c r="C41" s="14">
        <v>32.71</v>
      </c>
      <c r="E41" s="2"/>
      <c r="F41" s="12">
        <f t="shared" si="3"/>
        <v>45442</v>
      </c>
      <c r="G41" s="14">
        <f t="shared" ref="G41:G86" si="6">+G40</f>
        <v>751.63</v>
      </c>
      <c r="K41" s="14"/>
      <c r="O41" s="14"/>
    </row>
    <row r="42" spans="1:15">
      <c r="A42" s="2"/>
      <c r="B42" s="12">
        <v>45980</v>
      </c>
      <c r="C42" s="14">
        <v>32.71</v>
      </c>
      <c r="E42" s="2"/>
      <c r="F42" s="12">
        <f t="shared" si="3"/>
        <v>45472</v>
      </c>
      <c r="G42" s="14">
        <v>782.96</v>
      </c>
      <c r="K42" s="14"/>
      <c r="O42" s="14"/>
    </row>
    <row r="43" spans="1:15">
      <c r="A43" s="2"/>
      <c r="B43" s="12">
        <v>46009</v>
      </c>
      <c r="C43" s="14">
        <v>33.75</v>
      </c>
      <c r="E43" s="2"/>
      <c r="F43" s="12">
        <f t="shared" si="3"/>
        <v>45502</v>
      </c>
      <c r="G43" s="14">
        <f t="shared" si="6"/>
        <v>782.96</v>
      </c>
      <c r="K43" s="14"/>
      <c r="O43" s="14"/>
    </row>
    <row r="44" spans="1:15">
      <c r="A44" s="2"/>
      <c r="B44" s="12">
        <v>46043</v>
      </c>
      <c r="C44" s="14">
        <v>35.1</v>
      </c>
      <c r="E44" s="2"/>
      <c r="F44" s="12">
        <f t="shared" si="3"/>
        <v>45532</v>
      </c>
      <c r="G44" s="14">
        <f t="shared" si="6"/>
        <v>782.96</v>
      </c>
      <c r="K44" s="14"/>
      <c r="O44" s="14"/>
    </row>
    <row r="45" spans="1:15">
      <c r="A45" s="2"/>
      <c r="B45" s="12">
        <v>46071</v>
      </c>
      <c r="C45" s="14">
        <v>35.520000000000003</v>
      </c>
      <c r="E45" s="2"/>
      <c r="F45" s="12">
        <f t="shared" si="3"/>
        <v>45562</v>
      </c>
      <c r="G45" s="14">
        <f t="shared" si="6"/>
        <v>782.96</v>
      </c>
      <c r="K45" s="14"/>
      <c r="O45" s="14"/>
    </row>
    <row r="46" spans="1:15">
      <c r="A46" s="2"/>
      <c r="B46" s="12">
        <v>46100</v>
      </c>
      <c r="C46" s="14">
        <v>35.520000000000003</v>
      </c>
      <c r="E46" s="2"/>
      <c r="F46" s="12">
        <f t="shared" si="3"/>
        <v>45592</v>
      </c>
      <c r="G46" s="14">
        <f t="shared" si="6"/>
        <v>782.96</v>
      </c>
      <c r="K46" s="14"/>
      <c r="O46" s="14"/>
    </row>
    <row r="47" spans="1:15">
      <c r="A47" s="2"/>
      <c r="B47" s="12">
        <v>46133</v>
      </c>
      <c r="C47" s="14">
        <v>35.520000000000003</v>
      </c>
      <c r="E47" s="2"/>
      <c r="F47" s="12">
        <f t="shared" si="3"/>
        <v>45622</v>
      </c>
      <c r="G47" s="14">
        <f t="shared" si="6"/>
        <v>782.96</v>
      </c>
      <c r="K47" s="14"/>
      <c r="O47" s="14"/>
    </row>
    <row r="48" spans="1:15">
      <c r="A48" s="2"/>
      <c r="B48" s="12">
        <v>46161</v>
      </c>
      <c r="C48" s="14">
        <v>35.520000000000003</v>
      </c>
      <c r="E48" s="2"/>
      <c r="F48" s="12">
        <v>45657</v>
      </c>
      <c r="G48" s="14">
        <v>966.22</v>
      </c>
      <c r="K48" s="14"/>
      <c r="O48" s="14"/>
    </row>
    <row r="49" spans="1:15">
      <c r="A49" s="2"/>
      <c r="C49" s="14"/>
      <c r="E49" s="2"/>
      <c r="F49" s="12">
        <f t="shared" si="3"/>
        <v>45687</v>
      </c>
      <c r="G49" s="14">
        <f t="shared" si="6"/>
        <v>966.22</v>
      </c>
      <c r="K49" s="14"/>
      <c r="O49" s="14"/>
    </row>
    <row r="50" spans="1:15">
      <c r="A50" s="2"/>
      <c r="C50" s="14"/>
      <c r="E50" s="2"/>
      <c r="F50" s="12">
        <f t="shared" si="3"/>
        <v>45717</v>
      </c>
      <c r="G50" s="14">
        <f t="shared" si="6"/>
        <v>966.22</v>
      </c>
      <c r="K50" s="14"/>
      <c r="O50" s="14"/>
    </row>
    <row r="51" spans="1:15">
      <c r="A51" s="2"/>
      <c r="C51" s="14"/>
      <c r="E51" s="2"/>
      <c r="F51" s="12">
        <f t="shared" si="3"/>
        <v>45747</v>
      </c>
      <c r="G51" s="14">
        <f t="shared" si="6"/>
        <v>966.22</v>
      </c>
      <c r="K51" s="14"/>
      <c r="O51" s="14"/>
    </row>
    <row r="52" spans="1:15">
      <c r="A52" s="2"/>
      <c r="C52" s="14"/>
      <c r="E52" s="2"/>
      <c r="F52" s="12">
        <f t="shared" si="3"/>
        <v>45777</v>
      </c>
      <c r="G52" s="14">
        <f t="shared" si="6"/>
        <v>966.22</v>
      </c>
      <c r="K52" s="14"/>
      <c r="O52" s="14"/>
    </row>
    <row r="53" spans="1:15">
      <c r="A53" s="2"/>
      <c r="C53" s="14"/>
      <c r="E53" s="2"/>
      <c r="F53" s="12">
        <f t="shared" si="3"/>
        <v>45807</v>
      </c>
      <c r="G53" s="14">
        <f t="shared" si="6"/>
        <v>966.22</v>
      </c>
      <c r="K53" s="14"/>
      <c r="O53" s="14"/>
    </row>
    <row r="54" spans="1:15">
      <c r="A54" s="2"/>
      <c r="C54" s="14"/>
      <c r="E54" s="2"/>
      <c r="F54" s="12">
        <f t="shared" si="3"/>
        <v>45837</v>
      </c>
      <c r="G54" s="14">
        <f t="shared" si="6"/>
        <v>966.22</v>
      </c>
      <c r="K54" s="14"/>
      <c r="O54" s="14"/>
    </row>
    <row r="55" spans="1:15">
      <c r="A55" s="2"/>
      <c r="C55" s="14"/>
      <c r="E55" s="2"/>
      <c r="F55" s="12">
        <f t="shared" si="3"/>
        <v>45867</v>
      </c>
      <c r="G55" s="14">
        <f t="shared" si="6"/>
        <v>966.22</v>
      </c>
      <c r="K55" s="14"/>
      <c r="O55" s="14"/>
    </row>
    <row r="56" spans="1:15">
      <c r="A56" s="2"/>
      <c r="C56" s="14"/>
      <c r="E56" s="2"/>
      <c r="F56" s="12">
        <f t="shared" si="3"/>
        <v>45897</v>
      </c>
      <c r="G56" s="14">
        <f t="shared" si="6"/>
        <v>966.22</v>
      </c>
      <c r="K56" s="14"/>
      <c r="O56" s="14"/>
    </row>
    <row r="57" spans="1:15">
      <c r="A57" s="2"/>
      <c r="C57" s="14"/>
      <c r="E57" s="2"/>
      <c r="F57" s="12">
        <f t="shared" si="3"/>
        <v>45927</v>
      </c>
      <c r="G57" s="14">
        <f t="shared" si="6"/>
        <v>966.22</v>
      </c>
      <c r="K57" s="14"/>
      <c r="O57" s="14"/>
    </row>
    <row r="58" spans="1:15">
      <c r="A58" s="2"/>
      <c r="C58" s="14"/>
      <c r="E58" s="2"/>
      <c r="F58" s="12">
        <f t="shared" si="3"/>
        <v>45957</v>
      </c>
      <c r="G58" s="14">
        <f t="shared" si="6"/>
        <v>966.22</v>
      </c>
      <c r="K58" s="14"/>
      <c r="O58" s="14"/>
    </row>
    <row r="59" spans="1:15">
      <c r="A59" s="2"/>
      <c r="C59" s="14"/>
      <c r="E59" s="2"/>
      <c r="F59" s="12">
        <f t="shared" si="3"/>
        <v>45987</v>
      </c>
      <c r="G59" s="14">
        <f t="shared" si="6"/>
        <v>966.22</v>
      </c>
      <c r="K59" s="14"/>
      <c r="O59" s="14"/>
    </row>
    <row r="60" spans="1:15">
      <c r="A60" s="2"/>
      <c r="C60" s="14"/>
      <c r="E60" s="2"/>
      <c r="F60" s="12">
        <f t="shared" si="3"/>
        <v>46017</v>
      </c>
      <c r="G60" s="14">
        <f t="shared" si="6"/>
        <v>966.22</v>
      </c>
      <c r="K60" s="14"/>
      <c r="O60" s="14"/>
    </row>
    <row r="61" spans="1:15">
      <c r="A61" s="2"/>
      <c r="C61" s="14"/>
      <c r="E61" s="2"/>
      <c r="F61" s="12">
        <f t="shared" si="3"/>
        <v>46047</v>
      </c>
      <c r="G61" s="14">
        <f t="shared" si="6"/>
        <v>966.22</v>
      </c>
      <c r="K61" s="14"/>
      <c r="O61" s="14"/>
    </row>
    <row r="62" spans="1:15">
      <c r="A62" s="2"/>
      <c r="C62" s="14"/>
      <c r="E62" s="2"/>
      <c r="F62" s="12">
        <f t="shared" si="3"/>
        <v>46077</v>
      </c>
      <c r="G62" s="14">
        <f t="shared" si="6"/>
        <v>966.22</v>
      </c>
      <c r="K62" s="14"/>
      <c r="O62" s="14"/>
    </row>
    <row r="63" spans="1:15">
      <c r="A63" s="2"/>
      <c r="C63" s="14"/>
      <c r="E63" s="2"/>
      <c r="F63" s="12">
        <f t="shared" si="3"/>
        <v>46107</v>
      </c>
      <c r="G63" s="14">
        <f t="shared" si="6"/>
        <v>966.22</v>
      </c>
      <c r="K63" s="14"/>
      <c r="O63" s="14"/>
    </row>
    <row r="64" spans="1:15">
      <c r="A64" s="2"/>
      <c r="C64" s="14"/>
      <c r="E64" s="2"/>
      <c r="F64" s="12">
        <f t="shared" si="3"/>
        <v>46137</v>
      </c>
      <c r="G64" s="14">
        <f t="shared" si="6"/>
        <v>966.22</v>
      </c>
      <c r="K64" s="14"/>
      <c r="O64" s="14"/>
    </row>
    <row r="65" spans="1:15">
      <c r="A65" s="2"/>
      <c r="C65" s="14"/>
      <c r="E65" s="2"/>
      <c r="F65" s="12">
        <v>45807</v>
      </c>
      <c r="G65" s="14">
        <v>949.72</v>
      </c>
      <c r="K65" s="14"/>
      <c r="O65" s="14"/>
    </row>
    <row r="66" spans="1:15">
      <c r="A66" s="2"/>
      <c r="C66" s="14"/>
      <c r="E66" s="2"/>
      <c r="F66" s="12">
        <f t="shared" si="3"/>
        <v>45837</v>
      </c>
      <c r="G66" s="14">
        <f t="shared" si="6"/>
        <v>949.72</v>
      </c>
      <c r="K66" s="14"/>
      <c r="O66" s="14"/>
    </row>
    <row r="67" spans="1:15">
      <c r="A67" s="2"/>
      <c r="C67" s="14"/>
      <c r="E67" s="2"/>
      <c r="F67" s="12">
        <f t="shared" si="3"/>
        <v>45867</v>
      </c>
      <c r="G67" s="14">
        <f t="shared" si="6"/>
        <v>949.72</v>
      </c>
      <c r="K67" s="14"/>
      <c r="O67" s="14"/>
    </row>
    <row r="68" spans="1:15">
      <c r="A68" s="2"/>
      <c r="C68" s="14"/>
      <c r="E68" s="2"/>
      <c r="F68" s="12">
        <f t="shared" si="3"/>
        <v>45897</v>
      </c>
      <c r="G68" s="14">
        <f t="shared" si="6"/>
        <v>949.72</v>
      </c>
      <c r="K68" s="14"/>
      <c r="O68" s="14"/>
    </row>
    <row r="69" spans="1:15">
      <c r="A69" s="2"/>
      <c r="C69" s="14"/>
      <c r="E69" s="2"/>
      <c r="F69" s="12">
        <f t="shared" si="3"/>
        <v>45927</v>
      </c>
      <c r="G69" s="14">
        <f t="shared" si="6"/>
        <v>949.72</v>
      </c>
      <c r="K69" s="14"/>
      <c r="O69" s="14"/>
    </row>
    <row r="70" spans="1:15">
      <c r="A70" s="2"/>
      <c r="C70" s="14"/>
      <c r="E70" s="2"/>
      <c r="F70" s="12">
        <f t="shared" si="3"/>
        <v>45957</v>
      </c>
      <c r="G70" s="14">
        <f t="shared" si="6"/>
        <v>949.72</v>
      </c>
      <c r="K70" s="14"/>
      <c r="O70" s="14"/>
    </row>
    <row r="71" spans="1:15">
      <c r="A71" s="2"/>
      <c r="C71" s="14"/>
      <c r="E71" s="2"/>
      <c r="F71" s="12">
        <f t="shared" si="3"/>
        <v>45987</v>
      </c>
      <c r="G71" s="14">
        <f t="shared" si="6"/>
        <v>949.72</v>
      </c>
      <c r="K71" s="14"/>
      <c r="O71" s="14"/>
    </row>
    <row r="72" spans="1:15">
      <c r="A72" s="2"/>
      <c r="C72" s="14"/>
      <c r="E72" s="2"/>
      <c r="F72" s="12">
        <f t="shared" si="3"/>
        <v>46017</v>
      </c>
      <c r="G72" s="14">
        <f t="shared" si="6"/>
        <v>949.72</v>
      </c>
      <c r="K72" s="14"/>
      <c r="O72" s="14"/>
    </row>
    <row r="73" spans="1:15">
      <c r="A73" s="2"/>
      <c r="C73" s="14"/>
      <c r="E73" s="2"/>
      <c r="F73" s="12">
        <f t="shared" si="3"/>
        <v>46047</v>
      </c>
      <c r="G73" s="14">
        <f t="shared" si="6"/>
        <v>949.72</v>
      </c>
      <c r="K73" s="14"/>
      <c r="O73" s="14"/>
    </row>
    <row r="74" spans="1:15">
      <c r="A74" s="2"/>
      <c r="C74" s="14"/>
      <c r="E74" s="2"/>
      <c r="F74" s="12">
        <f t="shared" si="3"/>
        <v>46077</v>
      </c>
      <c r="G74" s="14">
        <f t="shared" si="6"/>
        <v>949.72</v>
      </c>
      <c r="K74" s="14"/>
      <c r="O74" s="14"/>
    </row>
    <row r="75" spans="1:15">
      <c r="A75" s="2"/>
      <c r="C75" s="14"/>
      <c r="E75" s="2"/>
      <c r="F75" s="12">
        <f t="shared" si="3"/>
        <v>46107</v>
      </c>
      <c r="G75" s="14">
        <f t="shared" si="6"/>
        <v>949.72</v>
      </c>
      <c r="K75" s="14"/>
      <c r="O75" s="14"/>
    </row>
    <row r="76" spans="1:15">
      <c r="A76" s="2"/>
      <c r="C76" s="14"/>
      <c r="E76" s="2"/>
      <c r="F76" s="12">
        <f t="shared" si="3"/>
        <v>46137</v>
      </c>
      <c r="G76" s="14">
        <f t="shared" si="6"/>
        <v>949.72</v>
      </c>
      <c r="K76" s="14"/>
      <c r="O76" s="14"/>
    </row>
    <row r="77" spans="1:15">
      <c r="A77" s="2"/>
      <c r="C77" s="14"/>
      <c r="E77" s="2"/>
      <c r="F77" s="12">
        <f t="shared" si="3"/>
        <v>46167</v>
      </c>
      <c r="G77" s="14">
        <f t="shared" si="6"/>
        <v>949.72</v>
      </c>
      <c r="K77" s="14"/>
      <c r="O77" s="14"/>
    </row>
    <row r="78" spans="1:15">
      <c r="A78" s="2"/>
      <c r="C78" s="14"/>
      <c r="E78" s="2"/>
      <c r="F78" s="12">
        <f t="shared" si="3"/>
        <v>46197</v>
      </c>
      <c r="G78" s="14">
        <f t="shared" si="6"/>
        <v>949.72</v>
      </c>
      <c r="K78" s="14"/>
      <c r="O78" s="14"/>
    </row>
    <row r="79" spans="1:15">
      <c r="A79" s="2"/>
      <c r="C79" s="14"/>
      <c r="E79" s="2"/>
      <c r="F79" s="12">
        <f t="shared" si="3"/>
        <v>46227</v>
      </c>
      <c r="G79" s="14">
        <f t="shared" si="6"/>
        <v>949.72</v>
      </c>
      <c r="K79" s="14"/>
      <c r="O79" s="14"/>
    </row>
    <row r="80" spans="1:15">
      <c r="A80" s="2"/>
      <c r="C80" s="14"/>
      <c r="E80" s="2"/>
      <c r="F80" s="12">
        <f t="shared" si="3"/>
        <v>46257</v>
      </c>
      <c r="G80" s="14">
        <f t="shared" si="6"/>
        <v>949.72</v>
      </c>
      <c r="K80" s="14"/>
      <c r="O80" s="14"/>
    </row>
    <row r="81" spans="1:16">
      <c r="A81" s="2"/>
      <c r="C81" s="14"/>
      <c r="E81" s="2"/>
      <c r="F81" s="12">
        <f t="shared" si="3"/>
        <v>46287</v>
      </c>
      <c r="G81" s="14">
        <f t="shared" si="6"/>
        <v>949.72</v>
      </c>
      <c r="K81" s="14"/>
      <c r="O81" s="14"/>
    </row>
    <row r="82" spans="1:16">
      <c r="A82" s="2"/>
      <c r="C82" s="14"/>
      <c r="E82" s="2"/>
      <c r="F82" s="12">
        <f t="shared" si="3"/>
        <v>46317</v>
      </c>
      <c r="G82" s="14">
        <f t="shared" si="6"/>
        <v>949.72</v>
      </c>
      <c r="K82" s="14"/>
      <c r="O82" s="14"/>
    </row>
    <row r="83" spans="1:16">
      <c r="A83" s="2"/>
      <c r="C83" s="14"/>
      <c r="E83" s="2"/>
      <c r="F83" s="12">
        <f t="shared" si="3"/>
        <v>46347</v>
      </c>
      <c r="G83" s="14">
        <f t="shared" si="6"/>
        <v>949.72</v>
      </c>
      <c r="K83" s="14"/>
      <c r="O83" s="14"/>
    </row>
    <row r="84" spans="1:16">
      <c r="A84" s="2"/>
      <c r="C84" s="14"/>
      <c r="E84" s="2"/>
      <c r="F84" s="12">
        <f t="shared" si="3"/>
        <v>46377</v>
      </c>
      <c r="G84" s="14">
        <f t="shared" si="6"/>
        <v>949.72</v>
      </c>
      <c r="K84" s="14"/>
      <c r="O84" s="14"/>
    </row>
    <row r="85" spans="1:16">
      <c r="A85" s="2"/>
      <c r="C85" s="14"/>
      <c r="E85" s="2"/>
      <c r="F85" s="12">
        <f t="shared" ref="F85:F86" si="7">+F84+30</f>
        <v>46407</v>
      </c>
      <c r="G85" s="14">
        <f t="shared" si="6"/>
        <v>949.72</v>
      </c>
      <c r="K85" s="14"/>
      <c r="O85" s="14"/>
    </row>
    <row r="86" spans="1:16">
      <c r="A86" s="2"/>
      <c r="C86" s="14"/>
      <c r="E86" s="2"/>
      <c r="F86" s="12">
        <f t="shared" si="7"/>
        <v>46437</v>
      </c>
      <c r="G86" s="14">
        <f t="shared" si="6"/>
        <v>949.72</v>
      </c>
      <c r="K86" s="14"/>
      <c r="O86" s="14"/>
    </row>
    <row r="87" spans="1:16" ht="15.75" thickBot="1">
      <c r="A87" s="2"/>
      <c r="C87" s="23"/>
      <c r="D87" s="23"/>
      <c r="E87" s="2"/>
      <c r="G87" s="23"/>
      <c r="H87" s="23"/>
      <c r="K87" s="23"/>
      <c r="L87" s="23"/>
      <c r="O87" s="23"/>
      <c r="P87" s="23"/>
    </row>
    <row r="88" spans="1:16">
      <c r="A88" s="2"/>
      <c r="C88" s="14"/>
      <c r="D88" s="5">
        <f>SUM(C4:C87)</f>
        <v>724.83000000000027</v>
      </c>
      <c r="E88" s="2"/>
      <c r="G88" s="14"/>
      <c r="H88" s="5">
        <f>SUM(G4:G87)</f>
        <v>69755.500000000044</v>
      </c>
      <c r="K88" s="14"/>
      <c r="L88" s="5">
        <f>SUM(K4:K87)</f>
        <v>5170.8099999999995</v>
      </c>
      <c r="O88" s="14"/>
      <c r="P88" s="5">
        <f>SUM(O4:O87)</f>
        <v>0</v>
      </c>
    </row>
  </sheetData>
  <mergeCells count="4">
    <mergeCell ref="A1:D1"/>
    <mergeCell ref="E1:H1"/>
    <mergeCell ref="J1:M1"/>
    <mergeCell ref="N1:Q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F9F1-54EC-40FF-95C4-C14CCDEB7581}">
  <sheetPr codeName="Sheet6">
    <tabColor theme="7" tint="0.79998168889431442"/>
  </sheetPr>
  <dimension ref="A1:M70"/>
  <sheetViews>
    <sheetView topLeftCell="B1" zoomScaleNormal="100" workbookViewId="0">
      <pane ySplit="11" topLeftCell="A12" activePane="bottomLeft" state="frozen"/>
      <selection pane="bottomLeft" activeCell="C38" sqref="C38"/>
    </sheetView>
  </sheetViews>
  <sheetFormatPr defaultRowHeight="15"/>
  <cols>
    <col min="1" max="1" width="35.85546875" style="84" customWidth="1"/>
    <col min="2" max="2" width="35.140625" style="84" bestFit="1" customWidth="1"/>
    <col min="3" max="3" width="118.140625" style="84" customWidth="1"/>
    <col min="4" max="4" width="9.5703125" style="85" bestFit="1" customWidth="1"/>
    <col min="5" max="5" width="16.28515625" style="86" bestFit="1" customWidth="1"/>
    <col min="6" max="6" width="9.140625" style="84"/>
    <col min="7" max="7" width="18.7109375" style="84" bestFit="1" customWidth="1"/>
    <col min="8" max="8" width="27.7109375" style="84" bestFit="1" customWidth="1"/>
    <col min="9" max="9" width="81.140625" style="84" bestFit="1" customWidth="1"/>
    <col min="10" max="10" width="6.28515625" style="84" bestFit="1" customWidth="1"/>
    <col min="11" max="12" width="12" style="84" bestFit="1" customWidth="1"/>
    <col min="13" max="254" width="9.140625" style="84"/>
    <col min="255" max="255" width="21.85546875" style="84" customWidth="1"/>
    <col min="256" max="256" width="35.85546875" style="84" customWidth="1"/>
    <col min="257" max="257" width="97.7109375" style="84" customWidth="1"/>
    <col min="258" max="258" width="31.7109375" style="84" customWidth="1"/>
    <col min="259" max="259" width="13.7109375" style="84" bestFit="1" customWidth="1"/>
    <col min="260" max="510" width="9.140625" style="84"/>
    <col min="511" max="511" width="21.85546875" style="84" customWidth="1"/>
    <col min="512" max="512" width="35.85546875" style="84" customWidth="1"/>
    <col min="513" max="513" width="97.7109375" style="84" customWidth="1"/>
    <col min="514" max="514" width="31.7109375" style="84" customWidth="1"/>
    <col min="515" max="515" width="13.7109375" style="84" bestFit="1" customWidth="1"/>
    <col min="516" max="766" width="9.140625" style="84"/>
    <col min="767" max="767" width="21.85546875" style="84" customWidth="1"/>
    <col min="768" max="768" width="35.85546875" style="84" customWidth="1"/>
    <col min="769" max="769" width="97.7109375" style="84" customWidth="1"/>
    <col min="770" max="770" width="31.7109375" style="84" customWidth="1"/>
    <col min="771" max="771" width="13.7109375" style="84" bestFit="1" customWidth="1"/>
    <col min="772" max="1022" width="9.140625" style="84"/>
    <col min="1023" max="1023" width="21.85546875" style="84" customWidth="1"/>
    <col min="1024" max="1024" width="35.85546875" style="84" customWidth="1"/>
    <col min="1025" max="1025" width="97.7109375" style="84" customWidth="1"/>
    <col min="1026" max="1026" width="31.7109375" style="84" customWidth="1"/>
    <col min="1027" max="1027" width="13.7109375" style="84" bestFit="1" customWidth="1"/>
    <col min="1028" max="1278" width="9.140625" style="84"/>
    <col min="1279" max="1279" width="21.85546875" style="84" customWidth="1"/>
    <col min="1280" max="1280" width="35.85546875" style="84" customWidth="1"/>
    <col min="1281" max="1281" width="97.7109375" style="84" customWidth="1"/>
    <col min="1282" max="1282" width="31.7109375" style="84" customWidth="1"/>
    <col min="1283" max="1283" width="13.7109375" style="84" bestFit="1" customWidth="1"/>
    <col min="1284" max="1534" width="9.140625" style="84"/>
    <col min="1535" max="1535" width="21.85546875" style="84" customWidth="1"/>
    <col min="1536" max="1536" width="35.85546875" style="84" customWidth="1"/>
    <col min="1537" max="1537" width="97.7109375" style="84" customWidth="1"/>
    <col min="1538" max="1538" width="31.7109375" style="84" customWidth="1"/>
    <col min="1539" max="1539" width="13.7109375" style="84" bestFit="1" customWidth="1"/>
    <col min="1540" max="1790" width="9.140625" style="84"/>
    <col min="1791" max="1791" width="21.85546875" style="84" customWidth="1"/>
    <col min="1792" max="1792" width="35.85546875" style="84" customWidth="1"/>
    <col min="1793" max="1793" width="97.7109375" style="84" customWidth="1"/>
    <col min="1794" max="1794" width="31.7109375" style="84" customWidth="1"/>
    <col min="1795" max="1795" width="13.7109375" style="84" bestFit="1" customWidth="1"/>
    <col min="1796" max="2046" width="9.140625" style="84"/>
    <col min="2047" max="2047" width="21.85546875" style="84" customWidth="1"/>
    <col min="2048" max="2048" width="35.85546875" style="84" customWidth="1"/>
    <col min="2049" max="2049" width="97.7109375" style="84" customWidth="1"/>
    <col min="2050" max="2050" width="31.7109375" style="84" customWidth="1"/>
    <col min="2051" max="2051" width="13.7109375" style="84" bestFit="1" customWidth="1"/>
    <col min="2052" max="2302" width="9.140625" style="84"/>
    <col min="2303" max="2303" width="21.85546875" style="84" customWidth="1"/>
    <col min="2304" max="2304" width="35.85546875" style="84" customWidth="1"/>
    <col min="2305" max="2305" width="97.7109375" style="84" customWidth="1"/>
    <col min="2306" max="2306" width="31.7109375" style="84" customWidth="1"/>
    <col min="2307" max="2307" width="13.7109375" style="84" bestFit="1" customWidth="1"/>
    <col min="2308" max="2558" width="9.140625" style="84"/>
    <col min="2559" max="2559" width="21.85546875" style="84" customWidth="1"/>
    <col min="2560" max="2560" width="35.85546875" style="84" customWidth="1"/>
    <col min="2561" max="2561" width="97.7109375" style="84" customWidth="1"/>
    <col min="2562" max="2562" width="31.7109375" style="84" customWidth="1"/>
    <col min="2563" max="2563" width="13.7109375" style="84" bestFit="1" customWidth="1"/>
    <col min="2564" max="2814" width="9.140625" style="84"/>
    <col min="2815" max="2815" width="21.85546875" style="84" customWidth="1"/>
    <col min="2816" max="2816" width="35.85546875" style="84" customWidth="1"/>
    <col min="2817" max="2817" width="97.7109375" style="84" customWidth="1"/>
    <col min="2818" max="2818" width="31.7109375" style="84" customWidth="1"/>
    <col min="2819" max="2819" width="13.7109375" style="84" bestFit="1" customWidth="1"/>
    <col min="2820" max="3070" width="9.140625" style="84"/>
    <col min="3071" max="3071" width="21.85546875" style="84" customWidth="1"/>
    <col min="3072" max="3072" width="35.85546875" style="84" customWidth="1"/>
    <col min="3073" max="3073" width="97.7109375" style="84" customWidth="1"/>
    <col min="3074" max="3074" width="31.7109375" style="84" customWidth="1"/>
    <col min="3075" max="3075" width="13.7109375" style="84" bestFit="1" customWidth="1"/>
    <col min="3076" max="3326" width="9.140625" style="84"/>
    <col min="3327" max="3327" width="21.85546875" style="84" customWidth="1"/>
    <col min="3328" max="3328" width="35.85546875" style="84" customWidth="1"/>
    <col min="3329" max="3329" width="97.7109375" style="84" customWidth="1"/>
    <col min="3330" max="3330" width="31.7109375" style="84" customWidth="1"/>
    <col min="3331" max="3331" width="13.7109375" style="84" bestFit="1" customWidth="1"/>
    <col min="3332" max="3582" width="9.140625" style="84"/>
    <col min="3583" max="3583" width="21.85546875" style="84" customWidth="1"/>
    <col min="3584" max="3584" width="35.85546875" style="84" customWidth="1"/>
    <col min="3585" max="3585" width="97.7109375" style="84" customWidth="1"/>
    <col min="3586" max="3586" width="31.7109375" style="84" customWidth="1"/>
    <col min="3587" max="3587" width="13.7109375" style="84" bestFit="1" customWidth="1"/>
    <col min="3588" max="3838" width="9.140625" style="84"/>
    <col min="3839" max="3839" width="21.85546875" style="84" customWidth="1"/>
    <col min="3840" max="3840" width="35.85546875" style="84" customWidth="1"/>
    <col min="3841" max="3841" width="97.7109375" style="84" customWidth="1"/>
    <col min="3842" max="3842" width="31.7109375" style="84" customWidth="1"/>
    <col min="3843" max="3843" width="13.7109375" style="84" bestFit="1" customWidth="1"/>
    <col min="3844" max="4094" width="9.140625" style="84"/>
    <col min="4095" max="4095" width="21.85546875" style="84" customWidth="1"/>
    <col min="4096" max="4096" width="35.85546875" style="84" customWidth="1"/>
    <col min="4097" max="4097" width="97.7109375" style="84" customWidth="1"/>
    <col min="4098" max="4098" width="31.7109375" style="84" customWidth="1"/>
    <col min="4099" max="4099" width="13.7109375" style="84" bestFit="1" customWidth="1"/>
    <col min="4100" max="4350" width="9.140625" style="84"/>
    <col min="4351" max="4351" width="21.85546875" style="84" customWidth="1"/>
    <col min="4352" max="4352" width="35.85546875" style="84" customWidth="1"/>
    <col min="4353" max="4353" width="97.7109375" style="84" customWidth="1"/>
    <col min="4354" max="4354" width="31.7109375" style="84" customWidth="1"/>
    <col min="4355" max="4355" width="13.7109375" style="84" bestFit="1" customWidth="1"/>
    <col min="4356" max="4606" width="9.140625" style="84"/>
    <col min="4607" max="4607" width="21.85546875" style="84" customWidth="1"/>
    <col min="4608" max="4608" width="35.85546875" style="84" customWidth="1"/>
    <col min="4609" max="4609" width="97.7109375" style="84" customWidth="1"/>
    <col min="4610" max="4610" width="31.7109375" style="84" customWidth="1"/>
    <col min="4611" max="4611" width="13.7109375" style="84" bestFit="1" customWidth="1"/>
    <col min="4612" max="4862" width="9.140625" style="84"/>
    <col min="4863" max="4863" width="21.85546875" style="84" customWidth="1"/>
    <col min="4864" max="4864" width="35.85546875" style="84" customWidth="1"/>
    <col min="4865" max="4865" width="97.7109375" style="84" customWidth="1"/>
    <col min="4866" max="4866" width="31.7109375" style="84" customWidth="1"/>
    <col min="4867" max="4867" width="13.7109375" style="84" bestFit="1" customWidth="1"/>
    <col min="4868" max="5118" width="9.140625" style="84"/>
    <col min="5119" max="5119" width="21.85546875" style="84" customWidth="1"/>
    <col min="5120" max="5120" width="35.85546875" style="84" customWidth="1"/>
    <col min="5121" max="5121" width="97.7109375" style="84" customWidth="1"/>
    <col min="5122" max="5122" width="31.7109375" style="84" customWidth="1"/>
    <col min="5123" max="5123" width="13.7109375" style="84" bestFit="1" customWidth="1"/>
    <col min="5124" max="5374" width="9.140625" style="84"/>
    <col min="5375" max="5375" width="21.85546875" style="84" customWidth="1"/>
    <col min="5376" max="5376" width="35.85546875" style="84" customWidth="1"/>
    <col min="5377" max="5377" width="97.7109375" style="84" customWidth="1"/>
    <col min="5378" max="5378" width="31.7109375" style="84" customWidth="1"/>
    <col min="5379" max="5379" width="13.7109375" style="84" bestFit="1" customWidth="1"/>
    <col min="5380" max="5630" width="9.140625" style="84"/>
    <col min="5631" max="5631" width="21.85546875" style="84" customWidth="1"/>
    <col min="5632" max="5632" width="35.85546875" style="84" customWidth="1"/>
    <col min="5633" max="5633" width="97.7109375" style="84" customWidth="1"/>
    <col min="5634" max="5634" width="31.7109375" style="84" customWidth="1"/>
    <col min="5635" max="5635" width="13.7109375" style="84" bestFit="1" customWidth="1"/>
    <col min="5636" max="5886" width="9.140625" style="84"/>
    <col min="5887" max="5887" width="21.85546875" style="84" customWidth="1"/>
    <col min="5888" max="5888" width="35.85546875" style="84" customWidth="1"/>
    <col min="5889" max="5889" width="97.7109375" style="84" customWidth="1"/>
    <col min="5890" max="5890" width="31.7109375" style="84" customWidth="1"/>
    <col min="5891" max="5891" width="13.7109375" style="84" bestFit="1" customWidth="1"/>
    <col min="5892" max="6142" width="9.140625" style="84"/>
    <col min="6143" max="6143" width="21.85546875" style="84" customWidth="1"/>
    <col min="6144" max="6144" width="35.85546875" style="84" customWidth="1"/>
    <col min="6145" max="6145" width="97.7109375" style="84" customWidth="1"/>
    <col min="6146" max="6146" width="31.7109375" style="84" customWidth="1"/>
    <col min="6147" max="6147" width="13.7109375" style="84" bestFit="1" customWidth="1"/>
    <col min="6148" max="6398" width="9.140625" style="84"/>
    <col min="6399" max="6399" width="21.85546875" style="84" customWidth="1"/>
    <col min="6400" max="6400" width="35.85546875" style="84" customWidth="1"/>
    <col min="6401" max="6401" width="97.7109375" style="84" customWidth="1"/>
    <col min="6402" max="6402" width="31.7109375" style="84" customWidth="1"/>
    <col min="6403" max="6403" width="13.7109375" style="84" bestFit="1" customWidth="1"/>
    <col min="6404" max="6654" width="9.140625" style="84"/>
    <col min="6655" max="6655" width="21.85546875" style="84" customWidth="1"/>
    <col min="6656" max="6656" width="35.85546875" style="84" customWidth="1"/>
    <col min="6657" max="6657" width="97.7109375" style="84" customWidth="1"/>
    <col min="6658" max="6658" width="31.7109375" style="84" customWidth="1"/>
    <col min="6659" max="6659" width="13.7109375" style="84" bestFit="1" customWidth="1"/>
    <col min="6660" max="6910" width="9.140625" style="84"/>
    <col min="6911" max="6911" width="21.85546875" style="84" customWidth="1"/>
    <col min="6912" max="6912" width="35.85546875" style="84" customWidth="1"/>
    <col min="6913" max="6913" width="97.7109375" style="84" customWidth="1"/>
    <col min="6914" max="6914" width="31.7109375" style="84" customWidth="1"/>
    <col min="6915" max="6915" width="13.7109375" style="84" bestFit="1" customWidth="1"/>
    <col min="6916" max="7166" width="9.140625" style="84"/>
    <col min="7167" max="7167" width="21.85546875" style="84" customWidth="1"/>
    <col min="7168" max="7168" width="35.85546875" style="84" customWidth="1"/>
    <col min="7169" max="7169" width="97.7109375" style="84" customWidth="1"/>
    <col min="7170" max="7170" width="31.7109375" style="84" customWidth="1"/>
    <col min="7171" max="7171" width="13.7109375" style="84" bestFit="1" customWidth="1"/>
    <col min="7172" max="7422" width="9.140625" style="84"/>
    <col min="7423" max="7423" width="21.85546875" style="84" customWidth="1"/>
    <col min="7424" max="7424" width="35.85546875" style="84" customWidth="1"/>
    <col min="7425" max="7425" width="97.7109375" style="84" customWidth="1"/>
    <col min="7426" max="7426" width="31.7109375" style="84" customWidth="1"/>
    <col min="7427" max="7427" width="13.7109375" style="84" bestFit="1" customWidth="1"/>
    <col min="7428" max="7678" width="9.140625" style="84"/>
    <col min="7679" max="7679" width="21.85546875" style="84" customWidth="1"/>
    <col min="7680" max="7680" width="35.85546875" style="84" customWidth="1"/>
    <col min="7681" max="7681" width="97.7109375" style="84" customWidth="1"/>
    <col min="7682" max="7682" width="31.7109375" style="84" customWidth="1"/>
    <col min="7683" max="7683" width="13.7109375" style="84" bestFit="1" customWidth="1"/>
    <col min="7684" max="7934" width="9.140625" style="84"/>
    <col min="7935" max="7935" width="21.85546875" style="84" customWidth="1"/>
    <col min="7936" max="7936" width="35.85546875" style="84" customWidth="1"/>
    <col min="7937" max="7937" width="97.7109375" style="84" customWidth="1"/>
    <col min="7938" max="7938" width="31.7109375" style="84" customWidth="1"/>
    <col min="7939" max="7939" width="13.7109375" style="84" bestFit="1" customWidth="1"/>
    <col min="7940" max="8190" width="9.140625" style="84"/>
    <col min="8191" max="8191" width="21.85546875" style="84" customWidth="1"/>
    <col min="8192" max="8192" width="35.85546875" style="84" customWidth="1"/>
    <col min="8193" max="8193" width="97.7109375" style="84" customWidth="1"/>
    <col min="8194" max="8194" width="31.7109375" style="84" customWidth="1"/>
    <col min="8195" max="8195" width="13.7109375" style="84" bestFit="1" customWidth="1"/>
    <col min="8196" max="8446" width="9.140625" style="84"/>
    <col min="8447" max="8447" width="21.85546875" style="84" customWidth="1"/>
    <col min="8448" max="8448" width="35.85546875" style="84" customWidth="1"/>
    <col min="8449" max="8449" width="97.7109375" style="84" customWidth="1"/>
    <col min="8450" max="8450" width="31.7109375" style="84" customWidth="1"/>
    <col min="8451" max="8451" width="13.7109375" style="84" bestFit="1" customWidth="1"/>
    <col min="8452" max="8702" width="9.140625" style="84"/>
    <col min="8703" max="8703" width="21.85546875" style="84" customWidth="1"/>
    <col min="8704" max="8704" width="35.85546875" style="84" customWidth="1"/>
    <col min="8705" max="8705" width="97.7109375" style="84" customWidth="1"/>
    <col min="8706" max="8706" width="31.7109375" style="84" customWidth="1"/>
    <col min="8707" max="8707" width="13.7109375" style="84" bestFit="1" customWidth="1"/>
    <col min="8708" max="8958" width="9.140625" style="84"/>
    <col min="8959" max="8959" width="21.85546875" style="84" customWidth="1"/>
    <col min="8960" max="8960" width="35.85546875" style="84" customWidth="1"/>
    <col min="8961" max="8961" width="97.7109375" style="84" customWidth="1"/>
    <col min="8962" max="8962" width="31.7109375" style="84" customWidth="1"/>
    <col min="8963" max="8963" width="13.7109375" style="84" bestFit="1" customWidth="1"/>
    <col min="8964" max="9214" width="9.140625" style="84"/>
    <col min="9215" max="9215" width="21.85546875" style="84" customWidth="1"/>
    <col min="9216" max="9216" width="35.85546875" style="84" customWidth="1"/>
    <col min="9217" max="9217" width="97.7109375" style="84" customWidth="1"/>
    <col min="9218" max="9218" width="31.7109375" style="84" customWidth="1"/>
    <col min="9219" max="9219" width="13.7109375" style="84" bestFit="1" customWidth="1"/>
    <col min="9220" max="9470" width="9.140625" style="84"/>
    <col min="9471" max="9471" width="21.85546875" style="84" customWidth="1"/>
    <col min="9472" max="9472" width="35.85546875" style="84" customWidth="1"/>
    <col min="9473" max="9473" width="97.7109375" style="84" customWidth="1"/>
    <col min="9474" max="9474" width="31.7109375" style="84" customWidth="1"/>
    <col min="9475" max="9475" width="13.7109375" style="84" bestFit="1" customWidth="1"/>
    <col min="9476" max="9726" width="9.140625" style="84"/>
    <col min="9727" max="9727" width="21.85546875" style="84" customWidth="1"/>
    <col min="9728" max="9728" width="35.85546875" style="84" customWidth="1"/>
    <col min="9729" max="9729" width="97.7109375" style="84" customWidth="1"/>
    <col min="9730" max="9730" width="31.7109375" style="84" customWidth="1"/>
    <col min="9731" max="9731" width="13.7109375" style="84" bestFit="1" customWidth="1"/>
    <col min="9732" max="9982" width="9.140625" style="84"/>
    <col min="9983" max="9983" width="21.85546875" style="84" customWidth="1"/>
    <col min="9984" max="9984" width="35.85546875" style="84" customWidth="1"/>
    <col min="9985" max="9985" width="97.7109375" style="84" customWidth="1"/>
    <col min="9986" max="9986" width="31.7109375" style="84" customWidth="1"/>
    <col min="9987" max="9987" width="13.7109375" style="84" bestFit="1" customWidth="1"/>
    <col min="9988" max="10238" width="9.140625" style="84"/>
    <col min="10239" max="10239" width="21.85546875" style="84" customWidth="1"/>
    <col min="10240" max="10240" width="35.85546875" style="84" customWidth="1"/>
    <col min="10241" max="10241" width="97.7109375" style="84" customWidth="1"/>
    <col min="10242" max="10242" width="31.7109375" style="84" customWidth="1"/>
    <col min="10243" max="10243" width="13.7109375" style="84" bestFit="1" customWidth="1"/>
    <col min="10244" max="10494" width="9.140625" style="84"/>
    <col min="10495" max="10495" width="21.85546875" style="84" customWidth="1"/>
    <col min="10496" max="10496" width="35.85546875" style="84" customWidth="1"/>
    <col min="10497" max="10497" width="97.7109375" style="84" customWidth="1"/>
    <col min="10498" max="10498" width="31.7109375" style="84" customWidth="1"/>
    <col min="10499" max="10499" width="13.7109375" style="84" bestFit="1" customWidth="1"/>
    <col min="10500" max="10750" width="9.140625" style="84"/>
    <col min="10751" max="10751" width="21.85546875" style="84" customWidth="1"/>
    <col min="10752" max="10752" width="35.85546875" style="84" customWidth="1"/>
    <col min="10753" max="10753" width="97.7109375" style="84" customWidth="1"/>
    <col min="10754" max="10754" width="31.7109375" style="84" customWidth="1"/>
    <col min="10755" max="10755" width="13.7109375" style="84" bestFit="1" customWidth="1"/>
    <col min="10756" max="11006" width="9.140625" style="84"/>
    <col min="11007" max="11007" width="21.85546875" style="84" customWidth="1"/>
    <col min="11008" max="11008" width="35.85546875" style="84" customWidth="1"/>
    <col min="11009" max="11009" width="97.7109375" style="84" customWidth="1"/>
    <col min="11010" max="11010" width="31.7109375" style="84" customWidth="1"/>
    <col min="11011" max="11011" width="13.7109375" style="84" bestFit="1" customWidth="1"/>
    <col min="11012" max="11262" width="9.140625" style="84"/>
    <col min="11263" max="11263" width="21.85546875" style="84" customWidth="1"/>
    <col min="11264" max="11264" width="35.85546875" style="84" customWidth="1"/>
    <col min="11265" max="11265" width="97.7109375" style="84" customWidth="1"/>
    <col min="11266" max="11266" width="31.7109375" style="84" customWidth="1"/>
    <col min="11267" max="11267" width="13.7109375" style="84" bestFit="1" customWidth="1"/>
    <col min="11268" max="11518" width="9.140625" style="84"/>
    <col min="11519" max="11519" width="21.85546875" style="84" customWidth="1"/>
    <col min="11520" max="11520" width="35.85546875" style="84" customWidth="1"/>
    <col min="11521" max="11521" width="97.7109375" style="84" customWidth="1"/>
    <col min="11522" max="11522" width="31.7109375" style="84" customWidth="1"/>
    <col min="11523" max="11523" width="13.7109375" style="84" bestFit="1" customWidth="1"/>
    <col min="11524" max="11774" width="9.140625" style="84"/>
    <col min="11775" max="11775" width="21.85546875" style="84" customWidth="1"/>
    <col min="11776" max="11776" width="35.85546875" style="84" customWidth="1"/>
    <col min="11777" max="11777" width="97.7109375" style="84" customWidth="1"/>
    <col min="11778" max="11778" width="31.7109375" style="84" customWidth="1"/>
    <col min="11779" max="11779" width="13.7109375" style="84" bestFit="1" customWidth="1"/>
    <col min="11780" max="12030" width="9.140625" style="84"/>
    <col min="12031" max="12031" width="21.85546875" style="84" customWidth="1"/>
    <col min="12032" max="12032" width="35.85546875" style="84" customWidth="1"/>
    <col min="12033" max="12033" width="97.7109375" style="84" customWidth="1"/>
    <col min="12034" max="12034" width="31.7109375" style="84" customWidth="1"/>
    <col min="12035" max="12035" width="13.7109375" style="84" bestFit="1" customWidth="1"/>
    <col min="12036" max="12286" width="9.140625" style="84"/>
    <col min="12287" max="12287" width="21.85546875" style="84" customWidth="1"/>
    <col min="12288" max="12288" width="35.85546875" style="84" customWidth="1"/>
    <col min="12289" max="12289" width="97.7109375" style="84" customWidth="1"/>
    <col min="12290" max="12290" width="31.7109375" style="84" customWidth="1"/>
    <col min="12291" max="12291" width="13.7109375" style="84" bestFit="1" customWidth="1"/>
    <col min="12292" max="12542" width="9.140625" style="84"/>
    <col min="12543" max="12543" width="21.85546875" style="84" customWidth="1"/>
    <col min="12544" max="12544" width="35.85546875" style="84" customWidth="1"/>
    <col min="12545" max="12545" width="97.7109375" style="84" customWidth="1"/>
    <col min="12546" max="12546" width="31.7109375" style="84" customWidth="1"/>
    <col min="12547" max="12547" width="13.7109375" style="84" bestFit="1" customWidth="1"/>
    <col min="12548" max="12798" width="9.140625" style="84"/>
    <col min="12799" max="12799" width="21.85546875" style="84" customWidth="1"/>
    <col min="12800" max="12800" width="35.85546875" style="84" customWidth="1"/>
    <col min="12801" max="12801" width="97.7109375" style="84" customWidth="1"/>
    <col min="12802" max="12802" width="31.7109375" style="84" customWidth="1"/>
    <col min="12803" max="12803" width="13.7109375" style="84" bestFit="1" customWidth="1"/>
    <col min="12804" max="13054" width="9.140625" style="84"/>
    <col min="13055" max="13055" width="21.85546875" style="84" customWidth="1"/>
    <col min="13056" max="13056" width="35.85546875" style="84" customWidth="1"/>
    <col min="13057" max="13057" width="97.7109375" style="84" customWidth="1"/>
    <col min="13058" max="13058" width="31.7109375" style="84" customWidth="1"/>
    <col min="13059" max="13059" width="13.7109375" style="84" bestFit="1" customWidth="1"/>
    <col min="13060" max="13310" width="9.140625" style="84"/>
    <col min="13311" max="13311" width="21.85546875" style="84" customWidth="1"/>
    <col min="13312" max="13312" width="35.85546875" style="84" customWidth="1"/>
    <col min="13313" max="13313" width="97.7109375" style="84" customWidth="1"/>
    <col min="13314" max="13314" width="31.7109375" style="84" customWidth="1"/>
    <col min="13315" max="13315" width="13.7109375" style="84" bestFit="1" customWidth="1"/>
    <col min="13316" max="13566" width="9.140625" style="84"/>
    <col min="13567" max="13567" width="21.85546875" style="84" customWidth="1"/>
    <col min="13568" max="13568" width="35.85546875" style="84" customWidth="1"/>
    <col min="13569" max="13569" width="97.7109375" style="84" customWidth="1"/>
    <col min="13570" max="13570" width="31.7109375" style="84" customWidth="1"/>
    <col min="13571" max="13571" width="13.7109375" style="84" bestFit="1" customWidth="1"/>
    <col min="13572" max="13822" width="9.140625" style="84"/>
    <col min="13823" max="13823" width="21.85546875" style="84" customWidth="1"/>
    <col min="13824" max="13824" width="35.85546875" style="84" customWidth="1"/>
    <col min="13825" max="13825" width="97.7109375" style="84" customWidth="1"/>
    <col min="13826" max="13826" width="31.7109375" style="84" customWidth="1"/>
    <col min="13827" max="13827" width="13.7109375" style="84" bestFit="1" customWidth="1"/>
    <col min="13828" max="14078" width="9.140625" style="84"/>
    <col min="14079" max="14079" width="21.85546875" style="84" customWidth="1"/>
    <col min="14080" max="14080" width="35.85546875" style="84" customWidth="1"/>
    <col min="14081" max="14081" width="97.7109375" style="84" customWidth="1"/>
    <col min="14082" max="14082" width="31.7109375" style="84" customWidth="1"/>
    <col min="14083" max="14083" width="13.7109375" style="84" bestFit="1" customWidth="1"/>
    <col min="14084" max="14334" width="9.140625" style="84"/>
    <col min="14335" max="14335" width="21.85546875" style="84" customWidth="1"/>
    <col min="14336" max="14336" width="35.85546875" style="84" customWidth="1"/>
    <col min="14337" max="14337" width="97.7109375" style="84" customWidth="1"/>
    <col min="14338" max="14338" width="31.7109375" style="84" customWidth="1"/>
    <col min="14339" max="14339" width="13.7109375" style="84" bestFit="1" customWidth="1"/>
    <col min="14340" max="14590" width="9.140625" style="84"/>
    <col min="14591" max="14591" width="21.85546875" style="84" customWidth="1"/>
    <col min="14592" max="14592" width="35.85546875" style="84" customWidth="1"/>
    <col min="14593" max="14593" width="97.7109375" style="84" customWidth="1"/>
    <col min="14594" max="14594" width="31.7109375" style="84" customWidth="1"/>
    <col min="14595" max="14595" width="13.7109375" style="84" bestFit="1" customWidth="1"/>
    <col min="14596" max="14846" width="9.140625" style="84"/>
    <col min="14847" max="14847" width="21.85546875" style="84" customWidth="1"/>
    <col min="14848" max="14848" width="35.85546875" style="84" customWidth="1"/>
    <col min="14849" max="14849" width="97.7109375" style="84" customWidth="1"/>
    <col min="14850" max="14850" width="31.7109375" style="84" customWidth="1"/>
    <col min="14851" max="14851" width="13.7109375" style="84" bestFit="1" customWidth="1"/>
    <col min="14852" max="15102" width="9.140625" style="84"/>
    <col min="15103" max="15103" width="21.85546875" style="84" customWidth="1"/>
    <col min="15104" max="15104" width="35.85546875" style="84" customWidth="1"/>
    <col min="15105" max="15105" width="97.7109375" style="84" customWidth="1"/>
    <col min="15106" max="15106" width="31.7109375" style="84" customWidth="1"/>
    <col min="15107" max="15107" width="13.7109375" style="84" bestFit="1" customWidth="1"/>
    <col min="15108" max="15358" width="9.140625" style="84"/>
    <col min="15359" max="15359" width="21.85546875" style="84" customWidth="1"/>
    <col min="15360" max="15360" width="35.85546875" style="84" customWidth="1"/>
    <col min="15361" max="15361" width="97.7109375" style="84" customWidth="1"/>
    <col min="15362" max="15362" width="31.7109375" style="84" customWidth="1"/>
    <col min="15363" max="15363" width="13.7109375" style="84" bestFit="1" customWidth="1"/>
    <col min="15364" max="15614" width="9.140625" style="84"/>
    <col min="15615" max="15615" width="21.85546875" style="84" customWidth="1"/>
    <col min="15616" max="15616" width="35.85546875" style="84" customWidth="1"/>
    <col min="15617" max="15617" width="97.7109375" style="84" customWidth="1"/>
    <col min="15618" max="15618" width="31.7109375" style="84" customWidth="1"/>
    <col min="15619" max="15619" width="13.7109375" style="84" bestFit="1" customWidth="1"/>
    <col min="15620" max="15870" width="9.140625" style="84"/>
    <col min="15871" max="15871" width="21.85546875" style="84" customWidth="1"/>
    <col min="15872" max="15872" width="35.85546875" style="84" customWidth="1"/>
    <col min="15873" max="15873" width="97.7109375" style="84" customWidth="1"/>
    <col min="15874" max="15874" width="31.7109375" style="84" customWidth="1"/>
    <col min="15875" max="15875" width="13.7109375" style="84" bestFit="1" customWidth="1"/>
    <col min="15876" max="16126" width="9.140625" style="84"/>
    <col min="16127" max="16127" width="21.85546875" style="84" customWidth="1"/>
    <col min="16128" max="16128" width="35.85546875" style="84" customWidth="1"/>
    <col min="16129" max="16129" width="97.7109375" style="84" customWidth="1"/>
    <col min="16130" max="16130" width="31.7109375" style="84" customWidth="1"/>
    <col min="16131" max="16131" width="13.7109375" style="84" bestFit="1" customWidth="1"/>
    <col min="16132" max="16384" width="9.140625" style="84"/>
  </cols>
  <sheetData>
    <row r="1" spans="1:13" ht="15.75" thickBot="1"/>
    <row r="2" spans="1:13">
      <c r="B2" s="494" t="str">
        <f>"Preassigned Rows Indicating Payment or Scheduling by " &amp;Profit!E1&amp;" Your Home"</f>
        <v>Preassigned Rows Indicating Payment or Scheduling by Buy Your Home</v>
      </c>
      <c r="C2" s="495"/>
      <c r="E2" s="84"/>
    </row>
    <row r="3" spans="1:13" ht="15.75" thickBot="1">
      <c r="B3" s="496"/>
      <c r="C3" s="497"/>
      <c r="E3" s="84"/>
    </row>
    <row r="4" spans="1:13">
      <c r="B4" s="502" t="s">
        <v>331</v>
      </c>
      <c r="C4" s="503"/>
      <c r="E4" s="84"/>
    </row>
    <row r="5" spans="1:13" ht="15.75" thickBot="1">
      <c r="B5" s="504"/>
      <c r="C5" s="505"/>
      <c r="E5" s="84"/>
    </row>
    <row r="6" spans="1:13">
      <c r="B6" s="498" t="s">
        <v>332</v>
      </c>
      <c r="C6" s="499"/>
      <c r="E6" s="84"/>
    </row>
    <row r="7" spans="1:13" ht="15.75" thickBot="1">
      <c r="B7" s="500"/>
      <c r="C7" s="501"/>
    </row>
    <row r="8" spans="1:13">
      <c r="B8" s="506" t="s">
        <v>333</v>
      </c>
      <c r="C8" s="507"/>
    </row>
    <row r="9" spans="1:13" ht="15.75" thickBot="1">
      <c r="B9" s="508"/>
      <c r="C9" s="509"/>
    </row>
    <row r="11" spans="1:13" s="78" customFormat="1" ht="15.75" thickBot="1">
      <c r="A11" s="77" t="s">
        <v>334</v>
      </c>
      <c r="B11" s="77" t="s">
        <v>335</v>
      </c>
      <c r="C11" s="77" t="s">
        <v>336</v>
      </c>
      <c r="D11" s="96" t="s">
        <v>337</v>
      </c>
      <c r="E11" s="97" t="s">
        <v>338</v>
      </c>
      <c r="G11" s="84"/>
      <c r="H11" s="84"/>
      <c r="I11" s="84"/>
      <c r="J11" s="84"/>
      <c r="K11" s="84"/>
      <c r="L11" s="84"/>
      <c r="M11" s="84"/>
    </row>
    <row r="12" spans="1:13" s="78" customFormat="1" ht="15.75" thickTop="1">
      <c r="A12" s="80" t="s">
        <v>339</v>
      </c>
      <c r="B12" s="80" t="s">
        <v>339</v>
      </c>
      <c r="C12" s="80" t="s">
        <v>340</v>
      </c>
      <c r="D12" s="94">
        <v>0</v>
      </c>
      <c r="E12" s="95"/>
      <c r="G12" s="84"/>
      <c r="H12" s="84"/>
      <c r="I12" s="84"/>
      <c r="J12" s="84"/>
      <c r="K12" s="84"/>
      <c r="L12" s="84"/>
      <c r="M12" s="84"/>
    </row>
    <row r="13" spans="1:13" s="78" customFormat="1">
      <c r="A13" s="80" t="s">
        <v>341</v>
      </c>
      <c r="B13" s="80" t="s">
        <v>342</v>
      </c>
      <c r="C13" s="80" t="s">
        <v>343</v>
      </c>
      <c r="D13" s="94">
        <v>0</v>
      </c>
      <c r="E13" s="95"/>
      <c r="G13" s="84"/>
      <c r="H13" s="84"/>
      <c r="I13" s="84"/>
      <c r="J13" s="84"/>
      <c r="K13" s="84"/>
      <c r="L13" s="84"/>
      <c r="M13" s="84"/>
    </row>
    <row r="14" spans="1:13" s="78" customFormat="1">
      <c r="A14" s="80" t="s">
        <v>341</v>
      </c>
      <c r="B14" s="80" t="s">
        <v>344</v>
      </c>
      <c r="C14" s="80" t="s">
        <v>344</v>
      </c>
      <c r="D14" s="94">
        <v>0</v>
      </c>
      <c r="E14" s="95"/>
      <c r="G14" s="84"/>
      <c r="H14" s="84"/>
      <c r="I14" s="84"/>
      <c r="J14" s="84"/>
      <c r="K14" s="84"/>
      <c r="L14" s="84"/>
      <c r="M14" s="84"/>
    </row>
    <row r="15" spans="1:13" s="78" customFormat="1">
      <c r="A15" s="80"/>
      <c r="B15" s="80" t="s">
        <v>345</v>
      </c>
      <c r="C15" s="80" t="s">
        <v>346</v>
      </c>
      <c r="D15" s="94">
        <v>6</v>
      </c>
      <c r="E15" s="95"/>
      <c r="G15" s="84"/>
      <c r="H15" s="84"/>
      <c r="I15" s="84"/>
      <c r="J15" s="84"/>
      <c r="K15" s="84"/>
      <c r="L15" s="84"/>
      <c r="M15" s="84"/>
    </row>
    <row r="16" spans="1:13" s="78" customFormat="1">
      <c r="A16" s="81" t="s">
        <v>347</v>
      </c>
      <c r="B16" s="81" t="s">
        <v>348</v>
      </c>
      <c r="C16" s="81" t="s">
        <v>347</v>
      </c>
      <c r="D16" s="82">
        <v>0</v>
      </c>
      <c r="E16" s="83">
        <v>0</v>
      </c>
      <c r="G16" s="84"/>
      <c r="H16" s="84"/>
      <c r="I16" s="84"/>
      <c r="J16" s="84"/>
      <c r="K16" s="84"/>
      <c r="L16" s="84"/>
      <c r="M16" s="84"/>
    </row>
    <row r="17" spans="1:13" s="78" customFormat="1">
      <c r="A17" s="81" t="s">
        <v>349</v>
      </c>
      <c r="B17" s="81" t="s">
        <v>348</v>
      </c>
      <c r="C17" s="81" t="s">
        <v>350</v>
      </c>
      <c r="D17" s="82">
        <v>0</v>
      </c>
      <c r="E17" s="83">
        <v>200</v>
      </c>
      <c r="G17" s="84"/>
      <c r="H17" s="84"/>
      <c r="I17" s="84"/>
      <c r="J17" s="84"/>
      <c r="K17" s="84"/>
      <c r="L17" s="84"/>
      <c r="M17" s="84"/>
    </row>
    <row r="18" spans="1:13" s="78" customFormat="1">
      <c r="A18" s="81" t="s">
        <v>351</v>
      </c>
      <c r="B18" s="81" t="s">
        <v>348</v>
      </c>
      <c r="C18" s="81" t="s">
        <v>352</v>
      </c>
      <c r="D18" s="82">
        <v>0</v>
      </c>
      <c r="E18" s="83">
        <v>200</v>
      </c>
      <c r="G18" s="84"/>
      <c r="H18" s="84"/>
      <c r="I18" s="84"/>
      <c r="J18" s="84"/>
      <c r="K18" s="84"/>
      <c r="L18" s="84"/>
      <c r="M18" s="84"/>
    </row>
    <row r="19" spans="1:13" s="78" customFormat="1">
      <c r="A19" s="81" t="s">
        <v>353</v>
      </c>
      <c r="B19" s="81" t="s">
        <v>348</v>
      </c>
      <c r="C19" s="81" t="s">
        <v>354</v>
      </c>
      <c r="D19" s="82">
        <v>0</v>
      </c>
      <c r="E19" s="83">
        <v>200</v>
      </c>
      <c r="G19" s="84"/>
      <c r="H19" s="84"/>
      <c r="I19" s="84"/>
      <c r="J19" s="84"/>
      <c r="K19" s="84"/>
      <c r="L19" s="84"/>
      <c r="M19" s="84"/>
    </row>
    <row r="20" spans="1:13" s="78" customFormat="1">
      <c r="A20" s="81" t="s">
        <v>355</v>
      </c>
      <c r="B20" s="81" t="s">
        <v>348</v>
      </c>
      <c r="C20" s="81" t="s">
        <v>356</v>
      </c>
      <c r="D20" s="82">
        <v>0</v>
      </c>
      <c r="E20" s="83">
        <v>135</v>
      </c>
      <c r="G20" s="79"/>
    </row>
    <row r="21" spans="1:13">
      <c r="A21" s="362"/>
      <c r="B21" s="362"/>
      <c r="C21" s="362" t="s">
        <v>357</v>
      </c>
      <c r="D21" s="369">
        <v>1</v>
      </c>
      <c r="E21" s="358">
        <v>0</v>
      </c>
    </row>
    <row r="22" spans="1:13">
      <c r="A22" s="362"/>
      <c r="B22" s="362"/>
      <c r="C22" s="362" t="s">
        <v>358</v>
      </c>
      <c r="D22" s="369">
        <v>0</v>
      </c>
      <c r="E22" s="370">
        <v>0</v>
      </c>
    </row>
    <row r="23" spans="1:13">
      <c r="A23" s="356" t="s">
        <v>359</v>
      </c>
      <c r="B23" s="356"/>
      <c r="C23" s="356"/>
      <c r="D23" s="357"/>
      <c r="E23" s="358"/>
    </row>
    <row r="24" spans="1:13">
      <c r="A24" s="356" t="s">
        <v>359</v>
      </c>
      <c r="B24" s="356"/>
      <c r="C24" s="356"/>
      <c r="D24" s="357"/>
      <c r="E24" s="358"/>
    </row>
    <row r="25" spans="1:13">
      <c r="A25" s="356" t="s">
        <v>360</v>
      </c>
      <c r="B25" s="356"/>
      <c r="C25" s="356"/>
      <c r="D25" s="357"/>
      <c r="E25" s="358"/>
    </row>
    <row r="26" spans="1:13">
      <c r="A26" s="356" t="s">
        <v>361</v>
      </c>
      <c r="B26" s="356"/>
      <c r="C26" s="356"/>
      <c r="D26" s="357"/>
      <c r="E26" s="358"/>
    </row>
    <row r="27" spans="1:13">
      <c r="A27" s="356" t="s">
        <v>361</v>
      </c>
      <c r="B27" s="356"/>
      <c r="C27" s="356"/>
      <c r="D27" s="357"/>
      <c r="E27" s="358"/>
    </row>
    <row r="28" spans="1:13">
      <c r="A28" s="356" t="s">
        <v>361</v>
      </c>
      <c r="B28" s="356"/>
      <c r="C28" s="356"/>
      <c r="D28" s="357"/>
      <c r="E28" s="358"/>
    </row>
    <row r="29" spans="1:13">
      <c r="A29" s="356" t="s">
        <v>361</v>
      </c>
      <c r="B29" s="356"/>
      <c r="C29" s="356"/>
      <c r="D29" s="357"/>
      <c r="E29" s="358"/>
    </row>
    <row r="30" spans="1:13">
      <c r="A30" s="356" t="s">
        <v>362</v>
      </c>
      <c r="B30" s="356"/>
      <c r="C30" s="356"/>
      <c r="D30" s="357"/>
      <c r="E30" s="358"/>
    </row>
    <row r="31" spans="1:13">
      <c r="A31" s="356" t="s">
        <v>363</v>
      </c>
      <c r="B31" s="356"/>
      <c r="C31" s="356"/>
      <c r="D31" s="357"/>
      <c r="E31" s="358"/>
    </row>
    <row r="32" spans="1:13">
      <c r="A32" s="356" t="s">
        <v>363</v>
      </c>
      <c r="B32" s="356"/>
      <c r="C32" s="356"/>
      <c r="D32" s="357"/>
      <c r="E32" s="358"/>
    </row>
    <row r="33" spans="1:7">
      <c r="A33" s="356" t="s">
        <v>363</v>
      </c>
      <c r="B33" s="356"/>
      <c r="C33" s="356"/>
      <c r="D33" s="357"/>
      <c r="E33" s="358"/>
    </row>
    <row r="34" spans="1:7">
      <c r="A34" s="356" t="s">
        <v>364</v>
      </c>
      <c r="B34" s="356"/>
      <c r="C34" s="356"/>
      <c r="D34" s="357"/>
      <c r="E34" s="358"/>
    </row>
    <row r="35" spans="1:7">
      <c r="A35" s="356" t="s">
        <v>364</v>
      </c>
      <c r="B35" s="356"/>
      <c r="C35" s="356"/>
      <c r="D35" s="357"/>
      <c r="E35" s="358"/>
    </row>
    <row r="36" spans="1:7">
      <c r="A36" s="356" t="s">
        <v>364</v>
      </c>
      <c r="B36" s="356"/>
      <c r="C36" s="356"/>
      <c r="D36" s="357"/>
      <c r="E36" s="358"/>
    </row>
    <row r="37" spans="1:7">
      <c r="A37" s="356" t="s">
        <v>365</v>
      </c>
      <c r="B37" s="356"/>
      <c r="C37" s="356"/>
      <c r="D37" s="357"/>
      <c r="E37" s="358"/>
    </row>
    <row r="38" spans="1:7">
      <c r="A38" s="356" t="s">
        <v>366</v>
      </c>
      <c r="B38" s="356"/>
      <c r="C38" s="356"/>
      <c r="D38" s="357"/>
      <c r="E38" s="358"/>
      <c r="G38" s="84">
        <v>1160</v>
      </c>
    </row>
    <row r="39" spans="1:7">
      <c r="A39" s="356" t="s">
        <v>353</v>
      </c>
      <c r="B39" s="356"/>
      <c r="C39" s="356"/>
      <c r="D39" s="357"/>
      <c r="E39" s="358"/>
    </row>
    <row r="40" spans="1:7">
      <c r="A40" s="356" t="s">
        <v>367</v>
      </c>
      <c r="B40" s="356"/>
      <c r="C40" s="356"/>
      <c r="D40" s="357"/>
      <c r="E40" s="358"/>
    </row>
    <row r="41" spans="1:7">
      <c r="A41" s="356" t="s">
        <v>368</v>
      </c>
      <c r="B41" s="356"/>
      <c r="C41" s="356"/>
      <c r="D41" s="357"/>
      <c r="E41" s="358"/>
    </row>
    <row r="42" spans="1:7">
      <c r="A42" s="356" t="s">
        <v>368</v>
      </c>
      <c r="B42" s="356"/>
      <c r="C42" s="356"/>
      <c r="D42" s="357"/>
      <c r="E42" s="358"/>
    </row>
    <row r="43" spans="1:7">
      <c r="A43" s="356" t="s">
        <v>368</v>
      </c>
      <c r="B43" s="356"/>
      <c r="C43" s="356"/>
      <c r="D43" s="357"/>
      <c r="E43" s="358"/>
    </row>
    <row r="44" spans="1:7">
      <c r="A44" s="356" t="s">
        <v>368</v>
      </c>
      <c r="B44" s="356"/>
      <c r="C44" s="356"/>
      <c r="D44" s="357"/>
      <c r="E44" s="358"/>
    </row>
    <row r="45" spans="1:7">
      <c r="A45" s="356" t="s">
        <v>369</v>
      </c>
      <c r="B45" s="356"/>
      <c r="C45" s="356"/>
      <c r="D45" s="357"/>
      <c r="E45" s="358"/>
    </row>
    <row r="46" spans="1:7">
      <c r="A46" s="356" t="s">
        <v>369</v>
      </c>
      <c r="B46" s="356"/>
      <c r="C46" s="356"/>
      <c r="D46" s="357"/>
      <c r="E46" s="358"/>
    </row>
    <row r="47" spans="1:7">
      <c r="A47" s="356" t="s">
        <v>369</v>
      </c>
      <c r="B47" s="356"/>
      <c r="C47" s="356"/>
      <c r="D47" s="357"/>
      <c r="E47" s="358"/>
    </row>
    <row r="48" spans="1:7">
      <c r="A48" s="356" t="s">
        <v>347</v>
      </c>
      <c r="B48" s="356"/>
      <c r="C48" s="356"/>
      <c r="D48" s="357"/>
      <c r="E48" s="358"/>
    </row>
    <row r="49" spans="1:5">
      <c r="A49" s="356" t="s">
        <v>370</v>
      </c>
      <c r="B49" s="356"/>
      <c r="C49" s="356"/>
      <c r="D49" s="357"/>
      <c r="E49" s="358"/>
    </row>
    <row r="50" spans="1:5">
      <c r="A50" s="356" t="s">
        <v>370</v>
      </c>
      <c r="B50" s="356"/>
      <c r="C50" s="356"/>
      <c r="D50" s="357"/>
      <c r="E50" s="358"/>
    </row>
    <row r="51" spans="1:5">
      <c r="A51" s="356" t="s">
        <v>371</v>
      </c>
      <c r="B51" s="356"/>
      <c r="C51" s="356"/>
      <c r="D51" s="357"/>
      <c r="E51" s="358"/>
    </row>
    <row r="52" spans="1:5">
      <c r="A52" s="356" t="s">
        <v>372</v>
      </c>
      <c r="B52" s="356"/>
      <c r="C52" s="356"/>
      <c r="D52" s="357"/>
      <c r="E52" s="358"/>
    </row>
    <row r="53" spans="1:5">
      <c r="A53" s="356" t="s">
        <v>372</v>
      </c>
      <c r="B53" s="356"/>
      <c r="C53" s="356"/>
      <c r="D53" s="357"/>
      <c r="E53" s="358"/>
    </row>
    <row r="54" spans="1:5">
      <c r="A54" s="356" t="s">
        <v>372</v>
      </c>
      <c r="B54" s="356"/>
      <c r="C54" s="356"/>
      <c r="D54" s="357"/>
      <c r="E54" s="358"/>
    </row>
    <row r="55" spans="1:5">
      <c r="A55" s="356" t="s">
        <v>372</v>
      </c>
      <c r="B55" s="356"/>
      <c r="C55" s="356"/>
      <c r="D55" s="357"/>
      <c r="E55" s="358"/>
    </row>
    <row r="56" spans="1:5">
      <c r="A56" s="356" t="s">
        <v>373</v>
      </c>
      <c r="B56" s="356"/>
      <c r="C56" s="356"/>
      <c r="D56" s="357"/>
      <c r="E56" s="358"/>
    </row>
    <row r="57" spans="1:5">
      <c r="A57" s="356" t="s">
        <v>374</v>
      </c>
      <c r="B57" s="356"/>
      <c r="C57" s="356"/>
      <c r="D57" s="357"/>
      <c r="E57" s="358"/>
    </row>
    <row r="58" spans="1:5">
      <c r="A58" s="356" t="s">
        <v>374</v>
      </c>
      <c r="B58" s="356"/>
      <c r="C58" s="356"/>
      <c r="D58" s="357"/>
      <c r="E58" s="358"/>
    </row>
    <row r="59" spans="1:5">
      <c r="A59" s="356" t="s">
        <v>375</v>
      </c>
      <c r="B59" s="356"/>
      <c r="C59" s="356"/>
      <c r="D59" s="357"/>
      <c r="E59" s="358"/>
    </row>
    <row r="60" spans="1:5">
      <c r="A60" s="356" t="s">
        <v>375</v>
      </c>
      <c r="B60" s="356"/>
      <c r="C60" s="356"/>
      <c r="D60" s="357"/>
      <c r="E60" s="358"/>
    </row>
    <row r="61" spans="1:5">
      <c r="A61" s="356" t="s">
        <v>376</v>
      </c>
      <c r="B61" s="356"/>
      <c r="C61" s="356"/>
      <c r="D61" s="357"/>
      <c r="E61" s="358"/>
    </row>
    <row r="62" spans="1:5">
      <c r="A62" s="356" t="s">
        <v>376</v>
      </c>
      <c r="B62" s="356"/>
      <c r="C62" s="356"/>
      <c r="D62" s="357"/>
      <c r="E62" s="358"/>
    </row>
    <row r="63" spans="1:5">
      <c r="A63" s="356" t="s">
        <v>377</v>
      </c>
      <c r="B63" s="356"/>
      <c r="C63" s="356"/>
      <c r="D63" s="357"/>
      <c r="E63" s="358"/>
    </row>
    <row r="64" spans="1:5">
      <c r="A64" s="362" t="s">
        <v>367</v>
      </c>
      <c r="B64" s="362"/>
      <c r="C64" s="362"/>
      <c r="D64" s="615"/>
      <c r="E64" s="616"/>
    </row>
    <row r="65" spans="1:5">
      <c r="A65" s="362" t="s">
        <v>378</v>
      </c>
      <c r="B65" s="362"/>
      <c r="C65" s="362"/>
      <c r="D65" s="369"/>
      <c r="E65" s="370"/>
    </row>
    <row r="66" spans="1:5">
      <c r="A66" s="362" t="s">
        <v>370</v>
      </c>
      <c r="B66" s="362"/>
      <c r="C66" s="362"/>
      <c r="D66" s="615"/>
      <c r="E66" s="616"/>
    </row>
    <row r="67" spans="1:5">
      <c r="A67" s="362" t="s">
        <v>379</v>
      </c>
      <c r="B67" s="362"/>
      <c r="C67" s="362"/>
      <c r="D67" s="369"/>
      <c r="E67" s="370"/>
    </row>
    <row r="68" spans="1:5">
      <c r="A68" s="362" t="s">
        <v>380</v>
      </c>
      <c r="B68" s="362"/>
      <c r="C68" s="362"/>
      <c r="D68" s="615"/>
      <c r="E68" s="616"/>
    </row>
    <row r="69" spans="1:5">
      <c r="A69" s="362" t="s">
        <v>377</v>
      </c>
      <c r="B69" s="362"/>
      <c r="C69" s="362"/>
      <c r="D69" s="369"/>
      <c r="E69" s="370"/>
    </row>
    <row r="70" spans="1:5">
      <c r="A70" s="362" t="s">
        <v>359</v>
      </c>
      <c r="B70" s="362"/>
      <c r="C70" s="362"/>
      <c r="D70" s="615"/>
      <c r="E70" s="616"/>
    </row>
  </sheetData>
  <mergeCells count="4">
    <mergeCell ref="B2:C3"/>
    <mergeCell ref="B6:C7"/>
    <mergeCell ref="B4:C5"/>
    <mergeCell ref="B8:C9"/>
  </mergeCells>
  <phoneticPr fontId="38" type="noConversion"/>
  <pageMargins left="0.7" right="0.7" top="0.75" bottom="0.75" header="0.3" footer="0.3"/>
  <pageSetup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D33F0-34DE-4F30-89D5-7C62DA75027F}">
  <sheetPr codeName="Sheet7">
    <tabColor theme="7" tint="0.79998168889431442"/>
    <pageSetUpPr fitToPage="1"/>
  </sheetPr>
  <dimension ref="A1:S64"/>
  <sheetViews>
    <sheetView topLeftCell="D1" workbookViewId="0">
      <pane ySplit="4" topLeftCell="A5" activePane="bottomLeft" state="frozen"/>
      <selection pane="bottomLeft" activeCell="G39" sqref="G39"/>
    </sheetView>
  </sheetViews>
  <sheetFormatPr defaultRowHeight="15"/>
  <cols>
    <col min="1" max="1" width="10.140625" style="104" bestFit="1" customWidth="1"/>
    <col min="2" max="2" width="9.7109375" style="102" bestFit="1" customWidth="1"/>
    <col min="3" max="3" width="18.5703125" style="104" bestFit="1" customWidth="1"/>
    <col min="4" max="4" width="13.5703125" style="104" bestFit="1" customWidth="1"/>
    <col min="5" max="5" width="56.28515625" style="104" bestFit="1" customWidth="1"/>
    <col min="6" max="6" width="8.7109375" style="104" bestFit="1" customWidth="1"/>
    <col min="7" max="7" width="14.28515625" style="147" bestFit="1" customWidth="1"/>
    <col min="8" max="8" width="10" style="147" bestFit="1" customWidth="1"/>
    <col min="9" max="9" width="10.28515625" style="361" bestFit="1" customWidth="1"/>
    <col min="10" max="10" width="11.140625" style="102" bestFit="1" customWidth="1"/>
    <col min="11" max="11" width="14.28515625" style="143" bestFit="1" customWidth="1"/>
    <col min="12" max="12" width="9.7109375" style="103" bestFit="1" customWidth="1"/>
    <col min="13" max="13" width="9.42578125" style="102" bestFit="1" customWidth="1"/>
    <col min="14" max="14" width="10.85546875" style="104" bestFit="1" customWidth="1"/>
    <col min="16" max="16" width="15.85546875" bestFit="1" customWidth="1"/>
    <col min="17" max="17" width="1.85546875" bestFit="1" customWidth="1"/>
    <col min="18" max="18" width="12.7109375" bestFit="1" customWidth="1"/>
    <col min="19" max="19" width="1.85546875" bestFit="1" customWidth="1"/>
  </cols>
  <sheetData>
    <row r="1" spans="1:19" ht="15.75" thickTop="1">
      <c r="A1" s="519" t="s">
        <v>381</v>
      </c>
      <c r="B1" s="617"/>
      <c r="C1" s="617"/>
      <c r="D1" s="617"/>
      <c r="E1" s="617"/>
      <c r="F1" s="617"/>
      <c r="G1" s="617"/>
      <c r="H1" s="618"/>
      <c r="I1" s="510" t="s">
        <v>382</v>
      </c>
      <c r="J1" s="511"/>
      <c r="K1" s="511"/>
      <c r="L1" s="511"/>
      <c r="M1" s="511"/>
      <c r="N1" s="512"/>
      <c r="P1" s="31" t="s">
        <v>383</v>
      </c>
      <c r="Q1" s="15">
        <v>1</v>
      </c>
      <c r="R1" s="90" t="s">
        <v>384</v>
      </c>
      <c r="S1" s="15">
        <v>4</v>
      </c>
    </row>
    <row r="2" spans="1:19">
      <c r="A2" s="619"/>
      <c r="B2" s="609"/>
      <c r="C2" s="609"/>
      <c r="D2" s="609"/>
      <c r="E2" s="609"/>
      <c r="F2" s="609"/>
      <c r="G2" s="609"/>
      <c r="H2" s="620"/>
      <c r="I2" s="513"/>
      <c r="J2" s="514"/>
      <c r="K2" s="514"/>
      <c r="L2" s="514"/>
      <c r="M2" s="514"/>
      <c r="N2" s="515"/>
      <c r="P2" s="31" t="s">
        <v>385</v>
      </c>
      <c r="Q2" s="15">
        <v>2</v>
      </c>
      <c r="R2" s="31" t="s">
        <v>386</v>
      </c>
      <c r="S2" s="15">
        <v>0</v>
      </c>
    </row>
    <row r="3" spans="1:19" ht="15.75" thickBot="1">
      <c r="A3" s="621"/>
      <c r="B3" s="622"/>
      <c r="C3" s="622"/>
      <c r="D3" s="622"/>
      <c r="E3" s="622"/>
      <c r="F3" s="622"/>
      <c r="G3" s="622"/>
      <c r="H3" s="623"/>
      <c r="I3" s="516"/>
      <c r="J3" s="517"/>
      <c r="K3" s="517"/>
      <c r="L3" s="517"/>
      <c r="M3" s="517"/>
      <c r="N3" s="518"/>
      <c r="P3" s="31" t="s">
        <v>387</v>
      </c>
      <c r="Q3" s="15">
        <v>3</v>
      </c>
      <c r="R3" s="15" t="s">
        <v>388</v>
      </c>
      <c r="S3" s="15">
        <v>5</v>
      </c>
    </row>
    <row r="4" spans="1:19" s="93" customFormat="1" ht="30.75" thickTop="1">
      <c r="A4" s="144" t="s">
        <v>389</v>
      </c>
      <c r="B4" s="145" t="s">
        <v>390</v>
      </c>
      <c r="C4" s="144" t="s">
        <v>391</v>
      </c>
      <c r="D4" s="144" t="s">
        <v>392</v>
      </c>
      <c r="E4" s="144" t="s">
        <v>393</v>
      </c>
      <c r="F4" s="144" t="s">
        <v>337</v>
      </c>
      <c r="G4" s="146" t="s">
        <v>338</v>
      </c>
      <c r="H4" s="146" t="s">
        <v>394</v>
      </c>
      <c r="I4" s="359" t="s">
        <v>395</v>
      </c>
      <c r="J4" s="99" t="s">
        <v>396</v>
      </c>
      <c r="K4" s="142" t="s">
        <v>83</v>
      </c>
      <c r="L4" s="99" t="s">
        <v>397</v>
      </c>
      <c r="M4" s="99" t="s">
        <v>398</v>
      </c>
      <c r="N4" s="99" t="s">
        <v>161</v>
      </c>
    </row>
    <row r="5" spans="1:19">
      <c r="A5" s="104" t="str">
        <f>+IF(FromProposal[[#This Row],[Cost Code]]&lt;&gt;0,"Glasgow","")</f>
        <v>Glasgow</v>
      </c>
      <c r="B5" s="102">
        <v>1</v>
      </c>
      <c r="C5" s="104" t="s">
        <v>339</v>
      </c>
      <c r="D5" s="104" t="s">
        <v>339</v>
      </c>
      <c r="E5" s="104" t="s">
        <v>340</v>
      </c>
      <c r="F5" s="104">
        <v>0</v>
      </c>
      <c r="I5" s="360"/>
      <c r="J5" s="100"/>
      <c r="K5" s="148"/>
      <c r="L5" s="100"/>
      <c r="M5" s="101"/>
      <c r="N5" s="101"/>
    </row>
    <row r="6" spans="1:19">
      <c r="A6" s="104" t="str">
        <f>+IF(FromProposal[[#This Row],[Cost Code]]&lt;&gt;0,"Glasgow","")</f>
        <v>Glasgow</v>
      </c>
      <c r="B6" s="102">
        <v>2</v>
      </c>
      <c r="C6" s="104" t="s">
        <v>341</v>
      </c>
      <c r="D6" s="104" t="s">
        <v>342</v>
      </c>
      <c r="E6" s="104" t="s">
        <v>343</v>
      </c>
      <c r="F6" s="104">
        <v>0</v>
      </c>
      <c r="I6" s="360"/>
      <c r="J6" s="100"/>
      <c r="K6" s="148"/>
      <c r="L6" s="100"/>
      <c r="M6" s="101"/>
      <c r="N6" s="101"/>
    </row>
    <row r="7" spans="1:19">
      <c r="A7" s="104" t="str">
        <f>+IF(FromProposal[[#This Row],[Cost Code]]&lt;&gt;0,"Glasgow","")</f>
        <v>Glasgow</v>
      </c>
      <c r="B7" s="102">
        <v>3</v>
      </c>
      <c r="C7" s="104" t="s">
        <v>341</v>
      </c>
      <c r="D7" s="104" t="s">
        <v>344</v>
      </c>
      <c r="E7" s="104" t="s">
        <v>344</v>
      </c>
      <c r="F7" s="104">
        <v>0</v>
      </c>
      <c r="I7" s="360"/>
      <c r="J7" s="100"/>
      <c r="K7" s="148"/>
      <c r="L7" s="100"/>
      <c r="M7" s="101"/>
      <c r="N7" s="101"/>
    </row>
    <row r="8" spans="1:19">
      <c r="A8" s="104" t="str">
        <f>+IF(FromProposal[[#This Row],[Cost Code]]&lt;&gt;0,"Glasgow","")</f>
        <v/>
      </c>
      <c r="B8" s="102">
        <v>4</v>
      </c>
      <c r="D8" s="104" t="s">
        <v>345</v>
      </c>
      <c r="E8" s="104" t="s">
        <v>346</v>
      </c>
      <c r="F8" s="104">
        <v>6</v>
      </c>
      <c r="I8" s="360"/>
      <c r="J8" s="100"/>
      <c r="K8" s="148"/>
      <c r="L8" s="100"/>
      <c r="M8" s="101"/>
      <c r="N8" s="101"/>
    </row>
    <row r="9" spans="1:19">
      <c r="A9" s="104" t="str">
        <f>+IF(FromProposal[[#This Row],[Cost Code]]&lt;&gt;0,"Glasgow","")</f>
        <v>Glasgow</v>
      </c>
      <c r="B9" s="102">
        <v>5</v>
      </c>
      <c r="C9" s="104" t="s">
        <v>347</v>
      </c>
      <c r="D9" s="104" t="s">
        <v>348</v>
      </c>
      <c r="E9" s="104" t="s">
        <v>347</v>
      </c>
      <c r="F9" s="104">
        <v>0</v>
      </c>
      <c r="G9" s="147">
        <v>0</v>
      </c>
      <c r="H9" s="147">
        <v>0</v>
      </c>
      <c r="I9" s="360"/>
      <c r="J9" s="100"/>
      <c r="K9" s="148"/>
      <c r="L9" s="100"/>
      <c r="M9" s="101"/>
      <c r="N9" s="101"/>
    </row>
    <row r="10" spans="1:19">
      <c r="A10" s="104" t="str">
        <f>+IF(FromProposal[[#This Row],[Cost Code]]&lt;&gt;0,"Glasgow","")</f>
        <v>Glasgow</v>
      </c>
      <c r="B10" s="102">
        <v>6</v>
      </c>
      <c r="C10" s="104" t="s">
        <v>349</v>
      </c>
      <c r="D10" s="104" t="s">
        <v>348</v>
      </c>
      <c r="E10" s="104" t="s">
        <v>350</v>
      </c>
      <c r="F10" s="104">
        <v>0</v>
      </c>
      <c r="G10" s="147">
        <v>200</v>
      </c>
      <c r="H10" s="147">
        <v>0</v>
      </c>
      <c r="I10" s="360"/>
      <c r="J10" s="100"/>
      <c r="K10" s="148"/>
      <c r="L10" s="100"/>
      <c r="M10" s="101"/>
      <c r="N10" s="101"/>
    </row>
    <row r="11" spans="1:19">
      <c r="A11" s="104" t="str">
        <f>+IF(FromProposal[[#This Row],[Cost Code]]&lt;&gt;0,"Glasgow","")</f>
        <v>Glasgow</v>
      </c>
      <c r="B11" s="102">
        <v>7</v>
      </c>
      <c r="C11" s="104" t="s">
        <v>351</v>
      </c>
      <c r="D11" s="104" t="s">
        <v>348</v>
      </c>
      <c r="E11" s="104" t="s">
        <v>352</v>
      </c>
      <c r="F11" s="104">
        <v>0</v>
      </c>
      <c r="G11" s="147">
        <v>200</v>
      </c>
      <c r="H11" s="147">
        <v>0</v>
      </c>
      <c r="I11" s="360"/>
      <c r="J11" s="100"/>
      <c r="K11" s="148"/>
      <c r="L11" s="100"/>
      <c r="M11" s="101"/>
      <c r="N11" s="101"/>
    </row>
    <row r="12" spans="1:19">
      <c r="A12" s="104" t="str">
        <f>+IF(FromProposal[[#This Row],[Cost Code]]&lt;&gt;0,"Glasgow","")</f>
        <v>Glasgow</v>
      </c>
      <c r="B12" s="102">
        <v>8</v>
      </c>
      <c r="C12" s="104" t="s">
        <v>353</v>
      </c>
      <c r="D12" s="104" t="s">
        <v>348</v>
      </c>
      <c r="E12" s="104" t="s">
        <v>354</v>
      </c>
      <c r="F12" s="104">
        <v>0</v>
      </c>
      <c r="G12" s="147">
        <v>200</v>
      </c>
      <c r="H12" s="147">
        <v>0</v>
      </c>
      <c r="I12" s="360"/>
      <c r="J12" s="100"/>
      <c r="K12" s="148"/>
      <c r="L12" s="100"/>
      <c r="M12" s="101"/>
      <c r="N12" s="101"/>
    </row>
    <row r="13" spans="1:19">
      <c r="A13" s="104" t="str">
        <f>+IF(FromProposal[[#This Row],[Cost Code]]&lt;&gt;0,"Glasgow","")</f>
        <v>Glasgow</v>
      </c>
      <c r="B13" s="102">
        <v>9</v>
      </c>
      <c r="C13" s="104" t="s">
        <v>355</v>
      </c>
      <c r="D13" s="104" t="s">
        <v>348</v>
      </c>
      <c r="E13" s="104" t="s">
        <v>356</v>
      </c>
      <c r="F13" s="104">
        <v>0</v>
      </c>
      <c r="G13" s="147">
        <v>135</v>
      </c>
      <c r="H13" s="147">
        <v>0</v>
      </c>
      <c r="I13" s="360"/>
      <c r="J13" s="100"/>
      <c r="K13" s="148"/>
      <c r="L13" s="100"/>
      <c r="M13" s="101"/>
      <c r="N13" s="101"/>
    </row>
    <row r="14" spans="1:19">
      <c r="A14" s="104" t="str">
        <f>+IF(FromProposal[[#This Row],[Cost Code]]&lt;&gt;0,"Glasgow","")</f>
        <v/>
      </c>
      <c r="B14" s="102">
        <v>10</v>
      </c>
      <c r="E14" s="104" t="s">
        <v>357</v>
      </c>
      <c r="F14" s="104">
        <v>1</v>
      </c>
      <c r="G14" s="147">
        <v>0</v>
      </c>
      <c r="H14" s="147">
        <v>0</v>
      </c>
      <c r="I14" s="360"/>
      <c r="J14" s="100"/>
      <c r="K14" s="148"/>
      <c r="L14" s="100"/>
      <c r="M14" s="101"/>
      <c r="N14" s="101"/>
    </row>
    <row r="15" spans="1:19">
      <c r="A15" s="104" t="str">
        <f>+IF(FromProposal[[#This Row],[Cost Code]]&lt;&gt;0,"Glasgow","")</f>
        <v/>
      </c>
      <c r="B15" s="102">
        <v>11</v>
      </c>
      <c r="E15" s="104" t="s">
        <v>358</v>
      </c>
      <c r="F15" s="104">
        <v>0</v>
      </c>
      <c r="G15" s="147">
        <v>0</v>
      </c>
      <c r="H15" s="147">
        <v>0</v>
      </c>
      <c r="I15" s="360"/>
      <c r="J15" s="100"/>
      <c r="K15" s="148"/>
      <c r="L15" s="100"/>
      <c r="M15" s="101"/>
      <c r="N15" s="101"/>
    </row>
    <row r="16" spans="1:19">
      <c r="A16" s="104" t="str">
        <f>+IF(FromProposal[[#This Row],[Cost Code]]&lt;&gt;0,"Glasgow","")</f>
        <v>Glasgow</v>
      </c>
      <c r="B16" s="102">
        <v>12</v>
      </c>
      <c r="C16" s="104" t="s">
        <v>359</v>
      </c>
      <c r="I16" s="360"/>
      <c r="J16" s="100"/>
      <c r="K16" s="148"/>
      <c r="L16" s="100"/>
      <c r="M16" s="101"/>
      <c r="N16" s="101"/>
    </row>
    <row r="17" spans="1:14">
      <c r="A17" s="104" t="str">
        <f>+IF(FromProposal[[#This Row],[Cost Code]]&lt;&gt;0,"Glasgow","")</f>
        <v>Glasgow</v>
      </c>
      <c r="B17" s="102">
        <v>13</v>
      </c>
      <c r="C17" s="104" t="s">
        <v>359</v>
      </c>
      <c r="I17" s="360"/>
      <c r="J17" s="100"/>
      <c r="K17" s="148"/>
      <c r="L17" s="100"/>
      <c r="M17" s="101"/>
      <c r="N17" s="101"/>
    </row>
    <row r="18" spans="1:14">
      <c r="A18" s="104" t="str">
        <f>+IF(FromProposal[[#This Row],[Cost Code]]&lt;&gt;0,"Glasgow","")</f>
        <v>Glasgow</v>
      </c>
      <c r="B18" s="102">
        <v>14</v>
      </c>
      <c r="C18" s="104" t="s">
        <v>360</v>
      </c>
      <c r="I18" s="360"/>
      <c r="J18" s="100"/>
      <c r="K18" s="148"/>
      <c r="L18" s="100"/>
      <c r="M18" s="101"/>
      <c r="N18" s="101"/>
    </row>
    <row r="19" spans="1:14">
      <c r="A19" s="104" t="str">
        <f>+IF(FromProposal[[#This Row],[Cost Code]]&lt;&gt;0,"Glasgow","")</f>
        <v>Glasgow</v>
      </c>
      <c r="B19" s="102">
        <v>15</v>
      </c>
      <c r="C19" s="104" t="s">
        <v>361</v>
      </c>
      <c r="I19" s="360"/>
      <c r="J19" s="100"/>
      <c r="K19" s="148"/>
      <c r="L19" s="100"/>
      <c r="M19" s="101"/>
      <c r="N19" s="101"/>
    </row>
    <row r="20" spans="1:14">
      <c r="A20" s="104" t="str">
        <f>+IF(FromProposal[[#This Row],[Cost Code]]&lt;&gt;0,"Glasgow","")</f>
        <v>Glasgow</v>
      </c>
      <c r="B20" s="102">
        <v>16</v>
      </c>
      <c r="C20" s="104" t="s">
        <v>361</v>
      </c>
      <c r="I20" s="360"/>
      <c r="J20" s="100"/>
      <c r="K20" s="148"/>
      <c r="L20" s="100"/>
      <c r="M20" s="101"/>
      <c r="N20" s="101"/>
    </row>
    <row r="21" spans="1:14">
      <c r="G21" s="104"/>
      <c r="H21" s="104"/>
    </row>
    <row r="22" spans="1:14">
      <c r="G22" s="104"/>
      <c r="H22" s="104"/>
    </row>
    <row r="23" spans="1:14">
      <c r="G23" s="104"/>
      <c r="H23" s="104"/>
    </row>
    <row r="24" spans="1:14">
      <c r="G24" s="104"/>
      <c r="H24" s="104"/>
    </row>
    <row r="25" spans="1:14">
      <c r="G25" s="104"/>
      <c r="H25" s="104"/>
    </row>
    <row r="26" spans="1:14">
      <c r="G26" s="104"/>
      <c r="H26" s="104"/>
    </row>
    <row r="27" spans="1:14">
      <c r="G27" s="104"/>
      <c r="H27" s="104"/>
    </row>
    <row r="28" spans="1:14">
      <c r="G28" s="104"/>
      <c r="H28" s="104"/>
    </row>
    <row r="29" spans="1:14">
      <c r="G29" s="104"/>
      <c r="H29" s="104"/>
    </row>
    <row r="30" spans="1:14">
      <c r="G30" s="104"/>
      <c r="H30" s="104"/>
    </row>
    <row r="31" spans="1:14">
      <c r="G31" s="104"/>
      <c r="H31" s="104"/>
    </row>
    <row r="32" spans="1:14">
      <c r="G32" s="104"/>
      <c r="H32" s="104"/>
    </row>
    <row r="33" spans="7:8">
      <c r="G33" s="104"/>
      <c r="H33" s="104"/>
    </row>
    <row r="34" spans="7:8">
      <c r="G34" s="104"/>
      <c r="H34" s="104"/>
    </row>
    <row r="35" spans="7:8">
      <c r="G35" s="104"/>
      <c r="H35" s="104"/>
    </row>
    <row r="36" spans="7:8">
      <c r="G36" s="104"/>
      <c r="H36" s="104"/>
    </row>
    <row r="37" spans="7:8">
      <c r="G37" s="104"/>
      <c r="H37" s="104"/>
    </row>
    <row r="38" spans="7:8">
      <c r="G38" s="104"/>
      <c r="H38" s="104"/>
    </row>
    <row r="39" spans="7:8">
      <c r="G39" s="104"/>
      <c r="H39" s="104"/>
    </row>
    <row r="40" spans="7:8">
      <c r="G40" s="104"/>
      <c r="H40" s="104"/>
    </row>
    <row r="41" spans="7:8">
      <c r="G41" s="104"/>
      <c r="H41" s="104"/>
    </row>
    <row r="42" spans="7:8">
      <c r="G42" s="104"/>
      <c r="H42" s="104"/>
    </row>
    <row r="43" spans="7:8">
      <c r="G43" s="104"/>
      <c r="H43" s="104"/>
    </row>
    <row r="44" spans="7:8">
      <c r="G44" s="104"/>
      <c r="H44" s="104"/>
    </row>
    <row r="45" spans="7:8">
      <c r="G45" s="104"/>
      <c r="H45" s="104"/>
    </row>
    <row r="46" spans="7:8">
      <c r="G46" s="104"/>
      <c r="H46" s="104"/>
    </row>
    <row r="47" spans="7:8">
      <c r="G47" s="104"/>
      <c r="H47" s="104"/>
    </row>
    <row r="48" spans="7:8">
      <c r="G48" s="104"/>
      <c r="H48" s="104"/>
    </row>
    <row r="49" spans="7:8">
      <c r="G49" s="104"/>
      <c r="H49" s="104"/>
    </row>
    <row r="50" spans="7:8">
      <c r="G50" s="104"/>
      <c r="H50" s="104"/>
    </row>
    <row r="51" spans="7:8">
      <c r="G51" s="104"/>
      <c r="H51" s="104"/>
    </row>
    <row r="52" spans="7:8">
      <c r="G52" s="104"/>
      <c r="H52" s="104"/>
    </row>
    <row r="53" spans="7:8">
      <c r="G53" s="104"/>
      <c r="H53" s="104"/>
    </row>
    <row r="54" spans="7:8">
      <c r="G54" s="104"/>
      <c r="H54" s="104"/>
    </row>
    <row r="55" spans="7:8">
      <c r="G55" s="104"/>
      <c r="H55" s="104"/>
    </row>
    <row r="56" spans="7:8">
      <c r="G56" s="104"/>
      <c r="H56" s="104"/>
    </row>
    <row r="57" spans="7:8">
      <c r="G57" s="104"/>
      <c r="H57" s="104"/>
    </row>
    <row r="58" spans="7:8">
      <c r="G58" s="104"/>
      <c r="H58" s="104"/>
    </row>
    <row r="59" spans="7:8">
      <c r="G59" s="104"/>
      <c r="H59" s="104"/>
    </row>
    <row r="60" spans="7:8">
      <c r="G60" s="104"/>
      <c r="H60" s="104"/>
    </row>
    <row r="61" spans="7:8">
      <c r="G61" s="104"/>
      <c r="H61" s="104"/>
    </row>
    <row r="62" spans="7:8">
      <c r="G62" s="104"/>
      <c r="H62" s="104"/>
    </row>
    <row r="63" spans="7:8">
      <c r="G63" s="104"/>
      <c r="H63" s="104"/>
    </row>
    <row r="64" spans="7:8">
      <c r="G64" s="104"/>
      <c r="H64" s="104"/>
    </row>
  </sheetData>
  <mergeCells count="2">
    <mergeCell ref="I1:N3"/>
    <mergeCell ref="A1:H3"/>
  </mergeCells>
  <phoneticPr fontId="38" type="noConversion"/>
  <pageMargins left="0.7" right="0.7" top="0.75" bottom="0.75" header="0.3" footer="0.3"/>
  <pageSetup scale="58" fitToHeight="0"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EC7B-E7C7-4307-98D4-CF9375F22C8A}">
  <sheetPr codeName="Sheet8">
    <tabColor theme="7" tint="0.79998168889431442"/>
    <pageSetUpPr fitToPage="1"/>
  </sheetPr>
  <dimension ref="A1:DU96"/>
  <sheetViews>
    <sheetView workbookViewId="0">
      <selection activeCell="I26" sqref="I26"/>
    </sheetView>
  </sheetViews>
  <sheetFormatPr defaultColWidth="9.140625" defaultRowHeight="30" customHeight="1"/>
  <cols>
    <col min="1" max="1" width="17.28515625" style="105" bestFit="1" customWidth="1"/>
    <col min="2" max="2" width="5.28515625" style="106" customWidth="1"/>
    <col min="3" max="3" width="18.5703125" style="107" bestFit="1" customWidth="1"/>
    <col min="4" max="4" width="21.140625" style="105" customWidth="1"/>
    <col min="5" max="5" width="69.140625" style="25" customWidth="1"/>
    <col min="6" max="6" width="5.5703125" style="36" customWidth="1"/>
    <col min="7" max="7" width="9.5703125" style="36" bestFit="1" customWidth="1"/>
    <col min="8" max="8" width="10" style="36" bestFit="1" customWidth="1"/>
    <col min="9" max="9" width="5.5703125" style="36" customWidth="1"/>
    <col min="10" max="10" width="6.28515625" style="36" customWidth="1"/>
    <col min="11" max="11" width="20.42578125" style="36" customWidth="1"/>
    <col min="12" max="12" width="5.28515625" style="36" customWidth="1"/>
    <col min="13" max="13" width="9" style="36" customWidth="1"/>
    <col min="14" max="14" width="10.85546875" style="36" bestFit="1" customWidth="1"/>
    <col min="15" max="15" width="11.85546875" style="36" customWidth="1"/>
    <col min="16" max="26" width="2.7109375" style="36" customWidth="1"/>
    <col min="27" max="27" width="3.28515625" style="36" bestFit="1" customWidth="1"/>
    <col min="28" max="28" width="4" style="36" bestFit="1" customWidth="1"/>
    <col min="29" max="38" width="2.7109375" style="36" customWidth="1"/>
    <col min="39" max="99" width="2.7109375" customWidth="1"/>
    <col min="100" max="121" width="3.5703125" customWidth="1"/>
    <col min="122" max="125" width="2" bestFit="1" customWidth="1"/>
  </cols>
  <sheetData>
    <row r="1" spans="1:125" ht="21.75" thickBot="1">
      <c r="A1" s="246"/>
      <c r="B1" s="247"/>
      <c r="C1" s="248"/>
      <c r="D1" s="249"/>
      <c r="E1" s="250"/>
      <c r="F1" s="251"/>
      <c r="G1" s="251"/>
      <c r="H1" s="251"/>
      <c r="I1" s="251"/>
      <c r="J1" s="533" t="s">
        <v>399</v>
      </c>
      <c r="K1" s="533"/>
      <c r="L1" s="251"/>
      <c r="M1" s="251"/>
      <c r="N1" s="252" t="s">
        <v>400</v>
      </c>
      <c r="O1" s="253"/>
    </row>
    <row r="2" spans="1:125" ht="30" customHeight="1" thickBot="1">
      <c r="A2" s="520" t="str">
        <f>"Glasgow Design Build for "&amp;Profit!E1&amp; " Your Home"</f>
        <v>Glasgow Design Build for Buy Your Home</v>
      </c>
      <c r="B2" s="521"/>
      <c r="C2" s="521"/>
      <c r="D2" s="521"/>
      <c r="E2" s="266" t="s">
        <v>401</v>
      </c>
      <c r="F2" s="529">
        <f>+MIN(ProposalToGnatt[Start Date])</f>
        <v>0</v>
      </c>
      <c r="G2" s="530"/>
      <c r="H2" s="536" t="s">
        <v>402</v>
      </c>
      <c r="I2" s="537"/>
      <c r="J2" s="523">
        <f>+SUM(H8:H22)</f>
        <v>27817.440000000002</v>
      </c>
      <c r="K2" s="624"/>
      <c r="L2" s="254"/>
      <c r="M2" s="523">
        <f>+SUM(O8:O22)-SUM(M8:M22)</f>
        <v>1070</v>
      </c>
      <c r="N2" s="542"/>
      <c r="O2" s="255"/>
      <c r="P2" s="91"/>
      <c r="R2" s="89"/>
      <c r="S2" s="89"/>
      <c r="T2" s="89"/>
      <c r="U2" s="89"/>
      <c r="V2" s="89"/>
      <c r="W2" s="89"/>
      <c r="X2" s="89"/>
      <c r="Y2" s="89"/>
      <c r="Z2" s="89"/>
      <c r="AA2" s="89"/>
      <c r="AB2" s="89"/>
      <c r="AC2" s="89"/>
      <c r="AD2" s="89"/>
      <c r="AE2" s="89"/>
      <c r="AF2" s="89"/>
      <c r="AG2" s="89"/>
      <c r="AH2" s="89"/>
      <c r="AI2" s="89"/>
      <c r="AJ2" s="90"/>
      <c r="AK2" s="90"/>
      <c r="AP2" s="15"/>
      <c r="AQ2" s="15"/>
      <c r="AR2" s="15"/>
    </row>
    <row r="3" spans="1:125" ht="30" customHeight="1">
      <c r="A3" s="520" t="s">
        <v>403</v>
      </c>
      <c r="B3" s="521" t="s">
        <v>403</v>
      </c>
      <c r="C3" s="521"/>
      <c r="D3" s="521"/>
      <c r="E3" s="267"/>
      <c r="H3" s="538" t="s">
        <v>404</v>
      </c>
      <c r="I3" s="539"/>
      <c r="J3" s="526">
        <f>SUM(H24:H27)</f>
        <v>750</v>
      </c>
      <c r="K3" s="625"/>
      <c r="L3" s="256"/>
      <c r="M3" s="526">
        <f>+J3-SUM(M24:M27)</f>
        <v>0</v>
      </c>
      <c r="N3" s="543"/>
      <c r="O3" s="257"/>
      <c r="P3" s="91"/>
      <c r="AP3" s="15"/>
      <c r="AQ3" s="15"/>
      <c r="AR3" s="15"/>
    </row>
    <row r="4" spans="1:125" ht="30" customHeight="1">
      <c r="A4" s="520" t="str">
        <f>+Profit!B2</f>
        <v>3325 Banks Rd, Raleigh, NC 27603</v>
      </c>
      <c r="B4" s="521" t="str">
        <f>+Profit!B2</f>
        <v>3325 Banks Rd, Raleigh, NC 27603</v>
      </c>
      <c r="C4" s="521"/>
      <c r="D4" s="521"/>
      <c r="E4" s="534" t="s">
        <v>405</v>
      </c>
      <c r="F4" s="535"/>
      <c r="G4" s="108">
        <v>1</v>
      </c>
      <c r="H4" s="540" t="s">
        <v>406</v>
      </c>
      <c r="I4" s="541"/>
      <c r="J4" s="527">
        <f>SUM(ProposalToGnatt[Price])</f>
        <v>0</v>
      </c>
      <c r="K4" s="626"/>
      <c r="L4" s="258"/>
      <c r="M4" s="527" cm="1">
        <f t="array" ref="M4">+SUM(ProposalToGnatt[Due]-ProposalToGnatt[Paid])</f>
        <v>0</v>
      </c>
      <c r="N4" s="626"/>
      <c r="O4" s="259"/>
      <c r="P4" s="91"/>
      <c r="AP4" s="15"/>
      <c r="AQ4" s="15"/>
      <c r="AR4" s="15"/>
    </row>
    <row r="5" spans="1:125" ht="18" customHeight="1" thickBot="1">
      <c r="A5" s="260"/>
      <c r="B5" s="261" t="s">
        <v>407</v>
      </c>
      <c r="C5" s="262"/>
      <c r="D5" s="263"/>
      <c r="E5" s="524" t="s">
        <v>408</v>
      </c>
      <c r="F5" s="525"/>
      <c r="G5" s="264">
        <v>2</v>
      </c>
      <c r="H5" s="522" t="s">
        <v>409</v>
      </c>
      <c r="I5" s="522"/>
      <c r="J5" s="528">
        <f>+SUM(J2:K4)</f>
        <v>28567.440000000002</v>
      </c>
      <c r="K5" s="627"/>
      <c r="L5" s="24"/>
      <c r="M5" s="544">
        <f>+SUM(M2:N4)</f>
        <v>1070</v>
      </c>
      <c r="N5" s="603"/>
      <c r="O5" s="265"/>
      <c r="P5" s="87"/>
      <c r="BB5" s="15"/>
      <c r="BC5" s="15"/>
      <c r="BD5" s="15"/>
    </row>
    <row r="6" spans="1:125" s="22" customFormat="1" ht="30.75" customHeight="1">
      <c r="A6" s="109"/>
      <c r="B6" s="110"/>
      <c r="C6" s="111"/>
      <c r="D6" s="109"/>
      <c r="E6" s="112" t="str">
        <f>Profit!E1&amp;" Your Home Supplied Materials"</f>
        <v>Buy Your Home Supplied Materials</v>
      </c>
      <c r="F6" s="109"/>
      <c r="G6" s="113"/>
      <c r="H6" s="113"/>
      <c r="I6" s="109"/>
      <c r="J6" s="109"/>
      <c r="K6" s="114"/>
      <c r="L6" s="109"/>
      <c r="M6" s="109"/>
      <c r="N6" s="109"/>
      <c r="O6" s="109"/>
      <c r="R6" s="36"/>
      <c r="S6" s="36"/>
      <c r="T6" s="36"/>
      <c r="U6" s="36"/>
      <c r="V6" s="36"/>
      <c r="W6" s="36"/>
      <c r="X6" s="36"/>
      <c r="Y6" s="36"/>
      <c r="Z6" s="36"/>
      <c r="AA6" s="36"/>
      <c r="AB6" s="36"/>
      <c r="AC6" s="36"/>
      <c r="AD6" s="36"/>
      <c r="AE6" s="36"/>
      <c r="AF6" s="36"/>
      <c r="AG6" s="36"/>
      <c r="AH6" s="36"/>
    </row>
    <row r="7" spans="1:125" s="42" customFormat="1" ht="32.25" customHeight="1">
      <c r="A7" s="109" t="s">
        <v>410</v>
      </c>
      <c r="B7" s="110" t="s">
        <v>411</v>
      </c>
      <c r="C7" s="111" t="s">
        <v>391</v>
      </c>
      <c r="D7" s="109" t="s">
        <v>392</v>
      </c>
      <c r="E7" s="109" t="s">
        <v>393</v>
      </c>
      <c r="F7" s="109" t="s">
        <v>337</v>
      </c>
      <c r="G7" s="113" t="s">
        <v>338</v>
      </c>
      <c r="H7" s="113" t="s">
        <v>394</v>
      </c>
      <c r="I7" s="109" t="s">
        <v>395</v>
      </c>
      <c r="J7" s="109" t="s">
        <v>396</v>
      </c>
      <c r="K7" s="114" t="s">
        <v>83</v>
      </c>
      <c r="L7" s="109" t="s">
        <v>397</v>
      </c>
      <c r="M7" s="109" t="s">
        <v>398</v>
      </c>
      <c r="N7" s="109" t="s">
        <v>161</v>
      </c>
      <c r="O7" s="109" t="s">
        <v>412</v>
      </c>
      <c r="R7" s="36"/>
      <c r="S7" s="36"/>
      <c r="T7" s="36"/>
      <c r="U7" s="36"/>
      <c r="V7" s="36"/>
      <c r="W7" s="36"/>
      <c r="X7" s="36"/>
      <c r="Y7" s="36"/>
      <c r="Z7" s="36"/>
      <c r="AA7" s="36"/>
      <c r="AB7" s="36"/>
      <c r="AC7" s="36"/>
      <c r="AD7" s="36"/>
      <c r="AE7" s="36"/>
      <c r="AF7" s="36"/>
      <c r="AG7" s="36"/>
      <c r="AH7" s="36"/>
      <c r="AO7" s="37" t="str">
        <f>IFERROR(IF(LEN(#REF!)=0,"",IF(AND(#REF!=#REF!,#REF!=1),Milestone_Marker_Old,"")),"")</f>
        <v/>
      </c>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7"/>
      <c r="DR7" s="37"/>
      <c r="DS7" s="37"/>
      <c r="DT7" s="37"/>
    </row>
    <row r="8" spans="1:125" s="42" customFormat="1" ht="20.100000000000001" customHeight="1">
      <c r="A8" s="115" t="str">
        <f>Profit!$E$1&amp;" Your Home"</f>
        <v>Buy Your Home</v>
      </c>
      <c r="B8" s="116">
        <v>1</v>
      </c>
      <c r="C8" s="117"/>
      <c r="D8" s="115"/>
      <c r="E8" s="115" t="s">
        <v>413</v>
      </c>
      <c r="F8" s="116">
        <v>1</v>
      </c>
      <c r="G8" s="118">
        <f>+'Demo &amp; Trash Haul'!G21</f>
        <v>5322.49</v>
      </c>
      <c r="H8" s="118">
        <f t="shared" ref="H8:H22" si="0">+F8*G8</f>
        <v>5322.49</v>
      </c>
      <c r="I8" s="119" t="s">
        <v>177</v>
      </c>
      <c r="J8" s="118"/>
      <c r="K8" s="120"/>
      <c r="L8" s="118"/>
      <c r="M8" s="118">
        <v>4672.49</v>
      </c>
      <c r="N8" s="119"/>
      <c r="O8" s="118">
        <f t="shared" ref="O8:O22" si="1">IF(I8="Yes",H8,0)</f>
        <v>5322.49</v>
      </c>
      <c r="R8" s="36"/>
      <c r="S8" s="36"/>
      <c r="T8" s="36"/>
      <c r="U8" s="36"/>
      <c r="V8" s="36"/>
      <c r="W8" s="36"/>
      <c r="X8" s="36"/>
      <c r="Y8" s="36"/>
      <c r="Z8" s="36"/>
      <c r="AA8" s="36"/>
      <c r="AB8" s="36"/>
      <c r="AC8" s="36"/>
      <c r="AD8" s="36"/>
      <c r="AE8" s="36"/>
      <c r="AF8" s="36"/>
      <c r="AG8" s="36"/>
      <c r="AH8" s="36"/>
      <c r="AI8" s="36"/>
      <c r="AP8" s="35"/>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row>
    <row r="9" spans="1:125" s="42" customFormat="1" ht="20.100000000000001" customHeight="1">
      <c r="A9" s="115" t="str">
        <f>Profit!$E$1&amp;" Your Home"</f>
        <v>Buy Your Home</v>
      </c>
      <c r="B9" s="116">
        <f t="shared" ref="B9" si="2">+B8+1</f>
        <v>2</v>
      </c>
      <c r="C9" s="117"/>
      <c r="D9" s="115"/>
      <c r="E9" s="115" t="s">
        <v>414</v>
      </c>
      <c r="F9" s="116">
        <v>0</v>
      </c>
      <c r="G9" s="118">
        <f>+Taxes!E19</f>
        <v>0</v>
      </c>
      <c r="H9" s="118">
        <f t="shared" si="0"/>
        <v>0</v>
      </c>
      <c r="I9" s="119"/>
      <c r="J9" s="118"/>
      <c r="K9" s="120"/>
      <c r="L9" s="118"/>
      <c r="M9" s="118"/>
      <c r="N9" s="119"/>
      <c r="O9" s="118">
        <f t="shared" si="1"/>
        <v>0</v>
      </c>
      <c r="R9" s="36"/>
      <c r="S9" s="36"/>
      <c r="T9" s="36"/>
      <c r="U9" s="36"/>
      <c r="V9" s="36"/>
      <c r="W9" s="36"/>
      <c r="X9" s="36"/>
      <c r="Y9" s="36"/>
      <c r="Z9" s="36"/>
      <c r="AA9" s="36"/>
      <c r="AB9" s="36"/>
      <c r="AC9" s="36"/>
      <c r="AD9" s="36"/>
      <c r="AE9" s="36"/>
      <c r="AF9" s="36"/>
      <c r="AG9" s="36"/>
      <c r="AH9" s="36"/>
      <c r="AI9" s="36"/>
      <c r="AP9" s="35"/>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row>
    <row r="10" spans="1:125" s="42" customFormat="1" ht="20.100000000000001" customHeight="1">
      <c r="A10" s="115" t="str">
        <f>Profit!$E$1&amp;" Your Home"</f>
        <v>Buy Your Home</v>
      </c>
      <c r="B10" s="116">
        <f>+B8+1</f>
        <v>2</v>
      </c>
      <c r="C10" s="117"/>
      <c r="D10" s="115"/>
      <c r="E10" s="115" t="s">
        <v>415</v>
      </c>
      <c r="F10" s="116">
        <v>0</v>
      </c>
      <c r="G10" s="118">
        <f>+Appliances!F21</f>
        <v>1269.1600000000001</v>
      </c>
      <c r="H10" s="118">
        <f t="shared" si="0"/>
        <v>0</v>
      </c>
      <c r="I10" s="119"/>
      <c r="J10" s="118"/>
      <c r="K10" s="120"/>
      <c r="L10" s="118"/>
      <c r="M10" s="118"/>
      <c r="N10" s="119"/>
      <c r="O10" s="118">
        <f t="shared" si="1"/>
        <v>0</v>
      </c>
      <c r="R10" s="36"/>
      <c r="S10" s="36"/>
      <c r="T10" s="36"/>
      <c r="U10" s="36"/>
      <c r="V10" s="36"/>
      <c r="W10" s="36"/>
      <c r="X10" s="36"/>
      <c r="Y10" s="36"/>
      <c r="Z10" s="36"/>
      <c r="AA10" s="36"/>
      <c r="AB10" s="36"/>
      <c r="AC10" s="36"/>
      <c r="AD10" s="36"/>
      <c r="AE10" s="36"/>
      <c r="AF10" s="36"/>
      <c r="AG10" s="36"/>
      <c r="AH10" s="36"/>
      <c r="AI10" s="36"/>
      <c r="AP10" s="35"/>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row>
    <row r="11" spans="1:125" s="42" customFormat="1" ht="20.100000000000001" customHeight="1">
      <c r="A11" s="115" t="str">
        <f>Profit!$E$1&amp;" Your Home"</f>
        <v>Buy Your Home</v>
      </c>
      <c r="B11" s="116">
        <f t="shared" ref="B11:B22" si="3">+B10+1</f>
        <v>3</v>
      </c>
      <c r="C11" s="117"/>
      <c r="D11" s="115"/>
      <c r="E11" s="115" t="s">
        <v>416</v>
      </c>
      <c r="F11" s="116">
        <v>0</v>
      </c>
      <c r="G11" s="118">
        <f>+'Plumbing Fixtures'!F23</f>
        <v>433.46</v>
      </c>
      <c r="H11" s="118">
        <f t="shared" si="0"/>
        <v>0</v>
      </c>
      <c r="I11" s="119"/>
      <c r="J11" s="118"/>
      <c r="K11" s="120"/>
      <c r="L11" s="118"/>
      <c r="M11" s="118"/>
      <c r="N11" s="119"/>
      <c r="O11" s="118">
        <f t="shared" si="1"/>
        <v>0</v>
      </c>
      <c r="R11" s="36"/>
      <c r="S11" s="36"/>
      <c r="T11" s="36"/>
      <c r="U11" s="36"/>
      <c r="V11" s="36"/>
      <c r="W11" s="36"/>
      <c r="X11" s="36"/>
      <c r="Y11" s="36"/>
      <c r="Z11" s="36"/>
      <c r="AA11" s="36"/>
      <c r="AB11" s="36"/>
      <c r="AC11" s="36"/>
      <c r="AD11" s="36"/>
      <c r="AE11" s="36"/>
      <c r="AF11" s="36"/>
      <c r="AG11" s="36"/>
      <c r="AH11" s="36"/>
      <c r="AI11" s="36"/>
      <c r="AP11" s="35"/>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row>
    <row r="12" spans="1:125" s="42" customFormat="1" ht="20.100000000000001" customHeight="1">
      <c r="A12" s="115" t="str">
        <f>Profit!$E$1&amp;" Your Home"</f>
        <v>Buy Your Home</v>
      </c>
      <c r="B12" s="116">
        <f t="shared" si="3"/>
        <v>4</v>
      </c>
      <c r="C12" s="117"/>
      <c r="D12" s="115"/>
      <c r="E12" s="115" t="s">
        <v>417</v>
      </c>
      <c r="F12" s="116">
        <v>0</v>
      </c>
      <c r="G12" s="118">
        <f>+'Windows &amp; Doors'!F30</f>
        <v>749.65000000000009</v>
      </c>
      <c r="H12" s="118">
        <f t="shared" si="0"/>
        <v>0</v>
      </c>
      <c r="I12" s="119"/>
      <c r="J12" s="118"/>
      <c r="K12" s="120"/>
      <c r="L12" s="118"/>
      <c r="M12" s="118"/>
      <c r="N12" s="119"/>
      <c r="O12" s="118">
        <f t="shared" si="1"/>
        <v>0</v>
      </c>
      <c r="R12" s="36"/>
      <c r="S12" s="36"/>
      <c r="T12" s="36"/>
      <c r="U12" s="36"/>
      <c r="V12" s="36"/>
      <c r="W12" s="36"/>
      <c r="X12" s="36"/>
      <c r="Y12" s="36"/>
      <c r="Z12" s="36"/>
      <c r="AA12" s="36"/>
      <c r="AB12" s="36"/>
      <c r="AC12" s="36"/>
      <c r="AD12" s="36"/>
      <c r="AE12" s="36"/>
      <c r="AF12" s="36"/>
      <c r="AG12" s="36"/>
      <c r="AH12" s="36"/>
      <c r="AI12" s="36"/>
      <c r="AP12" s="35"/>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row>
    <row r="13" spans="1:125" ht="20.100000000000001" customHeight="1">
      <c r="A13" s="115" t="str">
        <f>Profit!$E$1&amp;" Your Home"</f>
        <v>Buy Your Home</v>
      </c>
      <c r="B13" s="116">
        <f t="shared" si="3"/>
        <v>5</v>
      </c>
      <c r="C13" s="117"/>
      <c r="D13" s="115"/>
      <c r="E13" s="115" t="s">
        <v>418</v>
      </c>
      <c r="F13" s="116">
        <v>0</v>
      </c>
      <c r="G13" s="118">
        <f>+Cabinets!G44</f>
        <v>4165.3999999999996</v>
      </c>
      <c r="H13" s="118">
        <f t="shared" si="0"/>
        <v>0</v>
      </c>
      <c r="I13" s="119"/>
      <c r="J13" s="118"/>
      <c r="K13" s="120"/>
      <c r="L13" s="118"/>
      <c r="M13" s="118"/>
      <c r="N13" s="119"/>
      <c r="O13" s="118">
        <f t="shared" si="1"/>
        <v>0</v>
      </c>
      <c r="AQ13" s="37"/>
    </row>
    <row r="14" spans="1:125" s="42" customFormat="1" ht="20.100000000000001" customHeight="1">
      <c r="A14" s="115" t="str">
        <f>Profit!$E$1&amp;" Your Home"</f>
        <v>Buy Your Home</v>
      </c>
      <c r="B14" s="116">
        <f t="shared" si="3"/>
        <v>6</v>
      </c>
      <c r="C14" s="117"/>
      <c r="D14" s="115"/>
      <c r="E14" s="115" t="s">
        <v>419</v>
      </c>
      <c r="F14" s="116">
        <v>0</v>
      </c>
      <c r="G14" s="118">
        <f>+Paint!G28</f>
        <v>1332.94</v>
      </c>
      <c r="H14" s="118">
        <f t="shared" si="0"/>
        <v>0</v>
      </c>
      <c r="I14" s="119"/>
      <c r="J14" s="118"/>
      <c r="K14" s="120"/>
      <c r="L14" s="118"/>
      <c r="M14" s="118"/>
      <c r="N14" s="119"/>
      <c r="O14" s="118">
        <f t="shared" si="1"/>
        <v>0</v>
      </c>
      <c r="R14" s="36"/>
      <c r="S14" s="36"/>
      <c r="T14" s="36"/>
      <c r="U14" s="36"/>
      <c r="V14" s="36"/>
      <c r="W14" s="36"/>
      <c r="X14" s="36"/>
      <c r="Y14" s="36"/>
      <c r="Z14" s="36"/>
      <c r="AA14" s="36"/>
      <c r="AB14" s="36"/>
      <c r="AC14" s="36"/>
      <c r="AD14" s="36"/>
      <c r="AE14" s="36"/>
      <c r="AF14" s="36"/>
      <c r="AG14" s="36"/>
      <c r="AH14" s="36"/>
      <c r="AI14" s="36"/>
      <c r="AP14" s="35"/>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row>
    <row r="15" spans="1:125" s="42" customFormat="1" ht="20.100000000000001" customHeight="1">
      <c r="A15" s="115" t="str">
        <f>Profit!$E$1&amp;" Your Home"</f>
        <v>Buy Your Home</v>
      </c>
      <c r="B15" s="116">
        <f t="shared" si="3"/>
        <v>7</v>
      </c>
      <c r="C15" s="117"/>
      <c r="D15" s="115"/>
      <c r="E15" s="115" t="s">
        <v>420</v>
      </c>
      <c r="F15" s="116">
        <v>0</v>
      </c>
      <c r="G15" s="118">
        <f>+Flooring!G7</f>
        <v>5098.8</v>
      </c>
      <c r="H15" s="118">
        <f t="shared" si="0"/>
        <v>0</v>
      </c>
      <c r="I15" s="119"/>
      <c r="J15" s="118"/>
      <c r="K15" s="120"/>
      <c r="L15" s="118"/>
      <c r="M15" s="118"/>
      <c r="N15" s="119"/>
      <c r="O15" s="118">
        <f t="shared" si="1"/>
        <v>0</v>
      </c>
      <c r="R15" s="36"/>
      <c r="S15" s="36"/>
      <c r="T15" s="36"/>
      <c r="U15" s="36"/>
      <c r="V15" s="36"/>
      <c r="W15" s="36"/>
      <c r="X15" s="36"/>
      <c r="Y15" s="36"/>
      <c r="Z15" s="36"/>
      <c r="AA15" s="36"/>
      <c r="AB15" s="36"/>
      <c r="AC15" s="36"/>
      <c r="AD15" s="36"/>
      <c r="AE15" s="36"/>
      <c r="AF15" s="36"/>
      <c r="AG15" s="36"/>
      <c r="AH15" s="36"/>
      <c r="AI15" s="36"/>
      <c r="AP15" s="37" t="str">
        <f ca="1">IFERROR(IF(LEN(#REF!)=0,"",IF(P$29=#REF!,Milestone_Marker_Old,"")),"")</f>
        <v/>
      </c>
      <c r="AQ15" s="37" t="str">
        <f ca="1">IFERROR(IF(LEN(#REF!)=0,"",IF(Q$29=#REF!,Milestone_Marker_Old,"")),"")</f>
        <v/>
      </c>
      <c r="AR15" s="37" t="str">
        <f ca="1">IFERROR(IF(LEN(#REF!)=0,"",IF(R$29=#REF!,Milestone_Marker_Old,"")),"")</f>
        <v/>
      </c>
      <c r="AS15" s="37" t="str">
        <f ca="1">IFERROR(IF(LEN(#REF!)=0,"",IF(S$29=#REF!,Milestone_Marker_Old,"")),"")</f>
        <v/>
      </c>
      <c r="AT15" s="37" t="str">
        <f ca="1">IFERROR(IF(LEN(#REF!)=0,"",IF(T$29=#REF!,Milestone_Marker_Old,"")),"")</f>
        <v/>
      </c>
      <c r="AU15" s="37" t="str">
        <f ca="1">IFERROR(IF(LEN(#REF!)=0,"",IF(U$29=#REF!,Milestone_Marker_Old,"")),"")</f>
        <v/>
      </c>
      <c r="AV15" s="37" t="str">
        <f ca="1">IFERROR(IF(LEN(#REF!)=0,"",IF(V$29=#REF!,Milestone_Marker_Old,"")),"")</f>
        <v/>
      </c>
      <c r="AW15" s="37" t="str">
        <f ca="1">IFERROR(IF(LEN(#REF!)=0,"",IF(W$29=#REF!,Milestone_Marker_Old,"")),"")</f>
        <v/>
      </c>
      <c r="AX15" s="37" t="str">
        <f ca="1">IFERROR(IF(LEN(#REF!)=0,"",IF(X$29=#REF!,Milestone_Marker_Old,"")),"")</f>
        <v/>
      </c>
      <c r="AY15" s="37" t="str">
        <f ca="1">IFERROR(IF(LEN(#REF!)=0,"",IF(Y$29=#REF!,Milestone_Marker_Old,"")),"")</f>
        <v/>
      </c>
      <c r="AZ15" s="37" t="str">
        <f ca="1">IFERROR(IF(LEN(#REF!)=0,"",IF(Z$29=#REF!,Milestone_Marker_Old,"")),"")</f>
        <v/>
      </c>
      <c r="BA15" s="37" t="str">
        <f ca="1">IFERROR(IF(LEN(#REF!)=0,"",IF(AA$29=#REF!,Milestone_Marker_Old,"")),"")</f>
        <v/>
      </c>
      <c r="BB15" s="37" t="str">
        <f ca="1">IFERROR(IF(LEN(#REF!)=0,"",IF(AB$29=#REF!,Milestone_Marker_Old,"")),"")</f>
        <v/>
      </c>
      <c r="BC15" s="37" t="str">
        <f ca="1">IFERROR(IF(LEN(#REF!)=0,"",IF(AC$29=#REF!,Milestone_Marker_Old,"")),"")</f>
        <v/>
      </c>
      <c r="BD15" s="37" t="str">
        <f ca="1">IFERROR(IF(LEN(#REF!)=0,"",IF(AD$29=#REF!,Milestone_Marker_Old,"")),"")</f>
        <v/>
      </c>
      <c r="BE15" s="37" t="str">
        <f ca="1">IFERROR(IF(LEN(#REF!)=0,"",IF(AE$29=#REF!,Milestone_Marker_Old,"")),"")</f>
        <v/>
      </c>
      <c r="BF15" s="37" t="str">
        <f ca="1">IFERROR(IF(LEN(#REF!)=0,"",IF(AF$29=#REF!,Milestone_Marker_Old,"")),"")</f>
        <v/>
      </c>
      <c r="BG15" s="37" t="str">
        <f ca="1">IFERROR(IF(LEN(#REF!)=0,"",IF(AG$29=#REF!,Milestone_Marker_Old,"")),"")</f>
        <v/>
      </c>
      <c r="BH15" s="37" t="str">
        <f ca="1">IFERROR(IF(LEN(#REF!)=0,"",IF(AH$29=#REF!,Milestone_Marker_Old,"")),"")</f>
        <v/>
      </c>
      <c r="BI15" s="37" t="str">
        <f ca="1">IFERROR(IF(LEN(#REF!)=0,"",IF(AI$29=#REF!,Milestone_Marker_Old,"")),"")</f>
        <v/>
      </c>
      <c r="BJ15" s="37" t="str">
        <f ca="1">IFERROR(IF(LEN(#REF!)=0,"",IF(AJ$29=#REF!,Milestone_Marker_Old,"")),"")</f>
        <v/>
      </c>
      <c r="BK15" s="37" t="str">
        <f ca="1">IFERROR(IF(LEN(#REF!)=0,"",IF(AK$29=#REF!,Milestone_Marker_Old,"")),"")</f>
        <v/>
      </c>
      <c r="BL15" s="37" t="str">
        <f ca="1">IFERROR(IF(LEN(#REF!)=0,"",IF(AL$29=#REF!,Milestone_Marker_Old,"")),"")</f>
        <v/>
      </c>
      <c r="BM15" s="37" t="str">
        <f ca="1">IFERROR(IF(LEN(#REF!)=0,"",IF(AM$29=#REF!,Milestone_Marker_Old,"")),"")</f>
        <v/>
      </c>
      <c r="BN15" s="37" t="str">
        <f ca="1">IFERROR(IF(LEN(#REF!)=0,"",IF(AN$29=#REF!,Milestone_Marker_Old,"")),"")</f>
        <v/>
      </c>
      <c r="BO15" s="37" t="str">
        <f ca="1">IFERROR(IF(LEN(#REF!)=0,"",IF(AO$29=#REF!,Milestone_Marker_Old,"")),"")</f>
        <v/>
      </c>
      <c r="BP15" s="37" t="str">
        <f ca="1">IFERROR(IF(LEN(#REF!)=0,"",IF(AP$29=#REF!,Milestone_Marker_Old,"")),"")</f>
        <v/>
      </c>
      <c r="BQ15" s="37" t="str">
        <f ca="1">IFERROR(IF(LEN(#REF!)=0,"",IF(AQ$29=#REF!,Milestone_Marker_Old,"")),"")</f>
        <v/>
      </c>
      <c r="BR15" s="37" t="str">
        <f ca="1">IFERROR(IF(LEN(#REF!)=0,"",IF(AR$29=#REF!,Milestone_Marker_Old,"")),"")</f>
        <v/>
      </c>
      <c r="BS15" s="37" t="str">
        <f ca="1">IFERROR(IF(LEN(#REF!)=0,"",IF(AS$29=#REF!,Milestone_Marker_Old,"")),"")</f>
        <v/>
      </c>
      <c r="BT15" s="37" t="str">
        <f ca="1">IFERROR(IF(LEN(#REF!)=0,"",IF(AT$29=#REF!,Milestone_Marker_Old,"")),"")</f>
        <v/>
      </c>
      <c r="BU15" s="37" t="str">
        <f ca="1">IFERROR(IF(LEN(#REF!)=0,"",IF(AU$29=#REF!,Milestone_Marker_Old,"")),"")</f>
        <v/>
      </c>
      <c r="BV15" s="37" t="str">
        <f ca="1">IFERROR(IF(LEN(#REF!)=0,"",IF(AV$29=#REF!,Milestone_Marker_Old,"")),"")</f>
        <v/>
      </c>
      <c r="BW15" s="37" t="str">
        <f ca="1">IFERROR(IF(LEN(#REF!)=0,"",IF(AW$29=#REF!,Milestone_Marker_Old,"")),"")</f>
        <v/>
      </c>
      <c r="BX15" s="37" t="str">
        <f ca="1">IFERROR(IF(LEN(#REF!)=0,"",IF(AX$29=#REF!,Milestone_Marker_Old,"")),"")</f>
        <v/>
      </c>
      <c r="BY15" s="37" t="str">
        <f ca="1">IFERROR(IF(LEN(#REF!)=0,"",IF(AY$29=#REF!,Milestone_Marker_Old,"")),"")</f>
        <v/>
      </c>
      <c r="BZ15" s="37" t="str">
        <f ca="1">IFERROR(IF(LEN(#REF!)=0,"",IF(AZ$29=#REF!,Milestone_Marker_Old,"")),"")</f>
        <v/>
      </c>
      <c r="CA15" s="37" t="str">
        <f ca="1">IFERROR(IF(LEN(#REF!)=0,"",IF(BA$29=#REF!,Milestone_Marker_Old,"")),"")</f>
        <v/>
      </c>
      <c r="CB15" s="37" t="str">
        <f ca="1">IFERROR(IF(LEN(#REF!)=0,"",IF(BB$29=#REF!,Milestone_Marker_Old,"")),"")</f>
        <v/>
      </c>
      <c r="CC15" s="37" t="str">
        <f ca="1">IFERROR(IF(LEN(#REF!)=0,"",IF(BC$29=#REF!,Milestone_Marker_Old,"")),"")</f>
        <v/>
      </c>
      <c r="CD15" s="37" t="str">
        <f ca="1">IFERROR(IF(LEN(#REF!)=0,"",IF(BD$29=#REF!,Milestone_Marker_Old,"")),"")</f>
        <v/>
      </c>
      <c r="CE15" s="37" t="str">
        <f ca="1">IFERROR(IF(LEN(#REF!)=0,"",IF(BE$29=#REF!,Milestone_Marker_Old,"")),"")</f>
        <v/>
      </c>
      <c r="CF15" s="37" t="str">
        <f ca="1">IFERROR(IF(LEN(#REF!)=0,"",IF(BF$29=#REF!,Milestone_Marker_Old,"")),"")</f>
        <v/>
      </c>
      <c r="CG15" s="37" t="str">
        <f ca="1">IFERROR(IF(LEN(#REF!)=0,"",IF(BG$29=#REF!,Milestone_Marker_Old,"")),"")</f>
        <v/>
      </c>
      <c r="CH15" s="37" t="str">
        <f ca="1">IFERROR(IF(LEN(#REF!)=0,"",IF(BH$29=#REF!,Milestone_Marker_Old,"")),"")</f>
        <v/>
      </c>
      <c r="CI15" s="37" t="str">
        <f ca="1">IFERROR(IF(LEN(#REF!)=0,"",IF(BI$29=#REF!,Milestone_Marker_Old,"")),"")</f>
        <v/>
      </c>
      <c r="CJ15" s="37" t="str">
        <f ca="1">IFERROR(IF(LEN(#REF!)=0,"",IF(BJ$29=#REF!,Milestone_Marker_Old,"")),"")</f>
        <v/>
      </c>
      <c r="CK15" s="37" t="str">
        <f ca="1">IFERROR(IF(LEN(#REF!)=0,"",IF(BK$29=#REF!,Milestone_Marker_Old,"")),"")</f>
        <v/>
      </c>
      <c r="CL15" s="37" t="str">
        <f ca="1">IFERROR(IF(LEN(#REF!)=0,"",IF(BL$29=#REF!,Milestone_Marker_Old,"")),"")</f>
        <v/>
      </c>
      <c r="CM15" s="37" t="str">
        <f ca="1">IFERROR(IF(LEN(#REF!)=0,"",IF(BM$29=#REF!,Milestone_Marker_Old,"")),"")</f>
        <v/>
      </c>
      <c r="CN15" s="37" t="str">
        <f ca="1">IFERROR(IF(LEN(#REF!)=0,"",IF(BN$29=#REF!,Milestone_Marker_Old,"")),"")</f>
        <v/>
      </c>
      <c r="CO15" s="37" t="str">
        <f ca="1">IFERROR(IF(LEN(#REF!)=0,"",IF(BO$29=#REF!,Milestone_Marker_Old,"")),"")</f>
        <v/>
      </c>
      <c r="CP15" s="37" t="str">
        <f ca="1">IFERROR(IF(LEN(#REF!)=0,"",IF(BP$29=#REF!,Milestone_Marker_Old,"")),"")</f>
        <v/>
      </c>
      <c r="CQ15" s="37" t="str">
        <f ca="1">IFERROR(IF(LEN(#REF!)=0,"",IF(BQ$29=#REF!,Milestone_Marker_Old,"")),"")</f>
        <v/>
      </c>
      <c r="CR15" s="37" t="str">
        <f ca="1">IFERROR(IF(LEN(#REF!)=0,"",IF(BR$29=#REF!,Milestone_Marker_Old,"")),"")</f>
        <v/>
      </c>
      <c r="CS15" s="37" t="str">
        <f ca="1">IFERROR(IF(LEN(#REF!)=0,"",IF(BS$29=#REF!,Milestone_Marker_Old,"")),"")</f>
        <v/>
      </c>
      <c r="CT15" s="37" t="str">
        <f ca="1">IFERROR(IF(LEN(#REF!)=0,"",IF(BT$29=#REF!,Milestone_Marker_Old,"")),"")</f>
        <v/>
      </c>
      <c r="CU15" s="37" t="str">
        <f ca="1">IFERROR(IF(LEN(#REF!)=0,"",IF(BU$29=#REF!,Milestone_Marker_Old,"")),"")</f>
        <v/>
      </c>
      <c r="CV15" s="37" t="str">
        <f ca="1">IFERROR(IF(LEN(#REF!)=0,"",IF(BV$29=#REF!,Milestone_Marker_Old,"")),"")</f>
        <v/>
      </c>
      <c r="CW15" s="37" t="str">
        <f ca="1">IFERROR(IF(LEN(#REF!)=0,"",IF(BW$29=#REF!,Milestone_Marker_Old,"")),"")</f>
        <v/>
      </c>
      <c r="CX15" s="37" t="str">
        <f ca="1">IFERROR(IF(LEN(#REF!)=0,"",IF(BX$29=#REF!,Milestone_Marker_Old,"")),"")</f>
        <v/>
      </c>
      <c r="CY15" s="37" t="str">
        <f ca="1">IFERROR(IF(LEN(#REF!)=0,"",IF(BY$29=#REF!,Milestone_Marker_Old,"")),"")</f>
        <v/>
      </c>
      <c r="CZ15" s="37" t="str">
        <f ca="1">IFERROR(IF(LEN(#REF!)=0,"",IF(BZ$29=#REF!,Milestone_Marker_Old,"")),"")</f>
        <v/>
      </c>
      <c r="DA15" s="37" t="str">
        <f ca="1">IFERROR(IF(LEN(#REF!)=0,"",IF(CA$29=#REF!,Milestone_Marker_Old,"")),"")</f>
        <v/>
      </c>
      <c r="DB15" s="37" t="str">
        <f ca="1">IFERROR(IF(LEN(#REF!)=0,"",IF(CB$29=#REF!,Milestone_Marker_Old,"")),"")</f>
        <v/>
      </c>
      <c r="DC15" s="37" t="str">
        <f ca="1">IFERROR(IF(LEN(#REF!)=0,"",IF(CC$29=#REF!,Milestone_Marker_Old,"")),"")</f>
        <v/>
      </c>
      <c r="DD15" s="37" t="str">
        <f ca="1">IFERROR(IF(LEN(#REF!)=0,"",IF(CD$29=#REF!,Milestone_Marker_Old,"")),"")</f>
        <v/>
      </c>
      <c r="DE15" s="37" t="str">
        <f ca="1">IFERROR(IF(LEN(#REF!)=0,"",IF(CE$29=#REF!,Milestone_Marker_Old,"")),"")</f>
        <v/>
      </c>
      <c r="DF15" s="37" t="str">
        <f ca="1">IFERROR(IF(LEN(#REF!)=0,"",IF(CF$29=#REF!,Milestone_Marker_Old,"")),"")</f>
        <v/>
      </c>
      <c r="DG15" s="37" t="str">
        <f ca="1">IFERROR(IF(LEN(#REF!)=0,"",IF(CG$29=#REF!,Milestone_Marker_Old,"")),"")</f>
        <v/>
      </c>
      <c r="DH15" s="37" t="str">
        <f ca="1">IFERROR(IF(LEN(#REF!)=0,"",IF(CH$29=#REF!,Milestone_Marker_Old,"")),"")</f>
        <v/>
      </c>
      <c r="DI15" s="37" t="str">
        <f ca="1">IFERROR(IF(LEN(#REF!)=0,"",IF(CI$29=#REF!,Milestone_Marker_Old,"")),"")</f>
        <v/>
      </c>
      <c r="DJ15" s="37" t="str">
        <f ca="1">IFERROR(IF(LEN(#REF!)=0,"",IF(CJ$29=#REF!,Milestone_Marker_Old,"")),"")</f>
        <v/>
      </c>
      <c r="DK15" s="37" t="str">
        <f ca="1">IFERROR(IF(LEN(#REF!)=0,"",IF(CK$29=#REF!,Milestone_Marker_Old,"")),"")</f>
        <v/>
      </c>
      <c r="DL15" s="37" t="str">
        <f ca="1">IFERROR(IF(LEN(#REF!)=0,"",IF(CL$29=#REF!,Milestone_Marker_Old,"")),"")</f>
        <v/>
      </c>
      <c r="DM15" s="37" t="str">
        <f ca="1">IFERROR(IF(LEN(#REF!)=0,"",IF(CM$29=#REF!,Milestone_Marker_Old,"")),"")</f>
        <v/>
      </c>
      <c r="DN15" s="37" t="str">
        <f ca="1">IFERROR(IF(LEN(#REF!)=0,"",IF(CN$29=#REF!,Milestone_Marker_Old,"")),"")</f>
        <v/>
      </c>
      <c r="DO15" s="37" t="str">
        <f ca="1">IFERROR(IF(LEN(#REF!)=0,"",IF(CO$29=#REF!,Milestone_Marker_Old,"")),"")</f>
        <v/>
      </c>
      <c r="DP15" s="37" t="str">
        <f ca="1">IFERROR(IF(LEN(#REF!)=0,"",IF(CP$29=#REF!,Milestone_Marker_Old,"")),"")</f>
        <v/>
      </c>
      <c r="DQ15" s="37" t="str">
        <f ca="1">IFERROR(IF(LEN(#REF!)=0,"",IF(CQ$29=#REF!,Milestone_Marker_Old,"")),"")</f>
        <v/>
      </c>
      <c r="DR15" s="37" t="str">
        <f ca="1">IFERROR(IF(LEN(#REF!)=0,"",IF(CR$29=#REF!,Milestone_Marker_Old,"")),"")</f>
        <v/>
      </c>
      <c r="DS15" s="37" t="str">
        <f ca="1">IFERROR(IF(LEN(#REF!)=0,"",IF(CS$29=#REF!,Milestone_Marker_Old,"")),"")</f>
        <v/>
      </c>
      <c r="DT15" s="37" t="str">
        <f ca="1">IFERROR(IF(LEN(#REF!)=0,"",IF(CT$29=#REF!,Milestone_Marker_Old,"")),"")</f>
        <v/>
      </c>
      <c r="DU15" s="37" t="str">
        <f ca="1">IFERROR(IF(LEN(#REF!)=0,"",IF(CU$29=#REF!,Milestone_Marker_Old,"")),"")</f>
        <v/>
      </c>
    </row>
    <row r="16" spans="1:125" s="42" customFormat="1" ht="20.100000000000001" customHeight="1">
      <c r="A16" s="115" t="str">
        <f>Profit!$E$1&amp;" Your Home"</f>
        <v>Buy Your Home</v>
      </c>
      <c r="B16" s="116">
        <f t="shared" si="3"/>
        <v>8</v>
      </c>
      <c r="C16" s="117"/>
      <c r="D16" s="115"/>
      <c r="E16" s="115" t="s">
        <v>421</v>
      </c>
      <c r="F16" s="116">
        <v>0</v>
      </c>
      <c r="G16" s="118">
        <f>+'Electrical Fixtures'!F23</f>
        <v>1357.2</v>
      </c>
      <c r="H16" s="118">
        <f t="shared" si="0"/>
        <v>0</v>
      </c>
      <c r="I16" s="119"/>
      <c r="J16" s="118"/>
      <c r="K16" s="120"/>
      <c r="L16" s="118"/>
      <c r="M16" s="118"/>
      <c r="N16" s="119"/>
      <c r="O16" s="118">
        <f t="shared" si="1"/>
        <v>0</v>
      </c>
      <c r="R16" s="36"/>
      <c r="S16" s="36"/>
      <c r="T16" s="36"/>
      <c r="U16" s="36"/>
      <c r="V16" s="36"/>
      <c r="W16" s="36"/>
      <c r="X16" s="36"/>
      <c r="Y16" s="36"/>
      <c r="Z16" s="36"/>
      <c r="AA16" s="36"/>
      <c r="AB16" s="36"/>
      <c r="AC16" s="36"/>
      <c r="AD16" s="36"/>
      <c r="AE16" s="36"/>
      <c r="AF16" s="36"/>
      <c r="AG16" s="36"/>
      <c r="AH16" s="36"/>
      <c r="AI16" s="36"/>
      <c r="AP16" s="37" t="str">
        <f ca="1">IFERROR(IF(LEN(#REF!)=0,"",IF(P$29=#REF!,Milestone_Marker_Old,"")),"")</f>
        <v/>
      </c>
      <c r="AQ16" s="37" t="str">
        <f ca="1">IFERROR(IF(LEN(#REF!)=0,"",IF(Q$29=#REF!,Milestone_Marker_Old,"")),"")</f>
        <v/>
      </c>
      <c r="AR16" s="37" t="str">
        <f ca="1">IFERROR(IF(LEN(#REF!)=0,"",IF(R$29=#REF!,Milestone_Marker_Old,"")),"")</f>
        <v/>
      </c>
      <c r="AS16" s="37" t="str">
        <f ca="1">IFERROR(IF(LEN(#REF!)=0,"",IF(S$29=#REF!,Milestone_Marker_Old,"")),"")</f>
        <v/>
      </c>
      <c r="AT16" s="37" t="str">
        <f ca="1">IFERROR(IF(LEN(#REF!)=0,"",IF(T$29=#REF!,Milestone_Marker_Old,"")),"")</f>
        <v/>
      </c>
      <c r="AU16" s="37" t="str">
        <f ca="1">IFERROR(IF(LEN(#REF!)=0,"",IF(U$29=#REF!,Milestone_Marker_Old,"")),"")</f>
        <v/>
      </c>
      <c r="AV16" s="37" t="str">
        <f ca="1">IFERROR(IF(LEN(#REF!)=0,"",IF(V$29=#REF!,Milestone_Marker_Old,"")),"")</f>
        <v/>
      </c>
      <c r="AW16" s="37" t="str">
        <f ca="1">IFERROR(IF(LEN(#REF!)=0,"",IF(W$29=#REF!,Milestone_Marker_Old,"")),"")</f>
        <v/>
      </c>
      <c r="AX16" s="37" t="str">
        <f ca="1">IFERROR(IF(LEN(#REF!)=0,"",IF(X$29=#REF!,Milestone_Marker_Old,"")),"")</f>
        <v/>
      </c>
      <c r="AY16" s="37" t="str">
        <f ca="1">IFERROR(IF(LEN(#REF!)=0,"",IF(Y$29=#REF!,Milestone_Marker_Old,"")),"")</f>
        <v/>
      </c>
      <c r="AZ16" s="37" t="str">
        <f ca="1">IFERROR(IF(LEN(#REF!)=0,"",IF(Z$29=#REF!,Milestone_Marker_Old,"")),"")</f>
        <v/>
      </c>
      <c r="BA16" s="37" t="str">
        <f ca="1">IFERROR(IF(LEN(#REF!)=0,"",IF(AA$29=#REF!,Milestone_Marker_Old,"")),"")</f>
        <v/>
      </c>
      <c r="BB16" s="37" t="str">
        <f ca="1">IFERROR(IF(LEN(#REF!)=0,"",IF(AB$29=#REF!,Milestone_Marker_Old,"")),"")</f>
        <v/>
      </c>
      <c r="BC16" s="37" t="str">
        <f ca="1">IFERROR(IF(LEN(#REF!)=0,"",IF(AC$29=#REF!,Milestone_Marker_Old,"")),"")</f>
        <v/>
      </c>
      <c r="BD16" s="37" t="str">
        <f ca="1">IFERROR(IF(LEN(#REF!)=0,"",IF(AD$29=#REF!,Milestone_Marker_Old,"")),"")</f>
        <v/>
      </c>
      <c r="BE16" s="37" t="str">
        <f ca="1">IFERROR(IF(LEN(#REF!)=0,"",IF(AE$29=#REF!,Milestone_Marker_Old,"")),"")</f>
        <v/>
      </c>
      <c r="BF16" s="37" t="str">
        <f ca="1">IFERROR(IF(LEN(#REF!)=0,"",IF(AF$29=#REF!,Milestone_Marker_Old,"")),"")</f>
        <v/>
      </c>
      <c r="BG16" s="37" t="str">
        <f ca="1">IFERROR(IF(LEN(#REF!)=0,"",IF(AG$29=#REF!,Milestone_Marker_Old,"")),"")</f>
        <v/>
      </c>
      <c r="BH16" s="37" t="str">
        <f ca="1">IFERROR(IF(LEN(#REF!)=0,"",IF(AH$29=#REF!,Milestone_Marker_Old,"")),"")</f>
        <v/>
      </c>
      <c r="BI16" s="37" t="str">
        <f ca="1">IFERROR(IF(LEN(#REF!)=0,"",IF(AI$29=#REF!,Milestone_Marker_Old,"")),"")</f>
        <v/>
      </c>
      <c r="BJ16" s="37" t="str">
        <f ca="1">IFERROR(IF(LEN(#REF!)=0,"",IF(AJ$29=#REF!,Milestone_Marker_Old,"")),"")</f>
        <v/>
      </c>
      <c r="BK16" s="37" t="str">
        <f ca="1">IFERROR(IF(LEN(#REF!)=0,"",IF(AK$29=#REF!,Milestone_Marker_Old,"")),"")</f>
        <v/>
      </c>
      <c r="BL16" s="37" t="str">
        <f ca="1">IFERROR(IF(LEN(#REF!)=0,"",IF(AL$29=#REF!,Milestone_Marker_Old,"")),"")</f>
        <v/>
      </c>
      <c r="BM16" s="37" t="str">
        <f ca="1">IFERROR(IF(LEN(#REF!)=0,"",IF(AM$29=#REF!,Milestone_Marker_Old,"")),"")</f>
        <v/>
      </c>
      <c r="BN16" s="37" t="str">
        <f ca="1">IFERROR(IF(LEN(#REF!)=0,"",IF(AN$29=#REF!,Milestone_Marker_Old,"")),"")</f>
        <v/>
      </c>
      <c r="BO16" s="37" t="str">
        <f ca="1">IFERROR(IF(LEN(#REF!)=0,"",IF(AO$29=#REF!,Milestone_Marker_Old,"")),"")</f>
        <v/>
      </c>
      <c r="BP16" s="37" t="str">
        <f ca="1">IFERROR(IF(LEN(#REF!)=0,"",IF(AP$29=#REF!,Milestone_Marker_Old,"")),"")</f>
        <v/>
      </c>
      <c r="BQ16" s="37" t="str">
        <f ca="1">IFERROR(IF(LEN(#REF!)=0,"",IF(AQ$29=#REF!,Milestone_Marker_Old,"")),"")</f>
        <v/>
      </c>
      <c r="BR16" s="37" t="str">
        <f ca="1">IFERROR(IF(LEN(#REF!)=0,"",IF(AR$29=#REF!,Milestone_Marker_Old,"")),"")</f>
        <v/>
      </c>
      <c r="BS16" s="37" t="str">
        <f ca="1">IFERROR(IF(LEN(#REF!)=0,"",IF(AS$29=#REF!,Milestone_Marker_Old,"")),"")</f>
        <v/>
      </c>
      <c r="BT16" s="37" t="str">
        <f ca="1">IFERROR(IF(LEN(#REF!)=0,"",IF(AT$29=#REF!,Milestone_Marker_Old,"")),"")</f>
        <v/>
      </c>
      <c r="BU16" s="37" t="str">
        <f ca="1">IFERROR(IF(LEN(#REF!)=0,"",IF(AU$29=#REF!,Milestone_Marker_Old,"")),"")</f>
        <v/>
      </c>
      <c r="BV16" s="37" t="str">
        <f ca="1">IFERROR(IF(LEN(#REF!)=0,"",IF(AV$29=#REF!,Milestone_Marker_Old,"")),"")</f>
        <v/>
      </c>
      <c r="BW16" s="37" t="str">
        <f ca="1">IFERROR(IF(LEN(#REF!)=0,"",IF(AW$29=#REF!,Milestone_Marker_Old,"")),"")</f>
        <v/>
      </c>
      <c r="BX16" s="37" t="str">
        <f ca="1">IFERROR(IF(LEN(#REF!)=0,"",IF(AX$29=#REF!,Milestone_Marker_Old,"")),"")</f>
        <v/>
      </c>
      <c r="BY16" s="37" t="str">
        <f ca="1">IFERROR(IF(LEN(#REF!)=0,"",IF(AY$29=#REF!,Milestone_Marker_Old,"")),"")</f>
        <v/>
      </c>
      <c r="BZ16" s="37" t="str">
        <f ca="1">IFERROR(IF(LEN(#REF!)=0,"",IF(AZ$29=#REF!,Milestone_Marker_Old,"")),"")</f>
        <v/>
      </c>
      <c r="CA16" s="37" t="str">
        <f ca="1">IFERROR(IF(LEN(#REF!)=0,"",IF(BA$29=#REF!,Milestone_Marker_Old,"")),"")</f>
        <v/>
      </c>
      <c r="CB16" s="37" t="str">
        <f ca="1">IFERROR(IF(LEN(#REF!)=0,"",IF(BB$29=#REF!,Milestone_Marker_Old,"")),"")</f>
        <v/>
      </c>
      <c r="CC16" s="37" t="str">
        <f ca="1">IFERROR(IF(LEN(#REF!)=0,"",IF(BC$29=#REF!,Milestone_Marker_Old,"")),"")</f>
        <v/>
      </c>
      <c r="CD16" s="37" t="str">
        <f ca="1">IFERROR(IF(LEN(#REF!)=0,"",IF(BD$29=#REF!,Milestone_Marker_Old,"")),"")</f>
        <v/>
      </c>
      <c r="CE16" s="37" t="str">
        <f ca="1">IFERROR(IF(LEN(#REF!)=0,"",IF(BE$29=#REF!,Milestone_Marker_Old,"")),"")</f>
        <v/>
      </c>
      <c r="CF16" s="37" t="str">
        <f ca="1">IFERROR(IF(LEN(#REF!)=0,"",IF(BF$29=#REF!,Milestone_Marker_Old,"")),"")</f>
        <v/>
      </c>
      <c r="CG16" s="37" t="str">
        <f ca="1">IFERROR(IF(LEN(#REF!)=0,"",IF(BG$29=#REF!,Milestone_Marker_Old,"")),"")</f>
        <v/>
      </c>
      <c r="CH16" s="37" t="str">
        <f ca="1">IFERROR(IF(LEN(#REF!)=0,"",IF(BH$29=#REF!,Milestone_Marker_Old,"")),"")</f>
        <v/>
      </c>
      <c r="CI16" s="37" t="str">
        <f ca="1">IFERROR(IF(LEN(#REF!)=0,"",IF(BI$29=#REF!,Milestone_Marker_Old,"")),"")</f>
        <v/>
      </c>
      <c r="CJ16" s="37" t="str">
        <f ca="1">IFERROR(IF(LEN(#REF!)=0,"",IF(BJ$29=#REF!,Milestone_Marker_Old,"")),"")</f>
        <v/>
      </c>
      <c r="CK16" s="37" t="str">
        <f ca="1">IFERROR(IF(LEN(#REF!)=0,"",IF(BK$29=#REF!,Milestone_Marker_Old,"")),"")</f>
        <v/>
      </c>
      <c r="CL16" s="37" t="str">
        <f ca="1">IFERROR(IF(LEN(#REF!)=0,"",IF(BL$29=#REF!,Milestone_Marker_Old,"")),"")</f>
        <v/>
      </c>
      <c r="CM16" s="37" t="str">
        <f ca="1">IFERROR(IF(LEN(#REF!)=0,"",IF(BM$29=#REF!,Milestone_Marker_Old,"")),"")</f>
        <v/>
      </c>
      <c r="CN16" s="37" t="str">
        <f ca="1">IFERROR(IF(LEN(#REF!)=0,"",IF(BN$29=#REF!,Milestone_Marker_Old,"")),"")</f>
        <v/>
      </c>
      <c r="CO16" s="37" t="str">
        <f ca="1">IFERROR(IF(LEN(#REF!)=0,"",IF(BO$29=#REF!,Milestone_Marker_Old,"")),"")</f>
        <v/>
      </c>
      <c r="CP16" s="37" t="str">
        <f ca="1">IFERROR(IF(LEN(#REF!)=0,"",IF(BP$29=#REF!,Milestone_Marker_Old,"")),"")</f>
        <v/>
      </c>
      <c r="CQ16" s="37" t="str">
        <f ca="1">IFERROR(IF(LEN(#REF!)=0,"",IF(BQ$29=#REF!,Milestone_Marker_Old,"")),"")</f>
        <v/>
      </c>
      <c r="CR16" s="37" t="str">
        <f ca="1">IFERROR(IF(LEN(#REF!)=0,"",IF(BR$29=#REF!,Milestone_Marker_Old,"")),"")</f>
        <v/>
      </c>
      <c r="CS16" s="37" t="str">
        <f ca="1">IFERROR(IF(LEN(#REF!)=0,"",IF(BS$29=#REF!,Milestone_Marker_Old,"")),"")</f>
        <v/>
      </c>
      <c r="CT16" s="37" t="str">
        <f ca="1">IFERROR(IF(LEN(#REF!)=0,"",IF(BT$29=#REF!,Milestone_Marker_Old,"")),"")</f>
        <v/>
      </c>
      <c r="CU16" s="37" t="str">
        <f ca="1">IFERROR(IF(LEN(#REF!)=0,"",IF(BU$29=#REF!,Milestone_Marker_Old,"")),"")</f>
        <v/>
      </c>
      <c r="CV16" s="37" t="str">
        <f ca="1">IFERROR(IF(LEN(#REF!)=0,"",IF(BV$29=#REF!,Milestone_Marker_Old,"")),"")</f>
        <v/>
      </c>
      <c r="CW16" s="37" t="str">
        <f ca="1">IFERROR(IF(LEN(#REF!)=0,"",IF(BW$29=#REF!,Milestone_Marker_Old,"")),"")</f>
        <v/>
      </c>
      <c r="CX16" s="37" t="str">
        <f ca="1">IFERROR(IF(LEN(#REF!)=0,"",IF(BX$29=#REF!,Milestone_Marker_Old,"")),"")</f>
        <v/>
      </c>
      <c r="CY16" s="37" t="str">
        <f ca="1">IFERROR(IF(LEN(#REF!)=0,"",IF(BY$29=#REF!,Milestone_Marker_Old,"")),"")</f>
        <v/>
      </c>
      <c r="CZ16" s="37" t="str">
        <f ca="1">IFERROR(IF(LEN(#REF!)=0,"",IF(BZ$29=#REF!,Milestone_Marker_Old,"")),"")</f>
        <v/>
      </c>
      <c r="DA16" s="37" t="str">
        <f ca="1">IFERROR(IF(LEN(#REF!)=0,"",IF(CA$29=#REF!,Milestone_Marker_Old,"")),"")</f>
        <v/>
      </c>
      <c r="DB16" s="37" t="str">
        <f ca="1">IFERROR(IF(LEN(#REF!)=0,"",IF(CB$29=#REF!,Milestone_Marker_Old,"")),"")</f>
        <v/>
      </c>
      <c r="DC16" s="37" t="str">
        <f ca="1">IFERROR(IF(LEN(#REF!)=0,"",IF(CC$29=#REF!,Milestone_Marker_Old,"")),"")</f>
        <v/>
      </c>
      <c r="DD16" s="37" t="str">
        <f ca="1">IFERROR(IF(LEN(#REF!)=0,"",IF(CD$29=#REF!,Milestone_Marker_Old,"")),"")</f>
        <v/>
      </c>
      <c r="DE16" s="37" t="str">
        <f ca="1">IFERROR(IF(LEN(#REF!)=0,"",IF(CE$29=#REF!,Milestone_Marker_Old,"")),"")</f>
        <v/>
      </c>
      <c r="DF16" s="37" t="str">
        <f ca="1">IFERROR(IF(LEN(#REF!)=0,"",IF(CF$29=#REF!,Milestone_Marker_Old,"")),"")</f>
        <v/>
      </c>
      <c r="DG16" s="37" t="str">
        <f ca="1">IFERROR(IF(LEN(#REF!)=0,"",IF(CG$29=#REF!,Milestone_Marker_Old,"")),"")</f>
        <v/>
      </c>
      <c r="DH16" s="37" t="str">
        <f ca="1">IFERROR(IF(LEN(#REF!)=0,"",IF(CH$29=#REF!,Milestone_Marker_Old,"")),"")</f>
        <v/>
      </c>
      <c r="DI16" s="37" t="str">
        <f ca="1">IFERROR(IF(LEN(#REF!)=0,"",IF(CI$29=#REF!,Milestone_Marker_Old,"")),"")</f>
        <v/>
      </c>
      <c r="DJ16" s="37" t="str">
        <f ca="1">IFERROR(IF(LEN(#REF!)=0,"",IF(CJ$29=#REF!,Milestone_Marker_Old,"")),"")</f>
        <v/>
      </c>
      <c r="DK16" s="37" t="str">
        <f ca="1">IFERROR(IF(LEN(#REF!)=0,"",IF(CK$29=#REF!,Milestone_Marker_Old,"")),"")</f>
        <v/>
      </c>
      <c r="DL16" s="37" t="str">
        <f ca="1">IFERROR(IF(LEN(#REF!)=0,"",IF(CL$29=#REF!,Milestone_Marker_Old,"")),"")</f>
        <v/>
      </c>
      <c r="DM16" s="37" t="str">
        <f ca="1">IFERROR(IF(LEN(#REF!)=0,"",IF(CM$29=#REF!,Milestone_Marker_Old,"")),"")</f>
        <v/>
      </c>
      <c r="DN16" s="37" t="str">
        <f ca="1">IFERROR(IF(LEN(#REF!)=0,"",IF(CN$29=#REF!,Milestone_Marker_Old,"")),"")</f>
        <v/>
      </c>
      <c r="DO16" s="37" t="str">
        <f ca="1">IFERROR(IF(LEN(#REF!)=0,"",IF(CO$29=#REF!,Milestone_Marker_Old,"")),"")</f>
        <v/>
      </c>
      <c r="DP16" s="37" t="str">
        <f ca="1">IFERROR(IF(LEN(#REF!)=0,"",IF(CP$29=#REF!,Milestone_Marker_Old,"")),"")</f>
        <v/>
      </c>
      <c r="DQ16" s="37" t="str">
        <f ca="1">IFERROR(IF(LEN(#REF!)=0,"",IF(CQ$29=#REF!,Milestone_Marker_Old,"")),"")</f>
        <v/>
      </c>
      <c r="DR16" s="37" t="str">
        <f ca="1">IFERROR(IF(LEN(#REF!)=0,"",IF(CR$29=#REF!,Milestone_Marker_Old,"")),"")</f>
        <v/>
      </c>
      <c r="DS16" s="37" t="str">
        <f ca="1">IFERROR(IF(LEN(#REF!)=0,"",IF(CS$29=#REF!,Milestone_Marker_Old,"")),"")</f>
        <v/>
      </c>
      <c r="DT16" s="37" t="str">
        <f ca="1">IFERROR(IF(LEN(#REF!)=0,"",IF(CT$29=#REF!,Milestone_Marker_Old,"")),"")</f>
        <v/>
      </c>
      <c r="DU16" s="37" t="str">
        <f ca="1">IFERROR(IF(LEN(#REF!)=0,"",IF(CU$29=#REF!,Milestone_Marker_Old,"")),"")</f>
        <v/>
      </c>
    </row>
    <row r="17" spans="1:125" s="42" customFormat="1" ht="20.100000000000001" customHeight="1">
      <c r="A17" s="115" t="str">
        <f>Profit!$E$1&amp;" Your Home"</f>
        <v>Buy Your Home</v>
      </c>
      <c r="B17" s="116">
        <f t="shared" si="3"/>
        <v>9</v>
      </c>
      <c r="C17" s="117"/>
      <c r="D17" s="115"/>
      <c r="E17" s="115" t="s">
        <v>422</v>
      </c>
      <c r="F17" s="116">
        <v>1</v>
      </c>
      <c r="G17" s="118">
        <f>+Exterior!D16</f>
        <v>19189.95</v>
      </c>
      <c r="H17" s="118">
        <f t="shared" si="0"/>
        <v>19189.95</v>
      </c>
      <c r="I17" s="119" t="s">
        <v>177</v>
      </c>
      <c r="J17" s="118"/>
      <c r="K17" s="120"/>
      <c r="L17" s="118"/>
      <c r="M17" s="118">
        <v>19189.95</v>
      </c>
      <c r="N17" s="119"/>
      <c r="O17" s="118">
        <f t="shared" ref="O17" si="4">IF(I17="Yes",H17,0)</f>
        <v>19189.95</v>
      </c>
      <c r="R17" s="36"/>
      <c r="S17" s="36"/>
      <c r="T17" s="36"/>
      <c r="U17" s="36"/>
      <c r="V17" s="36"/>
      <c r="W17" s="36"/>
      <c r="X17" s="36"/>
      <c r="Y17" s="36"/>
      <c r="Z17" s="36"/>
      <c r="AA17" s="36"/>
      <c r="AB17" s="36"/>
      <c r="AC17" s="36"/>
      <c r="AD17" s="36"/>
      <c r="AE17" s="36"/>
      <c r="AF17" s="36"/>
      <c r="AG17" s="36"/>
      <c r="AH17" s="36"/>
      <c r="AI17" s="36"/>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row>
    <row r="18" spans="1:125" s="42" customFormat="1" ht="20.100000000000001" customHeight="1">
      <c r="A18" s="115" t="str">
        <f>Profit!$E$1&amp;" Your Home"</f>
        <v>Buy Your Home</v>
      </c>
      <c r="B18" s="116">
        <f t="shared" si="3"/>
        <v>10</v>
      </c>
      <c r="C18" s="117"/>
      <c r="D18" s="115"/>
      <c r="E18" s="115" t="s">
        <v>423</v>
      </c>
      <c r="F18" s="116">
        <v>1</v>
      </c>
      <c r="G18" s="118">
        <f>+Landscape!H17</f>
        <v>3305</v>
      </c>
      <c r="H18" s="118">
        <f t="shared" ref="H18" si="5">+F18*G18</f>
        <v>3305</v>
      </c>
      <c r="I18" s="119" t="s">
        <v>177</v>
      </c>
      <c r="J18" s="118"/>
      <c r="K18" s="120"/>
      <c r="L18" s="118"/>
      <c r="M18" s="118">
        <v>2885</v>
      </c>
      <c r="N18" s="119"/>
      <c r="O18" s="118">
        <f t="shared" ref="O18" si="6">IF(I18="Yes",H18,0)</f>
        <v>3305</v>
      </c>
      <c r="R18" s="36"/>
      <c r="S18" s="36"/>
      <c r="T18" s="36"/>
      <c r="U18" s="36"/>
      <c r="V18" s="36"/>
      <c r="W18" s="36"/>
      <c r="X18" s="36"/>
      <c r="Y18" s="36"/>
      <c r="Z18" s="36"/>
      <c r="AA18" s="36"/>
      <c r="AB18" s="36"/>
      <c r="AC18" s="36"/>
      <c r="AD18" s="36"/>
      <c r="AE18" s="36"/>
      <c r="AF18" s="36"/>
      <c r="AG18" s="36"/>
      <c r="AH18" s="36"/>
      <c r="AI18" s="36"/>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row>
    <row r="19" spans="1:125" s="42" customFormat="1" ht="20.100000000000001" customHeight="1">
      <c r="A19" s="115" t="str">
        <f>Profit!$E$1&amp;" Your Home"</f>
        <v>Buy Your Home</v>
      </c>
      <c r="B19" s="116">
        <f t="shared" si="3"/>
        <v>11</v>
      </c>
      <c r="C19" s="117"/>
      <c r="D19" s="115"/>
      <c r="E19" s="115" t="s">
        <v>424</v>
      </c>
      <c r="F19" s="116">
        <v>0</v>
      </c>
      <c r="G19" s="118">
        <f>+'Demo &amp; Trash Haul'!F33</f>
        <v>0</v>
      </c>
      <c r="H19" s="118">
        <f t="shared" si="0"/>
        <v>0</v>
      </c>
      <c r="I19" s="119"/>
      <c r="J19" s="118"/>
      <c r="K19" s="120"/>
      <c r="L19" s="118"/>
      <c r="M19" s="118"/>
      <c r="N19" s="119"/>
      <c r="O19" s="118">
        <f t="shared" si="1"/>
        <v>0</v>
      </c>
      <c r="R19" s="36"/>
      <c r="S19" s="36"/>
      <c r="T19" s="36"/>
      <c r="U19" s="36"/>
      <c r="V19" s="36"/>
      <c r="W19" s="36"/>
      <c r="X19" s="36"/>
      <c r="Y19" s="36"/>
      <c r="Z19" s="36"/>
      <c r="AA19" s="36"/>
      <c r="AB19" s="36"/>
      <c r="AC19" s="36"/>
      <c r="AD19" s="36"/>
      <c r="AE19" s="36"/>
      <c r="AF19" s="36"/>
      <c r="AG19" s="36"/>
      <c r="AH19" s="36"/>
      <c r="AI19" s="36"/>
      <c r="AP19" s="37" t="str">
        <f ca="1">IFERROR(IF(LEN(#REF!)=0,"",IF(P$29=#REF!,Milestone_Marker_Old,"")),"")</f>
        <v/>
      </c>
      <c r="AQ19" s="37" t="str">
        <f ca="1">IFERROR(IF(LEN(#REF!)=0,"",IF(Q$29=#REF!,Milestone_Marker_Old,"")),"")</f>
        <v/>
      </c>
      <c r="AR19" s="37" t="str">
        <f ca="1">IFERROR(IF(LEN(#REF!)=0,"",IF(R$29=#REF!,Milestone_Marker_Old,"")),"")</f>
        <v/>
      </c>
      <c r="AS19" s="37" t="str">
        <f ca="1">IFERROR(IF(LEN(#REF!)=0,"",IF(S$29=#REF!,Milestone_Marker_Old,"")),"")</f>
        <v/>
      </c>
      <c r="AT19" s="37" t="str">
        <f ca="1">IFERROR(IF(LEN(#REF!)=0,"",IF(T$29=#REF!,Milestone_Marker_Old,"")),"")</f>
        <v/>
      </c>
      <c r="AU19" s="37" t="str">
        <f ca="1">IFERROR(IF(LEN(#REF!)=0,"",IF(U$29=#REF!,Milestone_Marker_Old,"")),"")</f>
        <v/>
      </c>
      <c r="AV19" s="37" t="str">
        <f ca="1">IFERROR(IF(LEN(#REF!)=0,"",IF(V$29=#REF!,Milestone_Marker_Old,"")),"")</f>
        <v/>
      </c>
      <c r="AW19" s="37" t="str">
        <f ca="1">IFERROR(IF(LEN(#REF!)=0,"",IF(W$29=#REF!,Milestone_Marker_Old,"")),"")</f>
        <v/>
      </c>
      <c r="AX19" s="37" t="str">
        <f ca="1">IFERROR(IF(LEN(#REF!)=0,"",IF(X$29=#REF!,Milestone_Marker_Old,"")),"")</f>
        <v/>
      </c>
      <c r="AY19" s="37" t="str">
        <f ca="1">IFERROR(IF(LEN(#REF!)=0,"",IF(Y$29=#REF!,Milestone_Marker_Old,"")),"")</f>
        <v/>
      </c>
      <c r="AZ19" s="37" t="str">
        <f ca="1">IFERROR(IF(LEN(#REF!)=0,"",IF(Z$29=#REF!,Milestone_Marker_Old,"")),"")</f>
        <v/>
      </c>
      <c r="BA19" s="37" t="str">
        <f ca="1">IFERROR(IF(LEN(#REF!)=0,"",IF(AA$29=#REF!,Milestone_Marker_Old,"")),"")</f>
        <v/>
      </c>
      <c r="BB19" s="37" t="str">
        <f ca="1">IFERROR(IF(LEN(#REF!)=0,"",IF(AB$29=#REF!,Milestone_Marker_Old,"")),"")</f>
        <v/>
      </c>
      <c r="BC19" s="37" t="str">
        <f ca="1">IFERROR(IF(LEN(#REF!)=0,"",IF(AC$29=#REF!,Milestone_Marker_Old,"")),"")</f>
        <v/>
      </c>
      <c r="BD19" s="37" t="str">
        <f ca="1">IFERROR(IF(LEN(#REF!)=0,"",IF(AD$29=#REF!,Milestone_Marker_Old,"")),"")</f>
        <v/>
      </c>
      <c r="BE19" s="37" t="str">
        <f ca="1">IFERROR(IF(LEN(#REF!)=0,"",IF(AE$29=#REF!,Milestone_Marker_Old,"")),"")</f>
        <v/>
      </c>
      <c r="BF19" s="37" t="str">
        <f ca="1">IFERROR(IF(LEN(#REF!)=0,"",IF(AF$29=#REF!,Milestone_Marker_Old,"")),"")</f>
        <v/>
      </c>
      <c r="BG19" s="37" t="str">
        <f ca="1">IFERROR(IF(LEN(#REF!)=0,"",IF(AG$29=#REF!,Milestone_Marker_Old,"")),"")</f>
        <v/>
      </c>
      <c r="BH19" s="37" t="str">
        <f ca="1">IFERROR(IF(LEN(#REF!)=0,"",IF(AH$29=#REF!,Milestone_Marker_Old,"")),"")</f>
        <v/>
      </c>
      <c r="BI19" s="37" t="str">
        <f ca="1">IFERROR(IF(LEN(#REF!)=0,"",IF(AI$29=#REF!,Milestone_Marker_Old,"")),"")</f>
        <v/>
      </c>
      <c r="BJ19" s="37" t="str">
        <f ca="1">IFERROR(IF(LEN(#REF!)=0,"",IF(AJ$29=#REF!,Milestone_Marker_Old,"")),"")</f>
        <v/>
      </c>
      <c r="BK19" s="37" t="str">
        <f ca="1">IFERROR(IF(LEN(#REF!)=0,"",IF(AK$29=#REF!,Milestone_Marker_Old,"")),"")</f>
        <v/>
      </c>
      <c r="BL19" s="37" t="str">
        <f ca="1">IFERROR(IF(LEN(#REF!)=0,"",IF(AL$29=#REF!,Milestone_Marker_Old,"")),"")</f>
        <v/>
      </c>
      <c r="BM19" s="37" t="str">
        <f ca="1">IFERROR(IF(LEN(#REF!)=0,"",IF(AM$29=#REF!,Milestone_Marker_Old,"")),"")</f>
        <v/>
      </c>
      <c r="BN19" s="37" t="str">
        <f ca="1">IFERROR(IF(LEN(#REF!)=0,"",IF(AN$29=#REF!,Milestone_Marker_Old,"")),"")</f>
        <v/>
      </c>
      <c r="BO19" s="37" t="str">
        <f ca="1">IFERROR(IF(LEN(#REF!)=0,"",IF(AO$29=#REF!,Milestone_Marker_Old,"")),"")</f>
        <v/>
      </c>
      <c r="BP19" s="37" t="str">
        <f ca="1">IFERROR(IF(LEN(#REF!)=0,"",IF(AP$29=#REF!,Milestone_Marker_Old,"")),"")</f>
        <v/>
      </c>
      <c r="BQ19" s="37" t="str">
        <f ca="1">IFERROR(IF(LEN(#REF!)=0,"",IF(AQ$29=#REF!,Milestone_Marker_Old,"")),"")</f>
        <v/>
      </c>
      <c r="BR19" s="37" t="str">
        <f ca="1">IFERROR(IF(LEN(#REF!)=0,"",IF(AR$29=#REF!,Milestone_Marker_Old,"")),"")</f>
        <v/>
      </c>
      <c r="BS19" s="37" t="str">
        <f ca="1">IFERROR(IF(LEN(#REF!)=0,"",IF(AS$29=#REF!,Milestone_Marker_Old,"")),"")</f>
        <v/>
      </c>
      <c r="BT19" s="37" t="str">
        <f ca="1">IFERROR(IF(LEN(#REF!)=0,"",IF(AT$29=#REF!,Milestone_Marker_Old,"")),"")</f>
        <v/>
      </c>
      <c r="BU19" s="37" t="str">
        <f ca="1">IFERROR(IF(LEN(#REF!)=0,"",IF(AU$29=#REF!,Milestone_Marker_Old,"")),"")</f>
        <v/>
      </c>
      <c r="BV19" s="37" t="str">
        <f ca="1">IFERROR(IF(LEN(#REF!)=0,"",IF(AV$29=#REF!,Milestone_Marker_Old,"")),"")</f>
        <v/>
      </c>
      <c r="BW19" s="37" t="str">
        <f ca="1">IFERROR(IF(LEN(#REF!)=0,"",IF(AW$29=#REF!,Milestone_Marker_Old,"")),"")</f>
        <v/>
      </c>
      <c r="BX19" s="37" t="str">
        <f ca="1">IFERROR(IF(LEN(#REF!)=0,"",IF(AX$29=#REF!,Milestone_Marker_Old,"")),"")</f>
        <v/>
      </c>
      <c r="BY19" s="37" t="str">
        <f ca="1">IFERROR(IF(LEN(#REF!)=0,"",IF(AY$29=#REF!,Milestone_Marker_Old,"")),"")</f>
        <v/>
      </c>
      <c r="BZ19" s="37" t="str">
        <f ca="1">IFERROR(IF(LEN(#REF!)=0,"",IF(AZ$29=#REF!,Milestone_Marker_Old,"")),"")</f>
        <v/>
      </c>
      <c r="CA19" s="37" t="str">
        <f ca="1">IFERROR(IF(LEN(#REF!)=0,"",IF(BA$29=#REF!,Milestone_Marker_Old,"")),"")</f>
        <v/>
      </c>
      <c r="CB19" s="37" t="str">
        <f ca="1">IFERROR(IF(LEN(#REF!)=0,"",IF(BB$29=#REF!,Milestone_Marker_Old,"")),"")</f>
        <v/>
      </c>
      <c r="CC19" s="37" t="str">
        <f ca="1">IFERROR(IF(LEN(#REF!)=0,"",IF(BC$29=#REF!,Milestone_Marker_Old,"")),"")</f>
        <v/>
      </c>
      <c r="CD19" s="37" t="str">
        <f ca="1">IFERROR(IF(LEN(#REF!)=0,"",IF(BD$29=#REF!,Milestone_Marker_Old,"")),"")</f>
        <v/>
      </c>
      <c r="CE19" s="37" t="str">
        <f ca="1">IFERROR(IF(LEN(#REF!)=0,"",IF(BE$29=#REF!,Milestone_Marker_Old,"")),"")</f>
        <v/>
      </c>
      <c r="CF19" s="37" t="str">
        <f ca="1">IFERROR(IF(LEN(#REF!)=0,"",IF(BF$29=#REF!,Milestone_Marker_Old,"")),"")</f>
        <v/>
      </c>
      <c r="CG19" s="37" t="str">
        <f ca="1">IFERROR(IF(LEN(#REF!)=0,"",IF(BG$29=#REF!,Milestone_Marker_Old,"")),"")</f>
        <v/>
      </c>
      <c r="CH19" s="37" t="str">
        <f ca="1">IFERROR(IF(LEN(#REF!)=0,"",IF(BH$29=#REF!,Milestone_Marker_Old,"")),"")</f>
        <v/>
      </c>
      <c r="CI19" s="37" t="str">
        <f ca="1">IFERROR(IF(LEN(#REF!)=0,"",IF(BI$29=#REF!,Milestone_Marker_Old,"")),"")</f>
        <v/>
      </c>
      <c r="CJ19" s="37" t="str">
        <f ca="1">IFERROR(IF(LEN(#REF!)=0,"",IF(BJ$29=#REF!,Milestone_Marker_Old,"")),"")</f>
        <v/>
      </c>
      <c r="CK19" s="37" t="str">
        <f ca="1">IFERROR(IF(LEN(#REF!)=0,"",IF(BK$29=#REF!,Milestone_Marker_Old,"")),"")</f>
        <v/>
      </c>
      <c r="CL19" s="37" t="str">
        <f ca="1">IFERROR(IF(LEN(#REF!)=0,"",IF(BL$29=#REF!,Milestone_Marker_Old,"")),"")</f>
        <v/>
      </c>
      <c r="CM19" s="37" t="str">
        <f ca="1">IFERROR(IF(LEN(#REF!)=0,"",IF(BM$29=#REF!,Milestone_Marker_Old,"")),"")</f>
        <v/>
      </c>
      <c r="CN19" s="37" t="str">
        <f ca="1">IFERROR(IF(LEN(#REF!)=0,"",IF(BN$29=#REF!,Milestone_Marker_Old,"")),"")</f>
        <v/>
      </c>
      <c r="CO19" s="37" t="str">
        <f ca="1">IFERROR(IF(LEN(#REF!)=0,"",IF(BO$29=#REF!,Milestone_Marker_Old,"")),"")</f>
        <v/>
      </c>
      <c r="CP19" s="37" t="str">
        <f ca="1">IFERROR(IF(LEN(#REF!)=0,"",IF(BP$29=#REF!,Milestone_Marker_Old,"")),"")</f>
        <v/>
      </c>
      <c r="CQ19" s="37" t="str">
        <f ca="1">IFERROR(IF(LEN(#REF!)=0,"",IF(BQ$29=#REF!,Milestone_Marker_Old,"")),"")</f>
        <v/>
      </c>
      <c r="CR19" s="37" t="str">
        <f ca="1">IFERROR(IF(LEN(#REF!)=0,"",IF(BR$29=#REF!,Milestone_Marker_Old,"")),"")</f>
        <v/>
      </c>
      <c r="CS19" s="37" t="str">
        <f ca="1">IFERROR(IF(LEN(#REF!)=0,"",IF(BS$29=#REF!,Milestone_Marker_Old,"")),"")</f>
        <v/>
      </c>
      <c r="CT19" s="37" t="str">
        <f ca="1">IFERROR(IF(LEN(#REF!)=0,"",IF(BT$29=#REF!,Milestone_Marker_Old,"")),"")</f>
        <v/>
      </c>
      <c r="CU19" s="37" t="str">
        <f ca="1">IFERROR(IF(LEN(#REF!)=0,"",IF(BU$29=#REF!,Milestone_Marker_Old,"")),"")</f>
        <v/>
      </c>
      <c r="CV19" s="37" t="str">
        <f ca="1">IFERROR(IF(LEN(#REF!)=0,"",IF(BV$29=#REF!,Milestone_Marker_Old,"")),"")</f>
        <v/>
      </c>
      <c r="CW19" s="37" t="str">
        <f ca="1">IFERROR(IF(LEN(#REF!)=0,"",IF(BW$29=#REF!,Milestone_Marker_Old,"")),"")</f>
        <v/>
      </c>
      <c r="CX19" s="37" t="str">
        <f ca="1">IFERROR(IF(LEN(#REF!)=0,"",IF(BX$29=#REF!,Milestone_Marker_Old,"")),"")</f>
        <v/>
      </c>
      <c r="CY19" s="37" t="str">
        <f ca="1">IFERROR(IF(LEN(#REF!)=0,"",IF(BY$29=#REF!,Milestone_Marker_Old,"")),"")</f>
        <v/>
      </c>
      <c r="CZ19" s="37" t="str">
        <f ca="1">IFERROR(IF(LEN(#REF!)=0,"",IF(BZ$29=#REF!,Milestone_Marker_Old,"")),"")</f>
        <v/>
      </c>
      <c r="DA19" s="37" t="str">
        <f ca="1">IFERROR(IF(LEN(#REF!)=0,"",IF(CA$29=#REF!,Milestone_Marker_Old,"")),"")</f>
        <v/>
      </c>
      <c r="DB19" s="37" t="str">
        <f ca="1">IFERROR(IF(LEN(#REF!)=0,"",IF(CB$29=#REF!,Milestone_Marker_Old,"")),"")</f>
        <v/>
      </c>
      <c r="DC19" s="37" t="str">
        <f ca="1">IFERROR(IF(LEN(#REF!)=0,"",IF(CC$29=#REF!,Milestone_Marker_Old,"")),"")</f>
        <v/>
      </c>
      <c r="DD19" s="37" t="str">
        <f ca="1">IFERROR(IF(LEN(#REF!)=0,"",IF(CD$29=#REF!,Milestone_Marker_Old,"")),"")</f>
        <v/>
      </c>
      <c r="DE19" s="37" t="str">
        <f ca="1">IFERROR(IF(LEN(#REF!)=0,"",IF(CE$29=#REF!,Milestone_Marker_Old,"")),"")</f>
        <v/>
      </c>
      <c r="DF19" s="37" t="str">
        <f ca="1">IFERROR(IF(LEN(#REF!)=0,"",IF(CF$29=#REF!,Milestone_Marker_Old,"")),"")</f>
        <v/>
      </c>
      <c r="DG19" s="37" t="str">
        <f ca="1">IFERROR(IF(LEN(#REF!)=0,"",IF(CG$29=#REF!,Milestone_Marker_Old,"")),"")</f>
        <v/>
      </c>
      <c r="DH19" s="37" t="str">
        <f ca="1">IFERROR(IF(LEN(#REF!)=0,"",IF(CH$29=#REF!,Milestone_Marker_Old,"")),"")</f>
        <v/>
      </c>
      <c r="DI19" s="37" t="str">
        <f ca="1">IFERROR(IF(LEN(#REF!)=0,"",IF(CI$29=#REF!,Milestone_Marker_Old,"")),"")</f>
        <v/>
      </c>
      <c r="DJ19" s="37" t="str">
        <f ca="1">IFERROR(IF(LEN(#REF!)=0,"",IF(CJ$29=#REF!,Milestone_Marker_Old,"")),"")</f>
        <v/>
      </c>
      <c r="DK19" s="37" t="str">
        <f ca="1">IFERROR(IF(LEN(#REF!)=0,"",IF(CK$29=#REF!,Milestone_Marker_Old,"")),"")</f>
        <v/>
      </c>
      <c r="DL19" s="37" t="str">
        <f ca="1">IFERROR(IF(LEN(#REF!)=0,"",IF(CL$29=#REF!,Milestone_Marker_Old,"")),"")</f>
        <v/>
      </c>
      <c r="DM19" s="37" t="str">
        <f ca="1">IFERROR(IF(LEN(#REF!)=0,"",IF(CM$29=#REF!,Milestone_Marker_Old,"")),"")</f>
        <v/>
      </c>
      <c r="DN19" s="37" t="str">
        <f ca="1">IFERROR(IF(LEN(#REF!)=0,"",IF(CN$29=#REF!,Milestone_Marker_Old,"")),"")</f>
        <v/>
      </c>
      <c r="DO19" s="37" t="str">
        <f ca="1">IFERROR(IF(LEN(#REF!)=0,"",IF(CO$29=#REF!,Milestone_Marker_Old,"")),"")</f>
        <v/>
      </c>
      <c r="DP19" s="37" t="str">
        <f ca="1">IFERROR(IF(LEN(#REF!)=0,"",IF(CP$29=#REF!,Milestone_Marker_Old,"")),"")</f>
        <v/>
      </c>
      <c r="DQ19" s="37" t="str">
        <f ca="1">IFERROR(IF(LEN(#REF!)=0,"",IF(CQ$29=#REF!,Milestone_Marker_Old,"")),"")</f>
        <v/>
      </c>
      <c r="DR19" s="37" t="str">
        <f ca="1">IFERROR(IF(LEN(#REF!)=0,"",IF(CR$29=#REF!,Milestone_Marker_Old,"")),"")</f>
        <v/>
      </c>
      <c r="DS19" s="37" t="str">
        <f ca="1">IFERROR(IF(LEN(#REF!)=0,"",IF(CS$29=#REF!,Milestone_Marker_Old,"")),"")</f>
        <v/>
      </c>
      <c r="DT19" s="37" t="str">
        <f ca="1">IFERROR(IF(LEN(#REF!)=0,"",IF(CT$29=#REF!,Milestone_Marker_Old,"")),"")</f>
        <v/>
      </c>
      <c r="DU19" s="37" t="str">
        <f ca="1">IFERROR(IF(LEN(#REF!)=0,"",IF(CU$29=#REF!,Milestone_Marker_Old,"")),"")</f>
        <v/>
      </c>
    </row>
    <row r="20" spans="1:125" ht="20.100000000000001" customHeight="1">
      <c r="A20" s="115" t="str">
        <f>Profit!$E$1&amp;" Your Home"</f>
        <v>Buy Your Home</v>
      </c>
      <c r="B20" s="116">
        <f t="shared" si="3"/>
        <v>12</v>
      </c>
      <c r="C20" s="117"/>
      <c r="D20" s="115"/>
      <c r="E20" s="115" t="s">
        <v>425</v>
      </c>
      <c r="F20" s="116">
        <v>0</v>
      </c>
      <c r="G20" s="118">
        <f>+'Demo &amp; Trash Haul'!F34</f>
        <v>0</v>
      </c>
      <c r="H20" s="118">
        <f t="shared" si="0"/>
        <v>0</v>
      </c>
      <c r="I20" s="119"/>
      <c r="J20" s="118"/>
      <c r="K20" s="120"/>
      <c r="L20" s="118"/>
      <c r="M20" s="118"/>
      <c r="N20" s="119"/>
      <c r="O20" s="118">
        <f t="shared" si="1"/>
        <v>0</v>
      </c>
      <c r="AP20" s="37" t="str">
        <f ca="1">IFERROR(IF(LEN(#REF!)=0,"",IF(P$29=#REF!,Milestone_Marker_Old,"")),"")</f>
        <v/>
      </c>
      <c r="AQ20" s="37" t="str">
        <f ca="1">IFERROR(IF(LEN(#REF!)=0,"",IF(Q$29=#REF!,Milestone_Marker_Old,"")),"")</f>
        <v/>
      </c>
      <c r="AR20" s="37" t="str">
        <f ca="1">IFERROR(IF(LEN(#REF!)=0,"",IF(R$29=#REF!,Milestone_Marker_Old,"")),"")</f>
        <v/>
      </c>
      <c r="AS20" s="37" t="str">
        <f ca="1">IFERROR(IF(LEN(#REF!)=0,"",IF(S$29=#REF!,Milestone_Marker_Old,"")),"")</f>
        <v/>
      </c>
      <c r="AT20" s="37" t="str">
        <f ca="1">IFERROR(IF(LEN(#REF!)=0,"",IF(T$29=#REF!,Milestone_Marker_Old,"")),"")</f>
        <v/>
      </c>
      <c r="AU20" s="37" t="str">
        <f ca="1">IFERROR(IF(LEN(#REF!)=0,"",IF(U$29=#REF!,Milestone_Marker_Old,"")),"")</f>
        <v/>
      </c>
      <c r="AV20" s="37" t="str">
        <f ca="1">IFERROR(IF(LEN(#REF!)=0,"",IF(V$29=#REF!,Milestone_Marker_Old,"")),"")</f>
        <v/>
      </c>
      <c r="AW20" s="37" t="str">
        <f ca="1">IFERROR(IF(LEN(#REF!)=0,"",IF(W$29=#REF!,Milestone_Marker_Old,"")),"")</f>
        <v/>
      </c>
      <c r="AX20" s="37" t="str">
        <f ca="1">IFERROR(IF(LEN(#REF!)=0,"",IF(X$29=#REF!,Milestone_Marker_Old,"")),"")</f>
        <v/>
      </c>
      <c r="AY20" s="37" t="str">
        <f ca="1">IFERROR(IF(LEN(#REF!)=0,"",IF(Y$29=#REF!,Milestone_Marker_Old,"")),"")</f>
        <v/>
      </c>
      <c r="AZ20" s="37" t="str">
        <f ca="1">IFERROR(IF(LEN(#REF!)=0,"",IF(Z$29=#REF!,Milestone_Marker_Old,"")),"")</f>
        <v/>
      </c>
      <c r="BA20" s="37" t="str">
        <f ca="1">IFERROR(IF(LEN(#REF!)=0,"",IF(AA$29=#REF!,Milestone_Marker_Old,"")),"")</f>
        <v/>
      </c>
      <c r="BB20" s="37" t="str">
        <f ca="1">IFERROR(IF(LEN(#REF!)=0,"",IF(AB$29=#REF!,Milestone_Marker_Old,"")),"")</f>
        <v/>
      </c>
      <c r="BC20" s="37" t="str">
        <f ca="1">IFERROR(IF(LEN(#REF!)=0,"",IF(AC$29=#REF!,Milestone_Marker_Old,"")),"")</f>
        <v/>
      </c>
      <c r="BD20" s="37" t="str">
        <f ca="1">IFERROR(IF(LEN(#REF!)=0,"",IF(AD$29=#REF!,Milestone_Marker_Old,"")),"")</f>
        <v/>
      </c>
      <c r="BE20" s="37" t="str">
        <f ca="1">IFERROR(IF(LEN(#REF!)=0,"",IF(AE$29=#REF!,Milestone_Marker_Old,"")),"")</f>
        <v/>
      </c>
      <c r="BF20" s="37" t="str">
        <f ca="1">IFERROR(IF(LEN(#REF!)=0,"",IF(AF$29=#REF!,Milestone_Marker_Old,"")),"")</f>
        <v/>
      </c>
      <c r="BG20" s="37" t="str">
        <f ca="1">IFERROR(IF(LEN(#REF!)=0,"",IF(AG$29=#REF!,Milestone_Marker_Old,"")),"")</f>
        <v/>
      </c>
      <c r="BH20" s="37" t="str">
        <f ca="1">IFERROR(IF(LEN(#REF!)=0,"",IF(AH$29=#REF!,Milestone_Marker_Old,"")),"")</f>
        <v/>
      </c>
      <c r="BI20" s="37" t="str">
        <f ca="1">IFERROR(IF(LEN(#REF!)=0,"",IF(AI$29=#REF!,Milestone_Marker_Old,"")),"")</f>
        <v/>
      </c>
      <c r="BJ20" s="37" t="str">
        <f ca="1">IFERROR(IF(LEN(#REF!)=0,"",IF(AJ$29=#REF!,Milestone_Marker_Old,"")),"")</f>
        <v/>
      </c>
      <c r="BK20" s="37" t="str">
        <f ca="1">IFERROR(IF(LEN(#REF!)=0,"",IF(AK$29=#REF!,Milestone_Marker_Old,"")),"")</f>
        <v/>
      </c>
      <c r="BL20" s="37" t="str">
        <f ca="1">IFERROR(IF(LEN(#REF!)=0,"",IF(AL$29=#REF!,Milestone_Marker_Old,"")),"")</f>
        <v/>
      </c>
      <c r="BM20" s="37" t="str">
        <f ca="1">IFERROR(IF(LEN(#REF!)=0,"",IF(AM$29=#REF!,Milestone_Marker_Old,"")),"")</f>
        <v/>
      </c>
      <c r="BN20" s="37" t="str">
        <f ca="1">IFERROR(IF(LEN(#REF!)=0,"",IF(AN$29=#REF!,Milestone_Marker_Old,"")),"")</f>
        <v/>
      </c>
      <c r="BO20" s="37" t="str">
        <f ca="1">IFERROR(IF(LEN(#REF!)=0,"",IF(AO$29=#REF!,Milestone_Marker_Old,"")),"")</f>
        <v/>
      </c>
      <c r="BP20" s="37" t="str">
        <f ca="1">IFERROR(IF(LEN(#REF!)=0,"",IF(AP$29=#REF!,Milestone_Marker_Old,"")),"")</f>
        <v/>
      </c>
      <c r="BQ20" s="37" t="str">
        <f ca="1">IFERROR(IF(LEN(#REF!)=0,"",IF(AQ$29=#REF!,Milestone_Marker_Old,"")),"")</f>
        <v/>
      </c>
      <c r="BR20" s="37" t="str">
        <f ca="1">IFERROR(IF(LEN(#REF!)=0,"",IF(AR$29=#REF!,Milestone_Marker_Old,"")),"")</f>
        <v/>
      </c>
      <c r="BS20" s="37" t="str">
        <f ca="1">IFERROR(IF(LEN(#REF!)=0,"",IF(AS$29=#REF!,Milestone_Marker_Old,"")),"")</f>
        <v/>
      </c>
      <c r="BT20" s="37" t="str">
        <f ca="1">IFERROR(IF(LEN(#REF!)=0,"",IF(AT$29=#REF!,Milestone_Marker_Old,"")),"")</f>
        <v/>
      </c>
      <c r="BU20" s="37" t="str">
        <f ca="1">IFERROR(IF(LEN(#REF!)=0,"",IF(AU$29=#REF!,Milestone_Marker_Old,"")),"")</f>
        <v/>
      </c>
      <c r="BV20" s="37" t="str">
        <f ca="1">IFERROR(IF(LEN(#REF!)=0,"",IF(AV$29=#REF!,Milestone_Marker_Old,"")),"")</f>
        <v/>
      </c>
      <c r="BW20" s="37" t="str">
        <f ca="1">IFERROR(IF(LEN(#REF!)=0,"",IF(AW$29=#REF!,Milestone_Marker_Old,"")),"")</f>
        <v/>
      </c>
      <c r="BX20" s="37" t="str">
        <f ca="1">IFERROR(IF(LEN(#REF!)=0,"",IF(AX$29=#REF!,Milestone_Marker_Old,"")),"")</f>
        <v/>
      </c>
      <c r="BY20" s="37" t="str">
        <f ca="1">IFERROR(IF(LEN(#REF!)=0,"",IF(AY$29=#REF!,Milestone_Marker_Old,"")),"")</f>
        <v/>
      </c>
      <c r="BZ20" s="37" t="str">
        <f ca="1">IFERROR(IF(LEN(#REF!)=0,"",IF(AZ$29=#REF!,Milestone_Marker_Old,"")),"")</f>
        <v/>
      </c>
      <c r="CA20" s="37" t="str">
        <f ca="1">IFERROR(IF(LEN(#REF!)=0,"",IF(BA$29=#REF!,Milestone_Marker_Old,"")),"")</f>
        <v/>
      </c>
      <c r="CB20" s="37" t="str">
        <f ca="1">IFERROR(IF(LEN(#REF!)=0,"",IF(BB$29=#REF!,Milestone_Marker_Old,"")),"")</f>
        <v/>
      </c>
      <c r="CC20" s="37" t="str">
        <f ca="1">IFERROR(IF(LEN(#REF!)=0,"",IF(BC$29=#REF!,Milestone_Marker_Old,"")),"")</f>
        <v/>
      </c>
      <c r="CD20" s="37" t="str">
        <f ca="1">IFERROR(IF(LEN(#REF!)=0,"",IF(BD$29=#REF!,Milestone_Marker_Old,"")),"")</f>
        <v/>
      </c>
      <c r="CE20" s="37" t="str">
        <f ca="1">IFERROR(IF(LEN(#REF!)=0,"",IF(BE$29=#REF!,Milestone_Marker_Old,"")),"")</f>
        <v/>
      </c>
      <c r="CF20" s="37" t="str">
        <f ca="1">IFERROR(IF(LEN(#REF!)=0,"",IF(BF$29=#REF!,Milestone_Marker_Old,"")),"")</f>
        <v/>
      </c>
      <c r="CG20" s="37" t="str">
        <f ca="1">IFERROR(IF(LEN(#REF!)=0,"",IF(BG$29=#REF!,Milestone_Marker_Old,"")),"")</f>
        <v/>
      </c>
      <c r="CH20" s="37" t="str">
        <f ca="1">IFERROR(IF(LEN(#REF!)=0,"",IF(BH$29=#REF!,Milestone_Marker_Old,"")),"")</f>
        <v/>
      </c>
      <c r="CI20" s="37" t="str">
        <f ca="1">IFERROR(IF(LEN(#REF!)=0,"",IF(BI$29=#REF!,Milestone_Marker_Old,"")),"")</f>
        <v/>
      </c>
      <c r="CJ20" s="37" t="str">
        <f ca="1">IFERROR(IF(LEN(#REF!)=0,"",IF(BJ$29=#REF!,Milestone_Marker_Old,"")),"")</f>
        <v/>
      </c>
      <c r="CK20" s="37" t="str">
        <f ca="1">IFERROR(IF(LEN(#REF!)=0,"",IF(BK$29=#REF!,Milestone_Marker_Old,"")),"")</f>
        <v/>
      </c>
      <c r="CL20" s="37" t="str">
        <f ca="1">IFERROR(IF(LEN(#REF!)=0,"",IF(BL$29=#REF!,Milestone_Marker_Old,"")),"")</f>
        <v/>
      </c>
      <c r="CM20" s="37" t="str">
        <f ca="1">IFERROR(IF(LEN(#REF!)=0,"",IF(BM$29=#REF!,Milestone_Marker_Old,"")),"")</f>
        <v/>
      </c>
      <c r="CN20" s="37" t="str">
        <f ca="1">IFERROR(IF(LEN(#REF!)=0,"",IF(BN$29=#REF!,Milestone_Marker_Old,"")),"")</f>
        <v/>
      </c>
      <c r="CO20" s="37" t="str">
        <f ca="1">IFERROR(IF(LEN(#REF!)=0,"",IF(BO$29=#REF!,Milestone_Marker_Old,"")),"")</f>
        <v/>
      </c>
      <c r="CP20" s="37" t="str">
        <f ca="1">IFERROR(IF(LEN(#REF!)=0,"",IF(BP$29=#REF!,Milestone_Marker_Old,"")),"")</f>
        <v/>
      </c>
      <c r="CQ20" s="37" t="str">
        <f ca="1">IFERROR(IF(LEN(#REF!)=0,"",IF(BQ$29=#REF!,Milestone_Marker_Old,"")),"")</f>
        <v/>
      </c>
      <c r="CR20" s="37" t="str">
        <f ca="1">IFERROR(IF(LEN(#REF!)=0,"",IF(BR$29=#REF!,Milestone_Marker_Old,"")),"")</f>
        <v/>
      </c>
      <c r="CS20" s="37" t="str">
        <f ca="1">IFERROR(IF(LEN(#REF!)=0,"",IF(BS$29=#REF!,Milestone_Marker_Old,"")),"")</f>
        <v/>
      </c>
      <c r="CT20" s="37" t="str">
        <f ca="1">IFERROR(IF(LEN(#REF!)=0,"",IF(BT$29=#REF!,Milestone_Marker_Old,"")),"")</f>
        <v/>
      </c>
      <c r="CU20" s="37" t="str">
        <f ca="1">IFERROR(IF(LEN(#REF!)=0,"",IF(BU$29=#REF!,Milestone_Marker_Old,"")),"")</f>
        <v/>
      </c>
      <c r="CV20" s="37" t="str">
        <f ca="1">IFERROR(IF(LEN(#REF!)=0,"",IF(BV$29=#REF!,Milestone_Marker_Old,"")),"")</f>
        <v/>
      </c>
      <c r="CW20" s="37" t="str">
        <f ca="1">IFERROR(IF(LEN(#REF!)=0,"",IF(BW$29=#REF!,Milestone_Marker_Old,"")),"")</f>
        <v/>
      </c>
      <c r="CX20" s="37" t="str">
        <f ca="1">IFERROR(IF(LEN(#REF!)=0,"",IF(BX$29=#REF!,Milestone_Marker_Old,"")),"")</f>
        <v/>
      </c>
      <c r="CY20" s="37" t="str">
        <f ca="1">IFERROR(IF(LEN(#REF!)=0,"",IF(BY$29=#REF!,Milestone_Marker_Old,"")),"")</f>
        <v/>
      </c>
      <c r="CZ20" s="37" t="str">
        <f ca="1">IFERROR(IF(LEN(#REF!)=0,"",IF(BZ$29=#REF!,Milestone_Marker_Old,"")),"")</f>
        <v/>
      </c>
      <c r="DA20" s="37" t="str">
        <f ca="1">IFERROR(IF(LEN(#REF!)=0,"",IF(CA$29=#REF!,Milestone_Marker_Old,"")),"")</f>
        <v/>
      </c>
      <c r="DB20" s="37" t="str">
        <f ca="1">IFERROR(IF(LEN(#REF!)=0,"",IF(CB$29=#REF!,Milestone_Marker_Old,"")),"")</f>
        <v/>
      </c>
      <c r="DC20" s="37" t="str">
        <f ca="1">IFERROR(IF(LEN(#REF!)=0,"",IF(CC$29=#REF!,Milestone_Marker_Old,"")),"")</f>
        <v/>
      </c>
      <c r="DD20" s="37" t="str">
        <f ca="1">IFERROR(IF(LEN(#REF!)=0,"",IF(CD$29=#REF!,Milestone_Marker_Old,"")),"")</f>
        <v/>
      </c>
      <c r="DE20" s="37" t="str">
        <f ca="1">IFERROR(IF(LEN(#REF!)=0,"",IF(CE$29=#REF!,Milestone_Marker_Old,"")),"")</f>
        <v/>
      </c>
      <c r="DF20" s="37" t="str">
        <f ca="1">IFERROR(IF(LEN(#REF!)=0,"",IF(CF$29=#REF!,Milestone_Marker_Old,"")),"")</f>
        <v/>
      </c>
      <c r="DG20" s="37" t="str">
        <f ca="1">IFERROR(IF(LEN(#REF!)=0,"",IF(CG$29=#REF!,Milestone_Marker_Old,"")),"")</f>
        <v/>
      </c>
      <c r="DH20" s="37" t="str">
        <f ca="1">IFERROR(IF(LEN(#REF!)=0,"",IF(CH$29=#REF!,Milestone_Marker_Old,"")),"")</f>
        <v/>
      </c>
      <c r="DI20" s="37" t="str">
        <f ca="1">IFERROR(IF(LEN(#REF!)=0,"",IF(CI$29=#REF!,Milestone_Marker_Old,"")),"")</f>
        <v/>
      </c>
      <c r="DJ20" s="37" t="str">
        <f ca="1">IFERROR(IF(LEN(#REF!)=0,"",IF(CJ$29=#REF!,Milestone_Marker_Old,"")),"")</f>
        <v/>
      </c>
      <c r="DK20" s="37" t="str">
        <f ca="1">IFERROR(IF(LEN(#REF!)=0,"",IF(CK$29=#REF!,Milestone_Marker_Old,"")),"")</f>
        <v/>
      </c>
      <c r="DL20" s="37" t="str">
        <f ca="1">IFERROR(IF(LEN(#REF!)=0,"",IF(CL$29=#REF!,Milestone_Marker_Old,"")),"")</f>
        <v/>
      </c>
      <c r="DM20" s="37" t="str">
        <f ca="1">IFERROR(IF(LEN(#REF!)=0,"",IF(CM$29=#REF!,Milestone_Marker_Old,"")),"")</f>
        <v/>
      </c>
      <c r="DN20" s="37" t="str">
        <f ca="1">IFERROR(IF(LEN(#REF!)=0,"",IF(CN$29=#REF!,Milestone_Marker_Old,"")),"")</f>
        <v/>
      </c>
      <c r="DO20" s="37" t="str">
        <f ca="1">IFERROR(IF(LEN(#REF!)=0,"",IF(CO$29=#REF!,Milestone_Marker_Old,"")),"")</f>
        <v/>
      </c>
      <c r="DP20" s="37" t="str">
        <f ca="1">IFERROR(IF(LEN(#REF!)=0,"",IF(CP$29=#REF!,Milestone_Marker_Old,"")),"")</f>
        <v/>
      </c>
      <c r="DQ20" s="37" t="str">
        <f ca="1">IFERROR(IF(LEN(#REF!)=0,"",IF(CQ$29=#REF!,Milestone_Marker_Old,"")),"")</f>
        <v/>
      </c>
      <c r="DR20" s="37" t="str">
        <f ca="1">IFERROR(IF(LEN(#REF!)=0,"",IF(CR$29=#REF!,Milestone_Marker_Old,"")),"")</f>
        <v/>
      </c>
      <c r="DS20" s="37" t="str">
        <f ca="1">IFERROR(IF(LEN(#REF!)=0,"",IF(CS$29=#REF!,Milestone_Marker_Old,"")),"")</f>
        <v/>
      </c>
      <c r="DT20" s="37" t="str">
        <f ca="1">IFERROR(IF(LEN(#REF!)=0,"",IF(CT$29=#REF!,Milestone_Marker_Old,"")),"")</f>
        <v/>
      </c>
      <c r="DU20" s="37" t="str">
        <f ca="1">IFERROR(IF(LEN(#REF!)=0,"",IF(CU$29=#REF!,Milestone_Marker_Old,"")),"")</f>
        <v/>
      </c>
    </row>
    <row r="21" spans="1:125" ht="20.100000000000001" customHeight="1">
      <c r="A21" s="115" t="str">
        <f>Profit!$E$1&amp;" Your Home"</f>
        <v>Buy Your Home</v>
      </c>
      <c r="B21" s="116">
        <f t="shared" si="3"/>
        <v>13</v>
      </c>
      <c r="C21" s="117"/>
      <c r="D21" s="115"/>
      <c r="E21" s="115" t="s">
        <v>426</v>
      </c>
      <c r="F21" s="116">
        <v>0</v>
      </c>
      <c r="G21" s="118">
        <v>0</v>
      </c>
      <c r="H21" s="118">
        <f t="shared" si="0"/>
        <v>0</v>
      </c>
      <c r="I21" s="119"/>
      <c r="J21" s="118"/>
      <c r="K21" s="120"/>
      <c r="L21" s="118"/>
      <c r="M21" s="118"/>
      <c r="N21" s="119"/>
      <c r="O21" s="118">
        <f t="shared" si="1"/>
        <v>0</v>
      </c>
      <c r="AP21" s="37" t="str">
        <f ca="1">IFERROR(IF(LEN(#REF!)=0,"",IF(P$29=#REF!,Milestone_Marker_Old,"")),"")</f>
        <v/>
      </c>
      <c r="AQ21" s="37" t="str">
        <f ca="1">IFERROR(IF(LEN(#REF!)=0,"",IF(Q$29=#REF!,Milestone_Marker_Old,"")),"")</f>
        <v/>
      </c>
      <c r="AR21" s="37" t="str">
        <f ca="1">IFERROR(IF(LEN(#REF!)=0,"",IF(R$29=#REF!,Milestone_Marker_Old,"")),"")</f>
        <v/>
      </c>
      <c r="AS21" s="37" t="str">
        <f ca="1">IFERROR(IF(LEN(#REF!)=0,"",IF(S$29=#REF!,Milestone_Marker_Old,"")),"")</f>
        <v/>
      </c>
      <c r="AT21" s="37" t="str">
        <f ca="1">IFERROR(IF(LEN(#REF!)=0,"",IF(T$29=#REF!,Milestone_Marker_Old,"")),"")</f>
        <v/>
      </c>
      <c r="AU21" s="37" t="str">
        <f ca="1">IFERROR(IF(LEN(#REF!)=0,"",IF(U$29=#REF!,Milestone_Marker_Old,"")),"")</f>
        <v/>
      </c>
      <c r="AV21" s="37" t="str">
        <f ca="1">IFERROR(IF(LEN(#REF!)=0,"",IF(V$29=#REF!,Milestone_Marker_Old,"")),"")</f>
        <v/>
      </c>
      <c r="AW21" s="37" t="str">
        <f ca="1">IFERROR(IF(LEN(#REF!)=0,"",IF(W$29=#REF!,Milestone_Marker_Old,"")),"")</f>
        <v/>
      </c>
      <c r="AX21" s="37" t="str">
        <f ca="1">IFERROR(IF(LEN(#REF!)=0,"",IF(X$29=#REF!,Milestone_Marker_Old,"")),"")</f>
        <v/>
      </c>
      <c r="AY21" s="37" t="str">
        <f ca="1">IFERROR(IF(LEN(#REF!)=0,"",IF(Y$29=#REF!,Milestone_Marker_Old,"")),"")</f>
        <v/>
      </c>
      <c r="AZ21" s="37" t="str">
        <f ca="1">IFERROR(IF(LEN(#REF!)=0,"",IF(Z$29=#REF!,Milestone_Marker_Old,"")),"")</f>
        <v/>
      </c>
      <c r="BA21" s="37" t="str">
        <f ca="1">IFERROR(IF(LEN(#REF!)=0,"",IF(AA$29=#REF!,Milestone_Marker_Old,"")),"")</f>
        <v/>
      </c>
      <c r="BB21" s="37" t="str">
        <f ca="1">IFERROR(IF(LEN(#REF!)=0,"",IF(AB$29=#REF!,Milestone_Marker_Old,"")),"")</f>
        <v/>
      </c>
      <c r="BC21" s="37" t="str">
        <f ca="1">IFERROR(IF(LEN(#REF!)=0,"",IF(AC$29=#REF!,Milestone_Marker_Old,"")),"")</f>
        <v/>
      </c>
      <c r="BD21" s="37" t="str">
        <f ca="1">IFERROR(IF(LEN(#REF!)=0,"",IF(AD$29=#REF!,Milestone_Marker_Old,"")),"")</f>
        <v/>
      </c>
      <c r="BE21" s="37" t="str">
        <f ca="1">IFERROR(IF(LEN(#REF!)=0,"",IF(AE$29=#REF!,Milestone_Marker_Old,"")),"")</f>
        <v/>
      </c>
      <c r="BF21" s="37" t="str">
        <f ca="1">IFERROR(IF(LEN(#REF!)=0,"",IF(AF$29=#REF!,Milestone_Marker_Old,"")),"")</f>
        <v/>
      </c>
      <c r="BG21" s="37" t="str">
        <f ca="1">IFERROR(IF(LEN(#REF!)=0,"",IF(AG$29=#REF!,Milestone_Marker_Old,"")),"")</f>
        <v/>
      </c>
      <c r="BH21" s="37" t="str">
        <f ca="1">IFERROR(IF(LEN(#REF!)=0,"",IF(AH$29=#REF!,Milestone_Marker_Old,"")),"")</f>
        <v/>
      </c>
      <c r="BI21" s="37" t="str">
        <f ca="1">IFERROR(IF(LEN(#REF!)=0,"",IF(AI$29=#REF!,Milestone_Marker_Old,"")),"")</f>
        <v/>
      </c>
      <c r="BJ21" s="37" t="str">
        <f ca="1">IFERROR(IF(LEN(#REF!)=0,"",IF(AJ$29=#REF!,Milestone_Marker_Old,"")),"")</f>
        <v/>
      </c>
      <c r="BK21" s="37" t="str">
        <f ca="1">IFERROR(IF(LEN(#REF!)=0,"",IF(AK$29=#REF!,Milestone_Marker_Old,"")),"")</f>
        <v/>
      </c>
      <c r="BL21" s="37" t="str">
        <f ca="1">IFERROR(IF(LEN(#REF!)=0,"",IF(AL$29=#REF!,Milestone_Marker_Old,"")),"")</f>
        <v/>
      </c>
      <c r="BM21" s="37" t="str">
        <f ca="1">IFERROR(IF(LEN(#REF!)=0,"",IF(AM$29=#REF!,Milestone_Marker_Old,"")),"")</f>
        <v/>
      </c>
      <c r="BN21" s="37" t="str">
        <f ca="1">IFERROR(IF(LEN(#REF!)=0,"",IF(AN$29=#REF!,Milestone_Marker_Old,"")),"")</f>
        <v/>
      </c>
      <c r="BO21" s="37" t="str">
        <f ca="1">IFERROR(IF(LEN(#REF!)=0,"",IF(AO$29=#REF!,Milestone_Marker_Old,"")),"")</f>
        <v/>
      </c>
      <c r="BP21" s="37" t="str">
        <f ca="1">IFERROR(IF(LEN(#REF!)=0,"",IF(AP$29=#REF!,Milestone_Marker_Old,"")),"")</f>
        <v/>
      </c>
      <c r="BQ21" s="37" t="str">
        <f ca="1">IFERROR(IF(LEN(#REF!)=0,"",IF(AQ$29=#REF!,Milestone_Marker_Old,"")),"")</f>
        <v/>
      </c>
      <c r="BR21" s="37" t="str">
        <f ca="1">IFERROR(IF(LEN(#REF!)=0,"",IF(AR$29=#REF!,Milestone_Marker_Old,"")),"")</f>
        <v/>
      </c>
      <c r="BS21" s="37" t="str">
        <f ca="1">IFERROR(IF(LEN(#REF!)=0,"",IF(AS$29=#REF!,Milestone_Marker_Old,"")),"")</f>
        <v/>
      </c>
      <c r="BT21" s="37" t="str">
        <f ca="1">IFERROR(IF(LEN(#REF!)=0,"",IF(AT$29=#REF!,Milestone_Marker_Old,"")),"")</f>
        <v/>
      </c>
      <c r="BU21" s="37" t="str">
        <f ca="1">IFERROR(IF(LEN(#REF!)=0,"",IF(AU$29=#REF!,Milestone_Marker_Old,"")),"")</f>
        <v/>
      </c>
      <c r="BV21" s="37" t="str">
        <f ca="1">IFERROR(IF(LEN(#REF!)=0,"",IF(AV$29=#REF!,Milestone_Marker_Old,"")),"")</f>
        <v/>
      </c>
      <c r="BW21" s="37" t="str">
        <f ca="1">IFERROR(IF(LEN(#REF!)=0,"",IF(AW$29=#REF!,Milestone_Marker_Old,"")),"")</f>
        <v/>
      </c>
      <c r="BX21" s="37" t="str">
        <f ca="1">IFERROR(IF(LEN(#REF!)=0,"",IF(AX$29=#REF!,Milestone_Marker_Old,"")),"")</f>
        <v/>
      </c>
      <c r="BY21" s="37" t="str">
        <f ca="1">IFERROR(IF(LEN(#REF!)=0,"",IF(AY$29=#REF!,Milestone_Marker_Old,"")),"")</f>
        <v/>
      </c>
      <c r="BZ21" s="37" t="str">
        <f ca="1">IFERROR(IF(LEN(#REF!)=0,"",IF(AZ$29=#REF!,Milestone_Marker_Old,"")),"")</f>
        <v/>
      </c>
      <c r="CA21" s="37" t="str">
        <f ca="1">IFERROR(IF(LEN(#REF!)=0,"",IF(BA$29=#REF!,Milestone_Marker_Old,"")),"")</f>
        <v/>
      </c>
      <c r="CB21" s="37" t="str">
        <f ca="1">IFERROR(IF(LEN(#REF!)=0,"",IF(BB$29=#REF!,Milestone_Marker_Old,"")),"")</f>
        <v/>
      </c>
      <c r="CC21" s="37" t="str">
        <f ca="1">IFERROR(IF(LEN(#REF!)=0,"",IF(BC$29=#REF!,Milestone_Marker_Old,"")),"")</f>
        <v/>
      </c>
      <c r="CD21" s="37" t="str">
        <f ca="1">IFERROR(IF(LEN(#REF!)=0,"",IF(BD$29=#REF!,Milestone_Marker_Old,"")),"")</f>
        <v/>
      </c>
      <c r="CE21" s="37" t="str">
        <f ca="1">IFERROR(IF(LEN(#REF!)=0,"",IF(BE$29=#REF!,Milestone_Marker_Old,"")),"")</f>
        <v/>
      </c>
      <c r="CF21" s="37" t="str">
        <f ca="1">IFERROR(IF(LEN(#REF!)=0,"",IF(BF$29=#REF!,Milestone_Marker_Old,"")),"")</f>
        <v/>
      </c>
      <c r="CG21" s="37" t="str">
        <f ca="1">IFERROR(IF(LEN(#REF!)=0,"",IF(BG$29=#REF!,Milestone_Marker_Old,"")),"")</f>
        <v/>
      </c>
      <c r="CH21" s="37" t="str">
        <f ca="1">IFERROR(IF(LEN(#REF!)=0,"",IF(BH$29=#REF!,Milestone_Marker_Old,"")),"")</f>
        <v/>
      </c>
      <c r="CI21" s="37" t="str">
        <f ca="1">IFERROR(IF(LEN(#REF!)=0,"",IF(BI$29=#REF!,Milestone_Marker_Old,"")),"")</f>
        <v/>
      </c>
      <c r="CJ21" s="37" t="str">
        <f ca="1">IFERROR(IF(LEN(#REF!)=0,"",IF(BJ$29=#REF!,Milestone_Marker_Old,"")),"")</f>
        <v/>
      </c>
      <c r="CK21" s="37" t="str">
        <f ca="1">IFERROR(IF(LEN(#REF!)=0,"",IF(BK$29=#REF!,Milestone_Marker_Old,"")),"")</f>
        <v/>
      </c>
      <c r="CL21" s="37" t="str">
        <f ca="1">IFERROR(IF(LEN(#REF!)=0,"",IF(BL$29=#REF!,Milestone_Marker_Old,"")),"")</f>
        <v/>
      </c>
      <c r="CM21" s="37" t="str">
        <f ca="1">IFERROR(IF(LEN(#REF!)=0,"",IF(BM$29=#REF!,Milestone_Marker_Old,"")),"")</f>
        <v/>
      </c>
      <c r="CN21" s="37" t="str">
        <f ca="1">IFERROR(IF(LEN(#REF!)=0,"",IF(BN$29=#REF!,Milestone_Marker_Old,"")),"")</f>
        <v/>
      </c>
      <c r="CO21" s="37" t="str">
        <f ca="1">IFERROR(IF(LEN(#REF!)=0,"",IF(BO$29=#REF!,Milestone_Marker_Old,"")),"")</f>
        <v/>
      </c>
      <c r="CP21" s="37" t="str">
        <f ca="1">IFERROR(IF(LEN(#REF!)=0,"",IF(BP$29=#REF!,Milestone_Marker_Old,"")),"")</f>
        <v/>
      </c>
      <c r="CQ21" s="37" t="str">
        <f ca="1">IFERROR(IF(LEN(#REF!)=0,"",IF(BQ$29=#REF!,Milestone_Marker_Old,"")),"")</f>
        <v/>
      </c>
      <c r="CR21" s="37" t="str">
        <f ca="1">IFERROR(IF(LEN(#REF!)=0,"",IF(BR$29=#REF!,Milestone_Marker_Old,"")),"")</f>
        <v/>
      </c>
      <c r="CS21" s="37" t="str">
        <f ca="1">IFERROR(IF(LEN(#REF!)=0,"",IF(BS$29=#REF!,Milestone_Marker_Old,"")),"")</f>
        <v/>
      </c>
      <c r="CT21" s="37" t="str">
        <f ca="1">IFERROR(IF(LEN(#REF!)=0,"",IF(BT$29=#REF!,Milestone_Marker_Old,"")),"")</f>
        <v/>
      </c>
      <c r="CU21" s="37" t="str">
        <f ca="1">IFERROR(IF(LEN(#REF!)=0,"",IF(BU$29=#REF!,Milestone_Marker_Old,"")),"")</f>
        <v/>
      </c>
      <c r="CV21" s="37" t="str">
        <f ca="1">IFERROR(IF(LEN(#REF!)=0,"",IF(BV$29=#REF!,Milestone_Marker_Old,"")),"")</f>
        <v/>
      </c>
      <c r="CW21" s="37" t="str">
        <f ca="1">IFERROR(IF(LEN(#REF!)=0,"",IF(BW$29=#REF!,Milestone_Marker_Old,"")),"")</f>
        <v/>
      </c>
      <c r="CX21" s="37" t="str">
        <f ca="1">IFERROR(IF(LEN(#REF!)=0,"",IF(BX$29=#REF!,Milestone_Marker_Old,"")),"")</f>
        <v/>
      </c>
      <c r="CY21" s="37" t="str">
        <f ca="1">IFERROR(IF(LEN(#REF!)=0,"",IF(BY$29=#REF!,Milestone_Marker_Old,"")),"")</f>
        <v/>
      </c>
      <c r="CZ21" s="37" t="str">
        <f ca="1">IFERROR(IF(LEN(#REF!)=0,"",IF(BZ$29=#REF!,Milestone_Marker_Old,"")),"")</f>
        <v/>
      </c>
      <c r="DA21" s="37" t="str">
        <f ca="1">IFERROR(IF(LEN(#REF!)=0,"",IF(CA$29=#REF!,Milestone_Marker_Old,"")),"")</f>
        <v/>
      </c>
      <c r="DB21" s="37" t="str">
        <f ca="1">IFERROR(IF(LEN(#REF!)=0,"",IF(CB$29=#REF!,Milestone_Marker_Old,"")),"")</f>
        <v/>
      </c>
      <c r="DC21" s="37" t="str">
        <f ca="1">IFERROR(IF(LEN(#REF!)=0,"",IF(CC$29=#REF!,Milestone_Marker_Old,"")),"")</f>
        <v/>
      </c>
      <c r="DD21" s="37" t="str">
        <f ca="1">IFERROR(IF(LEN(#REF!)=0,"",IF(CD$29=#REF!,Milestone_Marker_Old,"")),"")</f>
        <v/>
      </c>
      <c r="DE21" s="37" t="str">
        <f ca="1">IFERROR(IF(LEN(#REF!)=0,"",IF(CE$29=#REF!,Milestone_Marker_Old,"")),"")</f>
        <v/>
      </c>
      <c r="DF21" s="37" t="str">
        <f ca="1">IFERROR(IF(LEN(#REF!)=0,"",IF(CF$29=#REF!,Milestone_Marker_Old,"")),"")</f>
        <v/>
      </c>
      <c r="DG21" s="37" t="str">
        <f ca="1">IFERROR(IF(LEN(#REF!)=0,"",IF(CG$29=#REF!,Milestone_Marker_Old,"")),"")</f>
        <v/>
      </c>
      <c r="DH21" s="37" t="str">
        <f ca="1">IFERROR(IF(LEN(#REF!)=0,"",IF(CH$29=#REF!,Milestone_Marker_Old,"")),"")</f>
        <v/>
      </c>
      <c r="DI21" s="37" t="str">
        <f ca="1">IFERROR(IF(LEN(#REF!)=0,"",IF(CI$29=#REF!,Milestone_Marker_Old,"")),"")</f>
        <v/>
      </c>
      <c r="DJ21" s="37" t="str">
        <f ca="1">IFERROR(IF(LEN(#REF!)=0,"",IF(CJ$29=#REF!,Milestone_Marker_Old,"")),"")</f>
        <v/>
      </c>
      <c r="DK21" s="37" t="str">
        <f ca="1">IFERROR(IF(LEN(#REF!)=0,"",IF(CK$29=#REF!,Milestone_Marker_Old,"")),"")</f>
        <v/>
      </c>
      <c r="DL21" s="37" t="str">
        <f ca="1">IFERROR(IF(LEN(#REF!)=0,"",IF(CL$29=#REF!,Milestone_Marker_Old,"")),"")</f>
        <v/>
      </c>
      <c r="DM21" s="37" t="str">
        <f ca="1">IFERROR(IF(LEN(#REF!)=0,"",IF(CM$29=#REF!,Milestone_Marker_Old,"")),"")</f>
        <v/>
      </c>
      <c r="DN21" s="37" t="str">
        <f ca="1">IFERROR(IF(LEN(#REF!)=0,"",IF(CN$29=#REF!,Milestone_Marker_Old,"")),"")</f>
        <v/>
      </c>
      <c r="DO21" s="37" t="str">
        <f ca="1">IFERROR(IF(LEN(#REF!)=0,"",IF(CO$29=#REF!,Milestone_Marker_Old,"")),"")</f>
        <v/>
      </c>
      <c r="DP21" s="37" t="str">
        <f ca="1">IFERROR(IF(LEN(#REF!)=0,"",IF(CP$29=#REF!,Milestone_Marker_Old,"")),"")</f>
        <v/>
      </c>
      <c r="DQ21" s="37" t="str">
        <f ca="1">IFERROR(IF(LEN(#REF!)=0,"",IF(CQ$29=#REF!,Milestone_Marker_Old,"")),"")</f>
        <v/>
      </c>
      <c r="DR21" s="37" t="str">
        <f ca="1">IFERROR(IF(LEN(#REF!)=0,"",IF(CR$29=#REF!,Milestone_Marker_Old,"")),"")</f>
        <v/>
      </c>
      <c r="DS21" s="37" t="str">
        <f ca="1">IFERROR(IF(LEN(#REF!)=0,"",IF(CS$29=#REF!,Milestone_Marker_Old,"")),"")</f>
        <v/>
      </c>
      <c r="DT21" s="37" t="str">
        <f ca="1">IFERROR(IF(LEN(#REF!)=0,"",IF(CT$29=#REF!,Milestone_Marker_Old,"")),"")</f>
        <v/>
      </c>
      <c r="DU21" s="37" t="str">
        <f ca="1">IFERROR(IF(LEN(#REF!)=0,"",IF(CU$29=#REF!,Milestone_Marker_Old,"")),"")</f>
        <v/>
      </c>
    </row>
    <row r="22" spans="1:125" s="42" customFormat="1" ht="20.100000000000001" customHeight="1">
      <c r="A22" s="115" t="str">
        <f>Profit!$E$1&amp;" Your Home"</f>
        <v>Buy Your Home</v>
      </c>
      <c r="B22" s="116">
        <f t="shared" si="3"/>
        <v>14</v>
      </c>
      <c r="C22" s="117"/>
      <c r="D22" s="115"/>
      <c r="E22" s="115" t="s">
        <v>427</v>
      </c>
      <c r="F22" s="116">
        <v>0</v>
      </c>
      <c r="G22" s="118">
        <f>+'Demo &amp; Trash Haul'!F36</f>
        <v>0</v>
      </c>
      <c r="H22" s="118">
        <f t="shared" si="0"/>
        <v>0</v>
      </c>
      <c r="I22" s="119"/>
      <c r="J22" s="118"/>
      <c r="K22" s="120"/>
      <c r="L22" s="118"/>
      <c r="M22" s="118"/>
      <c r="N22" s="119"/>
      <c r="O22" s="118">
        <f t="shared" si="1"/>
        <v>0</v>
      </c>
      <c r="R22" s="36"/>
      <c r="S22" s="36"/>
      <c r="T22" s="36"/>
      <c r="U22" s="36"/>
      <c r="V22" s="36"/>
      <c r="W22" s="36"/>
      <c r="X22" s="36"/>
      <c r="Y22" s="36"/>
      <c r="Z22" s="36"/>
      <c r="AA22" s="36"/>
      <c r="AB22" s="36"/>
      <c r="AC22" s="36"/>
      <c r="AD22" s="36"/>
      <c r="AE22" s="36"/>
      <c r="AF22" s="36"/>
      <c r="AG22" s="36"/>
      <c r="AH22" s="36"/>
      <c r="AI22" s="36"/>
      <c r="AP22" s="37" t="str">
        <f ca="1">IFERROR(IF(LEN(#REF!)=0,"",IF(P$29=#REF!,Milestone_Marker_Old,"")),"")</f>
        <v/>
      </c>
      <c r="AQ22" s="37" t="str">
        <f ca="1">IFERROR(IF(LEN(#REF!)=0,"",IF(Q$29=#REF!,Milestone_Marker_Old,"")),"")</f>
        <v/>
      </c>
      <c r="AR22" s="37" t="str">
        <f ca="1">IFERROR(IF(LEN(#REF!)=0,"",IF(R$29=#REF!,Milestone_Marker_Old,"")),"")</f>
        <v/>
      </c>
      <c r="AS22" s="37" t="str">
        <f ca="1">IFERROR(IF(LEN(#REF!)=0,"",IF(S$29=#REF!,Milestone_Marker_Old,"")),"")</f>
        <v/>
      </c>
      <c r="AT22" s="37" t="str">
        <f ca="1">IFERROR(IF(LEN(#REF!)=0,"",IF(T$29=#REF!,Milestone_Marker_Old,"")),"")</f>
        <v/>
      </c>
      <c r="AU22" s="37" t="str">
        <f ca="1">IFERROR(IF(LEN(#REF!)=0,"",IF(U$29=#REF!,Milestone_Marker_Old,"")),"")</f>
        <v/>
      </c>
      <c r="AV22" s="37" t="str">
        <f ca="1">IFERROR(IF(LEN(#REF!)=0,"",IF(V$29=#REF!,Milestone_Marker_Old,"")),"")</f>
        <v/>
      </c>
      <c r="AW22" s="37" t="str">
        <f ca="1">IFERROR(IF(LEN(#REF!)=0,"",IF(W$29=#REF!,Milestone_Marker_Old,"")),"")</f>
        <v/>
      </c>
      <c r="AX22" s="37" t="str">
        <f ca="1">IFERROR(IF(LEN(#REF!)=0,"",IF(X$29=#REF!,Milestone_Marker_Old,"")),"")</f>
        <v/>
      </c>
      <c r="AY22" s="37" t="str">
        <f ca="1">IFERROR(IF(LEN(#REF!)=0,"",IF(Y$29=#REF!,Milestone_Marker_Old,"")),"")</f>
        <v/>
      </c>
      <c r="AZ22" s="37" t="str">
        <f ca="1">IFERROR(IF(LEN(#REF!)=0,"",IF(Z$29=#REF!,Milestone_Marker_Old,"")),"")</f>
        <v/>
      </c>
      <c r="BA22" s="37" t="str">
        <f ca="1">IFERROR(IF(LEN(#REF!)=0,"",IF(AA$29=#REF!,Milestone_Marker_Old,"")),"")</f>
        <v/>
      </c>
      <c r="BB22" s="37" t="str">
        <f ca="1">IFERROR(IF(LEN(#REF!)=0,"",IF(AB$29=#REF!,Milestone_Marker_Old,"")),"")</f>
        <v/>
      </c>
      <c r="BC22" s="37" t="str">
        <f ca="1">IFERROR(IF(LEN(#REF!)=0,"",IF(AC$29=#REF!,Milestone_Marker_Old,"")),"")</f>
        <v/>
      </c>
      <c r="BD22" s="37" t="str">
        <f ca="1">IFERROR(IF(LEN(#REF!)=0,"",IF(AD$29=#REF!,Milestone_Marker_Old,"")),"")</f>
        <v/>
      </c>
      <c r="BE22" s="37" t="str">
        <f ca="1">IFERROR(IF(LEN(#REF!)=0,"",IF(AE$29=#REF!,Milestone_Marker_Old,"")),"")</f>
        <v/>
      </c>
      <c r="BF22" s="37" t="str">
        <f ca="1">IFERROR(IF(LEN(#REF!)=0,"",IF(AF$29=#REF!,Milestone_Marker_Old,"")),"")</f>
        <v/>
      </c>
      <c r="BG22" s="37" t="str">
        <f ca="1">IFERROR(IF(LEN(#REF!)=0,"",IF(AG$29=#REF!,Milestone_Marker_Old,"")),"")</f>
        <v/>
      </c>
      <c r="BH22" s="37" t="str">
        <f ca="1">IFERROR(IF(LEN(#REF!)=0,"",IF(AH$29=#REF!,Milestone_Marker_Old,"")),"")</f>
        <v/>
      </c>
      <c r="BI22" s="37" t="str">
        <f ca="1">IFERROR(IF(LEN(#REF!)=0,"",IF(AI$29=#REF!,Milestone_Marker_Old,"")),"")</f>
        <v/>
      </c>
      <c r="BJ22" s="37" t="str">
        <f ca="1">IFERROR(IF(LEN(#REF!)=0,"",IF(AJ$29=#REF!,Milestone_Marker_Old,"")),"")</f>
        <v/>
      </c>
      <c r="BK22" s="37" t="str">
        <f ca="1">IFERROR(IF(LEN(#REF!)=0,"",IF(AK$29=#REF!,Milestone_Marker_Old,"")),"")</f>
        <v/>
      </c>
      <c r="BL22" s="37" t="str">
        <f ca="1">IFERROR(IF(LEN(#REF!)=0,"",IF(AL$29=#REF!,Milestone_Marker_Old,"")),"")</f>
        <v/>
      </c>
      <c r="BM22" s="37" t="str">
        <f ca="1">IFERROR(IF(LEN(#REF!)=0,"",IF(AM$29=#REF!,Milestone_Marker_Old,"")),"")</f>
        <v/>
      </c>
      <c r="BN22" s="37" t="str">
        <f ca="1">IFERROR(IF(LEN(#REF!)=0,"",IF(AN$29=#REF!,Milestone_Marker_Old,"")),"")</f>
        <v/>
      </c>
      <c r="BO22" s="37" t="str">
        <f ca="1">IFERROR(IF(LEN(#REF!)=0,"",IF(AO$29=#REF!,Milestone_Marker_Old,"")),"")</f>
        <v/>
      </c>
      <c r="BP22" s="37" t="str">
        <f ca="1">IFERROR(IF(LEN(#REF!)=0,"",IF(AP$29=#REF!,Milestone_Marker_Old,"")),"")</f>
        <v/>
      </c>
      <c r="BQ22" s="37" t="str">
        <f ca="1">IFERROR(IF(LEN(#REF!)=0,"",IF(AQ$29=#REF!,Milestone_Marker_Old,"")),"")</f>
        <v/>
      </c>
      <c r="BR22" s="37" t="str">
        <f ca="1">IFERROR(IF(LEN(#REF!)=0,"",IF(AR$29=#REF!,Milestone_Marker_Old,"")),"")</f>
        <v/>
      </c>
      <c r="BS22" s="37" t="str">
        <f ca="1">IFERROR(IF(LEN(#REF!)=0,"",IF(AS$29=#REF!,Milestone_Marker_Old,"")),"")</f>
        <v/>
      </c>
      <c r="BT22" s="37" t="str">
        <f ca="1">IFERROR(IF(LEN(#REF!)=0,"",IF(AT$29=#REF!,Milestone_Marker_Old,"")),"")</f>
        <v/>
      </c>
      <c r="BU22" s="37" t="str">
        <f ca="1">IFERROR(IF(LEN(#REF!)=0,"",IF(AU$29=#REF!,Milestone_Marker_Old,"")),"")</f>
        <v/>
      </c>
      <c r="BV22" s="37" t="str">
        <f ca="1">IFERROR(IF(LEN(#REF!)=0,"",IF(AV$29=#REF!,Milestone_Marker_Old,"")),"")</f>
        <v/>
      </c>
      <c r="BW22" s="37" t="str">
        <f ca="1">IFERROR(IF(LEN(#REF!)=0,"",IF(AW$29=#REF!,Milestone_Marker_Old,"")),"")</f>
        <v/>
      </c>
      <c r="BX22" s="37" t="str">
        <f ca="1">IFERROR(IF(LEN(#REF!)=0,"",IF(AX$29=#REF!,Milestone_Marker_Old,"")),"")</f>
        <v/>
      </c>
      <c r="BY22" s="37" t="str">
        <f ca="1">IFERROR(IF(LEN(#REF!)=0,"",IF(AY$29=#REF!,Milestone_Marker_Old,"")),"")</f>
        <v/>
      </c>
      <c r="BZ22" s="37" t="str">
        <f ca="1">IFERROR(IF(LEN(#REF!)=0,"",IF(AZ$29=#REF!,Milestone_Marker_Old,"")),"")</f>
        <v/>
      </c>
      <c r="CA22" s="37" t="str">
        <f ca="1">IFERROR(IF(LEN(#REF!)=0,"",IF(BA$29=#REF!,Milestone_Marker_Old,"")),"")</f>
        <v/>
      </c>
      <c r="CB22" s="37" t="str">
        <f ca="1">IFERROR(IF(LEN(#REF!)=0,"",IF(BB$29=#REF!,Milestone_Marker_Old,"")),"")</f>
        <v/>
      </c>
      <c r="CC22" s="37" t="str">
        <f ca="1">IFERROR(IF(LEN(#REF!)=0,"",IF(BC$29=#REF!,Milestone_Marker_Old,"")),"")</f>
        <v/>
      </c>
      <c r="CD22" s="37" t="str">
        <f ca="1">IFERROR(IF(LEN(#REF!)=0,"",IF(BD$29=#REF!,Milestone_Marker_Old,"")),"")</f>
        <v/>
      </c>
      <c r="CE22" s="37" t="str">
        <f ca="1">IFERROR(IF(LEN(#REF!)=0,"",IF(BE$29=#REF!,Milestone_Marker_Old,"")),"")</f>
        <v/>
      </c>
      <c r="CF22" s="37" t="str">
        <f ca="1">IFERROR(IF(LEN(#REF!)=0,"",IF(BF$29=#REF!,Milestone_Marker_Old,"")),"")</f>
        <v/>
      </c>
      <c r="CG22" s="37" t="str">
        <f ca="1">IFERROR(IF(LEN(#REF!)=0,"",IF(BG$29=#REF!,Milestone_Marker_Old,"")),"")</f>
        <v/>
      </c>
      <c r="CH22" s="37" t="str">
        <f ca="1">IFERROR(IF(LEN(#REF!)=0,"",IF(BH$29=#REF!,Milestone_Marker_Old,"")),"")</f>
        <v/>
      </c>
      <c r="CI22" s="37" t="str">
        <f ca="1">IFERROR(IF(LEN(#REF!)=0,"",IF(BI$29=#REF!,Milestone_Marker_Old,"")),"")</f>
        <v/>
      </c>
      <c r="CJ22" s="37" t="str">
        <f ca="1">IFERROR(IF(LEN(#REF!)=0,"",IF(BJ$29=#REF!,Milestone_Marker_Old,"")),"")</f>
        <v/>
      </c>
      <c r="CK22" s="37" t="str">
        <f ca="1">IFERROR(IF(LEN(#REF!)=0,"",IF(BK$29=#REF!,Milestone_Marker_Old,"")),"")</f>
        <v/>
      </c>
      <c r="CL22" s="37" t="str">
        <f ca="1">IFERROR(IF(LEN(#REF!)=0,"",IF(BL$29=#REF!,Milestone_Marker_Old,"")),"")</f>
        <v/>
      </c>
      <c r="CM22" s="37" t="str">
        <f ca="1">IFERROR(IF(LEN(#REF!)=0,"",IF(BM$29=#REF!,Milestone_Marker_Old,"")),"")</f>
        <v/>
      </c>
      <c r="CN22" s="37" t="str">
        <f ca="1">IFERROR(IF(LEN(#REF!)=0,"",IF(BN$29=#REF!,Milestone_Marker_Old,"")),"")</f>
        <v/>
      </c>
      <c r="CO22" s="37" t="str">
        <f ca="1">IFERROR(IF(LEN(#REF!)=0,"",IF(BO$29=#REF!,Milestone_Marker_Old,"")),"")</f>
        <v/>
      </c>
      <c r="CP22" s="37" t="str">
        <f ca="1">IFERROR(IF(LEN(#REF!)=0,"",IF(BP$29=#REF!,Milestone_Marker_Old,"")),"")</f>
        <v/>
      </c>
      <c r="CQ22" s="37" t="str">
        <f ca="1">IFERROR(IF(LEN(#REF!)=0,"",IF(BQ$29=#REF!,Milestone_Marker_Old,"")),"")</f>
        <v/>
      </c>
      <c r="CR22" s="37" t="str">
        <f ca="1">IFERROR(IF(LEN(#REF!)=0,"",IF(BR$29=#REF!,Milestone_Marker_Old,"")),"")</f>
        <v/>
      </c>
      <c r="CS22" s="37" t="str">
        <f ca="1">IFERROR(IF(LEN(#REF!)=0,"",IF(BS$29=#REF!,Milestone_Marker_Old,"")),"")</f>
        <v/>
      </c>
      <c r="CT22" s="37" t="str">
        <f ca="1">IFERROR(IF(LEN(#REF!)=0,"",IF(BT$29=#REF!,Milestone_Marker_Old,"")),"")</f>
        <v/>
      </c>
      <c r="CU22" s="37" t="str">
        <f ca="1">IFERROR(IF(LEN(#REF!)=0,"",IF(BU$29=#REF!,Milestone_Marker_Old,"")),"")</f>
        <v/>
      </c>
      <c r="CV22" s="37" t="str">
        <f ca="1">IFERROR(IF(LEN(#REF!)=0,"",IF(BV$29=#REF!,Milestone_Marker_Old,"")),"")</f>
        <v/>
      </c>
      <c r="CW22" s="37" t="str">
        <f ca="1">IFERROR(IF(LEN(#REF!)=0,"",IF(BW$29=#REF!,Milestone_Marker_Old,"")),"")</f>
        <v/>
      </c>
      <c r="CX22" s="37" t="str">
        <f ca="1">IFERROR(IF(LEN(#REF!)=0,"",IF(BX$29=#REF!,Milestone_Marker_Old,"")),"")</f>
        <v/>
      </c>
      <c r="CY22" s="37" t="str">
        <f ca="1">IFERROR(IF(LEN(#REF!)=0,"",IF(BY$29=#REF!,Milestone_Marker_Old,"")),"")</f>
        <v/>
      </c>
      <c r="CZ22" s="37" t="str">
        <f ca="1">IFERROR(IF(LEN(#REF!)=0,"",IF(BZ$29=#REF!,Milestone_Marker_Old,"")),"")</f>
        <v/>
      </c>
      <c r="DA22" s="37" t="str">
        <f ca="1">IFERROR(IF(LEN(#REF!)=0,"",IF(CA$29=#REF!,Milestone_Marker_Old,"")),"")</f>
        <v/>
      </c>
      <c r="DB22" s="37" t="str">
        <f ca="1">IFERROR(IF(LEN(#REF!)=0,"",IF(CB$29=#REF!,Milestone_Marker_Old,"")),"")</f>
        <v/>
      </c>
      <c r="DC22" s="37" t="str">
        <f ca="1">IFERROR(IF(LEN(#REF!)=0,"",IF(CC$29=#REF!,Milestone_Marker_Old,"")),"")</f>
        <v/>
      </c>
      <c r="DD22" s="37" t="str">
        <f ca="1">IFERROR(IF(LEN(#REF!)=0,"",IF(CD$29=#REF!,Milestone_Marker_Old,"")),"")</f>
        <v/>
      </c>
      <c r="DE22" s="37" t="str">
        <f ca="1">IFERROR(IF(LEN(#REF!)=0,"",IF(CE$29=#REF!,Milestone_Marker_Old,"")),"")</f>
        <v/>
      </c>
      <c r="DF22" s="37" t="str">
        <f ca="1">IFERROR(IF(LEN(#REF!)=0,"",IF(CF$29=#REF!,Milestone_Marker_Old,"")),"")</f>
        <v/>
      </c>
      <c r="DG22" s="37" t="str">
        <f ca="1">IFERROR(IF(LEN(#REF!)=0,"",IF(CG$29=#REF!,Milestone_Marker_Old,"")),"")</f>
        <v/>
      </c>
      <c r="DH22" s="37" t="str">
        <f ca="1">IFERROR(IF(LEN(#REF!)=0,"",IF(CH$29=#REF!,Milestone_Marker_Old,"")),"")</f>
        <v/>
      </c>
      <c r="DI22" s="37" t="str">
        <f ca="1">IFERROR(IF(LEN(#REF!)=0,"",IF(CI$29=#REF!,Milestone_Marker_Old,"")),"")</f>
        <v/>
      </c>
      <c r="DJ22" s="37" t="str">
        <f ca="1">IFERROR(IF(LEN(#REF!)=0,"",IF(CJ$29=#REF!,Milestone_Marker_Old,"")),"")</f>
        <v/>
      </c>
      <c r="DK22" s="37" t="str">
        <f ca="1">IFERROR(IF(LEN(#REF!)=0,"",IF(CK$29=#REF!,Milestone_Marker_Old,"")),"")</f>
        <v/>
      </c>
      <c r="DL22" s="37" t="str">
        <f ca="1">IFERROR(IF(LEN(#REF!)=0,"",IF(CL$29=#REF!,Milestone_Marker_Old,"")),"")</f>
        <v/>
      </c>
      <c r="DM22" s="37" t="str">
        <f ca="1">IFERROR(IF(LEN(#REF!)=0,"",IF(CM$29=#REF!,Milestone_Marker_Old,"")),"")</f>
        <v/>
      </c>
      <c r="DN22" s="37" t="str">
        <f ca="1">IFERROR(IF(LEN(#REF!)=0,"",IF(CN$29=#REF!,Milestone_Marker_Old,"")),"")</f>
        <v/>
      </c>
      <c r="DO22" s="37" t="str">
        <f ca="1">IFERROR(IF(LEN(#REF!)=0,"",IF(CO$29=#REF!,Milestone_Marker_Old,"")),"")</f>
        <v/>
      </c>
      <c r="DP22" s="37" t="str">
        <f ca="1">IFERROR(IF(LEN(#REF!)=0,"",IF(CP$29=#REF!,Milestone_Marker_Old,"")),"")</f>
        <v/>
      </c>
      <c r="DQ22" s="37" t="str">
        <f ca="1">IFERROR(IF(LEN(#REF!)=0,"",IF(CQ$29=#REF!,Milestone_Marker_Old,"")),"")</f>
        <v/>
      </c>
      <c r="DR22" s="37" t="str">
        <f ca="1">IFERROR(IF(LEN(#REF!)=0,"",IF(CR$29=#REF!,Milestone_Marker_Old,"")),"")</f>
        <v/>
      </c>
      <c r="DS22" s="37" t="str">
        <f ca="1">IFERROR(IF(LEN(#REF!)=0,"",IF(CS$29=#REF!,Milestone_Marker_Old,"")),"")</f>
        <v/>
      </c>
      <c r="DT22" s="37" t="str">
        <f ca="1">IFERROR(IF(LEN(#REF!)=0,"",IF(CT$29=#REF!,Milestone_Marker_Old,"")),"")</f>
        <v/>
      </c>
      <c r="DU22" s="37" t="str">
        <f ca="1">IFERROR(IF(LEN(#REF!)=0,"",IF(CU$29=#REF!,Milestone_Marker_Old,"")),"")</f>
        <v/>
      </c>
    </row>
    <row r="23" spans="1:125" s="42" customFormat="1" ht="21">
      <c r="A23" s="121"/>
      <c r="B23" s="122"/>
      <c r="C23" s="123"/>
      <c r="D23" s="123"/>
      <c r="E23" s="124" t="str">
        <f>Profit!E1&amp;" Your Home's Paid Contractors"</f>
        <v>Buy Your Home's Paid Contractors</v>
      </c>
      <c r="F23" s="125"/>
      <c r="G23" s="123"/>
      <c r="H23" s="123"/>
      <c r="I23" s="123"/>
      <c r="J23" s="123"/>
      <c r="K23" s="126"/>
      <c r="L23" s="123"/>
      <c r="M23" s="123"/>
      <c r="N23" s="123"/>
      <c r="O23" s="123"/>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37" t="str">
        <f ca="1">IFERROR(IF(LEN(#REF!)=0,"",IF(P$29=#REF!,Milestone_Marker_Old,"")),"")</f>
        <v/>
      </c>
      <c r="AQ23" s="37" t="str">
        <f ca="1">IFERROR(IF(LEN(#REF!)=0,"",IF(Q$29=#REF!,Milestone_Marker_Old,"")),"")</f>
        <v/>
      </c>
      <c r="AR23" s="37" t="str">
        <f ca="1">IFERROR(IF(LEN(#REF!)=0,"",IF(R$29=#REF!,Milestone_Marker_Old,"")),"")</f>
        <v/>
      </c>
      <c r="AS23" s="37" t="str">
        <f ca="1">IFERROR(IF(LEN(#REF!)=0,"",IF(S$29=#REF!,Milestone_Marker_Old,"")),"")</f>
        <v/>
      </c>
      <c r="AT23" s="37" t="str">
        <f ca="1">IFERROR(IF(LEN(#REF!)=0,"",IF(T$29=#REF!,Milestone_Marker_Old,"")),"")</f>
        <v/>
      </c>
      <c r="AU23" s="37" t="str">
        <f ca="1">IFERROR(IF(LEN(#REF!)=0,"",IF(U$29=#REF!,Milestone_Marker_Old,"")),"")</f>
        <v/>
      </c>
      <c r="AV23" s="37" t="str">
        <f ca="1">IFERROR(IF(LEN(#REF!)=0,"",IF(V$29=#REF!,Milestone_Marker_Old,"")),"")</f>
        <v/>
      </c>
      <c r="AW23" s="37" t="str">
        <f ca="1">IFERROR(IF(LEN(#REF!)=0,"",IF(W$29=#REF!,Milestone_Marker_Old,"")),"")</f>
        <v/>
      </c>
      <c r="AX23" s="37" t="str">
        <f ca="1">IFERROR(IF(LEN(#REF!)=0,"",IF(X$29=#REF!,Milestone_Marker_Old,"")),"")</f>
        <v/>
      </c>
      <c r="AY23" s="37" t="str">
        <f ca="1">IFERROR(IF(LEN(#REF!)=0,"",IF(Y$29=#REF!,Milestone_Marker_Old,"")),"")</f>
        <v/>
      </c>
      <c r="AZ23" s="37" t="str">
        <f ca="1">IFERROR(IF(LEN(#REF!)=0,"",IF(Z$29=#REF!,Milestone_Marker_Old,"")),"")</f>
        <v/>
      </c>
      <c r="BA23" s="37" t="str">
        <f ca="1">IFERROR(IF(LEN(#REF!)=0,"",IF(AA$29=#REF!,Milestone_Marker_Old,"")),"")</f>
        <v/>
      </c>
      <c r="BB23" s="37" t="str">
        <f ca="1">IFERROR(IF(LEN(#REF!)=0,"",IF(AB$29=#REF!,Milestone_Marker_Old,"")),"")</f>
        <v/>
      </c>
      <c r="BC23" s="37" t="str">
        <f ca="1">IFERROR(IF(LEN(#REF!)=0,"",IF(AC$29=#REF!,Milestone_Marker_Old,"")),"")</f>
        <v/>
      </c>
      <c r="BD23" s="37" t="str">
        <f ca="1">IFERROR(IF(LEN(#REF!)=0,"",IF(AD$29=#REF!,Milestone_Marker_Old,"")),"")</f>
        <v/>
      </c>
      <c r="BE23" s="37" t="str">
        <f ca="1">IFERROR(IF(LEN(#REF!)=0,"",IF(AE$29=#REF!,Milestone_Marker_Old,"")),"")</f>
        <v/>
      </c>
      <c r="BF23" s="37" t="str">
        <f ca="1">IFERROR(IF(LEN(#REF!)=0,"",IF(AF$29=#REF!,Milestone_Marker_Old,"")),"")</f>
        <v/>
      </c>
      <c r="BG23" s="37" t="str">
        <f ca="1">IFERROR(IF(LEN(#REF!)=0,"",IF(AG$29=#REF!,Milestone_Marker_Old,"")),"")</f>
        <v/>
      </c>
      <c r="BH23" s="37" t="str">
        <f ca="1">IFERROR(IF(LEN(#REF!)=0,"",IF(AH$29=#REF!,Milestone_Marker_Old,"")),"")</f>
        <v/>
      </c>
      <c r="BI23" s="37" t="str">
        <f ca="1">IFERROR(IF(LEN(#REF!)=0,"",IF(AI$29=#REF!,Milestone_Marker_Old,"")),"")</f>
        <v/>
      </c>
      <c r="BJ23" s="37" t="str">
        <f ca="1">IFERROR(IF(LEN(#REF!)=0,"",IF(AJ$29=#REF!,Milestone_Marker_Old,"")),"")</f>
        <v/>
      </c>
      <c r="BK23" s="37" t="str">
        <f ca="1">IFERROR(IF(LEN(#REF!)=0,"",IF(AK$29=#REF!,Milestone_Marker_Old,"")),"")</f>
        <v/>
      </c>
      <c r="BL23" s="37" t="str">
        <f ca="1">IFERROR(IF(LEN(#REF!)=0,"",IF(AL$29=#REF!,Milestone_Marker_Old,"")),"")</f>
        <v/>
      </c>
      <c r="BM23" s="37" t="str">
        <f ca="1">IFERROR(IF(LEN(#REF!)=0,"",IF(AM$29=#REF!,Milestone_Marker_Old,"")),"")</f>
        <v/>
      </c>
      <c r="BN23" s="37" t="str">
        <f ca="1">IFERROR(IF(LEN(#REF!)=0,"",IF(AN$29=#REF!,Milestone_Marker_Old,"")),"")</f>
        <v/>
      </c>
      <c r="BO23" s="37" t="str">
        <f ca="1">IFERROR(IF(LEN(#REF!)=0,"",IF(AO$29=#REF!,Milestone_Marker_Old,"")),"")</f>
        <v/>
      </c>
      <c r="BP23" s="37" t="str">
        <f ca="1">IFERROR(IF(LEN(#REF!)=0,"",IF(AP$29=#REF!,Milestone_Marker_Old,"")),"")</f>
        <v/>
      </c>
      <c r="BQ23" s="37" t="str">
        <f ca="1">IFERROR(IF(LEN(#REF!)=0,"",IF(AQ$29=#REF!,Milestone_Marker_Old,"")),"")</f>
        <v/>
      </c>
      <c r="BR23" s="37" t="str">
        <f ca="1">IFERROR(IF(LEN(#REF!)=0,"",IF(AR$29=#REF!,Milestone_Marker_Old,"")),"")</f>
        <v/>
      </c>
      <c r="BS23" s="37" t="str">
        <f ca="1">IFERROR(IF(LEN(#REF!)=0,"",IF(AS$29=#REF!,Milestone_Marker_Old,"")),"")</f>
        <v/>
      </c>
      <c r="BT23" s="37" t="str">
        <f ca="1">IFERROR(IF(LEN(#REF!)=0,"",IF(AT$29=#REF!,Milestone_Marker_Old,"")),"")</f>
        <v/>
      </c>
      <c r="BU23" s="37" t="str">
        <f ca="1">IFERROR(IF(LEN(#REF!)=0,"",IF(AU$29=#REF!,Milestone_Marker_Old,"")),"")</f>
        <v/>
      </c>
      <c r="BV23" s="37" t="str">
        <f ca="1">IFERROR(IF(LEN(#REF!)=0,"",IF(AV$29=#REF!,Milestone_Marker_Old,"")),"")</f>
        <v/>
      </c>
      <c r="BW23" s="37" t="str">
        <f ca="1">IFERROR(IF(LEN(#REF!)=0,"",IF(AW$29=#REF!,Milestone_Marker_Old,"")),"")</f>
        <v/>
      </c>
      <c r="BX23" s="37" t="str">
        <f ca="1">IFERROR(IF(LEN(#REF!)=0,"",IF(AX$29=#REF!,Milestone_Marker_Old,"")),"")</f>
        <v/>
      </c>
      <c r="BY23" s="37" t="str">
        <f ca="1">IFERROR(IF(LEN(#REF!)=0,"",IF(AY$29=#REF!,Milestone_Marker_Old,"")),"")</f>
        <v/>
      </c>
      <c r="BZ23" s="37" t="str">
        <f ca="1">IFERROR(IF(LEN(#REF!)=0,"",IF(AZ$29=#REF!,Milestone_Marker_Old,"")),"")</f>
        <v/>
      </c>
      <c r="CA23" s="37" t="str">
        <f ca="1">IFERROR(IF(LEN(#REF!)=0,"",IF(BA$29=#REF!,Milestone_Marker_Old,"")),"")</f>
        <v/>
      </c>
      <c r="CB23" s="37" t="str">
        <f ca="1">IFERROR(IF(LEN(#REF!)=0,"",IF(BB$29=#REF!,Milestone_Marker_Old,"")),"")</f>
        <v/>
      </c>
      <c r="CC23" s="37" t="str">
        <f ca="1">IFERROR(IF(LEN(#REF!)=0,"",IF(BC$29=#REF!,Milestone_Marker_Old,"")),"")</f>
        <v/>
      </c>
      <c r="CD23" s="37" t="str">
        <f ca="1">IFERROR(IF(LEN(#REF!)=0,"",IF(BD$29=#REF!,Milestone_Marker_Old,"")),"")</f>
        <v/>
      </c>
      <c r="CE23" s="37" t="str">
        <f ca="1">IFERROR(IF(LEN(#REF!)=0,"",IF(BE$29=#REF!,Milestone_Marker_Old,"")),"")</f>
        <v/>
      </c>
      <c r="CF23" s="37" t="str">
        <f ca="1">IFERROR(IF(LEN(#REF!)=0,"",IF(BF$29=#REF!,Milestone_Marker_Old,"")),"")</f>
        <v/>
      </c>
      <c r="CG23" s="37" t="str">
        <f ca="1">IFERROR(IF(LEN(#REF!)=0,"",IF(BG$29=#REF!,Milestone_Marker_Old,"")),"")</f>
        <v/>
      </c>
      <c r="CH23" s="37" t="str">
        <f ca="1">IFERROR(IF(LEN(#REF!)=0,"",IF(BH$29=#REF!,Milestone_Marker_Old,"")),"")</f>
        <v/>
      </c>
      <c r="CI23" s="37" t="str">
        <f ca="1">IFERROR(IF(LEN(#REF!)=0,"",IF(BI$29=#REF!,Milestone_Marker_Old,"")),"")</f>
        <v/>
      </c>
      <c r="CJ23" s="37" t="str">
        <f ca="1">IFERROR(IF(LEN(#REF!)=0,"",IF(BJ$29=#REF!,Milestone_Marker_Old,"")),"")</f>
        <v/>
      </c>
      <c r="CK23" s="37" t="str">
        <f ca="1">IFERROR(IF(LEN(#REF!)=0,"",IF(BK$29=#REF!,Milestone_Marker_Old,"")),"")</f>
        <v/>
      </c>
      <c r="CL23" s="37" t="str">
        <f ca="1">IFERROR(IF(LEN(#REF!)=0,"",IF(BL$29=#REF!,Milestone_Marker_Old,"")),"")</f>
        <v/>
      </c>
      <c r="CM23" s="37" t="str">
        <f ca="1">IFERROR(IF(LEN(#REF!)=0,"",IF(BM$29=#REF!,Milestone_Marker_Old,"")),"")</f>
        <v/>
      </c>
      <c r="CN23" s="37" t="str">
        <f ca="1">IFERROR(IF(LEN(#REF!)=0,"",IF(BN$29=#REF!,Milestone_Marker_Old,"")),"")</f>
        <v/>
      </c>
      <c r="CO23" s="37" t="str">
        <f ca="1">IFERROR(IF(LEN(#REF!)=0,"",IF(BO$29=#REF!,Milestone_Marker_Old,"")),"")</f>
        <v/>
      </c>
      <c r="CP23" s="37" t="str">
        <f ca="1">IFERROR(IF(LEN(#REF!)=0,"",IF(BP$29=#REF!,Milestone_Marker_Old,"")),"")</f>
        <v/>
      </c>
      <c r="CQ23" s="37" t="str">
        <f ca="1">IFERROR(IF(LEN(#REF!)=0,"",IF(BQ$29=#REF!,Milestone_Marker_Old,"")),"")</f>
        <v/>
      </c>
      <c r="CR23" s="37" t="str">
        <f ca="1">IFERROR(IF(LEN(#REF!)=0,"",IF(BR$29=#REF!,Milestone_Marker_Old,"")),"")</f>
        <v/>
      </c>
      <c r="CS23" s="37" t="str">
        <f ca="1">IFERROR(IF(LEN(#REF!)=0,"",IF(BS$29=#REF!,Milestone_Marker_Old,"")),"")</f>
        <v/>
      </c>
      <c r="CT23" s="37" t="str">
        <f ca="1">IFERROR(IF(LEN(#REF!)=0,"",IF(BT$29=#REF!,Milestone_Marker_Old,"")),"")</f>
        <v/>
      </c>
      <c r="CU23" s="37" t="str">
        <f ca="1">IFERROR(IF(LEN(#REF!)=0,"",IF(BU$29=#REF!,Milestone_Marker_Old,"")),"")</f>
        <v/>
      </c>
      <c r="CV23" s="37" t="str">
        <f ca="1">IFERROR(IF(LEN(#REF!)=0,"",IF(BV$29=#REF!,Milestone_Marker_Old,"")),"")</f>
        <v/>
      </c>
      <c r="CW23" s="37" t="str">
        <f ca="1">IFERROR(IF(LEN(#REF!)=0,"",IF(BW$29=#REF!,Milestone_Marker_Old,"")),"")</f>
        <v/>
      </c>
      <c r="CX23" s="37" t="str">
        <f ca="1">IFERROR(IF(LEN(#REF!)=0,"",IF(BX$29=#REF!,Milestone_Marker_Old,"")),"")</f>
        <v/>
      </c>
      <c r="CY23" s="37" t="str">
        <f ca="1">IFERROR(IF(LEN(#REF!)=0,"",IF(BY$29=#REF!,Milestone_Marker_Old,"")),"")</f>
        <v/>
      </c>
      <c r="CZ23" s="37" t="str">
        <f ca="1">IFERROR(IF(LEN(#REF!)=0,"",IF(BZ$29=#REF!,Milestone_Marker_Old,"")),"")</f>
        <v/>
      </c>
      <c r="DA23" s="37" t="str">
        <f ca="1">IFERROR(IF(LEN(#REF!)=0,"",IF(CA$29=#REF!,Milestone_Marker_Old,"")),"")</f>
        <v/>
      </c>
      <c r="DB23" s="37" t="str">
        <f ca="1">IFERROR(IF(LEN(#REF!)=0,"",IF(CB$29=#REF!,Milestone_Marker_Old,"")),"")</f>
        <v/>
      </c>
      <c r="DC23" s="37" t="str">
        <f ca="1">IFERROR(IF(LEN(#REF!)=0,"",IF(CC$29=#REF!,Milestone_Marker_Old,"")),"")</f>
        <v/>
      </c>
      <c r="DD23" s="37" t="str">
        <f ca="1">IFERROR(IF(LEN(#REF!)=0,"",IF(CD$29=#REF!,Milestone_Marker_Old,"")),"")</f>
        <v/>
      </c>
      <c r="DE23" s="37" t="str">
        <f ca="1">IFERROR(IF(LEN(#REF!)=0,"",IF(CE$29=#REF!,Milestone_Marker_Old,"")),"")</f>
        <v/>
      </c>
      <c r="DF23" s="37" t="str">
        <f ca="1">IFERROR(IF(LEN(#REF!)=0,"",IF(CF$29=#REF!,Milestone_Marker_Old,"")),"")</f>
        <v/>
      </c>
      <c r="DG23" s="37" t="str">
        <f ca="1">IFERROR(IF(LEN(#REF!)=0,"",IF(CG$29=#REF!,Milestone_Marker_Old,"")),"")</f>
        <v/>
      </c>
      <c r="DH23" s="37" t="str">
        <f ca="1">IFERROR(IF(LEN(#REF!)=0,"",IF(CH$29=#REF!,Milestone_Marker_Old,"")),"")</f>
        <v/>
      </c>
      <c r="DI23" s="37" t="str">
        <f ca="1">IFERROR(IF(LEN(#REF!)=0,"",IF(CI$29=#REF!,Milestone_Marker_Old,"")),"")</f>
        <v/>
      </c>
      <c r="DJ23" s="37" t="str">
        <f ca="1">IFERROR(IF(LEN(#REF!)=0,"",IF(CJ$29=#REF!,Milestone_Marker_Old,"")),"")</f>
        <v/>
      </c>
      <c r="DK23" s="37" t="str">
        <f ca="1">IFERROR(IF(LEN(#REF!)=0,"",IF(CK$29=#REF!,Milestone_Marker_Old,"")),"")</f>
        <v/>
      </c>
      <c r="DL23" s="37" t="str">
        <f ca="1">IFERROR(IF(LEN(#REF!)=0,"",IF(CL$29=#REF!,Milestone_Marker_Old,"")),"")</f>
        <v/>
      </c>
      <c r="DM23" s="37" t="str">
        <f ca="1">IFERROR(IF(LEN(#REF!)=0,"",IF(CM$29=#REF!,Milestone_Marker_Old,"")),"")</f>
        <v/>
      </c>
      <c r="DN23" s="37" t="str">
        <f ca="1">IFERROR(IF(LEN(#REF!)=0,"",IF(CN$29=#REF!,Milestone_Marker_Old,"")),"")</f>
        <v/>
      </c>
      <c r="DO23" s="37" t="str">
        <f ca="1">IFERROR(IF(LEN(#REF!)=0,"",IF(CO$29=#REF!,Milestone_Marker_Old,"")),"")</f>
        <v/>
      </c>
      <c r="DP23" s="37" t="str">
        <f ca="1">IFERROR(IF(LEN(#REF!)=0,"",IF(CP$29=#REF!,Milestone_Marker_Old,"")),"")</f>
        <v/>
      </c>
      <c r="DQ23" s="37" t="str">
        <f ca="1">IFERROR(IF(LEN(#REF!)=0,"",IF(CQ$29=#REF!,Milestone_Marker_Old,"")),"")</f>
        <v/>
      </c>
      <c r="DR23" s="37" t="str">
        <f ca="1">IFERROR(IF(LEN(#REF!)=0,"",IF(CR$29=#REF!,Milestone_Marker_Old,"")),"")</f>
        <v/>
      </c>
      <c r="DS23" s="37" t="str">
        <f ca="1">IFERROR(IF(LEN(#REF!)=0,"",IF(CS$29=#REF!,Milestone_Marker_Old,"")),"")</f>
        <v/>
      </c>
      <c r="DT23" s="37" t="str">
        <f ca="1">IFERROR(IF(LEN(#REF!)=0,"",IF(CT$29=#REF!,Milestone_Marker_Old,"")),"")</f>
        <v/>
      </c>
      <c r="DU23" s="37" t="str">
        <f ca="1">IFERROR(IF(LEN(#REF!)=0,"",IF(CU$29=#REF!,Milestone_Marker_Old,"")),"")</f>
        <v/>
      </c>
    </row>
    <row r="24" spans="1:125" s="42" customFormat="1" ht="20.100000000000001" customHeight="1" thickBot="1">
      <c r="A24" s="127" t="s">
        <v>428</v>
      </c>
      <c r="B24" s="128">
        <f>+B22+1</f>
        <v>15</v>
      </c>
      <c r="C24" s="129"/>
      <c r="D24" s="130"/>
      <c r="E24" s="131" t="s">
        <v>429</v>
      </c>
      <c r="F24" s="132">
        <v>0</v>
      </c>
      <c r="G24" s="133">
        <v>300000</v>
      </c>
      <c r="H24" s="133">
        <f>+F24*G24</f>
        <v>0</v>
      </c>
      <c r="I24" s="134"/>
      <c r="J24" s="134"/>
      <c r="K24" s="135"/>
      <c r="L24" s="134"/>
      <c r="M24" s="134"/>
      <c r="N24" s="134"/>
      <c r="O24" s="134">
        <f t="shared" ref="O24:O27" si="7">IF(I24="Yes",H24,0)</f>
        <v>0</v>
      </c>
      <c r="R24" s="76"/>
      <c r="S24" s="76"/>
      <c r="T24" s="76"/>
      <c r="U24" s="76"/>
      <c r="V24" s="76"/>
      <c r="W24" s="76"/>
      <c r="X24" s="76"/>
      <c r="Y24" s="76"/>
      <c r="Z24" s="76"/>
      <c r="AA24" s="531" t="s">
        <v>430</v>
      </c>
      <c r="AB24" s="532"/>
      <c r="AC24" s="532"/>
      <c r="AD24" s="532"/>
      <c r="AE24" s="532"/>
      <c r="AF24" s="532"/>
      <c r="AG24" s="532"/>
      <c r="AH24" s="532"/>
      <c r="AI24" s="75"/>
      <c r="AJ24" s="75"/>
      <c r="AK24" s="75"/>
      <c r="AL24" s="75"/>
      <c r="AM24" s="75"/>
      <c r="AN24" s="75"/>
      <c r="AO24" s="75"/>
      <c r="AP24" s="75" t="str">
        <f ca="1">IFERROR(IF(LEN(#REF!)=0,"",IF(P$29=#REF!,Milestone_Marker_Old,"")),"")</f>
        <v/>
      </c>
      <c r="AQ24" s="37" t="str">
        <f ca="1">IFERROR(IF(LEN(#REF!)=0,"",IF(Q$29=#REF!,Milestone_Marker_Old,"")),"")</f>
        <v/>
      </c>
      <c r="AR24" s="37" t="str">
        <f ca="1">IFERROR(IF(LEN(#REF!)=0,"",IF(R$29=#REF!,Milestone_Marker_Old,"")),"")</f>
        <v/>
      </c>
      <c r="AS24" s="37" t="str">
        <f ca="1">IFERROR(IF(LEN(#REF!)=0,"",IF(S$29=#REF!,Milestone_Marker_Old,"")),"")</f>
        <v/>
      </c>
      <c r="AT24" s="37" t="str">
        <f ca="1">IFERROR(IF(LEN(#REF!)=0,"",IF(T$29=#REF!,Milestone_Marker_Old,"")),"")</f>
        <v/>
      </c>
      <c r="AU24" s="37" t="str">
        <f ca="1">IFERROR(IF(LEN(#REF!)=0,"",IF(U$29=#REF!,Milestone_Marker_Old,"")),"")</f>
        <v/>
      </c>
      <c r="AV24" s="37" t="str">
        <f ca="1">IFERROR(IF(LEN(#REF!)=0,"",IF(V$29=#REF!,Milestone_Marker_Old,"")),"")</f>
        <v/>
      </c>
      <c r="AW24" s="37" t="str">
        <f ca="1">IFERROR(IF(LEN(#REF!)=0,"",IF(W$29=#REF!,Milestone_Marker_Old,"")),"")</f>
        <v/>
      </c>
      <c r="AX24" s="37" t="str">
        <f ca="1">IFERROR(IF(LEN(#REF!)=0,"",IF(X$29=#REF!,Milestone_Marker_Old,"")),"")</f>
        <v/>
      </c>
      <c r="AY24" s="37" t="str">
        <f ca="1">IFERROR(IF(LEN(#REF!)=0,"",IF(Y$29=#REF!,Milestone_Marker_Old,"")),"")</f>
        <v/>
      </c>
      <c r="AZ24" s="37" t="str">
        <f ca="1">IFERROR(IF(LEN(#REF!)=0,"",IF(Z$29=#REF!,Milestone_Marker_Old,"")),"")</f>
        <v/>
      </c>
      <c r="BA24" s="37" t="str">
        <f ca="1">IFERROR(IF(LEN(#REF!)=0,"",IF(AA$29=#REF!,Milestone_Marker_Old,"")),"")</f>
        <v/>
      </c>
      <c r="BB24" s="37" t="str">
        <f ca="1">IFERROR(IF(LEN(#REF!)=0,"",IF(AB$29=#REF!,Milestone_Marker_Old,"")),"")</f>
        <v/>
      </c>
      <c r="BC24" s="37" t="str">
        <f ca="1">IFERROR(IF(LEN(#REF!)=0,"",IF(AC$29=#REF!,Milestone_Marker_Old,"")),"")</f>
        <v/>
      </c>
      <c r="BD24" s="37" t="str">
        <f ca="1">IFERROR(IF(LEN(#REF!)=0,"",IF(AD$29=#REF!,Milestone_Marker_Old,"")),"")</f>
        <v/>
      </c>
      <c r="BE24" s="37" t="str">
        <f ca="1">IFERROR(IF(LEN(#REF!)=0,"",IF(AE$29=#REF!,Milestone_Marker_Old,"")),"")</f>
        <v/>
      </c>
      <c r="BF24" s="37" t="str">
        <f ca="1">IFERROR(IF(LEN(#REF!)=0,"",IF(AF$29=#REF!,Milestone_Marker_Old,"")),"")</f>
        <v/>
      </c>
      <c r="BG24" s="37" t="str">
        <f ca="1">IFERROR(IF(LEN(#REF!)=0,"",IF(AG$29=#REF!,Milestone_Marker_Old,"")),"")</f>
        <v/>
      </c>
      <c r="BH24" s="37" t="str">
        <f ca="1">IFERROR(IF(LEN(#REF!)=0,"",IF(AH$29=#REF!,Milestone_Marker_Old,"")),"")</f>
        <v/>
      </c>
      <c r="BI24" s="37" t="str">
        <f ca="1">IFERROR(IF(LEN(#REF!)=0,"",IF(AI$29=#REF!,Milestone_Marker_Old,"")),"")</f>
        <v/>
      </c>
      <c r="BJ24" s="37" t="str">
        <f ca="1">IFERROR(IF(LEN(#REF!)=0,"",IF(AJ$29=#REF!,Milestone_Marker_Old,"")),"")</f>
        <v/>
      </c>
      <c r="BK24" s="37" t="str">
        <f ca="1">IFERROR(IF(LEN(#REF!)=0,"",IF(AK$29=#REF!,Milestone_Marker_Old,"")),"")</f>
        <v/>
      </c>
      <c r="BL24" s="37" t="str">
        <f ca="1">IFERROR(IF(LEN(#REF!)=0,"",IF(AL$29=#REF!,Milestone_Marker_Old,"")),"")</f>
        <v/>
      </c>
      <c r="BM24" s="37" t="str">
        <f ca="1">IFERROR(IF(LEN(#REF!)=0,"",IF(AM$29=#REF!,Milestone_Marker_Old,"")),"")</f>
        <v/>
      </c>
      <c r="BN24" s="37" t="str">
        <f ca="1">IFERROR(IF(LEN(#REF!)=0,"",IF(AN$29=#REF!,Milestone_Marker_Old,"")),"")</f>
        <v/>
      </c>
      <c r="BO24" s="37" t="str">
        <f ca="1">IFERROR(IF(LEN(#REF!)=0,"",IF(AO$29=#REF!,Milestone_Marker_Old,"")),"")</f>
        <v/>
      </c>
      <c r="BP24" s="37" t="str">
        <f ca="1">IFERROR(IF(LEN(#REF!)=0,"",IF(AP$29=#REF!,Milestone_Marker_Old,"")),"")</f>
        <v/>
      </c>
      <c r="BQ24" s="37" t="str">
        <f ca="1">IFERROR(IF(LEN(#REF!)=0,"",IF(AQ$29=#REF!,Milestone_Marker_Old,"")),"")</f>
        <v/>
      </c>
      <c r="BR24" s="37" t="str">
        <f ca="1">IFERROR(IF(LEN(#REF!)=0,"",IF(AR$29=#REF!,Milestone_Marker_Old,"")),"")</f>
        <v/>
      </c>
      <c r="BS24" s="37" t="str">
        <f ca="1">IFERROR(IF(LEN(#REF!)=0,"",IF(AS$29=#REF!,Milestone_Marker_Old,"")),"")</f>
        <v/>
      </c>
      <c r="BT24" s="37" t="str">
        <f ca="1">IFERROR(IF(LEN(#REF!)=0,"",IF(AT$29=#REF!,Milestone_Marker_Old,"")),"")</f>
        <v/>
      </c>
      <c r="BU24" s="37" t="str">
        <f ca="1">IFERROR(IF(LEN(#REF!)=0,"",IF(AU$29=#REF!,Milestone_Marker_Old,"")),"")</f>
        <v/>
      </c>
      <c r="BV24" s="37" t="str">
        <f ca="1">IFERROR(IF(LEN(#REF!)=0,"",IF(AV$29=#REF!,Milestone_Marker_Old,"")),"")</f>
        <v/>
      </c>
      <c r="BW24" s="37" t="str">
        <f ca="1">IFERROR(IF(LEN(#REF!)=0,"",IF(AW$29=#REF!,Milestone_Marker_Old,"")),"")</f>
        <v/>
      </c>
      <c r="BX24" s="37" t="str">
        <f ca="1">IFERROR(IF(LEN(#REF!)=0,"",IF(AX$29=#REF!,Milestone_Marker_Old,"")),"")</f>
        <v/>
      </c>
      <c r="BY24" s="37" t="str">
        <f ca="1">IFERROR(IF(LEN(#REF!)=0,"",IF(AY$29=#REF!,Milestone_Marker_Old,"")),"")</f>
        <v/>
      </c>
      <c r="BZ24" s="37" t="str">
        <f ca="1">IFERROR(IF(LEN(#REF!)=0,"",IF(AZ$29=#REF!,Milestone_Marker_Old,"")),"")</f>
        <v/>
      </c>
      <c r="CA24" s="37" t="str">
        <f ca="1">IFERROR(IF(LEN(#REF!)=0,"",IF(BA$29=#REF!,Milestone_Marker_Old,"")),"")</f>
        <v/>
      </c>
      <c r="CB24" s="37" t="str">
        <f ca="1">IFERROR(IF(LEN(#REF!)=0,"",IF(BB$29=#REF!,Milestone_Marker_Old,"")),"")</f>
        <v/>
      </c>
      <c r="CC24" s="37" t="str">
        <f ca="1">IFERROR(IF(LEN(#REF!)=0,"",IF(BC$29=#REF!,Milestone_Marker_Old,"")),"")</f>
        <v/>
      </c>
      <c r="CD24" s="37" t="str">
        <f ca="1">IFERROR(IF(LEN(#REF!)=0,"",IF(BD$29=#REF!,Milestone_Marker_Old,"")),"")</f>
        <v/>
      </c>
      <c r="CE24" s="37" t="str">
        <f ca="1">IFERROR(IF(LEN(#REF!)=0,"",IF(BE$29=#REF!,Milestone_Marker_Old,"")),"")</f>
        <v/>
      </c>
      <c r="CF24" s="37" t="str">
        <f ca="1">IFERROR(IF(LEN(#REF!)=0,"",IF(BF$29=#REF!,Milestone_Marker_Old,"")),"")</f>
        <v/>
      </c>
      <c r="CG24" s="37" t="str">
        <f ca="1">IFERROR(IF(LEN(#REF!)=0,"",IF(BG$29=#REF!,Milestone_Marker_Old,"")),"")</f>
        <v/>
      </c>
      <c r="CH24" s="37" t="str">
        <f ca="1">IFERROR(IF(LEN(#REF!)=0,"",IF(BH$29=#REF!,Milestone_Marker_Old,"")),"")</f>
        <v/>
      </c>
      <c r="CI24" s="37" t="str">
        <f ca="1">IFERROR(IF(LEN(#REF!)=0,"",IF(BI$29=#REF!,Milestone_Marker_Old,"")),"")</f>
        <v/>
      </c>
      <c r="CJ24" s="37" t="str">
        <f ca="1">IFERROR(IF(LEN(#REF!)=0,"",IF(BJ$29=#REF!,Milestone_Marker_Old,"")),"")</f>
        <v/>
      </c>
      <c r="CK24" s="37" t="str">
        <f ca="1">IFERROR(IF(LEN(#REF!)=0,"",IF(BK$29=#REF!,Milestone_Marker_Old,"")),"")</f>
        <v/>
      </c>
      <c r="CL24" s="37" t="str">
        <f ca="1">IFERROR(IF(LEN(#REF!)=0,"",IF(BL$29=#REF!,Milestone_Marker_Old,"")),"")</f>
        <v/>
      </c>
      <c r="CM24" s="37" t="str">
        <f ca="1">IFERROR(IF(LEN(#REF!)=0,"",IF(BM$29=#REF!,Milestone_Marker_Old,"")),"")</f>
        <v/>
      </c>
      <c r="CN24" s="37" t="str">
        <f ca="1">IFERROR(IF(LEN(#REF!)=0,"",IF(BN$29=#REF!,Milestone_Marker_Old,"")),"")</f>
        <v/>
      </c>
      <c r="CO24" s="37" t="str">
        <f ca="1">IFERROR(IF(LEN(#REF!)=0,"",IF(BO$29=#REF!,Milestone_Marker_Old,"")),"")</f>
        <v/>
      </c>
      <c r="CP24" s="37" t="str">
        <f ca="1">IFERROR(IF(LEN(#REF!)=0,"",IF(BP$29=#REF!,Milestone_Marker_Old,"")),"")</f>
        <v/>
      </c>
      <c r="CQ24" s="37" t="str">
        <f ca="1">IFERROR(IF(LEN(#REF!)=0,"",IF(BQ$29=#REF!,Milestone_Marker_Old,"")),"")</f>
        <v/>
      </c>
      <c r="CR24" s="37" t="str">
        <f ca="1">IFERROR(IF(LEN(#REF!)=0,"",IF(BR$29=#REF!,Milestone_Marker_Old,"")),"")</f>
        <v/>
      </c>
      <c r="CS24" s="37" t="str">
        <f ca="1">IFERROR(IF(LEN(#REF!)=0,"",IF(BS$29=#REF!,Milestone_Marker_Old,"")),"")</f>
        <v/>
      </c>
      <c r="CT24" s="37" t="str">
        <f ca="1">IFERROR(IF(LEN(#REF!)=0,"",IF(BT$29=#REF!,Milestone_Marker_Old,"")),"")</f>
        <v/>
      </c>
      <c r="CU24" s="37" t="str">
        <f ca="1">IFERROR(IF(LEN(#REF!)=0,"",IF(BU$29=#REF!,Milestone_Marker_Old,"")),"")</f>
        <v/>
      </c>
      <c r="CV24" s="37" t="str">
        <f ca="1">IFERROR(IF(LEN(#REF!)=0,"",IF(BV$29=#REF!,Milestone_Marker_Old,"")),"")</f>
        <v/>
      </c>
      <c r="CW24" s="37" t="str">
        <f ca="1">IFERROR(IF(LEN(#REF!)=0,"",IF(BW$29=#REF!,Milestone_Marker_Old,"")),"")</f>
        <v/>
      </c>
      <c r="CX24" s="37" t="str">
        <f ca="1">IFERROR(IF(LEN(#REF!)=0,"",IF(BX$29=#REF!,Milestone_Marker_Old,"")),"")</f>
        <v/>
      </c>
      <c r="CY24" s="37" t="str">
        <f ca="1">IFERROR(IF(LEN(#REF!)=0,"",IF(BY$29=#REF!,Milestone_Marker_Old,"")),"")</f>
        <v/>
      </c>
      <c r="CZ24" s="37" t="str">
        <f ca="1">IFERROR(IF(LEN(#REF!)=0,"",IF(BZ$29=#REF!,Milestone_Marker_Old,"")),"")</f>
        <v/>
      </c>
      <c r="DA24" s="37" t="str">
        <f ca="1">IFERROR(IF(LEN(#REF!)=0,"",IF(CA$29=#REF!,Milestone_Marker_Old,"")),"")</f>
        <v/>
      </c>
      <c r="DB24" s="37" t="str">
        <f ca="1">IFERROR(IF(LEN(#REF!)=0,"",IF(CB$29=#REF!,Milestone_Marker_Old,"")),"")</f>
        <v/>
      </c>
      <c r="DC24" s="37" t="str">
        <f ca="1">IFERROR(IF(LEN(#REF!)=0,"",IF(CC$29=#REF!,Milestone_Marker_Old,"")),"")</f>
        <v/>
      </c>
      <c r="DD24" s="37" t="str">
        <f ca="1">IFERROR(IF(LEN(#REF!)=0,"",IF(CD$29=#REF!,Milestone_Marker_Old,"")),"")</f>
        <v/>
      </c>
      <c r="DE24" s="37" t="str">
        <f ca="1">IFERROR(IF(LEN(#REF!)=0,"",IF(CE$29=#REF!,Milestone_Marker_Old,"")),"")</f>
        <v/>
      </c>
      <c r="DF24" s="37" t="str">
        <f ca="1">IFERROR(IF(LEN(#REF!)=0,"",IF(CF$29=#REF!,Milestone_Marker_Old,"")),"")</f>
        <v/>
      </c>
      <c r="DG24" s="37" t="str">
        <f ca="1">IFERROR(IF(LEN(#REF!)=0,"",IF(CG$29=#REF!,Milestone_Marker_Old,"")),"")</f>
        <v/>
      </c>
      <c r="DH24" s="37" t="str">
        <f ca="1">IFERROR(IF(LEN(#REF!)=0,"",IF(CH$29=#REF!,Milestone_Marker_Old,"")),"")</f>
        <v/>
      </c>
      <c r="DI24" s="37" t="str">
        <f ca="1">IFERROR(IF(LEN(#REF!)=0,"",IF(CI$29=#REF!,Milestone_Marker_Old,"")),"")</f>
        <v/>
      </c>
      <c r="DJ24" s="37" t="str">
        <f ca="1">IFERROR(IF(LEN(#REF!)=0,"",IF(CJ$29=#REF!,Milestone_Marker_Old,"")),"")</f>
        <v/>
      </c>
      <c r="DK24" s="37" t="str">
        <f ca="1">IFERROR(IF(LEN(#REF!)=0,"",IF(CK$29=#REF!,Milestone_Marker_Old,"")),"")</f>
        <v/>
      </c>
      <c r="DL24" s="37" t="str">
        <f ca="1">IFERROR(IF(LEN(#REF!)=0,"",IF(CL$29=#REF!,Milestone_Marker_Old,"")),"")</f>
        <v/>
      </c>
      <c r="DM24" s="37" t="str">
        <f ca="1">IFERROR(IF(LEN(#REF!)=0,"",IF(CM$29=#REF!,Milestone_Marker_Old,"")),"")</f>
        <v/>
      </c>
      <c r="DN24" s="37" t="str">
        <f ca="1">IFERROR(IF(LEN(#REF!)=0,"",IF(CN$29=#REF!,Milestone_Marker_Old,"")),"")</f>
        <v/>
      </c>
      <c r="DO24" s="37" t="str">
        <f ca="1">IFERROR(IF(LEN(#REF!)=0,"",IF(CO$29=#REF!,Milestone_Marker_Old,"")),"")</f>
        <v/>
      </c>
      <c r="DP24" s="37" t="str">
        <f ca="1">IFERROR(IF(LEN(#REF!)=0,"",IF(CP$29=#REF!,Milestone_Marker_Old,"")),"")</f>
        <v/>
      </c>
      <c r="DQ24" s="37" t="str">
        <f ca="1">IFERROR(IF(LEN(#REF!)=0,"",IF(CQ$29=#REF!,Milestone_Marker_Old,"")),"")</f>
        <v/>
      </c>
      <c r="DR24" s="37" t="str">
        <f ca="1">IFERROR(IF(LEN(#REF!)=0,"",IF(CR$29=#REF!,Milestone_Marker_Old,"")),"")</f>
        <v/>
      </c>
      <c r="DS24" s="37" t="str">
        <f ca="1">IFERROR(IF(LEN(#REF!)=0,"",IF(CS$29=#REF!,Milestone_Marker_Old,"")),"")</f>
        <v/>
      </c>
      <c r="DT24" s="37" t="str">
        <f ca="1">IFERROR(IF(LEN(#REF!)=0,"",IF(CT$29=#REF!,Milestone_Marker_Old,"")),"")</f>
        <v/>
      </c>
      <c r="DU24" s="37" t="str">
        <f ca="1">IFERROR(IF(LEN(#REF!)=0,"",IF(CU$29=#REF!,Milestone_Marker_Old,"")),"")</f>
        <v/>
      </c>
    </row>
    <row r="25" spans="1:125" s="42" customFormat="1" ht="20.100000000000001" customHeight="1">
      <c r="A25" s="127" t="s">
        <v>431</v>
      </c>
      <c r="B25" s="128">
        <f>+B24+1</f>
        <v>16</v>
      </c>
      <c r="C25" s="129"/>
      <c r="D25" s="130"/>
      <c r="E25" s="131" t="s">
        <v>432</v>
      </c>
      <c r="F25" s="132">
        <v>1</v>
      </c>
      <c r="G25" s="375">
        <v>750</v>
      </c>
      <c r="H25" s="133">
        <f>+F25*G25</f>
        <v>750</v>
      </c>
      <c r="I25" s="134" t="s">
        <v>177</v>
      </c>
      <c r="J25" s="134"/>
      <c r="K25" s="135"/>
      <c r="L25" s="134"/>
      <c r="M25" s="134">
        <v>750</v>
      </c>
      <c r="N25" s="134"/>
      <c r="O25" s="134">
        <f t="shared" si="7"/>
        <v>750</v>
      </c>
      <c r="R25" s="76"/>
      <c r="S25" s="76"/>
      <c r="T25" s="76"/>
      <c r="U25" s="76"/>
      <c r="V25" s="76"/>
      <c r="W25" s="76"/>
      <c r="X25" s="76"/>
      <c r="Y25" s="76"/>
      <c r="Z25" s="76"/>
      <c r="AA25" s="532"/>
      <c r="AB25" s="532"/>
      <c r="AC25" s="532"/>
      <c r="AD25" s="532"/>
      <c r="AE25" s="532"/>
      <c r="AF25" s="532"/>
      <c r="AG25" s="532"/>
      <c r="AH25" s="532"/>
      <c r="AI25" s="75"/>
      <c r="AJ25" s="75"/>
      <c r="AK25" s="75"/>
      <c r="AL25" s="75"/>
      <c r="AM25" s="75"/>
      <c r="AN25" s="75"/>
      <c r="AO25" s="75"/>
      <c r="AP25" s="75" t="str">
        <f ca="1">IFERROR(IF(LEN(#REF!)=0,"",IF(P$29=#REF!,Milestone_Marker_Old,"")),"")</f>
        <v/>
      </c>
      <c r="AQ25" s="37" t="str">
        <f ca="1">IFERROR(IF(LEN(#REF!)=0,"",IF(Q$29=#REF!,Milestone_Marker_Old,"")),"")</f>
        <v/>
      </c>
      <c r="AR25" s="37" t="str">
        <f ca="1">IFERROR(IF(LEN(#REF!)=0,"",IF(R$29=#REF!,Milestone_Marker_Old,"")),"")</f>
        <v/>
      </c>
      <c r="AS25" s="37" t="str">
        <f ca="1">IFERROR(IF(LEN(#REF!)=0,"",IF(S$29=#REF!,Milestone_Marker_Old,"")),"")</f>
        <v/>
      </c>
      <c r="AT25" s="37" t="str">
        <f ca="1">IFERROR(IF(LEN(#REF!)=0,"",IF(T$29=#REF!,Milestone_Marker_Old,"")),"")</f>
        <v/>
      </c>
      <c r="AU25" s="37" t="str">
        <f ca="1">IFERROR(IF(LEN(#REF!)=0,"",IF(U$29=#REF!,Milestone_Marker_Old,"")),"")</f>
        <v/>
      </c>
      <c r="AV25" s="37" t="str">
        <f ca="1">IFERROR(IF(LEN(#REF!)=0,"",IF(V$29=#REF!,Milestone_Marker_Old,"")),"")</f>
        <v/>
      </c>
      <c r="AW25" s="37" t="str">
        <f ca="1">IFERROR(IF(LEN(#REF!)=0,"",IF(W$29=#REF!,Milestone_Marker_Old,"")),"")</f>
        <v/>
      </c>
      <c r="AX25" s="37" t="str">
        <f ca="1">IFERROR(IF(LEN(#REF!)=0,"",IF(X$29=#REF!,Milestone_Marker_Old,"")),"")</f>
        <v/>
      </c>
      <c r="AY25" s="37" t="str">
        <f ca="1">IFERROR(IF(LEN(#REF!)=0,"",IF(Y$29=#REF!,Milestone_Marker_Old,"")),"")</f>
        <v/>
      </c>
      <c r="AZ25" s="37" t="str">
        <f ca="1">IFERROR(IF(LEN(#REF!)=0,"",IF(Z$29=#REF!,Milestone_Marker_Old,"")),"")</f>
        <v/>
      </c>
      <c r="BA25" s="37" t="str">
        <f ca="1">IFERROR(IF(LEN(#REF!)=0,"",IF(AA$29=#REF!,Milestone_Marker_Old,"")),"")</f>
        <v/>
      </c>
      <c r="BB25" s="37" t="str">
        <f ca="1">IFERROR(IF(LEN(#REF!)=0,"",IF(AB$29=#REF!,Milestone_Marker_Old,"")),"")</f>
        <v/>
      </c>
      <c r="BC25" s="37" t="str">
        <f ca="1">IFERROR(IF(LEN(#REF!)=0,"",IF(AC$29=#REF!,Milestone_Marker_Old,"")),"")</f>
        <v/>
      </c>
      <c r="BD25" s="37" t="str">
        <f ca="1">IFERROR(IF(LEN(#REF!)=0,"",IF(AD$29=#REF!,Milestone_Marker_Old,"")),"")</f>
        <v/>
      </c>
      <c r="BE25" s="37" t="str">
        <f ca="1">IFERROR(IF(LEN(#REF!)=0,"",IF(AE$29=#REF!,Milestone_Marker_Old,"")),"")</f>
        <v/>
      </c>
      <c r="BF25" s="37" t="str">
        <f ca="1">IFERROR(IF(LEN(#REF!)=0,"",IF(AF$29=#REF!,Milestone_Marker_Old,"")),"")</f>
        <v/>
      </c>
      <c r="BG25" s="37" t="str">
        <f ca="1">IFERROR(IF(LEN(#REF!)=0,"",IF(AG$29=#REF!,Milestone_Marker_Old,"")),"")</f>
        <v/>
      </c>
      <c r="BH25" s="37" t="str">
        <f ca="1">IFERROR(IF(LEN(#REF!)=0,"",IF(AH$29=#REF!,Milestone_Marker_Old,"")),"")</f>
        <v/>
      </c>
      <c r="BI25" s="37" t="str">
        <f ca="1">IFERROR(IF(LEN(#REF!)=0,"",IF(AI$29=#REF!,Milestone_Marker_Old,"")),"")</f>
        <v/>
      </c>
      <c r="BJ25" s="37" t="str">
        <f ca="1">IFERROR(IF(LEN(#REF!)=0,"",IF(AJ$29=#REF!,Milestone_Marker_Old,"")),"")</f>
        <v/>
      </c>
      <c r="BK25" s="37" t="str">
        <f ca="1">IFERROR(IF(LEN(#REF!)=0,"",IF(AK$29=#REF!,Milestone_Marker_Old,"")),"")</f>
        <v/>
      </c>
      <c r="BL25" s="37" t="str">
        <f ca="1">IFERROR(IF(LEN(#REF!)=0,"",IF(AL$29=#REF!,Milestone_Marker_Old,"")),"")</f>
        <v/>
      </c>
      <c r="BM25" s="37" t="str">
        <f ca="1">IFERROR(IF(LEN(#REF!)=0,"",IF(AM$29=#REF!,Milestone_Marker_Old,"")),"")</f>
        <v/>
      </c>
      <c r="BN25" s="37" t="str">
        <f ca="1">IFERROR(IF(LEN(#REF!)=0,"",IF(AN$29=#REF!,Milestone_Marker_Old,"")),"")</f>
        <v/>
      </c>
      <c r="BO25" s="37" t="str">
        <f ca="1">IFERROR(IF(LEN(#REF!)=0,"",IF(AO$29=#REF!,Milestone_Marker_Old,"")),"")</f>
        <v/>
      </c>
      <c r="BP25" s="37" t="str">
        <f ca="1">IFERROR(IF(LEN(#REF!)=0,"",IF(AP$29=#REF!,Milestone_Marker_Old,"")),"")</f>
        <v/>
      </c>
      <c r="BQ25" s="37" t="str">
        <f ca="1">IFERROR(IF(LEN(#REF!)=0,"",IF(AQ$29=#REF!,Milestone_Marker_Old,"")),"")</f>
        <v/>
      </c>
      <c r="BR25" s="37" t="str">
        <f ca="1">IFERROR(IF(LEN(#REF!)=0,"",IF(AR$29=#REF!,Milestone_Marker_Old,"")),"")</f>
        <v/>
      </c>
      <c r="BS25" s="37" t="str">
        <f ca="1">IFERROR(IF(LEN(#REF!)=0,"",IF(AS$29=#REF!,Milestone_Marker_Old,"")),"")</f>
        <v/>
      </c>
      <c r="BT25" s="37" t="str">
        <f ca="1">IFERROR(IF(LEN(#REF!)=0,"",IF(AT$29=#REF!,Milestone_Marker_Old,"")),"")</f>
        <v/>
      </c>
      <c r="BU25" s="37" t="str">
        <f ca="1">IFERROR(IF(LEN(#REF!)=0,"",IF(AU$29=#REF!,Milestone_Marker_Old,"")),"")</f>
        <v/>
      </c>
      <c r="BV25" s="37" t="str">
        <f ca="1">IFERROR(IF(LEN(#REF!)=0,"",IF(AV$29=#REF!,Milestone_Marker_Old,"")),"")</f>
        <v/>
      </c>
      <c r="BW25" s="37" t="str">
        <f ca="1">IFERROR(IF(LEN(#REF!)=0,"",IF(AW$29=#REF!,Milestone_Marker_Old,"")),"")</f>
        <v/>
      </c>
      <c r="BX25" s="37" t="str">
        <f ca="1">IFERROR(IF(LEN(#REF!)=0,"",IF(AX$29=#REF!,Milestone_Marker_Old,"")),"")</f>
        <v/>
      </c>
      <c r="BY25" s="37" t="str">
        <f ca="1">IFERROR(IF(LEN(#REF!)=0,"",IF(AY$29=#REF!,Milestone_Marker_Old,"")),"")</f>
        <v/>
      </c>
      <c r="BZ25" s="37" t="str">
        <f ca="1">IFERROR(IF(LEN(#REF!)=0,"",IF(AZ$29=#REF!,Milestone_Marker_Old,"")),"")</f>
        <v/>
      </c>
      <c r="CA25" s="37" t="str">
        <f ca="1">IFERROR(IF(LEN(#REF!)=0,"",IF(BA$29=#REF!,Milestone_Marker_Old,"")),"")</f>
        <v/>
      </c>
      <c r="CB25" s="37" t="str">
        <f ca="1">IFERROR(IF(LEN(#REF!)=0,"",IF(BB$29=#REF!,Milestone_Marker_Old,"")),"")</f>
        <v/>
      </c>
      <c r="CC25" s="37" t="str">
        <f ca="1">IFERROR(IF(LEN(#REF!)=0,"",IF(BC$29=#REF!,Milestone_Marker_Old,"")),"")</f>
        <v/>
      </c>
      <c r="CD25" s="37" t="str">
        <f ca="1">IFERROR(IF(LEN(#REF!)=0,"",IF(BD$29=#REF!,Milestone_Marker_Old,"")),"")</f>
        <v/>
      </c>
      <c r="CE25" s="37" t="str">
        <f ca="1">IFERROR(IF(LEN(#REF!)=0,"",IF(BE$29=#REF!,Milestone_Marker_Old,"")),"")</f>
        <v/>
      </c>
      <c r="CF25" s="37" t="str">
        <f ca="1">IFERROR(IF(LEN(#REF!)=0,"",IF(BF$29=#REF!,Milestone_Marker_Old,"")),"")</f>
        <v/>
      </c>
      <c r="CG25" s="37" t="str">
        <f ca="1">IFERROR(IF(LEN(#REF!)=0,"",IF(BG$29=#REF!,Milestone_Marker_Old,"")),"")</f>
        <v/>
      </c>
      <c r="CH25" s="37" t="str">
        <f ca="1">IFERROR(IF(LEN(#REF!)=0,"",IF(BH$29=#REF!,Milestone_Marker_Old,"")),"")</f>
        <v/>
      </c>
      <c r="CI25" s="37" t="str">
        <f ca="1">IFERROR(IF(LEN(#REF!)=0,"",IF(BI$29=#REF!,Milestone_Marker_Old,"")),"")</f>
        <v/>
      </c>
      <c r="CJ25" s="37" t="str">
        <f ca="1">IFERROR(IF(LEN(#REF!)=0,"",IF(BJ$29=#REF!,Milestone_Marker_Old,"")),"")</f>
        <v/>
      </c>
      <c r="CK25" s="37" t="str">
        <f ca="1">IFERROR(IF(LEN(#REF!)=0,"",IF(BK$29=#REF!,Milestone_Marker_Old,"")),"")</f>
        <v/>
      </c>
      <c r="CL25" s="37" t="str">
        <f ca="1">IFERROR(IF(LEN(#REF!)=0,"",IF(BL$29=#REF!,Milestone_Marker_Old,"")),"")</f>
        <v/>
      </c>
      <c r="CM25" s="37" t="str">
        <f ca="1">IFERROR(IF(LEN(#REF!)=0,"",IF(BM$29=#REF!,Milestone_Marker_Old,"")),"")</f>
        <v/>
      </c>
      <c r="CN25" s="37" t="str">
        <f ca="1">IFERROR(IF(LEN(#REF!)=0,"",IF(BN$29=#REF!,Milestone_Marker_Old,"")),"")</f>
        <v/>
      </c>
      <c r="CO25" s="37" t="str">
        <f ca="1">IFERROR(IF(LEN(#REF!)=0,"",IF(BO$29=#REF!,Milestone_Marker_Old,"")),"")</f>
        <v/>
      </c>
      <c r="CP25" s="37" t="str">
        <f ca="1">IFERROR(IF(LEN(#REF!)=0,"",IF(BP$29=#REF!,Milestone_Marker_Old,"")),"")</f>
        <v/>
      </c>
      <c r="CQ25" s="37" t="str">
        <f ca="1">IFERROR(IF(LEN(#REF!)=0,"",IF(BQ$29=#REF!,Milestone_Marker_Old,"")),"")</f>
        <v/>
      </c>
      <c r="CR25" s="37" t="str">
        <f ca="1">IFERROR(IF(LEN(#REF!)=0,"",IF(BR$29=#REF!,Milestone_Marker_Old,"")),"")</f>
        <v/>
      </c>
      <c r="CS25" s="37" t="str">
        <f ca="1">IFERROR(IF(LEN(#REF!)=0,"",IF(BS$29=#REF!,Milestone_Marker_Old,"")),"")</f>
        <v/>
      </c>
      <c r="CT25" s="37" t="str">
        <f ca="1">IFERROR(IF(LEN(#REF!)=0,"",IF(BT$29=#REF!,Milestone_Marker_Old,"")),"")</f>
        <v/>
      </c>
      <c r="CU25" s="37" t="str">
        <f ca="1">IFERROR(IF(LEN(#REF!)=0,"",IF(BU$29=#REF!,Milestone_Marker_Old,"")),"")</f>
        <v/>
      </c>
      <c r="CV25" s="37" t="str">
        <f ca="1">IFERROR(IF(LEN(#REF!)=0,"",IF(BV$29=#REF!,Milestone_Marker_Old,"")),"")</f>
        <v/>
      </c>
      <c r="CW25" s="37" t="str">
        <f ca="1">IFERROR(IF(LEN(#REF!)=0,"",IF(BW$29=#REF!,Milestone_Marker_Old,"")),"")</f>
        <v/>
      </c>
      <c r="CX25" s="37" t="str">
        <f ca="1">IFERROR(IF(LEN(#REF!)=0,"",IF(BX$29=#REF!,Milestone_Marker_Old,"")),"")</f>
        <v/>
      </c>
      <c r="CY25" s="37" t="str">
        <f ca="1">IFERROR(IF(LEN(#REF!)=0,"",IF(BY$29=#REF!,Milestone_Marker_Old,"")),"")</f>
        <v/>
      </c>
      <c r="CZ25" s="37" t="str">
        <f ca="1">IFERROR(IF(LEN(#REF!)=0,"",IF(BZ$29=#REF!,Milestone_Marker_Old,"")),"")</f>
        <v/>
      </c>
      <c r="DA25" s="37" t="str">
        <f ca="1">IFERROR(IF(LEN(#REF!)=0,"",IF(CA$29=#REF!,Milestone_Marker_Old,"")),"")</f>
        <v/>
      </c>
      <c r="DB25" s="37" t="str">
        <f ca="1">IFERROR(IF(LEN(#REF!)=0,"",IF(CB$29=#REF!,Milestone_Marker_Old,"")),"")</f>
        <v/>
      </c>
      <c r="DC25" s="37" t="str">
        <f ca="1">IFERROR(IF(LEN(#REF!)=0,"",IF(CC$29=#REF!,Milestone_Marker_Old,"")),"")</f>
        <v/>
      </c>
      <c r="DD25" s="37" t="str">
        <f ca="1">IFERROR(IF(LEN(#REF!)=0,"",IF(CD$29=#REF!,Milestone_Marker_Old,"")),"")</f>
        <v/>
      </c>
      <c r="DE25" s="37" t="str">
        <f ca="1">IFERROR(IF(LEN(#REF!)=0,"",IF(CE$29=#REF!,Milestone_Marker_Old,"")),"")</f>
        <v/>
      </c>
      <c r="DF25" s="37" t="str">
        <f ca="1">IFERROR(IF(LEN(#REF!)=0,"",IF(CF$29=#REF!,Milestone_Marker_Old,"")),"")</f>
        <v/>
      </c>
      <c r="DG25" s="37" t="str">
        <f ca="1">IFERROR(IF(LEN(#REF!)=0,"",IF(CG$29=#REF!,Milestone_Marker_Old,"")),"")</f>
        <v/>
      </c>
      <c r="DH25" s="37" t="str">
        <f ca="1">IFERROR(IF(LEN(#REF!)=0,"",IF(CH$29=#REF!,Milestone_Marker_Old,"")),"")</f>
        <v/>
      </c>
      <c r="DI25" s="37" t="str">
        <f ca="1">IFERROR(IF(LEN(#REF!)=0,"",IF(CI$29=#REF!,Milestone_Marker_Old,"")),"")</f>
        <v/>
      </c>
      <c r="DJ25" s="37" t="str">
        <f ca="1">IFERROR(IF(LEN(#REF!)=0,"",IF(CJ$29=#REF!,Milestone_Marker_Old,"")),"")</f>
        <v/>
      </c>
      <c r="DK25" s="37" t="str">
        <f ca="1">IFERROR(IF(LEN(#REF!)=0,"",IF(CK$29=#REF!,Milestone_Marker_Old,"")),"")</f>
        <v/>
      </c>
      <c r="DL25" s="37" t="str">
        <f ca="1">IFERROR(IF(LEN(#REF!)=0,"",IF(CL$29=#REF!,Milestone_Marker_Old,"")),"")</f>
        <v/>
      </c>
      <c r="DM25" s="37" t="str">
        <f ca="1">IFERROR(IF(LEN(#REF!)=0,"",IF(CM$29=#REF!,Milestone_Marker_Old,"")),"")</f>
        <v/>
      </c>
      <c r="DN25" s="37" t="str">
        <f ca="1">IFERROR(IF(LEN(#REF!)=0,"",IF(CN$29=#REF!,Milestone_Marker_Old,"")),"")</f>
        <v/>
      </c>
      <c r="DO25" s="37" t="str">
        <f ca="1">IFERROR(IF(LEN(#REF!)=0,"",IF(CO$29=#REF!,Milestone_Marker_Old,"")),"")</f>
        <v/>
      </c>
      <c r="DP25" s="37" t="str">
        <f ca="1">IFERROR(IF(LEN(#REF!)=0,"",IF(CP$29=#REF!,Milestone_Marker_Old,"")),"")</f>
        <v/>
      </c>
      <c r="DQ25" s="37" t="str">
        <f ca="1">IFERROR(IF(LEN(#REF!)=0,"",IF(CQ$29=#REF!,Milestone_Marker_Old,"")),"")</f>
        <v/>
      </c>
      <c r="DR25" s="37" t="str">
        <f ca="1">IFERROR(IF(LEN(#REF!)=0,"",IF(CR$29=#REF!,Milestone_Marker_Old,"")),"")</f>
        <v/>
      </c>
      <c r="DS25" s="37" t="str">
        <f ca="1">IFERROR(IF(LEN(#REF!)=0,"",IF(CS$29=#REF!,Milestone_Marker_Old,"")),"")</f>
        <v/>
      </c>
      <c r="DT25" s="37" t="str">
        <f ca="1">IFERROR(IF(LEN(#REF!)=0,"",IF(CT$29=#REF!,Milestone_Marker_Old,"")),"")</f>
        <v/>
      </c>
      <c r="DU25" s="37" t="str">
        <f ca="1">IFERROR(IF(LEN(#REF!)=0,"",IF(CU$29=#REF!,Milestone_Marker_Old,"")),"")</f>
        <v/>
      </c>
    </row>
    <row r="26" spans="1:125" s="42" customFormat="1" ht="20.100000000000001" customHeight="1">
      <c r="A26" s="127" t="s">
        <v>433</v>
      </c>
      <c r="B26" s="128">
        <f>+B25+1</f>
        <v>17</v>
      </c>
      <c r="C26" s="129"/>
      <c r="D26" s="130"/>
      <c r="E26" s="131" t="s">
        <v>434</v>
      </c>
      <c r="F26" s="132">
        <v>0</v>
      </c>
      <c r="G26" s="133">
        <f>+HVAC!F13</f>
        <v>13062</v>
      </c>
      <c r="H26" s="133">
        <f>+F26*G26</f>
        <v>0</v>
      </c>
      <c r="I26" s="134"/>
      <c r="J26" s="134"/>
      <c r="K26" s="135"/>
      <c r="L26" s="134"/>
      <c r="M26" s="134"/>
      <c r="N26" s="134"/>
      <c r="O26" s="134">
        <f t="shared" si="7"/>
        <v>0</v>
      </c>
      <c r="R26" s="76"/>
      <c r="S26" s="76"/>
      <c r="T26" s="76"/>
      <c r="U26" s="76"/>
      <c r="V26" s="76"/>
      <c r="W26" s="76"/>
      <c r="X26" s="76"/>
      <c r="Y26" s="76"/>
      <c r="Z26" s="76"/>
      <c r="AB26" s="98">
        <v>0</v>
      </c>
      <c r="AC26" s="75"/>
      <c r="AD26" s="75"/>
      <c r="AE26" s="75"/>
      <c r="AF26" s="75"/>
      <c r="AG26" s="75"/>
      <c r="AH26" s="75"/>
      <c r="AI26" s="75"/>
      <c r="AJ26" s="75"/>
      <c r="AK26" s="75"/>
      <c r="AL26" s="75"/>
      <c r="AM26" s="75"/>
      <c r="AN26" s="75"/>
      <c r="AO26" s="75"/>
      <c r="AP26" s="75"/>
    </row>
    <row r="27" spans="1:125" s="42" customFormat="1" ht="20.100000000000001" customHeight="1">
      <c r="A27" s="127" t="s">
        <v>433</v>
      </c>
      <c r="B27" s="128">
        <f>+B26+1</f>
        <v>18</v>
      </c>
      <c r="C27" s="129"/>
      <c r="D27" s="130"/>
      <c r="E27" s="131" t="s">
        <v>435</v>
      </c>
      <c r="F27" s="132">
        <v>0</v>
      </c>
      <c r="G27" s="133">
        <v>4598</v>
      </c>
      <c r="H27" s="133">
        <f>+F27*G27</f>
        <v>0</v>
      </c>
      <c r="I27" s="134"/>
      <c r="J27" s="134"/>
      <c r="K27" s="135"/>
      <c r="L27" s="134"/>
      <c r="M27" s="134"/>
      <c r="N27" s="134"/>
      <c r="O27" s="134">
        <f t="shared" si="7"/>
        <v>0</v>
      </c>
      <c r="R27" s="76"/>
      <c r="S27" s="76"/>
      <c r="T27" s="76"/>
      <c r="U27" s="76"/>
      <c r="V27" s="76"/>
      <c r="W27" s="76"/>
      <c r="X27" s="76"/>
      <c r="Y27" s="76"/>
      <c r="Z27" s="76"/>
    </row>
    <row r="28" spans="1:125" s="42" customFormat="1" ht="21.75" thickBot="1">
      <c r="A28" s="136"/>
      <c r="B28" s="137"/>
      <c r="C28" s="136"/>
      <c r="D28" s="136"/>
      <c r="E28" s="124" t="s">
        <v>436</v>
      </c>
      <c r="F28" s="136"/>
      <c r="G28" s="136"/>
      <c r="H28" s="136"/>
      <c r="I28" s="136"/>
      <c r="J28" s="136"/>
      <c r="K28" s="138"/>
      <c r="L28" s="136"/>
      <c r="M28" s="136"/>
      <c r="N28" s="136"/>
      <c r="O28" s="136"/>
      <c r="P28" s="88" t="str">
        <f ca="1">IF(TEXT(Project_Start,"mmmm")=TEXT(P29,"mmmm"),"",TEXT(P29,"mmmm"))</f>
        <v/>
      </c>
      <c r="Q28" s="88" t="str">
        <f t="shared" ref="Q28:AV28" ca="1" si="8">IF(TEXT(P29,"mmmm")=TEXT(Q29,"mmmm"),"",TEXT(Q29,"mmmm"))</f>
        <v/>
      </c>
      <c r="R28" s="88" t="str">
        <f t="shared" ca="1" si="8"/>
        <v/>
      </c>
      <c r="S28" s="88" t="str">
        <f t="shared" ca="1" si="8"/>
        <v/>
      </c>
      <c r="T28" s="88" t="str">
        <f t="shared" ca="1" si="8"/>
        <v/>
      </c>
      <c r="U28" s="88" t="str">
        <f t="shared" ca="1" si="8"/>
        <v/>
      </c>
      <c r="V28" s="88" t="str">
        <f t="shared" ca="1" si="8"/>
        <v/>
      </c>
      <c r="W28" s="88" t="str">
        <f t="shared" ca="1" si="8"/>
        <v/>
      </c>
      <c r="X28" s="88" t="str">
        <f t="shared" ca="1" si="8"/>
        <v/>
      </c>
      <c r="Y28" s="88" t="str">
        <f t="shared" ca="1" si="8"/>
        <v/>
      </c>
      <c r="Z28" s="88" t="str">
        <f t="shared" ca="1" si="8"/>
        <v/>
      </c>
      <c r="AA28" s="88" t="str">
        <f t="shared" ca="1" si="8"/>
        <v/>
      </c>
      <c r="AB28" s="88" t="str">
        <f t="shared" ca="1" si="8"/>
        <v/>
      </c>
      <c r="AC28" s="88" t="str">
        <f t="shared" ca="1" si="8"/>
        <v/>
      </c>
      <c r="AD28" s="88" t="str">
        <f t="shared" ca="1" si="8"/>
        <v/>
      </c>
      <c r="AE28" s="88" t="str">
        <f t="shared" ca="1" si="8"/>
        <v/>
      </c>
      <c r="AF28" s="88" t="str">
        <f t="shared" ca="1" si="8"/>
        <v/>
      </c>
      <c r="AG28" s="88" t="str">
        <f t="shared" ca="1" si="8"/>
        <v/>
      </c>
      <c r="AH28" s="88" t="str">
        <f t="shared" ca="1" si="8"/>
        <v/>
      </c>
      <c r="AI28" s="88" t="str">
        <f t="shared" ca="1" si="8"/>
        <v/>
      </c>
      <c r="AJ28" s="88" t="str">
        <f t="shared" ca="1" si="8"/>
        <v/>
      </c>
      <c r="AK28" s="88" t="str">
        <f t="shared" ca="1" si="8"/>
        <v/>
      </c>
      <c r="AL28" s="88" t="str">
        <f t="shared" ca="1" si="8"/>
        <v/>
      </c>
      <c r="AM28" s="88" t="str">
        <f t="shared" ca="1" si="8"/>
        <v/>
      </c>
      <c r="AN28" s="88" t="str">
        <f t="shared" ca="1" si="8"/>
        <v/>
      </c>
      <c r="AO28" s="88" t="str">
        <f t="shared" ca="1" si="8"/>
        <v/>
      </c>
      <c r="AP28" s="88" t="str">
        <f t="shared" ca="1" si="8"/>
        <v/>
      </c>
      <c r="AQ28" s="88" t="str">
        <f t="shared" ca="1" si="8"/>
        <v/>
      </c>
      <c r="AR28" s="88" t="str">
        <f t="shared" ca="1" si="8"/>
        <v/>
      </c>
      <c r="AS28" s="88" t="str">
        <f t="shared" ca="1" si="8"/>
        <v/>
      </c>
      <c r="AT28" s="88" t="str">
        <f t="shared" ca="1" si="8"/>
        <v/>
      </c>
      <c r="AU28" s="88" t="str">
        <f t="shared" ca="1" si="8"/>
        <v/>
      </c>
      <c r="AV28" s="88" t="str">
        <f t="shared" ca="1" si="8"/>
        <v>February</v>
      </c>
      <c r="AW28" s="88" t="str">
        <f t="shared" ref="AW28:CB28" ca="1" si="9">IF(TEXT(AV29,"mmmm")=TEXT(AW29,"mmmm"),"",TEXT(AW29,"mmmm"))</f>
        <v/>
      </c>
      <c r="AX28" s="88" t="str">
        <f t="shared" ca="1" si="9"/>
        <v/>
      </c>
      <c r="AY28" s="88" t="str">
        <f t="shared" ca="1" si="9"/>
        <v/>
      </c>
      <c r="AZ28" s="88" t="str">
        <f t="shared" ca="1" si="9"/>
        <v/>
      </c>
      <c r="BA28" s="88" t="str">
        <f t="shared" ca="1" si="9"/>
        <v/>
      </c>
      <c r="BB28" s="88" t="str">
        <f t="shared" ca="1" si="9"/>
        <v/>
      </c>
      <c r="BC28" s="88" t="str">
        <f t="shared" ca="1" si="9"/>
        <v/>
      </c>
      <c r="BD28" s="88" t="str">
        <f t="shared" ca="1" si="9"/>
        <v/>
      </c>
      <c r="BE28" s="88" t="str">
        <f t="shared" ca="1" si="9"/>
        <v/>
      </c>
      <c r="BF28" s="88" t="str">
        <f t="shared" ca="1" si="9"/>
        <v/>
      </c>
      <c r="BG28" s="88" t="str">
        <f t="shared" ca="1" si="9"/>
        <v/>
      </c>
      <c r="BH28" s="88" t="str">
        <f t="shared" ca="1" si="9"/>
        <v/>
      </c>
      <c r="BI28" s="88" t="str">
        <f t="shared" ca="1" si="9"/>
        <v/>
      </c>
      <c r="BJ28" s="88" t="str">
        <f t="shared" ca="1" si="9"/>
        <v/>
      </c>
      <c r="BK28" s="88" t="str">
        <f t="shared" ca="1" si="9"/>
        <v/>
      </c>
      <c r="BL28" s="88" t="str">
        <f t="shared" ca="1" si="9"/>
        <v/>
      </c>
      <c r="BM28" s="88" t="str">
        <f t="shared" ca="1" si="9"/>
        <v/>
      </c>
      <c r="BN28" s="88" t="str">
        <f t="shared" ca="1" si="9"/>
        <v/>
      </c>
      <c r="BO28" s="88" t="str">
        <f t="shared" ca="1" si="9"/>
        <v/>
      </c>
      <c r="BP28" s="88" t="str">
        <f t="shared" ca="1" si="9"/>
        <v/>
      </c>
      <c r="BQ28" s="88" t="str">
        <f t="shared" ca="1" si="9"/>
        <v/>
      </c>
      <c r="BR28" s="88" t="str">
        <f t="shared" ca="1" si="9"/>
        <v/>
      </c>
      <c r="BS28" s="88" t="str">
        <f t="shared" ca="1" si="9"/>
        <v/>
      </c>
      <c r="BT28" s="88" t="str">
        <f t="shared" ca="1" si="9"/>
        <v/>
      </c>
      <c r="BU28" s="88" t="str">
        <f t="shared" ca="1" si="9"/>
        <v/>
      </c>
      <c r="BV28" s="88" t="str">
        <f t="shared" ca="1" si="9"/>
        <v/>
      </c>
      <c r="BW28" s="88" t="str">
        <f t="shared" ca="1" si="9"/>
        <v/>
      </c>
      <c r="BX28" s="88" t="str">
        <f t="shared" ca="1" si="9"/>
        <v/>
      </c>
      <c r="BY28" s="88" t="str">
        <f t="shared" ca="1" si="9"/>
        <v>March</v>
      </c>
      <c r="BZ28" s="88" t="str">
        <f t="shared" ca="1" si="9"/>
        <v/>
      </c>
      <c r="CA28" s="88" t="str">
        <f t="shared" ca="1" si="9"/>
        <v/>
      </c>
      <c r="CB28" s="88" t="str">
        <f t="shared" ca="1" si="9"/>
        <v/>
      </c>
      <c r="CC28" s="88" t="str">
        <f t="shared" ref="CC28:CU28" ca="1" si="10">IF(TEXT(CB29,"mmmm")=TEXT(CC29,"mmmm"),"",TEXT(CC29,"mmmm"))</f>
        <v/>
      </c>
      <c r="CD28" s="88" t="str">
        <f t="shared" ca="1" si="10"/>
        <v/>
      </c>
      <c r="CE28" s="88" t="str">
        <f t="shared" ca="1" si="10"/>
        <v/>
      </c>
      <c r="CF28" s="88" t="str">
        <f t="shared" ca="1" si="10"/>
        <v/>
      </c>
      <c r="CG28" s="88" t="str">
        <f t="shared" ca="1" si="10"/>
        <v/>
      </c>
      <c r="CH28" s="88" t="str">
        <f t="shared" ca="1" si="10"/>
        <v/>
      </c>
      <c r="CI28" s="88" t="str">
        <f t="shared" ca="1" si="10"/>
        <v/>
      </c>
      <c r="CJ28" s="88" t="str">
        <f t="shared" ca="1" si="10"/>
        <v/>
      </c>
      <c r="CK28" s="88" t="str">
        <f t="shared" ca="1" si="10"/>
        <v/>
      </c>
      <c r="CL28" s="88" t="str">
        <f t="shared" ca="1" si="10"/>
        <v/>
      </c>
      <c r="CM28" s="88" t="str">
        <f t="shared" ca="1" si="10"/>
        <v/>
      </c>
      <c r="CN28" s="88" t="str">
        <f t="shared" ca="1" si="10"/>
        <v/>
      </c>
      <c r="CO28" s="88" t="str">
        <f t="shared" ca="1" si="10"/>
        <v/>
      </c>
      <c r="CP28" s="88" t="str">
        <f t="shared" ca="1" si="10"/>
        <v/>
      </c>
      <c r="CQ28" s="88" t="str">
        <f t="shared" ca="1" si="10"/>
        <v/>
      </c>
      <c r="CR28" s="88" t="str">
        <f t="shared" ca="1" si="10"/>
        <v/>
      </c>
      <c r="CS28" s="88" t="str">
        <f t="shared" ca="1" si="10"/>
        <v/>
      </c>
      <c r="CT28" s="88" t="str">
        <f t="shared" ca="1" si="10"/>
        <v/>
      </c>
      <c r="CU28" s="88" t="str">
        <f t="shared" ca="1" si="10"/>
        <v/>
      </c>
    </row>
    <row r="29" spans="1:125" s="84" customFormat="1" ht="34.5" customHeight="1" thickTop="1">
      <c r="A29" s="139" t="s">
        <v>389</v>
      </c>
      <c r="B29" s="139" t="s">
        <v>390</v>
      </c>
      <c r="C29" s="139" t="s">
        <v>391</v>
      </c>
      <c r="D29" s="139" t="s">
        <v>392</v>
      </c>
      <c r="E29" s="139" t="s">
        <v>393</v>
      </c>
      <c r="F29" s="139" t="s">
        <v>337</v>
      </c>
      <c r="G29" s="140" t="s">
        <v>338</v>
      </c>
      <c r="H29" s="140" t="s">
        <v>394</v>
      </c>
      <c r="I29" s="139" t="s">
        <v>395</v>
      </c>
      <c r="J29" s="139" t="s">
        <v>396</v>
      </c>
      <c r="K29" s="141" t="s">
        <v>83</v>
      </c>
      <c r="L29" s="139" t="s">
        <v>397</v>
      </c>
      <c r="M29" s="139" t="s">
        <v>398</v>
      </c>
      <c r="N29" s="139" t="s">
        <v>161</v>
      </c>
      <c r="O29" s="139" t="s">
        <v>412</v>
      </c>
      <c r="P29" s="92">
        <f ca="1">IFERROR(Project_Start+Scrolling_Increment,TODAY())</f>
        <v>0</v>
      </c>
      <c r="Q29" s="92">
        <f t="shared" ref="Q29:AV29" ca="1" si="11">+P29+1</f>
        <v>1</v>
      </c>
      <c r="R29" s="92">
        <f t="shared" ca="1" si="11"/>
        <v>2</v>
      </c>
      <c r="S29" s="92">
        <f t="shared" ca="1" si="11"/>
        <v>3</v>
      </c>
      <c r="T29" s="92">
        <f t="shared" ca="1" si="11"/>
        <v>4</v>
      </c>
      <c r="U29" s="92">
        <f t="shared" ca="1" si="11"/>
        <v>5</v>
      </c>
      <c r="V29" s="92">
        <f t="shared" ca="1" si="11"/>
        <v>6</v>
      </c>
      <c r="W29" s="92">
        <f t="shared" ca="1" si="11"/>
        <v>7</v>
      </c>
      <c r="X29" s="92">
        <f t="shared" ca="1" si="11"/>
        <v>8</v>
      </c>
      <c r="Y29" s="92">
        <f t="shared" ca="1" si="11"/>
        <v>9</v>
      </c>
      <c r="Z29" s="92">
        <f t="shared" ca="1" si="11"/>
        <v>10</v>
      </c>
      <c r="AA29" s="92">
        <f t="shared" ca="1" si="11"/>
        <v>11</v>
      </c>
      <c r="AB29" s="92">
        <f t="shared" ca="1" si="11"/>
        <v>12</v>
      </c>
      <c r="AC29" s="92">
        <f t="shared" ca="1" si="11"/>
        <v>13</v>
      </c>
      <c r="AD29" s="92">
        <f t="shared" ca="1" si="11"/>
        <v>14</v>
      </c>
      <c r="AE29" s="92">
        <f t="shared" ca="1" si="11"/>
        <v>15</v>
      </c>
      <c r="AF29" s="92">
        <f t="shared" ca="1" si="11"/>
        <v>16</v>
      </c>
      <c r="AG29" s="92">
        <f t="shared" ca="1" si="11"/>
        <v>17</v>
      </c>
      <c r="AH29" s="92">
        <f t="shared" ca="1" si="11"/>
        <v>18</v>
      </c>
      <c r="AI29" s="92">
        <f t="shared" ca="1" si="11"/>
        <v>19</v>
      </c>
      <c r="AJ29" s="92">
        <f t="shared" ca="1" si="11"/>
        <v>20</v>
      </c>
      <c r="AK29" s="92">
        <f t="shared" ca="1" si="11"/>
        <v>21</v>
      </c>
      <c r="AL29" s="92">
        <f t="shared" ca="1" si="11"/>
        <v>22</v>
      </c>
      <c r="AM29" s="92">
        <f t="shared" ca="1" si="11"/>
        <v>23</v>
      </c>
      <c r="AN29" s="92">
        <f t="shared" ca="1" si="11"/>
        <v>24</v>
      </c>
      <c r="AO29" s="92">
        <f t="shared" ca="1" si="11"/>
        <v>25</v>
      </c>
      <c r="AP29" s="92">
        <f t="shared" ca="1" si="11"/>
        <v>26</v>
      </c>
      <c r="AQ29" s="92">
        <f t="shared" ca="1" si="11"/>
        <v>27</v>
      </c>
      <c r="AR29" s="92">
        <f t="shared" ca="1" si="11"/>
        <v>28</v>
      </c>
      <c r="AS29" s="92">
        <f t="shared" ca="1" si="11"/>
        <v>29</v>
      </c>
      <c r="AT29" s="92">
        <f t="shared" ca="1" si="11"/>
        <v>30</v>
      </c>
      <c r="AU29" s="92">
        <f t="shared" ca="1" si="11"/>
        <v>31</v>
      </c>
      <c r="AV29" s="92">
        <f t="shared" ca="1" si="11"/>
        <v>32</v>
      </c>
      <c r="AW29" s="92">
        <f t="shared" ref="AW29:CB29" ca="1" si="12">+AV29+1</f>
        <v>33</v>
      </c>
      <c r="AX29" s="92">
        <f t="shared" ca="1" si="12"/>
        <v>34</v>
      </c>
      <c r="AY29" s="92">
        <f t="shared" ca="1" si="12"/>
        <v>35</v>
      </c>
      <c r="AZ29" s="92">
        <f t="shared" ca="1" si="12"/>
        <v>36</v>
      </c>
      <c r="BA29" s="92">
        <f t="shared" ca="1" si="12"/>
        <v>37</v>
      </c>
      <c r="BB29" s="92">
        <f t="shared" ca="1" si="12"/>
        <v>38</v>
      </c>
      <c r="BC29" s="92">
        <f t="shared" ca="1" si="12"/>
        <v>39</v>
      </c>
      <c r="BD29" s="92">
        <f t="shared" ca="1" si="12"/>
        <v>40</v>
      </c>
      <c r="BE29" s="92">
        <f t="shared" ca="1" si="12"/>
        <v>41</v>
      </c>
      <c r="BF29" s="92">
        <f t="shared" ca="1" si="12"/>
        <v>42</v>
      </c>
      <c r="BG29" s="92">
        <f t="shared" ca="1" si="12"/>
        <v>43</v>
      </c>
      <c r="BH29" s="92">
        <f t="shared" ca="1" si="12"/>
        <v>44</v>
      </c>
      <c r="BI29" s="92">
        <f t="shared" ca="1" si="12"/>
        <v>45</v>
      </c>
      <c r="BJ29" s="92">
        <f t="shared" ca="1" si="12"/>
        <v>46</v>
      </c>
      <c r="BK29" s="92">
        <f t="shared" ca="1" si="12"/>
        <v>47</v>
      </c>
      <c r="BL29" s="92">
        <f t="shared" ca="1" si="12"/>
        <v>48</v>
      </c>
      <c r="BM29" s="92">
        <f t="shared" ca="1" si="12"/>
        <v>49</v>
      </c>
      <c r="BN29" s="92">
        <f t="shared" ca="1" si="12"/>
        <v>50</v>
      </c>
      <c r="BO29" s="92">
        <f t="shared" ca="1" si="12"/>
        <v>51</v>
      </c>
      <c r="BP29" s="92">
        <f t="shared" ca="1" si="12"/>
        <v>52</v>
      </c>
      <c r="BQ29" s="92">
        <f t="shared" ca="1" si="12"/>
        <v>53</v>
      </c>
      <c r="BR29" s="92">
        <f t="shared" ca="1" si="12"/>
        <v>54</v>
      </c>
      <c r="BS29" s="92">
        <f t="shared" ca="1" si="12"/>
        <v>55</v>
      </c>
      <c r="BT29" s="92">
        <f t="shared" ca="1" si="12"/>
        <v>56</v>
      </c>
      <c r="BU29" s="92">
        <f t="shared" ca="1" si="12"/>
        <v>57</v>
      </c>
      <c r="BV29" s="92">
        <f t="shared" ca="1" si="12"/>
        <v>58</v>
      </c>
      <c r="BW29" s="92">
        <f t="shared" ca="1" si="12"/>
        <v>59</v>
      </c>
      <c r="BX29" s="92">
        <f t="shared" ca="1" si="12"/>
        <v>60</v>
      </c>
      <c r="BY29" s="92">
        <f t="shared" ca="1" si="12"/>
        <v>61</v>
      </c>
      <c r="BZ29" s="92">
        <f t="shared" ca="1" si="12"/>
        <v>62</v>
      </c>
      <c r="CA29" s="92">
        <f t="shared" ca="1" si="12"/>
        <v>63</v>
      </c>
      <c r="CB29" s="92">
        <f t="shared" ca="1" si="12"/>
        <v>64</v>
      </c>
      <c r="CC29" s="92">
        <f t="shared" ref="CC29:CU29" ca="1" si="13">+CB29+1</f>
        <v>65</v>
      </c>
      <c r="CD29" s="92">
        <f t="shared" ca="1" si="13"/>
        <v>66</v>
      </c>
      <c r="CE29" s="92">
        <f t="shared" ca="1" si="13"/>
        <v>67</v>
      </c>
      <c r="CF29" s="92">
        <f t="shared" ca="1" si="13"/>
        <v>68</v>
      </c>
      <c r="CG29" s="92">
        <f t="shared" ca="1" si="13"/>
        <v>69</v>
      </c>
      <c r="CH29" s="92">
        <f t="shared" ca="1" si="13"/>
        <v>70</v>
      </c>
      <c r="CI29" s="92">
        <f t="shared" ca="1" si="13"/>
        <v>71</v>
      </c>
      <c r="CJ29" s="92">
        <f t="shared" ca="1" si="13"/>
        <v>72</v>
      </c>
      <c r="CK29" s="92">
        <f t="shared" ca="1" si="13"/>
        <v>73</v>
      </c>
      <c r="CL29" s="92">
        <f t="shared" ca="1" si="13"/>
        <v>74</v>
      </c>
      <c r="CM29" s="92">
        <f t="shared" ca="1" si="13"/>
        <v>75</v>
      </c>
      <c r="CN29" s="92">
        <f t="shared" ca="1" si="13"/>
        <v>76</v>
      </c>
      <c r="CO29" s="92">
        <f t="shared" ca="1" si="13"/>
        <v>77</v>
      </c>
      <c r="CP29" s="92">
        <f t="shared" ca="1" si="13"/>
        <v>78</v>
      </c>
      <c r="CQ29" s="92">
        <f t="shared" ca="1" si="13"/>
        <v>79</v>
      </c>
      <c r="CR29" s="92">
        <f t="shared" ca="1" si="13"/>
        <v>80</v>
      </c>
      <c r="CS29" s="92">
        <f t="shared" ca="1" si="13"/>
        <v>81</v>
      </c>
      <c r="CT29" s="92">
        <f t="shared" ca="1" si="13"/>
        <v>82</v>
      </c>
      <c r="CU29" s="92">
        <f t="shared" ca="1" si="13"/>
        <v>83</v>
      </c>
    </row>
    <row r="30" spans="1:125" s="42" customFormat="1" ht="20.100000000000001" customHeight="1">
      <c r="A30" t="s">
        <v>437</v>
      </c>
      <c r="B30">
        <v>1</v>
      </c>
      <c r="C30" t="s">
        <v>339</v>
      </c>
      <c r="D30" t="s">
        <v>339</v>
      </c>
      <c r="E30" t="s">
        <v>340</v>
      </c>
      <c r="F30">
        <v>0</v>
      </c>
      <c r="G30" s="11"/>
      <c r="H30" s="26"/>
      <c r="I30"/>
      <c r="J30"/>
      <c r="K30" s="363"/>
      <c r="L30"/>
      <c r="M30"/>
      <c r="N30"/>
      <c r="O30" s="26"/>
      <c r="P30" s="37">
        <f ca="1">IFERROR(+IF(P$29=ProposalToGnatt[[#This Row],[Start Date]],Milestone_Marker,IF(AND(P$29&gt;ProposalToGnatt[[#This Row],[Start Date]],P$29&lt;ProposalToGnatt[[#This Row],[Start Date]]+ProposalToGnatt[[#This Row],[Days]]),$G$5,"")),"")</f>
        <v>1</v>
      </c>
      <c r="Q30" s="37" t="str">
        <f ca="1">IFERROR(+IF(Q$29=ProposalToGnatt[[#This Row],[Start Date]],Milestone_Marker,IF(AND(Q$29&gt;ProposalToGnatt[[#This Row],[Start Date]],Q$29&lt;ProposalToGnatt[[#This Row],[Start Date]]+ProposalToGnatt[[#This Row],[Days]]),$G$5,"")),"")</f>
        <v/>
      </c>
      <c r="R30" s="37" t="str">
        <f ca="1">IFERROR(+IF(R$29=ProposalToGnatt[[#This Row],[Start Date]],Milestone_Marker,IF(AND(R$29&gt;ProposalToGnatt[[#This Row],[Start Date]],R$29&lt;ProposalToGnatt[[#This Row],[Start Date]]+ProposalToGnatt[[#This Row],[Days]]),$G$5,"")),"")</f>
        <v/>
      </c>
      <c r="S30" s="37" t="str">
        <f ca="1">IFERROR(+IF(S$29=ProposalToGnatt[[#This Row],[Start Date]],Milestone_Marker,IF(AND(S$29&gt;ProposalToGnatt[[#This Row],[Start Date]],S$29&lt;ProposalToGnatt[[#This Row],[Start Date]]+ProposalToGnatt[[#This Row],[Days]]),$G$5,"")),"")</f>
        <v/>
      </c>
      <c r="T30" s="37" t="str">
        <f ca="1">IFERROR(+IF(T$29=ProposalToGnatt[[#This Row],[Start Date]],Milestone_Marker,IF(AND(T$29&gt;ProposalToGnatt[[#This Row],[Start Date]],T$29&lt;ProposalToGnatt[[#This Row],[Start Date]]+ProposalToGnatt[[#This Row],[Days]]),$G$5,"")),"")</f>
        <v/>
      </c>
      <c r="U30" s="37" t="str">
        <f ca="1">IFERROR(+IF(U$29=ProposalToGnatt[[#This Row],[Start Date]],Milestone_Marker,IF(AND(U$29&gt;ProposalToGnatt[[#This Row],[Start Date]],U$29&lt;ProposalToGnatt[[#This Row],[Start Date]]+ProposalToGnatt[[#This Row],[Days]]),$G$5,"")),"")</f>
        <v/>
      </c>
      <c r="V30" s="37" t="str">
        <f ca="1">IFERROR(+IF(V$29=ProposalToGnatt[[#This Row],[Start Date]],Milestone_Marker,IF(AND(V$29&gt;ProposalToGnatt[[#This Row],[Start Date]],V$29&lt;ProposalToGnatt[[#This Row],[Start Date]]+ProposalToGnatt[[#This Row],[Days]]),$G$5,"")),"")</f>
        <v/>
      </c>
      <c r="W30" s="37" t="str">
        <f ca="1">IFERROR(+IF(W$29=ProposalToGnatt[[#This Row],[Start Date]],Milestone_Marker,IF(AND(W$29&gt;ProposalToGnatt[[#This Row],[Start Date]],W$29&lt;ProposalToGnatt[[#This Row],[Start Date]]+ProposalToGnatt[[#This Row],[Days]]),$G$5,"")),"")</f>
        <v/>
      </c>
      <c r="X30" s="37" t="str">
        <f ca="1">IFERROR(+IF(X$29=ProposalToGnatt[[#This Row],[Start Date]],Milestone_Marker,IF(AND(X$29&gt;ProposalToGnatt[[#This Row],[Start Date]],X$29&lt;ProposalToGnatt[[#This Row],[Start Date]]+ProposalToGnatt[[#This Row],[Days]]),$G$5,"")),"")</f>
        <v/>
      </c>
      <c r="Y30" s="37" t="str">
        <f ca="1">IFERROR(+IF(Y$29=ProposalToGnatt[[#This Row],[Start Date]],Milestone_Marker,IF(AND(Y$29&gt;ProposalToGnatt[[#This Row],[Start Date]],Y$29&lt;ProposalToGnatt[[#This Row],[Start Date]]+ProposalToGnatt[[#This Row],[Days]]),$G$5,"")),"")</f>
        <v/>
      </c>
      <c r="Z30" s="37" t="str">
        <f ca="1">IFERROR(+IF(Z$29=ProposalToGnatt[[#This Row],[Start Date]],Milestone_Marker,IF(AND(Z$29&gt;ProposalToGnatt[[#This Row],[Start Date]],Z$29&lt;ProposalToGnatt[[#This Row],[Start Date]]+ProposalToGnatt[[#This Row],[Days]]),$G$5,"")),"")</f>
        <v/>
      </c>
      <c r="AA30" s="37" t="str">
        <f ca="1">IFERROR(+IF(AA$29=ProposalToGnatt[[#This Row],[Start Date]],Milestone_Marker,IF(AND(AA$29&gt;ProposalToGnatt[[#This Row],[Start Date]],AA$29&lt;ProposalToGnatt[[#This Row],[Start Date]]+ProposalToGnatt[[#This Row],[Days]]),$G$5,"")),"")</f>
        <v/>
      </c>
      <c r="AB30" s="37" t="str">
        <f ca="1">IFERROR(+IF(AB$29=ProposalToGnatt[[#This Row],[Start Date]],Milestone_Marker,IF(AND(AB$29&gt;ProposalToGnatt[[#This Row],[Start Date]],AB$29&lt;ProposalToGnatt[[#This Row],[Start Date]]+ProposalToGnatt[[#This Row],[Days]]),$G$5,"")),"")</f>
        <v/>
      </c>
      <c r="AC30" s="37" t="str">
        <f ca="1">IFERROR(+IF(AC$29=ProposalToGnatt[[#This Row],[Start Date]],Milestone_Marker,IF(AND(AC$29&gt;ProposalToGnatt[[#This Row],[Start Date]],AC$29&lt;ProposalToGnatt[[#This Row],[Start Date]]+ProposalToGnatt[[#This Row],[Days]]),$G$5,"")),"")</f>
        <v/>
      </c>
      <c r="AD30" s="37" t="str">
        <f ca="1">IFERROR(+IF(AD$29=ProposalToGnatt[[#This Row],[Start Date]],Milestone_Marker,IF(AND(AD$29&gt;ProposalToGnatt[[#This Row],[Start Date]],AD$29&lt;ProposalToGnatt[[#This Row],[Start Date]]+ProposalToGnatt[[#This Row],[Days]]),$G$5,"")),"")</f>
        <v/>
      </c>
      <c r="AE30" s="37" t="str">
        <f ca="1">IFERROR(+IF(AE$29=ProposalToGnatt[[#This Row],[Start Date]],Milestone_Marker,IF(AND(AE$29&gt;ProposalToGnatt[[#This Row],[Start Date]],AE$29&lt;ProposalToGnatt[[#This Row],[Start Date]]+ProposalToGnatt[[#This Row],[Days]]),$G$5,"")),"")</f>
        <v/>
      </c>
      <c r="AF30" s="37" t="str">
        <f ca="1">IFERROR(+IF(AF$29=ProposalToGnatt[[#This Row],[Start Date]],Milestone_Marker,IF(AND(AF$29&gt;ProposalToGnatt[[#This Row],[Start Date]],AF$29&lt;ProposalToGnatt[[#This Row],[Start Date]]+ProposalToGnatt[[#This Row],[Days]]),$G$5,"")),"")</f>
        <v/>
      </c>
      <c r="AG30" s="37" t="str">
        <f ca="1">IFERROR(+IF(AG$29=ProposalToGnatt[[#This Row],[Start Date]],Milestone_Marker,IF(AND(AG$29&gt;ProposalToGnatt[[#This Row],[Start Date]],AG$29&lt;ProposalToGnatt[[#This Row],[Start Date]]+ProposalToGnatt[[#This Row],[Days]]),$G$5,"")),"")</f>
        <v/>
      </c>
      <c r="AH30" s="37" t="str">
        <f ca="1">IFERROR(+IF(AH$29=ProposalToGnatt[[#This Row],[Start Date]],Milestone_Marker,IF(AND(AH$29&gt;ProposalToGnatt[[#This Row],[Start Date]],AH$29&lt;ProposalToGnatt[[#This Row],[Start Date]]+ProposalToGnatt[[#This Row],[Days]]),$G$5,"")),"")</f>
        <v/>
      </c>
      <c r="AI30" s="37" t="str">
        <f ca="1">IFERROR(+IF(AI$29=ProposalToGnatt[[#This Row],[Start Date]],Milestone_Marker,IF(AND(AI$29&gt;ProposalToGnatt[[#This Row],[Start Date]],AI$29&lt;ProposalToGnatt[[#This Row],[Start Date]]+ProposalToGnatt[[#This Row],[Days]]),$G$5,"")),"")</f>
        <v/>
      </c>
      <c r="AJ30" s="37" t="str">
        <f ca="1">IFERROR(+IF(AJ$29=ProposalToGnatt[[#This Row],[Start Date]],Milestone_Marker,IF(AND(AJ$29&gt;ProposalToGnatt[[#This Row],[Start Date]],AJ$29&lt;ProposalToGnatt[[#This Row],[Start Date]]+ProposalToGnatt[[#This Row],[Days]]),$G$5,"")),"")</f>
        <v/>
      </c>
      <c r="AK30" s="37" t="str">
        <f ca="1">IFERROR(+IF(AK$29=ProposalToGnatt[[#This Row],[Start Date]],Milestone_Marker,IF(AND(AK$29&gt;ProposalToGnatt[[#This Row],[Start Date]],AK$29&lt;ProposalToGnatt[[#This Row],[Start Date]]+ProposalToGnatt[[#This Row],[Days]]),$G$5,"")),"")</f>
        <v/>
      </c>
      <c r="AL30" s="37" t="str">
        <f ca="1">IFERROR(+IF(AL$29=ProposalToGnatt[[#This Row],[Start Date]],Milestone_Marker,IF(AND(AL$29&gt;ProposalToGnatt[[#This Row],[Start Date]],AL$29&lt;ProposalToGnatt[[#This Row],[Start Date]]+ProposalToGnatt[[#This Row],[Days]]),$G$5,"")),"")</f>
        <v/>
      </c>
      <c r="AM30" s="37" t="str">
        <f ca="1">IFERROR(+IF(AM$29=ProposalToGnatt[[#This Row],[Start Date]],Milestone_Marker,IF(AND(AM$29&gt;ProposalToGnatt[[#This Row],[Start Date]],AM$29&lt;ProposalToGnatt[[#This Row],[Start Date]]+ProposalToGnatt[[#This Row],[Days]]),$G$5,"")),"")</f>
        <v/>
      </c>
      <c r="AN30" s="37" t="str">
        <f ca="1">IFERROR(+IF(AN$29=ProposalToGnatt[[#This Row],[Start Date]],Milestone_Marker,IF(AND(AN$29&gt;ProposalToGnatt[[#This Row],[Start Date]],AN$29&lt;ProposalToGnatt[[#This Row],[Start Date]]+ProposalToGnatt[[#This Row],[Days]]),$G$5,"")),"")</f>
        <v/>
      </c>
      <c r="AO30" s="37" t="str">
        <f ca="1">IFERROR(+IF(AO$29=ProposalToGnatt[[#This Row],[Start Date]],Milestone_Marker,IF(AND(AO$29&gt;ProposalToGnatt[[#This Row],[Start Date]],AO$29&lt;ProposalToGnatt[[#This Row],[Start Date]]+ProposalToGnatt[[#This Row],[Days]]),$G$5,"")),"")</f>
        <v/>
      </c>
      <c r="AP30" s="37" t="str">
        <f ca="1">IFERROR(+IF(AP$29=ProposalToGnatt[[#This Row],[Start Date]],Milestone_Marker,IF(AND(AP$29&gt;ProposalToGnatt[[#This Row],[Start Date]],AP$29&lt;ProposalToGnatt[[#This Row],[Start Date]]+ProposalToGnatt[[#This Row],[Days]]),$G$5,"")),"")</f>
        <v/>
      </c>
      <c r="AQ30" s="37" t="str">
        <f ca="1">IFERROR(+IF(AQ$29=ProposalToGnatt[[#This Row],[Start Date]],Milestone_Marker,IF(AND(AQ$29&gt;ProposalToGnatt[[#This Row],[Start Date]],AQ$29&lt;ProposalToGnatt[[#This Row],[Start Date]]+ProposalToGnatt[[#This Row],[Days]]),$G$5,"")),"")</f>
        <v/>
      </c>
      <c r="AR30" s="37" t="str">
        <f ca="1">IFERROR(+IF(AR$29=ProposalToGnatt[[#This Row],[Start Date]],Milestone_Marker,IF(AND(AR$29&gt;ProposalToGnatt[[#This Row],[Start Date]],AR$29&lt;ProposalToGnatt[[#This Row],[Start Date]]+ProposalToGnatt[[#This Row],[Days]]),$G$5,"")),"")</f>
        <v/>
      </c>
      <c r="AS30" s="37" t="str">
        <f ca="1">IFERROR(+IF(AS$29=ProposalToGnatt[[#This Row],[Start Date]],Milestone_Marker,IF(AND(AS$29&gt;ProposalToGnatt[[#This Row],[Start Date]],AS$29&lt;ProposalToGnatt[[#This Row],[Start Date]]+ProposalToGnatt[[#This Row],[Days]]),$G$5,"")),"")</f>
        <v/>
      </c>
      <c r="AT30" s="37" t="str">
        <f ca="1">IFERROR(+IF(AT$29=ProposalToGnatt[[#This Row],[Start Date]],Milestone_Marker,IF(AND(AT$29&gt;ProposalToGnatt[[#This Row],[Start Date]],AT$29&lt;ProposalToGnatt[[#This Row],[Start Date]]+ProposalToGnatt[[#This Row],[Days]]),$G$5,"")),"")</f>
        <v/>
      </c>
      <c r="AU30" s="37" t="str">
        <f ca="1">IFERROR(+IF(AU$29=ProposalToGnatt[[#This Row],[Start Date]],Milestone_Marker,IF(AND(AU$29&gt;ProposalToGnatt[[#This Row],[Start Date]],AU$29&lt;ProposalToGnatt[[#This Row],[Start Date]]+ProposalToGnatt[[#This Row],[Days]]),$G$5,"")),"")</f>
        <v/>
      </c>
      <c r="AV30" s="37" t="str">
        <f ca="1">IFERROR(+IF(AV$29=ProposalToGnatt[[#This Row],[Start Date]],Milestone_Marker,IF(AND(AV$29&gt;ProposalToGnatt[[#This Row],[Start Date]],AV$29&lt;ProposalToGnatt[[#This Row],[Start Date]]+ProposalToGnatt[[#This Row],[Days]]),$G$5,"")),"")</f>
        <v/>
      </c>
      <c r="AW30" s="37" t="str">
        <f ca="1">IFERROR(+IF(AW$29=ProposalToGnatt[[#This Row],[Start Date]],Milestone_Marker,IF(AND(AW$29&gt;ProposalToGnatt[[#This Row],[Start Date]],AW$29&lt;ProposalToGnatt[[#This Row],[Start Date]]+ProposalToGnatt[[#This Row],[Days]]),$G$5,"")),"")</f>
        <v/>
      </c>
      <c r="AX30" s="37" t="str">
        <f ca="1">IFERROR(+IF(AX$29=ProposalToGnatt[[#This Row],[Start Date]],Milestone_Marker,IF(AND(AX$29&gt;ProposalToGnatt[[#This Row],[Start Date]],AX$29&lt;ProposalToGnatt[[#This Row],[Start Date]]+ProposalToGnatt[[#This Row],[Days]]),$G$5,"")),"")</f>
        <v/>
      </c>
      <c r="AY30" s="37" t="str">
        <f ca="1">IFERROR(+IF(AY$29=ProposalToGnatt[[#This Row],[Start Date]],Milestone_Marker,IF(AND(AY$29&gt;ProposalToGnatt[[#This Row],[Start Date]],AY$29&lt;ProposalToGnatt[[#This Row],[Start Date]]+ProposalToGnatt[[#This Row],[Days]]),$G$5,"")),"")</f>
        <v/>
      </c>
      <c r="AZ30" s="37" t="str">
        <f ca="1">IFERROR(+IF(AZ$29=ProposalToGnatt[[#This Row],[Start Date]],Milestone_Marker,IF(AND(AZ$29&gt;ProposalToGnatt[[#This Row],[Start Date]],AZ$29&lt;ProposalToGnatt[[#This Row],[Start Date]]+ProposalToGnatt[[#This Row],[Days]]),$G$5,"")),"")</f>
        <v/>
      </c>
      <c r="BA30" s="37" t="str">
        <f ca="1">IFERROR(+IF(BA$29=ProposalToGnatt[[#This Row],[Start Date]],Milestone_Marker,IF(AND(BA$29&gt;ProposalToGnatt[[#This Row],[Start Date]],BA$29&lt;ProposalToGnatt[[#This Row],[Start Date]]+ProposalToGnatt[[#This Row],[Days]]),$G$5,"")),"")</f>
        <v/>
      </c>
      <c r="BB30" s="37" t="str">
        <f ca="1">IFERROR(+IF(BB$29=ProposalToGnatt[[#This Row],[Start Date]],Milestone_Marker,IF(AND(BB$29&gt;ProposalToGnatt[[#This Row],[Start Date]],BB$29&lt;ProposalToGnatt[[#This Row],[Start Date]]+ProposalToGnatt[[#This Row],[Days]]),$G$5,"")),"")</f>
        <v/>
      </c>
      <c r="BC30" s="37" t="str">
        <f ca="1">IFERROR(+IF(BC$29=ProposalToGnatt[[#This Row],[Start Date]],Milestone_Marker,IF(AND(BC$29&gt;ProposalToGnatt[[#This Row],[Start Date]],BC$29&lt;ProposalToGnatt[[#This Row],[Start Date]]+ProposalToGnatt[[#This Row],[Days]]),$G$5,"")),"")</f>
        <v/>
      </c>
      <c r="BD30" s="37" t="str">
        <f ca="1">IFERROR(+IF(BD$29=ProposalToGnatt[[#This Row],[Start Date]],Milestone_Marker,IF(AND(BD$29&gt;ProposalToGnatt[[#This Row],[Start Date]],BD$29&lt;ProposalToGnatt[[#This Row],[Start Date]]+ProposalToGnatt[[#This Row],[Days]]),$G$5,"")),"")</f>
        <v/>
      </c>
      <c r="BE30" s="37" t="str">
        <f ca="1">IFERROR(+IF(BE$29=ProposalToGnatt[[#This Row],[Start Date]],Milestone_Marker,IF(AND(BE$29&gt;ProposalToGnatt[[#This Row],[Start Date]],BE$29&lt;ProposalToGnatt[[#This Row],[Start Date]]+ProposalToGnatt[[#This Row],[Days]]),$G$5,"")),"")</f>
        <v/>
      </c>
      <c r="BF30" s="37" t="str">
        <f ca="1">IFERROR(+IF(BF$29=ProposalToGnatt[[#This Row],[Start Date]],Milestone_Marker,IF(AND(BF$29&gt;ProposalToGnatt[[#This Row],[Start Date]],BF$29&lt;ProposalToGnatt[[#This Row],[Start Date]]+ProposalToGnatt[[#This Row],[Days]]),$G$5,"")),"")</f>
        <v/>
      </c>
      <c r="BG30" s="37" t="str">
        <f ca="1">IFERROR(+IF(BG$29=ProposalToGnatt[[#This Row],[Start Date]],Milestone_Marker,IF(AND(BG$29&gt;ProposalToGnatt[[#This Row],[Start Date]],BG$29&lt;ProposalToGnatt[[#This Row],[Start Date]]+ProposalToGnatt[[#This Row],[Days]]),$G$5,"")),"")</f>
        <v/>
      </c>
      <c r="BH30" s="37" t="str">
        <f ca="1">IFERROR(+IF(BH$29=ProposalToGnatt[[#This Row],[Start Date]],Milestone_Marker,IF(AND(BH$29&gt;ProposalToGnatt[[#This Row],[Start Date]],BH$29&lt;ProposalToGnatt[[#This Row],[Start Date]]+ProposalToGnatt[[#This Row],[Days]]),$G$5,"")),"")</f>
        <v/>
      </c>
      <c r="BI30" s="37" t="str">
        <f ca="1">IFERROR(+IF(BI$29=ProposalToGnatt[[#This Row],[Start Date]],Milestone_Marker,IF(AND(BI$29&gt;ProposalToGnatt[[#This Row],[Start Date]],BI$29&lt;ProposalToGnatt[[#This Row],[Start Date]]+ProposalToGnatt[[#This Row],[Days]]),$G$5,"")),"")</f>
        <v/>
      </c>
      <c r="BJ30" s="37" t="str">
        <f ca="1">IFERROR(+IF(BJ$29=ProposalToGnatt[[#This Row],[Start Date]],Milestone_Marker,IF(AND(BJ$29&gt;ProposalToGnatt[[#This Row],[Start Date]],BJ$29&lt;ProposalToGnatt[[#This Row],[Start Date]]+ProposalToGnatt[[#This Row],[Days]]),$G$5,"")),"")</f>
        <v/>
      </c>
      <c r="BK30" s="37" t="str">
        <f ca="1">IFERROR(+IF(BK$29=ProposalToGnatt[[#This Row],[Start Date]],Milestone_Marker,IF(AND(BK$29&gt;ProposalToGnatt[[#This Row],[Start Date]],BK$29&lt;ProposalToGnatt[[#This Row],[Start Date]]+ProposalToGnatt[[#This Row],[Days]]),$G$5,"")),"")</f>
        <v/>
      </c>
      <c r="BL30" s="37" t="str">
        <f ca="1">IFERROR(+IF(BL$29=ProposalToGnatt[[#This Row],[Start Date]],Milestone_Marker,IF(AND(BL$29&gt;ProposalToGnatt[[#This Row],[Start Date]],BL$29&lt;ProposalToGnatt[[#This Row],[Start Date]]+ProposalToGnatt[[#This Row],[Days]]),$G$5,"")),"")</f>
        <v/>
      </c>
      <c r="BM30" s="37" t="str">
        <f ca="1">IFERROR(+IF(BM$29=ProposalToGnatt[[#This Row],[Start Date]],Milestone_Marker,IF(AND(BM$29&gt;ProposalToGnatt[[#This Row],[Start Date]],BM$29&lt;ProposalToGnatt[[#This Row],[Start Date]]+ProposalToGnatt[[#This Row],[Days]]),$G$5,"")),"")</f>
        <v/>
      </c>
      <c r="BN30" s="37" t="str">
        <f ca="1">IFERROR(+IF(BN$29=ProposalToGnatt[[#This Row],[Start Date]],Milestone_Marker,IF(AND(BN$29&gt;ProposalToGnatt[[#This Row],[Start Date]],BN$29&lt;ProposalToGnatt[[#This Row],[Start Date]]+ProposalToGnatt[[#This Row],[Days]]),$G$5,"")),"")</f>
        <v/>
      </c>
      <c r="BO30" s="37" t="str">
        <f ca="1">IFERROR(+IF(BO$29=ProposalToGnatt[[#This Row],[Start Date]],Milestone_Marker,IF(AND(BO$29&gt;ProposalToGnatt[[#This Row],[Start Date]],BO$29&lt;ProposalToGnatt[[#This Row],[Start Date]]+ProposalToGnatt[[#This Row],[Days]]),$G$5,"")),"")</f>
        <v/>
      </c>
      <c r="BP30" s="37" t="str">
        <f ca="1">IFERROR(+IF(BP$29=ProposalToGnatt[[#This Row],[Start Date]],Milestone_Marker,IF(AND(BP$29&gt;ProposalToGnatt[[#This Row],[Start Date]],BP$29&lt;ProposalToGnatt[[#This Row],[Start Date]]+ProposalToGnatt[[#This Row],[Days]]),$G$5,"")),"")</f>
        <v/>
      </c>
      <c r="BQ30" s="37" t="str">
        <f ca="1">IFERROR(+IF(BQ$29=ProposalToGnatt[[#This Row],[Start Date]],Milestone_Marker,IF(AND(BQ$29&gt;ProposalToGnatt[[#This Row],[Start Date]],BQ$29&lt;ProposalToGnatt[[#This Row],[Start Date]]+ProposalToGnatt[[#This Row],[Days]]),$G$5,"")),"")</f>
        <v/>
      </c>
      <c r="BR30" s="37" t="str">
        <f ca="1">IFERROR(+IF(BR$29=ProposalToGnatt[[#This Row],[Start Date]],Milestone_Marker,IF(AND(BR$29&gt;ProposalToGnatt[[#This Row],[Start Date]],BR$29&lt;ProposalToGnatt[[#This Row],[Start Date]]+ProposalToGnatt[[#This Row],[Days]]),$G$5,"")),"")</f>
        <v/>
      </c>
      <c r="BS30" s="37" t="str">
        <f ca="1">IFERROR(+IF(BS$29=ProposalToGnatt[[#This Row],[Start Date]],Milestone_Marker,IF(AND(BS$29&gt;ProposalToGnatt[[#This Row],[Start Date]],BS$29&lt;ProposalToGnatt[[#This Row],[Start Date]]+ProposalToGnatt[[#This Row],[Days]]),$G$5,"")),"")</f>
        <v/>
      </c>
      <c r="BT30" s="37" t="str">
        <f ca="1">IFERROR(+IF(BT$29=ProposalToGnatt[[#This Row],[Start Date]],Milestone_Marker,IF(AND(BT$29&gt;ProposalToGnatt[[#This Row],[Start Date]],BT$29&lt;ProposalToGnatt[[#This Row],[Start Date]]+ProposalToGnatt[[#This Row],[Days]]),$G$5,"")),"")</f>
        <v/>
      </c>
      <c r="BU30" s="37" t="str">
        <f ca="1">IFERROR(+IF(BU$29=ProposalToGnatt[[#This Row],[Start Date]],Milestone_Marker,IF(AND(BU$29&gt;ProposalToGnatt[[#This Row],[Start Date]],BU$29&lt;ProposalToGnatt[[#This Row],[Start Date]]+ProposalToGnatt[[#This Row],[Days]]),$G$5,"")),"")</f>
        <v/>
      </c>
      <c r="BV30" s="37" t="str">
        <f ca="1">IFERROR(+IF(BV$29=ProposalToGnatt[[#This Row],[Start Date]],Milestone_Marker,IF(AND(BV$29&gt;ProposalToGnatt[[#This Row],[Start Date]],BV$29&lt;ProposalToGnatt[[#This Row],[Start Date]]+ProposalToGnatt[[#This Row],[Days]]),$G$5,"")),"")</f>
        <v/>
      </c>
      <c r="BW30" s="37" t="str">
        <f ca="1">IFERROR(+IF(BW$29=ProposalToGnatt[[#This Row],[Start Date]],Milestone_Marker,IF(AND(BW$29&gt;ProposalToGnatt[[#This Row],[Start Date]],BW$29&lt;ProposalToGnatt[[#This Row],[Start Date]]+ProposalToGnatt[[#This Row],[Days]]),$G$5,"")),"")</f>
        <v/>
      </c>
      <c r="BX30" s="37" t="str">
        <f ca="1">IFERROR(+IF(BX$29=ProposalToGnatt[[#This Row],[Start Date]],Milestone_Marker,IF(AND(BX$29&gt;ProposalToGnatt[[#This Row],[Start Date]],BX$29&lt;ProposalToGnatt[[#This Row],[Start Date]]+ProposalToGnatt[[#This Row],[Days]]),$G$5,"")),"")</f>
        <v/>
      </c>
      <c r="BY30" s="37" t="str">
        <f ca="1">IFERROR(+IF(BY$29=ProposalToGnatt[[#This Row],[Start Date]],Milestone_Marker,IF(AND(BY$29&gt;ProposalToGnatt[[#This Row],[Start Date]],BY$29&lt;ProposalToGnatt[[#This Row],[Start Date]]+ProposalToGnatt[[#This Row],[Days]]),$G$5,"")),"")</f>
        <v/>
      </c>
      <c r="BZ30" s="37" t="str">
        <f ca="1">IFERROR(+IF(BZ$29=ProposalToGnatt[[#This Row],[Start Date]],Milestone_Marker,IF(AND(BZ$29&gt;ProposalToGnatt[[#This Row],[Start Date]],BZ$29&lt;ProposalToGnatt[[#This Row],[Start Date]]+ProposalToGnatt[[#This Row],[Days]]),$G$5,"")),"")</f>
        <v/>
      </c>
      <c r="CA30" s="37" t="str">
        <f ca="1">IFERROR(+IF(CA$29=ProposalToGnatt[[#This Row],[Start Date]],Milestone_Marker,IF(AND(CA$29&gt;ProposalToGnatt[[#This Row],[Start Date]],CA$29&lt;ProposalToGnatt[[#This Row],[Start Date]]+ProposalToGnatt[[#This Row],[Days]]),$G$5,"")),"")</f>
        <v/>
      </c>
      <c r="CB30" s="37" t="str">
        <f ca="1">IFERROR(+IF(CB$29=ProposalToGnatt[[#This Row],[Start Date]],Milestone_Marker,IF(AND(CB$29&gt;ProposalToGnatt[[#This Row],[Start Date]],CB$29&lt;ProposalToGnatt[[#This Row],[Start Date]]+ProposalToGnatt[[#This Row],[Days]]),$G$5,"")),"")</f>
        <v/>
      </c>
      <c r="CC30" s="37" t="str">
        <f ca="1">IFERROR(+IF(CC$29=ProposalToGnatt[[#This Row],[Start Date]],Milestone_Marker,IF(AND(CC$29&gt;ProposalToGnatt[[#This Row],[Start Date]],CC$29&lt;ProposalToGnatt[[#This Row],[Start Date]]+ProposalToGnatt[[#This Row],[Days]]),$G$5,"")),"")</f>
        <v/>
      </c>
      <c r="CD30" s="37" t="str">
        <f ca="1">IFERROR(+IF(CD$29=ProposalToGnatt[[#This Row],[Start Date]],Milestone_Marker,IF(AND(CD$29&gt;ProposalToGnatt[[#This Row],[Start Date]],CD$29&lt;ProposalToGnatt[[#This Row],[Start Date]]+ProposalToGnatt[[#This Row],[Days]]),$G$5,"")),"")</f>
        <v/>
      </c>
      <c r="CE30" s="37" t="str">
        <f ca="1">IFERROR(+IF(CE$29=ProposalToGnatt[[#This Row],[Start Date]],Milestone_Marker,IF(AND(CE$29&gt;ProposalToGnatt[[#This Row],[Start Date]],CE$29&lt;ProposalToGnatt[[#This Row],[Start Date]]+ProposalToGnatt[[#This Row],[Days]]),$G$5,"")),"")</f>
        <v/>
      </c>
      <c r="CF30" s="37" t="str">
        <f ca="1">IFERROR(+IF(CF$29=ProposalToGnatt[[#This Row],[Start Date]],Milestone_Marker,IF(AND(CF$29&gt;ProposalToGnatt[[#This Row],[Start Date]],CF$29&lt;ProposalToGnatt[[#This Row],[Start Date]]+ProposalToGnatt[[#This Row],[Days]]),$G$5,"")),"")</f>
        <v/>
      </c>
      <c r="CG30" s="37" t="str">
        <f ca="1">IFERROR(+IF(CG$29=ProposalToGnatt[[#This Row],[Start Date]],Milestone_Marker,IF(AND(CG$29&gt;ProposalToGnatt[[#This Row],[Start Date]],CG$29&lt;ProposalToGnatt[[#This Row],[Start Date]]+ProposalToGnatt[[#This Row],[Days]]),$G$5,"")),"")</f>
        <v/>
      </c>
      <c r="CH30" s="37" t="str">
        <f ca="1">IFERROR(+IF(CH$29=ProposalToGnatt[[#This Row],[Start Date]],Milestone_Marker,IF(AND(CH$29&gt;ProposalToGnatt[[#This Row],[Start Date]],CH$29&lt;ProposalToGnatt[[#This Row],[Start Date]]+ProposalToGnatt[[#This Row],[Days]]),$G$5,"")),"")</f>
        <v/>
      </c>
      <c r="CI30" s="37" t="str">
        <f ca="1">IFERROR(+IF(CI$29=ProposalToGnatt[[#This Row],[Start Date]],Milestone_Marker,IF(AND(CI$29&gt;ProposalToGnatt[[#This Row],[Start Date]],CI$29&lt;ProposalToGnatt[[#This Row],[Start Date]]+ProposalToGnatt[[#This Row],[Days]]),$G$5,"")),"")</f>
        <v/>
      </c>
      <c r="CJ30" s="37" t="str">
        <f ca="1">IFERROR(+IF(CJ$29=ProposalToGnatt[[#This Row],[Start Date]],Milestone_Marker,IF(AND(CJ$29&gt;ProposalToGnatt[[#This Row],[Start Date]],CJ$29&lt;ProposalToGnatt[[#This Row],[Start Date]]+ProposalToGnatt[[#This Row],[Days]]),$G$5,"")),"")</f>
        <v/>
      </c>
      <c r="CK30" s="37" t="str">
        <f ca="1">IFERROR(+IF(CK$29=ProposalToGnatt[[#This Row],[Start Date]],Milestone_Marker,IF(AND(CK$29&gt;ProposalToGnatt[[#This Row],[Start Date]],CK$29&lt;ProposalToGnatt[[#This Row],[Start Date]]+ProposalToGnatt[[#This Row],[Days]]),$G$5,"")),"")</f>
        <v/>
      </c>
      <c r="CL30" s="37" t="str">
        <f ca="1">IFERROR(+IF(CL$29=ProposalToGnatt[[#This Row],[Start Date]],Milestone_Marker,IF(AND(CL$29&gt;ProposalToGnatt[[#This Row],[Start Date]],CL$29&lt;ProposalToGnatt[[#This Row],[Start Date]]+ProposalToGnatt[[#This Row],[Days]]),$G$5,"")),"")</f>
        <v/>
      </c>
      <c r="CM30" s="37" t="str">
        <f ca="1">IFERROR(+IF(CM$29=ProposalToGnatt[[#This Row],[Start Date]],Milestone_Marker,IF(AND(CM$29&gt;ProposalToGnatt[[#This Row],[Start Date]],CM$29&lt;ProposalToGnatt[[#This Row],[Start Date]]+ProposalToGnatt[[#This Row],[Days]]),$G$5,"")),"")</f>
        <v/>
      </c>
      <c r="CN30" s="37" t="str">
        <f ca="1">IFERROR(+IF(CN$29=ProposalToGnatt[[#This Row],[Start Date]],Milestone_Marker,IF(AND(CN$29&gt;ProposalToGnatt[[#This Row],[Start Date]],CN$29&lt;ProposalToGnatt[[#This Row],[Start Date]]+ProposalToGnatt[[#This Row],[Days]]),$G$5,"")),"")</f>
        <v/>
      </c>
      <c r="CO30" s="37" t="str">
        <f ca="1">IFERROR(+IF(CO$29=ProposalToGnatt[[#This Row],[Start Date]],Milestone_Marker,IF(AND(CO$29&gt;ProposalToGnatt[[#This Row],[Start Date]],CO$29&lt;ProposalToGnatt[[#This Row],[Start Date]]+ProposalToGnatt[[#This Row],[Days]]),$G$5,"")),"")</f>
        <v/>
      </c>
      <c r="CP30" s="37" t="str">
        <f ca="1">IFERROR(+IF(CP$29=ProposalToGnatt[[#This Row],[Start Date]],Milestone_Marker,IF(AND(CP$29&gt;ProposalToGnatt[[#This Row],[Start Date]],CP$29&lt;ProposalToGnatt[[#This Row],[Start Date]]+ProposalToGnatt[[#This Row],[Days]]),$G$5,"")),"")</f>
        <v/>
      </c>
      <c r="CQ30" s="37" t="str">
        <f ca="1">IFERROR(+IF(CQ$29=ProposalToGnatt[[#This Row],[Start Date]],Milestone_Marker,IF(AND(CQ$29&gt;ProposalToGnatt[[#This Row],[Start Date]],CQ$29&lt;ProposalToGnatt[[#This Row],[Start Date]]+ProposalToGnatt[[#This Row],[Days]]),$G$5,"")),"")</f>
        <v/>
      </c>
      <c r="CR30" s="37" t="str">
        <f ca="1">IFERROR(+IF(CR$29=ProposalToGnatt[[#This Row],[Start Date]],Milestone_Marker,IF(AND(CR$29&gt;ProposalToGnatt[[#This Row],[Start Date]],CR$29&lt;ProposalToGnatt[[#This Row],[Start Date]]+ProposalToGnatt[[#This Row],[Days]]),$G$5,"")),"")</f>
        <v/>
      </c>
      <c r="CS30" s="37" t="str">
        <f ca="1">IFERROR(+IF(CS$29=ProposalToGnatt[[#This Row],[Start Date]],Milestone_Marker,IF(AND(CS$29&gt;ProposalToGnatt[[#This Row],[Start Date]],CS$29&lt;ProposalToGnatt[[#This Row],[Start Date]]+ProposalToGnatt[[#This Row],[Days]]),$G$5,"")),"")</f>
        <v/>
      </c>
      <c r="CT30" s="37" t="str">
        <f ca="1">IFERROR(+IF(CT$29=ProposalToGnatt[[#This Row],[Start Date]],Milestone_Marker,IF(AND(CT$29&gt;ProposalToGnatt[[#This Row],[Start Date]],CT$29&lt;ProposalToGnatt[[#This Row],[Start Date]]+ProposalToGnatt[[#This Row],[Days]]),$G$5,"")),"")</f>
        <v/>
      </c>
      <c r="CU30" s="37" t="str">
        <f ca="1">IFERROR(+IF(CU$29=ProposalToGnatt[[#This Row],[Start Date]],Milestone_Marker,IF(AND(CU$29&gt;ProposalToGnatt[[#This Row],[Start Date]],CU$29&lt;ProposalToGnatt[[#This Row],[Start Date]]+ProposalToGnatt[[#This Row],[Days]]),$G$5,"")),"")</f>
        <v/>
      </c>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row>
    <row r="31" spans="1:125" s="42" customFormat="1" ht="20.100000000000001" customHeight="1">
      <c r="A31" t="s">
        <v>437</v>
      </c>
      <c r="B31">
        <v>2</v>
      </c>
      <c r="C31" t="s">
        <v>341</v>
      </c>
      <c r="D31" t="s">
        <v>342</v>
      </c>
      <c r="E31" t="s">
        <v>343</v>
      </c>
      <c r="F31">
        <v>0</v>
      </c>
      <c r="G31" s="11"/>
      <c r="H31" s="26"/>
      <c r="I31"/>
      <c r="J31"/>
      <c r="K31" s="363"/>
      <c r="L31"/>
      <c r="M31"/>
      <c r="N31"/>
      <c r="O31" s="26"/>
      <c r="P31" s="37">
        <f ca="1">IFERROR(+IF(P$29=ProposalToGnatt[[#This Row],[Start Date]],Milestone_Marker,IF(AND(P$29&gt;ProposalToGnatt[[#This Row],[Start Date]],P$29&lt;ProposalToGnatt[[#This Row],[Start Date]]+ProposalToGnatt[[#This Row],[Days]]),$G$5,"")),"")</f>
        <v>1</v>
      </c>
      <c r="Q31" s="37" t="str">
        <f ca="1">IFERROR(+IF(Q$29=ProposalToGnatt[[#This Row],[Start Date]],Milestone_Marker,IF(AND(Q$29&gt;ProposalToGnatt[[#This Row],[Start Date]],Q$29&lt;ProposalToGnatt[[#This Row],[Start Date]]+ProposalToGnatt[[#This Row],[Days]]),$G$5,"")),"")</f>
        <v/>
      </c>
      <c r="R31" s="37" t="str">
        <f ca="1">IFERROR(+IF(R$29=ProposalToGnatt[[#This Row],[Start Date]],Milestone_Marker,IF(AND(R$29&gt;ProposalToGnatt[[#This Row],[Start Date]],R$29&lt;ProposalToGnatt[[#This Row],[Start Date]]+ProposalToGnatt[[#This Row],[Days]]),$G$5,"")),"")</f>
        <v/>
      </c>
      <c r="S31" s="37" t="str">
        <f ca="1">IFERROR(+IF(S$29=ProposalToGnatt[[#This Row],[Start Date]],Milestone_Marker,IF(AND(S$29&gt;ProposalToGnatt[[#This Row],[Start Date]],S$29&lt;ProposalToGnatt[[#This Row],[Start Date]]+ProposalToGnatt[[#This Row],[Days]]),$G$5,"")),"")</f>
        <v/>
      </c>
      <c r="T31" s="37" t="str">
        <f ca="1">IFERROR(+IF(T$29=ProposalToGnatt[[#This Row],[Start Date]],Milestone_Marker,IF(AND(T$29&gt;ProposalToGnatt[[#This Row],[Start Date]],T$29&lt;ProposalToGnatt[[#This Row],[Start Date]]+ProposalToGnatt[[#This Row],[Days]]),$G$5,"")),"")</f>
        <v/>
      </c>
      <c r="U31" s="37" t="str">
        <f ca="1">IFERROR(+IF(U$29=ProposalToGnatt[[#This Row],[Start Date]],Milestone_Marker,IF(AND(U$29&gt;ProposalToGnatt[[#This Row],[Start Date]],U$29&lt;ProposalToGnatt[[#This Row],[Start Date]]+ProposalToGnatt[[#This Row],[Days]]),$G$5,"")),"")</f>
        <v/>
      </c>
      <c r="V31" s="37" t="str">
        <f ca="1">IFERROR(+IF(V$29=ProposalToGnatt[[#This Row],[Start Date]],Milestone_Marker,IF(AND(V$29&gt;ProposalToGnatt[[#This Row],[Start Date]],V$29&lt;ProposalToGnatt[[#This Row],[Start Date]]+ProposalToGnatt[[#This Row],[Days]]),$G$5,"")),"")</f>
        <v/>
      </c>
      <c r="W31" s="37" t="str">
        <f ca="1">IFERROR(+IF(W$29=ProposalToGnatt[[#This Row],[Start Date]],Milestone_Marker,IF(AND(W$29&gt;ProposalToGnatt[[#This Row],[Start Date]],W$29&lt;ProposalToGnatt[[#This Row],[Start Date]]+ProposalToGnatt[[#This Row],[Days]]),$G$5,"")),"")</f>
        <v/>
      </c>
      <c r="X31" s="37" t="str">
        <f ca="1">IFERROR(+IF(X$29=ProposalToGnatt[[#This Row],[Start Date]],Milestone_Marker,IF(AND(X$29&gt;ProposalToGnatt[[#This Row],[Start Date]],X$29&lt;ProposalToGnatt[[#This Row],[Start Date]]+ProposalToGnatt[[#This Row],[Days]]),$G$5,"")),"")</f>
        <v/>
      </c>
      <c r="Y31" s="37" t="str">
        <f ca="1">IFERROR(+IF(Y$29=ProposalToGnatt[[#This Row],[Start Date]],Milestone_Marker,IF(AND(Y$29&gt;ProposalToGnatt[[#This Row],[Start Date]],Y$29&lt;ProposalToGnatt[[#This Row],[Start Date]]+ProposalToGnatt[[#This Row],[Days]]),$G$5,"")),"")</f>
        <v/>
      </c>
      <c r="Z31" s="37" t="str">
        <f ca="1">IFERROR(+IF(Z$29=ProposalToGnatt[[#This Row],[Start Date]],Milestone_Marker,IF(AND(Z$29&gt;ProposalToGnatt[[#This Row],[Start Date]],Z$29&lt;ProposalToGnatt[[#This Row],[Start Date]]+ProposalToGnatt[[#This Row],[Days]]),$G$5,"")),"")</f>
        <v/>
      </c>
      <c r="AA31" s="37" t="str">
        <f ca="1">IFERROR(+IF(AA$29=ProposalToGnatt[[#This Row],[Start Date]],Milestone_Marker,IF(AND(AA$29&gt;ProposalToGnatt[[#This Row],[Start Date]],AA$29&lt;ProposalToGnatt[[#This Row],[Start Date]]+ProposalToGnatt[[#This Row],[Days]]),$G$5,"")),"")</f>
        <v/>
      </c>
      <c r="AB31" s="37" t="str">
        <f ca="1">IFERROR(+IF(AB$29=ProposalToGnatt[[#This Row],[Start Date]],Milestone_Marker,IF(AND(AB$29&gt;ProposalToGnatt[[#This Row],[Start Date]],AB$29&lt;ProposalToGnatt[[#This Row],[Start Date]]+ProposalToGnatt[[#This Row],[Days]]),$G$5,"")),"")</f>
        <v/>
      </c>
      <c r="AC31" s="37" t="str">
        <f ca="1">IFERROR(+IF(AC$29=ProposalToGnatt[[#This Row],[Start Date]],Milestone_Marker,IF(AND(AC$29&gt;ProposalToGnatt[[#This Row],[Start Date]],AC$29&lt;ProposalToGnatt[[#This Row],[Start Date]]+ProposalToGnatt[[#This Row],[Days]]),$G$5,"")),"")</f>
        <v/>
      </c>
      <c r="AD31" s="37" t="str">
        <f ca="1">IFERROR(+IF(AD$29=ProposalToGnatt[[#This Row],[Start Date]],Milestone_Marker,IF(AND(AD$29&gt;ProposalToGnatt[[#This Row],[Start Date]],AD$29&lt;ProposalToGnatt[[#This Row],[Start Date]]+ProposalToGnatt[[#This Row],[Days]]),$G$5,"")),"")</f>
        <v/>
      </c>
      <c r="AE31" s="37" t="str">
        <f ca="1">IFERROR(+IF(AE$29=ProposalToGnatt[[#This Row],[Start Date]],Milestone_Marker,IF(AND(AE$29&gt;ProposalToGnatt[[#This Row],[Start Date]],AE$29&lt;ProposalToGnatt[[#This Row],[Start Date]]+ProposalToGnatt[[#This Row],[Days]]),$G$5,"")),"")</f>
        <v/>
      </c>
      <c r="AF31" s="37" t="str">
        <f ca="1">IFERROR(+IF(AF$29=ProposalToGnatt[[#This Row],[Start Date]],Milestone_Marker,IF(AND(AF$29&gt;ProposalToGnatt[[#This Row],[Start Date]],AF$29&lt;ProposalToGnatt[[#This Row],[Start Date]]+ProposalToGnatt[[#This Row],[Days]]),$G$5,"")),"")</f>
        <v/>
      </c>
      <c r="AG31" s="37" t="str">
        <f ca="1">IFERROR(+IF(AG$29=ProposalToGnatt[[#This Row],[Start Date]],Milestone_Marker,IF(AND(AG$29&gt;ProposalToGnatt[[#This Row],[Start Date]],AG$29&lt;ProposalToGnatt[[#This Row],[Start Date]]+ProposalToGnatt[[#This Row],[Days]]),$G$5,"")),"")</f>
        <v/>
      </c>
      <c r="AH31" s="37" t="str">
        <f ca="1">IFERROR(+IF(AH$29=ProposalToGnatt[[#This Row],[Start Date]],Milestone_Marker,IF(AND(AH$29&gt;ProposalToGnatt[[#This Row],[Start Date]],AH$29&lt;ProposalToGnatt[[#This Row],[Start Date]]+ProposalToGnatt[[#This Row],[Days]]),$G$5,"")),"")</f>
        <v/>
      </c>
      <c r="AI31" s="37" t="str">
        <f ca="1">IFERROR(+IF(AI$29=ProposalToGnatt[[#This Row],[Start Date]],Milestone_Marker,IF(AND(AI$29&gt;ProposalToGnatt[[#This Row],[Start Date]],AI$29&lt;ProposalToGnatt[[#This Row],[Start Date]]+ProposalToGnatt[[#This Row],[Days]]),$G$5,"")),"")</f>
        <v/>
      </c>
      <c r="AJ31" s="37" t="str">
        <f ca="1">IFERROR(+IF(AJ$29=ProposalToGnatt[[#This Row],[Start Date]],Milestone_Marker,IF(AND(AJ$29&gt;ProposalToGnatt[[#This Row],[Start Date]],AJ$29&lt;ProposalToGnatt[[#This Row],[Start Date]]+ProposalToGnatt[[#This Row],[Days]]),$G$5,"")),"")</f>
        <v/>
      </c>
      <c r="AK31" s="37" t="str">
        <f ca="1">IFERROR(+IF(AK$29=ProposalToGnatt[[#This Row],[Start Date]],Milestone_Marker,IF(AND(AK$29&gt;ProposalToGnatt[[#This Row],[Start Date]],AK$29&lt;ProposalToGnatt[[#This Row],[Start Date]]+ProposalToGnatt[[#This Row],[Days]]),$G$5,"")),"")</f>
        <v/>
      </c>
      <c r="AL31" s="37" t="str">
        <f ca="1">IFERROR(+IF(AL$29=ProposalToGnatt[[#This Row],[Start Date]],Milestone_Marker,IF(AND(AL$29&gt;ProposalToGnatt[[#This Row],[Start Date]],AL$29&lt;ProposalToGnatt[[#This Row],[Start Date]]+ProposalToGnatt[[#This Row],[Days]]),$G$5,"")),"")</f>
        <v/>
      </c>
      <c r="AM31" s="37" t="str">
        <f ca="1">IFERROR(+IF(AM$29=ProposalToGnatt[[#This Row],[Start Date]],Milestone_Marker,IF(AND(AM$29&gt;ProposalToGnatt[[#This Row],[Start Date]],AM$29&lt;ProposalToGnatt[[#This Row],[Start Date]]+ProposalToGnatt[[#This Row],[Days]]),$G$5,"")),"")</f>
        <v/>
      </c>
      <c r="AN31" s="37" t="str">
        <f ca="1">IFERROR(+IF(AN$29=ProposalToGnatt[[#This Row],[Start Date]],Milestone_Marker,IF(AND(AN$29&gt;ProposalToGnatt[[#This Row],[Start Date]],AN$29&lt;ProposalToGnatt[[#This Row],[Start Date]]+ProposalToGnatt[[#This Row],[Days]]),$G$5,"")),"")</f>
        <v/>
      </c>
      <c r="AO31" s="37" t="str">
        <f ca="1">IFERROR(+IF(AO$29=ProposalToGnatt[[#This Row],[Start Date]],Milestone_Marker,IF(AND(AO$29&gt;ProposalToGnatt[[#This Row],[Start Date]],AO$29&lt;ProposalToGnatt[[#This Row],[Start Date]]+ProposalToGnatt[[#This Row],[Days]]),$G$5,"")),"")</f>
        <v/>
      </c>
      <c r="AP31" s="37" t="str">
        <f ca="1">IFERROR(+IF(AP$29=ProposalToGnatt[[#This Row],[Start Date]],Milestone_Marker,IF(AND(AP$29&gt;ProposalToGnatt[[#This Row],[Start Date]],AP$29&lt;ProposalToGnatt[[#This Row],[Start Date]]+ProposalToGnatt[[#This Row],[Days]]),$G$5,"")),"")</f>
        <v/>
      </c>
      <c r="AQ31" s="37" t="str">
        <f ca="1">IFERROR(+IF(AQ$29=ProposalToGnatt[[#This Row],[Start Date]],Milestone_Marker,IF(AND(AQ$29&gt;ProposalToGnatt[[#This Row],[Start Date]],AQ$29&lt;ProposalToGnatt[[#This Row],[Start Date]]+ProposalToGnatt[[#This Row],[Days]]),$G$5,"")),"")</f>
        <v/>
      </c>
      <c r="AR31" s="37" t="str">
        <f ca="1">IFERROR(+IF(AR$29=ProposalToGnatt[[#This Row],[Start Date]],Milestone_Marker,IF(AND(AR$29&gt;ProposalToGnatt[[#This Row],[Start Date]],AR$29&lt;ProposalToGnatt[[#This Row],[Start Date]]+ProposalToGnatt[[#This Row],[Days]]),$G$5,"")),"")</f>
        <v/>
      </c>
      <c r="AS31" s="37" t="str">
        <f ca="1">IFERROR(+IF(AS$29=ProposalToGnatt[[#This Row],[Start Date]],Milestone_Marker,IF(AND(AS$29&gt;ProposalToGnatt[[#This Row],[Start Date]],AS$29&lt;ProposalToGnatt[[#This Row],[Start Date]]+ProposalToGnatt[[#This Row],[Days]]),$G$5,"")),"")</f>
        <v/>
      </c>
      <c r="AT31" s="37" t="str">
        <f ca="1">IFERROR(+IF(AT$29=ProposalToGnatt[[#This Row],[Start Date]],Milestone_Marker,IF(AND(AT$29&gt;ProposalToGnatt[[#This Row],[Start Date]],AT$29&lt;ProposalToGnatt[[#This Row],[Start Date]]+ProposalToGnatt[[#This Row],[Days]]),$G$5,"")),"")</f>
        <v/>
      </c>
      <c r="AU31" s="37" t="str">
        <f ca="1">IFERROR(+IF(AU$29=ProposalToGnatt[[#This Row],[Start Date]],Milestone_Marker,IF(AND(AU$29&gt;ProposalToGnatt[[#This Row],[Start Date]],AU$29&lt;ProposalToGnatt[[#This Row],[Start Date]]+ProposalToGnatt[[#This Row],[Days]]),$G$5,"")),"")</f>
        <v/>
      </c>
      <c r="AV31" s="37" t="str">
        <f ca="1">IFERROR(+IF(AV$29=ProposalToGnatt[[#This Row],[Start Date]],Milestone_Marker,IF(AND(AV$29&gt;ProposalToGnatt[[#This Row],[Start Date]],AV$29&lt;ProposalToGnatt[[#This Row],[Start Date]]+ProposalToGnatt[[#This Row],[Days]]),$G$5,"")),"")</f>
        <v/>
      </c>
      <c r="AW31" s="37" t="str">
        <f ca="1">IFERROR(+IF(AW$29=ProposalToGnatt[[#This Row],[Start Date]],Milestone_Marker,IF(AND(AW$29&gt;ProposalToGnatt[[#This Row],[Start Date]],AW$29&lt;ProposalToGnatt[[#This Row],[Start Date]]+ProposalToGnatt[[#This Row],[Days]]),$G$5,"")),"")</f>
        <v/>
      </c>
      <c r="AX31" s="37" t="str">
        <f ca="1">IFERROR(+IF(AX$29=ProposalToGnatt[[#This Row],[Start Date]],Milestone_Marker,IF(AND(AX$29&gt;ProposalToGnatt[[#This Row],[Start Date]],AX$29&lt;ProposalToGnatt[[#This Row],[Start Date]]+ProposalToGnatt[[#This Row],[Days]]),$G$5,"")),"")</f>
        <v/>
      </c>
      <c r="AY31" s="37" t="str">
        <f ca="1">IFERROR(+IF(AY$29=ProposalToGnatt[[#This Row],[Start Date]],Milestone_Marker,IF(AND(AY$29&gt;ProposalToGnatt[[#This Row],[Start Date]],AY$29&lt;ProposalToGnatt[[#This Row],[Start Date]]+ProposalToGnatt[[#This Row],[Days]]),$G$5,"")),"")</f>
        <v/>
      </c>
      <c r="AZ31" s="37" t="str">
        <f ca="1">IFERROR(+IF(AZ$29=ProposalToGnatt[[#This Row],[Start Date]],Milestone_Marker,IF(AND(AZ$29&gt;ProposalToGnatt[[#This Row],[Start Date]],AZ$29&lt;ProposalToGnatt[[#This Row],[Start Date]]+ProposalToGnatt[[#This Row],[Days]]),$G$5,"")),"")</f>
        <v/>
      </c>
      <c r="BA31" s="37" t="str">
        <f ca="1">IFERROR(+IF(BA$29=ProposalToGnatt[[#This Row],[Start Date]],Milestone_Marker,IF(AND(BA$29&gt;ProposalToGnatt[[#This Row],[Start Date]],BA$29&lt;ProposalToGnatt[[#This Row],[Start Date]]+ProposalToGnatt[[#This Row],[Days]]),$G$5,"")),"")</f>
        <v/>
      </c>
      <c r="BB31" s="37" t="str">
        <f ca="1">IFERROR(+IF(BB$29=ProposalToGnatt[[#This Row],[Start Date]],Milestone_Marker,IF(AND(BB$29&gt;ProposalToGnatt[[#This Row],[Start Date]],BB$29&lt;ProposalToGnatt[[#This Row],[Start Date]]+ProposalToGnatt[[#This Row],[Days]]),$G$5,"")),"")</f>
        <v/>
      </c>
      <c r="BC31" s="37" t="str">
        <f ca="1">IFERROR(+IF(BC$29=ProposalToGnatt[[#This Row],[Start Date]],Milestone_Marker,IF(AND(BC$29&gt;ProposalToGnatt[[#This Row],[Start Date]],BC$29&lt;ProposalToGnatt[[#This Row],[Start Date]]+ProposalToGnatt[[#This Row],[Days]]),$G$5,"")),"")</f>
        <v/>
      </c>
      <c r="BD31" s="37" t="str">
        <f ca="1">IFERROR(+IF(BD$29=ProposalToGnatt[[#This Row],[Start Date]],Milestone_Marker,IF(AND(BD$29&gt;ProposalToGnatt[[#This Row],[Start Date]],BD$29&lt;ProposalToGnatt[[#This Row],[Start Date]]+ProposalToGnatt[[#This Row],[Days]]),$G$5,"")),"")</f>
        <v/>
      </c>
      <c r="BE31" s="37" t="str">
        <f ca="1">IFERROR(+IF(BE$29=ProposalToGnatt[[#This Row],[Start Date]],Milestone_Marker,IF(AND(BE$29&gt;ProposalToGnatt[[#This Row],[Start Date]],BE$29&lt;ProposalToGnatt[[#This Row],[Start Date]]+ProposalToGnatt[[#This Row],[Days]]),$G$5,"")),"")</f>
        <v/>
      </c>
      <c r="BF31" s="37" t="str">
        <f ca="1">IFERROR(+IF(BF$29=ProposalToGnatt[[#This Row],[Start Date]],Milestone_Marker,IF(AND(BF$29&gt;ProposalToGnatt[[#This Row],[Start Date]],BF$29&lt;ProposalToGnatt[[#This Row],[Start Date]]+ProposalToGnatt[[#This Row],[Days]]),$G$5,"")),"")</f>
        <v/>
      </c>
      <c r="BG31" s="37" t="str">
        <f ca="1">IFERROR(+IF(BG$29=ProposalToGnatt[[#This Row],[Start Date]],Milestone_Marker,IF(AND(BG$29&gt;ProposalToGnatt[[#This Row],[Start Date]],BG$29&lt;ProposalToGnatt[[#This Row],[Start Date]]+ProposalToGnatt[[#This Row],[Days]]),$G$5,"")),"")</f>
        <v/>
      </c>
      <c r="BH31" s="37" t="str">
        <f ca="1">IFERROR(+IF(BH$29=ProposalToGnatt[[#This Row],[Start Date]],Milestone_Marker,IF(AND(BH$29&gt;ProposalToGnatt[[#This Row],[Start Date]],BH$29&lt;ProposalToGnatt[[#This Row],[Start Date]]+ProposalToGnatt[[#This Row],[Days]]),$G$5,"")),"")</f>
        <v/>
      </c>
      <c r="BI31" s="37" t="str">
        <f ca="1">IFERROR(+IF(BI$29=ProposalToGnatt[[#This Row],[Start Date]],Milestone_Marker,IF(AND(BI$29&gt;ProposalToGnatt[[#This Row],[Start Date]],BI$29&lt;ProposalToGnatt[[#This Row],[Start Date]]+ProposalToGnatt[[#This Row],[Days]]),$G$5,"")),"")</f>
        <v/>
      </c>
      <c r="BJ31" s="37" t="str">
        <f ca="1">IFERROR(+IF(BJ$29=ProposalToGnatt[[#This Row],[Start Date]],Milestone_Marker,IF(AND(BJ$29&gt;ProposalToGnatt[[#This Row],[Start Date]],BJ$29&lt;ProposalToGnatt[[#This Row],[Start Date]]+ProposalToGnatt[[#This Row],[Days]]),$G$5,"")),"")</f>
        <v/>
      </c>
      <c r="BK31" s="37" t="str">
        <f ca="1">IFERROR(+IF(BK$29=ProposalToGnatt[[#This Row],[Start Date]],Milestone_Marker,IF(AND(BK$29&gt;ProposalToGnatt[[#This Row],[Start Date]],BK$29&lt;ProposalToGnatt[[#This Row],[Start Date]]+ProposalToGnatt[[#This Row],[Days]]),$G$5,"")),"")</f>
        <v/>
      </c>
      <c r="BL31" s="37" t="str">
        <f ca="1">IFERROR(+IF(BL$29=ProposalToGnatt[[#This Row],[Start Date]],Milestone_Marker,IF(AND(BL$29&gt;ProposalToGnatt[[#This Row],[Start Date]],BL$29&lt;ProposalToGnatt[[#This Row],[Start Date]]+ProposalToGnatt[[#This Row],[Days]]),$G$5,"")),"")</f>
        <v/>
      </c>
      <c r="BM31" s="37" t="str">
        <f ca="1">IFERROR(+IF(BM$29=ProposalToGnatt[[#This Row],[Start Date]],Milestone_Marker,IF(AND(BM$29&gt;ProposalToGnatt[[#This Row],[Start Date]],BM$29&lt;ProposalToGnatt[[#This Row],[Start Date]]+ProposalToGnatt[[#This Row],[Days]]),$G$5,"")),"")</f>
        <v/>
      </c>
      <c r="BN31" s="37" t="str">
        <f ca="1">IFERROR(+IF(BN$29=ProposalToGnatt[[#This Row],[Start Date]],Milestone_Marker,IF(AND(BN$29&gt;ProposalToGnatt[[#This Row],[Start Date]],BN$29&lt;ProposalToGnatt[[#This Row],[Start Date]]+ProposalToGnatt[[#This Row],[Days]]),$G$5,"")),"")</f>
        <v/>
      </c>
      <c r="BO31" s="37" t="str">
        <f ca="1">IFERROR(+IF(BO$29=ProposalToGnatt[[#This Row],[Start Date]],Milestone_Marker,IF(AND(BO$29&gt;ProposalToGnatt[[#This Row],[Start Date]],BO$29&lt;ProposalToGnatt[[#This Row],[Start Date]]+ProposalToGnatt[[#This Row],[Days]]),$G$5,"")),"")</f>
        <v/>
      </c>
      <c r="BP31" s="37" t="str">
        <f ca="1">IFERROR(+IF(BP$29=ProposalToGnatt[[#This Row],[Start Date]],Milestone_Marker,IF(AND(BP$29&gt;ProposalToGnatt[[#This Row],[Start Date]],BP$29&lt;ProposalToGnatt[[#This Row],[Start Date]]+ProposalToGnatt[[#This Row],[Days]]),$G$5,"")),"")</f>
        <v/>
      </c>
      <c r="BQ31" s="37" t="str">
        <f ca="1">IFERROR(+IF(BQ$29=ProposalToGnatt[[#This Row],[Start Date]],Milestone_Marker,IF(AND(BQ$29&gt;ProposalToGnatt[[#This Row],[Start Date]],BQ$29&lt;ProposalToGnatt[[#This Row],[Start Date]]+ProposalToGnatt[[#This Row],[Days]]),$G$5,"")),"")</f>
        <v/>
      </c>
      <c r="BR31" s="37" t="str">
        <f ca="1">IFERROR(+IF(BR$29=ProposalToGnatt[[#This Row],[Start Date]],Milestone_Marker,IF(AND(BR$29&gt;ProposalToGnatt[[#This Row],[Start Date]],BR$29&lt;ProposalToGnatt[[#This Row],[Start Date]]+ProposalToGnatt[[#This Row],[Days]]),$G$5,"")),"")</f>
        <v/>
      </c>
      <c r="BS31" s="37" t="str">
        <f ca="1">IFERROR(+IF(BS$29=ProposalToGnatt[[#This Row],[Start Date]],Milestone_Marker,IF(AND(BS$29&gt;ProposalToGnatt[[#This Row],[Start Date]],BS$29&lt;ProposalToGnatt[[#This Row],[Start Date]]+ProposalToGnatt[[#This Row],[Days]]),$G$5,"")),"")</f>
        <v/>
      </c>
      <c r="BT31" s="37" t="str">
        <f ca="1">IFERROR(+IF(BT$29=ProposalToGnatt[[#This Row],[Start Date]],Milestone_Marker,IF(AND(BT$29&gt;ProposalToGnatt[[#This Row],[Start Date]],BT$29&lt;ProposalToGnatt[[#This Row],[Start Date]]+ProposalToGnatt[[#This Row],[Days]]),$G$5,"")),"")</f>
        <v/>
      </c>
      <c r="BU31" s="37" t="str">
        <f ca="1">IFERROR(+IF(BU$29=ProposalToGnatt[[#This Row],[Start Date]],Milestone_Marker,IF(AND(BU$29&gt;ProposalToGnatt[[#This Row],[Start Date]],BU$29&lt;ProposalToGnatt[[#This Row],[Start Date]]+ProposalToGnatt[[#This Row],[Days]]),$G$5,"")),"")</f>
        <v/>
      </c>
      <c r="BV31" s="37" t="str">
        <f ca="1">IFERROR(+IF(BV$29=ProposalToGnatt[[#This Row],[Start Date]],Milestone_Marker,IF(AND(BV$29&gt;ProposalToGnatt[[#This Row],[Start Date]],BV$29&lt;ProposalToGnatt[[#This Row],[Start Date]]+ProposalToGnatt[[#This Row],[Days]]),$G$5,"")),"")</f>
        <v/>
      </c>
      <c r="BW31" s="37" t="str">
        <f ca="1">IFERROR(+IF(BW$29=ProposalToGnatt[[#This Row],[Start Date]],Milestone_Marker,IF(AND(BW$29&gt;ProposalToGnatt[[#This Row],[Start Date]],BW$29&lt;ProposalToGnatt[[#This Row],[Start Date]]+ProposalToGnatt[[#This Row],[Days]]),$G$5,"")),"")</f>
        <v/>
      </c>
      <c r="BX31" s="37" t="str">
        <f ca="1">IFERROR(+IF(BX$29=ProposalToGnatt[[#This Row],[Start Date]],Milestone_Marker,IF(AND(BX$29&gt;ProposalToGnatt[[#This Row],[Start Date]],BX$29&lt;ProposalToGnatt[[#This Row],[Start Date]]+ProposalToGnatt[[#This Row],[Days]]),$G$5,"")),"")</f>
        <v/>
      </c>
      <c r="BY31" s="37" t="str">
        <f ca="1">IFERROR(+IF(BY$29=ProposalToGnatt[[#This Row],[Start Date]],Milestone_Marker,IF(AND(BY$29&gt;ProposalToGnatt[[#This Row],[Start Date]],BY$29&lt;ProposalToGnatt[[#This Row],[Start Date]]+ProposalToGnatt[[#This Row],[Days]]),$G$5,"")),"")</f>
        <v/>
      </c>
      <c r="BZ31" s="37" t="str">
        <f ca="1">IFERROR(+IF(BZ$29=ProposalToGnatt[[#This Row],[Start Date]],Milestone_Marker,IF(AND(BZ$29&gt;ProposalToGnatt[[#This Row],[Start Date]],BZ$29&lt;ProposalToGnatt[[#This Row],[Start Date]]+ProposalToGnatt[[#This Row],[Days]]),$G$5,"")),"")</f>
        <v/>
      </c>
      <c r="CA31" s="37" t="str">
        <f ca="1">IFERROR(+IF(CA$29=ProposalToGnatt[[#This Row],[Start Date]],Milestone_Marker,IF(AND(CA$29&gt;ProposalToGnatt[[#This Row],[Start Date]],CA$29&lt;ProposalToGnatt[[#This Row],[Start Date]]+ProposalToGnatt[[#This Row],[Days]]),$G$5,"")),"")</f>
        <v/>
      </c>
      <c r="CB31" s="37" t="str">
        <f ca="1">IFERROR(+IF(CB$29=ProposalToGnatt[[#This Row],[Start Date]],Milestone_Marker,IF(AND(CB$29&gt;ProposalToGnatt[[#This Row],[Start Date]],CB$29&lt;ProposalToGnatt[[#This Row],[Start Date]]+ProposalToGnatt[[#This Row],[Days]]),$G$5,"")),"")</f>
        <v/>
      </c>
      <c r="CC31" s="37" t="str">
        <f ca="1">IFERROR(+IF(CC$29=ProposalToGnatt[[#This Row],[Start Date]],Milestone_Marker,IF(AND(CC$29&gt;ProposalToGnatt[[#This Row],[Start Date]],CC$29&lt;ProposalToGnatt[[#This Row],[Start Date]]+ProposalToGnatt[[#This Row],[Days]]),$G$5,"")),"")</f>
        <v/>
      </c>
      <c r="CD31" s="37" t="str">
        <f ca="1">IFERROR(+IF(CD$29=ProposalToGnatt[[#This Row],[Start Date]],Milestone_Marker,IF(AND(CD$29&gt;ProposalToGnatt[[#This Row],[Start Date]],CD$29&lt;ProposalToGnatt[[#This Row],[Start Date]]+ProposalToGnatt[[#This Row],[Days]]),$G$5,"")),"")</f>
        <v/>
      </c>
      <c r="CE31" s="37" t="str">
        <f ca="1">IFERROR(+IF(CE$29=ProposalToGnatt[[#This Row],[Start Date]],Milestone_Marker,IF(AND(CE$29&gt;ProposalToGnatt[[#This Row],[Start Date]],CE$29&lt;ProposalToGnatt[[#This Row],[Start Date]]+ProposalToGnatt[[#This Row],[Days]]),$G$5,"")),"")</f>
        <v/>
      </c>
      <c r="CF31" s="37" t="str">
        <f ca="1">IFERROR(+IF(CF$29=ProposalToGnatt[[#This Row],[Start Date]],Milestone_Marker,IF(AND(CF$29&gt;ProposalToGnatt[[#This Row],[Start Date]],CF$29&lt;ProposalToGnatt[[#This Row],[Start Date]]+ProposalToGnatt[[#This Row],[Days]]),$G$5,"")),"")</f>
        <v/>
      </c>
      <c r="CG31" s="37" t="str">
        <f ca="1">IFERROR(+IF(CG$29=ProposalToGnatt[[#This Row],[Start Date]],Milestone_Marker,IF(AND(CG$29&gt;ProposalToGnatt[[#This Row],[Start Date]],CG$29&lt;ProposalToGnatt[[#This Row],[Start Date]]+ProposalToGnatt[[#This Row],[Days]]),$G$5,"")),"")</f>
        <v/>
      </c>
      <c r="CH31" s="37" t="str">
        <f ca="1">IFERROR(+IF(CH$29=ProposalToGnatt[[#This Row],[Start Date]],Milestone_Marker,IF(AND(CH$29&gt;ProposalToGnatt[[#This Row],[Start Date]],CH$29&lt;ProposalToGnatt[[#This Row],[Start Date]]+ProposalToGnatt[[#This Row],[Days]]),$G$5,"")),"")</f>
        <v/>
      </c>
      <c r="CI31" s="37" t="str">
        <f ca="1">IFERROR(+IF(CI$29=ProposalToGnatt[[#This Row],[Start Date]],Milestone_Marker,IF(AND(CI$29&gt;ProposalToGnatt[[#This Row],[Start Date]],CI$29&lt;ProposalToGnatt[[#This Row],[Start Date]]+ProposalToGnatt[[#This Row],[Days]]),$G$5,"")),"")</f>
        <v/>
      </c>
      <c r="CJ31" s="37" t="str">
        <f ca="1">IFERROR(+IF(CJ$29=ProposalToGnatt[[#This Row],[Start Date]],Milestone_Marker,IF(AND(CJ$29&gt;ProposalToGnatt[[#This Row],[Start Date]],CJ$29&lt;ProposalToGnatt[[#This Row],[Start Date]]+ProposalToGnatt[[#This Row],[Days]]),$G$5,"")),"")</f>
        <v/>
      </c>
      <c r="CK31" s="37" t="str">
        <f ca="1">IFERROR(+IF(CK$29=ProposalToGnatt[[#This Row],[Start Date]],Milestone_Marker,IF(AND(CK$29&gt;ProposalToGnatt[[#This Row],[Start Date]],CK$29&lt;ProposalToGnatt[[#This Row],[Start Date]]+ProposalToGnatt[[#This Row],[Days]]),$G$5,"")),"")</f>
        <v/>
      </c>
      <c r="CL31" s="37" t="str">
        <f ca="1">IFERROR(+IF(CL$29=ProposalToGnatt[[#This Row],[Start Date]],Milestone_Marker,IF(AND(CL$29&gt;ProposalToGnatt[[#This Row],[Start Date]],CL$29&lt;ProposalToGnatt[[#This Row],[Start Date]]+ProposalToGnatt[[#This Row],[Days]]),$G$5,"")),"")</f>
        <v/>
      </c>
      <c r="CM31" s="37" t="str">
        <f ca="1">IFERROR(+IF(CM$29=ProposalToGnatt[[#This Row],[Start Date]],Milestone_Marker,IF(AND(CM$29&gt;ProposalToGnatt[[#This Row],[Start Date]],CM$29&lt;ProposalToGnatt[[#This Row],[Start Date]]+ProposalToGnatt[[#This Row],[Days]]),$G$5,"")),"")</f>
        <v/>
      </c>
      <c r="CN31" s="37" t="str">
        <f ca="1">IFERROR(+IF(CN$29=ProposalToGnatt[[#This Row],[Start Date]],Milestone_Marker,IF(AND(CN$29&gt;ProposalToGnatt[[#This Row],[Start Date]],CN$29&lt;ProposalToGnatt[[#This Row],[Start Date]]+ProposalToGnatt[[#This Row],[Days]]),$G$5,"")),"")</f>
        <v/>
      </c>
      <c r="CO31" s="37" t="str">
        <f ca="1">IFERROR(+IF(CO$29=ProposalToGnatt[[#This Row],[Start Date]],Milestone_Marker,IF(AND(CO$29&gt;ProposalToGnatt[[#This Row],[Start Date]],CO$29&lt;ProposalToGnatt[[#This Row],[Start Date]]+ProposalToGnatt[[#This Row],[Days]]),$G$5,"")),"")</f>
        <v/>
      </c>
      <c r="CP31" s="37" t="str">
        <f ca="1">IFERROR(+IF(CP$29=ProposalToGnatt[[#This Row],[Start Date]],Milestone_Marker,IF(AND(CP$29&gt;ProposalToGnatt[[#This Row],[Start Date]],CP$29&lt;ProposalToGnatt[[#This Row],[Start Date]]+ProposalToGnatt[[#This Row],[Days]]),$G$5,"")),"")</f>
        <v/>
      </c>
      <c r="CQ31" s="37" t="str">
        <f ca="1">IFERROR(+IF(CQ$29=ProposalToGnatt[[#This Row],[Start Date]],Milestone_Marker,IF(AND(CQ$29&gt;ProposalToGnatt[[#This Row],[Start Date]],CQ$29&lt;ProposalToGnatt[[#This Row],[Start Date]]+ProposalToGnatt[[#This Row],[Days]]),$G$5,"")),"")</f>
        <v/>
      </c>
      <c r="CR31" s="37" t="str">
        <f ca="1">IFERROR(+IF(CR$29=ProposalToGnatt[[#This Row],[Start Date]],Milestone_Marker,IF(AND(CR$29&gt;ProposalToGnatt[[#This Row],[Start Date]],CR$29&lt;ProposalToGnatt[[#This Row],[Start Date]]+ProposalToGnatt[[#This Row],[Days]]),$G$5,"")),"")</f>
        <v/>
      </c>
      <c r="CS31" s="37" t="str">
        <f ca="1">IFERROR(+IF(CS$29=ProposalToGnatt[[#This Row],[Start Date]],Milestone_Marker,IF(AND(CS$29&gt;ProposalToGnatt[[#This Row],[Start Date]],CS$29&lt;ProposalToGnatt[[#This Row],[Start Date]]+ProposalToGnatt[[#This Row],[Days]]),$G$5,"")),"")</f>
        <v/>
      </c>
      <c r="CT31" s="37" t="str">
        <f ca="1">IFERROR(+IF(CT$29=ProposalToGnatt[[#This Row],[Start Date]],Milestone_Marker,IF(AND(CT$29&gt;ProposalToGnatt[[#This Row],[Start Date]],CT$29&lt;ProposalToGnatt[[#This Row],[Start Date]]+ProposalToGnatt[[#This Row],[Days]]),$G$5,"")),"")</f>
        <v/>
      </c>
      <c r="CU31" s="37" t="str">
        <f ca="1">IFERROR(+IF(CU$29=ProposalToGnatt[[#This Row],[Start Date]],Milestone_Marker,IF(AND(CU$29&gt;ProposalToGnatt[[#This Row],[Start Date]],CU$29&lt;ProposalToGnatt[[#This Row],[Start Date]]+ProposalToGnatt[[#This Row],[Days]]),$G$5,"")),"")</f>
        <v/>
      </c>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row>
    <row r="32" spans="1:125" s="42" customFormat="1" ht="20.100000000000001" customHeight="1">
      <c r="A32" t="s">
        <v>437</v>
      </c>
      <c r="B32">
        <v>3</v>
      </c>
      <c r="C32" t="s">
        <v>341</v>
      </c>
      <c r="D32" t="s">
        <v>344</v>
      </c>
      <c r="E32" t="s">
        <v>344</v>
      </c>
      <c r="F32">
        <v>0</v>
      </c>
      <c r="G32" s="11"/>
      <c r="H32" s="26"/>
      <c r="I32"/>
      <c r="J32"/>
      <c r="K32" s="363"/>
      <c r="L32"/>
      <c r="M32"/>
      <c r="N32"/>
      <c r="O32" s="26"/>
      <c r="P32" s="37">
        <f ca="1">IFERROR(+IF(P$29=ProposalToGnatt[[#This Row],[Start Date]],Milestone_Marker,IF(AND(P$29&gt;ProposalToGnatt[[#This Row],[Start Date]],P$29&lt;ProposalToGnatt[[#This Row],[Start Date]]+ProposalToGnatt[[#This Row],[Days]]),$G$5,"")),"")</f>
        <v>1</v>
      </c>
      <c r="Q32" s="37" t="str">
        <f ca="1">IFERROR(+IF(Q$29=ProposalToGnatt[[#This Row],[Start Date]],Milestone_Marker,IF(AND(Q$29&gt;ProposalToGnatt[[#This Row],[Start Date]],Q$29&lt;ProposalToGnatt[[#This Row],[Start Date]]+ProposalToGnatt[[#This Row],[Days]]),$G$5,"")),"")</f>
        <v/>
      </c>
      <c r="R32" s="37" t="str">
        <f ca="1">IFERROR(+IF(R$29=ProposalToGnatt[[#This Row],[Start Date]],Milestone_Marker,IF(AND(R$29&gt;ProposalToGnatt[[#This Row],[Start Date]],R$29&lt;ProposalToGnatt[[#This Row],[Start Date]]+ProposalToGnatt[[#This Row],[Days]]),$G$5,"")),"")</f>
        <v/>
      </c>
      <c r="S32" s="37" t="str">
        <f ca="1">IFERROR(+IF(S$29=ProposalToGnatt[[#This Row],[Start Date]],Milestone_Marker,IF(AND(S$29&gt;ProposalToGnatt[[#This Row],[Start Date]],S$29&lt;ProposalToGnatt[[#This Row],[Start Date]]+ProposalToGnatt[[#This Row],[Days]]),$G$5,"")),"")</f>
        <v/>
      </c>
      <c r="T32" s="37" t="str">
        <f ca="1">IFERROR(+IF(T$29=ProposalToGnatt[[#This Row],[Start Date]],Milestone_Marker,IF(AND(T$29&gt;ProposalToGnatt[[#This Row],[Start Date]],T$29&lt;ProposalToGnatt[[#This Row],[Start Date]]+ProposalToGnatt[[#This Row],[Days]]),$G$5,"")),"")</f>
        <v/>
      </c>
      <c r="U32" s="37" t="str">
        <f ca="1">IFERROR(+IF(U$29=ProposalToGnatt[[#This Row],[Start Date]],Milestone_Marker,IF(AND(U$29&gt;ProposalToGnatt[[#This Row],[Start Date]],U$29&lt;ProposalToGnatt[[#This Row],[Start Date]]+ProposalToGnatt[[#This Row],[Days]]),$G$5,"")),"")</f>
        <v/>
      </c>
      <c r="V32" s="37" t="str">
        <f ca="1">IFERROR(+IF(V$29=ProposalToGnatt[[#This Row],[Start Date]],Milestone_Marker,IF(AND(V$29&gt;ProposalToGnatt[[#This Row],[Start Date]],V$29&lt;ProposalToGnatt[[#This Row],[Start Date]]+ProposalToGnatt[[#This Row],[Days]]),$G$5,"")),"")</f>
        <v/>
      </c>
      <c r="W32" s="37" t="str">
        <f ca="1">IFERROR(+IF(W$29=ProposalToGnatt[[#This Row],[Start Date]],Milestone_Marker,IF(AND(W$29&gt;ProposalToGnatt[[#This Row],[Start Date]],W$29&lt;ProposalToGnatt[[#This Row],[Start Date]]+ProposalToGnatt[[#This Row],[Days]]),$G$5,"")),"")</f>
        <v/>
      </c>
      <c r="X32" s="37" t="str">
        <f ca="1">IFERROR(+IF(X$29=ProposalToGnatt[[#This Row],[Start Date]],Milestone_Marker,IF(AND(X$29&gt;ProposalToGnatt[[#This Row],[Start Date]],X$29&lt;ProposalToGnatt[[#This Row],[Start Date]]+ProposalToGnatt[[#This Row],[Days]]),$G$5,"")),"")</f>
        <v/>
      </c>
      <c r="Y32" s="37" t="str">
        <f ca="1">IFERROR(+IF(Y$29=ProposalToGnatt[[#This Row],[Start Date]],Milestone_Marker,IF(AND(Y$29&gt;ProposalToGnatt[[#This Row],[Start Date]],Y$29&lt;ProposalToGnatt[[#This Row],[Start Date]]+ProposalToGnatt[[#This Row],[Days]]),$G$5,"")),"")</f>
        <v/>
      </c>
      <c r="Z32" s="37" t="str">
        <f ca="1">IFERROR(+IF(Z$29=ProposalToGnatt[[#This Row],[Start Date]],Milestone_Marker,IF(AND(Z$29&gt;ProposalToGnatt[[#This Row],[Start Date]],Z$29&lt;ProposalToGnatt[[#This Row],[Start Date]]+ProposalToGnatt[[#This Row],[Days]]),$G$5,"")),"")</f>
        <v/>
      </c>
      <c r="AA32" s="37" t="str">
        <f ca="1">IFERROR(+IF(AA$29=ProposalToGnatt[[#This Row],[Start Date]],Milestone_Marker,IF(AND(AA$29&gt;ProposalToGnatt[[#This Row],[Start Date]],AA$29&lt;ProposalToGnatt[[#This Row],[Start Date]]+ProposalToGnatt[[#This Row],[Days]]),$G$5,"")),"")</f>
        <v/>
      </c>
      <c r="AB32" s="37" t="str">
        <f ca="1">IFERROR(+IF(AB$29=ProposalToGnatt[[#This Row],[Start Date]],Milestone_Marker,IF(AND(AB$29&gt;ProposalToGnatt[[#This Row],[Start Date]],AB$29&lt;ProposalToGnatt[[#This Row],[Start Date]]+ProposalToGnatt[[#This Row],[Days]]),$G$5,"")),"")</f>
        <v/>
      </c>
      <c r="AC32" s="37" t="str">
        <f ca="1">IFERROR(+IF(AC$29=ProposalToGnatt[[#This Row],[Start Date]],Milestone_Marker,IF(AND(AC$29&gt;ProposalToGnatt[[#This Row],[Start Date]],AC$29&lt;ProposalToGnatt[[#This Row],[Start Date]]+ProposalToGnatt[[#This Row],[Days]]),$G$5,"")),"")</f>
        <v/>
      </c>
      <c r="AD32" s="37" t="str">
        <f ca="1">IFERROR(+IF(AD$29=ProposalToGnatt[[#This Row],[Start Date]],Milestone_Marker,IF(AND(AD$29&gt;ProposalToGnatt[[#This Row],[Start Date]],AD$29&lt;ProposalToGnatt[[#This Row],[Start Date]]+ProposalToGnatt[[#This Row],[Days]]),$G$5,"")),"")</f>
        <v/>
      </c>
      <c r="AE32" s="37" t="str">
        <f ca="1">IFERROR(+IF(AE$29=ProposalToGnatt[[#This Row],[Start Date]],Milestone_Marker,IF(AND(AE$29&gt;ProposalToGnatt[[#This Row],[Start Date]],AE$29&lt;ProposalToGnatt[[#This Row],[Start Date]]+ProposalToGnatt[[#This Row],[Days]]),$G$5,"")),"")</f>
        <v/>
      </c>
      <c r="AF32" s="37" t="str">
        <f ca="1">IFERROR(+IF(AF$29=ProposalToGnatt[[#This Row],[Start Date]],Milestone_Marker,IF(AND(AF$29&gt;ProposalToGnatt[[#This Row],[Start Date]],AF$29&lt;ProposalToGnatt[[#This Row],[Start Date]]+ProposalToGnatt[[#This Row],[Days]]),$G$5,"")),"")</f>
        <v/>
      </c>
      <c r="AG32" s="37" t="str">
        <f ca="1">IFERROR(+IF(AG$29=ProposalToGnatt[[#This Row],[Start Date]],Milestone_Marker,IF(AND(AG$29&gt;ProposalToGnatt[[#This Row],[Start Date]],AG$29&lt;ProposalToGnatt[[#This Row],[Start Date]]+ProposalToGnatt[[#This Row],[Days]]),$G$5,"")),"")</f>
        <v/>
      </c>
      <c r="AH32" s="37" t="str">
        <f ca="1">IFERROR(+IF(AH$29=ProposalToGnatt[[#This Row],[Start Date]],Milestone_Marker,IF(AND(AH$29&gt;ProposalToGnatt[[#This Row],[Start Date]],AH$29&lt;ProposalToGnatt[[#This Row],[Start Date]]+ProposalToGnatt[[#This Row],[Days]]),$G$5,"")),"")</f>
        <v/>
      </c>
      <c r="AI32" s="37" t="str">
        <f ca="1">IFERROR(+IF(AI$29=ProposalToGnatt[[#This Row],[Start Date]],Milestone_Marker,IF(AND(AI$29&gt;ProposalToGnatt[[#This Row],[Start Date]],AI$29&lt;ProposalToGnatt[[#This Row],[Start Date]]+ProposalToGnatt[[#This Row],[Days]]),$G$5,"")),"")</f>
        <v/>
      </c>
      <c r="AJ32" s="37" t="str">
        <f ca="1">IFERROR(+IF(AJ$29=ProposalToGnatt[[#This Row],[Start Date]],Milestone_Marker,IF(AND(AJ$29&gt;ProposalToGnatt[[#This Row],[Start Date]],AJ$29&lt;ProposalToGnatt[[#This Row],[Start Date]]+ProposalToGnatt[[#This Row],[Days]]),$G$5,"")),"")</f>
        <v/>
      </c>
      <c r="AK32" s="37" t="str">
        <f ca="1">IFERROR(+IF(AK$29=ProposalToGnatt[[#This Row],[Start Date]],Milestone_Marker,IF(AND(AK$29&gt;ProposalToGnatt[[#This Row],[Start Date]],AK$29&lt;ProposalToGnatt[[#This Row],[Start Date]]+ProposalToGnatt[[#This Row],[Days]]),$G$5,"")),"")</f>
        <v/>
      </c>
      <c r="AL32" s="37" t="str">
        <f ca="1">IFERROR(+IF(AL$29=ProposalToGnatt[[#This Row],[Start Date]],Milestone_Marker,IF(AND(AL$29&gt;ProposalToGnatt[[#This Row],[Start Date]],AL$29&lt;ProposalToGnatt[[#This Row],[Start Date]]+ProposalToGnatt[[#This Row],[Days]]),$G$5,"")),"")</f>
        <v/>
      </c>
      <c r="AM32" s="37" t="str">
        <f ca="1">IFERROR(+IF(AM$29=ProposalToGnatt[[#This Row],[Start Date]],Milestone_Marker,IF(AND(AM$29&gt;ProposalToGnatt[[#This Row],[Start Date]],AM$29&lt;ProposalToGnatt[[#This Row],[Start Date]]+ProposalToGnatt[[#This Row],[Days]]),$G$5,"")),"")</f>
        <v/>
      </c>
      <c r="AN32" s="37" t="str">
        <f ca="1">IFERROR(+IF(AN$29=ProposalToGnatt[[#This Row],[Start Date]],Milestone_Marker,IF(AND(AN$29&gt;ProposalToGnatt[[#This Row],[Start Date]],AN$29&lt;ProposalToGnatt[[#This Row],[Start Date]]+ProposalToGnatt[[#This Row],[Days]]),$G$5,"")),"")</f>
        <v/>
      </c>
      <c r="AO32" s="37" t="str">
        <f ca="1">IFERROR(+IF(AO$29=ProposalToGnatt[[#This Row],[Start Date]],Milestone_Marker,IF(AND(AO$29&gt;ProposalToGnatt[[#This Row],[Start Date]],AO$29&lt;ProposalToGnatt[[#This Row],[Start Date]]+ProposalToGnatt[[#This Row],[Days]]),$G$5,"")),"")</f>
        <v/>
      </c>
      <c r="AP32" s="37" t="str">
        <f ca="1">IFERROR(+IF(AP$29=ProposalToGnatt[[#This Row],[Start Date]],Milestone_Marker,IF(AND(AP$29&gt;ProposalToGnatt[[#This Row],[Start Date]],AP$29&lt;ProposalToGnatt[[#This Row],[Start Date]]+ProposalToGnatt[[#This Row],[Days]]),$G$5,"")),"")</f>
        <v/>
      </c>
      <c r="AQ32" s="37" t="str">
        <f ca="1">IFERROR(+IF(AQ$29=ProposalToGnatt[[#This Row],[Start Date]],Milestone_Marker,IF(AND(AQ$29&gt;ProposalToGnatt[[#This Row],[Start Date]],AQ$29&lt;ProposalToGnatt[[#This Row],[Start Date]]+ProposalToGnatt[[#This Row],[Days]]),$G$5,"")),"")</f>
        <v/>
      </c>
      <c r="AR32" s="37" t="str">
        <f ca="1">IFERROR(+IF(AR$29=ProposalToGnatt[[#This Row],[Start Date]],Milestone_Marker,IF(AND(AR$29&gt;ProposalToGnatt[[#This Row],[Start Date]],AR$29&lt;ProposalToGnatt[[#This Row],[Start Date]]+ProposalToGnatt[[#This Row],[Days]]),$G$5,"")),"")</f>
        <v/>
      </c>
      <c r="AS32" s="37" t="str">
        <f ca="1">IFERROR(+IF(AS$29=ProposalToGnatt[[#This Row],[Start Date]],Milestone_Marker,IF(AND(AS$29&gt;ProposalToGnatt[[#This Row],[Start Date]],AS$29&lt;ProposalToGnatt[[#This Row],[Start Date]]+ProposalToGnatt[[#This Row],[Days]]),$G$5,"")),"")</f>
        <v/>
      </c>
      <c r="AT32" s="37" t="str">
        <f ca="1">IFERROR(+IF(AT$29=ProposalToGnatt[[#This Row],[Start Date]],Milestone_Marker,IF(AND(AT$29&gt;ProposalToGnatt[[#This Row],[Start Date]],AT$29&lt;ProposalToGnatt[[#This Row],[Start Date]]+ProposalToGnatt[[#This Row],[Days]]),$G$5,"")),"")</f>
        <v/>
      </c>
      <c r="AU32" s="37" t="str">
        <f ca="1">IFERROR(+IF(AU$29=ProposalToGnatt[[#This Row],[Start Date]],Milestone_Marker,IF(AND(AU$29&gt;ProposalToGnatt[[#This Row],[Start Date]],AU$29&lt;ProposalToGnatt[[#This Row],[Start Date]]+ProposalToGnatt[[#This Row],[Days]]),$G$5,"")),"")</f>
        <v/>
      </c>
      <c r="AV32" s="37" t="str">
        <f ca="1">IFERROR(+IF(AV$29=ProposalToGnatt[[#This Row],[Start Date]],Milestone_Marker,IF(AND(AV$29&gt;ProposalToGnatt[[#This Row],[Start Date]],AV$29&lt;ProposalToGnatt[[#This Row],[Start Date]]+ProposalToGnatt[[#This Row],[Days]]),$G$5,"")),"")</f>
        <v/>
      </c>
      <c r="AW32" s="37" t="str">
        <f ca="1">IFERROR(+IF(AW$29=ProposalToGnatt[[#This Row],[Start Date]],Milestone_Marker,IF(AND(AW$29&gt;ProposalToGnatt[[#This Row],[Start Date]],AW$29&lt;ProposalToGnatt[[#This Row],[Start Date]]+ProposalToGnatt[[#This Row],[Days]]),$G$5,"")),"")</f>
        <v/>
      </c>
      <c r="AX32" s="37" t="str">
        <f ca="1">IFERROR(+IF(AX$29=ProposalToGnatt[[#This Row],[Start Date]],Milestone_Marker,IF(AND(AX$29&gt;ProposalToGnatt[[#This Row],[Start Date]],AX$29&lt;ProposalToGnatt[[#This Row],[Start Date]]+ProposalToGnatt[[#This Row],[Days]]),$G$5,"")),"")</f>
        <v/>
      </c>
      <c r="AY32" s="37" t="str">
        <f ca="1">IFERROR(+IF(AY$29=ProposalToGnatt[[#This Row],[Start Date]],Milestone_Marker,IF(AND(AY$29&gt;ProposalToGnatt[[#This Row],[Start Date]],AY$29&lt;ProposalToGnatt[[#This Row],[Start Date]]+ProposalToGnatt[[#This Row],[Days]]),$G$5,"")),"")</f>
        <v/>
      </c>
      <c r="AZ32" s="37" t="str">
        <f ca="1">IFERROR(+IF(AZ$29=ProposalToGnatt[[#This Row],[Start Date]],Milestone_Marker,IF(AND(AZ$29&gt;ProposalToGnatt[[#This Row],[Start Date]],AZ$29&lt;ProposalToGnatt[[#This Row],[Start Date]]+ProposalToGnatt[[#This Row],[Days]]),$G$5,"")),"")</f>
        <v/>
      </c>
      <c r="BA32" s="37" t="str">
        <f ca="1">IFERROR(+IF(BA$29=ProposalToGnatt[[#This Row],[Start Date]],Milestone_Marker,IF(AND(BA$29&gt;ProposalToGnatt[[#This Row],[Start Date]],BA$29&lt;ProposalToGnatt[[#This Row],[Start Date]]+ProposalToGnatt[[#This Row],[Days]]),$G$5,"")),"")</f>
        <v/>
      </c>
      <c r="BB32" s="37" t="str">
        <f ca="1">IFERROR(+IF(BB$29=ProposalToGnatt[[#This Row],[Start Date]],Milestone_Marker,IF(AND(BB$29&gt;ProposalToGnatt[[#This Row],[Start Date]],BB$29&lt;ProposalToGnatt[[#This Row],[Start Date]]+ProposalToGnatt[[#This Row],[Days]]),$G$5,"")),"")</f>
        <v/>
      </c>
      <c r="BC32" s="37" t="str">
        <f ca="1">IFERROR(+IF(BC$29=ProposalToGnatt[[#This Row],[Start Date]],Milestone_Marker,IF(AND(BC$29&gt;ProposalToGnatt[[#This Row],[Start Date]],BC$29&lt;ProposalToGnatt[[#This Row],[Start Date]]+ProposalToGnatt[[#This Row],[Days]]),$G$5,"")),"")</f>
        <v/>
      </c>
      <c r="BD32" s="37" t="str">
        <f ca="1">IFERROR(+IF(BD$29=ProposalToGnatt[[#This Row],[Start Date]],Milestone_Marker,IF(AND(BD$29&gt;ProposalToGnatt[[#This Row],[Start Date]],BD$29&lt;ProposalToGnatt[[#This Row],[Start Date]]+ProposalToGnatt[[#This Row],[Days]]),$G$5,"")),"")</f>
        <v/>
      </c>
      <c r="BE32" s="37" t="str">
        <f ca="1">IFERROR(+IF(BE$29=ProposalToGnatt[[#This Row],[Start Date]],Milestone_Marker,IF(AND(BE$29&gt;ProposalToGnatt[[#This Row],[Start Date]],BE$29&lt;ProposalToGnatt[[#This Row],[Start Date]]+ProposalToGnatt[[#This Row],[Days]]),$G$5,"")),"")</f>
        <v/>
      </c>
      <c r="BF32" s="37" t="str">
        <f ca="1">IFERROR(+IF(BF$29=ProposalToGnatt[[#This Row],[Start Date]],Milestone_Marker,IF(AND(BF$29&gt;ProposalToGnatt[[#This Row],[Start Date]],BF$29&lt;ProposalToGnatt[[#This Row],[Start Date]]+ProposalToGnatt[[#This Row],[Days]]),$G$5,"")),"")</f>
        <v/>
      </c>
      <c r="BG32" s="37" t="str">
        <f ca="1">IFERROR(+IF(BG$29=ProposalToGnatt[[#This Row],[Start Date]],Milestone_Marker,IF(AND(BG$29&gt;ProposalToGnatt[[#This Row],[Start Date]],BG$29&lt;ProposalToGnatt[[#This Row],[Start Date]]+ProposalToGnatt[[#This Row],[Days]]),$G$5,"")),"")</f>
        <v/>
      </c>
      <c r="BH32" s="37" t="str">
        <f ca="1">IFERROR(+IF(BH$29=ProposalToGnatt[[#This Row],[Start Date]],Milestone_Marker,IF(AND(BH$29&gt;ProposalToGnatt[[#This Row],[Start Date]],BH$29&lt;ProposalToGnatt[[#This Row],[Start Date]]+ProposalToGnatt[[#This Row],[Days]]),$G$5,"")),"")</f>
        <v/>
      </c>
      <c r="BI32" s="37" t="str">
        <f ca="1">IFERROR(+IF(BI$29=ProposalToGnatt[[#This Row],[Start Date]],Milestone_Marker,IF(AND(BI$29&gt;ProposalToGnatt[[#This Row],[Start Date]],BI$29&lt;ProposalToGnatt[[#This Row],[Start Date]]+ProposalToGnatt[[#This Row],[Days]]),$G$5,"")),"")</f>
        <v/>
      </c>
      <c r="BJ32" s="37" t="str">
        <f ca="1">IFERROR(+IF(BJ$29=ProposalToGnatt[[#This Row],[Start Date]],Milestone_Marker,IF(AND(BJ$29&gt;ProposalToGnatt[[#This Row],[Start Date]],BJ$29&lt;ProposalToGnatt[[#This Row],[Start Date]]+ProposalToGnatt[[#This Row],[Days]]),$G$5,"")),"")</f>
        <v/>
      </c>
      <c r="BK32" s="37" t="str">
        <f ca="1">IFERROR(+IF(BK$29=ProposalToGnatt[[#This Row],[Start Date]],Milestone_Marker,IF(AND(BK$29&gt;ProposalToGnatt[[#This Row],[Start Date]],BK$29&lt;ProposalToGnatt[[#This Row],[Start Date]]+ProposalToGnatt[[#This Row],[Days]]),$G$5,"")),"")</f>
        <v/>
      </c>
      <c r="BL32" s="37" t="str">
        <f ca="1">IFERROR(+IF(BL$29=ProposalToGnatt[[#This Row],[Start Date]],Milestone_Marker,IF(AND(BL$29&gt;ProposalToGnatt[[#This Row],[Start Date]],BL$29&lt;ProposalToGnatt[[#This Row],[Start Date]]+ProposalToGnatt[[#This Row],[Days]]),$G$5,"")),"")</f>
        <v/>
      </c>
      <c r="BM32" s="37" t="str">
        <f ca="1">IFERROR(+IF(BM$29=ProposalToGnatt[[#This Row],[Start Date]],Milestone_Marker,IF(AND(BM$29&gt;ProposalToGnatt[[#This Row],[Start Date]],BM$29&lt;ProposalToGnatt[[#This Row],[Start Date]]+ProposalToGnatt[[#This Row],[Days]]),$G$5,"")),"")</f>
        <v/>
      </c>
      <c r="BN32" s="37" t="str">
        <f ca="1">IFERROR(+IF(BN$29=ProposalToGnatt[[#This Row],[Start Date]],Milestone_Marker,IF(AND(BN$29&gt;ProposalToGnatt[[#This Row],[Start Date]],BN$29&lt;ProposalToGnatt[[#This Row],[Start Date]]+ProposalToGnatt[[#This Row],[Days]]),$G$5,"")),"")</f>
        <v/>
      </c>
      <c r="BO32" s="37" t="str">
        <f ca="1">IFERROR(+IF(BO$29=ProposalToGnatt[[#This Row],[Start Date]],Milestone_Marker,IF(AND(BO$29&gt;ProposalToGnatt[[#This Row],[Start Date]],BO$29&lt;ProposalToGnatt[[#This Row],[Start Date]]+ProposalToGnatt[[#This Row],[Days]]),$G$5,"")),"")</f>
        <v/>
      </c>
      <c r="BP32" s="37" t="str">
        <f ca="1">IFERROR(+IF(BP$29=ProposalToGnatt[[#This Row],[Start Date]],Milestone_Marker,IF(AND(BP$29&gt;ProposalToGnatt[[#This Row],[Start Date]],BP$29&lt;ProposalToGnatt[[#This Row],[Start Date]]+ProposalToGnatt[[#This Row],[Days]]),$G$5,"")),"")</f>
        <v/>
      </c>
      <c r="BQ32" s="37" t="str">
        <f ca="1">IFERROR(+IF(BQ$29=ProposalToGnatt[[#This Row],[Start Date]],Milestone_Marker,IF(AND(BQ$29&gt;ProposalToGnatt[[#This Row],[Start Date]],BQ$29&lt;ProposalToGnatt[[#This Row],[Start Date]]+ProposalToGnatt[[#This Row],[Days]]),$G$5,"")),"")</f>
        <v/>
      </c>
      <c r="BR32" s="37" t="str">
        <f ca="1">IFERROR(+IF(BR$29=ProposalToGnatt[[#This Row],[Start Date]],Milestone_Marker,IF(AND(BR$29&gt;ProposalToGnatt[[#This Row],[Start Date]],BR$29&lt;ProposalToGnatt[[#This Row],[Start Date]]+ProposalToGnatt[[#This Row],[Days]]),$G$5,"")),"")</f>
        <v/>
      </c>
      <c r="BS32" s="37" t="str">
        <f ca="1">IFERROR(+IF(BS$29=ProposalToGnatt[[#This Row],[Start Date]],Milestone_Marker,IF(AND(BS$29&gt;ProposalToGnatt[[#This Row],[Start Date]],BS$29&lt;ProposalToGnatt[[#This Row],[Start Date]]+ProposalToGnatt[[#This Row],[Days]]),$G$5,"")),"")</f>
        <v/>
      </c>
      <c r="BT32" s="37" t="str">
        <f ca="1">IFERROR(+IF(BT$29=ProposalToGnatt[[#This Row],[Start Date]],Milestone_Marker,IF(AND(BT$29&gt;ProposalToGnatt[[#This Row],[Start Date]],BT$29&lt;ProposalToGnatt[[#This Row],[Start Date]]+ProposalToGnatt[[#This Row],[Days]]),$G$5,"")),"")</f>
        <v/>
      </c>
      <c r="BU32" s="37" t="str">
        <f ca="1">IFERROR(+IF(BU$29=ProposalToGnatt[[#This Row],[Start Date]],Milestone_Marker,IF(AND(BU$29&gt;ProposalToGnatt[[#This Row],[Start Date]],BU$29&lt;ProposalToGnatt[[#This Row],[Start Date]]+ProposalToGnatt[[#This Row],[Days]]),$G$5,"")),"")</f>
        <v/>
      </c>
      <c r="BV32" s="37" t="str">
        <f ca="1">IFERROR(+IF(BV$29=ProposalToGnatt[[#This Row],[Start Date]],Milestone_Marker,IF(AND(BV$29&gt;ProposalToGnatt[[#This Row],[Start Date]],BV$29&lt;ProposalToGnatt[[#This Row],[Start Date]]+ProposalToGnatt[[#This Row],[Days]]),$G$5,"")),"")</f>
        <v/>
      </c>
      <c r="BW32" s="37" t="str">
        <f ca="1">IFERROR(+IF(BW$29=ProposalToGnatt[[#This Row],[Start Date]],Milestone_Marker,IF(AND(BW$29&gt;ProposalToGnatt[[#This Row],[Start Date]],BW$29&lt;ProposalToGnatt[[#This Row],[Start Date]]+ProposalToGnatt[[#This Row],[Days]]),$G$5,"")),"")</f>
        <v/>
      </c>
      <c r="BX32" s="37" t="str">
        <f ca="1">IFERROR(+IF(BX$29=ProposalToGnatt[[#This Row],[Start Date]],Milestone_Marker,IF(AND(BX$29&gt;ProposalToGnatt[[#This Row],[Start Date]],BX$29&lt;ProposalToGnatt[[#This Row],[Start Date]]+ProposalToGnatt[[#This Row],[Days]]),$G$5,"")),"")</f>
        <v/>
      </c>
      <c r="BY32" s="37" t="str">
        <f ca="1">IFERROR(+IF(BY$29=ProposalToGnatt[[#This Row],[Start Date]],Milestone_Marker,IF(AND(BY$29&gt;ProposalToGnatt[[#This Row],[Start Date]],BY$29&lt;ProposalToGnatt[[#This Row],[Start Date]]+ProposalToGnatt[[#This Row],[Days]]),$G$5,"")),"")</f>
        <v/>
      </c>
      <c r="BZ32" s="37" t="str">
        <f ca="1">IFERROR(+IF(BZ$29=ProposalToGnatt[[#This Row],[Start Date]],Milestone_Marker,IF(AND(BZ$29&gt;ProposalToGnatt[[#This Row],[Start Date]],BZ$29&lt;ProposalToGnatt[[#This Row],[Start Date]]+ProposalToGnatt[[#This Row],[Days]]),$G$5,"")),"")</f>
        <v/>
      </c>
      <c r="CA32" s="37" t="str">
        <f ca="1">IFERROR(+IF(CA$29=ProposalToGnatt[[#This Row],[Start Date]],Milestone_Marker,IF(AND(CA$29&gt;ProposalToGnatt[[#This Row],[Start Date]],CA$29&lt;ProposalToGnatt[[#This Row],[Start Date]]+ProposalToGnatt[[#This Row],[Days]]),$G$5,"")),"")</f>
        <v/>
      </c>
      <c r="CB32" s="37" t="str">
        <f ca="1">IFERROR(+IF(CB$29=ProposalToGnatt[[#This Row],[Start Date]],Milestone_Marker,IF(AND(CB$29&gt;ProposalToGnatt[[#This Row],[Start Date]],CB$29&lt;ProposalToGnatt[[#This Row],[Start Date]]+ProposalToGnatt[[#This Row],[Days]]),$G$5,"")),"")</f>
        <v/>
      </c>
      <c r="CC32" s="37" t="str">
        <f ca="1">IFERROR(+IF(CC$29=ProposalToGnatt[[#This Row],[Start Date]],Milestone_Marker,IF(AND(CC$29&gt;ProposalToGnatt[[#This Row],[Start Date]],CC$29&lt;ProposalToGnatt[[#This Row],[Start Date]]+ProposalToGnatt[[#This Row],[Days]]),$G$5,"")),"")</f>
        <v/>
      </c>
      <c r="CD32" s="37" t="str">
        <f ca="1">IFERROR(+IF(CD$29=ProposalToGnatt[[#This Row],[Start Date]],Milestone_Marker,IF(AND(CD$29&gt;ProposalToGnatt[[#This Row],[Start Date]],CD$29&lt;ProposalToGnatt[[#This Row],[Start Date]]+ProposalToGnatt[[#This Row],[Days]]),$G$5,"")),"")</f>
        <v/>
      </c>
      <c r="CE32" s="37" t="str">
        <f ca="1">IFERROR(+IF(CE$29=ProposalToGnatt[[#This Row],[Start Date]],Milestone_Marker,IF(AND(CE$29&gt;ProposalToGnatt[[#This Row],[Start Date]],CE$29&lt;ProposalToGnatt[[#This Row],[Start Date]]+ProposalToGnatt[[#This Row],[Days]]),$G$5,"")),"")</f>
        <v/>
      </c>
      <c r="CF32" s="37" t="str">
        <f ca="1">IFERROR(+IF(CF$29=ProposalToGnatt[[#This Row],[Start Date]],Milestone_Marker,IF(AND(CF$29&gt;ProposalToGnatt[[#This Row],[Start Date]],CF$29&lt;ProposalToGnatt[[#This Row],[Start Date]]+ProposalToGnatt[[#This Row],[Days]]),$G$5,"")),"")</f>
        <v/>
      </c>
      <c r="CG32" s="37" t="str">
        <f ca="1">IFERROR(+IF(CG$29=ProposalToGnatt[[#This Row],[Start Date]],Milestone_Marker,IF(AND(CG$29&gt;ProposalToGnatt[[#This Row],[Start Date]],CG$29&lt;ProposalToGnatt[[#This Row],[Start Date]]+ProposalToGnatt[[#This Row],[Days]]),$G$5,"")),"")</f>
        <v/>
      </c>
      <c r="CH32" s="37" t="str">
        <f ca="1">IFERROR(+IF(CH$29=ProposalToGnatt[[#This Row],[Start Date]],Milestone_Marker,IF(AND(CH$29&gt;ProposalToGnatt[[#This Row],[Start Date]],CH$29&lt;ProposalToGnatt[[#This Row],[Start Date]]+ProposalToGnatt[[#This Row],[Days]]),$G$5,"")),"")</f>
        <v/>
      </c>
      <c r="CI32" s="37" t="str">
        <f ca="1">IFERROR(+IF(CI$29=ProposalToGnatt[[#This Row],[Start Date]],Milestone_Marker,IF(AND(CI$29&gt;ProposalToGnatt[[#This Row],[Start Date]],CI$29&lt;ProposalToGnatt[[#This Row],[Start Date]]+ProposalToGnatt[[#This Row],[Days]]),$G$5,"")),"")</f>
        <v/>
      </c>
      <c r="CJ32" s="37" t="str">
        <f ca="1">IFERROR(+IF(CJ$29=ProposalToGnatt[[#This Row],[Start Date]],Milestone_Marker,IF(AND(CJ$29&gt;ProposalToGnatt[[#This Row],[Start Date]],CJ$29&lt;ProposalToGnatt[[#This Row],[Start Date]]+ProposalToGnatt[[#This Row],[Days]]),$G$5,"")),"")</f>
        <v/>
      </c>
      <c r="CK32" s="37" t="str">
        <f ca="1">IFERROR(+IF(CK$29=ProposalToGnatt[[#This Row],[Start Date]],Milestone_Marker,IF(AND(CK$29&gt;ProposalToGnatt[[#This Row],[Start Date]],CK$29&lt;ProposalToGnatt[[#This Row],[Start Date]]+ProposalToGnatt[[#This Row],[Days]]),$G$5,"")),"")</f>
        <v/>
      </c>
      <c r="CL32" s="37" t="str">
        <f ca="1">IFERROR(+IF(CL$29=ProposalToGnatt[[#This Row],[Start Date]],Milestone_Marker,IF(AND(CL$29&gt;ProposalToGnatt[[#This Row],[Start Date]],CL$29&lt;ProposalToGnatt[[#This Row],[Start Date]]+ProposalToGnatt[[#This Row],[Days]]),$G$5,"")),"")</f>
        <v/>
      </c>
      <c r="CM32" s="37" t="str">
        <f ca="1">IFERROR(+IF(CM$29=ProposalToGnatt[[#This Row],[Start Date]],Milestone_Marker,IF(AND(CM$29&gt;ProposalToGnatt[[#This Row],[Start Date]],CM$29&lt;ProposalToGnatt[[#This Row],[Start Date]]+ProposalToGnatt[[#This Row],[Days]]),$G$5,"")),"")</f>
        <v/>
      </c>
      <c r="CN32" s="37" t="str">
        <f ca="1">IFERROR(+IF(CN$29=ProposalToGnatt[[#This Row],[Start Date]],Milestone_Marker,IF(AND(CN$29&gt;ProposalToGnatt[[#This Row],[Start Date]],CN$29&lt;ProposalToGnatt[[#This Row],[Start Date]]+ProposalToGnatt[[#This Row],[Days]]),$G$5,"")),"")</f>
        <v/>
      </c>
      <c r="CO32" s="37" t="str">
        <f ca="1">IFERROR(+IF(CO$29=ProposalToGnatt[[#This Row],[Start Date]],Milestone_Marker,IF(AND(CO$29&gt;ProposalToGnatt[[#This Row],[Start Date]],CO$29&lt;ProposalToGnatt[[#This Row],[Start Date]]+ProposalToGnatt[[#This Row],[Days]]),$G$5,"")),"")</f>
        <v/>
      </c>
      <c r="CP32" s="37" t="str">
        <f ca="1">IFERROR(+IF(CP$29=ProposalToGnatt[[#This Row],[Start Date]],Milestone_Marker,IF(AND(CP$29&gt;ProposalToGnatt[[#This Row],[Start Date]],CP$29&lt;ProposalToGnatt[[#This Row],[Start Date]]+ProposalToGnatt[[#This Row],[Days]]),$G$5,"")),"")</f>
        <v/>
      </c>
      <c r="CQ32" s="37" t="str">
        <f ca="1">IFERROR(+IF(CQ$29=ProposalToGnatt[[#This Row],[Start Date]],Milestone_Marker,IF(AND(CQ$29&gt;ProposalToGnatt[[#This Row],[Start Date]],CQ$29&lt;ProposalToGnatt[[#This Row],[Start Date]]+ProposalToGnatt[[#This Row],[Days]]),$G$5,"")),"")</f>
        <v/>
      </c>
      <c r="CR32" s="37" t="str">
        <f ca="1">IFERROR(+IF(CR$29=ProposalToGnatt[[#This Row],[Start Date]],Milestone_Marker,IF(AND(CR$29&gt;ProposalToGnatt[[#This Row],[Start Date]],CR$29&lt;ProposalToGnatt[[#This Row],[Start Date]]+ProposalToGnatt[[#This Row],[Days]]),$G$5,"")),"")</f>
        <v/>
      </c>
      <c r="CS32" s="37" t="str">
        <f ca="1">IFERROR(+IF(CS$29=ProposalToGnatt[[#This Row],[Start Date]],Milestone_Marker,IF(AND(CS$29&gt;ProposalToGnatt[[#This Row],[Start Date]],CS$29&lt;ProposalToGnatt[[#This Row],[Start Date]]+ProposalToGnatt[[#This Row],[Days]]),$G$5,"")),"")</f>
        <v/>
      </c>
      <c r="CT32" s="37" t="str">
        <f ca="1">IFERROR(+IF(CT$29=ProposalToGnatt[[#This Row],[Start Date]],Milestone_Marker,IF(AND(CT$29&gt;ProposalToGnatt[[#This Row],[Start Date]],CT$29&lt;ProposalToGnatt[[#This Row],[Start Date]]+ProposalToGnatt[[#This Row],[Days]]),$G$5,"")),"")</f>
        <v/>
      </c>
      <c r="CU32" s="37" t="str">
        <f ca="1">IFERROR(+IF(CU$29=ProposalToGnatt[[#This Row],[Start Date]],Milestone_Marker,IF(AND(CU$29&gt;ProposalToGnatt[[#This Row],[Start Date]],CU$29&lt;ProposalToGnatt[[#This Row],[Start Date]]+ProposalToGnatt[[#This Row],[Days]]),$G$5,"")),"")</f>
        <v/>
      </c>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row>
    <row r="33" spans="1:125" s="42" customFormat="1" ht="20.100000000000001" customHeight="1">
      <c r="A33" t="s">
        <v>438</v>
      </c>
      <c r="B33">
        <v>4</v>
      </c>
      <c r="C33"/>
      <c r="D33" t="s">
        <v>345</v>
      </c>
      <c r="E33" t="s">
        <v>346</v>
      </c>
      <c r="F33">
        <v>6</v>
      </c>
      <c r="G33" s="11"/>
      <c r="H33" s="26"/>
      <c r="I33"/>
      <c r="J33"/>
      <c r="K33" s="363"/>
      <c r="L33"/>
      <c r="M33"/>
      <c r="N33"/>
      <c r="O33" s="26"/>
      <c r="P33" s="37">
        <f ca="1">IFERROR(+IF(P$29=ProposalToGnatt[[#This Row],[Start Date]],Milestone_Marker,IF(AND(P$29&gt;ProposalToGnatt[[#This Row],[Start Date]],P$29&lt;ProposalToGnatt[[#This Row],[Start Date]]+ProposalToGnatt[[#This Row],[Days]]),$G$5,"")),"")</f>
        <v>1</v>
      </c>
      <c r="Q33" s="37" t="str">
        <f ca="1">IFERROR(+IF(Q$29=ProposalToGnatt[[#This Row],[Start Date]],Milestone_Marker,IF(AND(Q$29&gt;ProposalToGnatt[[#This Row],[Start Date]],Q$29&lt;ProposalToGnatt[[#This Row],[Start Date]]+ProposalToGnatt[[#This Row],[Days]]),$G$5,"")),"")</f>
        <v/>
      </c>
      <c r="R33" s="37" t="str">
        <f ca="1">IFERROR(+IF(R$29=ProposalToGnatt[[#This Row],[Start Date]],Milestone_Marker,IF(AND(R$29&gt;ProposalToGnatt[[#This Row],[Start Date]],R$29&lt;ProposalToGnatt[[#This Row],[Start Date]]+ProposalToGnatt[[#This Row],[Days]]),$G$5,"")),"")</f>
        <v/>
      </c>
      <c r="S33" s="37" t="str">
        <f ca="1">IFERROR(+IF(S$29=ProposalToGnatt[[#This Row],[Start Date]],Milestone_Marker,IF(AND(S$29&gt;ProposalToGnatt[[#This Row],[Start Date]],S$29&lt;ProposalToGnatt[[#This Row],[Start Date]]+ProposalToGnatt[[#This Row],[Days]]),$G$5,"")),"")</f>
        <v/>
      </c>
      <c r="T33" s="37" t="str">
        <f ca="1">IFERROR(+IF(T$29=ProposalToGnatt[[#This Row],[Start Date]],Milestone_Marker,IF(AND(T$29&gt;ProposalToGnatt[[#This Row],[Start Date]],T$29&lt;ProposalToGnatt[[#This Row],[Start Date]]+ProposalToGnatt[[#This Row],[Days]]),$G$5,"")),"")</f>
        <v/>
      </c>
      <c r="U33" s="37" t="str">
        <f ca="1">IFERROR(+IF(U$29=ProposalToGnatt[[#This Row],[Start Date]],Milestone_Marker,IF(AND(U$29&gt;ProposalToGnatt[[#This Row],[Start Date]],U$29&lt;ProposalToGnatt[[#This Row],[Start Date]]+ProposalToGnatt[[#This Row],[Days]]),$G$5,"")),"")</f>
        <v/>
      </c>
      <c r="V33" s="37" t="str">
        <f ca="1">IFERROR(+IF(V$29=ProposalToGnatt[[#This Row],[Start Date]],Milestone_Marker,IF(AND(V$29&gt;ProposalToGnatt[[#This Row],[Start Date]],V$29&lt;ProposalToGnatt[[#This Row],[Start Date]]+ProposalToGnatt[[#This Row],[Days]]),$G$5,"")),"")</f>
        <v/>
      </c>
      <c r="W33" s="37" t="str">
        <f ca="1">IFERROR(+IF(W$29=ProposalToGnatt[[#This Row],[Start Date]],Milestone_Marker,IF(AND(W$29&gt;ProposalToGnatt[[#This Row],[Start Date]],W$29&lt;ProposalToGnatt[[#This Row],[Start Date]]+ProposalToGnatt[[#This Row],[Days]]),$G$5,"")),"")</f>
        <v/>
      </c>
      <c r="X33" s="37" t="str">
        <f ca="1">IFERROR(+IF(X$29=ProposalToGnatt[[#This Row],[Start Date]],Milestone_Marker,IF(AND(X$29&gt;ProposalToGnatt[[#This Row],[Start Date]],X$29&lt;ProposalToGnatt[[#This Row],[Start Date]]+ProposalToGnatt[[#This Row],[Days]]),$G$5,"")),"")</f>
        <v/>
      </c>
      <c r="Y33" s="37" t="str">
        <f ca="1">IFERROR(+IF(Y$29=ProposalToGnatt[[#This Row],[Start Date]],Milestone_Marker,IF(AND(Y$29&gt;ProposalToGnatt[[#This Row],[Start Date]],Y$29&lt;ProposalToGnatt[[#This Row],[Start Date]]+ProposalToGnatt[[#This Row],[Days]]),$G$5,"")),"")</f>
        <v/>
      </c>
      <c r="Z33" s="37" t="str">
        <f ca="1">IFERROR(+IF(Z$29=ProposalToGnatt[[#This Row],[Start Date]],Milestone_Marker,IF(AND(Z$29&gt;ProposalToGnatt[[#This Row],[Start Date]],Z$29&lt;ProposalToGnatt[[#This Row],[Start Date]]+ProposalToGnatt[[#This Row],[Days]]),$G$5,"")),"")</f>
        <v/>
      </c>
      <c r="AA33" s="37" t="str">
        <f ca="1">IFERROR(+IF(AA$29=ProposalToGnatt[[#This Row],[Start Date]],Milestone_Marker,IF(AND(AA$29&gt;ProposalToGnatt[[#This Row],[Start Date]],AA$29&lt;ProposalToGnatt[[#This Row],[Start Date]]+ProposalToGnatt[[#This Row],[Days]]),$G$5,"")),"")</f>
        <v/>
      </c>
      <c r="AB33" s="37" t="str">
        <f ca="1">IFERROR(+IF(AB$29=ProposalToGnatt[[#This Row],[Start Date]],Milestone_Marker,IF(AND(AB$29&gt;ProposalToGnatt[[#This Row],[Start Date]],AB$29&lt;ProposalToGnatt[[#This Row],[Start Date]]+ProposalToGnatt[[#This Row],[Days]]),$G$5,"")),"")</f>
        <v/>
      </c>
      <c r="AC33" s="37" t="str">
        <f ca="1">IFERROR(+IF(AC$29=ProposalToGnatt[[#This Row],[Start Date]],Milestone_Marker,IF(AND(AC$29&gt;ProposalToGnatt[[#This Row],[Start Date]],AC$29&lt;ProposalToGnatt[[#This Row],[Start Date]]+ProposalToGnatt[[#This Row],[Days]]),$G$5,"")),"")</f>
        <v/>
      </c>
      <c r="AD33" s="37" t="str">
        <f ca="1">IFERROR(+IF(AD$29=ProposalToGnatt[[#This Row],[Start Date]],Milestone_Marker,IF(AND(AD$29&gt;ProposalToGnatt[[#This Row],[Start Date]],AD$29&lt;ProposalToGnatt[[#This Row],[Start Date]]+ProposalToGnatt[[#This Row],[Days]]),$G$5,"")),"")</f>
        <v/>
      </c>
      <c r="AE33" s="37" t="str">
        <f ca="1">IFERROR(+IF(AE$29=ProposalToGnatt[[#This Row],[Start Date]],Milestone_Marker,IF(AND(AE$29&gt;ProposalToGnatt[[#This Row],[Start Date]],AE$29&lt;ProposalToGnatt[[#This Row],[Start Date]]+ProposalToGnatt[[#This Row],[Days]]),$G$5,"")),"")</f>
        <v/>
      </c>
      <c r="AF33" s="37" t="str">
        <f ca="1">IFERROR(+IF(AF$29=ProposalToGnatt[[#This Row],[Start Date]],Milestone_Marker,IF(AND(AF$29&gt;ProposalToGnatt[[#This Row],[Start Date]],AF$29&lt;ProposalToGnatt[[#This Row],[Start Date]]+ProposalToGnatt[[#This Row],[Days]]),$G$5,"")),"")</f>
        <v/>
      </c>
      <c r="AG33" s="37" t="str">
        <f ca="1">IFERROR(+IF(AG$29=ProposalToGnatt[[#This Row],[Start Date]],Milestone_Marker,IF(AND(AG$29&gt;ProposalToGnatt[[#This Row],[Start Date]],AG$29&lt;ProposalToGnatt[[#This Row],[Start Date]]+ProposalToGnatt[[#This Row],[Days]]),$G$5,"")),"")</f>
        <v/>
      </c>
      <c r="AH33" s="37" t="str">
        <f ca="1">IFERROR(+IF(AH$29=ProposalToGnatt[[#This Row],[Start Date]],Milestone_Marker,IF(AND(AH$29&gt;ProposalToGnatt[[#This Row],[Start Date]],AH$29&lt;ProposalToGnatt[[#This Row],[Start Date]]+ProposalToGnatt[[#This Row],[Days]]),$G$5,"")),"")</f>
        <v/>
      </c>
      <c r="AI33" s="37" t="str">
        <f ca="1">IFERROR(+IF(AI$29=ProposalToGnatt[[#This Row],[Start Date]],Milestone_Marker,IF(AND(AI$29&gt;ProposalToGnatt[[#This Row],[Start Date]],AI$29&lt;ProposalToGnatt[[#This Row],[Start Date]]+ProposalToGnatt[[#This Row],[Days]]),$G$5,"")),"")</f>
        <v/>
      </c>
      <c r="AJ33" s="37" t="str">
        <f ca="1">IFERROR(+IF(AJ$29=ProposalToGnatt[[#This Row],[Start Date]],Milestone_Marker,IF(AND(AJ$29&gt;ProposalToGnatt[[#This Row],[Start Date]],AJ$29&lt;ProposalToGnatt[[#This Row],[Start Date]]+ProposalToGnatt[[#This Row],[Days]]),$G$5,"")),"")</f>
        <v/>
      </c>
      <c r="AK33" s="37" t="str">
        <f ca="1">IFERROR(+IF(AK$29=ProposalToGnatt[[#This Row],[Start Date]],Milestone_Marker,IF(AND(AK$29&gt;ProposalToGnatt[[#This Row],[Start Date]],AK$29&lt;ProposalToGnatt[[#This Row],[Start Date]]+ProposalToGnatt[[#This Row],[Days]]),$G$5,"")),"")</f>
        <v/>
      </c>
      <c r="AL33" s="37" t="str">
        <f ca="1">IFERROR(+IF(AL$29=ProposalToGnatt[[#This Row],[Start Date]],Milestone_Marker,IF(AND(AL$29&gt;ProposalToGnatt[[#This Row],[Start Date]],AL$29&lt;ProposalToGnatt[[#This Row],[Start Date]]+ProposalToGnatt[[#This Row],[Days]]),$G$5,"")),"")</f>
        <v/>
      </c>
      <c r="AM33" s="37" t="str">
        <f ca="1">IFERROR(+IF(AM$29=ProposalToGnatt[[#This Row],[Start Date]],Milestone_Marker,IF(AND(AM$29&gt;ProposalToGnatt[[#This Row],[Start Date]],AM$29&lt;ProposalToGnatt[[#This Row],[Start Date]]+ProposalToGnatt[[#This Row],[Days]]),$G$5,"")),"")</f>
        <v/>
      </c>
      <c r="AN33" s="37" t="str">
        <f ca="1">IFERROR(+IF(AN$29=ProposalToGnatt[[#This Row],[Start Date]],Milestone_Marker,IF(AND(AN$29&gt;ProposalToGnatt[[#This Row],[Start Date]],AN$29&lt;ProposalToGnatt[[#This Row],[Start Date]]+ProposalToGnatt[[#This Row],[Days]]),$G$5,"")),"")</f>
        <v/>
      </c>
      <c r="AO33" s="37" t="str">
        <f ca="1">IFERROR(+IF(AO$29=ProposalToGnatt[[#This Row],[Start Date]],Milestone_Marker,IF(AND(AO$29&gt;ProposalToGnatt[[#This Row],[Start Date]],AO$29&lt;ProposalToGnatt[[#This Row],[Start Date]]+ProposalToGnatt[[#This Row],[Days]]),$G$5,"")),"")</f>
        <v/>
      </c>
      <c r="AP33" s="37" t="str">
        <f ca="1">IFERROR(+IF(AP$29=ProposalToGnatt[[#This Row],[Start Date]],Milestone_Marker,IF(AND(AP$29&gt;ProposalToGnatt[[#This Row],[Start Date]],AP$29&lt;ProposalToGnatt[[#This Row],[Start Date]]+ProposalToGnatt[[#This Row],[Days]]),$G$5,"")),"")</f>
        <v/>
      </c>
      <c r="AQ33" s="37" t="str">
        <f ca="1">IFERROR(+IF(AQ$29=ProposalToGnatt[[#This Row],[Start Date]],Milestone_Marker,IF(AND(AQ$29&gt;ProposalToGnatt[[#This Row],[Start Date]],AQ$29&lt;ProposalToGnatt[[#This Row],[Start Date]]+ProposalToGnatt[[#This Row],[Days]]),$G$5,"")),"")</f>
        <v/>
      </c>
      <c r="AR33" s="37" t="str">
        <f ca="1">IFERROR(+IF(AR$29=ProposalToGnatt[[#This Row],[Start Date]],Milestone_Marker,IF(AND(AR$29&gt;ProposalToGnatt[[#This Row],[Start Date]],AR$29&lt;ProposalToGnatt[[#This Row],[Start Date]]+ProposalToGnatt[[#This Row],[Days]]),$G$5,"")),"")</f>
        <v/>
      </c>
      <c r="AS33" s="37" t="str">
        <f ca="1">IFERROR(+IF(AS$29=ProposalToGnatt[[#This Row],[Start Date]],Milestone_Marker,IF(AND(AS$29&gt;ProposalToGnatt[[#This Row],[Start Date]],AS$29&lt;ProposalToGnatt[[#This Row],[Start Date]]+ProposalToGnatt[[#This Row],[Days]]),$G$5,"")),"")</f>
        <v/>
      </c>
      <c r="AT33" s="37" t="str">
        <f ca="1">IFERROR(+IF(AT$29=ProposalToGnatt[[#This Row],[Start Date]],Milestone_Marker,IF(AND(AT$29&gt;ProposalToGnatt[[#This Row],[Start Date]],AT$29&lt;ProposalToGnatt[[#This Row],[Start Date]]+ProposalToGnatt[[#This Row],[Days]]),$G$5,"")),"")</f>
        <v/>
      </c>
      <c r="AU33" s="37" t="str">
        <f ca="1">IFERROR(+IF(AU$29=ProposalToGnatt[[#This Row],[Start Date]],Milestone_Marker,IF(AND(AU$29&gt;ProposalToGnatt[[#This Row],[Start Date]],AU$29&lt;ProposalToGnatt[[#This Row],[Start Date]]+ProposalToGnatt[[#This Row],[Days]]),$G$5,"")),"")</f>
        <v/>
      </c>
      <c r="AV33" s="37" t="str">
        <f ca="1">IFERROR(+IF(AV$29=ProposalToGnatt[[#This Row],[Start Date]],Milestone_Marker,IF(AND(AV$29&gt;ProposalToGnatt[[#This Row],[Start Date]],AV$29&lt;ProposalToGnatt[[#This Row],[Start Date]]+ProposalToGnatt[[#This Row],[Days]]),$G$5,"")),"")</f>
        <v/>
      </c>
      <c r="AW33" s="37" t="str">
        <f ca="1">IFERROR(+IF(AW$29=ProposalToGnatt[[#This Row],[Start Date]],Milestone_Marker,IF(AND(AW$29&gt;ProposalToGnatt[[#This Row],[Start Date]],AW$29&lt;ProposalToGnatt[[#This Row],[Start Date]]+ProposalToGnatt[[#This Row],[Days]]),$G$5,"")),"")</f>
        <v/>
      </c>
      <c r="AX33" s="37" t="str">
        <f ca="1">IFERROR(+IF(AX$29=ProposalToGnatt[[#This Row],[Start Date]],Milestone_Marker,IF(AND(AX$29&gt;ProposalToGnatt[[#This Row],[Start Date]],AX$29&lt;ProposalToGnatt[[#This Row],[Start Date]]+ProposalToGnatt[[#This Row],[Days]]),$G$5,"")),"")</f>
        <v/>
      </c>
      <c r="AY33" s="37" t="str">
        <f ca="1">IFERROR(+IF(AY$29=ProposalToGnatt[[#This Row],[Start Date]],Milestone_Marker,IF(AND(AY$29&gt;ProposalToGnatt[[#This Row],[Start Date]],AY$29&lt;ProposalToGnatt[[#This Row],[Start Date]]+ProposalToGnatt[[#This Row],[Days]]),$G$5,"")),"")</f>
        <v/>
      </c>
      <c r="AZ33" s="37" t="str">
        <f ca="1">IFERROR(+IF(AZ$29=ProposalToGnatt[[#This Row],[Start Date]],Milestone_Marker,IF(AND(AZ$29&gt;ProposalToGnatt[[#This Row],[Start Date]],AZ$29&lt;ProposalToGnatt[[#This Row],[Start Date]]+ProposalToGnatt[[#This Row],[Days]]),$G$5,"")),"")</f>
        <v/>
      </c>
      <c r="BA33" s="37" t="str">
        <f ca="1">IFERROR(+IF(BA$29=ProposalToGnatt[[#This Row],[Start Date]],Milestone_Marker,IF(AND(BA$29&gt;ProposalToGnatt[[#This Row],[Start Date]],BA$29&lt;ProposalToGnatt[[#This Row],[Start Date]]+ProposalToGnatt[[#This Row],[Days]]),$G$5,"")),"")</f>
        <v/>
      </c>
      <c r="BB33" s="37" t="str">
        <f ca="1">IFERROR(+IF(BB$29=ProposalToGnatt[[#This Row],[Start Date]],Milestone_Marker,IF(AND(BB$29&gt;ProposalToGnatt[[#This Row],[Start Date]],BB$29&lt;ProposalToGnatt[[#This Row],[Start Date]]+ProposalToGnatt[[#This Row],[Days]]),$G$5,"")),"")</f>
        <v/>
      </c>
      <c r="BC33" s="37" t="str">
        <f ca="1">IFERROR(+IF(BC$29=ProposalToGnatt[[#This Row],[Start Date]],Milestone_Marker,IF(AND(BC$29&gt;ProposalToGnatt[[#This Row],[Start Date]],BC$29&lt;ProposalToGnatt[[#This Row],[Start Date]]+ProposalToGnatt[[#This Row],[Days]]),$G$5,"")),"")</f>
        <v/>
      </c>
      <c r="BD33" s="37" t="str">
        <f ca="1">IFERROR(+IF(BD$29=ProposalToGnatt[[#This Row],[Start Date]],Milestone_Marker,IF(AND(BD$29&gt;ProposalToGnatt[[#This Row],[Start Date]],BD$29&lt;ProposalToGnatt[[#This Row],[Start Date]]+ProposalToGnatt[[#This Row],[Days]]),$G$5,"")),"")</f>
        <v/>
      </c>
      <c r="BE33" s="37" t="str">
        <f ca="1">IFERROR(+IF(BE$29=ProposalToGnatt[[#This Row],[Start Date]],Milestone_Marker,IF(AND(BE$29&gt;ProposalToGnatt[[#This Row],[Start Date]],BE$29&lt;ProposalToGnatt[[#This Row],[Start Date]]+ProposalToGnatt[[#This Row],[Days]]),$G$5,"")),"")</f>
        <v/>
      </c>
      <c r="BF33" s="37" t="str">
        <f ca="1">IFERROR(+IF(BF$29=ProposalToGnatt[[#This Row],[Start Date]],Milestone_Marker,IF(AND(BF$29&gt;ProposalToGnatt[[#This Row],[Start Date]],BF$29&lt;ProposalToGnatt[[#This Row],[Start Date]]+ProposalToGnatt[[#This Row],[Days]]),$G$5,"")),"")</f>
        <v/>
      </c>
      <c r="BG33" s="37" t="str">
        <f ca="1">IFERROR(+IF(BG$29=ProposalToGnatt[[#This Row],[Start Date]],Milestone_Marker,IF(AND(BG$29&gt;ProposalToGnatt[[#This Row],[Start Date]],BG$29&lt;ProposalToGnatt[[#This Row],[Start Date]]+ProposalToGnatt[[#This Row],[Days]]),$G$5,"")),"")</f>
        <v/>
      </c>
      <c r="BH33" s="37" t="str">
        <f ca="1">IFERROR(+IF(BH$29=ProposalToGnatt[[#This Row],[Start Date]],Milestone_Marker,IF(AND(BH$29&gt;ProposalToGnatt[[#This Row],[Start Date]],BH$29&lt;ProposalToGnatt[[#This Row],[Start Date]]+ProposalToGnatt[[#This Row],[Days]]),$G$5,"")),"")</f>
        <v/>
      </c>
      <c r="BI33" s="37" t="str">
        <f ca="1">IFERROR(+IF(BI$29=ProposalToGnatt[[#This Row],[Start Date]],Milestone_Marker,IF(AND(BI$29&gt;ProposalToGnatt[[#This Row],[Start Date]],BI$29&lt;ProposalToGnatt[[#This Row],[Start Date]]+ProposalToGnatt[[#This Row],[Days]]),$G$5,"")),"")</f>
        <v/>
      </c>
      <c r="BJ33" s="37" t="str">
        <f ca="1">IFERROR(+IF(BJ$29=ProposalToGnatt[[#This Row],[Start Date]],Milestone_Marker,IF(AND(BJ$29&gt;ProposalToGnatt[[#This Row],[Start Date]],BJ$29&lt;ProposalToGnatt[[#This Row],[Start Date]]+ProposalToGnatt[[#This Row],[Days]]),$G$5,"")),"")</f>
        <v/>
      </c>
      <c r="BK33" s="37" t="str">
        <f ca="1">IFERROR(+IF(BK$29=ProposalToGnatt[[#This Row],[Start Date]],Milestone_Marker,IF(AND(BK$29&gt;ProposalToGnatt[[#This Row],[Start Date]],BK$29&lt;ProposalToGnatt[[#This Row],[Start Date]]+ProposalToGnatt[[#This Row],[Days]]),$G$5,"")),"")</f>
        <v/>
      </c>
      <c r="BL33" s="37" t="str">
        <f ca="1">IFERROR(+IF(BL$29=ProposalToGnatt[[#This Row],[Start Date]],Milestone_Marker,IF(AND(BL$29&gt;ProposalToGnatt[[#This Row],[Start Date]],BL$29&lt;ProposalToGnatt[[#This Row],[Start Date]]+ProposalToGnatt[[#This Row],[Days]]),$G$5,"")),"")</f>
        <v/>
      </c>
      <c r="BM33" s="37" t="str">
        <f ca="1">IFERROR(+IF(BM$29=ProposalToGnatt[[#This Row],[Start Date]],Milestone_Marker,IF(AND(BM$29&gt;ProposalToGnatt[[#This Row],[Start Date]],BM$29&lt;ProposalToGnatt[[#This Row],[Start Date]]+ProposalToGnatt[[#This Row],[Days]]),$G$5,"")),"")</f>
        <v/>
      </c>
      <c r="BN33" s="37" t="str">
        <f ca="1">IFERROR(+IF(BN$29=ProposalToGnatt[[#This Row],[Start Date]],Milestone_Marker,IF(AND(BN$29&gt;ProposalToGnatt[[#This Row],[Start Date]],BN$29&lt;ProposalToGnatt[[#This Row],[Start Date]]+ProposalToGnatt[[#This Row],[Days]]),$G$5,"")),"")</f>
        <v/>
      </c>
      <c r="BO33" s="37" t="str">
        <f ca="1">IFERROR(+IF(BO$29=ProposalToGnatt[[#This Row],[Start Date]],Milestone_Marker,IF(AND(BO$29&gt;ProposalToGnatt[[#This Row],[Start Date]],BO$29&lt;ProposalToGnatt[[#This Row],[Start Date]]+ProposalToGnatt[[#This Row],[Days]]),$G$5,"")),"")</f>
        <v/>
      </c>
      <c r="BP33" s="37" t="str">
        <f ca="1">IFERROR(+IF(BP$29=ProposalToGnatt[[#This Row],[Start Date]],Milestone_Marker,IF(AND(BP$29&gt;ProposalToGnatt[[#This Row],[Start Date]],BP$29&lt;ProposalToGnatt[[#This Row],[Start Date]]+ProposalToGnatt[[#This Row],[Days]]),$G$5,"")),"")</f>
        <v/>
      </c>
      <c r="BQ33" s="37" t="str">
        <f ca="1">IFERROR(+IF(BQ$29=ProposalToGnatt[[#This Row],[Start Date]],Milestone_Marker,IF(AND(BQ$29&gt;ProposalToGnatt[[#This Row],[Start Date]],BQ$29&lt;ProposalToGnatt[[#This Row],[Start Date]]+ProposalToGnatt[[#This Row],[Days]]),$G$5,"")),"")</f>
        <v/>
      </c>
      <c r="BR33" s="37" t="str">
        <f ca="1">IFERROR(+IF(BR$29=ProposalToGnatt[[#This Row],[Start Date]],Milestone_Marker,IF(AND(BR$29&gt;ProposalToGnatt[[#This Row],[Start Date]],BR$29&lt;ProposalToGnatt[[#This Row],[Start Date]]+ProposalToGnatt[[#This Row],[Days]]),$G$5,"")),"")</f>
        <v/>
      </c>
      <c r="BS33" s="37" t="str">
        <f ca="1">IFERROR(+IF(BS$29=ProposalToGnatt[[#This Row],[Start Date]],Milestone_Marker,IF(AND(BS$29&gt;ProposalToGnatt[[#This Row],[Start Date]],BS$29&lt;ProposalToGnatt[[#This Row],[Start Date]]+ProposalToGnatt[[#This Row],[Days]]),$G$5,"")),"")</f>
        <v/>
      </c>
      <c r="BT33" s="37" t="str">
        <f ca="1">IFERROR(+IF(BT$29=ProposalToGnatt[[#This Row],[Start Date]],Milestone_Marker,IF(AND(BT$29&gt;ProposalToGnatt[[#This Row],[Start Date]],BT$29&lt;ProposalToGnatt[[#This Row],[Start Date]]+ProposalToGnatt[[#This Row],[Days]]),$G$5,"")),"")</f>
        <v/>
      </c>
      <c r="BU33" s="37" t="str">
        <f ca="1">IFERROR(+IF(BU$29=ProposalToGnatt[[#This Row],[Start Date]],Milestone_Marker,IF(AND(BU$29&gt;ProposalToGnatt[[#This Row],[Start Date]],BU$29&lt;ProposalToGnatt[[#This Row],[Start Date]]+ProposalToGnatt[[#This Row],[Days]]),$G$5,"")),"")</f>
        <v/>
      </c>
      <c r="BV33" s="37" t="str">
        <f ca="1">IFERROR(+IF(BV$29=ProposalToGnatt[[#This Row],[Start Date]],Milestone_Marker,IF(AND(BV$29&gt;ProposalToGnatt[[#This Row],[Start Date]],BV$29&lt;ProposalToGnatt[[#This Row],[Start Date]]+ProposalToGnatt[[#This Row],[Days]]),$G$5,"")),"")</f>
        <v/>
      </c>
      <c r="BW33" s="37" t="str">
        <f ca="1">IFERROR(+IF(BW$29=ProposalToGnatt[[#This Row],[Start Date]],Milestone_Marker,IF(AND(BW$29&gt;ProposalToGnatt[[#This Row],[Start Date]],BW$29&lt;ProposalToGnatt[[#This Row],[Start Date]]+ProposalToGnatt[[#This Row],[Days]]),$G$5,"")),"")</f>
        <v/>
      </c>
      <c r="BX33" s="37" t="str">
        <f ca="1">IFERROR(+IF(BX$29=ProposalToGnatt[[#This Row],[Start Date]],Milestone_Marker,IF(AND(BX$29&gt;ProposalToGnatt[[#This Row],[Start Date]],BX$29&lt;ProposalToGnatt[[#This Row],[Start Date]]+ProposalToGnatt[[#This Row],[Days]]),$G$5,"")),"")</f>
        <v/>
      </c>
      <c r="BY33" s="37" t="str">
        <f ca="1">IFERROR(+IF(BY$29=ProposalToGnatt[[#This Row],[Start Date]],Milestone_Marker,IF(AND(BY$29&gt;ProposalToGnatt[[#This Row],[Start Date]],BY$29&lt;ProposalToGnatt[[#This Row],[Start Date]]+ProposalToGnatt[[#This Row],[Days]]),$G$5,"")),"")</f>
        <v/>
      </c>
      <c r="BZ33" s="37" t="str">
        <f ca="1">IFERROR(+IF(BZ$29=ProposalToGnatt[[#This Row],[Start Date]],Milestone_Marker,IF(AND(BZ$29&gt;ProposalToGnatt[[#This Row],[Start Date]],BZ$29&lt;ProposalToGnatt[[#This Row],[Start Date]]+ProposalToGnatt[[#This Row],[Days]]),$G$5,"")),"")</f>
        <v/>
      </c>
      <c r="CA33" s="37" t="str">
        <f ca="1">IFERROR(+IF(CA$29=ProposalToGnatt[[#This Row],[Start Date]],Milestone_Marker,IF(AND(CA$29&gt;ProposalToGnatt[[#This Row],[Start Date]],CA$29&lt;ProposalToGnatt[[#This Row],[Start Date]]+ProposalToGnatt[[#This Row],[Days]]),$G$5,"")),"")</f>
        <v/>
      </c>
      <c r="CB33" s="37" t="str">
        <f ca="1">IFERROR(+IF(CB$29=ProposalToGnatt[[#This Row],[Start Date]],Milestone_Marker,IF(AND(CB$29&gt;ProposalToGnatt[[#This Row],[Start Date]],CB$29&lt;ProposalToGnatt[[#This Row],[Start Date]]+ProposalToGnatt[[#This Row],[Days]]),$G$5,"")),"")</f>
        <v/>
      </c>
      <c r="CC33" s="37" t="str">
        <f ca="1">IFERROR(+IF(CC$29=ProposalToGnatt[[#This Row],[Start Date]],Milestone_Marker,IF(AND(CC$29&gt;ProposalToGnatt[[#This Row],[Start Date]],CC$29&lt;ProposalToGnatt[[#This Row],[Start Date]]+ProposalToGnatt[[#This Row],[Days]]),$G$5,"")),"")</f>
        <v/>
      </c>
      <c r="CD33" s="37" t="str">
        <f ca="1">IFERROR(+IF(CD$29=ProposalToGnatt[[#This Row],[Start Date]],Milestone_Marker,IF(AND(CD$29&gt;ProposalToGnatt[[#This Row],[Start Date]],CD$29&lt;ProposalToGnatt[[#This Row],[Start Date]]+ProposalToGnatt[[#This Row],[Days]]),$G$5,"")),"")</f>
        <v/>
      </c>
      <c r="CE33" s="37" t="str">
        <f ca="1">IFERROR(+IF(CE$29=ProposalToGnatt[[#This Row],[Start Date]],Milestone_Marker,IF(AND(CE$29&gt;ProposalToGnatt[[#This Row],[Start Date]],CE$29&lt;ProposalToGnatt[[#This Row],[Start Date]]+ProposalToGnatt[[#This Row],[Days]]),$G$5,"")),"")</f>
        <v/>
      </c>
      <c r="CF33" s="37" t="str">
        <f ca="1">IFERROR(+IF(CF$29=ProposalToGnatt[[#This Row],[Start Date]],Milestone_Marker,IF(AND(CF$29&gt;ProposalToGnatt[[#This Row],[Start Date]],CF$29&lt;ProposalToGnatt[[#This Row],[Start Date]]+ProposalToGnatt[[#This Row],[Days]]),$G$5,"")),"")</f>
        <v/>
      </c>
      <c r="CG33" s="37" t="str">
        <f ca="1">IFERROR(+IF(CG$29=ProposalToGnatt[[#This Row],[Start Date]],Milestone_Marker,IF(AND(CG$29&gt;ProposalToGnatt[[#This Row],[Start Date]],CG$29&lt;ProposalToGnatt[[#This Row],[Start Date]]+ProposalToGnatt[[#This Row],[Days]]),$G$5,"")),"")</f>
        <v/>
      </c>
      <c r="CH33" s="37" t="str">
        <f ca="1">IFERROR(+IF(CH$29=ProposalToGnatt[[#This Row],[Start Date]],Milestone_Marker,IF(AND(CH$29&gt;ProposalToGnatt[[#This Row],[Start Date]],CH$29&lt;ProposalToGnatt[[#This Row],[Start Date]]+ProposalToGnatt[[#This Row],[Days]]),$G$5,"")),"")</f>
        <v/>
      </c>
      <c r="CI33" s="37" t="str">
        <f ca="1">IFERROR(+IF(CI$29=ProposalToGnatt[[#This Row],[Start Date]],Milestone_Marker,IF(AND(CI$29&gt;ProposalToGnatt[[#This Row],[Start Date]],CI$29&lt;ProposalToGnatt[[#This Row],[Start Date]]+ProposalToGnatt[[#This Row],[Days]]),$G$5,"")),"")</f>
        <v/>
      </c>
      <c r="CJ33" s="37" t="str">
        <f ca="1">IFERROR(+IF(CJ$29=ProposalToGnatt[[#This Row],[Start Date]],Milestone_Marker,IF(AND(CJ$29&gt;ProposalToGnatt[[#This Row],[Start Date]],CJ$29&lt;ProposalToGnatt[[#This Row],[Start Date]]+ProposalToGnatt[[#This Row],[Days]]),$G$5,"")),"")</f>
        <v/>
      </c>
      <c r="CK33" s="37" t="str">
        <f ca="1">IFERROR(+IF(CK$29=ProposalToGnatt[[#This Row],[Start Date]],Milestone_Marker,IF(AND(CK$29&gt;ProposalToGnatt[[#This Row],[Start Date]],CK$29&lt;ProposalToGnatt[[#This Row],[Start Date]]+ProposalToGnatt[[#This Row],[Days]]),$G$5,"")),"")</f>
        <v/>
      </c>
      <c r="CL33" s="37" t="str">
        <f ca="1">IFERROR(+IF(CL$29=ProposalToGnatt[[#This Row],[Start Date]],Milestone_Marker,IF(AND(CL$29&gt;ProposalToGnatt[[#This Row],[Start Date]],CL$29&lt;ProposalToGnatt[[#This Row],[Start Date]]+ProposalToGnatt[[#This Row],[Days]]),$G$5,"")),"")</f>
        <v/>
      </c>
      <c r="CM33" s="37" t="str">
        <f ca="1">IFERROR(+IF(CM$29=ProposalToGnatt[[#This Row],[Start Date]],Milestone_Marker,IF(AND(CM$29&gt;ProposalToGnatt[[#This Row],[Start Date]],CM$29&lt;ProposalToGnatt[[#This Row],[Start Date]]+ProposalToGnatt[[#This Row],[Days]]),$G$5,"")),"")</f>
        <v/>
      </c>
      <c r="CN33" s="37" t="str">
        <f ca="1">IFERROR(+IF(CN$29=ProposalToGnatt[[#This Row],[Start Date]],Milestone_Marker,IF(AND(CN$29&gt;ProposalToGnatt[[#This Row],[Start Date]],CN$29&lt;ProposalToGnatt[[#This Row],[Start Date]]+ProposalToGnatt[[#This Row],[Days]]),$G$5,"")),"")</f>
        <v/>
      </c>
      <c r="CO33" s="37" t="str">
        <f ca="1">IFERROR(+IF(CO$29=ProposalToGnatt[[#This Row],[Start Date]],Milestone_Marker,IF(AND(CO$29&gt;ProposalToGnatt[[#This Row],[Start Date]],CO$29&lt;ProposalToGnatt[[#This Row],[Start Date]]+ProposalToGnatt[[#This Row],[Days]]),$G$5,"")),"")</f>
        <v/>
      </c>
      <c r="CP33" s="37" t="str">
        <f ca="1">IFERROR(+IF(CP$29=ProposalToGnatt[[#This Row],[Start Date]],Milestone_Marker,IF(AND(CP$29&gt;ProposalToGnatt[[#This Row],[Start Date]],CP$29&lt;ProposalToGnatt[[#This Row],[Start Date]]+ProposalToGnatt[[#This Row],[Days]]),$G$5,"")),"")</f>
        <v/>
      </c>
      <c r="CQ33" s="37" t="str">
        <f ca="1">IFERROR(+IF(CQ$29=ProposalToGnatt[[#This Row],[Start Date]],Milestone_Marker,IF(AND(CQ$29&gt;ProposalToGnatt[[#This Row],[Start Date]],CQ$29&lt;ProposalToGnatt[[#This Row],[Start Date]]+ProposalToGnatt[[#This Row],[Days]]),$G$5,"")),"")</f>
        <v/>
      </c>
      <c r="CR33" s="37" t="str">
        <f ca="1">IFERROR(+IF(CR$29=ProposalToGnatt[[#This Row],[Start Date]],Milestone_Marker,IF(AND(CR$29&gt;ProposalToGnatt[[#This Row],[Start Date]],CR$29&lt;ProposalToGnatt[[#This Row],[Start Date]]+ProposalToGnatt[[#This Row],[Days]]),$G$5,"")),"")</f>
        <v/>
      </c>
      <c r="CS33" s="37" t="str">
        <f ca="1">IFERROR(+IF(CS$29=ProposalToGnatt[[#This Row],[Start Date]],Milestone_Marker,IF(AND(CS$29&gt;ProposalToGnatt[[#This Row],[Start Date]],CS$29&lt;ProposalToGnatt[[#This Row],[Start Date]]+ProposalToGnatt[[#This Row],[Days]]),$G$5,"")),"")</f>
        <v/>
      </c>
      <c r="CT33" s="37" t="str">
        <f ca="1">IFERROR(+IF(CT$29=ProposalToGnatt[[#This Row],[Start Date]],Milestone_Marker,IF(AND(CT$29&gt;ProposalToGnatt[[#This Row],[Start Date]],CT$29&lt;ProposalToGnatt[[#This Row],[Start Date]]+ProposalToGnatt[[#This Row],[Days]]),$G$5,"")),"")</f>
        <v/>
      </c>
      <c r="CU33" s="37" t="str">
        <f ca="1">IFERROR(+IF(CU$29=ProposalToGnatt[[#This Row],[Start Date]],Milestone_Marker,IF(AND(CU$29&gt;ProposalToGnatt[[#This Row],[Start Date]],CU$29&lt;ProposalToGnatt[[#This Row],[Start Date]]+ProposalToGnatt[[#This Row],[Days]]),$G$5,"")),"")</f>
        <v/>
      </c>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row>
    <row r="34" spans="1:125" s="42" customFormat="1" ht="20.100000000000001" customHeight="1">
      <c r="A34" t="s">
        <v>437</v>
      </c>
      <c r="B34">
        <v>5</v>
      </c>
      <c r="C34" t="s">
        <v>347</v>
      </c>
      <c r="D34" t="s">
        <v>348</v>
      </c>
      <c r="E34" t="s">
        <v>347</v>
      </c>
      <c r="F34">
        <v>0</v>
      </c>
      <c r="G34" s="11">
        <v>0</v>
      </c>
      <c r="H34" s="26">
        <v>0</v>
      </c>
      <c r="I34"/>
      <c r="J34"/>
      <c r="K34" s="363"/>
      <c r="L34"/>
      <c r="M34"/>
      <c r="N34"/>
      <c r="O34" s="26"/>
      <c r="P34" s="37">
        <f ca="1">IFERROR(+IF(P$29=ProposalToGnatt[[#This Row],[Start Date]],Milestone_Marker,IF(AND(P$29&gt;ProposalToGnatt[[#This Row],[Start Date]],P$29&lt;ProposalToGnatt[[#This Row],[Start Date]]+ProposalToGnatt[[#This Row],[Days]]),$G$5,"")),"")</f>
        <v>1</v>
      </c>
      <c r="Q34" s="37" t="str">
        <f ca="1">IFERROR(+IF(Q$29=ProposalToGnatt[[#This Row],[Start Date]],Milestone_Marker,IF(AND(Q$29&gt;ProposalToGnatt[[#This Row],[Start Date]],Q$29&lt;ProposalToGnatt[[#This Row],[Start Date]]+ProposalToGnatt[[#This Row],[Days]]),$G$5,"")),"")</f>
        <v/>
      </c>
      <c r="R34" s="37" t="str">
        <f ca="1">IFERROR(+IF(R$29=ProposalToGnatt[[#This Row],[Start Date]],Milestone_Marker,IF(AND(R$29&gt;ProposalToGnatt[[#This Row],[Start Date]],R$29&lt;ProposalToGnatt[[#This Row],[Start Date]]+ProposalToGnatt[[#This Row],[Days]]),$G$5,"")),"")</f>
        <v/>
      </c>
      <c r="S34" s="37" t="str">
        <f ca="1">IFERROR(+IF(S$29=ProposalToGnatt[[#This Row],[Start Date]],Milestone_Marker,IF(AND(S$29&gt;ProposalToGnatt[[#This Row],[Start Date]],S$29&lt;ProposalToGnatt[[#This Row],[Start Date]]+ProposalToGnatt[[#This Row],[Days]]),$G$5,"")),"")</f>
        <v/>
      </c>
      <c r="T34" s="37" t="str">
        <f ca="1">IFERROR(+IF(T$29=ProposalToGnatt[[#This Row],[Start Date]],Milestone_Marker,IF(AND(T$29&gt;ProposalToGnatt[[#This Row],[Start Date]],T$29&lt;ProposalToGnatt[[#This Row],[Start Date]]+ProposalToGnatt[[#This Row],[Days]]),$G$5,"")),"")</f>
        <v/>
      </c>
      <c r="U34" s="37" t="str">
        <f ca="1">IFERROR(+IF(U$29=ProposalToGnatt[[#This Row],[Start Date]],Milestone_Marker,IF(AND(U$29&gt;ProposalToGnatt[[#This Row],[Start Date]],U$29&lt;ProposalToGnatt[[#This Row],[Start Date]]+ProposalToGnatt[[#This Row],[Days]]),$G$5,"")),"")</f>
        <v/>
      </c>
      <c r="V34" s="37" t="str">
        <f ca="1">IFERROR(+IF(V$29=ProposalToGnatt[[#This Row],[Start Date]],Milestone_Marker,IF(AND(V$29&gt;ProposalToGnatt[[#This Row],[Start Date]],V$29&lt;ProposalToGnatt[[#This Row],[Start Date]]+ProposalToGnatt[[#This Row],[Days]]),$G$5,"")),"")</f>
        <v/>
      </c>
      <c r="W34" s="37" t="str">
        <f ca="1">IFERROR(+IF(W$29=ProposalToGnatt[[#This Row],[Start Date]],Milestone_Marker,IF(AND(W$29&gt;ProposalToGnatt[[#This Row],[Start Date]],W$29&lt;ProposalToGnatt[[#This Row],[Start Date]]+ProposalToGnatt[[#This Row],[Days]]),$G$5,"")),"")</f>
        <v/>
      </c>
      <c r="X34" s="37" t="str">
        <f ca="1">IFERROR(+IF(X$29=ProposalToGnatt[[#This Row],[Start Date]],Milestone_Marker,IF(AND(X$29&gt;ProposalToGnatt[[#This Row],[Start Date]],X$29&lt;ProposalToGnatt[[#This Row],[Start Date]]+ProposalToGnatt[[#This Row],[Days]]),$G$5,"")),"")</f>
        <v/>
      </c>
      <c r="Y34" s="37" t="str">
        <f ca="1">IFERROR(+IF(Y$29=ProposalToGnatt[[#This Row],[Start Date]],Milestone_Marker,IF(AND(Y$29&gt;ProposalToGnatt[[#This Row],[Start Date]],Y$29&lt;ProposalToGnatt[[#This Row],[Start Date]]+ProposalToGnatt[[#This Row],[Days]]),$G$5,"")),"")</f>
        <v/>
      </c>
      <c r="Z34" s="37" t="str">
        <f ca="1">IFERROR(+IF(Z$29=ProposalToGnatt[[#This Row],[Start Date]],Milestone_Marker,IF(AND(Z$29&gt;ProposalToGnatt[[#This Row],[Start Date]],Z$29&lt;ProposalToGnatt[[#This Row],[Start Date]]+ProposalToGnatt[[#This Row],[Days]]),$G$5,"")),"")</f>
        <v/>
      </c>
      <c r="AA34" s="37" t="str">
        <f ca="1">IFERROR(+IF(AA$29=ProposalToGnatt[[#This Row],[Start Date]],Milestone_Marker,IF(AND(AA$29&gt;ProposalToGnatt[[#This Row],[Start Date]],AA$29&lt;ProposalToGnatt[[#This Row],[Start Date]]+ProposalToGnatt[[#This Row],[Days]]),$G$5,"")),"")</f>
        <v/>
      </c>
      <c r="AB34" s="37" t="str">
        <f ca="1">IFERROR(+IF(AB$29=ProposalToGnatt[[#This Row],[Start Date]],Milestone_Marker,IF(AND(AB$29&gt;ProposalToGnatt[[#This Row],[Start Date]],AB$29&lt;ProposalToGnatt[[#This Row],[Start Date]]+ProposalToGnatt[[#This Row],[Days]]),$G$5,"")),"")</f>
        <v/>
      </c>
      <c r="AC34" s="37" t="str">
        <f ca="1">IFERROR(+IF(AC$29=ProposalToGnatt[[#This Row],[Start Date]],Milestone_Marker,IF(AND(AC$29&gt;ProposalToGnatt[[#This Row],[Start Date]],AC$29&lt;ProposalToGnatt[[#This Row],[Start Date]]+ProposalToGnatt[[#This Row],[Days]]),$G$5,"")),"")</f>
        <v/>
      </c>
      <c r="AD34" s="37" t="str">
        <f ca="1">IFERROR(+IF(AD$29=ProposalToGnatt[[#This Row],[Start Date]],Milestone_Marker,IF(AND(AD$29&gt;ProposalToGnatt[[#This Row],[Start Date]],AD$29&lt;ProposalToGnatt[[#This Row],[Start Date]]+ProposalToGnatt[[#This Row],[Days]]),$G$5,"")),"")</f>
        <v/>
      </c>
      <c r="AE34" s="37" t="str">
        <f ca="1">IFERROR(+IF(AE$29=ProposalToGnatt[[#This Row],[Start Date]],Milestone_Marker,IF(AND(AE$29&gt;ProposalToGnatt[[#This Row],[Start Date]],AE$29&lt;ProposalToGnatt[[#This Row],[Start Date]]+ProposalToGnatt[[#This Row],[Days]]),$G$5,"")),"")</f>
        <v/>
      </c>
      <c r="AF34" s="37" t="str">
        <f ca="1">IFERROR(+IF(AF$29=ProposalToGnatt[[#This Row],[Start Date]],Milestone_Marker,IF(AND(AF$29&gt;ProposalToGnatt[[#This Row],[Start Date]],AF$29&lt;ProposalToGnatt[[#This Row],[Start Date]]+ProposalToGnatt[[#This Row],[Days]]),$G$5,"")),"")</f>
        <v/>
      </c>
      <c r="AG34" s="37" t="str">
        <f ca="1">IFERROR(+IF(AG$29=ProposalToGnatt[[#This Row],[Start Date]],Milestone_Marker,IF(AND(AG$29&gt;ProposalToGnatt[[#This Row],[Start Date]],AG$29&lt;ProposalToGnatt[[#This Row],[Start Date]]+ProposalToGnatt[[#This Row],[Days]]),$G$5,"")),"")</f>
        <v/>
      </c>
      <c r="AH34" s="37" t="str">
        <f ca="1">IFERROR(+IF(AH$29=ProposalToGnatt[[#This Row],[Start Date]],Milestone_Marker,IF(AND(AH$29&gt;ProposalToGnatt[[#This Row],[Start Date]],AH$29&lt;ProposalToGnatt[[#This Row],[Start Date]]+ProposalToGnatt[[#This Row],[Days]]),$G$5,"")),"")</f>
        <v/>
      </c>
      <c r="AI34" s="37" t="str">
        <f ca="1">IFERROR(+IF(AI$29=ProposalToGnatt[[#This Row],[Start Date]],Milestone_Marker,IF(AND(AI$29&gt;ProposalToGnatt[[#This Row],[Start Date]],AI$29&lt;ProposalToGnatt[[#This Row],[Start Date]]+ProposalToGnatt[[#This Row],[Days]]),$G$5,"")),"")</f>
        <v/>
      </c>
      <c r="AJ34" s="37" t="str">
        <f ca="1">IFERROR(+IF(AJ$29=ProposalToGnatt[[#This Row],[Start Date]],Milestone_Marker,IF(AND(AJ$29&gt;ProposalToGnatt[[#This Row],[Start Date]],AJ$29&lt;ProposalToGnatt[[#This Row],[Start Date]]+ProposalToGnatt[[#This Row],[Days]]),$G$5,"")),"")</f>
        <v/>
      </c>
      <c r="AK34" s="37" t="str">
        <f ca="1">IFERROR(+IF(AK$29=ProposalToGnatt[[#This Row],[Start Date]],Milestone_Marker,IF(AND(AK$29&gt;ProposalToGnatt[[#This Row],[Start Date]],AK$29&lt;ProposalToGnatt[[#This Row],[Start Date]]+ProposalToGnatt[[#This Row],[Days]]),$G$5,"")),"")</f>
        <v/>
      </c>
      <c r="AL34" s="37" t="str">
        <f ca="1">IFERROR(+IF(AL$29=ProposalToGnatt[[#This Row],[Start Date]],Milestone_Marker,IF(AND(AL$29&gt;ProposalToGnatt[[#This Row],[Start Date]],AL$29&lt;ProposalToGnatt[[#This Row],[Start Date]]+ProposalToGnatt[[#This Row],[Days]]),$G$5,"")),"")</f>
        <v/>
      </c>
      <c r="AM34" s="37" t="str">
        <f ca="1">IFERROR(+IF(AM$29=ProposalToGnatt[[#This Row],[Start Date]],Milestone_Marker,IF(AND(AM$29&gt;ProposalToGnatt[[#This Row],[Start Date]],AM$29&lt;ProposalToGnatt[[#This Row],[Start Date]]+ProposalToGnatt[[#This Row],[Days]]),$G$5,"")),"")</f>
        <v/>
      </c>
      <c r="AN34" s="37" t="str">
        <f ca="1">IFERROR(+IF(AN$29=ProposalToGnatt[[#This Row],[Start Date]],Milestone_Marker,IF(AND(AN$29&gt;ProposalToGnatt[[#This Row],[Start Date]],AN$29&lt;ProposalToGnatt[[#This Row],[Start Date]]+ProposalToGnatt[[#This Row],[Days]]),$G$5,"")),"")</f>
        <v/>
      </c>
      <c r="AO34" s="37" t="str">
        <f ca="1">IFERROR(+IF(AO$29=ProposalToGnatt[[#This Row],[Start Date]],Milestone_Marker,IF(AND(AO$29&gt;ProposalToGnatt[[#This Row],[Start Date]],AO$29&lt;ProposalToGnatt[[#This Row],[Start Date]]+ProposalToGnatt[[#This Row],[Days]]),$G$5,"")),"")</f>
        <v/>
      </c>
      <c r="AP34" s="37" t="str">
        <f ca="1">IFERROR(+IF(AP$29=ProposalToGnatt[[#This Row],[Start Date]],Milestone_Marker,IF(AND(AP$29&gt;ProposalToGnatt[[#This Row],[Start Date]],AP$29&lt;ProposalToGnatt[[#This Row],[Start Date]]+ProposalToGnatt[[#This Row],[Days]]),$G$5,"")),"")</f>
        <v/>
      </c>
      <c r="AQ34" s="37" t="str">
        <f ca="1">IFERROR(+IF(AQ$29=ProposalToGnatt[[#This Row],[Start Date]],Milestone_Marker,IF(AND(AQ$29&gt;ProposalToGnatt[[#This Row],[Start Date]],AQ$29&lt;ProposalToGnatt[[#This Row],[Start Date]]+ProposalToGnatt[[#This Row],[Days]]),$G$5,"")),"")</f>
        <v/>
      </c>
      <c r="AR34" s="37" t="str">
        <f ca="1">IFERROR(+IF(AR$29=ProposalToGnatt[[#This Row],[Start Date]],Milestone_Marker,IF(AND(AR$29&gt;ProposalToGnatt[[#This Row],[Start Date]],AR$29&lt;ProposalToGnatt[[#This Row],[Start Date]]+ProposalToGnatt[[#This Row],[Days]]),$G$5,"")),"")</f>
        <v/>
      </c>
      <c r="AS34" s="37" t="str">
        <f ca="1">IFERROR(+IF(AS$29=ProposalToGnatt[[#This Row],[Start Date]],Milestone_Marker,IF(AND(AS$29&gt;ProposalToGnatt[[#This Row],[Start Date]],AS$29&lt;ProposalToGnatt[[#This Row],[Start Date]]+ProposalToGnatt[[#This Row],[Days]]),$G$5,"")),"")</f>
        <v/>
      </c>
      <c r="AT34" s="37" t="str">
        <f ca="1">IFERROR(+IF(AT$29=ProposalToGnatt[[#This Row],[Start Date]],Milestone_Marker,IF(AND(AT$29&gt;ProposalToGnatt[[#This Row],[Start Date]],AT$29&lt;ProposalToGnatt[[#This Row],[Start Date]]+ProposalToGnatt[[#This Row],[Days]]),$G$5,"")),"")</f>
        <v/>
      </c>
      <c r="AU34" s="37" t="str">
        <f ca="1">IFERROR(+IF(AU$29=ProposalToGnatt[[#This Row],[Start Date]],Milestone_Marker,IF(AND(AU$29&gt;ProposalToGnatt[[#This Row],[Start Date]],AU$29&lt;ProposalToGnatt[[#This Row],[Start Date]]+ProposalToGnatt[[#This Row],[Days]]),$G$5,"")),"")</f>
        <v/>
      </c>
      <c r="AV34" s="37" t="str">
        <f ca="1">IFERROR(+IF(AV$29=ProposalToGnatt[[#This Row],[Start Date]],Milestone_Marker,IF(AND(AV$29&gt;ProposalToGnatt[[#This Row],[Start Date]],AV$29&lt;ProposalToGnatt[[#This Row],[Start Date]]+ProposalToGnatt[[#This Row],[Days]]),$G$5,"")),"")</f>
        <v/>
      </c>
      <c r="AW34" s="37" t="str">
        <f ca="1">IFERROR(+IF(AW$29=ProposalToGnatt[[#This Row],[Start Date]],Milestone_Marker,IF(AND(AW$29&gt;ProposalToGnatt[[#This Row],[Start Date]],AW$29&lt;ProposalToGnatt[[#This Row],[Start Date]]+ProposalToGnatt[[#This Row],[Days]]),$G$5,"")),"")</f>
        <v/>
      </c>
      <c r="AX34" s="37" t="str">
        <f ca="1">IFERROR(+IF(AX$29=ProposalToGnatt[[#This Row],[Start Date]],Milestone_Marker,IF(AND(AX$29&gt;ProposalToGnatt[[#This Row],[Start Date]],AX$29&lt;ProposalToGnatt[[#This Row],[Start Date]]+ProposalToGnatt[[#This Row],[Days]]),$G$5,"")),"")</f>
        <v/>
      </c>
      <c r="AY34" s="37" t="str">
        <f ca="1">IFERROR(+IF(AY$29=ProposalToGnatt[[#This Row],[Start Date]],Milestone_Marker,IF(AND(AY$29&gt;ProposalToGnatt[[#This Row],[Start Date]],AY$29&lt;ProposalToGnatt[[#This Row],[Start Date]]+ProposalToGnatt[[#This Row],[Days]]),$G$5,"")),"")</f>
        <v/>
      </c>
      <c r="AZ34" s="37" t="str">
        <f ca="1">IFERROR(+IF(AZ$29=ProposalToGnatt[[#This Row],[Start Date]],Milestone_Marker,IF(AND(AZ$29&gt;ProposalToGnatt[[#This Row],[Start Date]],AZ$29&lt;ProposalToGnatt[[#This Row],[Start Date]]+ProposalToGnatt[[#This Row],[Days]]),$G$5,"")),"")</f>
        <v/>
      </c>
      <c r="BA34" s="37" t="str">
        <f ca="1">IFERROR(+IF(BA$29=ProposalToGnatt[[#This Row],[Start Date]],Milestone_Marker,IF(AND(BA$29&gt;ProposalToGnatt[[#This Row],[Start Date]],BA$29&lt;ProposalToGnatt[[#This Row],[Start Date]]+ProposalToGnatt[[#This Row],[Days]]),$G$5,"")),"")</f>
        <v/>
      </c>
      <c r="BB34" s="37" t="str">
        <f ca="1">IFERROR(+IF(BB$29=ProposalToGnatt[[#This Row],[Start Date]],Milestone_Marker,IF(AND(BB$29&gt;ProposalToGnatt[[#This Row],[Start Date]],BB$29&lt;ProposalToGnatt[[#This Row],[Start Date]]+ProposalToGnatt[[#This Row],[Days]]),$G$5,"")),"")</f>
        <v/>
      </c>
      <c r="BC34" s="37" t="str">
        <f ca="1">IFERROR(+IF(BC$29=ProposalToGnatt[[#This Row],[Start Date]],Milestone_Marker,IF(AND(BC$29&gt;ProposalToGnatt[[#This Row],[Start Date]],BC$29&lt;ProposalToGnatt[[#This Row],[Start Date]]+ProposalToGnatt[[#This Row],[Days]]),$G$5,"")),"")</f>
        <v/>
      </c>
      <c r="BD34" s="37" t="str">
        <f ca="1">IFERROR(+IF(BD$29=ProposalToGnatt[[#This Row],[Start Date]],Milestone_Marker,IF(AND(BD$29&gt;ProposalToGnatt[[#This Row],[Start Date]],BD$29&lt;ProposalToGnatt[[#This Row],[Start Date]]+ProposalToGnatt[[#This Row],[Days]]),$G$5,"")),"")</f>
        <v/>
      </c>
      <c r="BE34" s="37" t="str">
        <f ca="1">IFERROR(+IF(BE$29=ProposalToGnatt[[#This Row],[Start Date]],Milestone_Marker,IF(AND(BE$29&gt;ProposalToGnatt[[#This Row],[Start Date]],BE$29&lt;ProposalToGnatt[[#This Row],[Start Date]]+ProposalToGnatt[[#This Row],[Days]]),$G$5,"")),"")</f>
        <v/>
      </c>
      <c r="BF34" s="37" t="str">
        <f ca="1">IFERROR(+IF(BF$29=ProposalToGnatt[[#This Row],[Start Date]],Milestone_Marker,IF(AND(BF$29&gt;ProposalToGnatt[[#This Row],[Start Date]],BF$29&lt;ProposalToGnatt[[#This Row],[Start Date]]+ProposalToGnatt[[#This Row],[Days]]),$G$5,"")),"")</f>
        <v/>
      </c>
      <c r="BG34" s="37" t="str">
        <f ca="1">IFERROR(+IF(BG$29=ProposalToGnatt[[#This Row],[Start Date]],Milestone_Marker,IF(AND(BG$29&gt;ProposalToGnatt[[#This Row],[Start Date]],BG$29&lt;ProposalToGnatt[[#This Row],[Start Date]]+ProposalToGnatt[[#This Row],[Days]]),$G$5,"")),"")</f>
        <v/>
      </c>
      <c r="BH34" s="37" t="str">
        <f ca="1">IFERROR(+IF(BH$29=ProposalToGnatt[[#This Row],[Start Date]],Milestone_Marker,IF(AND(BH$29&gt;ProposalToGnatt[[#This Row],[Start Date]],BH$29&lt;ProposalToGnatt[[#This Row],[Start Date]]+ProposalToGnatt[[#This Row],[Days]]),$G$5,"")),"")</f>
        <v/>
      </c>
      <c r="BI34" s="37" t="str">
        <f ca="1">IFERROR(+IF(BI$29=ProposalToGnatt[[#This Row],[Start Date]],Milestone_Marker,IF(AND(BI$29&gt;ProposalToGnatt[[#This Row],[Start Date]],BI$29&lt;ProposalToGnatt[[#This Row],[Start Date]]+ProposalToGnatt[[#This Row],[Days]]),$G$5,"")),"")</f>
        <v/>
      </c>
      <c r="BJ34" s="37" t="str">
        <f ca="1">IFERROR(+IF(BJ$29=ProposalToGnatt[[#This Row],[Start Date]],Milestone_Marker,IF(AND(BJ$29&gt;ProposalToGnatt[[#This Row],[Start Date]],BJ$29&lt;ProposalToGnatt[[#This Row],[Start Date]]+ProposalToGnatt[[#This Row],[Days]]),$G$5,"")),"")</f>
        <v/>
      </c>
      <c r="BK34" s="37" t="str">
        <f ca="1">IFERROR(+IF(BK$29=ProposalToGnatt[[#This Row],[Start Date]],Milestone_Marker,IF(AND(BK$29&gt;ProposalToGnatt[[#This Row],[Start Date]],BK$29&lt;ProposalToGnatt[[#This Row],[Start Date]]+ProposalToGnatt[[#This Row],[Days]]),$G$5,"")),"")</f>
        <v/>
      </c>
      <c r="BL34" s="37" t="str">
        <f ca="1">IFERROR(+IF(BL$29=ProposalToGnatt[[#This Row],[Start Date]],Milestone_Marker,IF(AND(BL$29&gt;ProposalToGnatt[[#This Row],[Start Date]],BL$29&lt;ProposalToGnatt[[#This Row],[Start Date]]+ProposalToGnatt[[#This Row],[Days]]),$G$5,"")),"")</f>
        <v/>
      </c>
      <c r="BM34" s="37" t="str">
        <f ca="1">IFERROR(+IF(BM$29=ProposalToGnatt[[#This Row],[Start Date]],Milestone_Marker,IF(AND(BM$29&gt;ProposalToGnatt[[#This Row],[Start Date]],BM$29&lt;ProposalToGnatt[[#This Row],[Start Date]]+ProposalToGnatt[[#This Row],[Days]]),$G$5,"")),"")</f>
        <v/>
      </c>
      <c r="BN34" s="37" t="str">
        <f ca="1">IFERROR(+IF(BN$29=ProposalToGnatt[[#This Row],[Start Date]],Milestone_Marker,IF(AND(BN$29&gt;ProposalToGnatt[[#This Row],[Start Date]],BN$29&lt;ProposalToGnatt[[#This Row],[Start Date]]+ProposalToGnatt[[#This Row],[Days]]),$G$5,"")),"")</f>
        <v/>
      </c>
      <c r="BO34" s="37" t="str">
        <f ca="1">IFERROR(+IF(BO$29=ProposalToGnatt[[#This Row],[Start Date]],Milestone_Marker,IF(AND(BO$29&gt;ProposalToGnatt[[#This Row],[Start Date]],BO$29&lt;ProposalToGnatt[[#This Row],[Start Date]]+ProposalToGnatt[[#This Row],[Days]]),$G$5,"")),"")</f>
        <v/>
      </c>
      <c r="BP34" s="37" t="str">
        <f ca="1">IFERROR(+IF(BP$29=ProposalToGnatt[[#This Row],[Start Date]],Milestone_Marker,IF(AND(BP$29&gt;ProposalToGnatt[[#This Row],[Start Date]],BP$29&lt;ProposalToGnatt[[#This Row],[Start Date]]+ProposalToGnatt[[#This Row],[Days]]),$G$5,"")),"")</f>
        <v/>
      </c>
      <c r="BQ34" s="37" t="str">
        <f ca="1">IFERROR(+IF(BQ$29=ProposalToGnatt[[#This Row],[Start Date]],Milestone_Marker,IF(AND(BQ$29&gt;ProposalToGnatt[[#This Row],[Start Date]],BQ$29&lt;ProposalToGnatt[[#This Row],[Start Date]]+ProposalToGnatt[[#This Row],[Days]]),$G$5,"")),"")</f>
        <v/>
      </c>
      <c r="BR34" s="37" t="str">
        <f ca="1">IFERROR(+IF(BR$29=ProposalToGnatt[[#This Row],[Start Date]],Milestone_Marker,IF(AND(BR$29&gt;ProposalToGnatt[[#This Row],[Start Date]],BR$29&lt;ProposalToGnatt[[#This Row],[Start Date]]+ProposalToGnatt[[#This Row],[Days]]),$G$5,"")),"")</f>
        <v/>
      </c>
      <c r="BS34" s="37" t="str">
        <f ca="1">IFERROR(+IF(BS$29=ProposalToGnatt[[#This Row],[Start Date]],Milestone_Marker,IF(AND(BS$29&gt;ProposalToGnatt[[#This Row],[Start Date]],BS$29&lt;ProposalToGnatt[[#This Row],[Start Date]]+ProposalToGnatt[[#This Row],[Days]]),$G$5,"")),"")</f>
        <v/>
      </c>
      <c r="BT34" s="37" t="str">
        <f ca="1">IFERROR(+IF(BT$29=ProposalToGnatt[[#This Row],[Start Date]],Milestone_Marker,IF(AND(BT$29&gt;ProposalToGnatt[[#This Row],[Start Date]],BT$29&lt;ProposalToGnatt[[#This Row],[Start Date]]+ProposalToGnatt[[#This Row],[Days]]),$G$5,"")),"")</f>
        <v/>
      </c>
      <c r="BU34" s="37" t="str">
        <f ca="1">IFERROR(+IF(BU$29=ProposalToGnatt[[#This Row],[Start Date]],Milestone_Marker,IF(AND(BU$29&gt;ProposalToGnatt[[#This Row],[Start Date]],BU$29&lt;ProposalToGnatt[[#This Row],[Start Date]]+ProposalToGnatt[[#This Row],[Days]]),$G$5,"")),"")</f>
        <v/>
      </c>
      <c r="BV34" s="37" t="str">
        <f ca="1">IFERROR(+IF(BV$29=ProposalToGnatt[[#This Row],[Start Date]],Milestone_Marker,IF(AND(BV$29&gt;ProposalToGnatt[[#This Row],[Start Date]],BV$29&lt;ProposalToGnatt[[#This Row],[Start Date]]+ProposalToGnatt[[#This Row],[Days]]),$G$5,"")),"")</f>
        <v/>
      </c>
      <c r="BW34" s="37" t="str">
        <f ca="1">IFERROR(+IF(BW$29=ProposalToGnatt[[#This Row],[Start Date]],Milestone_Marker,IF(AND(BW$29&gt;ProposalToGnatt[[#This Row],[Start Date]],BW$29&lt;ProposalToGnatt[[#This Row],[Start Date]]+ProposalToGnatt[[#This Row],[Days]]),$G$5,"")),"")</f>
        <v/>
      </c>
      <c r="BX34" s="37" t="str">
        <f ca="1">IFERROR(+IF(BX$29=ProposalToGnatt[[#This Row],[Start Date]],Milestone_Marker,IF(AND(BX$29&gt;ProposalToGnatt[[#This Row],[Start Date]],BX$29&lt;ProposalToGnatt[[#This Row],[Start Date]]+ProposalToGnatt[[#This Row],[Days]]),$G$5,"")),"")</f>
        <v/>
      </c>
      <c r="BY34" s="37" t="str">
        <f ca="1">IFERROR(+IF(BY$29=ProposalToGnatt[[#This Row],[Start Date]],Milestone_Marker,IF(AND(BY$29&gt;ProposalToGnatt[[#This Row],[Start Date]],BY$29&lt;ProposalToGnatt[[#This Row],[Start Date]]+ProposalToGnatt[[#This Row],[Days]]),$G$5,"")),"")</f>
        <v/>
      </c>
      <c r="BZ34" s="37" t="str">
        <f ca="1">IFERROR(+IF(BZ$29=ProposalToGnatt[[#This Row],[Start Date]],Milestone_Marker,IF(AND(BZ$29&gt;ProposalToGnatt[[#This Row],[Start Date]],BZ$29&lt;ProposalToGnatt[[#This Row],[Start Date]]+ProposalToGnatt[[#This Row],[Days]]),$G$5,"")),"")</f>
        <v/>
      </c>
      <c r="CA34" s="37" t="str">
        <f ca="1">IFERROR(+IF(CA$29=ProposalToGnatt[[#This Row],[Start Date]],Milestone_Marker,IF(AND(CA$29&gt;ProposalToGnatt[[#This Row],[Start Date]],CA$29&lt;ProposalToGnatt[[#This Row],[Start Date]]+ProposalToGnatt[[#This Row],[Days]]),$G$5,"")),"")</f>
        <v/>
      </c>
      <c r="CB34" s="37" t="str">
        <f ca="1">IFERROR(+IF(CB$29=ProposalToGnatt[[#This Row],[Start Date]],Milestone_Marker,IF(AND(CB$29&gt;ProposalToGnatt[[#This Row],[Start Date]],CB$29&lt;ProposalToGnatt[[#This Row],[Start Date]]+ProposalToGnatt[[#This Row],[Days]]),$G$5,"")),"")</f>
        <v/>
      </c>
      <c r="CC34" s="37" t="str">
        <f ca="1">IFERROR(+IF(CC$29=ProposalToGnatt[[#This Row],[Start Date]],Milestone_Marker,IF(AND(CC$29&gt;ProposalToGnatt[[#This Row],[Start Date]],CC$29&lt;ProposalToGnatt[[#This Row],[Start Date]]+ProposalToGnatt[[#This Row],[Days]]),$G$5,"")),"")</f>
        <v/>
      </c>
      <c r="CD34" s="37" t="str">
        <f ca="1">IFERROR(+IF(CD$29=ProposalToGnatt[[#This Row],[Start Date]],Milestone_Marker,IF(AND(CD$29&gt;ProposalToGnatt[[#This Row],[Start Date]],CD$29&lt;ProposalToGnatt[[#This Row],[Start Date]]+ProposalToGnatt[[#This Row],[Days]]),$G$5,"")),"")</f>
        <v/>
      </c>
      <c r="CE34" s="37" t="str">
        <f ca="1">IFERROR(+IF(CE$29=ProposalToGnatt[[#This Row],[Start Date]],Milestone_Marker,IF(AND(CE$29&gt;ProposalToGnatt[[#This Row],[Start Date]],CE$29&lt;ProposalToGnatt[[#This Row],[Start Date]]+ProposalToGnatt[[#This Row],[Days]]),$G$5,"")),"")</f>
        <v/>
      </c>
      <c r="CF34" s="37" t="str">
        <f ca="1">IFERROR(+IF(CF$29=ProposalToGnatt[[#This Row],[Start Date]],Milestone_Marker,IF(AND(CF$29&gt;ProposalToGnatt[[#This Row],[Start Date]],CF$29&lt;ProposalToGnatt[[#This Row],[Start Date]]+ProposalToGnatt[[#This Row],[Days]]),$G$5,"")),"")</f>
        <v/>
      </c>
      <c r="CG34" s="37" t="str">
        <f ca="1">IFERROR(+IF(CG$29=ProposalToGnatt[[#This Row],[Start Date]],Milestone_Marker,IF(AND(CG$29&gt;ProposalToGnatt[[#This Row],[Start Date]],CG$29&lt;ProposalToGnatt[[#This Row],[Start Date]]+ProposalToGnatt[[#This Row],[Days]]),$G$5,"")),"")</f>
        <v/>
      </c>
      <c r="CH34" s="37" t="str">
        <f ca="1">IFERROR(+IF(CH$29=ProposalToGnatt[[#This Row],[Start Date]],Milestone_Marker,IF(AND(CH$29&gt;ProposalToGnatt[[#This Row],[Start Date]],CH$29&lt;ProposalToGnatt[[#This Row],[Start Date]]+ProposalToGnatt[[#This Row],[Days]]),$G$5,"")),"")</f>
        <v/>
      </c>
      <c r="CI34" s="37" t="str">
        <f ca="1">IFERROR(+IF(CI$29=ProposalToGnatt[[#This Row],[Start Date]],Milestone_Marker,IF(AND(CI$29&gt;ProposalToGnatt[[#This Row],[Start Date]],CI$29&lt;ProposalToGnatt[[#This Row],[Start Date]]+ProposalToGnatt[[#This Row],[Days]]),$G$5,"")),"")</f>
        <v/>
      </c>
      <c r="CJ34" s="37" t="str">
        <f ca="1">IFERROR(+IF(CJ$29=ProposalToGnatt[[#This Row],[Start Date]],Milestone_Marker,IF(AND(CJ$29&gt;ProposalToGnatt[[#This Row],[Start Date]],CJ$29&lt;ProposalToGnatt[[#This Row],[Start Date]]+ProposalToGnatt[[#This Row],[Days]]),$G$5,"")),"")</f>
        <v/>
      </c>
      <c r="CK34" s="37" t="str">
        <f ca="1">IFERROR(+IF(CK$29=ProposalToGnatt[[#This Row],[Start Date]],Milestone_Marker,IF(AND(CK$29&gt;ProposalToGnatt[[#This Row],[Start Date]],CK$29&lt;ProposalToGnatt[[#This Row],[Start Date]]+ProposalToGnatt[[#This Row],[Days]]),$G$5,"")),"")</f>
        <v/>
      </c>
      <c r="CL34" s="37" t="str">
        <f ca="1">IFERROR(+IF(CL$29=ProposalToGnatt[[#This Row],[Start Date]],Milestone_Marker,IF(AND(CL$29&gt;ProposalToGnatt[[#This Row],[Start Date]],CL$29&lt;ProposalToGnatt[[#This Row],[Start Date]]+ProposalToGnatt[[#This Row],[Days]]),$G$5,"")),"")</f>
        <v/>
      </c>
      <c r="CM34" s="37" t="str">
        <f ca="1">IFERROR(+IF(CM$29=ProposalToGnatt[[#This Row],[Start Date]],Milestone_Marker,IF(AND(CM$29&gt;ProposalToGnatt[[#This Row],[Start Date]],CM$29&lt;ProposalToGnatt[[#This Row],[Start Date]]+ProposalToGnatt[[#This Row],[Days]]),$G$5,"")),"")</f>
        <v/>
      </c>
      <c r="CN34" s="37" t="str">
        <f ca="1">IFERROR(+IF(CN$29=ProposalToGnatt[[#This Row],[Start Date]],Milestone_Marker,IF(AND(CN$29&gt;ProposalToGnatt[[#This Row],[Start Date]],CN$29&lt;ProposalToGnatt[[#This Row],[Start Date]]+ProposalToGnatt[[#This Row],[Days]]),$G$5,"")),"")</f>
        <v/>
      </c>
      <c r="CO34" s="37" t="str">
        <f ca="1">IFERROR(+IF(CO$29=ProposalToGnatt[[#This Row],[Start Date]],Milestone_Marker,IF(AND(CO$29&gt;ProposalToGnatt[[#This Row],[Start Date]],CO$29&lt;ProposalToGnatt[[#This Row],[Start Date]]+ProposalToGnatt[[#This Row],[Days]]),$G$5,"")),"")</f>
        <v/>
      </c>
      <c r="CP34" s="37" t="str">
        <f ca="1">IFERROR(+IF(CP$29=ProposalToGnatt[[#This Row],[Start Date]],Milestone_Marker,IF(AND(CP$29&gt;ProposalToGnatt[[#This Row],[Start Date]],CP$29&lt;ProposalToGnatt[[#This Row],[Start Date]]+ProposalToGnatt[[#This Row],[Days]]),$G$5,"")),"")</f>
        <v/>
      </c>
      <c r="CQ34" s="37" t="str">
        <f ca="1">IFERROR(+IF(CQ$29=ProposalToGnatt[[#This Row],[Start Date]],Milestone_Marker,IF(AND(CQ$29&gt;ProposalToGnatt[[#This Row],[Start Date]],CQ$29&lt;ProposalToGnatt[[#This Row],[Start Date]]+ProposalToGnatt[[#This Row],[Days]]),$G$5,"")),"")</f>
        <v/>
      </c>
      <c r="CR34" s="37" t="str">
        <f ca="1">IFERROR(+IF(CR$29=ProposalToGnatt[[#This Row],[Start Date]],Milestone_Marker,IF(AND(CR$29&gt;ProposalToGnatt[[#This Row],[Start Date]],CR$29&lt;ProposalToGnatt[[#This Row],[Start Date]]+ProposalToGnatt[[#This Row],[Days]]),$G$5,"")),"")</f>
        <v/>
      </c>
      <c r="CS34" s="37" t="str">
        <f ca="1">IFERROR(+IF(CS$29=ProposalToGnatt[[#This Row],[Start Date]],Milestone_Marker,IF(AND(CS$29&gt;ProposalToGnatt[[#This Row],[Start Date]],CS$29&lt;ProposalToGnatt[[#This Row],[Start Date]]+ProposalToGnatt[[#This Row],[Days]]),$G$5,"")),"")</f>
        <v/>
      </c>
      <c r="CT34" s="37" t="str">
        <f ca="1">IFERROR(+IF(CT$29=ProposalToGnatt[[#This Row],[Start Date]],Milestone_Marker,IF(AND(CT$29&gt;ProposalToGnatt[[#This Row],[Start Date]],CT$29&lt;ProposalToGnatt[[#This Row],[Start Date]]+ProposalToGnatt[[#This Row],[Days]]),$G$5,"")),"")</f>
        <v/>
      </c>
      <c r="CU34" s="37" t="str">
        <f ca="1">IFERROR(+IF(CU$29=ProposalToGnatt[[#This Row],[Start Date]],Milestone_Marker,IF(AND(CU$29&gt;ProposalToGnatt[[#This Row],[Start Date]],CU$29&lt;ProposalToGnatt[[#This Row],[Start Date]]+ProposalToGnatt[[#This Row],[Days]]),$G$5,"")),"")</f>
        <v/>
      </c>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row>
    <row r="35" spans="1:125" s="42" customFormat="1" ht="20.100000000000001" customHeight="1">
      <c r="A35" t="s">
        <v>437</v>
      </c>
      <c r="B35">
        <v>6</v>
      </c>
      <c r="C35" t="s">
        <v>349</v>
      </c>
      <c r="D35" t="s">
        <v>348</v>
      </c>
      <c r="E35" t="s">
        <v>350</v>
      </c>
      <c r="F35">
        <v>0</v>
      </c>
      <c r="G35" s="11">
        <v>200</v>
      </c>
      <c r="H35" s="26">
        <v>0</v>
      </c>
      <c r="I35"/>
      <c r="J35"/>
      <c r="K35" s="363"/>
      <c r="L35"/>
      <c r="M35"/>
      <c r="N35"/>
      <c r="O35" s="26"/>
      <c r="P35" s="37">
        <f ca="1">IFERROR(+IF(P$29=ProposalToGnatt[[#This Row],[Start Date]],Milestone_Marker,IF(AND(P$29&gt;ProposalToGnatt[[#This Row],[Start Date]],P$29&lt;ProposalToGnatt[[#This Row],[Start Date]]+ProposalToGnatt[[#This Row],[Days]]),$G$5,"")),"")</f>
        <v>1</v>
      </c>
      <c r="Q35" s="37" t="str">
        <f ca="1">IFERROR(+IF(Q$29=ProposalToGnatt[[#This Row],[Start Date]],Milestone_Marker,IF(AND(Q$29&gt;ProposalToGnatt[[#This Row],[Start Date]],Q$29&lt;ProposalToGnatt[[#This Row],[Start Date]]+ProposalToGnatt[[#This Row],[Days]]),$G$5,"")),"")</f>
        <v/>
      </c>
      <c r="R35" s="37" t="str">
        <f ca="1">IFERROR(+IF(R$29=ProposalToGnatt[[#This Row],[Start Date]],Milestone_Marker,IF(AND(R$29&gt;ProposalToGnatt[[#This Row],[Start Date]],R$29&lt;ProposalToGnatt[[#This Row],[Start Date]]+ProposalToGnatt[[#This Row],[Days]]),$G$5,"")),"")</f>
        <v/>
      </c>
      <c r="S35" s="37" t="str">
        <f ca="1">IFERROR(+IF(S$29=ProposalToGnatt[[#This Row],[Start Date]],Milestone_Marker,IF(AND(S$29&gt;ProposalToGnatt[[#This Row],[Start Date]],S$29&lt;ProposalToGnatt[[#This Row],[Start Date]]+ProposalToGnatt[[#This Row],[Days]]),$G$5,"")),"")</f>
        <v/>
      </c>
      <c r="T35" s="37" t="str">
        <f ca="1">IFERROR(+IF(T$29=ProposalToGnatt[[#This Row],[Start Date]],Milestone_Marker,IF(AND(T$29&gt;ProposalToGnatt[[#This Row],[Start Date]],T$29&lt;ProposalToGnatt[[#This Row],[Start Date]]+ProposalToGnatt[[#This Row],[Days]]),$G$5,"")),"")</f>
        <v/>
      </c>
      <c r="U35" s="37" t="str">
        <f ca="1">IFERROR(+IF(U$29=ProposalToGnatt[[#This Row],[Start Date]],Milestone_Marker,IF(AND(U$29&gt;ProposalToGnatt[[#This Row],[Start Date]],U$29&lt;ProposalToGnatt[[#This Row],[Start Date]]+ProposalToGnatt[[#This Row],[Days]]),$G$5,"")),"")</f>
        <v/>
      </c>
      <c r="V35" s="37" t="str">
        <f ca="1">IFERROR(+IF(V$29=ProposalToGnatt[[#This Row],[Start Date]],Milestone_Marker,IF(AND(V$29&gt;ProposalToGnatt[[#This Row],[Start Date]],V$29&lt;ProposalToGnatt[[#This Row],[Start Date]]+ProposalToGnatt[[#This Row],[Days]]),$G$5,"")),"")</f>
        <v/>
      </c>
      <c r="W35" s="37" t="str">
        <f ca="1">IFERROR(+IF(W$29=ProposalToGnatt[[#This Row],[Start Date]],Milestone_Marker,IF(AND(W$29&gt;ProposalToGnatt[[#This Row],[Start Date]],W$29&lt;ProposalToGnatt[[#This Row],[Start Date]]+ProposalToGnatt[[#This Row],[Days]]),$G$5,"")),"")</f>
        <v/>
      </c>
      <c r="X35" s="37" t="str">
        <f ca="1">IFERROR(+IF(X$29=ProposalToGnatt[[#This Row],[Start Date]],Milestone_Marker,IF(AND(X$29&gt;ProposalToGnatt[[#This Row],[Start Date]],X$29&lt;ProposalToGnatt[[#This Row],[Start Date]]+ProposalToGnatt[[#This Row],[Days]]),$G$5,"")),"")</f>
        <v/>
      </c>
      <c r="Y35" s="37" t="str">
        <f ca="1">IFERROR(+IF(Y$29=ProposalToGnatt[[#This Row],[Start Date]],Milestone_Marker,IF(AND(Y$29&gt;ProposalToGnatt[[#This Row],[Start Date]],Y$29&lt;ProposalToGnatt[[#This Row],[Start Date]]+ProposalToGnatt[[#This Row],[Days]]),$G$5,"")),"")</f>
        <v/>
      </c>
      <c r="Z35" s="37" t="str">
        <f ca="1">IFERROR(+IF(Z$29=ProposalToGnatt[[#This Row],[Start Date]],Milestone_Marker,IF(AND(Z$29&gt;ProposalToGnatt[[#This Row],[Start Date]],Z$29&lt;ProposalToGnatt[[#This Row],[Start Date]]+ProposalToGnatt[[#This Row],[Days]]),$G$5,"")),"")</f>
        <v/>
      </c>
      <c r="AA35" s="37" t="str">
        <f ca="1">IFERROR(+IF(AA$29=ProposalToGnatt[[#This Row],[Start Date]],Milestone_Marker,IF(AND(AA$29&gt;ProposalToGnatt[[#This Row],[Start Date]],AA$29&lt;ProposalToGnatt[[#This Row],[Start Date]]+ProposalToGnatt[[#This Row],[Days]]),$G$5,"")),"")</f>
        <v/>
      </c>
      <c r="AB35" s="37" t="str">
        <f ca="1">IFERROR(+IF(AB$29=ProposalToGnatt[[#This Row],[Start Date]],Milestone_Marker,IF(AND(AB$29&gt;ProposalToGnatt[[#This Row],[Start Date]],AB$29&lt;ProposalToGnatt[[#This Row],[Start Date]]+ProposalToGnatt[[#This Row],[Days]]),$G$5,"")),"")</f>
        <v/>
      </c>
      <c r="AC35" s="37" t="str">
        <f ca="1">IFERROR(+IF(AC$29=ProposalToGnatt[[#This Row],[Start Date]],Milestone_Marker,IF(AND(AC$29&gt;ProposalToGnatt[[#This Row],[Start Date]],AC$29&lt;ProposalToGnatt[[#This Row],[Start Date]]+ProposalToGnatt[[#This Row],[Days]]),$G$5,"")),"")</f>
        <v/>
      </c>
      <c r="AD35" s="37" t="str">
        <f ca="1">IFERROR(+IF(AD$29=ProposalToGnatt[[#This Row],[Start Date]],Milestone_Marker,IF(AND(AD$29&gt;ProposalToGnatt[[#This Row],[Start Date]],AD$29&lt;ProposalToGnatt[[#This Row],[Start Date]]+ProposalToGnatt[[#This Row],[Days]]),$G$5,"")),"")</f>
        <v/>
      </c>
      <c r="AE35" s="37" t="str">
        <f ca="1">IFERROR(+IF(AE$29=ProposalToGnatt[[#This Row],[Start Date]],Milestone_Marker,IF(AND(AE$29&gt;ProposalToGnatt[[#This Row],[Start Date]],AE$29&lt;ProposalToGnatt[[#This Row],[Start Date]]+ProposalToGnatt[[#This Row],[Days]]),$G$5,"")),"")</f>
        <v/>
      </c>
      <c r="AF35" s="37" t="str">
        <f ca="1">IFERROR(+IF(AF$29=ProposalToGnatt[[#This Row],[Start Date]],Milestone_Marker,IF(AND(AF$29&gt;ProposalToGnatt[[#This Row],[Start Date]],AF$29&lt;ProposalToGnatt[[#This Row],[Start Date]]+ProposalToGnatt[[#This Row],[Days]]),$G$5,"")),"")</f>
        <v/>
      </c>
      <c r="AG35" s="37" t="str">
        <f ca="1">IFERROR(+IF(AG$29=ProposalToGnatt[[#This Row],[Start Date]],Milestone_Marker,IF(AND(AG$29&gt;ProposalToGnatt[[#This Row],[Start Date]],AG$29&lt;ProposalToGnatt[[#This Row],[Start Date]]+ProposalToGnatt[[#This Row],[Days]]),$G$5,"")),"")</f>
        <v/>
      </c>
      <c r="AH35" s="37" t="str">
        <f ca="1">IFERROR(+IF(AH$29=ProposalToGnatt[[#This Row],[Start Date]],Milestone_Marker,IF(AND(AH$29&gt;ProposalToGnatt[[#This Row],[Start Date]],AH$29&lt;ProposalToGnatt[[#This Row],[Start Date]]+ProposalToGnatt[[#This Row],[Days]]),$G$5,"")),"")</f>
        <v/>
      </c>
      <c r="AI35" s="37" t="str">
        <f ca="1">IFERROR(+IF(AI$29=ProposalToGnatt[[#This Row],[Start Date]],Milestone_Marker,IF(AND(AI$29&gt;ProposalToGnatt[[#This Row],[Start Date]],AI$29&lt;ProposalToGnatt[[#This Row],[Start Date]]+ProposalToGnatt[[#This Row],[Days]]),$G$5,"")),"")</f>
        <v/>
      </c>
      <c r="AJ35" s="37" t="str">
        <f ca="1">IFERROR(+IF(AJ$29=ProposalToGnatt[[#This Row],[Start Date]],Milestone_Marker,IF(AND(AJ$29&gt;ProposalToGnatt[[#This Row],[Start Date]],AJ$29&lt;ProposalToGnatt[[#This Row],[Start Date]]+ProposalToGnatt[[#This Row],[Days]]),$G$5,"")),"")</f>
        <v/>
      </c>
      <c r="AK35" s="37" t="str">
        <f ca="1">IFERROR(+IF(AK$29=ProposalToGnatt[[#This Row],[Start Date]],Milestone_Marker,IF(AND(AK$29&gt;ProposalToGnatt[[#This Row],[Start Date]],AK$29&lt;ProposalToGnatt[[#This Row],[Start Date]]+ProposalToGnatt[[#This Row],[Days]]),$G$5,"")),"")</f>
        <v/>
      </c>
      <c r="AL35" s="37" t="str">
        <f ca="1">IFERROR(+IF(AL$29=ProposalToGnatt[[#This Row],[Start Date]],Milestone_Marker,IF(AND(AL$29&gt;ProposalToGnatt[[#This Row],[Start Date]],AL$29&lt;ProposalToGnatt[[#This Row],[Start Date]]+ProposalToGnatt[[#This Row],[Days]]),$G$5,"")),"")</f>
        <v/>
      </c>
      <c r="AM35" s="37" t="str">
        <f ca="1">IFERROR(+IF(AM$29=ProposalToGnatt[[#This Row],[Start Date]],Milestone_Marker,IF(AND(AM$29&gt;ProposalToGnatt[[#This Row],[Start Date]],AM$29&lt;ProposalToGnatt[[#This Row],[Start Date]]+ProposalToGnatt[[#This Row],[Days]]),$G$5,"")),"")</f>
        <v/>
      </c>
      <c r="AN35" s="37" t="str">
        <f ca="1">IFERROR(+IF(AN$29=ProposalToGnatt[[#This Row],[Start Date]],Milestone_Marker,IF(AND(AN$29&gt;ProposalToGnatt[[#This Row],[Start Date]],AN$29&lt;ProposalToGnatt[[#This Row],[Start Date]]+ProposalToGnatt[[#This Row],[Days]]),$G$5,"")),"")</f>
        <v/>
      </c>
      <c r="AO35" s="37" t="str">
        <f ca="1">IFERROR(+IF(AO$29=ProposalToGnatt[[#This Row],[Start Date]],Milestone_Marker,IF(AND(AO$29&gt;ProposalToGnatt[[#This Row],[Start Date]],AO$29&lt;ProposalToGnatt[[#This Row],[Start Date]]+ProposalToGnatt[[#This Row],[Days]]),$G$5,"")),"")</f>
        <v/>
      </c>
      <c r="AP35" s="37" t="str">
        <f ca="1">IFERROR(+IF(AP$29=ProposalToGnatt[[#This Row],[Start Date]],Milestone_Marker,IF(AND(AP$29&gt;ProposalToGnatt[[#This Row],[Start Date]],AP$29&lt;ProposalToGnatt[[#This Row],[Start Date]]+ProposalToGnatt[[#This Row],[Days]]),$G$5,"")),"")</f>
        <v/>
      </c>
      <c r="AQ35" s="37" t="str">
        <f ca="1">IFERROR(+IF(AQ$29=ProposalToGnatt[[#This Row],[Start Date]],Milestone_Marker,IF(AND(AQ$29&gt;ProposalToGnatt[[#This Row],[Start Date]],AQ$29&lt;ProposalToGnatt[[#This Row],[Start Date]]+ProposalToGnatt[[#This Row],[Days]]),$G$5,"")),"")</f>
        <v/>
      </c>
      <c r="AR35" s="37" t="str">
        <f ca="1">IFERROR(+IF(AR$29=ProposalToGnatt[[#This Row],[Start Date]],Milestone_Marker,IF(AND(AR$29&gt;ProposalToGnatt[[#This Row],[Start Date]],AR$29&lt;ProposalToGnatt[[#This Row],[Start Date]]+ProposalToGnatt[[#This Row],[Days]]),$G$5,"")),"")</f>
        <v/>
      </c>
      <c r="AS35" s="37" t="str">
        <f ca="1">IFERROR(+IF(AS$29=ProposalToGnatt[[#This Row],[Start Date]],Milestone_Marker,IF(AND(AS$29&gt;ProposalToGnatt[[#This Row],[Start Date]],AS$29&lt;ProposalToGnatt[[#This Row],[Start Date]]+ProposalToGnatt[[#This Row],[Days]]),$G$5,"")),"")</f>
        <v/>
      </c>
      <c r="AT35" s="37" t="str">
        <f ca="1">IFERROR(+IF(AT$29=ProposalToGnatt[[#This Row],[Start Date]],Milestone_Marker,IF(AND(AT$29&gt;ProposalToGnatt[[#This Row],[Start Date]],AT$29&lt;ProposalToGnatt[[#This Row],[Start Date]]+ProposalToGnatt[[#This Row],[Days]]),$G$5,"")),"")</f>
        <v/>
      </c>
      <c r="AU35" s="37" t="str">
        <f ca="1">IFERROR(+IF(AU$29=ProposalToGnatt[[#This Row],[Start Date]],Milestone_Marker,IF(AND(AU$29&gt;ProposalToGnatt[[#This Row],[Start Date]],AU$29&lt;ProposalToGnatt[[#This Row],[Start Date]]+ProposalToGnatt[[#This Row],[Days]]),$G$5,"")),"")</f>
        <v/>
      </c>
      <c r="AV35" s="37" t="str">
        <f ca="1">IFERROR(+IF(AV$29=ProposalToGnatt[[#This Row],[Start Date]],Milestone_Marker,IF(AND(AV$29&gt;ProposalToGnatt[[#This Row],[Start Date]],AV$29&lt;ProposalToGnatt[[#This Row],[Start Date]]+ProposalToGnatt[[#This Row],[Days]]),$G$5,"")),"")</f>
        <v/>
      </c>
      <c r="AW35" s="37" t="str">
        <f ca="1">IFERROR(+IF(AW$29=ProposalToGnatt[[#This Row],[Start Date]],Milestone_Marker,IF(AND(AW$29&gt;ProposalToGnatt[[#This Row],[Start Date]],AW$29&lt;ProposalToGnatt[[#This Row],[Start Date]]+ProposalToGnatt[[#This Row],[Days]]),$G$5,"")),"")</f>
        <v/>
      </c>
      <c r="AX35" s="37" t="str">
        <f ca="1">IFERROR(+IF(AX$29=ProposalToGnatt[[#This Row],[Start Date]],Milestone_Marker,IF(AND(AX$29&gt;ProposalToGnatt[[#This Row],[Start Date]],AX$29&lt;ProposalToGnatt[[#This Row],[Start Date]]+ProposalToGnatt[[#This Row],[Days]]),$G$5,"")),"")</f>
        <v/>
      </c>
      <c r="AY35" s="37" t="str">
        <f ca="1">IFERROR(+IF(AY$29=ProposalToGnatt[[#This Row],[Start Date]],Milestone_Marker,IF(AND(AY$29&gt;ProposalToGnatt[[#This Row],[Start Date]],AY$29&lt;ProposalToGnatt[[#This Row],[Start Date]]+ProposalToGnatt[[#This Row],[Days]]),$G$5,"")),"")</f>
        <v/>
      </c>
      <c r="AZ35" s="37" t="str">
        <f ca="1">IFERROR(+IF(AZ$29=ProposalToGnatt[[#This Row],[Start Date]],Milestone_Marker,IF(AND(AZ$29&gt;ProposalToGnatt[[#This Row],[Start Date]],AZ$29&lt;ProposalToGnatt[[#This Row],[Start Date]]+ProposalToGnatt[[#This Row],[Days]]),$G$5,"")),"")</f>
        <v/>
      </c>
      <c r="BA35" s="37" t="str">
        <f ca="1">IFERROR(+IF(BA$29=ProposalToGnatt[[#This Row],[Start Date]],Milestone_Marker,IF(AND(BA$29&gt;ProposalToGnatt[[#This Row],[Start Date]],BA$29&lt;ProposalToGnatt[[#This Row],[Start Date]]+ProposalToGnatt[[#This Row],[Days]]),$G$5,"")),"")</f>
        <v/>
      </c>
      <c r="BB35" s="37" t="str">
        <f ca="1">IFERROR(+IF(BB$29=ProposalToGnatt[[#This Row],[Start Date]],Milestone_Marker,IF(AND(BB$29&gt;ProposalToGnatt[[#This Row],[Start Date]],BB$29&lt;ProposalToGnatt[[#This Row],[Start Date]]+ProposalToGnatt[[#This Row],[Days]]),$G$5,"")),"")</f>
        <v/>
      </c>
      <c r="BC35" s="37" t="str">
        <f ca="1">IFERROR(+IF(BC$29=ProposalToGnatt[[#This Row],[Start Date]],Milestone_Marker,IF(AND(BC$29&gt;ProposalToGnatt[[#This Row],[Start Date]],BC$29&lt;ProposalToGnatt[[#This Row],[Start Date]]+ProposalToGnatt[[#This Row],[Days]]),$G$5,"")),"")</f>
        <v/>
      </c>
      <c r="BD35" s="37" t="str">
        <f ca="1">IFERROR(+IF(BD$29=ProposalToGnatt[[#This Row],[Start Date]],Milestone_Marker,IF(AND(BD$29&gt;ProposalToGnatt[[#This Row],[Start Date]],BD$29&lt;ProposalToGnatt[[#This Row],[Start Date]]+ProposalToGnatt[[#This Row],[Days]]),$G$5,"")),"")</f>
        <v/>
      </c>
      <c r="BE35" s="37" t="str">
        <f ca="1">IFERROR(+IF(BE$29=ProposalToGnatt[[#This Row],[Start Date]],Milestone_Marker,IF(AND(BE$29&gt;ProposalToGnatt[[#This Row],[Start Date]],BE$29&lt;ProposalToGnatt[[#This Row],[Start Date]]+ProposalToGnatt[[#This Row],[Days]]),$G$5,"")),"")</f>
        <v/>
      </c>
      <c r="BF35" s="37" t="str">
        <f ca="1">IFERROR(+IF(BF$29=ProposalToGnatt[[#This Row],[Start Date]],Milestone_Marker,IF(AND(BF$29&gt;ProposalToGnatt[[#This Row],[Start Date]],BF$29&lt;ProposalToGnatt[[#This Row],[Start Date]]+ProposalToGnatt[[#This Row],[Days]]),$G$5,"")),"")</f>
        <v/>
      </c>
      <c r="BG35" s="37" t="str">
        <f ca="1">IFERROR(+IF(BG$29=ProposalToGnatt[[#This Row],[Start Date]],Milestone_Marker,IF(AND(BG$29&gt;ProposalToGnatt[[#This Row],[Start Date]],BG$29&lt;ProposalToGnatt[[#This Row],[Start Date]]+ProposalToGnatt[[#This Row],[Days]]),$G$5,"")),"")</f>
        <v/>
      </c>
      <c r="BH35" s="37" t="str">
        <f ca="1">IFERROR(+IF(BH$29=ProposalToGnatt[[#This Row],[Start Date]],Milestone_Marker,IF(AND(BH$29&gt;ProposalToGnatt[[#This Row],[Start Date]],BH$29&lt;ProposalToGnatt[[#This Row],[Start Date]]+ProposalToGnatt[[#This Row],[Days]]),$G$5,"")),"")</f>
        <v/>
      </c>
      <c r="BI35" s="37" t="str">
        <f ca="1">IFERROR(+IF(BI$29=ProposalToGnatt[[#This Row],[Start Date]],Milestone_Marker,IF(AND(BI$29&gt;ProposalToGnatt[[#This Row],[Start Date]],BI$29&lt;ProposalToGnatt[[#This Row],[Start Date]]+ProposalToGnatt[[#This Row],[Days]]),$G$5,"")),"")</f>
        <v/>
      </c>
      <c r="BJ35" s="37" t="str">
        <f ca="1">IFERROR(+IF(BJ$29=ProposalToGnatt[[#This Row],[Start Date]],Milestone_Marker,IF(AND(BJ$29&gt;ProposalToGnatt[[#This Row],[Start Date]],BJ$29&lt;ProposalToGnatt[[#This Row],[Start Date]]+ProposalToGnatt[[#This Row],[Days]]),$G$5,"")),"")</f>
        <v/>
      </c>
      <c r="BK35" s="37" t="str">
        <f ca="1">IFERROR(+IF(BK$29=ProposalToGnatt[[#This Row],[Start Date]],Milestone_Marker,IF(AND(BK$29&gt;ProposalToGnatt[[#This Row],[Start Date]],BK$29&lt;ProposalToGnatt[[#This Row],[Start Date]]+ProposalToGnatt[[#This Row],[Days]]),$G$5,"")),"")</f>
        <v/>
      </c>
      <c r="BL35" s="37" t="str">
        <f ca="1">IFERROR(+IF(BL$29=ProposalToGnatt[[#This Row],[Start Date]],Milestone_Marker,IF(AND(BL$29&gt;ProposalToGnatt[[#This Row],[Start Date]],BL$29&lt;ProposalToGnatt[[#This Row],[Start Date]]+ProposalToGnatt[[#This Row],[Days]]),$G$5,"")),"")</f>
        <v/>
      </c>
      <c r="BM35" s="37" t="str">
        <f ca="1">IFERROR(+IF(BM$29=ProposalToGnatt[[#This Row],[Start Date]],Milestone_Marker,IF(AND(BM$29&gt;ProposalToGnatt[[#This Row],[Start Date]],BM$29&lt;ProposalToGnatt[[#This Row],[Start Date]]+ProposalToGnatt[[#This Row],[Days]]),$G$5,"")),"")</f>
        <v/>
      </c>
      <c r="BN35" s="37" t="str">
        <f ca="1">IFERROR(+IF(BN$29=ProposalToGnatt[[#This Row],[Start Date]],Milestone_Marker,IF(AND(BN$29&gt;ProposalToGnatt[[#This Row],[Start Date]],BN$29&lt;ProposalToGnatt[[#This Row],[Start Date]]+ProposalToGnatt[[#This Row],[Days]]),$G$5,"")),"")</f>
        <v/>
      </c>
      <c r="BO35" s="37" t="str">
        <f ca="1">IFERROR(+IF(BO$29=ProposalToGnatt[[#This Row],[Start Date]],Milestone_Marker,IF(AND(BO$29&gt;ProposalToGnatt[[#This Row],[Start Date]],BO$29&lt;ProposalToGnatt[[#This Row],[Start Date]]+ProposalToGnatt[[#This Row],[Days]]),$G$5,"")),"")</f>
        <v/>
      </c>
      <c r="BP35" s="37" t="str">
        <f ca="1">IFERROR(+IF(BP$29=ProposalToGnatt[[#This Row],[Start Date]],Milestone_Marker,IF(AND(BP$29&gt;ProposalToGnatt[[#This Row],[Start Date]],BP$29&lt;ProposalToGnatt[[#This Row],[Start Date]]+ProposalToGnatt[[#This Row],[Days]]),$G$5,"")),"")</f>
        <v/>
      </c>
      <c r="BQ35" s="37" t="str">
        <f ca="1">IFERROR(+IF(BQ$29=ProposalToGnatt[[#This Row],[Start Date]],Milestone_Marker,IF(AND(BQ$29&gt;ProposalToGnatt[[#This Row],[Start Date]],BQ$29&lt;ProposalToGnatt[[#This Row],[Start Date]]+ProposalToGnatt[[#This Row],[Days]]),$G$5,"")),"")</f>
        <v/>
      </c>
      <c r="BR35" s="37" t="str">
        <f ca="1">IFERROR(+IF(BR$29=ProposalToGnatt[[#This Row],[Start Date]],Milestone_Marker,IF(AND(BR$29&gt;ProposalToGnatt[[#This Row],[Start Date]],BR$29&lt;ProposalToGnatt[[#This Row],[Start Date]]+ProposalToGnatt[[#This Row],[Days]]),$G$5,"")),"")</f>
        <v/>
      </c>
      <c r="BS35" s="37" t="str">
        <f ca="1">IFERROR(+IF(BS$29=ProposalToGnatt[[#This Row],[Start Date]],Milestone_Marker,IF(AND(BS$29&gt;ProposalToGnatt[[#This Row],[Start Date]],BS$29&lt;ProposalToGnatt[[#This Row],[Start Date]]+ProposalToGnatt[[#This Row],[Days]]),$G$5,"")),"")</f>
        <v/>
      </c>
      <c r="BT35" s="37" t="str">
        <f ca="1">IFERROR(+IF(BT$29=ProposalToGnatt[[#This Row],[Start Date]],Milestone_Marker,IF(AND(BT$29&gt;ProposalToGnatt[[#This Row],[Start Date]],BT$29&lt;ProposalToGnatt[[#This Row],[Start Date]]+ProposalToGnatt[[#This Row],[Days]]),$G$5,"")),"")</f>
        <v/>
      </c>
      <c r="BU35" s="37" t="str">
        <f ca="1">IFERROR(+IF(BU$29=ProposalToGnatt[[#This Row],[Start Date]],Milestone_Marker,IF(AND(BU$29&gt;ProposalToGnatt[[#This Row],[Start Date]],BU$29&lt;ProposalToGnatt[[#This Row],[Start Date]]+ProposalToGnatt[[#This Row],[Days]]),$G$5,"")),"")</f>
        <v/>
      </c>
      <c r="BV35" s="37" t="str">
        <f ca="1">IFERROR(+IF(BV$29=ProposalToGnatt[[#This Row],[Start Date]],Milestone_Marker,IF(AND(BV$29&gt;ProposalToGnatt[[#This Row],[Start Date]],BV$29&lt;ProposalToGnatt[[#This Row],[Start Date]]+ProposalToGnatt[[#This Row],[Days]]),$G$5,"")),"")</f>
        <v/>
      </c>
      <c r="BW35" s="37" t="str">
        <f ca="1">IFERROR(+IF(BW$29=ProposalToGnatt[[#This Row],[Start Date]],Milestone_Marker,IF(AND(BW$29&gt;ProposalToGnatt[[#This Row],[Start Date]],BW$29&lt;ProposalToGnatt[[#This Row],[Start Date]]+ProposalToGnatt[[#This Row],[Days]]),$G$5,"")),"")</f>
        <v/>
      </c>
      <c r="BX35" s="37" t="str">
        <f ca="1">IFERROR(+IF(BX$29=ProposalToGnatt[[#This Row],[Start Date]],Milestone_Marker,IF(AND(BX$29&gt;ProposalToGnatt[[#This Row],[Start Date]],BX$29&lt;ProposalToGnatt[[#This Row],[Start Date]]+ProposalToGnatt[[#This Row],[Days]]),$G$5,"")),"")</f>
        <v/>
      </c>
      <c r="BY35" s="37" t="str">
        <f ca="1">IFERROR(+IF(BY$29=ProposalToGnatt[[#This Row],[Start Date]],Milestone_Marker,IF(AND(BY$29&gt;ProposalToGnatt[[#This Row],[Start Date]],BY$29&lt;ProposalToGnatt[[#This Row],[Start Date]]+ProposalToGnatt[[#This Row],[Days]]),$G$5,"")),"")</f>
        <v/>
      </c>
      <c r="BZ35" s="37" t="str">
        <f ca="1">IFERROR(+IF(BZ$29=ProposalToGnatt[[#This Row],[Start Date]],Milestone_Marker,IF(AND(BZ$29&gt;ProposalToGnatt[[#This Row],[Start Date]],BZ$29&lt;ProposalToGnatt[[#This Row],[Start Date]]+ProposalToGnatt[[#This Row],[Days]]),$G$5,"")),"")</f>
        <v/>
      </c>
      <c r="CA35" s="37" t="str">
        <f ca="1">IFERROR(+IF(CA$29=ProposalToGnatt[[#This Row],[Start Date]],Milestone_Marker,IF(AND(CA$29&gt;ProposalToGnatt[[#This Row],[Start Date]],CA$29&lt;ProposalToGnatt[[#This Row],[Start Date]]+ProposalToGnatt[[#This Row],[Days]]),$G$5,"")),"")</f>
        <v/>
      </c>
      <c r="CB35" s="37" t="str">
        <f ca="1">IFERROR(+IF(CB$29=ProposalToGnatt[[#This Row],[Start Date]],Milestone_Marker,IF(AND(CB$29&gt;ProposalToGnatt[[#This Row],[Start Date]],CB$29&lt;ProposalToGnatt[[#This Row],[Start Date]]+ProposalToGnatt[[#This Row],[Days]]),$G$5,"")),"")</f>
        <v/>
      </c>
      <c r="CC35" s="37" t="str">
        <f ca="1">IFERROR(+IF(CC$29=ProposalToGnatt[[#This Row],[Start Date]],Milestone_Marker,IF(AND(CC$29&gt;ProposalToGnatt[[#This Row],[Start Date]],CC$29&lt;ProposalToGnatt[[#This Row],[Start Date]]+ProposalToGnatt[[#This Row],[Days]]),$G$5,"")),"")</f>
        <v/>
      </c>
      <c r="CD35" s="37" t="str">
        <f ca="1">IFERROR(+IF(CD$29=ProposalToGnatt[[#This Row],[Start Date]],Milestone_Marker,IF(AND(CD$29&gt;ProposalToGnatt[[#This Row],[Start Date]],CD$29&lt;ProposalToGnatt[[#This Row],[Start Date]]+ProposalToGnatt[[#This Row],[Days]]),$G$5,"")),"")</f>
        <v/>
      </c>
      <c r="CE35" s="37" t="str">
        <f ca="1">IFERROR(+IF(CE$29=ProposalToGnatt[[#This Row],[Start Date]],Milestone_Marker,IF(AND(CE$29&gt;ProposalToGnatt[[#This Row],[Start Date]],CE$29&lt;ProposalToGnatt[[#This Row],[Start Date]]+ProposalToGnatt[[#This Row],[Days]]),$G$5,"")),"")</f>
        <v/>
      </c>
      <c r="CF35" s="37" t="str">
        <f ca="1">IFERROR(+IF(CF$29=ProposalToGnatt[[#This Row],[Start Date]],Milestone_Marker,IF(AND(CF$29&gt;ProposalToGnatt[[#This Row],[Start Date]],CF$29&lt;ProposalToGnatt[[#This Row],[Start Date]]+ProposalToGnatt[[#This Row],[Days]]),$G$5,"")),"")</f>
        <v/>
      </c>
      <c r="CG35" s="37" t="str">
        <f ca="1">IFERROR(+IF(CG$29=ProposalToGnatt[[#This Row],[Start Date]],Milestone_Marker,IF(AND(CG$29&gt;ProposalToGnatt[[#This Row],[Start Date]],CG$29&lt;ProposalToGnatt[[#This Row],[Start Date]]+ProposalToGnatt[[#This Row],[Days]]),$G$5,"")),"")</f>
        <v/>
      </c>
      <c r="CH35" s="37" t="str">
        <f ca="1">IFERROR(+IF(CH$29=ProposalToGnatt[[#This Row],[Start Date]],Milestone_Marker,IF(AND(CH$29&gt;ProposalToGnatt[[#This Row],[Start Date]],CH$29&lt;ProposalToGnatt[[#This Row],[Start Date]]+ProposalToGnatt[[#This Row],[Days]]),$G$5,"")),"")</f>
        <v/>
      </c>
      <c r="CI35" s="37" t="str">
        <f ca="1">IFERROR(+IF(CI$29=ProposalToGnatt[[#This Row],[Start Date]],Milestone_Marker,IF(AND(CI$29&gt;ProposalToGnatt[[#This Row],[Start Date]],CI$29&lt;ProposalToGnatt[[#This Row],[Start Date]]+ProposalToGnatt[[#This Row],[Days]]),$G$5,"")),"")</f>
        <v/>
      </c>
      <c r="CJ35" s="37" t="str">
        <f ca="1">IFERROR(+IF(CJ$29=ProposalToGnatt[[#This Row],[Start Date]],Milestone_Marker,IF(AND(CJ$29&gt;ProposalToGnatt[[#This Row],[Start Date]],CJ$29&lt;ProposalToGnatt[[#This Row],[Start Date]]+ProposalToGnatt[[#This Row],[Days]]),$G$5,"")),"")</f>
        <v/>
      </c>
      <c r="CK35" s="37" t="str">
        <f ca="1">IFERROR(+IF(CK$29=ProposalToGnatt[[#This Row],[Start Date]],Milestone_Marker,IF(AND(CK$29&gt;ProposalToGnatt[[#This Row],[Start Date]],CK$29&lt;ProposalToGnatt[[#This Row],[Start Date]]+ProposalToGnatt[[#This Row],[Days]]),$G$5,"")),"")</f>
        <v/>
      </c>
      <c r="CL35" s="37" t="str">
        <f ca="1">IFERROR(+IF(CL$29=ProposalToGnatt[[#This Row],[Start Date]],Milestone_Marker,IF(AND(CL$29&gt;ProposalToGnatt[[#This Row],[Start Date]],CL$29&lt;ProposalToGnatt[[#This Row],[Start Date]]+ProposalToGnatt[[#This Row],[Days]]),$G$5,"")),"")</f>
        <v/>
      </c>
      <c r="CM35" s="37" t="str">
        <f ca="1">IFERROR(+IF(CM$29=ProposalToGnatt[[#This Row],[Start Date]],Milestone_Marker,IF(AND(CM$29&gt;ProposalToGnatt[[#This Row],[Start Date]],CM$29&lt;ProposalToGnatt[[#This Row],[Start Date]]+ProposalToGnatt[[#This Row],[Days]]),$G$5,"")),"")</f>
        <v/>
      </c>
      <c r="CN35" s="37" t="str">
        <f ca="1">IFERROR(+IF(CN$29=ProposalToGnatt[[#This Row],[Start Date]],Milestone_Marker,IF(AND(CN$29&gt;ProposalToGnatt[[#This Row],[Start Date]],CN$29&lt;ProposalToGnatt[[#This Row],[Start Date]]+ProposalToGnatt[[#This Row],[Days]]),$G$5,"")),"")</f>
        <v/>
      </c>
      <c r="CO35" s="37" t="str">
        <f ca="1">IFERROR(+IF(CO$29=ProposalToGnatt[[#This Row],[Start Date]],Milestone_Marker,IF(AND(CO$29&gt;ProposalToGnatt[[#This Row],[Start Date]],CO$29&lt;ProposalToGnatt[[#This Row],[Start Date]]+ProposalToGnatt[[#This Row],[Days]]),$G$5,"")),"")</f>
        <v/>
      </c>
      <c r="CP35" s="37" t="str">
        <f ca="1">IFERROR(+IF(CP$29=ProposalToGnatt[[#This Row],[Start Date]],Milestone_Marker,IF(AND(CP$29&gt;ProposalToGnatt[[#This Row],[Start Date]],CP$29&lt;ProposalToGnatt[[#This Row],[Start Date]]+ProposalToGnatt[[#This Row],[Days]]),$G$5,"")),"")</f>
        <v/>
      </c>
      <c r="CQ35" s="37" t="str">
        <f ca="1">IFERROR(+IF(CQ$29=ProposalToGnatt[[#This Row],[Start Date]],Milestone_Marker,IF(AND(CQ$29&gt;ProposalToGnatt[[#This Row],[Start Date]],CQ$29&lt;ProposalToGnatt[[#This Row],[Start Date]]+ProposalToGnatt[[#This Row],[Days]]),$G$5,"")),"")</f>
        <v/>
      </c>
      <c r="CR35" s="37" t="str">
        <f ca="1">IFERROR(+IF(CR$29=ProposalToGnatt[[#This Row],[Start Date]],Milestone_Marker,IF(AND(CR$29&gt;ProposalToGnatt[[#This Row],[Start Date]],CR$29&lt;ProposalToGnatt[[#This Row],[Start Date]]+ProposalToGnatt[[#This Row],[Days]]),$G$5,"")),"")</f>
        <v/>
      </c>
      <c r="CS35" s="37" t="str">
        <f ca="1">IFERROR(+IF(CS$29=ProposalToGnatt[[#This Row],[Start Date]],Milestone_Marker,IF(AND(CS$29&gt;ProposalToGnatt[[#This Row],[Start Date]],CS$29&lt;ProposalToGnatt[[#This Row],[Start Date]]+ProposalToGnatt[[#This Row],[Days]]),$G$5,"")),"")</f>
        <v/>
      </c>
      <c r="CT35" s="37" t="str">
        <f ca="1">IFERROR(+IF(CT$29=ProposalToGnatt[[#This Row],[Start Date]],Milestone_Marker,IF(AND(CT$29&gt;ProposalToGnatt[[#This Row],[Start Date]],CT$29&lt;ProposalToGnatt[[#This Row],[Start Date]]+ProposalToGnatt[[#This Row],[Days]]),$G$5,"")),"")</f>
        <v/>
      </c>
      <c r="CU35" s="37" t="str">
        <f ca="1">IFERROR(+IF(CU$29=ProposalToGnatt[[#This Row],[Start Date]],Milestone_Marker,IF(AND(CU$29&gt;ProposalToGnatt[[#This Row],[Start Date]],CU$29&lt;ProposalToGnatt[[#This Row],[Start Date]]+ProposalToGnatt[[#This Row],[Days]]),$G$5,"")),"")</f>
        <v/>
      </c>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row>
    <row r="36" spans="1:125" s="42" customFormat="1" ht="20.100000000000001" customHeight="1">
      <c r="A36" t="s">
        <v>437</v>
      </c>
      <c r="B36">
        <v>7</v>
      </c>
      <c r="C36" t="s">
        <v>351</v>
      </c>
      <c r="D36" t="s">
        <v>348</v>
      </c>
      <c r="E36" t="s">
        <v>352</v>
      </c>
      <c r="F36">
        <v>0</v>
      </c>
      <c r="G36" s="11">
        <v>200</v>
      </c>
      <c r="H36" s="26">
        <v>0</v>
      </c>
      <c r="I36"/>
      <c r="J36"/>
      <c r="K36" s="363"/>
      <c r="L36"/>
      <c r="M36"/>
      <c r="N36"/>
      <c r="O36" s="26"/>
      <c r="P36" s="37">
        <f ca="1">IFERROR(+IF(P$29=ProposalToGnatt[[#This Row],[Start Date]],Milestone_Marker,IF(AND(P$29&gt;ProposalToGnatt[[#This Row],[Start Date]],P$29&lt;ProposalToGnatt[[#This Row],[Start Date]]+ProposalToGnatt[[#This Row],[Days]]),$G$5,"")),"")</f>
        <v>1</v>
      </c>
      <c r="Q36" s="37" t="str">
        <f ca="1">IFERROR(+IF(Q$29=ProposalToGnatt[[#This Row],[Start Date]],Milestone_Marker,IF(AND(Q$29&gt;ProposalToGnatt[[#This Row],[Start Date]],Q$29&lt;ProposalToGnatt[[#This Row],[Start Date]]+ProposalToGnatt[[#This Row],[Days]]),$G$5,"")),"")</f>
        <v/>
      </c>
      <c r="R36" s="37" t="str">
        <f ca="1">IFERROR(+IF(R$29=ProposalToGnatt[[#This Row],[Start Date]],Milestone_Marker,IF(AND(R$29&gt;ProposalToGnatt[[#This Row],[Start Date]],R$29&lt;ProposalToGnatt[[#This Row],[Start Date]]+ProposalToGnatt[[#This Row],[Days]]),$G$5,"")),"")</f>
        <v/>
      </c>
      <c r="S36" s="37" t="str">
        <f ca="1">IFERROR(+IF(S$29=ProposalToGnatt[[#This Row],[Start Date]],Milestone_Marker,IF(AND(S$29&gt;ProposalToGnatt[[#This Row],[Start Date]],S$29&lt;ProposalToGnatt[[#This Row],[Start Date]]+ProposalToGnatt[[#This Row],[Days]]),$G$5,"")),"")</f>
        <v/>
      </c>
      <c r="T36" s="37" t="str">
        <f ca="1">IFERROR(+IF(T$29=ProposalToGnatt[[#This Row],[Start Date]],Milestone_Marker,IF(AND(T$29&gt;ProposalToGnatt[[#This Row],[Start Date]],T$29&lt;ProposalToGnatt[[#This Row],[Start Date]]+ProposalToGnatt[[#This Row],[Days]]),$G$5,"")),"")</f>
        <v/>
      </c>
      <c r="U36" s="37" t="str">
        <f ca="1">IFERROR(+IF(U$29=ProposalToGnatt[[#This Row],[Start Date]],Milestone_Marker,IF(AND(U$29&gt;ProposalToGnatt[[#This Row],[Start Date]],U$29&lt;ProposalToGnatt[[#This Row],[Start Date]]+ProposalToGnatt[[#This Row],[Days]]),$G$5,"")),"")</f>
        <v/>
      </c>
      <c r="V36" s="37" t="str">
        <f ca="1">IFERROR(+IF(V$29=ProposalToGnatt[[#This Row],[Start Date]],Milestone_Marker,IF(AND(V$29&gt;ProposalToGnatt[[#This Row],[Start Date]],V$29&lt;ProposalToGnatt[[#This Row],[Start Date]]+ProposalToGnatt[[#This Row],[Days]]),$G$5,"")),"")</f>
        <v/>
      </c>
      <c r="W36" s="37" t="str">
        <f ca="1">IFERROR(+IF(W$29=ProposalToGnatt[[#This Row],[Start Date]],Milestone_Marker,IF(AND(W$29&gt;ProposalToGnatt[[#This Row],[Start Date]],W$29&lt;ProposalToGnatt[[#This Row],[Start Date]]+ProposalToGnatt[[#This Row],[Days]]),$G$5,"")),"")</f>
        <v/>
      </c>
      <c r="X36" s="37" t="str">
        <f ca="1">IFERROR(+IF(X$29=ProposalToGnatt[[#This Row],[Start Date]],Milestone_Marker,IF(AND(X$29&gt;ProposalToGnatt[[#This Row],[Start Date]],X$29&lt;ProposalToGnatt[[#This Row],[Start Date]]+ProposalToGnatt[[#This Row],[Days]]),$G$5,"")),"")</f>
        <v/>
      </c>
      <c r="Y36" s="37" t="str">
        <f ca="1">IFERROR(+IF(Y$29=ProposalToGnatt[[#This Row],[Start Date]],Milestone_Marker,IF(AND(Y$29&gt;ProposalToGnatt[[#This Row],[Start Date]],Y$29&lt;ProposalToGnatt[[#This Row],[Start Date]]+ProposalToGnatt[[#This Row],[Days]]),$G$5,"")),"")</f>
        <v/>
      </c>
      <c r="Z36" s="37" t="str">
        <f ca="1">IFERROR(+IF(Z$29=ProposalToGnatt[[#This Row],[Start Date]],Milestone_Marker,IF(AND(Z$29&gt;ProposalToGnatt[[#This Row],[Start Date]],Z$29&lt;ProposalToGnatt[[#This Row],[Start Date]]+ProposalToGnatt[[#This Row],[Days]]),$G$5,"")),"")</f>
        <v/>
      </c>
      <c r="AA36" s="37" t="str">
        <f ca="1">IFERROR(+IF(AA$29=ProposalToGnatt[[#This Row],[Start Date]],Milestone_Marker,IF(AND(AA$29&gt;ProposalToGnatt[[#This Row],[Start Date]],AA$29&lt;ProposalToGnatt[[#This Row],[Start Date]]+ProposalToGnatt[[#This Row],[Days]]),$G$5,"")),"")</f>
        <v/>
      </c>
      <c r="AB36" s="37" t="str">
        <f ca="1">IFERROR(+IF(AB$29=ProposalToGnatt[[#This Row],[Start Date]],Milestone_Marker,IF(AND(AB$29&gt;ProposalToGnatt[[#This Row],[Start Date]],AB$29&lt;ProposalToGnatt[[#This Row],[Start Date]]+ProposalToGnatt[[#This Row],[Days]]),$G$5,"")),"")</f>
        <v/>
      </c>
      <c r="AC36" s="37" t="str">
        <f ca="1">IFERROR(+IF(AC$29=ProposalToGnatt[[#This Row],[Start Date]],Milestone_Marker,IF(AND(AC$29&gt;ProposalToGnatt[[#This Row],[Start Date]],AC$29&lt;ProposalToGnatt[[#This Row],[Start Date]]+ProposalToGnatt[[#This Row],[Days]]),$G$5,"")),"")</f>
        <v/>
      </c>
      <c r="AD36" s="37" t="str">
        <f ca="1">IFERROR(+IF(AD$29=ProposalToGnatt[[#This Row],[Start Date]],Milestone_Marker,IF(AND(AD$29&gt;ProposalToGnatt[[#This Row],[Start Date]],AD$29&lt;ProposalToGnatt[[#This Row],[Start Date]]+ProposalToGnatt[[#This Row],[Days]]),$G$5,"")),"")</f>
        <v/>
      </c>
      <c r="AE36" s="37" t="str">
        <f ca="1">IFERROR(+IF(AE$29=ProposalToGnatt[[#This Row],[Start Date]],Milestone_Marker,IF(AND(AE$29&gt;ProposalToGnatt[[#This Row],[Start Date]],AE$29&lt;ProposalToGnatt[[#This Row],[Start Date]]+ProposalToGnatt[[#This Row],[Days]]),$G$5,"")),"")</f>
        <v/>
      </c>
      <c r="AF36" s="37" t="str">
        <f ca="1">IFERROR(+IF(AF$29=ProposalToGnatt[[#This Row],[Start Date]],Milestone_Marker,IF(AND(AF$29&gt;ProposalToGnatt[[#This Row],[Start Date]],AF$29&lt;ProposalToGnatt[[#This Row],[Start Date]]+ProposalToGnatt[[#This Row],[Days]]),$G$5,"")),"")</f>
        <v/>
      </c>
      <c r="AG36" s="37" t="str">
        <f ca="1">IFERROR(+IF(AG$29=ProposalToGnatt[[#This Row],[Start Date]],Milestone_Marker,IF(AND(AG$29&gt;ProposalToGnatt[[#This Row],[Start Date]],AG$29&lt;ProposalToGnatt[[#This Row],[Start Date]]+ProposalToGnatt[[#This Row],[Days]]),$G$5,"")),"")</f>
        <v/>
      </c>
      <c r="AH36" s="37" t="str">
        <f ca="1">IFERROR(+IF(AH$29=ProposalToGnatt[[#This Row],[Start Date]],Milestone_Marker,IF(AND(AH$29&gt;ProposalToGnatt[[#This Row],[Start Date]],AH$29&lt;ProposalToGnatt[[#This Row],[Start Date]]+ProposalToGnatt[[#This Row],[Days]]),$G$5,"")),"")</f>
        <v/>
      </c>
      <c r="AI36" s="37" t="str">
        <f ca="1">IFERROR(+IF(AI$29=ProposalToGnatt[[#This Row],[Start Date]],Milestone_Marker,IF(AND(AI$29&gt;ProposalToGnatt[[#This Row],[Start Date]],AI$29&lt;ProposalToGnatt[[#This Row],[Start Date]]+ProposalToGnatt[[#This Row],[Days]]),$G$5,"")),"")</f>
        <v/>
      </c>
      <c r="AJ36" s="37" t="str">
        <f ca="1">IFERROR(+IF(AJ$29=ProposalToGnatt[[#This Row],[Start Date]],Milestone_Marker,IF(AND(AJ$29&gt;ProposalToGnatt[[#This Row],[Start Date]],AJ$29&lt;ProposalToGnatt[[#This Row],[Start Date]]+ProposalToGnatt[[#This Row],[Days]]),$G$5,"")),"")</f>
        <v/>
      </c>
      <c r="AK36" s="37" t="str">
        <f ca="1">IFERROR(+IF(AK$29=ProposalToGnatt[[#This Row],[Start Date]],Milestone_Marker,IF(AND(AK$29&gt;ProposalToGnatt[[#This Row],[Start Date]],AK$29&lt;ProposalToGnatt[[#This Row],[Start Date]]+ProposalToGnatt[[#This Row],[Days]]),$G$5,"")),"")</f>
        <v/>
      </c>
      <c r="AL36" s="37" t="str">
        <f ca="1">IFERROR(+IF(AL$29=ProposalToGnatt[[#This Row],[Start Date]],Milestone_Marker,IF(AND(AL$29&gt;ProposalToGnatt[[#This Row],[Start Date]],AL$29&lt;ProposalToGnatt[[#This Row],[Start Date]]+ProposalToGnatt[[#This Row],[Days]]),$G$5,"")),"")</f>
        <v/>
      </c>
      <c r="AM36" s="37" t="str">
        <f ca="1">IFERROR(+IF(AM$29=ProposalToGnatt[[#This Row],[Start Date]],Milestone_Marker,IF(AND(AM$29&gt;ProposalToGnatt[[#This Row],[Start Date]],AM$29&lt;ProposalToGnatt[[#This Row],[Start Date]]+ProposalToGnatt[[#This Row],[Days]]),$G$5,"")),"")</f>
        <v/>
      </c>
      <c r="AN36" s="37" t="str">
        <f ca="1">IFERROR(+IF(AN$29=ProposalToGnatt[[#This Row],[Start Date]],Milestone_Marker,IF(AND(AN$29&gt;ProposalToGnatt[[#This Row],[Start Date]],AN$29&lt;ProposalToGnatt[[#This Row],[Start Date]]+ProposalToGnatt[[#This Row],[Days]]),$G$5,"")),"")</f>
        <v/>
      </c>
      <c r="AO36" s="37" t="str">
        <f ca="1">IFERROR(+IF(AO$29=ProposalToGnatt[[#This Row],[Start Date]],Milestone_Marker,IF(AND(AO$29&gt;ProposalToGnatt[[#This Row],[Start Date]],AO$29&lt;ProposalToGnatt[[#This Row],[Start Date]]+ProposalToGnatt[[#This Row],[Days]]),$G$5,"")),"")</f>
        <v/>
      </c>
      <c r="AP36" s="37" t="str">
        <f ca="1">IFERROR(+IF(AP$29=ProposalToGnatt[[#This Row],[Start Date]],Milestone_Marker,IF(AND(AP$29&gt;ProposalToGnatt[[#This Row],[Start Date]],AP$29&lt;ProposalToGnatt[[#This Row],[Start Date]]+ProposalToGnatt[[#This Row],[Days]]),$G$5,"")),"")</f>
        <v/>
      </c>
      <c r="AQ36" s="37" t="str">
        <f ca="1">IFERROR(+IF(AQ$29=ProposalToGnatt[[#This Row],[Start Date]],Milestone_Marker,IF(AND(AQ$29&gt;ProposalToGnatt[[#This Row],[Start Date]],AQ$29&lt;ProposalToGnatt[[#This Row],[Start Date]]+ProposalToGnatt[[#This Row],[Days]]),$G$5,"")),"")</f>
        <v/>
      </c>
      <c r="AR36" s="37" t="str">
        <f ca="1">IFERROR(+IF(AR$29=ProposalToGnatt[[#This Row],[Start Date]],Milestone_Marker,IF(AND(AR$29&gt;ProposalToGnatt[[#This Row],[Start Date]],AR$29&lt;ProposalToGnatt[[#This Row],[Start Date]]+ProposalToGnatt[[#This Row],[Days]]),$G$5,"")),"")</f>
        <v/>
      </c>
      <c r="AS36" s="37" t="str">
        <f ca="1">IFERROR(+IF(AS$29=ProposalToGnatt[[#This Row],[Start Date]],Milestone_Marker,IF(AND(AS$29&gt;ProposalToGnatt[[#This Row],[Start Date]],AS$29&lt;ProposalToGnatt[[#This Row],[Start Date]]+ProposalToGnatt[[#This Row],[Days]]),$G$5,"")),"")</f>
        <v/>
      </c>
      <c r="AT36" s="37" t="str">
        <f ca="1">IFERROR(+IF(AT$29=ProposalToGnatt[[#This Row],[Start Date]],Milestone_Marker,IF(AND(AT$29&gt;ProposalToGnatt[[#This Row],[Start Date]],AT$29&lt;ProposalToGnatt[[#This Row],[Start Date]]+ProposalToGnatt[[#This Row],[Days]]),$G$5,"")),"")</f>
        <v/>
      </c>
      <c r="AU36" s="37" t="str">
        <f ca="1">IFERROR(+IF(AU$29=ProposalToGnatt[[#This Row],[Start Date]],Milestone_Marker,IF(AND(AU$29&gt;ProposalToGnatt[[#This Row],[Start Date]],AU$29&lt;ProposalToGnatt[[#This Row],[Start Date]]+ProposalToGnatt[[#This Row],[Days]]),$G$5,"")),"")</f>
        <v/>
      </c>
      <c r="AV36" s="37" t="str">
        <f ca="1">IFERROR(+IF(AV$29=ProposalToGnatt[[#This Row],[Start Date]],Milestone_Marker,IF(AND(AV$29&gt;ProposalToGnatt[[#This Row],[Start Date]],AV$29&lt;ProposalToGnatt[[#This Row],[Start Date]]+ProposalToGnatt[[#This Row],[Days]]),$G$5,"")),"")</f>
        <v/>
      </c>
      <c r="AW36" s="37" t="str">
        <f ca="1">IFERROR(+IF(AW$29=ProposalToGnatt[[#This Row],[Start Date]],Milestone_Marker,IF(AND(AW$29&gt;ProposalToGnatt[[#This Row],[Start Date]],AW$29&lt;ProposalToGnatt[[#This Row],[Start Date]]+ProposalToGnatt[[#This Row],[Days]]),$G$5,"")),"")</f>
        <v/>
      </c>
      <c r="AX36" s="37" t="str">
        <f ca="1">IFERROR(+IF(AX$29=ProposalToGnatt[[#This Row],[Start Date]],Milestone_Marker,IF(AND(AX$29&gt;ProposalToGnatt[[#This Row],[Start Date]],AX$29&lt;ProposalToGnatt[[#This Row],[Start Date]]+ProposalToGnatt[[#This Row],[Days]]),$G$5,"")),"")</f>
        <v/>
      </c>
      <c r="AY36" s="37" t="str">
        <f ca="1">IFERROR(+IF(AY$29=ProposalToGnatt[[#This Row],[Start Date]],Milestone_Marker,IF(AND(AY$29&gt;ProposalToGnatt[[#This Row],[Start Date]],AY$29&lt;ProposalToGnatt[[#This Row],[Start Date]]+ProposalToGnatt[[#This Row],[Days]]),$G$5,"")),"")</f>
        <v/>
      </c>
      <c r="AZ36" s="37" t="str">
        <f ca="1">IFERROR(+IF(AZ$29=ProposalToGnatt[[#This Row],[Start Date]],Milestone_Marker,IF(AND(AZ$29&gt;ProposalToGnatt[[#This Row],[Start Date]],AZ$29&lt;ProposalToGnatt[[#This Row],[Start Date]]+ProposalToGnatt[[#This Row],[Days]]),$G$5,"")),"")</f>
        <v/>
      </c>
      <c r="BA36" s="37" t="str">
        <f ca="1">IFERROR(+IF(BA$29=ProposalToGnatt[[#This Row],[Start Date]],Milestone_Marker,IF(AND(BA$29&gt;ProposalToGnatt[[#This Row],[Start Date]],BA$29&lt;ProposalToGnatt[[#This Row],[Start Date]]+ProposalToGnatt[[#This Row],[Days]]),$G$5,"")),"")</f>
        <v/>
      </c>
      <c r="BB36" s="37" t="str">
        <f ca="1">IFERROR(+IF(BB$29=ProposalToGnatt[[#This Row],[Start Date]],Milestone_Marker,IF(AND(BB$29&gt;ProposalToGnatt[[#This Row],[Start Date]],BB$29&lt;ProposalToGnatt[[#This Row],[Start Date]]+ProposalToGnatt[[#This Row],[Days]]),$G$5,"")),"")</f>
        <v/>
      </c>
      <c r="BC36" s="37" t="str">
        <f ca="1">IFERROR(+IF(BC$29=ProposalToGnatt[[#This Row],[Start Date]],Milestone_Marker,IF(AND(BC$29&gt;ProposalToGnatt[[#This Row],[Start Date]],BC$29&lt;ProposalToGnatt[[#This Row],[Start Date]]+ProposalToGnatt[[#This Row],[Days]]),$G$5,"")),"")</f>
        <v/>
      </c>
      <c r="BD36" s="37" t="str">
        <f ca="1">IFERROR(+IF(BD$29=ProposalToGnatt[[#This Row],[Start Date]],Milestone_Marker,IF(AND(BD$29&gt;ProposalToGnatt[[#This Row],[Start Date]],BD$29&lt;ProposalToGnatt[[#This Row],[Start Date]]+ProposalToGnatt[[#This Row],[Days]]),$G$5,"")),"")</f>
        <v/>
      </c>
      <c r="BE36" s="37" t="str">
        <f ca="1">IFERROR(+IF(BE$29=ProposalToGnatt[[#This Row],[Start Date]],Milestone_Marker,IF(AND(BE$29&gt;ProposalToGnatt[[#This Row],[Start Date]],BE$29&lt;ProposalToGnatt[[#This Row],[Start Date]]+ProposalToGnatt[[#This Row],[Days]]),$G$5,"")),"")</f>
        <v/>
      </c>
      <c r="BF36" s="37" t="str">
        <f ca="1">IFERROR(+IF(BF$29=ProposalToGnatt[[#This Row],[Start Date]],Milestone_Marker,IF(AND(BF$29&gt;ProposalToGnatt[[#This Row],[Start Date]],BF$29&lt;ProposalToGnatt[[#This Row],[Start Date]]+ProposalToGnatt[[#This Row],[Days]]),$G$5,"")),"")</f>
        <v/>
      </c>
      <c r="BG36" s="37" t="str">
        <f ca="1">IFERROR(+IF(BG$29=ProposalToGnatt[[#This Row],[Start Date]],Milestone_Marker,IF(AND(BG$29&gt;ProposalToGnatt[[#This Row],[Start Date]],BG$29&lt;ProposalToGnatt[[#This Row],[Start Date]]+ProposalToGnatt[[#This Row],[Days]]),$G$5,"")),"")</f>
        <v/>
      </c>
      <c r="BH36" s="37" t="str">
        <f ca="1">IFERROR(+IF(BH$29=ProposalToGnatt[[#This Row],[Start Date]],Milestone_Marker,IF(AND(BH$29&gt;ProposalToGnatt[[#This Row],[Start Date]],BH$29&lt;ProposalToGnatt[[#This Row],[Start Date]]+ProposalToGnatt[[#This Row],[Days]]),$G$5,"")),"")</f>
        <v/>
      </c>
      <c r="BI36" s="37" t="str">
        <f ca="1">IFERROR(+IF(BI$29=ProposalToGnatt[[#This Row],[Start Date]],Milestone_Marker,IF(AND(BI$29&gt;ProposalToGnatt[[#This Row],[Start Date]],BI$29&lt;ProposalToGnatt[[#This Row],[Start Date]]+ProposalToGnatt[[#This Row],[Days]]),$G$5,"")),"")</f>
        <v/>
      </c>
      <c r="BJ36" s="37" t="str">
        <f ca="1">IFERROR(+IF(BJ$29=ProposalToGnatt[[#This Row],[Start Date]],Milestone_Marker,IF(AND(BJ$29&gt;ProposalToGnatt[[#This Row],[Start Date]],BJ$29&lt;ProposalToGnatt[[#This Row],[Start Date]]+ProposalToGnatt[[#This Row],[Days]]),$G$5,"")),"")</f>
        <v/>
      </c>
      <c r="BK36" s="37" t="str">
        <f ca="1">IFERROR(+IF(BK$29=ProposalToGnatt[[#This Row],[Start Date]],Milestone_Marker,IF(AND(BK$29&gt;ProposalToGnatt[[#This Row],[Start Date]],BK$29&lt;ProposalToGnatt[[#This Row],[Start Date]]+ProposalToGnatt[[#This Row],[Days]]),$G$5,"")),"")</f>
        <v/>
      </c>
      <c r="BL36" s="37" t="str">
        <f ca="1">IFERROR(+IF(BL$29=ProposalToGnatt[[#This Row],[Start Date]],Milestone_Marker,IF(AND(BL$29&gt;ProposalToGnatt[[#This Row],[Start Date]],BL$29&lt;ProposalToGnatt[[#This Row],[Start Date]]+ProposalToGnatt[[#This Row],[Days]]),$G$5,"")),"")</f>
        <v/>
      </c>
      <c r="BM36" s="37" t="str">
        <f ca="1">IFERROR(+IF(BM$29=ProposalToGnatt[[#This Row],[Start Date]],Milestone_Marker,IF(AND(BM$29&gt;ProposalToGnatt[[#This Row],[Start Date]],BM$29&lt;ProposalToGnatt[[#This Row],[Start Date]]+ProposalToGnatt[[#This Row],[Days]]),$G$5,"")),"")</f>
        <v/>
      </c>
      <c r="BN36" s="37" t="str">
        <f ca="1">IFERROR(+IF(BN$29=ProposalToGnatt[[#This Row],[Start Date]],Milestone_Marker,IF(AND(BN$29&gt;ProposalToGnatt[[#This Row],[Start Date]],BN$29&lt;ProposalToGnatt[[#This Row],[Start Date]]+ProposalToGnatt[[#This Row],[Days]]),$G$5,"")),"")</f>
        <v/>
      </c>
      <c r="BO36" s="37" t="str">
        <f ca="1">IFERROR(+IF(BO$29=ProposalToGnatt[[#This Row],[Start Date]],Milestone_Marker,IF(AND(BO$29&gt;ProposalToGnatt[[#This Row],[Start Date]],BO$29&lt;ProposalToGnatt[[#This Row],[Start Date]]+ProposalToGnatt[[#This Row],[Days]]),$G$5,"")),"")</f>
        <v/>
      </c>
      <c r="BP36" s="37" t="str">
        <f ca="1">IFERROR(+IF(BP$29=ProposalToGnatt[[#This Row],[Start Date]],Milestone_Marker,IF(AND(BP$29&gt;ProposalToGnatt[[#This Row],[Start Date]],BP$29&lt;ProposalToGnatt[[#This Row],[Start Date]]+ProposalToGnatt[[#This Row],[Days]]),$G$5,"")),"")</f>
        <v/>
      </c>
      <c r="BQ36" s="37" t="str">
        <f ca="1">IFERROR(+IF(BQ$29=ProposalToGnatt[[#This Row],[Start Date]],Milestone_Marker,IF(AND(BQ$29&gt;ProposalToGnatt[[#This Row],[Start Date]],BQ$29&lt;ProposalToGnatt[[#This Row],[Start Date]]+ProposalToGnatt[[#This Row],[Days]]),$G$5,"")),"")</f>
        <v/>
      </c>
      <c r="BR36" s="37" t="str">
        <f ca="1">IFERROR(+IF(BR$29=ProposalToGnatt[[#This Row],[Start Date]],Milestone_Marker,IF(AND(BR$29&gt;ProposalToGnatt[[#This Row],[Start Date]],BR$29&lt;ProposalToGnatt[[#This Row],[Start Date]]+ProposalToGnatt[[#This Row],[Days]]),$G$5,"")),"")</f>
        <v/>
      </c>
      <c r="BS36" s="37" t="str">
        <f ca="1">IFERROR(+IF(BS$29=ProposalToGnatt[[#This Row],[Start Date]],Milestone_Marker,IF(AND(BS$29&gt;ProposalToGnatt[[#This Row],[Start Date]],BS$29&lt;ProposalToGnatt[[#This Row],[Start Date]]+ProposalToGnatt[[#This Row],[Days]]),$G$5,"")),"")</f>
        <v/>
      </c>
      <c r="BT36" s="37" t="str">
        <f ca="1">IFERROR(+IF(BT$29=ProposalToGnatt[[#This Row],[Start Date]],Milestone_Marker,IF(AND(BT$29&gt;ProposalToGnatt[[#This Row],[Start Date]],BT$29&lt;ProposalToGnatt[[#This Row],[Start Date]]+ProposalToGnatt[[#This Row],[Days]]),$G$5,"")),"")</f>
        <v/>
      </c>
      <c r="BU36" s="37" t="str">
        <f ca="1">IFERROR(+IF(BU$29=ProposalToGnatt[[#This Row],[Start Date]],Milestone_Marker,IF(AND(BU$29&gt;ProposalToGnatt[[#This Row],[Start Date]],BU$29&lt;ProposalToGnatt[[#This Row],[Start Date]]+ProposalToGnatt[[#This Row],[Days]]),$G$5,"")),"")</f>
        <v/>
      </c>
      <c r="BV36" s="37" t="str">
        <f ca="1">IFERROR(+IF(BV$29=ProposalToGnatt[[#This Row],[Start Date]],Milestone_Marker,IF(AND(BV$29&gt;ProposalToGnatt[[#This Row],[Start Date]],BV$29&lt;ProposalToGnatt[[#This Row],[Start Date]]+ProposalToGnatt[[#This Row],[Days]]),$G$5,"")),"")</f>
        <v/>
      </c>
      <c r="BW36" s="37" t="str">
        <f ca="1">IFERROR(+IF(BW$29=ProposalToGnatt[[#This Row],[Start Date]],Milestone_Marker,IF(AND(BW$29&gt;ProposalToGnatt[[#This Row],[Start Date]],BW$29&lt;ProposalToGnatt[[#This Row],[Start Date]]+ProposalToGnatt[[#This Row],[Days]]),$G$5,"")),"")</f>
        <v/>
      </c>
      <c r="BX36" s="37" t="str">
        <f ca="1">IFERROR(+IF(BX$29=ProposalToGnatt[[#This Row],[Start Date]],Milestone_Marker,IF(AND(BX$29&gt;ProposalToGnatt[[#This Row],[Start Date]],BX$29&lt;ProposalToGnatt[[#This Row],[Start Date]]+ProposalToGnatt[[#This Row],[Days]]),$G$5,"")),"")</f>
        <v/>
      </c>
      <c r="BY36" s="37" t="str">
        <f ca="1">IFERROR(+IF(BY$29=ProposalToGnatt[[#This Row],[Start Date]],Milestone_Marker,IF(AND(BY$29&gt;ProposalToGnatt[[#This Row],[Start Date]],BY$29&lt;ProposalToGnatt[[#This Row],[Start Date]]+ProposalToGnatt[[#This Row],[Days]]),$G$5,"")),"")</f>
        <v/>
      </c>
      <c r="BZ36" s="37" t="str">
        <f ca="1">IFERROR(+IF(BZ$29=ProposalToGnatt[[#This Row],[Start Date]],Milestone_Marker,IF(AND(BZ$29&gt;ProposalToGnatt[[#This Row],[Start Date]],BZ$29&lt;ProposalToGnatt[[#This Row],[Start Date]]+ProposalToGnatt[[#This Row],[Days]]),$G$5,"")),"")</f>
        <v/>
      </c>
      <c r="CA36" s="37" t="str">
        <f ca="1">IFERROR(+IF(CA$29=ProposalToGnatt[[#This Row],[Start Date]],Milestone_Marker,IF(AND(CA$29&gt;ProposalToGnatt[[#This Row],[Start Date]],CA$29&lt;ProposalToGnatt[[#This Row],[Start Date]]+ProposalToGnatt[[#This Row],[Days]]),$G$5,"")),"")</f>
        <v/>
      </c>
      <c r="CB36" s="37" t="str">
        <f ca="1">IFERROR(+IF(CB$29=ProposalToGnatt[[#This Row],[Start Date]],Milestone_Marker,IF(AND(CB$29&gt;ProposalToGnatt[[#This Row],[Start Date]],CB$29&lt;ProposalToGnatt[[#This Row],[Start Date]]+ProposalToGnatt[[#This Row],[Days]]),$G$5,"")),"")</f>
        <v/>
      </c>
      <c r="CC36" s="37" t="str">
        <f ca="1">IFERROR(+IF(CC$29=ProposalToGnatt[[#This Row],[Start Date]],Milestone_Marker,IF(AND(CC$29&gt;ProposalToGnatt[[#This Row],[Start Date]],CC$29&lt;ProposalToGnatt[[#This Row],[Start Date]]+ProposalToGnatt[[#This Row],[Days]]),$G$5,"")),"")</f>
        <v/>
      </c>
      <c r="CD36" s="37" t="str">
        <f ca="1">IFERROR(+IF(CD$29=ProposalToGnatt[[#This Row],[Start Date]],Milestone_Marker,IF(AND(CD$29&gt;ProposalToGnatt[[#This Row],[Start Date]],CD$29&lt;ProposalToGnatt[[#This Row],[Start Date]]+ProposalToGnatt[[#This Row],[Days]]),$G$5,"")),"")</f>
        <v/>
      </c>
      <c r="CE36" s="37" t="str">
        <f ca="1">IFERROR(+IF(CE$29=ProposalToGnatt[[#This Row],[Start Date]],Milestone_Marker,IF(AND(CE$29&gt;ProposalToGnatt[[#This Row],[Start Date]],CE$29&lt;ProposalToGnatt[[#This Row],[Start Date]]+ProposalToGnatt[[#This Row],[Days]]),$G$5,"")),"")</f>
        <v/>
      </c>
      <c r="CF36" s="37" t="str">
        <f ca="1">IFERROR(+IF(CF$29=ProposalToGnatt[[#This Row],[Start Date]],Milestone_Marker,IF(AND(CF$29&gt;ProposalToGnatt[[#This Row],[Start Date]],CF$29&lt;ProposalToGnatt[[#This Row],[Start Date]]+ProposalToGnatt[[#This Row],[Days]]),$G$5,"")),"")</f>
        <v/>
      </c>
      <c r="CG36" s="37" t="str">
        <f ca="1">IFERROR(+IF(CG$29=ProposalToGnatt[[#This Row],[Start Date]],Milestone_Marker,IF(AND(CG$29&gt;ProposalToGnatt[[#This Row],[Start Date]],CG$29&lt;ProposalToGnatt[[#This Row],[Start Date]]+ProposalToGnatt[[#This Row],[Days]]),$G$5,"")),"")</f>
        <v/>
      </c>
      <c r="CH36" s="37" t="str">
        <f ca="1">IFERROR(+IF(CH$29=ProposalToGnatt[[#This Row],[Start Date]],Milestone_Marker,IF(AND(CH$29&gt;ProposalToGnatt[[#This Row],[Start Date]],CH$29&lt;ProposalToGnatt[[#This Row],[Start Date]]+ProposalToGnatt[[#This Row],[Days]]),$G$5,"")),"")</f>
        <v/>
      </c>
      <c r="CI36" s="37" t="str">
        <f ca="1">IFERROR(+IF(CI$29=ProposalToGnatt[[#This Row],[Start Date]],Milestone_Marker,IF(AND(CI$29&gt;ProposalToGnatt[[#This Row],[Start Date]],CI$29&lt;ProposalToGnatt[[#This Row],[Start Date]]+ProposalToGnatt[[#This Row],[Days]]),$G$5,"")),"")</f>
        <v/>
      </c>
      <c r="CJ36" s="37" t="str">
        <f ca="1">IFERROR(+IF(CJ$29=ProposalToGnatt[[#This Row],[Start Date]],Milestone_Marker,IF(AND(CJ$29&gt;ProposalToGnatt[[#This Row],[Start Date]],CJ$29&lt;ProposalToGnatt[[#This Row],[Start Date]]+ProposalToGnatt[[#This Row],[Days]]),$G$5,"")),"")</f>
        <v/>
      </c>
      <c r="CK36" s="37" t="str">
        <f ca="1">IFERROR(+IF(CK$29=ProposalToGnatt[[#This Row],[Start Date]],Milestone_Marker,IF(AND(CK$29&gt;ProposalToGnatt[[#This Row],[Start Date]],CK$29&lt;ProposalToGnatt[[#This Row],[Start Date]]+ProposalToGnatt[[#This Row],[Days]]),$G$5,"")),"")</f>
        <v/>
      </c>
      <c r="CL36" s="37" t="str">
        <f ca="1">IFERROR(+IF(CL$29=ProposalToGnatt[[#This Row],[Start Date]],Milestone_Marker,IF(AND(CL$29&gt;ProposalToGnatt[[#This Row],[Start Date]],CL$29&lt;ProposalToGnatt[[#This Row],[Start Date]]+ProposalToGnatt[[#This Row],[Days]]),$G$5,"")),"")</f>
        <v/>
      </c>
      <c r="CM36" s="37" t="str">
        <f ca="1">IFERROR(+IF(CM$29=ProposalToGnatt[[#This Row],[Start Date]],Milestone_Marker,IF(AND(CM$29&gt;ProposalToGnatt[[#This Row],[Start Date]],CM$29&lt;ProposalToGnatt[[#This Row],[Start Date]]+ProposalToGnatt[[#This Row],[Days]]),$G$5,"")),"")</f>
        <v/>
      </c>
      <c r="CN36" s="37" t="str">
        <f ca="1">IFERROR(+IF(CN$29=ProposalToGnatt[[#This Row],[Start Date]],Milestone_Marker,IF(AND(CN$29&gt;ProposalToGnatt[[#This Row],[Start Date]],CN$29&lt;ProposalToGnatt[[#This Row],[Start Date]]+ProposalToGnatt[[#This Row],[Days]]),$G$5,"")),"")</f>
        <v/>
      </c>
      <c r="CO36" s="37" t="str">
        <f ca="1">IFERROR(+IF(CO$29=ProposalToGnatt[[#This Row],[Start Date]],Milestone_Marker,IF(AND(CO$29&gt;ProposalToGnatt[[#This Row],[Start Date]],CO$29&lt;ProposalToGnatt[[#This Row],[Start Date]]+ProposalToGnatt[[#This Row],[Days]]),$G$5,"")),"")</f>
        <v/>
      </c>
      <c r="CP36" s="37" t="str">
        <f ca="1">IFERROR(+IF(CP$29=ProposalToGnatt[[#This Row],[Start Date]],Milestone_Marker,IF(AND(CP$29&gt;ProposalToGnatt[[#This Row],[Start Date]],CP$29&lt;ProposalToGnatt[[#This Row],[Start Date]]+ProposalToGnatt[[#This Row],[Days]]),$G$5,"")),"")</f>
        <v/>
      </c>
      <c r="CQ36" s="37" t="str">
        <f ca="1">IFERROR(+IF(CQ$29=ProposalToGnatt[[#This Row],[Start Date]],Milestone_Marker,IF(AND(CQ$29&gt;ProposalToGnatt[[#This Row],[Start Date]],CQ$29&lt;ProposalToGnatt[[#This Row],[Start Date]]+ProposalToGnatt[[#This Row],[Days]]),$G$5,"")),"")</f>
        <v/>
      </c>
      <c r="CR36" s="37" t="str">
        <f ca="1">IFERROR(+IF(CR$29=ProposalToGnatt[[#This Row],[Start Date]],Milestone_Marker,IF(AND(CR$29&gt;ProposalToGnatt[[#This Row],[Start Date]],CR$29&lt;ProposalToGnatt[[#This Row],[Start Date]]+ProposalToGnatt[[#This Row],[Days]]),$G$5,"")),"")</f>
        <v/>
      </c>
      <c r="CS36" s="37" t="str">
        <f ca="1">IFERROR(+IF(CS$29=ProposalToGnatt[[#This Row],[Start Date]],Milestone_Marker,IF(AND(CS$29&gt;ProposalToGnatt[[#This Row],[Start Date]],CS$29&lt;ProposalToGnatt[[#This Row],[Start Date]]+ProposalToGnatt[[#This Row],[Days]]),$G$5,"")),"")</f>
        <v/>
      </c>
      <c r="CT36" s="37" t="str">
        <f ca="1">IFERROR(+IF(CT$29=ProposalToGnatt[[#This Row],[Start Date]],Milestone_Marker,IF(AND(CT$29&gt;ProposalToGnatt[[#This Row],[Start Date]],CT$29&lt;ProposalToGnatt[[#This Row],[Start Date]]+ProposalToGnatt[[#This Row],[Days]]),$G$5,"")),"")</f>
        <v/>
      </c>
      <c r="CU36" s="37" t="str">
        <f ca="1">IFERROR(+IF(CU$29=ProposalToGnatt[[#This Row],[Start Date]],Milestone_Marker,IF(AND(CU$29&gt;ProposalToGnatt[[#This Row],[Start Date]],CU$29&lt;ProposalToGnatt[[#This Row],[Start Date]]+ProposalToGnatt[[#This Row],[Days]]),$G$5,"")),"")</f>
        <v/>
      </c>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row>
    <row r="37" spans="1:125" s="42" customFormat="1" ht="20.100000000000001" customHeight="1">
      <c r="A37" t="s">
        <v>437</v>
      </c>
      <c r="B37">
        <v>8</v>
      </c>
      <c r="C37" t="s">
        <v>353</v>
      </c>
      <c r="D37" t="s">
        <v>348</v>
      </c>
      <c r="E37" t="s">
        <v>354</v>
      </c>
      <c r="F37">
        <v>0</v>
      </c>
      <c r="G37" s="11">
        <v>200</v>
      </c>
      <c r="H37" s="26">
        <v>0</v>
      </c>
      <c r="I37"/>
      <c r="J37"/>
      <c r="K37" s="363"/>
      <c r="L37"/>
      <c r="M37"/>
      <c r="N37"/>
      <c r="O37" s="26"/>
      <c r="P37" s="37">
        <f ca="1">IFERROR(+IF(P$29=ProposalToGnatt[[#This Row],[Start Date]],Milestone_Marker,IF(AND(P$29&gt;ProposalToGnatt[[#This Row],[Start Date]],P$29&lt;ProposalToGnatt[[#This Row],[Start Date]]+ProposalToGnatt[[#This Row],[Days]]),$G$5,"")),"")</f>
        <v>1</v>
      </c>
      <c r="Q37" s="37" t="str">
        <f ca="1">IFERROR(+IF(Q$29=ProposalToGnatt[[#This Row],[Start Date]],Milestone_Marker,IF(AND(Q$29&gt;ProposalToGnatt[[#This Row],[Start Date]],Q$29&lt;ProposalToGnatt[[#This Row],[Start Date]]+ProposalToGnatt[[#This Row],[Days]]),$G$5,"")),"")</f>
        <v/>
      </c>
      <c r="R37" s="37" t="str">
        <f ca="1">IFERROR(+IF(R$29=ProposalToGnatt[[#This Row],[Start Date]],Milestone_Marker,IF(AND(R$29&gt;ProposalToGnatt[[#This Row],[Start Date]],R$29&lt;ProposalToGnatt[[#This Row],[Start Date]]+ProposalToGnatt[[#This Row],[Days]]),$G$5,"")),"")</f>
        <v/>
      </c>
      <c r="S37" s="37" t="str">
        <f ca="1">IFERROR(+IF(S$29=ProposalToGnatt[[#This Row],[Start Date]],Milestone_Marker,IF(AND(S$29&gt;ProposalToGnatt[[#This Row],[Start Date]],S$29&lt;ProposalToGnatt[[#This Row],[Start Date]]+ProposalToGnatt[[#This Row],[Days]]),$G$5,"")),"")</f>
        <v/>
      </c>
      <c r="T37" s="37" t="str">
        <f ca="1">IFERROR(+IF(T$29=ProposalToGnatt[[#This Row],[Start Date]],Milestone_Marker,IF(AND(T$29&gt;ProposalToGnatt[[#This Row],[Start Date]],T$29&lt;ProposalToGnatt[[#This Row],[Start Date]]+ProposalToGnatt[[#This Row],[Days]]),$G$5,"")),"")</f>
        <v/>
      </c>
      <c r="U37" s="37" t="str">
        <f ca="1">IFERROR(+IF(U$29=ProposalToGnatt[[#This Row],[Start Date]],Milestone_Marker,IF(AND(U$29&gt;ProposalToGnatt[[#This Row],[Start Date]],U$29&lt;ProposalToGnatt[[#This Row],[Start Date]]+ProposalToGnatt[[#This Row],[Days]]),$G$5,"")),"")</f>
        <v/>
      </c>
      <c r="V37" s="37" t="str">
        <f ca="1">IFERROR(+IF(V$29=ProposalToGnatt[[#This Row],[Start Date]],Milestone_Marker,IF(AND(V$29&gt;ProposalToGnatt[[#This Row],[Start Date]],V$29&lt;ProposalToGnatt[[#This Row],[Start Date]]+ProposalToGnatt[[#This Row],[Days]]),$G$5,"")),"")</f>
        <v/>
      </c>
      <c r="W37" s="37" t="str">
        <f ca="1">IFERROR(+IF(W$29=ProposalToGnatt[[#This Row],[Start Date]],Milestone_Marker,IF(AND(W$29&gt;ProposalToGnatt[[#This Row],[Start Date]],W$29&lt;ProposalToGnatt[[#This Row],[Start Date]]+ProposalToGnatt[[#This Row],[Days]]),$G$5,"")),"")</f>
        <v/>
      </c>
      <c r="X37" s="37" t="str">
        <f ca="1">IFERROR(+IF(X$29=ProposalToGnatt[[#This Row],[Start Date]],Milestone_Marker,IF(AND(X$29&gt;ProposalToGnatt[[#This Row],[Start Date]],X$29&lt;ProposalToGnatt[[#This Row],[Start Date]]+ProposalToGnatt[[#This Row],[Days]]),$G$5,"")),"")</f>
        <v/>
      </c>
      <c r="Y37" s="37" t="str">
        <f ca="1">IFERROR(+IF(Y$29=ProposalToGnatt[[#This Row],[Start Date]],Milestone_Marker,IF(AND(Y$29&gt;ProposalToGnatt[[#This Row],[Start Date]],Y$29&lt;ProposalToGnatt[[#This Row],[Start Date]]+ProposalToGnatt[[#This Row],[Days]]),$G$5,"")),"")</f>
        <v/>
      </c>
      <c r="Z37" s="37" t="str">
        <f ca="1">IFERROR(+IF(Z$29=ProposalToGnatt[[#This Row],[Start Date]],Milestone_Marker,IF(AND(Z$29&gt;ProposalToGnatt[[#This Row],[Start Date]],Z$29&lt;ProposalToGnatt[[#This Row],[Start Date]]+ProposalToGnatt[[#This Row],[Days]]),$G$5,"")),"")</f>
        <v/>
      </c>
      <c r="AA37" s="37" t="str">
        <f ca="1">IFERROR(+IF(AA$29=ProposalToGnatt[[#This Row],[Start Date]],Milestone_Marker,IF(AND(AA$29&gt;ProposalToGnatt[[#This Row],[Start Date]],AA$29&lt;ProposalToGnatt[[#This Row],[Start Date]]+ProposalToGnatt[[#This Row],[Days]]),$G$5,"")),"")</f>
        <v/>
      </c>
      <c r="AB37" s="37" t="str">
        <f ca="1">IFERROR(+IF(AB$29=ProposalToGnatt[[#This Row],[Start Date]],Milestone_Marker,IF(AND(AB$29&gt;ProposalToGnatt[[#This Row],[Start Date]],AB$29&lt;ProposalToGnatt[[#This Row],[Start Date]]+ProposalToGnatt[[#This Row],[Days]]),$G$5,"")),"")</f>
        <v/>
      </c>
      <c r="AC37" s="37" t="str">
        <f ca="1">IFERROR(+IF(AC$29=ProposalToGnatt[[#This Row],[Start Date]],Milestone_Marker,IF(AND(AC$29&gt;ProposalToGnatt[[#This Row],[Start Date]],AC$29&lt;ProposalToGnatt[[#This Row],[Start Date]]+ProposalToGnatt[[#This Row],[Days]]),$G$5,"")),"")</f>
        <v/>
      </c>
      <c r="AD37" s="37" t="str">
        <f ca="1">IFERROR(+IF(AD$29=ProposalToGnatt[[#This Row],[Start Date]],Milestone_Marker,IF(AND(AD$29&gt;ProposalToGnatt[[#This Row],[Start Date]],AD$29&lt;ProposalToGnatt[[#This Row],[Start Date]]+ProposalToGnatt[[#This Row],[Days]]),$G$5,"")),"")</f>
        <v/>
      </c>
      <c r="AE37" s="37" t="str">
        <f ca="1">IFERROR(+IF(AE$29=ProposalToGnatt[[#This Row],[Start Date]],Milestone_Marker,IF(AND(AE$29&gt;ProposalToGnatt[[#This Row],[Start Date]],AE$29&lt;ProposalToGnatt[[#This Row],[Start Date]]+ProposalToGnatt[[#This Row],[Days]]),$G$5,"")),"")</f>
        <v/>
      </c>
      <c r="AF37" s="37" t="str">
        <f ca="1">IFERROR(+IF(AF$29=ProposalToGnatt[[#This Row],[Start Date]],Milestone_Marker,IF(AND(AF$29&gt;ProposalToGnatt[[#This Row],[Start Date]],AF$29&lt;ProposalToGnatt[[#This Row],[Start Date]]+ProposalToGnatt[[#This Row],[Days]]),$G$5,"")),"")</f>
        <v/>
      </c>
      <c r="AG37" s="37" t="str">
        <f ca="1">IFERROR(+IF(AG$29=ProposalToGnatt[[#This Row],[Start Date]],Milestone_Marker,IF(AND(AG$29&gt;ProposalToGnatt[[#This Row],[Start Date]],AG$29&lt;ProposalToGnatt[[#This Row],[Start Date]]+ProposalToGnatt[[#This Row],[Days]]),$G$5,"")),"")</f>
        <v/>
      </c>
      <c r="AH37" s="37" t="str">
        <f ca="1">IFERROR(+IF(AH$29=ProposalToGnatt[[#This Row],[Start Date]],Milestone_Marker,IF(AND(AH$29&gt;ProposalToGnatt[[#This Row],[Start Date]],AH$29&lt;ProposalToGnatt[[#This Row],[Start Date]]+ProposalToGnatt[[#This Row],[Days]]),$G$5,"")),"")</f>
        <v/>
      </c>
      <c r="AI37" s="37" t="str">
        <f ca="1">IFERROR(+IF(AI$29=ProposalToGnatt[[#This Row],[Start Date]],Milestone_Marker,IF(AND(AI$29&gt;ProposalToGnatt[[#This Row],[Start Date]],AI$29&lt;ProposalToGnatt[[#This Row],[Start Date]]+ProposalToGnatt[[#This Row],[Days]]),$G$5,"")),"")</f>
        <v/>
      </c>
      <c r="AJ37" s="37" t="str">
        <f ca="1">IFERROR(+IF(AJ$29=ProposalToGnatt[[#This Row],[Start Date]],Milestone_Marker,IF(AND(AJ$29&gt;ProposalToGnatt[[#This Row],[Start Date]],AJ$29&lt;ProposalToGnatt[[#This Row],[Start Date]]+ProposalToGnatt[[#This Row],[Days]]),$G$5,"")),"")</f>
        <v/>
      </c>
      <c r="AK37" s="37" t="str">
        <f ca="1">IFERROR(+IF(AK$29=ProposalToGnatt[[#This Row],[Start Date]],Milestone_Marker,IF(AND(AK$29&gt;ProposalToGnatt[[#This Row],[Start Date]],AK$29&lt;ProposalToGnatt[[#This Row],[Start Date]]+ProposalToGnatt[[#This Row],[Days]]),$G$5,"")),"")</f>
        <v/>
      </c>
      <c r="AL37" s="37" t="str">
        <f ca="1">IFERROR(+IF(AL$29=ProposalToGnatt[[#This Row],[Start Date]],Milestone_Marker,IF(AND(AL$29&gt;ProposalToGnatt[[#This Row],[Start Date]],AL$29&lt;ProposalToGnatt[[#This Row],[Start Date]]+ProposalToGnatt[[#This Row],[Days]]),$G$5,"")),"")</f>
        <v/>
      </c>
      <c r="AM37" s="37" t="str">
        <f ca="1">IFERROR(+IF(AM$29=ProposalToGnatt[[#This Row],[Start Date]],Milestone_Marker,IF(AND(AM$29&gt;ProposalToGnatt[[#This Row],[Start Date]],AM$29&lt;ProposalToGnatt[[#This Row],[Start Date]]+ProposalToGnatt[[#This Row],[Days]]),$G$5,"")),"")</f>
        <v/>
      </c>
      <c r="AN37" s="37" t="str">
        <f ca="1">IFERROR(+IF(AN$29=ProposalToGnatt[[#This Row],[Start Date]],Milestone_Marker,IF(AND(AN$29&gt;ProposalToGnatt[[#This Row],[Start Date]],AN$29&lt;ProposalToGnatt[[#This Row],[Start Date]]+ProposalToGnatt[[#This Row],[Days]]),$G$5,"")),"")</f>
        <v/>
      </c>
      <c r="AO37" s="37" t="str">
        <f ca="1">IFERROR(+IF(AO$29=ProposalToGnatt[[#This Row],[Start Date]],Milestone_Marker,IF(AND(AO$29&gt;ProposalToGnatt[[#This Row],[Start Date]],AO$29&lt;ProposalToGnatt[[#This Row],[Start Date]]+ProposalToGnatt[[#This Row],[Days]]),$G$5,"")),"")</f>
        <v/>
      </c>
      <c r="AP37" s="37" t="str">
        <f ca="1">IFERROR(+IF(AP$29=ProposalToGnatt[[#This Row],[Start Date]],Milestone_Marker,IF(AND(AP$29&gt;ProposalToGnatt[[#This Row],[Start Date]],AP$29&lt;ProposalToGnatt[[#This Row],[Start Date]]+ProposalToGnatt[[#This Row],[Days]]),$G$5,"")),"")</f>
        <v/>
      </c>
      <c r="AQ37" s="37" t="str">
        <f ca="1">IFERROR(+IF(AQ$29=ProposalToGnatt[[#This Row],[Start Date]],Milestone_Marker,IF(AND(AQ$29&gt;ProposalToGnatt[[#This Row],[Start Date]],AQ$29&lt;ProposalToGnatt[[#This Row],[Start Date]]+ProposalToGnatt[[#This Row],[Days]]),$G$5,"")),"")</f>
        <v/>
      </c>
      <c r="AR37" s="37" t="str">
        <f ca="1">IFERROR(+IF(AR$29=ProposalToGnatt[[#This Row],[Start Date]],Milestone_Marker,IF(AND(AR$29&gt;ProposalToGnatt[[#This Row],[Start Date]],AR$29&lt;ProposalToGnatt[[#This Row],[Start Date]]+ProposalToGnatt[[#This Row],[Days]]),$G$5,"")),"")</f>
        <v/>
      </c>
      <c r="AS37" s="37" t="str">
        <f ca="1">IFERROR(+IF(AS$29=ProposalToGnatt[[#This Row],[Start Date]],Milestone_Marker,IF(AND(AS$29&gt;ProposalToGnatt[[#This Row],[Start Date]],AS$29&lt;ProposalToGnatt[[#This Row],[Start Date]]+ProposalToGnatt[[#This Row],[Days]]),$G$5,"")),"")</f>
        <v/>
      </c>
      <c r="AT37" s="37" t="str">
        <f ca="1">IFERROR(+IF(AT$29=ProposalToGnatt[[#This Row],[Start Date]],Milestone_Marker,IF(AND(AT$29&gt;ProposalToGnatt[[#This Row],[Start Date]],AT$29&lt;ProposalToGnatt[[#This Row],[Start Date]]+ProposalToGnatt[[#This Row],[Days]]),$G$5,"")),"")</f>
        <v/>
      </c>
      <c r="AU37" s="37" t="str">
        <f ca="1">IFERROR(+IF(AU$29=ProposalToGnatt[[#This Row],[Start Date]],Milestone_Marker,IF(AND(AU$29&gt;ProposalToGnatt[[#This Row],[Start Date]],AU$29&lt;ProposalToGnatt[[#This Row],[Start Date]]+ProposalToGnatt[[#This Row],[Days]]),$G$5,"")),"")</f>
        <v/>
      </c>
      <c r="AV37" s="37" t="str">
        <f ca="1">IFERROR(+IF(AV$29=ProposalToGnatt[[#This Row],[Start Date]],Milestone_Marker,IF(AND(AV$29&gt;ProposalToGnatt[[#This Row],[Start Date]],AV$29&lt;ProposalToGnatt[[#This Row],[Start Date]]+ProposalToGnatt[[#This Row],[Days]]),$G$5,"")),"")</f>
        <v/>
      </c>
      <c r="AW37" s="37" t="str">
        <f ca="1">IFERROR(+IF(AW$29=ProposalToGnatt[[#This Row],[Start Date]],Milestone_Marker,IF(AND(AW$29&gt;ProposalToGnatt[[#This Row],[Start Date]],AW$29&lt;ProposalToGnatt[[#This Row],[Start Date]]+ProposalToGnatt[[#This Row],[Days]]),$G$5,"")),"")</f>
        <v/>
      </c>
      <c r="AX37" s="37" t="str">
        <f ca="1">IFERROR(+IF(AX$29=ProposalToGnatt[[#This Row],[Start Date]],Milestone_Marker,IF(AND(AX$29&gt;ProposalToGnatt[[#This Row],[Start Date]],AX$29&lt;ProposalToGnatt[[#This Row],[Start Date]]+ProposalToGnatt[[#This Row],[Days]]),$G$5,"")),"")</f>
        <v/>
      </c>
      <c r="AY37" s="37" t="str">
        <f ca="1">IFERROR(+IF(AY$29=ProposalToGnatt[[#This Row],[Start Date]],Milestone_Marker,IF(AND(AY$29&gt;ProposalToGnatt[[#This Row],[Start Date]],AY$29&lt;ProposalToGnatt[[#This Row],[Start Date]]+ProposalToGnatt[[#This Row],[Days]]),$G$5,"")),"")</f>
        <v/>
      </c>
      <c r="AZ37" s="37" t="str">
        <f ca="1">IFERROR(+IF(AZ$29=ProposalToGnatt[[#This Row],[Start Date]],Milestone_Marker,IF(AND(AZ$29&gt;ProposalToGnatt[[#This Row],[Start Date]],AZ$29&lt;ProposalToGnatt[[#This Row],[Start Date]]+ProposalToGnatt[[#This Row],[Days]]),$G$5,"")),"")</f>
        <v/>
      </c>
      <c r="BA37" s="37" t="str">
        <f ca="1">IFERROR(+IF(BA$29=ProposalToGnatt[[#This Row],[Start Date]],Milestone_Marker,IF(AND(BA$29&gt;ProposalToGnatt[[#This Row],[Start Date]],BA$29&lt;ProposalToGnatt[[#This Row],[Start Date]]+ProposalToGnatt[[#This Row],[Days]]),$G$5,"")),"")</f>
        <v/>
      </c>
      <c r="BB37" s="37" t="str">
        <f ca="1">IFERROR(+IF(BB$29=ProposalToGnatt[[#This Row],[Start Date]],Milestone_Marker,IF(AND(BB$29&gt;ProposalToGnatt[[#This Row],[Start Date]],BB$29&lt;ProposalToGnatt[[#This Row],[Start Date]]+ProposalToGnatt[[#This Row],[Days]]),$G$5,"")),"")</f>
        <v/>
      </c>
      <c r="BC37" s="37" t="str">
        <f ca="1">IFERROR(+IF(BC$29=ProposalToGnatt[[#This Row],[Start Date]],Milestone_Marker,IF(AND(BC$29&gt;ProposalToGnatt[[#This Row],[Start Date]],BC$29&lt;ProposalToGnatt[[#This Row],[Start Date]]+ProposalToGnatt[[#This Row],[Days]]),$G$5,"")),"")</f>
        <v/>
      </c>
      <c r="BD37" s="37" t="str">
        <f ca="1">IFERROR(+IF(BD$29=ProposalToGnatt[[#This Row],[Start Date]],Milestone_Marker,IF(AND(BD$29&gt;ProposalToGnatt[[#This Row],[Start Date]],BD$29&lt;ProposalToGnatt[[#This Row],[Start Date]]+ProposalToGnatt[[#This Row],[Days]]),$G$5,"")),"")</f>
        <v/>
      </c>
      <c r="BE37" s="37" t="str">
        <f ca="1">IFERROR(+IF(BE$29=ProposalToGnatt[[#This Row],[Start Date]],Milestone_Marker,IF(AND(BE$29&gt;ProposalToGnatt[[#This Row],[Start Date]],BE$29&lt;ProposalToGnatt[[#This Row],[Start Date]]+ProposalToGnatt[[#This Row],[Days]]),$G$5,"")),"")</f>
        <v/>
      </c>
      <c r="BF37" s="37" t="str">
        <f ca="1">IFERROR(+IF(BF$29=ProposalToGnatt[[#This Row],[Start Date]],Milestone_Marker,IF(AND(BF$29&gt;ProposalToGnatt[[#This Row],[Start Date]],BF$29&lt;ProposalToGnatt[[#This Row],[Start Date]]+ProposalToGnatt[[#This Row],[Days]]),$G$5,"")),"")</f>
        <v/>
      </c>
      <c r="BG37" s="37" t="str">
        <f ca="1">IFERROR(+IF(BG$29=ProposalToGnatt[[#This Row],[Start Date]],Milestone_Marker,IF(AND(BG$29&gt;ProposalToGnatt[[#This Row],[Start Date]],BG$29&lt;ProposalToGnatt[[#This Row],[Start Date]]+ProposalToGnatt[[#This Row],[Days]]),$G$5,"")),"")</f>
        <v/>
      </c>
      <c r="BH37" s="37" t="str">
        <f ca="1">IFERROR(+IF(BH$29=ProposalToGnatt[[#This Row],[Start Date]],Milestone_Marker,IF(AND(BH$29&gt;ProposalToGnatt[[#This Row],[Start Date]],BH$29&lt;ProposalToGnatt[[#This Row],[Start Date]]+ProposalToGnatt[[#This Row],[Days]]),$G$5,"")),"")</f>
        <v/>
      </c>
      <c r="BI37" s="37" t="str">
        <f ca="1">IFERROR(+IF(BI$29=ProposalToGnatt[[#This Row],[Start Date]],Milestone_Marker,IF(AND(BI$29&gt;ProposalToGnatt[[#This Row],[Start Date]],BI$29&lt;ProposalToGnatt[[#This Row],[Start Date]]+ProposalToGnatt[[#This Row],[Days]]),$G$5,"")),"")</f>
        <v/>
      </c>
      <c r="BJ37" s="37" t="str">
        <f ca="1">IFERROR(+IF(BJ$29=ProposalToGnatt[[#This Row],[Start Date]],Milestone_Marker,IF(AND(BJ$29&gt;ProposalToGnatt[[#This Row],[Start Date]],BJ$29&lt;ProposalToGnatt[[#This Row],[Start Date]]+ProposalToGnatt[[#This Row],[Days]]),$G$5,"")),"")</f>
        <v/>
      </c>
      <c r="BK37" s="37" t="str">
        <f ca="1">IFERROR(+IF(BK$29=ProposalToGnatt[[#This Row],[Start Date]],Milestone_Marker,IF(AND(BK$29&gt;ProposalToGnatt[[#This Row],[Start Date]],BK$29&lt;ProposalToGnatt[[#This Row],[Start Date]]+ProposalToGnatt[[#This Row],[Days]]),$G$5,"")),"")</f>
        <v/>
      </c>
      <c r="BL37" s="37" t="str">
        <f ca="1">IFERROR(+IF(BL$29=ProposalToGnatt[[#This Row],[Start Date]],Milestone_Marker,IF(AND(BL$29&gt;ProposalToGnatt[[#This Row],[Start Date]],BL$29&lt;ProposalToGnatt[[#This Row],[Start Date]]+ProposalToGnatt[[#This Row],[Days]]),$G$5,"")),"")</f>
        <v/>
      </c>
      <c r="BM37" s="37" t="str">
        <f ca="1">IFERROR(+IF(BM$29=ProposalToGnatt[[#This Row],[Start Date]],Milestone_Marker,IF(AND(BM$29&gt;ProposalToGnatt[[#This Row],[Start Date]],BM$29&lt;ProposalToGnatt[[#This Row],[Start Date]]+ProposalToGnatt[[#This Row],[Days]]),$G$5,"")),"")</f>
        <v/>
      </c>
      <c r="BN37" s="37" t="str">
        <f ca="1">IFERROR(+IF(BN$29=ProposalToGnatt[[#This Row],[Start Date]],Milestone_Marker,IF(AND(BN$29&gt;ProposalToGnatt[[#This Row],[Start Date]],BN$29&lt;ProposalToGnatt[[#This Row],[Start Date]]+ProposalToGnatt[[#This Row],[Days]]),$G$5,"")),"")</f>
        <v/>
      </c>
      <c r="BO37" s="37" t="str">
        <f ca="1">IFERROR(+IF(BO$29=ProposalToGnatt[[#This Row],[Start Date]],Milestone_Marker,IF(AND(BO$29&gt;ProposalToGnatt[[#This Row],[Start Date]],BO$29&lt;ProposalToGnatt[[#This Row],[Start Date]]+ProposalToGnatt[[#This Row],[Days]]),$G$5,"")),"")</f>
        <v/>
      </c>
      <c r="BP37" s="37" t="str">
        <f ca="1">IFERROR(+IF(BP$29=ProposalToGnatt[[#This Row],[Start Date]],Milestone_Marker,IF(AND(BP$29&gt;ProposalToGnatt[[#This Row],[Start Date]],BP$29&lt;ProposalToGnatt[[#This Row],[Start Date]]+ProposalToGnatt[[#This Row],[Days]]),$G$5,"")),"")</f>
        <v/>
      </c>
      <c r="BQ37" s="37" t="str">
        <f ca="1">IFERROR(+IF(BQ$29=ProposalToGnatt[[#This Row],[Start Date]],Milestone_Marker,IF(AND(BQ$29&gt;ProposalToGnatt[[#This Row],[Start Date]],BQ$29&lt;ProposalToGnatt[[#This Row],[Start Date]]+ProposalToGnatt[[#This Row],[Days]]),$G$5,"")),"")</f>
        <v/>
      </c>
      <c r="BR37" s="37" t="str">
        <f ca="1">IFERROR(+IF(BR$29=ProposalToGnatt[[#This Row],[Start Date]],Milestone_Marker,IF(AND(BR$29&gt;ProposalToGnatt[[#This Row],[Start Date]],BR$29&lt;ProposalToGnatt[[#This Row],[Start Date]]+ProposalToGnatt[[#This Row],[Days]]),$G$5,"")),"")</f>
        <v/>
      </c>
      <c r="BS37" s="37" t="str">
        <f ca="1">IFERROR(+IF(BS$29=ProposalToGnatt[[#This Row],[Start Date]],Milestone_Marker,IF(AND(BS$29&gt;ProposalToGnatt[[#This Row],[Start Date]],BS$29&lt;ProposalToGnatt[[#This Row],[Start Date]]+ProposalToGnatt[[#This Row],[Days]]),$G$5,"")),"")</f>
        <v/>
      </c>
      <c r="BT37" s="37" t="str">
        <f ca="1">IFERROR(+IF(BT$29=ProposalToGnatt[[#This Row],[Start Date]],Milestone_Marker,IF(AND(BT$29&gt;ProposalToGnatt[[#This Row],[Start Date]],BT$29&lt;ProposalToGnatt[[#This Row],[Start Date]]+ProposalToGnatt[[#This Row],[Days]]),$G$5,"")),"")</f>
        <v/>
      </c>
      <c r="BU37" s="37" t="str">
        <f ca="1">IFERROR(+IF(BU$29=ProposalToGnatt[[#This Row],[Start Date]],Milestone_Marker,IF(AND(BU$29&gt;ProposalToGnatt[[#This Row],[Start Date]],BU$29&lt;ProposalToGnatt[[#This Row],[Start Date]]+ProposalToGnatt[[#This Row],[Days]]),$G$5,"")),"")</f>
        <v/>
      </c>
      <c r="BV37" s="37" t="str">
        <f ca="1">IFERROR(+IF(BV$29=ProposalToGnatt[[#This Row],[Start Date]],Milestone_Marker,IF(AND(BV$29&gt;ProposalToGnatt[[#This Row],[Start Date]],BV$29&lt;ProposalToGnatt[[#This Row],[Start Date]]+ProposalToGnatt[[#This Row],[Days]]),$G$5,"")),"")</f>
        <v/>
      </c>
      <c r="BW37" s="37" t="str">
        <f ca="1">IFERROR(+IF(BW$29=ProposalToGnatt[[#This Row],[Start Date]],Milestone_Marker,IF(AND(BW$29&gt;ProposalToGnatt[[#This Row],[Start Date]],BW$29&lt;ProposalToGnatt[[#This Row],[Start Date]]+ProposalToGnatt[[#This Row],[Days]]),$G$5,"")),"")</f>
        <v/>
      </c>
      <c r="BX37" s="37" t="str">
        <f ca="1">IFERROR(+IF(BX$29=ProposalToGnatt[[#This Row],[Start Date]],Milestone_Marker,IF(AND(BX$29&gt;ProposalToGnatt[[#This Row],[Start Date]],BX$29&lt;ProposalToGnatt[[#This Row],[Start Date]]+ProposalToGnatt[[#This Row],[Days]]),$G$5,"")),"")</f>
        <v/>
      </c>
      <c r="BY37" s="37" t="str">
        <f ca="1">IFERROR(+IF(BY$29=ProposalToGnatt[[#This Row],[Start Date]],Milestone_Marker,IF(AND(BY$29&gt;ProposalToGnatt[[#This Row],[Start Date]],BY$29&lt;ProposalToGnatt[[#This Row],[Start Date]]+ProposalToGnatt[[#This Row],[Days]]),$G$5,"")),"")</f>
        <v/>
      </c>
      <c r="BZ37" s="37" t="str">
        <f ca="1">IFERROR(+IF(BZ$29=ProposalToGnatt[[#This Row],[Start Date]],Milestone_Marker,IF(AND(BZ$29&gt;ProposalToGnatt[[#This Row],[Start Date]],BZ$29&lt;ProposalToGnatt[[#This Row],[Start Date]]+ProposalToGnatt[[#This Row],[Days]]),$G$5,"")),"")</f>
        <v/>
      </c>
      <c r="CA37" s="37" t="str">
        <f ca="1">IFERROR(+IF(CA$29=ProposalToGnatt[[#This Row],[Start Date]],Milestone_Marker,IF(AND(CA$29&gt;ProposalToGnatt[[#This Row],[Start Date]],CA$29&lt;ProposalToGnatt[[#This Row],[Start Date]]+ProposalToGnatt[[#This Row],[Days]]),$G$5,"")),"")</f>
        <v/>
      </c>
      <c r="CB37" s="37" t="str">
        <f ca="1">IFERROR(+IF(CB$29=ProposalToGnatt[[#This Row],[Start Date]],Milestone_Marker,IF(AND(CB$29&gt;ProposalToGnatt[[#This Row],[Start Date]],CB$29&lt;ProposalToGnatt[[#This Row],[Start Date]]+ProposalToGnatt[[#This Row],[Days]]),$G$5,"")),"")</f>
        <v/>
      </c>
      <c r="CC37" s="37" t="str">
        <f ca="1">IFERROR(+IF(CC$29=ProposalToGnatt[[#This Row],[Start Date]],Milestone_Marker,IF(AND(CC$29&gt;ProposalToGnatt[[#This Row],[Start Date]],CC$29&lt;ProposalToGnatt[[#This Row],[Start Date]]+ProposalToGnatt[[#This Row],[Days]]),$G$5,"")),"")</f>
        <v/>
      </c>
      <c r="CD37" s="37" t="str">
        <f ca="1">IFERROR(+IF(CD$29=ProposalToGnatt[[#This Row],[Start Date]],Milestone_Marker,IF(AND(CD$29&gt;ProposalToGnatt[[#This Row],[Start Date]],CD$29&lt;ProposalToGnatt[[#This Row],[Start Date]]+ProposalToGnatt[[#This Row],[Days]]),$G$5,"")),"")</f>
        <v/>
      </c>
      <c r="CE37" s="37" t="str">
        <f ca="1">IFERROR(+IF(CE$29=ProposalToGnatt[[#This Row],[Start Date]],Milestone_Marker,IF(AND(CE$29&gt;ProposalToGnatt[[#This Row],[Start Date]],CE$29&lt;ProposalToGnatt[[#This Row],[Start Date]]+ProposalToGnatt[[#This Row],[Days]]),$G$5,"")),"")</f>
        <v/>
      </c>
      <c r="CF37" s="37" t="str">
        <f ca="1">IFERROR(+IF(CF$29=ProposalToGnatt[[#This Row],[Start Date]],Milestone_Marker,IF(AND(CF$29&gt;ProposalToGnatt[[#This Row],[Start Date]],CF$29&lt;ProposalToGnatt[[#This Row],[Start Date]]+ProposalToGnatt[[#This Row],[Days]]),$G$5,"")),"")</f>
        <v/>
      </c>
      <c r="CG37" s="37" t="str">
        <f ca="1">IFERROR(+IF(CG$29=ProposalToGnatt[[#This Row],[Start Date]],Milestone_Marker,IF(AND(CG$29&gt;ProposalToGnatt[[#This Row],[Start Date]],CG$29&lt;ProposalToGnatt[[#This Row],[Start Date]]+ProposalToGnatt[[#This Row],[Days]]),$G$5,"")),"")</f>
        <v/>
      </c>
      <c r="CH37" s="37" t="str">
        <f ca="1">IFERROR(+IF(CH$29=ProposalToGnatt[[#This Row],[Start Date]],Milestone_Marker,IF(AND(CH$29&gt;ProposalToGnatt[[#This Row],[Start Date]],CH$29&lt;ProposalToGnatt[[#This Row],[Start Date]]+ProposalToGnatt[[#This Row],[Days]]),$G$5,"")),"")</f>
        <v/>
      </c>
      <c r="CI37" s="37" t="str">
        <f ca="1">IFERROR(+IF(CI$29=ProposalToGnatt[[#This Row],[Start Date]],Milestone_Marker,IF(AND(CI$29&gt;ProposalToGnatt[[#This Row],[Start Date]],CI$29&lt;ProposalToGnatt[[#This Row],[Start Date]]+ProposalToGnatt[[#This Row],[Days]]),$G$5,"")),"")</f>
        <v/>
      </c>
      <c r="CJ37" s="37" t="str">
        <f ca="1">IFERROR(+IF(CJ$29=ProposalToGnatt[[#This Row],[Start Date]],Milestone_Marker,IF(AND(CJ$29&gt;ProposalToGnatt[[#This Row],[Start Date]],CJ$29&lt;ProposalToGnatt[[#This Row],[Start Date]]+ProposalToGnatt[[#This Row],[Days]]),$G$5,"")),"")</f>
        <v/>
      </c>
      <c r="CK37" s="37" t="str">
        <f ca="1">IFERROR(+IF(CK$29=ProposalToGnatt[[#This Row],[Start Date]],Milestone_Marker,IF(AND(CK$29&gt;ProposalToGnatt[[#This Row],[Start Date]],CK$29&lt;ProposalToGnatt[[#This Row],[Start Date]]+ProposalToGnatt[[#This Row],[Days]]),$G$5,"")),"")</f>
        <v/>
      </c>
      <c r="CL37" s="37" t="str">
        <f ca="1">IFERROR(+IF(CL$29=ProposalToGnatt[[#This Row],[Start Date]],Milestone_Marker,IF(AND(CL$29&gt;ProposalToGnatt[[#This Row],[Start Date]],CL$29&lt;ProposalToGnatt[[#This Row],[Start Date]]+ProposalToGnatt[[#This Row],[Days]]),$G$5,"")),"")</f>
        <v/>
      </c>
      <c r="CM37" s="37" t="str">
        <f ca="1">IFERROR(+IF(CM$29=ProposalToGnatt[[#This Row],[Start Date]],Milestone_Marker,IF(AND(CM$29&gt;ProposalToGnatt[[#This Row],[Start Date]],CM$29&lt;ProposalToGnatt[[#This Row],[Start Date]]+ProposalToGnatt[[#This Row],[Days]]),$G$5,"")),"")</f>
        <v/>
      </c>
      <c r="CN37" s="37" t="str">
        <f ca="1">IFERROR(+IF(CN$29=ProposalToGnatt[[#This Row],[Start Date]],Milestone_Marker,IF(AND(CN$29&gt;ProposalToGnatt[[#This Row],[Start Date]],CN$29&lt;ProposalToGnatt[[#This Row],[Start Date]]+ProposalToGnatt[[#This Row],[Days]]),$G$5,"")),"")</f>
        <v/>
      </c>
      <c r="CO37" s="37" t="str">
        <f ca="1">IFERROR(+IF(CO$29=ProposalToGnatt[[#This Row],[Start Date]],Milestone_Marker,IF(AND(CO$29&gt;ProposalToGnatt[[#This Row],[Start Date]],CO$29&lt;ProposalToGnatt[[#This Row],[Start Date]]+ProposalToGnatt[[#This Row],[Days]]),$G$5,"")),"")</f>
        <v/>
      </c>
      <c r="CP37" s="37" t="str">
        <f ca="1">IFERROR(+IF(CP$29=ProposalToGnatt[[#This Row],[Start Date]],Milestone_Marker,IF(AND(CP$29&gt;ProposalToGnatt[[#This Row],[Start Date]],CP$29&lt;ProposalToGnatt[[#This Row],[Start Date]]+ProposalToGnatt[[#This Row],[Days]]),$G$5,"")),"")</f>
        <v/>
      </c>
      <c r="CQ37" s="37" t="str">
        <f ca="1">IFERROR(+IF(CQ$29=ProposalToGnatt[[#This Row],[Start Date]],Milestone_Marker,IF(AND(CQ$29&gt;ProposalToGnatt[[#This Row],[Start Date]],CQ$29&lt;ProposalToGnatt[[#This Row],[Start Date]]+ProposalToGnatt[[#This Row],[Days]]),$G$5,"")),"")</f>
        <v/>
      </c>
      <c r="CR37" s="37" t="str">
        <f ca="1">IFERROR(+IF(CR$29=ProposalToGnatt[[#This Row],[Start Date]],Milestone_Marker,IF(AND(CR$29&gt;ProposalToGnatt[[#This Row],[Start Date]],CR$29&lt;ProposalToGnatt[[#This Row],[Start Date]]+ProposalToGnatt[[#This Row],[Days]]),$G$5,"")),"")</f>
        <v/>
      </c>
      <c r="CS37" s="37" t="str">
        <f ca="1">IFERROR(+IF(CS$29=ProposalToGnatt[[#This Row],[Start Date]],Milestone_Marker,IF(AND(CS$29&gt;ProposalToGnatt[[#This Row],[Start Date]],CS$29&lt;ProposalToGnatt[[#This Row],[Start Date]]+ProposalToGnatt[[#This Row],[Days]]),$G$5,"")),"")</f>
        <v/>
      </c>
      <c r="CT37" s="37" t="str">
        <f ca="1">IFERROR(+IF(CT$29=ProposalToGnatt[[#This Row],[Start Date]],Milestone_Marker,IF(AND(CT$29&gt;ProposalToGnatt[[#This Row],[Start Date]],CT$29&lt;ProposalToGnatt[[#This Row],[Start Date]]+ProposalToGnatt[[#This Row],[Days]]),$G$5,"")),"")</f>
        <v/>
      </c>
      <c r="CU37" s="37" t="str">
        <f ca="1">IFERROR(+IF(CU$29=ProposalToGnatt[[#This Row],[Start Date]],Milestone_Marker,IF(AND(CU$29&gt;ProposalToGnatt[[#This Row],[Start Date]],CU$29&lt;ProposalToGnatt[[#This Row],[Start Date]]+ProposalToGnatt[[#This Row],[Days]]),$G$5,"")),"")</f>
        <v/>
      </c>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row>
    <row r="38" spans="1:125" s="42" customFormat="1" ht="20.100000000000001" customHeight="1">
      <c r="A38" t="s">
        <v>437</v>
      </c>
      <c r="B38">
        <v>9</v>
      </c>
      <c r="C38" t="s">
        <v>355</v>
      </c>
      <c r="D38" t="s">
        <v>348</v>
      </c>
      <c r="E38" t="s">
        <v>356</v>
      </c>
      <c r="F38">
        <v>0</v>
      </c>
      <c r="G38" s="11">
        <v>135</v>
      </c>
      <c r="H38" s="26">
        <v>0</v>
      </c>
      <c r="I38"/>
      <c r="J38"/>
      <c r="K38" s="363"/>
      <c r="L38"/>
      <c r="M38"/>
      <c r="N38"/>
      <c r="O38" s="26"/>
      <c r="P38" s="37">
        <f ca="1">IFERROR(+IF(P$29=ProposalToGnatt[[#This Row],[Start Date]],Milestone_Marker,IF(AND(P$29&gt;ProposalToGnatt[[#This Row],[Start Date]],P$29&lt;ProposalToGnatt[[#This Row],[Start Date]]+ProposalToGnatt[[#This Row],[Days]]),$G$5,"")),"")</f>
        <v>1</v>
      </c>
      <c r="Q38" s="37" t="str">
        <f ca="1">IFERROR(+IF(Q$29=ProposalToGnatt[[#This Row],[Start Date]],Milestone_Marker,IF(AND(Q$29&gt;ProposalToGnatt[[#This Row],[Start Date]],Q$29&lt;ProposalToGnatt[[#This Row],[Start Date]]+ProposalToGnatt[[#This Row],[Days]]),$G$5,"")),"")</f>
        <v/>
      </c>
      <c r="R38" s="37" t="str">
        <f ca="1">IFERROR(+IF(R$29=ProposalToGnatt[[#This Row],[Start Date]],Milestone_Marker,IF(AND(R$29&gt;ProposalToGnatt[[#This Row],[Start Date]],R$29&lt;ProposalToGnatt[[#This Row],[Start Date]]+ProposalToGnatt[[#This Row],[Days]]),$G$5,"")),"")</f>
        <v/>
      </c>
      <c r="S38" s="37" t="str">
        <f ca="1">IFERROR(+IF(S$29=ProposalToGnatt[[#This Row],[Start Date]],Milestone_Marker,IF(AND(S$29&gt;ProposalToGnatt[[#This Row],[Start Date]],S$29&lt;ProposalToGnatt[[#This Row],[Start Date]]+ProposalToGnatt[[#This Row],[Days]]),$G$5,"")),"")</f>
        <v/>
      </c>
      <c r="T38" s="37" t="str">
        <f ca="1">IFERROR(+IF(T$29=ProposalToGnatt[[#This Row],[Start Date]],Milestone_Marker,IF(AND(T$29&gt;ProposalToGnatt[[#This Row],[Start Date]],T$29&lt;ProposalToGnatt[[#This Row],[Start Date]]+ProposalToGnatt[[#This Row],[Days]]),$G$5,"")),"")</f>
        <v/>
      </c>
      <c r="U38" s="37" t="str">
        <f ca="1">IFERROR(+IF(U$29=ProposalToGnatt[[#This Row],[Start Date]],Milestone_Marker,IF(AND(U$29&gt;ProposalToGnatt[[#This Row],[Start Date]],U$29&lt;ProposalToGnatt[[#This Row],[Start Date]]+ProposalToGnatt[[#This Row],[Days]]),$G$5,"")),"")</f>
        <v/>
      </c>
      <c r="V38" s="37" t="str">
        <f ca="1">IFERROR(+IF(V$29=ProposalToGnatt[[#This Row],[Start Date]],Milestone_Marker,IF(AND(V$29&gt;ProposalToGnatt[[#This Row],[Start Date]],V$29&lt;ProposalToGnatt[[#This Row],[Start Date]]+ProposalToGnatt[[#This Row],[Days]]),$G$5,"")),"")</f>
        <v/>
      </c>
      <c r="W38" s="37" t="str">
        <f ca="1">IFERROR(+IF(W$29=ProposalToGnatt[[#This Row],[Start Date]],Milestone_Marker,IF(AND(W$29&gt;ProposalToGnatt[[#This Row],[Start Date]],W$29&lt;ProposalToGnatt[[#This Row],[Start Date]]+ProposalToGnatt[[#This Row],[Days]]),$G$5,"")),"")</f>
        <v/>
      </c>
      <c r="X38" s="37" t="str">
        <f ca="1">IFERROR(+IF(X$29=ProposalToGnatt[[#This Row],[Start Date]],Milestone_Marker,IF(AND(X$29&gt;ProposalToGnatt[[#This Row],[Start Date]],X$29&lt;ProposalToGnatt[[#This Row],[Start Date]]+ProposalToGnatt[[#This Row],[Days]]),$G$5,"")),"")</f>
        <v/>
      </c>
      <c r="Y38" s="37" t="str">
        <f ca="1">IFERROR(+IF(Y$29=ProposalToGnatt[[#This Row],[Start Date]],Milestone_Marker,IF(AND(Y$29&gt;ProposalToGnatt[[#This Row],[Start Date]],Y$29&lt;ProposalToGnatt[[#This Row],[Start Date]]+ProposalToGnatt[[#This Row],[Days]]),$G$5,"")),"")</f>
        <v/>
      </c>
      <c r="Z38" s="37" t="str">
        <f ca="1">IFERROR(+IF(Z$29=ProposalToGnatt[[#This Row],[Start Date]],Milestone_Marker,IF(AND(Z$29&gt;ProposalToGnatt[[#This Row],[Start Date]],Z$29&lt;ProposalToGnatt[[#This Row],[Start Date]]+ProposalToGnatt[[#This Row],[Days]]),$G$5,"")),"")</f>
        <v/>
      </c>
      <c r="AA38" s="37" t="str">
        <f ca="1">IFERROR(+IF(AA$29=ProposalToGnatt[[#This Row],[Start Date]],Milestone_Marker,IF(AND(AA$29&gt;ProposalToGnatt[[#This Row],[Start Date]],AA$29&lt;ProposalToGnatt[[#This Row],[Start Date]]+ProposalToGnatt[[#This Row],[Days]]),$G$5,"")),"")</f>
        <v/>
      </c>
      <c r="AB38" s="37" t="str">
        <f ca="1">IFERROR(+IF(AB$29=ProposalToGnatt[[#This Row],[Start Date]],Milestone_Marker,IF(AND(AB$29&gt;ProposalToGnatt[[#This Row],[Start Date]],AB$29&lt;ProposalToGnatt[[#This Row],[Start Date]]+ProposalToGnatt[[#This Row],[Days]]),$G$5,"")),"")</f>
        <v/>
      </c>
      <c r="AC38" s="37" t="str">
        <f ca="1">IFERROR(+IF(AC$29=ProposalToGnatt[[#This Row],[Start Date]],Milestone_Marker,IF(AND(AC$29&gt;ProposalToGnatt[[#This Row],[Start Date]],AC$29&lt;ProposalToGnatt[[#This Row],[Start Date]]+ProposalToGnatt[[#This Row],[Days]]),$G$5,"")),"")</f>
        <v/>
      </c>
      <c r="AD38" s="37" t="str">
        <f ca="1">IFERROR(+IF(AD$29=ProposalToGnatt[[#This Row],[Start Date]],Milestone_Marker,IF(AND(AD$29&gt;ProposalToGnatt[[#This Row],[Start Date]],AD$29&lt;ProposalToGnatt[[#This Row],[Start Date]]+ProposalToGnatt[[#This Row],[Days]]),$G$5,"")),"")</f>
        <v/>
      </c>
      <c r="AE38" s="37" t="str">
        <f ca="1">IFERROR(+IF(AE$29=ProposalToGnatt[[#This Row],[Start Date]],Milestone_Marker,IF(AND(AE$29&gt;ProposalToGnatt[[#This Row],[Start Date]],AE$29&lt;ProposalToGnatt[[#This Row],[Start Date]]+ProposalToGnatt[[#This Row],[Days]]),$G$5,"")),"")</f>
        <v/>
      </c>
      <c r="AF38" s="37" t="str">
        <f ca="1">IFERROR(+IF(AF$29=ProposalToGnatt[[#This Row],[Start Date]],Milestone_Marker,IF(AND(AF$29&gt;ProposalToGnatt[[#This Row],[Start Date]],AF$29&lt;ProposalToGnatt[[#This Row],[Start Date]]+ProposalToGnatt[[#This Row],[Days]]),$G$5,"")),"")</f>
        <v/>
      </c>
      <c r="AG38" s="37" t="str">
        <f ca="1">IFERROR(+IF(AG$29=ProposalToGnatt[[#This Row],[Start Date]],Milestone_Marker,IF(AND(AG$29&gt;ProposalToGnatt[[#This Row],[Start Date]],AG$29&lt;ProposalToGnatt[[#This Row],[Start Date]]+ProposalToGnatt[[#This Row],[Days]]),$G$5,"")),"")</f>
        <v/>
      </c>
      <c r="AH38" s="37" t="str">
        <f ca="1">IFERROR(+IF(AH$29=ProposalToGnatt[[#This Row],[Start Date]],Milestone_Marker,IF(AND(AH$29&gt;ProposalToGnatt[[#This Row],[Start Date]],AH$29&lt;ProposalToGnatt[[#This Row],[Start Date]]+ProposalToGnatt[[#This Row],[Days]]),$G$5,"")),"")</f>
        <v/>
      </c>
      <c r="AI38" s="37" t="str">
        <f ca="1">IFERROR(+IF(AI$29=ProposalToGnatt[[#This Row],[Start Date]],Milestone_Marker,IF(AND(AI$29&gt;ProposalToGnatt[[#This Row],[Start Date]],AI$29&lt;ProposalToGnatt[[#This Row],[Start Date]]+ProposalToGnatt[[#This Row],[Days]]),$G$5,"")),"")</f>
        <v/>
      </c>
      <c r="AJ38" s="37" t="str">
        <f ca="1">IFERROR(+IF(AJ$29=ProposalToGnatt[[#This Row],[Start Date]],Milestone_Marker,IF(AND(AJ$29&gt;ProposalToGnatt[[#This Row],[Start Date]],AJ$29&lt;ProposalToGnatt[[#This Row],[Start Date]]+ProposalToGnatt[[#This Row],[Days]]),$G$5,"")),"")</f>
        <v/>
      </c>
      <c r="AK38" s="37" t="str">
        <f ca="1">IFERROR(+IF(AK$29=ProposalToGnatt[[#This Row],[Start Date]],Milestone_Marker,IF(AND(AK$29&gt;ProposalToGnatt[[#This Row],[Start Date]],AK$29&lt;ProposalToGnatt[[#This Row],[Start Date]]+ProposalToGnatt[[#This Row],[Days]]),$G$5,"")),"")</f>
        <v/>
      </c>
      <c r="AL38" s="37" t="str">
        <f ca="1">IFERROR(+IF(AL$29=ProposalToGnatt[[#This Row],[Start Date]],Milestone_Marker,IF(AND(AL$29&gt;ProposalToGnatt[[#This Row],[Start Date]],AL$29&lt;ProposalToGnatt[[#This Row],[Start Date]]+ProposalToGnatt[[#This Row],[Days]]),$G$5,"")),"")</f>
        <v/>
      </c>
      <c r="AM38" s="37" t="str">
        <f ca="1">IFERROR(+IF(AM$29=ProposalToGnatt[[#This Row],[Start Date]],Milestone_Marker,IF(AND(AM$29&gt;ProposalToGnatt[[#This Row],[Start Date]],AM$29&lt;ProposalToGnatt[[#This Row],[Start Date]]+ProposalToGnatt[[#This Row],[Days]]),$G$5,"")),"")</f>
        <v/>
      </c>
      <c r="AN38" s="37" t="str">
        <f ca="1">IFERROR(+IF(AN$29=ProposalToGnatt[[#This Row],[Start Date]],Milestone_Marker,IF(AND(AN$29&gt;ProposalToGnatt[[#This Row],[Start Date]],AN$29&lt;ProposalToGnatt[[#This Row],[Start Date]]+ProposalToGnatt[[#This Row],[Days]]),$G$5,"")),"")</f>
        <v/>
      </c>
      <c r="AO38" s="37" t="str">
        <f ca="1">IFERROR(+IF(AO$29=ProposalToGnatt[[#This Row],[Start Date]],Milestone_Marker,IF(AND(AO$29&gt;ProposalToGnatt[[#This Row],[Start Date]],AO$29&lt;ProposalToGnatt[[#This Row],[Start Date]]+ProposalToGnatt[[#This Row],[Days]]),$G$5,"")),"")</f>
        <v/>
      </c>
      <c r="AP38" s="37" t="str">
        <f ca="1">IFERROR(+IF(AP$29=ProposalToGnatt[[#This Row],[Start Date]],Milestone_Marker,IF(AND(AP$29&gt;ProposalToGnatt[[#This Row],[Start Date]],AP$29&lt;ProposalToGnatt[[#This Row],[Start Date]]+ProposalToGnatt[[#This Row],[Days]]),$G$5,"")),"")</f>
        <v/>
      </c>
      <c r="AQ38" s="37" t="str">
        <f ca="1">IFERROR(+IF(AQ$29=ProposalToGnatt[[#This Row],[Start Date]],Milestone_Marker,IF(AND(AQ$29&gt;ProposalToGnatt[[#This Row],[Start Date]],AQ$29&lt;ProposalToGnatt[[#This Row],[Start Date]]+ProposalToGnatt[[#This Row],[Days]]),$G$5,"")),"")</f>
        <v/>
      </c>
      <c r="AR38" s="37" t="str">
        <f ca="1">IFERROR(+IF(AR$29=ProposalToGnatt[[#This Row],[Start Date]],Milestone_Marker,IF(AND(AR$29&gt;ProposalToGnatt[[#This Row],[Start Date]],AR$29&lt;ProposalToGnatt[[#This Row],[Start Date]]+ProposalToGnatt[[#This Row],[Days]]),$G$5,"")),"")</f>
        <v/>
      </c>
      <c r="AS38" s="37" t="str">
        <f ca="1">IFERROR(+IF(AS$29=ProposalToGnatt[[#This Row],[Start Date]],Milestone_Marker,IF(AND(AS$29&gt;ProposalToGnatt[[#This Row],[Start Date]],AS$29&lt;ProposalToGnatt[[#This Row],[Start Date]]+ProposalToGnatt[[#This Row],[Days]]),$G$5,"")),"")</f>
        <v/>
      </c>
      <c r="AT38" s="37" t="str">
        <f ca="1">IFERROR(+IF(AT$29=ProposalToGnatt[[#This Row],[Start Date]],Milestone_Marker,IF(AND(AT$29&gt;ProposalToGnatt[[#This Row],[Start Date]],AT$29&lt;ProposalToGnatt[[#This Row],[Start Date]]+ProposalToGnatt[[#This Row],[Days]]),$G$5,"")),"")</f>
        <v/>
      </c>
      <c r="AU38" s="37" t="str">
        <f ca="1">IFERROR(+IF(AU$29=ProposalToGnatt[[#This Row],[Start Date]],Milestone_Marker,IF(AND(AU$29&gt;ProposalToGnatt[[#This Row],[Start Date]],AU$29&lt;ProposalToGnatt[[#This Row],[Start Date]]+ProposalToGnatt[[#This Row],[Days]]),$G$5,"")),"")</f>
        <v/>
      </c>
      <c r="AV38" s="37" t="str">
        <f ca="1">IFERROR(+IF(AV$29=ProposalToGnatt[[#This Row],[Start Date]],Milestone_Marker,IF(AND(AV$29&gt;ProposalToGnatt[[#This Row],[Start Date]],AV$29&lt;ProposalToGnatt[[#This Row],[Start Date]]+ProposalToGnatt[[#This Row],[Days]]),$G$5,"")),"")</f>
        <v/>
      </c>
      <c r="AW38" s="37" t="str">
        <f ca="1">IFERROR(+IF(AW$29=ProposalToGnatt[[#This Row],[Start Date]],Milestone_Marker,IF(AND(AW$29&gt;ProposalToGnatt[[#This Row],[Start Date]],AW$29&lt;ProposalToGnatt[[#This Row],[Start Date]]+ProposalToGnatt[[#This Row],[Days]]),$G$5,"")),"")</f>
        <v/>
      </c>
      <c r="AX38" s="37" t="str">
        <f ca="1">IFERROR(+IF(AX$29=ProposalToGnatt[[#This Row],[Start Date]],Milestone_Marker,IF(AND(AX$29&gt;ProposalToGnatt[[#This Row],[Start Date]],AX$29&lt;ProposalToGnatt[[#This Row],[Start Date]]+ProposalToGnatt[[#This Row],[Days]]),$G$5,"")),"")</f>
        <v/>
      </c>
      <c r="AY38" s="37" t="str">
        <f ca="1">IFERROR(+IF(AY$29=ProposalToGnatt[[#This Row],[Start Date]],Milestone_Marker,IF(AND(AY$29&gt;ProposalToGnatt[[#This Row],[Start Date]],AY$29&lt;ProposalToGnatt[[#This Row],[Start Date]]+ProposalToGnatt[[#This Row],[Days]]),$G$5,"")),"")</f>
        <v/>
      </c>
      <c r="AZ38" s="37" t="str">
        <f ca="1">IFERROR(+IF(AZ$29=ProposalToGnatt[[#This Row],[Start Date]],Milestone_Marker,IF(AND(AZ$29&gt;ProposalToGnatt[[#This Row],[Start Date]],AZ$29&lt;ProposalToGnatt[[#This Row],[Start Date]]+ProposalToGnatt[[#This Row],[Days]]),$G$5,"")),"")</f>
        <v/>
      </c>
      <c r="BA38" s="37" t="str">
        <f ca="1">IFERROR(+IF(BA$29=ProposalToGnatt[[#This Row],[Start Date]],Milestone_Marker,IF(AND(BA$29&gt;ProposalToGnatt[[#This Row],[Start Date]],BA$29&lt;ProposalToGnatt[[#This Row],[Start Date]]+ProposalToGnatt[[#This Row],[Days]]),$G$5,"")),"")</f>
        <v/>
      </c>
      <c r="BB38" s="37" t="str">
        <f ca="1">IFERROR(+IF(BB$29=ProposalToGnatt[[#This Row],[Start Date]],Milestone_Marker,IF(AND(BB$29&gt;ProposalToGnatt[[#This Row],[Start Date]],BB$29&lt;ProposalToGnatt[[#This Row],[Start Date]]+ProposalToGnatt[[#This Row],[Days]]),$G$5,"")),"")</f>
        <v/>
      </c>
      <c r="BC38" s="37" t="str">
        <f ca="1">IFERROR(+IF(BC$29=ProposalToGnatt[[#This Row],[Start Date]],Milestone_Marker,IF(AND(BC$29&gt;ProposalToGnatt[[#This Row],[Start Date]],BC$29&lt;ProposalToGnatt[[#This Row],[Start Date]]+ProposalToGnatt[[#This Row],[Days]]),$G$5,"")),"")</f>
        <v/>
      </c>
      <c r="BD38" s="37" t="str">
        <f ca="1">IFERROR(+IF(BD$29=ProposalToGnatt[[#This Row],[Start Date]],Milestone_Marker,IF(AND(BD$29&gt;ProposalToGnatt[[#This Row],[Start Date]],BD$29&lt;ProposalToGnatt[[#This Row],[Start Date]]+ProposalToGnatt[[#This Row],[Days]]),$G$5,"")),"")</f>
        <v/>
      </c>
      <c r="BE38" s="37" t="str">
        <f ca="1">IFERROR(+IF(BE$29=ProposalToGnatt[[#This Row],[Start Date]],Milestone_Marker,IF(AND(BE$29&gt;ProposalToGnatt[[#This Row],[Start Date]],BE$29&lt;ProposalToGnatt[[#This Row],[Start Date]]+ProposalToGnatt[[#This Row],[Days]]),$G$5,"")),"")</f>
        <v/>
      </c>
      <c r="BF38" s="37" t="str">
        <f ca="1">IFERROR(+IF(BF$29=ProposalToGnatt[[#This Row],[Start Date]],Milestone_Marker,IF(AND(BF$29&gt;ProposalToGnatt[[#This Row],[Start Date]],BF$29&lt;ProposalToGnatt[[#This Row],[Start Date]]+ProposalToGnatt[[#This Row],[Days]]),$G$5,"")),"")</f>
        <v/>
      </c>
      <c r="BG38" s="37" t="str">
        <f ca="1">IFERROR(+IF(BG$29=ProposalToGnatt[[#This Row],[Start Date]],Milestone_Marker,IF(AND(BG$29&gt;ProposalToGnatt[[#This Row],[Start Date]],BG$29&lt;ProposalToGnatt[[#This Row],[Start Date]]+ProposalToGnatt[[#This Row],[Days]]),$G$5,"")),"")</f>
        <v/>
      </c>
      <c r="BH38" s="37" t="str">
        <f ca="1">IFERROR(+IF(BH$29=ProposalToGnatt[[#This Row],[Start Date]],Milestone_Marker,IF(AND(BH$29&gt;ProposalToGnatt[[#This Row],[Start Date]],BH$29&lt;ProposalToGnatt[[#This Row],[Start Date]]+ProposalToGnatt[[#This Row],[Days]]),$G$5,"")),"")</f>
        <v/>
      </c>
      <c r="BI38" s="37" t="str">
        <f ca="1">IFERROR(+IF(BI$29=ProposalToGnatt[[#This Row],[Start Date]],Milestone_Marker,IF(AND(BI$29&gt;ProposalToGnatt[[#This Row],[Start Date]],BI$29&lt;ProposalToGnatt[[#This Row],[Start Date]]+ProposalToGnatt[[#This Row],[Days]]),$G$5,"")),"")</f>
        <v/>
      </c>
      <c r="BJ38" s="37" t="str">
        <f ca="1">IFERROR(+IF(BJ$29=ProposalToGnatt[[#This Row],[Start Date]],Milestone_Marker,IF(AND(BJ$29&gt;ProposalToGnatt[[#This Row],[Start Date]],BJ$29&lt;ProposalToGnatt[[#This Row],[Start Date]]+ProposalToGnatt[[#This Row],[Days]]),$G$5,"")),"")</f>
        <v/>
      </c>
      <c r="BK38" s="37" t="str">
        <f ca="1">IFERROR(+IF(BK$29=ProposalToGnatt[[#This Row],[Start Date]],Milestone_Marker,IF(AND(BK$29&gt;ProposalToGnatt[[#This Row],[Start Date]],BK$29&lt;ProposalToGnatt[[#This Row],[Start Date]]+ProposalToGnatt[[#This Row],[Days]]),$G$5,"")),"")</f>
        <v/>
      </c>
      <c r="BL38" s="37" t="str">
        <f ca="1">IFERROR(+IF(BL$29=ProposalToGnatt[[#This Row],[Start Date]],Milestone_Marker,IF(AND(BL$29&gt;ProposalToGnatt[[#This Row],[Start Date]],BL$29&lt;ProposalToGnatt[[#This Row],[Start Date]]+ProposalToGnatt[[#This Row],[Days]]),$G$5,"")),"")</f>
        <v/>
      </c>
      <c r="BM38" s="37" t="str">
        <f ca="1">IFERROR(+IF(BM$29=ProposalToGnatt[[#This Row],[Start Date]],Milestone_Marker,IF(AND(BM$29&gt;ProposalToGnatt[[#This Row],[Start Date]],BM$29&lt;ProposalToGnatt[[#This Row],[Start Date]]+ProposalToGnatt[[#This Row],[Days]]),$G$5,"")),"")</f>
        <v/>
      </c>
      <c r="BN38" s="37" t="str">
        <f ca="1">IFERROR(+IF(BN$29=ProposalToGnatt[[#This Row],[Start Date]],Milestone_Marker,IF(AND(BN$29&gt;ProposalToGnatt[[#This Row],[Start Date]],BN$29&lt;ProposalToGnatt[[#This Row],[Start Date]]+ProposalToGnatt[[#This Row],[Days]]),$G$5,"")),"")</f>
        <v/>
      </c>
      <c r="BO38" s="37" t="str">
        <f ca="1">IFERROR(+IF(BO$29=ProposalToGnatt[[#This Row],[Start Date]],Milestone_Marker,IF(AND(BO$29&gt;ProposalToGnatt[[#This Row],[Start Date]],BO$29&lt;ProposalToGnatt[[#This Row],[Start Date]]+ProposalToGnatt[[#This Row],[Days]]),$G$5,"")),"")</f>
        <v/>
      </c>
      <c r="BP38" s="37" t="str">
        <f ca="1">IFERROR(+IF(BP$29=ProposalToGnatt[[#This Row],[Start Date]],Milestone_Marker,IF(AND(BP$29&gt;ProposalToGnatt[[#This Row],[Start Date]],BP$29&lt;ProposalToGnatt[[#This Row],[Start Date]]+ProposalToGnatt[[#This Row],[Days]]),$G$5,"")),"")</f>
        <v/>
      </c>
      <c r="BQ38" s="37" t="str">
        <f ca="1">IFERROR(+IF(BQ$29=ProposalToGnatt[[#This Row],[Start Date]],Milestone_Marker,IF(AND(BQ$29&gt;ProposalToGnatt[[#This Row],[Start Date]],BQ$29&lt;ProposalToGnatt[[#This Row],[Start Date]]+ProposalToGnatt[[#This Row],[Days]]),$G$5,"")),"")</f>
        <v/>
      </c>
      <c r="BR38" s="37" t="str">
        <f ca="1">IFERROR(+IF(BR$29=ProposalToGnatt[[#This Row],[Start Date]],Milestone_Marker,IF(AND(BR$29&gt;ProposalToGnatt[[#This Row],[Start Date]],BR$29&lt;ProposalToGnatt[[#This Row],[Start Date]]+ProposalToGnatt[[#This Row],[Days]]),$G$5,"")),"")</f>
        <v/>
      </c>
      <c r="BS38" s="37" t="str">
        <f ca="1">IFERROR(+IF(BS$29=ProposalToGnatt[[#This Row],[Start Date]],Milestone_Marker,IF(AND(BS$29&gt;ProposalToGnatt[[#This Row],[Start Date]],BS$29&lt;ProposalToGnatt[[#This Row],[Start Date]]+ProposalToGnatt[[#This Row],[Days]]),$G$5,"")),"")</f>
        <v/>
      </c>
      <c r="BT38" s="37" t="str">
        <f ca="1">IFERROR(+IF(BT$29=ProposalToGnatt[[#This Row],[Start Date]],Milestone_Marker,IF(AND(BT$29&gt;ProposalToGnatt[[#This Row],[Start Date]],BT$29&lt;ProposalToGnatt[[#This Row],[Start Date]]+ProposalToGnatt[[#This Row],[Days]]),$G$5,"")),"")</f>
        <v/>
      </c>
      <c r="BU38" s="37" t="str">
        <f ca="1">IFERROR(+IF(BU$29=ProposalToGnatt[[#This Row],[Start Date]],Milestone_Marker,IF(AND(BU$29&gt;ProposalToGnatt[[#This Row],[Start Date]],BU$29&lt;ProposalToGnatt[[#This Row],[Start Date]]+ProposalToGnatt[[#This Row],[Days]]),$G$5,"")),"")</f>
        <v/>
      </c>
      <c r="BV38" s="37" t="str">
        <f ca="1">IFERROR(+IF(BV$29=ProposalToGnatt[[#This Row],[Start Date]],Milestone_Marker,IF(AND(BV$29&gt;ProposalToGnatt[[#This Row],[Start Date]],BV$29&lt;ProposalToGnatt[[#This Row],[Start Date]]+ProposalToGnatt[[#This Row],[Days]]),$G$5,"")),"")</f>
        <v/>
      </c>
      <c r="BW38" s="37" t="str">
        <f ca="1">IFERROR(+IF(BW$29=ProposalToGnatt[[#This Row],[Start Date]],Milestone_Marker,IF(AND(BW$29&gt;ProposalToGnatt[[#This Row],[Start Date]],BW$29&lt;ProposalToGnatt[[#This Row],[Start Date]]+ProposalToGnatt[[#This Row],[Days]]),$G$5,"")),"")</f>
        <v/>
      </c>
      <c r="BX38" s="37" t="str">
        <f ca="1">IFERROR(+IF(BX$29=ProposalToGnatt[[#This Row],[Start Date]],Milestone_Marker,IF(AND(BX$29&gt;ProposalToGnatt[[#This Row],[Start Date]],BX$29&lt;ProposalToGnatt[[#This Row],[Start Date]]+ProposalToGnatt[[#This Row],[Days]]),$G$5,"")),"")</f>
        <v/>
      </c>
      <c r="BY38" s="37" t="str">
        <f ca="1">IFERROR(+IF(BY$29=ProposalToGnatt[[#This Row],[Start Date]],Milestone_Marker,IF(AND(BY$29&gt;ProposalToGnatt[[#This Row],[Start Date]],BY$29&lt;ProposalToGnatt[[#This Row],[Start Date]]+ProposalToGnatt[[#This Row],[Days]]),$G$5,"")),"")</f>
        <v/>
      </c>
      <c r="BZ38" s="37" t="str">
        <f ca="1">IFERROR(+IF(BZ$29=ProposalToGnatt[[#This Row],[Start Date]],Milestone_Marker,IF(AND(BZ$29&gt;ProposalToGnatt[[#This Row],[Start Date]],BZ$29&lt;ProposalToGnatt[[#This Row],[Start Date]]+ProposalToGnatt[[#This Row],[Days]]),$G$5,"")),"")</f>
        <v/>
      </c>
      <c r="CA38" s="37" t="str">
        <f ca="1">IFERROR(+IF(CA$29=ProposalToGnatt[[#This Row],[Start Date]],Milestone_Marker,IF(AND(CA$29&gt;ProposalToGnatt[[#This Row],[Start Date]],CA$29&lt;ProposalToGnatt[[#This Row],[Start Date]]+ProposalToGnatt[[#This Row],[Days]]),$G$5,"")),"")</f>
        <v/>
      </c>
      <c r="CB38" s="37" t="str">
        <f ca="1">IFERROR(+IF(CB$29=ProposalToGnatt[[#This Row],[Start Date]],Milestone_Marker,IF(AND(CB$29&gt;ProposalToGnatt[[#This Row],[Start Date]],CB$29&lt;ProposalToGnatt[[#This Row],[Start Date]]+ProposalToGnatt[[#This Row],[Days]]),$G$5,"")),"")</f>
        <v/>
      </c>
      <c r="CC38" s="37" t="str">
        <f ca="1">IFERROR(+IF(CC$29=ProposalToGnatt[[#This Row],[Start Date]],Milestone_Marker,IF(AND(CC$29&gt;ProposalToGnatt[[#This Row],[Start Date]],CC$29&lt;ProposalToGnatt[[#This Row],[Start Date]]+ProposalToGnatt[[#This Row],[Days]]),$G$5,"")),"")</f>
        <v/>
      </c>
      <c r="CD38" s="37" t="str">
        <f ca="1">IFERROR(+IF(CD$29=ProposalToGnatt[[#This Row],[Start Date]],Milestone_Marker,IF(AND(CD$29&gt;ProposalToGnatt[[#This Row],[Start Date]],CD$29&lt;ProposalToGnatt[[#This Row],[Start Date]]+ProposalToGnatt[[#This Row],[Days]]),$G$5,"")),"")</f>
        <v/>
      </c>
      <c r="CE38" s="37" t="str">
        <f ca="1">IFERROR(+IF(CE$29=ProposalToGnatt[[#This Row],[Start Date]],Milestone_Marker,IF(AND(CE$29&gt;ProposalToGnatt[[#This Row],[Start Date]],CE$29&lt;ProposalToGnatt[[#This Row],[Start Date]]+ProposalToGnatt[[#This Row],[Days]]),$G$5,"")),"")</f>
        <v/>
      </c>
      <c r="CF38" s="37" t="str">
        <f ca="1">IFERROR(+IF(CF$29=ProposalToGnatt[[#This Row],[Start Date]],Milestone_Marker,IF(AND(CF$29&gt;ProposalToGnatt[[#This Row],[Start Date]],CF$29&lt;ProposalToGnatt[[#This Row],[Start Date]]+ProposalToGnatt[[#This Row],[Days]]),$G$5,"")),"")</f>
        <v/>
      </c>
      <c r="CG38" s="37" t="str">
        <f ca="1">IFERROR(+IF(CG$29=ProposalToGnatt[[#This Row],[Start Date]],Milestone_Marker,IF(AND(CG$29&gt;ProposalToGnatt[[#This Row],[Start Date]],CG$29&lt;ProposalToGnatt[[#This Row],[Start Date]]+ProposalToGnatt[[#This Row],[Days]]),$G$5,"")),"")</f>
        <v/>
      </c>
      <c r="CH38" s="37" t="str">
        <f ca="1">IFERROR(+IF(CH$29=ProposalToGnatt[[#This Row],[Start Date]],Milestone_Marker,IF(AND(CH$29&gt;ProposalToGnatt[[#This Row],[Start Date]],CH$29&lt;ProposalToGnatt[[#This Row],[Start Date]]+ProposalToGnatt[[#This Row],[Days]]),$G$5,"")),"")</f>
        <v/>
      </c>
      <c r="CI38" s="37" t="str">
        <f ca="1">IFERROR(+IF(CI$29=ProposalToGnatt[[#This Row],[Start Date]],Milestone_Marker,IF(AND(CI$29&gt;ProposalToGnatt[[#This Row],[Start Date]],CI$29&lt;ProposalToGnatt[[#This Row],[Start Date]]+ProposalToGnatt[[#This Row],[Days]]),$G$5,"")),"")</f>
        <v/>
      </c>
      <c r="CJ38" s="37" t="str">
        <f ca="1">IFERROR(+IF(CJ$29=ProposalToGnatt[[#This Row],[Start Date]],Milestone_Marker,IF(AND(CJ$29&gt;ProposalToGnatt[[#This Row],[Start Date]],CJ$29&lt;ProposalToGnatt[[#This Row],[Start Date]]+ProposalToGnatt[[#This Row],[Days]]),$G$5,"")),"")</f>
        <v/>
      </c>
      <c r="CK38" s="37" t="str">
        <f ca="1">IFERROR(+IF(CK$29=ProposalToGnatt[[#This Row],[Start Date]],Milestone_Marker,IF(AND(CK$29&gt;ProposalToGnatt[[#This Row],[Start Date]],CK$29&lt;ProposalToGnatt[[#This Row],[Start Date]]+ProposalToGnatt[[#This Row],[Days]]),$G$5,"")),"")</f>
        <v/>
      </c>
      <c r="CL38" s="37" t="str">
        <f ca="1">IFERROR(+IF(CL$29=ProposalToGnatt[[#This Row],[Start Date]],Milestone_Marker,IF(AND(CL$29&gt;ProposalToGnatt[[#This Row],[Start Date]],CL$29&lt;ProposalToGnatt[[#This Row],[Start Date]]+ProposalToGnatt[[#This Row],[Days]]),$G$5,"")),"")</f>
        <v/>
      </c>
      <c r="CM38" s="37" t="str">
        <f ca="1">IFERROR(+IF(CM$29=ProposalToGnatt[[#This Row],[Start Date]],Milestone_Marker,IF(AND(CM$29&gt;ProposalToGnatt[[#This Row],[Start Date]],CM$29&lt;ProposalToGnatt[[#This Row],[Start Date]]+ProposalToGnatt[[#This Row],[Days]]),$G$5,"")),"")</f>
        <v/>
      </c>
      <c r="CN38" s="37" t="str">
        <f ca="1">IFERROR(+IF(CN$29=ProposalToGnatt[[#This Row],[Start Date]],Milestone_Marker,IF(AND(CN$29&gt;ProposalToGnatt[[#This Row],[Start Date]],CN$29&lt;ProposalToGnatt[[#This Row],[Start Date]]+ProposalToGnatt[[#This Row],[Days]]),$G$5,"")),"")</f>
        <v/>
      </c>
      <c r="CO38" s="37" t="str">
        <f ca="1">IFERROR(+IF(CO$29=ProposalToGnatt[[#This Row],[Start Date]],Milestone_Marker,IF(AND(CO$29&gt;ProposalToGnatt[[#This Row],[Start Date]],CO$29&lt;ProposalToGnatt[[#This Row],[Start Date]]+ProposalToGnatt[[#This Row],[Days]]),$G$5,"")),"")</f>
        <v/>
      </c>
      <c r="CP38" s="37" t="str">
        <f ca="1">IFERROR(+IF(CP$29=ProposalToGnatt[[#This Row],[Start Date]],Milestone_Marker,IF(AND(CP$29&gt;ProposalToGnatt[[#This Row],[Start Date]],CP$29&lt;ProposalToGnatt[[#This Row],[Start Date]]+ProposalToGnatt[[#This Row],[Days]]),$G$5,"")),"")</f>
        <v/>
      </c>
      <c r="CQ38" s="37" t="str">
        <f ca="1">IFERROR(+IF(CQ$29=ProposalToGnatt[[#This Row],[Start Date]],Milestone_Marker,IF(AND(CQ$29&gt;ProposalToGnatt[[#This Row],[Start Date]],CQ$29&lt;ProposalToGnatt[[#This Row],[Start Date]]+ProposalToGnatt[[#This Row],[Days]]),$G$5,"")),"")</f>
        <v/>
      </c>
      <c r="CR38" s="37" t="str">
        <f ca="1">IFERROR(+IF(CR$29=ProposalToGnatt[[#This Row],[Start Date]],Milestone_Marker,IF(AND(CR$29&gt;ProposalToGnatt[[#This Row],[Start Date]],CR$29&lt;ProposalToGnatt[[#This Row],[Start Date]]+ProposalToGnatt[[#This Row],[Days]]),$G$5,"")),"")</f>
        <v/>
      </c>
      <c r="CS38" s="37" t="str">
        <f ca="1">IFERROR(+IF(CS$29=ProposalToGnatt[[#This Row],[Start Date]],Milestone_Marker,IF(AND(CS$29&gt;ProposalToGnatt[[#This Row],[Start Date]],CS$29&lt;ProposalToGnatt[[#This Row],[Start Date]]+ProposalToGnatt[[#This Row],[Days]]),$G$5,"")),"")</f>
        <v/>
      </c>
      <c r="CT38" s="37" t="str">
        <f ca="1">IFERROR(+IF(CT$29=ProposalToGnatt[[#This Row],[Start Date]],Milestone_Marker,IF(AND(CT$29&gt;ProposalToGnatt[[#This Row],[Start Date]],CT$29&lt;ProposalToGnatt[[#This Row],[Start Date]]+ProposalToGnatt[[#This Row],[Days]]),$G$5,"")),"")</f>
        <v/>
      </c>
      <c r="CU38" s="37" t="str">
        <f ca="1">IFERROR(+IF(CU$29=ProposalToGnatt[[#This Row],[Start Date]],Milestone_Marker,IF(AND(CU$29&gt;ProposalToGnatt[[#This Row],[Start Date]],CU$29&lt;ProposalToGnatt[[#This Row],[Start Date]]+ProposalToGnatt[[#This Row],[Days]]),$G$5,"")),"")</f>
        <v/>
      </c>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row>
    <row r="39" spans="1:125" s="42" customFormat="1" ht="20.100000000000001" customHeight="1">
      <c r="A39" t="s">
        <v>438</v>
      </c>
      <c r="B39">
        <v>10</v>
      </c>
      <c r="C39"/>
      <c r="D39"/>
      <c r="E39" t="s">
        <v>357</v>
      </c>
      <c r="F39">
        <v>1</v>
      </c>
      <c r="G39" s="11">
        <v>0</v>
      </c>
      <c r="H39" s="26">
        <v>0</v>
      </c>
      <c r="I39"/>
      <c r="J39"/>
      <c r="K39" s="363"/>
      <c r="L39"/>
      <c r="M39"/>
      <c r="N39"/>
      <c r="O39" s="26"/>
      <c r="P39" s="37">
        <f ca="1">IFERROR(+IF(P$29=ProposalToGnatt[[#This Row],[Start Date]],Milestone_Marker,IF(AND(P$29&gt;ProposalToGnatt[[#This Row],[Start Date]],P$29&lt;ProposalToGnatt[[#This Row],[Start Date]]+ProposalToGnatt[[#This Row],[Days]]),$G$5,"")),"")</f>
        <v>1</v>
      </c>
      <c r="Q39" s="37" t="str">
        <f ca="1">IFERROR(+IF(Q$29=ProposalToGnatt[[#This Row],[Start Date]],Milestone_Marker,IF(AND(Q$29&gt;ProposalToGnatt[[#This Row],[Start Date]],Q$29&lt;ProposalToGnatt[[#This Row],[Start Date]]+ProposalToGnatt[[#This Row],[Days]]),$G$5,"")),"")</f>
        <v/>
      </c>
      <c r="R39" s="37" t="str">
        <f ca="1">IFERROR(+IF(R$29=ProposalToGnatt[[#This Row],[Start Date]],Milestone_Marker,IF(AND(R$29&gt;ProposalToGnatt[[#This Row],[Start Date]],R$29&lt;ProposalToGnatt[[#This Row],[Start Date]]+ProposalToGnatt[[#This Row],[Days]]),$G$5,"")),"")</f>
        <v/>
      </c>
      <c r="S39" s="37" t="str">
        <f ca="1">IFERROR(+IF(S$29=ProposalToGnatt[[#This Row],[Start Date]],Milestone_Marker,IF(AND(S$29&gt;ProposalToGnatt[[#This Row],[Start Date]],S$29&lt;ProposalToGnatt[[#This Row],[Start Date]]+ProposalToGnatt[[#This Row],[Days]]),$G$5,"")),"")</f>
        <v/>
      </c>
      <c r="T39" s="37" t="str">
        <f ca="1">IFERROR(+IF(T$29=ProposalToGnatt[[#This Row],[Start Date]],Milestone_Marker,IF(AND(T$29&gt;ProposalToGnatt[[#This Row],[Start Date]],T$29&lt;ProposalToGnatt[[#This Row],[Start Date]]+ProposalToGnatt[[#This Row],[Days]]),$G$5,"")),"")</f>
        <v/>
      </c>
      <c r="U39" s="37" t="str">
        <f ca="1">IFERROR(+IF(U$29=ProposalToGnatt[[#This Row],[Start Date]],Milestone_Marker,IF(AND(U$29&gt;ProposalToGnatt[[#This Row],[Start Date]],U$29&lt;ProposalToGnatt[[#This Row],[Start Date]]+ProposalToGnatt[[#This Row],[Days]]),$G$5,"")),"")</f>
        <v/>
      </c>
      <c r="V39" s="37" t="str">
        <f ca="1">IFERROR(+IF(V$29=ProposalToGnatt[[#This Row],[Start Date]],Milestone_Marker,IF(AND(V$29&gt;ProposalToGnatt[[#This Row],[Start Date]],V$29&lt;ProposalToGnatt[[#This Row],[Start Date]]+ProposalToGnatt[[#This Row],[Days]]),$G$5,"")),"")</f>
        <v/>
      </c>
      <c r="W39" s="37" t="str">
        <f ca="1">IFERROR(+IF(W$29=ProposalToGnatt[[#This Row],[Start Date]],Milestone_Marker,IF(AND(W$29&gt;ProposalToGnatt[[#This Row],[Start Date]],W$29&lt;ProposalToGnatt[[#This Row],[Start Date]]+ProposalToGnatt[[#This Row],[Days]]),$G$5,"")),"")</f>
        <v/>
      </c>
      <c r="X39" s="37" t="str">
        <f ca="1">IFERROR(+IF(X$29=ProposalToGnatt[[#This Row],[Start Date]],Milestone_Marker,IF(AND(X$29&gt;ProposalToGnatt[[#This Row],[Start Date]],X$29&lt;ProposalToGnatt[[#This Row],[Start Date]]+ProposalToGnatt[[#This Row],[Days]]),$G$5,"")),"")</f>
        <v/>
      </c>
      <c r="Y39" s="37" t="str">
        <f ca="1">IFERROR(+IF(Y$29=ProposalToGnatt[[#This Row],[Start Date]],Milestone_Marker,IF(AND(Y$29&gt;ProposalToGnatt[[#This Row],[Start Date]],Y$29&lt;ProposalToGnatt[[#This Row],[Start Date]]+ProposalToGnatt[[#This Row],[Days]]),$G$5,"")),"")</f>
        <v/>
      </c>
      <c r="Z39" s="37" t="str">
        <f ca="1">IFERROR(+IF(Z$29=ProposalToGnatt[[#This Row],[Start Date]],Milestone_Marker,IF(AND(Z$29&gt;ProposalToGnatt[[#This Row],[Start Date]],Z$29&lt;ProposalToGnatt[[#This Row],[Start Date]]+ProposalToGnatt[[#This Row],[Days]]),$G$5,"")),"")</f>
        <v/>
      </c>
      <c r="AA39" s="37" t="str">
        <f ca="1">IFERROR(+IF(AA$29=ProposalToGnatt[[#This Row],[Start Date]],Milestone_Marker,IF(AND(AA$29&gt;ProposalToGnatt[[#This Row],[Start Date]],AA$29&lt;ProposalToGnatt[[#This Row],[Start Date]]+ProposalToGnatt[[#This Row],[Days]]),$G$5,"")),"")</f>
        <v/>
      </c>
      <c r="AB39" s="37" t="str">
        <f ca="1">IFERROR(+IF(AB$29=ProposalToGnatt[[#This Row],[Start Date]],Milestone_Marker,IF(AND(AB$29&gt;ProposalToGnatt[[#This Row],[Start Date]],AB$29&lt;ProposalToGnatt[[#This Row],[Start Date]]+ProposalToGnatt[[#This Row],[Days]]),$G$5,"")),"")</f>
        <v/>
      </c>
      <c r="AC39" s="37" t="str">
        <f ca="1">IFERROR(+IF(AC$29=ProposalToGnatt[[#This Row],[Start Date]],Milestone_Marker,IF(AND(AC$29&gt;ProposalToGnatt[[#This Row],[Start Date]],AC$29&lt;ProposalToGnatt[[#This Row],[Start Date]]+ProposalToGnatt[[#This Row],[Days]]),$G$5,"")),"")</f>
        <v/>
      </c>
      <c r="AD39" s="37" t="str">
        <f ca="1">IFERROR(+IF(AD$29=ProposalToGnatt[[#This Row],[Start Date]],Milestone_Marker,IF(AND(AD$29&gt;ProposalToGnatt[[#This Row],[Start Date]],AD$29&lt;ProposalToGnatt[[#This Row],[Start Date]]+ProposalToGnatt[[#This Row],[Days]]),$G$5,"")),"")</f>
        <v/>
      </c>
      <c r="AE39" s="37" t="str">
        <f ca="1">IFERROR(+IF(AE$29=ProposalToGnatt[[#This Row],[Start Date]],Milestone_Marker,IF(AND(AE$29&gt;ProposalToGnatt[[#This Row],[Start Date]],AE$29&lt;ProposalToGnatt[[#This Row],[Start Date]]+ProposalToGnatt[[#This Row],[Days]]),$G$5,"")),"")</f>
        <v/>
      </c>
      <c r="AF39" s="37" t="str">
        <f ca="1">IFERROR(+IF(AF$29=ProposalToGnatt[[#This Row],[Start Date]],Milestone_Marker,IF(AND(AF$29&gt;ProposalToGnatt[[#This Row],[Start Date]],AF$29&lt;ProposalToGnatt[[#This Row],[Start Date]]+ProposalToGnatt[[#This Row],[Days]]),$G$5,"")),"")</f>
        <v/>
      </c>
      <c r="AG39" s="37" t="str">
        <f ca="1">IFERROR(+IF(AG$29=ProposalToGnatt[[#This Row],[Start Date]],Milestone_Marker,IF(AND(AG$29&gt;ProposalToGnatt[[#This Row],[Start Date]],AG$29&lt;ProposalToGnatt[[#This Row],[Start Date]]+ProposalToGnatt[[#This Row],[Days]]),$G$5,"")),"")</f>
        <v/>
      </c>
      <c r="AH39" s="37" t="str">
        <f ca="1">IFERROR(+IF(AH$29=ProposalToGnatt[[#This Row],[Start Date]],Milestone_Marker,IF(AND(AH$29&gt;ProposalToGnatt[[#This Row],[Start Date]],AH$29&lt;ProposalToGnatt[[#This Row],[Start Date]]+ProposalToGnatt[[#This Row],[Days]]),$G$5,"")),"")</f>
        <v/>
      </c>
      <c r="AI39" s="37" t="str">
        <f ca="1">IFERROR(+IF(AI$29=ProposalToGnatt[[#This Row],[Start Date]],Milestone_Marker,IF(AND(AI$29&gt;ProposalToGnatt[[#This Row],[Start Date]],AI$29&lt;ProposalToGnatt[[#This Row],[Start Date]]+ProposalToGnatt[[#This Row],[Days]]),$G$5,"")),"")</f>
        <v/>
      </c>
      <c r="AJ39" s="37" t="str">
        <f ca="1">IFERROR(+IF(AJ$29=ProposalToGnatt[[#This Row],[Start Date]],Milestone_Marker,IF(AND(AJ$29&gt;ProposalToGnatt[[#This Row],[Start Date]],AJ$29&lt;ProposalToGnatt[[#This Row],[Start Date]]+ProposalToGnatt[[#This Row],[Days]]),$G$5,"")),"")</f>
        <v/>
      </c>
      <c r="AK39" s="37" t="str">
        <f ca="1">IFERROR(+IF(AK$29=ProposalToGnatt[[#This Row],[Start Date]],Milestone_Marker,IF(AND(AK$29&gt;ProposalToGnatt[[#This Row],[Start Date]],AK$29&lt;ProposalToGnatt[[#This Row],[Start Date]]+ProposalToGnatt[[#This Row],[Days]]),$G$5,"")),"")</f>
        <v/>
      </c>
      <c r="AL39" s="37" t="str">
        <f ca="1">IFERROR(+IF(AL$29=ProposalToGnatt[[#This Row],[Start Date]],Milestone_Marker,IF(AND(AL$29&gt;ProposalToGnatt[[#This Row],[Start Date]],AL$29&lt;ProposalToGnatt[[#This Row],[Start Date]]+ProposalToGnatt[[#This Row],[Days]]),$G$5,"")),"")</f>
        <v/>
      </c>
      <c r="AM39" s="37" t="str">
        <f ca="1">IFERROR(+IF(AM$29=ProposalToGnatt[[#This Row],[Start Date]],Milestone_Marker,IF(AND(AM$29&gt;ProposalToGnatt[[#This Row],[Start Date]],AM$29&lt;ProposalToGnatt[[#This Row],[Start Date]]+ProposalToGnatt[[#This Row],[Days]]),$G$5,"")),"")</f>
        <v/>
      </c>
      <c r="AN39" s="37" t="str">
        <f ca="1">IFERROR(+IF(AN$29=ProposalToGnatt[[#This Row],[Start Date]],Milestone_Marker,IF(AND(AN$29&gt;ProposalToGnatt[[#This Row],[Start Date]],AN$29&lt;ProposalToGnatt[[#This Row],[Start Date]]+ProposalToGnatt[[#This Row],[Days]]),$G$5,"")),"")</f>
        <v/>
      </c>
      <c r="AO39" s="37" t="str">
        <f ca="1">IFERROR(+IF(AO$29=ProposalToGnatt[[#This Row],[Start Date]],Milestone_Marker,IF(AND(AO$29&gt;ProposalToGnatt[[#This Row],[Start Date]],AO$29&lt;ProposalToGnatt[[#This Row],[Start Date]]+ProposalToGnatt[[#This Row],[Days]]),$G$5,"")),"")</f>
        <v/>
      </c>
      <c r="AP39" s="37" t="str">
        <f ca="1">IFERROR(+IF(AP$29=ProposalToGnatt[[#This Row],[Start Date]],Milestone_Marker,IF(AND(AP$29&gt;ProposalToGnatt[[#This Row],[Start Date]],AP$29&lt;ProposalToGnatt[[#This Row],[Start Date]]+ProposalToGnatt[[#This Row],[Days]]),$G$5,"")),"")</f>
        <v/>
      </c>
      <c r="AQ39" s="37" t="str">
        <f ca="1">IFERROR(+IF(AQ$29=ProposalToGnatt[[#This Row],[Start Date]],Milestone_Marker,IF(AND(AQ$29&gt;ProposalToGnatt[[#This Row],[Start Date]],AQ$29&lt;ProposalToGnatt[[#This Row],[Start Date]]+ProposalToGnatt[[#This Row],[Days]]),$G$5,"")),"")</f>
        <v/>
      </c>
      <c r="AR39" s="37" t="str">
        <f ca="1">IFERROR(+IF(AR$29=ProposalToGnatt[[#This Row],[Start Date]],Milestone_Marker,IF(AND(AR$29&gt;ProposalToGnatt[[#This Row],[Start Date]],AR$29&lt;ProposalToGnatt[[#This Row],[Start Date]]+ProposalToGnatt[[#This Row],[Days]]),$G$5,"")),"")</f>
        <v/>
      </c>
      <c r="AS39" s="37" t="str">
        <f ca="1">IFERROR(+IF(AS$29=ProposalToGnatt[[#This Row],[Start Date]],Milestone_Marker,IF(AND(AS$29&gt;ProposalToGnatt[[#This Row],[Start Date]],AS$29&lt;ProposalToGnatt[[#This Row],[Start Date]]+ProposalToGnatt[[#This Row],[Days]]),$G$5,"")),"")</f>
        <v/>
      </c>
      <c r="AT39" s="37" t="str">
        <f ca="1">IFERROR(+IF(AT$29=ProposalToGnatt[[#This Row],[Start Date]],Milestone_Marker,IF(AND(AT$29&gt;ProposalToGnatt[[#This Row],[Start Date]],AT$29&lt;ProposalToGnatt[[#This Row],[Start Date]]+ProposalToGnatt[[#This Row],[Days]]),$G$5,"")),"")</f>
        <v/>
      </c>
      <c r="AU39" s="37" t="str">
        <f ca="1">IFERROR(+IF(AU$29=ProposalToGnatt[[#This Row],[Start Date]],Milestone_Marker,IF(AND(AU$29&gt;ProposalToGnatt[[#This Row],[Start Date]],AU$29&lt;ProposalToGnatt[[#This Row],[Start Date]]+ProposalToGnatt[[#This Row],[Days]]),$G$5,"")),"")</f>
        <v/>
      </c>
      <c r="AV39" s="37" t="str">
        <f ca="1">IFERROR(+IF(AV$29=ProposalToGnatt[[#This Row],[Start Date]],Milestone_Marker,IF(AND(AV$29&gt;ProposalToGnatt[[#This Row],[Start Date]],AV$29&lt;ProposalToGnatt[[#This Row],[Start Date]]+ProposalToGnatt[[#This Row],[Days]]),$G$5,"")),"")</f>
        <v/>
      </c>
      <c r="AW39" s="37" t="str">
        <f ca="1">IFERROR(+IF(AW$29=ProposalToGnatt[[#This Row],[Start Date]],Milestone_Marker,IF(AND(AW$29&gt;ProposalToGnatt[[#This Row],[Start Date]],AW$29&lt;ProposalToGnatt[[#This Row],[Start Date]]+ProposalToGnatt[[#This Row],[Days]]),$G$5,"")),"")</f>
        <v/>
      </c>
      <c r="AX39" s="37" t="str">
        <f ca="1">IFERROR(+IF(AX$29=ProposalToGnatt[[#This Row],[Start Date]],Milestone_Marker,IF(AND(AX$29&gt;ProposalToGnatt[[#This Row],[Start Date]],AX$29&lt;ProposalToGnatt[[#This Row],[Start Date]]+ProposalToGnatt[[#This Row],[Days]]),$G$5,"")),"")</f>
        <v/>
      </c>
      <c r="AY39" s="37" t="str">
        <f ca="1">IFERROR(+IF(AY$29=ProposalToGnatt[[#This Row],[Start Date]],Milestone_Marker,IF(AND(AY$29&gt;ProposalToGnatt[[#This Row],[Start Date]],AY$29&lt;ProposalToGnatt[[#This Row],[Start Date]]+ProposalToGnatt[[#This Row],[Days]]),$G$5,"")),"")</f>
        <v/>
      </c>
      <c r="AZ39" s="37" t="str">
        <f ca="1">IFERROR(+IF(AZ$29=ProposalToGnatt[[#This Row],[Start Date]],Milestone_Marker,IF(AND(AZ$29&gt;ProposalToGnatt[[#This Row],[Start Date]],AZ$29&lt;ProposalToGnatt[[#This Row],[Start Date]]+ProposalToGnatt[[#This Row],[Days]]),$G$5,"")),"")</f>
        <v/>
      </c>
      <c r="BA39" s="37" t="str">
        <f ca="1">IFERROR(+IF(BA$29=ProposalToGnatt[[#This Row],[Start Date]],Milestone_Marker,IF(AND(BA$29&gt;ProposalToGnatt[[#This Row],[Start Date]],BA$29&lt;ProposalToGnatt[[#This Row],[Start Date]]+ProposalToGnatt[[#This Row],[Days]]),$G$5,"")),"")</f>
        <v/>
      </c>
      <c r="BB39" s="37" t="str">
        <f ca="1">IFERROR(+IF(BB$29=ProposalToGnatt[[#This Row],[Start Date]],Milestone_Marker,IF(AND(BB$29&gt;ProposalToGnatt[[#This Row],[Start Date]],BB$29&lt;ProposalToGnatt[[#This Row],[Start Date]]+ProposalToGnatt[[#This Row],[Days]]),$G$5,"")),"")</f>
        <v/>
      </c>
      <c r="BC39" s="37" t="str">
        <f ca="1">IFERROR(+IF(BC$29=ProposalToGnatt[[#This Row],[Start Date]],Milestone_Marker,IF(AND(BC$29&gt;ProposalToGnatt[[#This Row],[Start Date]],BC$29&lt;ProposalToGnatt[[#This Row],[Start Date]]+ProposalToGnatt[[#This Row],[Days]]),$G$5,"")),"")</f>
        <v/>
      </c>
      <c r="BD39" s="37" t="str">
        <f ca="1">IFERROR(+IF(BD$29=ProposalToGnatt[[#This Row],[Start Date]],Milestone_Marker,IF(AND(BD$29&gt;ProposalToGnatt[[#This Row],[Start Date]],BD$29&lt;ProposalToGnatt[[#This Row],[Start Date]]+ProposalToGnatt[[#This Row],[Days]]),$G$5,"")),"")</f>
        <v/>
      </c>
      <c r="BE39" s="37" t="str">
        <f ca="1">IFERROR(+IF(BE$29=ProposalToGnatt[[#This Row],[Start Date]],Milestone_Marker,IF(AND(BE$29&gt;ProposalToGnatt[[#This Row],[Start Date]],BE$29&lt;ProposalToGnatt[[#This Row],[Start Date]]+ProposalToGnatt[[#This Row],[Days]]),$G$5,"")),"")</f>
        <v/>
      </c>
      <c r="BF39" s="37" t="str">
        <f ca="1">IFERROR(+IF(BF$29=ProposalToGnatt[[#This Row],[Start Date]],Milestone_Marker,IF(AND(BF$29&gt;ProposalToGnatt[[#This Row],[Start Date]],BF$29&lt;ProposalToGnatt[[#This Row],[Start Date]]+ProposalToGnatt[[#This Row],[Days]]),$G$5,"")),"")</f>
        <v/>
      </c>
      <c r="BG39" s="37" t="str">
        <f ca="1">IFERROR(+IF(BG$29=ProposalToGnatt[[#This Row],[Start Date]],Milestone_Marker,IF(AND(BG$29&gt;ProposalToGnatt[[#This Row],[Start Date]],BG$29&lt;ProposalToGnatt[[#This Row],[Start Date]]+ProposalToGnatt[[#This Row],[Days]]),$G$5,"")),"")</f>
        <v/>
      </c>
      <c r="BH39" s="37" t="str">
        <f ca="1">IFERROR(+IF(BH$29=ProposalToGnatt[[#This Row],[Start Date]],Milestone_Marker,IF(AND(BH$29&gt;ProposalToGnatt[[#This Row],[Start Date]],BH$29&lt;ProposalToGnatt[[#This Row],[Start Date]]+ProposalToGnatt[[#This Row],[Days]]),$G$5,"")),"")</f>
        <v/>
      </c>
      <c r="BI39" s="37" t="str">
        <f ca="1">IFERROR(+IF(BI$29=ProposalToGnatt[[#This Row],[Start Date]],Milestone_Marker,IF(AND(BI$29&gt;ProposalToGnatt[[#This Row],[Start Date]],BI$29&lt;ProposalToGnatt[[#This Row],[Start Date]]+ProposalToGnatt[[#This Row],[Days]]),$G$5,"")),"")</f>
        <v/>
      </c>
      <c r="BJ39" s="37" t="str">
        <f ca="1">IFERROR(+IF(BJ$29=ProposalToGnatt[[#This Row],[Start Date]],Milestone_Marker,IF(AND(BJ$29&gt;ProposalToGnatt[[#This Row],[Start Date]],BJ$29&lt;ProposalToGnatt[[#This Row],[Start Date]]+ProposalToGnatt[[#This Row],[Days]]),$G$5,"")),"")</f>
        <v/>
      </c>
      <c r="BK39" s="37" t="str">
        <f ca="1">IFERROR(+IF(BK$29=ProposalToGnatt[[#This Row],[Start Date]],Milestone_Marker,IF(AND(BK$29&gt;ProposalToGnatt[[#This Row],[Start Date]],BK$29&lt;ProposalToGnatt[[#This Row],[Start Date]]+ProposalToGnatt[[#This Row],[Days]]),$G$5,"")),"")</f>
        <v/>
      </c>
      <c r="BL39" s="37" t="str">
        <f ca="1">IFERROR(+IF(BL$29=ProposalToGnatt[[#This Row],[Start Date]],Milestone_Marker,IF(AND(BL$29&gt;ProposalToGnatt[[#This Row],[Start Date]],BL$29&lt;ProposalToGnatt[[#This Row],[Start Date]]+ProposalToGnatt[[#This Row],[Days]]),$G$5,"")),"")</f>
        <v/>
      </c>
      <c r="BM39" s="37" t="str">
        <f ca="1">IFERROR(+IF(BM$29=ProposalToGnatt[[#This Row],[Start Date]],Milestone_Marker,IF(AND(BM$29&gt;ProposalToGnatt[[#This Row],[Start Date]],BM$29&lt;ProposalToGnatt[[#This Row],[Start Date]]+ProposalToGnatt[[#This Row],[Days]]),$G$5,"")),"")</f>
        <v/>
      </c>
      <c r="BN39" s="37" t="str">
        <f ca="1">IFERROR(+IF(BN$29=ProposalToGnatt[[#This Row],[Start Date]],Milestone_Marker,IF(AND(BN$29&gt;ProposalToGnatt[[#This Row],[Start Date]],BN$29&lt;ProposalToGnatt[[#This Row],[Start Date]]+ProposalToGnatt[[#This Row],[Days]]),$G$5,"")),"")</f>
        <v/>
      </c>
      <c r="BO39" s="37" t="str">
        <f ca="1">IFERROR(+IF(BO$29=ProposalToGnatt[[#This Row],[Start Date]],Milestone_Marker,IF(AND(BO$29&gt;ProposalToGnatt[[#This Row],[Start Date]],BO$29&lt;ProposalToGnatt[[#This Row],[Start Date]]+ProposalToGnatt[[#This Row],[Days]]),$G$5,"")),"")</f>
        <v/>
      </c>
      <c r="BP39" s="37" t="str">
        <f ca="1">IFERROR(+IF(BP$29=ProposalToGnatt[[#This Row],[Start Date]],Milestone_Marker,IF(AND(BP$29&gt;ProposalToGnatt[[#This Row],[Start Date]],BP$29&lt;ProposalToGnatt[[#This Row],[Start Date]]+ProposalToGnatt[[#This Row],[Days]]),$G$5,"")),"")</f>
        <v/>
      </c>
      <c r="BQ39" s="37" t="str">
        <f ca="1">IFERROR(+IF(BQ$29=ProposalToGnatt[[#This Row],[Start Date]],Milestone_Marker,IF(AND(BQ$29&gt;ProposalToGnatt[[#This Row],[Start Date]],BQ$29&lt;ProposalToGnatt[[#This Row],[Start Date]]+ProposalToGnatt[[#This Row],[Days]]),$G$5,"")),"")</f>
        <v/>
      </c>
      <c r="BR39" s="37" t="str">
        <f ca="1">IFERROR(+IF(BR$29=ProposalToGnatt[[#This Row],[Start Date]],Milestone_Marker,IF(AND(BR$29&gt;ProposalToGnatt[[#This Row],[Start Date]],BR$29&lt;ProposalToGnatt[[#This Row],[Start Date]]+ProposalToGnatt[[#This Row],[Days]]),$G$5,"")),"")</f>
        <v/>
      </c>
      <c r="BS39" s="37" t="str">
        <f ca="1">IFERROR(+IF(BS$29=ProposalToGnatt[[#This Row],[Start Date]],Milestone_Marker,IF(AND(BS$29&gt;ProposalToGnatt[[#This Row],[Start Date]],BS$29&lt;ProposalToGnatt[[#This Row],[Start Date]]+ProposalToGnatt[[#This Row],[Days]]),$G$5,"")),"")</f>
        <v/>
      </c>
      <c r="BT39" s="37" t="str">
        <f ca="1">IFERROR(+IF(BT$29=ProposalToGnatt[[#This Row],[Start Date]],Milestone_Marker,IF(AND(BT$29&gt;ProposalToGnatt[[#This Row],[Start Date]],BT$29&lt;ProposalToGnatt[[#This Row],[Start Date]]+ProposalToGnatt[[#This Row],[Days]]),$G$5,"")),"")</f>
        <v/>
      </c>
      <c r="BU39" s="37" t="str">
        <f ca="1">IFERROR(+IF(BU$29=ProposalToGnatt[[#This Row],[Start Date]],Milestone_Marker,IF(AND(BU$29&gt;ProposalToGnatt[[#This Row],[Start Date]],BU$29&lt;ProposalToGnatt[[#This Row],[Start Date]]+ProposalToGnatt[[#This Row],[Days]]),$G$5,"")),"")</f>
        <v/>
      </c>
      <c r="BV39" s="37" t="str">
        <f ca="1">IFERROR(+IF(BV$29=ProposalToGnatt[[#This Row],[Start Date]],Milestone_Marker,IF(AND(BV$29&gt;ProposalToGnatt[[#This Row],[Start Date]],BV$29&lt;ProposalToGnatt[[#This Row],[Start Date]]+ProposalToGnatt[[#This Row],[Days]]),$G$5,"")),"")</f>
        <v/>
      </c>
      <c r="BW39" s="37" t="str">
        <f ca="1">IFERROR(+IF(BW$29=ProposalToGnatt[[#This Row],[Start Date]],Milestone_Marker,IF(AND(BW$29&gt;ProposalToGnatt[[#This Row],[Start Date]],BW$29&lt;ProposalToGnatt[[#This Row],[Start Date]]+ProposalToGnatt[[#This Row],[Days]]),$G$5,"")),"")</f>
        <v/>
      </c>
      <c r="BX39" s="37" t="str">
        <f ca="1">IFERROR(+IF(BX$29=ProposalToGnatt[[#This Row],[Start Date]],Milestone_Marker,IF(AND(BX$29&gt;ProposalToGnatt[[#This Row],[Start Date]],BX$29&lt;ProposalToGnatt[[#This Row],[Start Date]]+ProposalToGnatt[[#This Row],[Days]]),$G$5,"")),"")</f>
        <v/>
      </c>
      <c r="BY39" s="37" t="str">
        <f ca="1">IFERROR(+IF(BY$29=ProposalToGnatt[[#This Row],[Start Date]],Milestone_Marker,IF(AND(BY$29&gt;ProposalToGnatt[[#This Row],[Start Date]],BY$29&lt;ProposalToGnatt[[#This Row],[Start Date]]+ProposalToGnatt[[#This Row],[Days]]),$G$5,"")),"")</f>
        <v/>
      </c>
      <c r="BZ39" s="37" t="str">
        <f ca="1">IFERROR(+IF(BZ$29=ProposalToGnatt[[#This Row],[Start Date]],Milestone_Marker,IF(AND(BZ$29&gt;ProposalToGnatt[[#This Row],[Start Date]],BZ$29&lt;ProposalToGnatt[[#This Row],[Start Date]]+ProposalToGnatt[[#This Row],[Days]]),$G$5,"")),"")</f>
        <v/>
      </c>
      <c r="CA39" s="37" t="str">
        <f ca="1">IFERROR(+IF(CA$29=ProposalToGnatt[[#This Row],[Start Date]],Milestone_Marker,IF(AND(CA$29&gt;ProposalToGnatt[[#This Row],[Start Date]],CA$29&lt;ProposalToGnatt[[#This Row],[Start Date]]+ProposalToGnatt[[#This Row],[Days]]),$G$5,"")),"")</f>
        <v/>
      </c>
      <c r="CB39" s="37" t="str">
        <f ca="1">IFERROR(+IF(CB$29=ProposalToGnatt[[#This Row],[Start Date]],Milestone_Marker,IF(AND(CB$29&gt;ProposalToGnatt[[#This Row],[Start Date]],CB$29&lt;ProposalToGnatt[[#This Row],[Start Date]]+ProposalToGnatt[[#This Row],[Days]]),$G$5,"")),"")</f>
        <v/>
      </c>
      <c r="CC39" s="37" t="str">
        <f ca="1">IFERROR(+IF(CC$29=ProposalToGnatt[[#This Row],[Start Date]],Milestone_Marker,IF(AND(CC$29&gt;ProposalToGnatt[[#This Row],[Start Date]],CC$29&lt;ProposalToGnatt[[#This Row],[Start Date]]+ProposalToGnatt[[#This Row],[Days]]),$G$5,"")),"")</f>
        <v/>
      </c>
      <c r="CD39" s="37" t="str">
        <f ca="1">IFERROR(+IF(CD$29=ProposalToGnatt[[#This Row],[Start Date]],Milestone_Marker,IF(AND(CD$29&gt;ProposalToGnatt[[#This Row],[Start Date]],CD$29&lt;ProposalToGnatt[[#This Row],[Start Date]]+ProposalToGnatt[[#This Row],[Days]]),$G$5,"")),"")</f>
        <v/>
      </c>
      <c r="CE39" s="37" t="str">
        <f ca="1">IFERROR(+IF(CE$29=ProposalToGnatt[[#This Row],[Start Date]],Milestone_Marker,IF(AND(CE$29&gt;ProposalToGnatt[[#This Row],[Start Date]],CE$29&lt;ProposalToGnatt[[#This Row],[Start Date]]+ProposalToGnatt[[#This Row],[Days]]),$G$5,"")),"")</f>
        <v/>
      </c>
      <c r="CF39" s="37" t="str">
        <f ca="1">IFERROR(+IF(CF$29=ProposalToGnatt[[#This Row],[Start Date]],Milestone_Marker,IF(AND(CF$29&gt;ProposalToGnatt[[#This Row],[Start Date]],CF$29&lt;ProposalToGnatt[[#This Row],[Start Date]]+ProposalToGnatt[[#This Row],[Days]]),$G$5,"")),"")</f>
        <v/>
      </c>
      <c r="CG39" s="37" t="str">
        <f ca="1">IFERROR(+IF(CG$29=ProposalToGnatt[[#This Row],[Start Date]],Milestone_Marker,IF(AND(CG$29&gt;ProposalToGnatt[[#This Row],[Start Date]],CG$29&lt;ProposalToGnatt[[#This Row],[Start Date]]+ProposalToGnatt[[#This Row],[Days]]),$G$5,"")),"")</f>
        <v/>
      </c>
      <c r="CH39" s="37" t="str">
        <f ca="1">IFERROR(+IF(CH$29=ProposalToGnatt[[#This Row],[Start Date]],Milestone_Marker,IF(AND(CH$29&gt;ProposalToGnatt[[#This Row],[Start Date]],CH$29&lt;ProposalToGnatt[[#This Row],[Start Date]]+ProposalToGnatt[[#This Row],[Days]]),$G$5,"")),"")</f>
        <v/>
      </c>
      <c r="CI39" s="37" t="str">
        <f ca="1">IFERROR(+IF(CI$29=ProposalToGnatt[[#This Row],[Start Date]],Milestone_Marker,IF(AND(CI$29&gt;ProposalToGnatt[[#This Row],[Start Date]],CI$29&lt;ProposalToGnatt[[#This Row],[Start Date]]+ProposalToGnatt[[#This Row],[Days]]),$G$5,"")),"")</f>
        <v/>
      </c>
      <c r="CJ39" s="37" t="str">
        <f ca="1">IFERROR(+IF(CJ$29=ProposalToGnatt[[#This Row],[Start Date]],Milestone_Marker,IF(AND(CJ$29&gt;ProposalToGnatt[[#This Row],[Start Date]],CJ$29&lt;ProposalToGnatt[[#This Row],[Start Date]]+ProposalToGnatt[[#This Row],[Days]]),$G$5,"")),"")</f>
        <v/>
      </c>
      <c r="CK39" s="37" t="str">
        <f ca="1">IFERROR(+IF(CK$29=ProposalToGnatt[[#This Row],[Start Date]],Milestone_Marker,IF(AND(CK$29&gt;ProposalToGnatt[[#This Row],[Start Date]],CK$29&lt;ProposalToGnatt[[#This Row],[Start Date]]+ProposalToGnatt[[#This Row],[Days]]),$G$5,"")),"")</f>
        <v/>
      </c>
      <c r="CL39" s="37" t="str">
        <f ca="1">IFERROR(+IF(CL$29=ProposalToGnatt[[#This Row],[Start Date]],Milestone_Marker,IF(AND(CL$29&gt;ProposalToGnatt[[#This Row],[Start Date]],CL$29&lt;ProposalToGnatt[[#This Row],[Start Date]]+ProposalToGnatt[[#This Row],[Days]]),$G$5,"")),"")</f>
        <v/>
      </c>
      <c r="CM39" s="37" t="str">
        <f ca="1">IFERROR(+IF(CM$29=ProposalToGnatt[[#This Row],[Start Date]],Milestone_Marker,IF(AND(CM$29&gt;ProposalToGnatt[[#This Row],[Start Date]],CM$29&lt;ProposalToGnatt[[#This Row],[Start Date]]+ProposalToGnatt[[#This Row],[Days]]),$G$5,"")),"")</f>
        <v/>
      </c>
      <c r="CN39" s="37" t="str">
        <f ca="1">IFERROR(+IF(CN$29=ProposalToGnatt[[#This Row],[Start Date]],Milestone_Marker,IF(AND(CN$29&gt;ProposalToGnatt[[#This Row],[Start Date]],CN$29&lt;ProposalToGnatt[[#This Row],[Start Date]]+ProposalToGnatt[[#This Row],[Days]]),$G$5,"")),"")</f>
        <v/>
      </c>
      <c r="CO39" s="37" t="str">
        <f ca="1">IFERROR(+IF(CO$29=ProposalToGnatt[[#This Row],[Start Date]],Milestone_Marker,IF(AND(CO$29&gt;ProposalToGnatt[[#This Row],[Start Date]],CO$29&lt;ProposalToGnatt[[#This Row],[Start Date]]+ProposalToGnatt[[#This Row],[Days]]),$G$5,"")),"")</f>
        <v/>
      </c>
      <c r="CP39" s="37" t="str">
        <f ca="1">IFERROR(+IF(CP$29=ProposalToGnatt[[#This Row],[Start Date]],Milestone_Marker,IF(AND(CP$29&gt;ProposalToGnatt[[#This Row],[Start Date]],CP$29&lt;ProposalToGnatt[[#This Row],[Start Date]]+ProposalToGnatt[[#This Row],[Days]]),$G$5,"")),"")</f>
        <v/>
      </c>
      <c r="CQ39" s="37" t="str">
        <f ca="1">IFERROR(+IF(CQ$29=ProposalToGnatt[[#This Row],[Start Date]],Milestone_Marker,IF(AND(CQ$29&gt;ProposalToGnatt[[#This Row],[Start Date]],CQ$29&lt;ProposalToGnatt[[#This Row],[Start Date]]+ProposalToGnatt[[#This Row],[Days]]),$G$5,"")),"")</f>
        <v/>
      </c>
      <c r="CR39" s="37" t="str">
        <f ca="1">IFERROR(+IF(CR$29=ProposalToGnatt[[#This Row],[Start Date]],Milestone_Marker,IF(AND(CR$29&gt;ProposalToGnatt[[#This Row],[Start Date]],CR$29&lt;ProposalToGnatt[[#This Row],[Start Date]]+ProposalToGnatt[[#This Row],[Days]]),$G$5,"")),"")</f>
        <v/>
      </c>
      <c r="CS39" s="37" t="str">
        <f ca="1">IFERROR(+IF(CS$29=ProposalToGnatt[[#This Row],[Start Date]],Milestone_Marker,IF(AND(CS$29&gt;ProposalToGnatt[[#This Row],[Start Date]],CS$29&lt;ProposalToGnatt[[#This Row],[Start Date]]+ProposalToGnatt[[#This Row],[Days]]),$G$5,"")),"")</f>
        <v/>
      </c>
      <c r="CT39" s="37" t="str">
        <f ca="1">IFERROR(+IF(CT$29=ProposalToGnatt[[#This Row],[Start Date]],Milestone_Marker,IF(AND(CT$29&gt;ProposalToGnatt[[#This Row],[Start Date]],CT$29&lt;ProposalToGnatt[[#This Row],[Start Date]]+ProposalToGnatt[[#This Row],[Days]]),$G$5,"")),"")</f>
        <v/>
      </c>
      <c r="CU39" s="37" t="str">
        <f ca="1">IFERROR(+IF(CU$29=ProposalToGnatt[[#This Row],[Start Date]],Milestone_Marker,IF(AND(CU$29&gt;ProposalToGnatt[[#This Row],[Start Date]],CU$29&lt;ProposalToGnatt[[#This Row],[Start Date]]+ProposalToGnatt[[#This Row],[Days]]),$G$5,"")),"")</f>
        <v/>
      </c>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row>
    <row r="40" spans="1:125" s="42" customFormat="1" ht="20.100000000000001" customHeight="1">
      <c r="A40" t="s">
        <v>438</v>
      </c>
      <c r="B40">
        <v>11</v>
      </c>
      <c r="C40"/>
      <c r="D40"/>
      <c r="E40" t="s">
        <v>358</v>
      </c>
      <c r="F40">
        <v>0</v>
      </c>
      <c r="G40" s="11">
        <v>0</v>
      </c>
      <c r="H40" s="26">
        <v>0</v>
      </c>
      <c r="I40"/>
      <c r="J40"/>
      <c r="K40" s="363"/>
      <c r="L40"/>
      <c r="M40"/>
      <c r="N40"/>
      <c r="O40" s="26"/>
      <c r="P40" s="37">
        <f ca="1">IFERROR(+IF(P$29=ProposalToGnatt[[#This Row],[Start Date]],Milestone_Marker,IF(AND(P$29&gt;ProposalToGnatt[[#This Row],[Start Date]],P$29&lt;ProposalToGnatt[[#This Row],[Start Date]]+ProposalToGnatt[[#This Row],[Days]]),$G$5,"")),"")</f>
        <v>1</v>
      </c>
      <c r="Q40" s="37" t="str">
        <f ca="1">IFERROR(+IF(Q$29=ProposalToGnatt[[#This Row],[Start Date]],Milestone_Marker,IF(AND(Q$29&gt;ProposalToGnatt[[#This Row],[Start Date]],Q$29&lt;ProposalToGnatt[[#This Row],[Start Date]]+ProposalToGnatt[[#This Row],[Days]]),$G$5,"")),"")</f>
        <v/>
      </c>
      <c r="R40" s="37" t="str">
        <f ca="1">IFERROR(+IF(R$29=ProposalToGnatt[[#This Row],[Start Date]],Milestone_Marker,IF(AND(R$29&gt;ProposalToGnatt[[#This Row],[Start Date]],R$29&lt;ProposalToGnatt[[#This Row],[Start Date]]+ProposalToGnatt[[#This Row],[Days]]),$G$5,"")),"")</f>
        <v/>
      </c>
      <c r="S40" s="37" t="str">
        <f ca="1">IFERROR(+IF(S$29=ProposalToGnatt[[#This Row],[Start Date]],Milestone_Marker,IF(AND(S$29&gt;ProposalToGnatt[[#This Row],[Start Date]],S$29&lt;ProposalToGnatt[[#This Row],[Start Date]]+ProposalToGnatt[[#This Row],[Days]]),$G$5,"")),"")</f>
        <v/>
      </c>
      <c r="T40" s="37" t="str">
        <f ca="1">IFERROR(+IF(T$29=ProposalToGnatt[[#This Row],[Start Date]],Milestone_Marker,IF(AND(T$29&gt;ProposalToGnatt[[#This Row],[Start Date]],T$29&lt;ProposalToGnatt[[#This Row],[Start Date]]+ProposalToGnatt[[#This Row],[Days]]),$G$5,"")),"")</f>
        <v/>
      </c>
      <c r="U40" s="37" t="str">
        <f ca="1">IFERROR(+IF(U$29=ProposalToGnatt[[#This Row],[Start Date]],Milestone_Marker,IF(AND(U$29&gt;ProposalToGnatt[[#This Row],[Start Date]],U$29&lt;ProposalToGnatt[[#This Row],[Start Date]]+ProposalToGnatt[[#This Row],[Days]]),$G$5,"")),"")</f>
        <v/>
      </c>
      <c r="V40" s="37" t="str">
        <f ca="1">IFERROR(+IF(V$29=ProposalToGnatt[[#This Row],[Start Date]],Milestone_Marker,IF(AND(V$29&gt;ProposalToGnatt[[#This Row],[Start Date]],V$29&lt;ProposalToGnatt[[#This Row],[Start Date]]+ProposalToGnatt[[#This Row],[Days]]),$G$5,"")),"")</f>
        <v/>
      </c>
      <c r="W40" s="37" t="str">
        <f ca="1">IFERROR(+IF(W$29=ProposalToGnatt[[#This Row],[Start Date]],Milestone_Marker,IF(AND(W$29&gt;ProposalToGnatt[[#This Row],[Start Date]],W$29&lt;ProposalToGnatt[[#This Row],[Start Date]]+ProposalToGnatt[[#This Row],[Days]]),$G$5,"")),"")</f>
        <v/>
      </c>
      <c r="X40" s="37" t="str">
        <f ca="1">IFERROR(+IF(X$29=ProposalToGnatt[[#This Row],[Start Date]],Milestone_Marker,IF(AND(X$29&gt;ProposalToGnatt[[#This Row],[Start Date]],X$29&lt;ProposalToGnatt[[#This Row],[Start Date]]+ProposalToGnatt[[#This Row],[Days]]),$G$5,"")),"")</f>
        <v/>
      </c>
      <c r="Y40" s="37" t="str">
        <f ca="1">IFERROR(+IF(Y$29=ProposalToGnatt[[#This Row],[Start Date]],Milestone_Marker,IF(AND(Y$29&gt;ProposalToGnatt[[#This Row],[Start Date]],Y$29&lt;ProposalToGnatt[[#This Row],[Start Date]]+ProposalToGnatt[[#This Row],[Days]]),$G$5,"")),"")</f>
        <v/>
      </c>
      <c r="Z40" s="37" t="str">
        <f ca="1">IFERROR(+IF(Z$29=ProposalToGnatt[[#This Row],[Start Date]],Milestone_Marker,IF(AND(Z$29&gt;ProposalToGnatt[[#This Row],[Start Date]],Z$29&lt;ProposalToGnatt[[#This Row],[Start Date]]+ProposalToGnatt[[#This Row],[Days]]),$G$5,"")),"")</f>
        <v/>
      </c>
      <c r="AA40" s="37" t="str">
        <f ca="1">IFERROR(+IF(AA$29=ProposalToGnatt[[#This Row],[Start Date]],Milestone_Marker,IF(AND(AA$29&gt;ProposalToGnatt[[#This Row],[Start Date]],AA$29&lt;ProposalToGnatt[[#This Row],[Start Date]]+ProposalToGnatt[[#This Row],[Days]]),$G$5,"")),"")</f>
        <v/>
      </c>
      <c r="AB40" s="37" t="str">
        <f ca="1">IFERROR(+IF(AB$29=ProposalToGnatt[[#This Row],[Start Date]],Milestone_Marker,IF(AND(AB$29&gt;ProposalToGnatt[[#This Row],[Start Date]],AB$29&lt;ProposalToGnatt[[#This Row],[Start Date]]+ProposalToGnatt[[#This Row],[Days]]),$G$5,"")),"")</f>
        <v/>
      </c>
      <c r="AC40" s="37" t="str">
        <f ca="1">IFERROR(+IF(AC$29=ProposalToGnatt[[#This Row],[Start Date]],Milestone_Marker,IF(AND(AC$29&gt;ProposalToGnatt[[#This Row],[Start Date]],AC$29&lt;ProposalToGnatt[[#This Row],[Start Date]]+ProposalToGnatt[[#This Row],[Days]]),$G$5,"")),"")</f>
        <v/>
      </c>
      <c r="AD40" s="37" t="str">
        <f ca="1">IFERROR(+IF(AD$29=ProposalToGnatt[[#This Row],[Start Date]],Milestone_Marker,IF(AND(AD$29&gt;ProposalToGnatt[[#This Row],[Start Date]],AD$29&lt;ProposalToGnatt[[#This Row],[Start Date]]+ProposalToGnatt[[#This Row],[Days]]),$G$5,"")),"")</f>
        <v/>
      </c>
      <c r="AE40" s="37" t="str">
        <f ca="1">IFERROR(+IF(AE$29=ProposalToGnatt[[#This Row],[Start Date]],Milestone_Marker,IF(AND(AE$29&gt;ProposalToGnatt[[#This Row],[Start Date]],AE$29&lt;ProposalToGnatt[[#This Row],[Start Date]]+ProposalToGnatt[[#This Row],[Days]]),$G$5,"")),"")</f>
        <v/>
      </c>
      <c r="AF40" s="37" t="str">
        <f ca="1">IFERROR(+IF(AF$29=ProposalToGnatt[[#This Row],[Start Date]],Milestone_Marker,IF(AND(AF$29&gt;ProposalToGnatt[[#This Row],[Start Date]],AF$29&lt;ProposalToGnatt[[#This Row],[Start Date]]+ProposalToGnatt[[#This Row],[Days]]),$G$5,"")),"")</f>
        <v/>
      </c>
      <c r="AG40" s="37" t="str">
        <f ca="1">IFERROR(+IF(AG$29=ProposalToGnatt[[#This Row],[Start Date]],Milestone_Marker,IF(AND(AG$29&gt;ProposalToGnatt[[#This Row],[Start Date]],AG$29&lt;ProposalToGnatt[[#This Row],[Start Date]]+ProposalToGnatt[[#This Row],[Days]]),$G$5,"")),"")</f>
        <v/>
      </c>
      <c r="AH40" s="37" t="str">
        <f ca="1">IFERROR(+IF(AH$29=ProposalToGnatt[[#This Row],[Start Date]],Milestone_Marker,IF(AND(AH$29&gt;ProposalToGnatt[[#This Row],[Start Date]],AH$29&lt;ProposalToGnatt[[#This Row],[Start Date]]+ProposalToGnatt[[#This Row],[Days]]),$G$5,"")),"")</f>
        <v/>
      </c>
      <c r="AI40" s="37" t="str">
        <f ca="1">IFERROR(+IF(AI$29=ProposalToGnatt[[#This Row],[Start Date]],Milestone_Marker,IF(AND(AI$29&gt;ProposalToGnatt[[#This Row],[Start Date]],AI$29&lt;ProposalToGnatt[[#This Row],[Start Date]]+ProposalToGnatt[[#This Row],[Days]]),$G$5,"")),"")</f>
        <v/>
      </c>
      <c r="AJ40" s="37" t="str">
        <f ca="1">IFERROR(+IF(AJ$29=ProposalToGnatt[[#This Row],[Start Date]],Milestone_Marker,IF(AND(AJ$29&gt;ProposalToGnatt[[#This Row],[Start Date]],AJ$29&lt;ProposalToGnatt[[#This Row],[Start Date]]+ProposalToGnatt[[#This Row],[Days]]),$G$5,"")),"")</f>
        <v/>
      </c>
      <c r="AK40" s="37" t="str">
        <f ca="1">IFERROR(+IF(AK$29=ProposalToGnatt[[#This Row],[Start Date]],Milestone_Marker,IF(AND(AK$29&gt;ProposalToGnatt[[#This Row],[Start Date]],AK$29&lt;ProposalToGnatt[[#This Row],[Start Date]]+ProposalToGnatt[[#This Row],[Days]]),$G$5,"")),"")</f>
        <v/>
      </c>
      <c r="AL40" s="37" t="str">
        <f ca="1">IFERROR(+IF(AL$29=ProposalToGnatt[[#This Row],[Start Date]],Milestone_Marker,IF(AND(AL$29&gt;ProposalToGnatt[[#This Row],[Start Date]],AL$29&lt;ProposalToGnatt[[#This Row],[Start Date]]+ProposalToGnatt[[#This Row],[Days]]),$G$5,"")),"")</f>
        <v/>
      </c>
      <c r="AM40" s="37" t="str">
        <f ca="1">IFERROR(+IF(AM$29=ProposalToGnatt[[#This Row],[Start Date]],Milestone_Marker,IF(AND(AM$29&gt;ProposalToGnatt[[#This Row],[Start Date]],AM$29&lt;ProposalToGnatt[[#This Row],[Start Date]]+ProposalToGnatt[[#This Row],[Days]]),$G$5,"")),"")</f>
        <v/>
      </c>
      <c r="AN40" s="37" t="str">
        <f ca="1">IFERROR(+IF(AN$29=ProposalToGnatt[[#This Row],[Start Date]],Milestone_Marker,IF(AND(AN$29&gt;ProposalToGnatt[[#This Row],[Start Date]],AN$29&lt;ProposalToGnatt[[#This Row],[Start Date]]+ProposalToGnatt[[#This Row],[Days]]),$G$5,"")),"")</f>
        <v/>
      </c>
      <c r="AO40" s="37" t="str">
        <f ca="1">IFERROR(+IF(AO$29=ProposalToGnatt[[#This Row],[Start Date]],Milestone_Marker,IF(AND(AO$29&gt;ProposalToGnatt[[#This Row],[Start Date]],AO$29&lt;ProposalToGnatt[[#This Row],[Start Date]]+ProposalToGnatt[[#This Row],[Days]]),$G$5,"")),"")</f>
        <v/>
      </c>
      <c r="AP40" s="37" t="str">
        <f ca="1">IFERROR(+IF(AP$29=ProposalToGnatt[[#This Row],[Start Date]],Milestone_Marker,IF(AND(AP$29&gt;ProposalToGnatt[[#This Row],[Start Date]],AP$29&lt;ProposalToGnatt[[#This Row],[Start Date]]+ProposalToGnatt[[#This Row],[Days]]),$G$5,"")),"")</f>
        <v/>
      </c>
      <c r="AQ40" s="37" t="str">
        <f ca="1">IFERROR(+IF(AQ$29=ProposalToGnatt[[#This Row],[Start Date]],Milestone_Marker,IF(AND(AQ$29&gt;ProposalToGnatt[[#This Row],[Start Date]],AQ$29&lt;ProposalToGnatt[[#This Row],[Start Date]]+ProposalToGnatt[[#This Row],[Days]]),$G$5,"")),"")</f>
        <v/>
      </c>
      <c r="AR40" s="37" t="str">
        <f ca="1">IFERROR(+IF(AR$29=ProposalToGnatt[[#This Row],[Start Date]],Milestone_Marker,IF(AND(AR$29&gt;ProposalToGnatt[[#This Row],[Start Date]],AR$29&lt;ProposalToGnatt[[#This Row],[Start Date]]+ProposalToGnatt[[#This Row],[Days]]),$G$5,"")),"")</f>
        <v/>
      </c>
      <c r="AS40" s="37" t="str">
        <f ca="1">IFERROR(+IF(AS$29=ProposalToGnatt[[#This Row],[Start Date]],Milestone_Marker,IF(AND(AS$29&gt;ProposalToGnatt[[#This Row],[Start Date]],AS$29&lt;ProposalToGnatt[[#This Row],[Start Date]]+ProposalToGnatt[[#This Row],[Days]]),$G$5,"")),"")</f>
        <v/>
      </c>
      <c r="AT40" s="37" t="str">
        <f ca="1">IFERROR(+IF(AT$29=ProposalToGnatt[[#This Row],[Start Date]],Milestone_Marker,IF(AND(AT$29&gt;ProposalToGnatt[[#This Row],[Start Date]],AT$29&lt;ProposalToGnatt[[#This Row],[Start Date]]+ProposalToGnatt[[#This Row],[Days]]),$G$5,"")),"")</f>
        <v/>
      </c>
      <c r="AU40" s="37" t="str">
        <f ca="1">IFERROR(+IF(AU$29=ProposalToGnatt[[#This Row],[Start Date]],Milestone_Marker,IF(AND(AU$29&gt;ProposalToGnatt[[#This Row],[Start Date]],AU$29&lt;ProposalToGnatt[[#This Row],[Start Date]]+ProposalToGnatt[[#This Row],[Days]]),$G$5,"")),"")</f>
        <v/>
      </c>
      <c r="AV40" s="37" t="str">
        <f ca="1">IFERROR(+IF(AV$29=ProposalToGnatt[[#This Row],[Start Date]],Milestone_Marker,IF(AND(AV$29&gt;ProposalToGnatt[[#This Row],[Start Date]],AV$29&lt;ProposalToGnatt[[#This Row],[Start Date]]+ProposalToGnatt[[#This Row],[Days]]),$G$5,"")),"")</f>
        <v/>
      </c>
      <c r="AW40" s="37" t="str">
        <f ca="1">IFERROR(+IF(AW$29=ProposalToGnatt[[#This Row],[Start Date]],Milestone_Marker,IF(AND(AW$29&gt;ProposalToGnatt[[#This Row],[Start Date]],AW$29&lt;ProposalToGnatt[[#This Row],[Start Date]]+ProposalToGnatt[[#This Row],[Days]]),$G$5,"")),"")</f>
        <v/>
      </c>
      <c r="AX40" s="37" t="str">
        <f ca="1">IFERROR(+IF(AX$29=ProposalToGnatt[[#This Row],[Start Date]],Milestone_Marker,IF(AND(AX$29&gt;ProposalToGnatt[[#This Row],[Start Date]],AX$29&lt;ProposalToGnatt[[#This Row],[Start Date]]+ProposalToGnatt[[#This Row],[Days]]),$G$5,"")),"")</f>
        <v/>
      </c>
      <c r="AY40" s="37" t="str">
        <f ca="1">IFERROR(+IF(AY$29=ProposalToGnatt[[#This Row],[Start Date]],Milestone_Marker,IF(AND(AY$29&gt;ProposalToGnatt[[#This Row],[Start Date]],AY$29&lt;ProposalToGnatt[[#This Row],[Start Date]]+ProposalToGnatt[[#This Row],[Days]]),$G$5,"")),"")</f>
        <v/>
      </c>
      <c r="AZ40" s="37" t="str">
        <f ca="1">IFERROR(+IF(AZ$29=ProposalToGnatt[[#This Row],[Start Date]],Milestone_Marker,IF(AND(AZ$29&gt;ProposalToGnatt[[#This Row],[Start Date]],AZ$29&lt;ProposalToGnatt[[#This Row],[Start Date]]+ProposalToGnatt[[#This Row],[Days]]),$G$5,"")),"")</f>
        <v/>
      </c>
      <c r="BA40" s="37" t="str">
        <f ca="1">IFERROR(+IF(BA$29=ProposalToGnatt[[#This Row],[Start Date]],Milestone_Marker,IF(AND(BA$29&gt;ProposalToGnatt[[#This Row],[Start Date]],BA$29&lt;ProposalToGnatt[[#This Row],[Start Date]]+ProposalToGnatt[[#This Row],[Days]]),$G$5,"")),"")</f>
        <v/>
      </c>
      <c r="BB40" s="37" t="str">
        <f ca="1">IFERROR(+IF(BB$29=ProposalToGnatt[[#This Row],[Start Date]],Milestone_Marker,IF(AND(BB$29&gt;ProposalToGnatt[[#This Row],[Start Date]],BB$29&lt;ProposalToGnatt[[#This Row],[Start Date]]+ProposalToGnatt[[#This Row],[Days]]),$G$5,"")),"")</f>
        <v/>
      </c>
      <c r="BC40" s="37" t="str">
        <f ca="1">IFERROR(+IF(BC$29=ProposalToGnatt[[#This Row],[Start Date]],Milestone_Marker,IF(AND(BC$29&gt;ProposalToGnatt[[#This Row],[Start Date]],BC$29&lt;ProposalToGnatt[[#This Row],[Start Date]]+ProposalToGnatt[[#This Row],[Days]]),$G$5,"")),"")</f>
        <v/>
      </c>
      <c r="BD40" s="37" t="str">
        <f ca="1">IFERROR(+IF(BD$29=ProposalToGnatt[[#This Row],[Start Date]],Milestone_Marker,IF(AND(BD$29&gt;ProposalToGnatt[[#This Row],[Start Date]],BD$29&lt;ProposalToGnatt[[#This Row],[Start Date]]+ProposalToGnatt[[#This Row],[Days]]),$G$5,"")),"")</f>
        <v/>
      </c>
      <c r="BE40" s="37" t="str">
        <f ca="1">IFERROR(+IF(BE$29=ProposalToGnatt[[#This Row],[Start Date]],Milestone_Marker,IF(AND(BE$29&gt;ProposalToGnatt[[#This Row],[Start Date]],BE$29&lt;ProposalToGnatt[[#This Row],[Start Date]]+ProposalToGnatt[[#This Row],[Days]]),$G$5,"")),"")</f>
        <v/>
      </c>
      <c r="BF40" s="37" t="str">
        <f ca="1">IFERROR(+IF(BF$29=ProposalToGnatt[[#This Row],[Start Date]],Milestone_Marker,IF(AND(BF$29&gt;ProposalToGnatt[[#This Row],[Start Date]],BF$29&lt;ProposalToGnatt[[#This Row],[Start Date]]+ProposalToGnatt[[#This Row],[Days]]),$G$5,"")),"")</f>
        <v/>
      </c>
      <c r="BG40" s="37" t="str">
        <f ca="1">IFERROR(+IF(BG$29=ProposalToGnatt[[#This Row],[Start Date]],Milestone_Marker,IF(AND(BG$29&gt;ProposalToGnatt[[#This Row],[Start Date]],BG$29&lt;ProposalToGnatt[[#This Row],[Start Date]]+ProposalToGnatt[[#This Row],[Days]]),$G$5,"")),"")</f>
        <v/>
      </c>
      <c r="BH40" s="37" t="str">
        <f ca="1">IFERROR(+IF(BH$29=ProposalToGnatt[[#This Row],[Start Date]],Milestone_Marker,IF(AND(BH$29&gt;ProposalToGnatt[[#This Row],[Start Date]],BH$29&lt;ProposalToGnatt[[#This Row],[Start Date]]+ProposalToGnatt[[#This Row],[Days]]),$G$5,"")),"")</f>
        <v/>
      </c>
      <c r="BI40" s="37" t="str">
        <f ca="1">IFERROR(+IF(BI$29=ProposalToGnatt[[#This Row],[Start Date]],Milestone_Marker,IF(AND(BI$29&gt;ProposalToGnatt[[#This Row],[Start Date]],BI$29&lt;ProposalToGnatt[[#This Row],[Start Date]]+ProposalToGnatt[[#This Row],[Days]]),$G$5,"")),"")</f>
        <v/>
      </c>
      <c r="BJ40" s="37" t="str">
        <f ca="1">IFERROR(+IF(BJ$29=ProposalToGnatt[[#This Row],[Start Date]],Milestone_Marker,IF(AND(BJ$29&gt;ProposalToGnatt[[#This Row],[Start Date]],BJ$29&lt;ProposalToGnatt[[#This Row],[Start Date]]+ProposalToGnatt[[#This Row],[Days]]),$G$5,"")),"")</f>
        <v/>
      </c>
      <c r="BK40" s="37" t="str">
        <f ca="1">IFERROR(+IF(BK$29=ProposalToGnatt[[#This Row],[Start Date]],Milestone_Marker,IF(AND(BK$29&gt;ProposalToGnatt[[#This Row],[Start Date]],BK$29&lt;ProposalToGnatt[[#This Row],[Start Date]]+ProposalToGnatt[[#This Row],[Days]]),$G$5,"")),"")</f>
        <v/>
      </c>
      <c r="BL40" s="37" t="str">
        <f ca="1">IFERROR(+IF(BL$29=ProposalToGnatt[[#This Row],[Start Date]],Milestone_Marker,IF(AND(BL$29&gt;ProposalToGnatt[[#This Row],[Start Date]],BL$29&lt;ProposalToGnatt[[#This Row],[Start Date]]+ProposalToGnatt[[#This Row],[Days]]),$G$5,"")),"")</f>
        <v/>
      </c>
      <c r="BM40" s="37" t="str">
        <f ca="1">IFERROR(+IF(BM$29=ProposalToGnatt[[#This Row],[Start Date]],Milestone_Marker,IF(AND(BM$29&gt;ProposalToGnatt[[#This Row],[Start Date]],BM$29&lt;ProposalToGnatt[[#This Row],[Start Date]]+ProposalToGnatt[[#This Row],[Days]]),$G$5,"")),"")</f>
        <v/>
      </c>
      <c r="BN40" s="37" t="str">
        <f ca="1">IFERROR(+IF(BN$29=ProposalToGnatt[[#This Row],[Start Date]],Milestone_Marker,IF(AND(BN$29&gt;ProposalToGnatt[[#This Row],[Start Date]],BN$29&lt;ProposalToGnatt[[#This Row],[Start Date]]+ProposalToGnatt[[#This Row],[Days]]),$G$5,"")),"")</f>
        <v/>
      </c>
      <c r="BO40" s="37" t="str">
        <f ca="1">IFERROR(+IF(BO$29=ProposalToGnatt[[#This Row],[Start Date]],Milestone_Marker,IF(AND(BO$29&gt;ProposalToGnatt[[#This Row],[Start Date]],BO$29&lt;ProposalToGnatt[[#This Row],[Start Date]]+ProposalToGnatt[[#This Row],[Days]]),$G$5,"")),"")</f>
        <v/>
      </c>
      <c r="BP40" s="37" t="str">
        <f ca="1">IFERROR(+IF(BP$29=ProposalToGnatt[[#This Row],[Start Date]],Milestone_Marker,IF(AND(BP$29&gt;ProposalToGnatt[[#This Row],[Start Date]],BP$29&lt;ProposalToGnatt[[#This Row],[Start Date]]+ProposalToGnatt[[#This Row],[Days]]),$G$5,"")),"")</f>
        <v/>
      </c>
      <c r="BQ40" s="37" t="str">
        <f ca="1">IFERROR(+IF(BQ$29=ProposalToGnatt[[#This Row],[Start Date]],Milestone_Marker,IF(AND(BQ$29&gt;ProposalToGnatt[[#This Row],[Start Date]],BQ$29&lt;ProposalToGnatt[[#This Row],[Start Date]]+ProposalToGnatt[[#This Row],[Days]]),$G$5,"")),"")</f>
        <v/>
      </c>
      <c r="BR40" s="37" t="str">
        <f ca="1">IFERROR(+IF(BR$29=ProposalToGnatt[[#This Row],[Start Date]],Milestone_Marker,IF(AND(BR$29&gt;ProposalToGnatt[[#This Row],[Start Date]],BR$29&lt;ProposalToGnatt[[#This Row],[Start Date]]+ProposalToGnatt[[#This Row],[Days]]),$G$5,"")),"")</f>
        <v/>
      </c>
      <c r="BS40" s="37" t="str">
        <f ca="1">IFERROR(+IF(BS$29=ProposalToGnatt[[#This Row],[Start Date]],Milestone_Marker,IF(AND(BS$29&gt;ProposalToGnatt[[#This Row],[Start Date]],BS$29&lt;ProposalToGnatt[[#This Row],[Start Date]]+ProposalToGnatt[[#This Row],[Days]]),$G$5,"")),"")</f>
        <v/>
      </c>
      <c r="BT40" s="37" t="str">
        <f ca="1">IFERROR(+IF(BT$29=ProposalToGnatt[[#This Row],[Start Date]],Milestone_Marker,IF(AND(BT$29&gt;ProposalToGnatt[[#This Row],[Start Date]],BT$29&lt;ProposalToGnatt[[#This Row],[Start Date]]+ProposalToGnatt[[#This Row],[Days]]),$G$5,"")),"")</f>
        <v/>
      </c>
      <c r="BU40" s="37" t="str">
        <f ca="1">IFERROR(+IF(BU$29=ProposalToGnatt[[#This Row],[Start Date]],Milestone_Marker,IF(AND(BU$29&gt;ProposalToGnatt[[#This Row],[Start Date]],BU$29&lt;ProposalToGnatt[[#This Row],[Start Date]]+ProposalToGnatt[[#This Row],[Days]]),$G$5,"")),"")</f>
        <v/>
      </c>
      <c r="BV40" s="37" t="str">
        <f ca="1">IFERROR(+IF(BV$29=ProposalToGnatt[[#This Row],[Start Date]],Milestone_Marker,IF(AND(BV$29&gt;ProposalToGnatt[[#This Row],[Start Date]],BV$29&lt;ProposalToGnatt[[#This Row],[Start Date]]+ProposalToGnatt[[#This Row],[Days]]),$G$5,"")),"")</f>
        <v/>
      </c>
      <c r="BW40" s="37" t="str">
        <f ca="1">IFERROR(+IF(BW$29=ProposalToGnatt[[#This Row],[Start Date]],Milestone_Marker,IF(AND(BW$29&gt;ProposalToGnatt[[#This Row],[Start Date]],BW$29&lt;ProposalToGnatt[[#This Row],[Start Date]]+ProposalToGnatt[[#This Row],[Days]]),$G$5,"")),"")</f>
        <v/>
      </c>
      <c r="BX40" s="37" t="str">
        <f ca="1">IFERROR(+IF(BX$29=ProposalToGnatt[[#This Row],[Start Date]],Milestone_Marker,IF(AND(BX$29&gt;ProposalToGnatt[[#This Row],[Start Date]],BX$29&lt;ProposalToGnatt[[#This Row],[Start Date]]+ProposalToGnatt[[#This Row],[Days]]),$G$5,"")),"")</f>
        <v/>
      </c>
      <c r="BY40" s="37" t="str">
        <f ca="1">IFERROR(+IF(BY$29=ProposalToGnatt[[#This Row],[Start Date]],Milestone_Marker,IF(AND(BY$29&gt;ProposalToGnatt[[#This Row],[Start Date]],BY$29&lt;ProposalToGnatt[[#This Row],[Start Date]]+ProposalToGnatt[[#This Row],[Days]]),$G$5,"")),"")</f>
        <v/>
      </c>
      <c r="BZ40" s="37" t="str">
        <f ca="1">IFERROR(+IF(BZ$29=ProposalToGnatt[[#This Row],[Start Date]],Milestone_Marker,IF(AND(BZ$29&gt;ProposalToGnatt[[#This Row],[Start Date]],BZ$29&lt;ProposalToGnatt[[#This Row],[Start Date]]+ProposalToGnatt[[#This Row],[Days]]),$G$5,"")),"")</f>
        <v/>
      </c>
      <c r="CA40" s="37" t="str">
        <f ca="1">IFERROR(+IF(CA$29=ProposalToGnatt[[#This Row],[Start Date]],Milestone_Marker,IF(AND(CA$29&gt;ProposalToGnatt[[#This Row],[Start Date]],CA$29&lt;ProposalToGnatt[[#This Row],[Start Date]]+ProposalToGnatt[[#This Row],[Days]]),$G$5,"")),"")</f>
        <v/>
      </c>
      <c r="CB40" s="37" t="str">
        <f ca="1">IFERROR(+IF(CB$29=ProposalToGnatt[[#This Row],[Start Date]],Milestone_Marker,IF(AND(CB$29&gt;ProposalToGnatt[[#This Row],[Start Date]],CB$29&lt;ProposalToGnatt[[#This Row],[Start Date]]+ProposalToGnatt[[#This Row],[Days]]),$G$5,"")),"")</f>
        <v/>
      </c>
      <c r="CC40" s="37" t="str">
        <f ca="1">IFERROR(+IF(CC$29=ProposalToGnatt[[#This Row],[Start Date]],Milestone_Marker,IF(AND(CC$29&gt;ProposalToGnatt[[#This Row],[Start Date]],CC$29&lt;ProposalToGnatt[[#This Row],[Start Date]]+ProposalToGnatt[[#This Row],[Days]]),$G$5,"")),"")</f>
        <v/>
      </c>
      <c r="CD40" s="37" t="str">
        <f ca="1">IFERROR(+IF(CD$29=ProposalToGnatt[[#This Row],[Start Date]],Milestone_Marker,IF(AND(CD$29&gt;ProposalToGnatt[[#This Row],[Start Date]],CD$29&lt;ProposalToGnatt[[#This Row],[Start Date]]+ProposalToGnatt[[#This Row],[Days]]),$G$5,"")),"")</f>
        <v/>
      </c>
      <c r="CE40" s="37" t="str">
        <f ca="1">IFERROR(+IF(CE$29=ProposalToGnatt[[#This Row],[Start Date]],Milestone_Marker,IF(AND(CE$29&gt;ProposalToGnatt[[#This Row],[Start Date]],CE$29&lt;ProposalToGnatt[[#This Row],[Start Date]]+ProposalToGnatt[[#This Row],[Days]]),$G$5,"")),"")</f>
        <v/>
      </c>
      <c r="CF40" s="37" t="str">
        <f ca="1">IFERROR(+IF(CF$29=ProposalToGnatt[[#This Row],[Start Date]],Milestone_Marker,IF(AND(CF$29&gt;ProposalToGnatt[[#This Row],[Start Date]],CF$29&lt;ProposalToGnatt[[#This Row],[Start Date]]+ProposalToGnatt[[#This Row],[Days]]),$G$5,"")),"")</f>
        <v/>
      </c>
      <c r="CG40" s="37" t="str">
        <f ca="1">IFERROR(+IF(CG$29=ProposalToGnatt[[#This Row],[Start Date]],Milestone_Marker,IF(AND(CG$29&gt;ProposalToGnatt[[#This Row],[Start Date]],CG$29&lt;ProposalToGnatt[[#This Row],[Start Date]]+ProposalToGnatt[[#This Row],[Days]]),$G$5,"")),"")</f>
        <v/>
      </c>
      <c r="CH40" s="37" t="str">
        <f ca="1">IFERROR(+IF(CH$29=ProposalToGnatt[[#This Row],[Start Date]],Milestone_Marker,IF(AND(CH$29&gt;ProposalToGnatt[[#This Row],[Start Date]],CH$29&lt;ProposalToGnatt[[#This Row],[Start Date]]+ProposalToGnatt[[#This Row],[Days]]),$G$5,"")),"")</f>
        <v/>
      </c>
      <c r="CI40" s="37" t="str">
        <f ca="1">IFERROR(+IF(CI$29=ProposalToGnatt[[#This Row],[Start Date]],Milestone_Marker,IF(AND(CI$29&gt;ProposalToGnatt[[#This Row],[Start Date]],CI$29&lt;ProposalToGnatt[[#This Row],[Start Date]]+ProposalToGnatt[[#This Row],[Days]]),$G$5,"")),"")</f>
        <v/>
      </c>
      <c r="CJ40" s="37" t="str">
        <f ca="1">IFERROR(+IF(CJ$29=ProposalToGnatt[[#This Row],[Start Date]],Milestone_Marker,IF(AND(CJ$29&gt;ProposalToGnatt[[#This Row],[Start Date]],CJ$29&lt;ProposalToGnatt[[#This Row],[Start Date]]+ProposalToGnatt[[#This Row],[Days]]),$G$5,"")),"")</f>
        <v/>
      </c>
      <c r="CK40" s="37" t="str">
        <f ca="1">IFERROR(+IF(CK$29=ProposalToGnatt[[#This Row],[Start Date]],Milestone_Marker,IF(AND(CK$29&gt;ProposalToGnatt[[#This Row],[Start Date]],CK$29&lt;ProposalToGnatt[[#This Row],[Start Date]]+ProposalToGnatt[[#This Row],[Days]]),$G$5,"")),"")</f>
        <v/>
      </c>
      <c r="CL40" s="37" t="str">
        <f ca="1">IFERROR(+IF(CL$29=ProposalToGnatt[[#This Row],[Start Date]],Milestone_Marker,IF(AND(CL$29&gt;ProposalToGnatt[[#This Row],[Start Date]],CL$29&lt;ProposalToGnatt[[#This Row],[Start Date]]+ProposalToGnatt[[#This Row],[Days]]),$G$5,"")),"")</f>
        <v/>
      </c>
      <c r="CM40" s="37" t="str">
        <f ca="1">IFERROR(+IF(CM$29=ProposalToGnatt[[#This Row],[Start Date]],Milestone_Marker,IF(AND(CM$29&gt;ProposalToGnatt[[#This Row],[Start Date]],CM$29&lt;ProposalToGnatt[[#This Row],[Start Date]]+ProposalToGnatt[[#This Row],[Days]]),$G$5,"")),"")</f>
        <v/>
      </c>
      <c r="CN40" s="37" t="str">
        <f ca="1">IFERROR(+IF(CN$29=ProposalToGnatt[[#This Row],[Start Date]],Milestone_Marker,IF(AND(CN$29&gt;ProposalToGnatt[[#This Row],[Start Date]],CN$29&lt;ProposalToGnatt[[#This Row],[Start Date]]+ProposalToGnatt[[#This Row],[Days]]),$G$5,"")),"")</f>
        <v/>
      </c>
      <c r="CO40" s="37" t="str">
        <f ca="1">IFERROR(+IF(CO$29=ProposalToGnatt[[#This Row],[Start Date]],Milestone_Marker,IF(AND(CO$29&gt;ProposalToGnatt[[#This Row],[Start Date]],CO$29&lt;ProposalToGnatt[[#This Row],[Start Date]]+ProposalToGnatt[[#This Row],[Days]]),$G$5,"")),"")</f>
        <v/>
      </c>
      <c r="CP40" s="37" t="str">
        <f ca="1">IFERROR(+IF(CP$29=ProposalToGnatt[[#This Row],[Start Date]],Milestone_Marker,IF(AND(CP$29&gt;ProposalToGnatt[[#This Row],[Start Date]],CP$29&lt;ProposalToGnatt[[#This Row],[Start Date]]+ProposalToGnatt[[#This Row],[Days]]),$G$5,"")),"")</f>
        <v/>
      </c>
      <c r="CQ40" s="37" t="str">
        <f ca="1">IFERROR(+IF(CQ$29=ProposalToGnatt[[#This Row],[Start Date]],Milestone_Marker,IF(AND(CQ$29&gt;ProposalToGnatt[[#This Row],[Start Date]],CQ$29&lt;ProposalToGnatt[[#This Row],[Start Date]]+ProposalToGnatt[[#This Row],[Days]]),$G$5,"")),"")</f>
        <v/>
      </c>
      <c r="CR40" s="37" t="str">
        <f ca="1">IFERROR(+IF(CR$29=ProposalToGnatt[[#This Row],[Start Date]],Milestone_Marker,IF(AND(CR$29&gt;ProposalToGnatt[[#This Row],[Start Date]],CR$29&lt;ProposalToGnatt[[#This Row],[Start Date]]+ProposalToGnatt[[#This Row],[Days]]),$G$5,"")),"")</f>
        <v/>
      </c>
      <c r="CS40" s="37" t="str">
        <f ca="1">IFERROR(+IF(CS$29=ProposalToGnatt[[#This Row],[Start Date]],Milestone_Marker,IF(AND(CS$29&gt;ProposalToGnatt[[#This Row],[Start Date]],CS$29&lt;ProposalToGnatt[[#This Row],[Start Date]]+ProposalToGnatt[[#This Row],[Days]]),$G$5,"")),"")</f>
        <v/>
      </c>
      <c r="CT40" s="37" t="str">
        <f ca="1">IFERROR(+IF(CT$29=ProposalToGnatt[[#This Row],[Start Date]],Milestone_Marker,IF(AND(CT$29&gt;ProposalToGnatt[[#This Row],[Start Date]],CT$29&lt;ProposalToGnatt[[#This Row],[Start Date]]+ProposalToGnatt[[#This Row],[Days]]),$G$5,"")),"")</f>
        <v/>
      </c>
      <c r="CU40" s="37" t="str">
        <f ca="1">IFERROR(+IF(CU$29=ProposalToGnatt[[#This Row],[Start Date]],Milestone_Marker,IF(AND(CU$29&gt;ProposalToGnatt[[#This Row],[Start Date]],CU$29&lt;ProposalToGnatt[[#This Row],[Start Date]]+ProposalToGnatt[[#This Row],[Days]]),$G$5,"")),"")</f>
        <v/>
      </c>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row>
    <row r="41" spans="1:125" s="42" customFormat="1" ht="20.100000000000001" customHeight="1">
      <c r="A41" t="s">
        <v>437</v>
      </c>
      <c r="B41">
        <v>12</v>
      </c>
      <c r="C41" t="s">
        <v>359</v>
      </c>
      <c r="D41"/>
      <c r="E41"/>
      <c r="F41"/>
      <c r="G41" s="11"/>
      <c r="H41" s="26"/>
      <c r="I41"/>
      <c r="J41"/>
      <c r="K41" s="363"/>
      <c r="L41"/>
      <c r="M41"/>
      <c r="N41"/>
      <c r="O41" s="26"/>
      <c r="P41" s="37">
        <f ca="1">IFERROR(+IF(P$29=ProposalToGnatt[[#This Row],[Start Date]],Milestone_Marker,IF(AND(P$29&gt;ProposalToGnatt[[#This Row],[Start Date]],P$29&lt;ProposalToGnatt[[#This Row],[Start Date]]+ProposalToGnatt[[#This Row],[Days]]),$G$5,"")),"")</f>
        <v>1</v>
      </c>
      <c r="Q41" s="37" t="str">
        <f ca="1">IFERROR(+IF(Q$29=ProposalToGnatt[[#This Row],[Start Date]],Milestone_Marker,IF(AND(Q$29&gt;ProposalToGnatt[[#This Row],[Start Date]],Q$29&lt;ProposalToGnatt[[#This Row],[Start Date]]+ProposalToGnatt[[#This Row],[Days]]),$G$5,"")),"")</f>
        <v/>
      </c>
      <c r="R41" s="37" t="str">
        <f ca="1">IFERROR(+IF(R$29=ProposalToGnatt[[#This Row],[Start Date]],Milestone_Marker,IF(AND(R$29&gt;ProposalToGnatt[[#This Row],[Start Date]],R$29&lt;ProposalToGnatt[[#This Row],[Start Date]]+ProposalToGnatt[[#This Row],[Days]]),$G$5,"")),"")</f>
        <v/>
      </c>
      <c r="S41" s="37" t="str">
        <f ca="1">IFERROR(+IF(S$29=ProposalToGnatt[[#This Row],[Start Date]],Milestone_Marker,IF(AND(S$29&gt;ProposalToGnatt[[#This Row],[Start Date]],S$29&lt;ProposalToGnatt[[#This Row],[Start Date]]+ProposalToGnatt[[#This Row],[Days]]),$G$5,"")),"")</f>
        <v/>
      </c>
      <c r="T41" s="37" t="str">
        <f ca="1">IFERROR(+IF(T$29=ProposalToGnatt[[#This Row],[Start Date]],Milestone_Marker,IF(AND(T$29&gt;ProposalToGnatt[[#This Row],[Start Date]],T$29&lt;ProposalToGnatt[[#This Row],[Start Date]]+ProposalToGnatt[[#This Row],[Days]]),$G$5,"")),"")</f>
        <v/>
      </c>
      <c r="U41" s="37" t="str">
        <f ca="1">IFERROR(+IF(U$29=ProposalToGnatt[[#This Row],[Start Date]],Milestone_Marker,IF(AND(U$29&gt;ProposalToGnatt[[#This Row],[Start Date]],U$29&lt;ProposalToGnatt[[#This Row],[Start Date]]+ProposalToGnatt[[#This Row],[Days]]),$G$5,"")),"")</f>
        <v/>
      </c>
      <c r="V41" s="37" t="str">
        <f ca="1">IFERROR(+IF(V$29=ProposalToGnatt[[#This Row],[Start Date]],Milestone_Marker,IF(AND(V$29&gt;ProposalToGnatt[[#This Row],[Start Date]],V$29&lt;ProposalToGnatt[[#This Row],[Start Date]]+ProposalToGnatt[[#This Row],[Days]]),$G$5,"")),"")</f>
        <v/>
      </c>
      <c r="W41" s="37" t="str">
        <f ca="1">IFERROR(+IF(W$29=ProposalToGnatt[[#This Row],[Start Date]],Milestone_Marker,IF(AND(W$29&gt;ProposalToGnatt[[#This Row],[Start Date]],W$29&lt;ProposalToGnatt[[#This Row],[Start Date]]+ProposalToGnatt[[#This Row],[Days]]),$G$5,"")),"")</f>
        <v/>
      </c>
      <c r="X41" s="37" t="str">
        <f ca="1">IFERROR(+IF(X$29=ProposalToGnatt[[#This Row],[Start Date]],Milestone_Marker,IF(AND(X$29&gt;ProposalToGnatt[[#This Row],[Start Date]],X$29&lt;ProposalToGnatt[[#This Row],[Start Date]]+ProposalToGnatt[[#This Row],[Days]]),$G$5,"")),"")</f>
        <v/>
      </c>
      <c r="Y41" s="37" t="str">
        <f ca="1">IFERROR(+IF(Y$29=ProposalToGnatt[[#This Row],[Start Date]],Milestone_Marker,IF(AND(Y$29&gt;ProposalToGnatt[[#This Row],[Start Date]],Y$29&lt;ProposalToGnatt[[#This Row],[Start Date]]+ProposalToGnatt[[#This Row],[Days]]),$G$5,"")),"")</f>
        <v/>
      </c>
      <c r="Z41" s="37" t="str">
        <f ca="1">IFERROR(+IF(Z$29=ProposalToGnatt[[#This Row],[Start Date]],Milestone_Marker,IF(AND(Z$29&gt;ProposalToGnatt[[#This Row],[Start Date]],Z$29&lt;ProposalToGnatt[[#This Row],[Start Date]]+ProposalToGnatt[[#This Row],[Days]]),$G$5,"")),"")</f>
        <v/>
      </c>
      <c r="AA41" s="37" t="str">
        <f ca="1">IFERROR(+IF(AA$29=ProposalToGnatt[[#This Row],[Start Date]],Milestone_Marker,IF(AND(AA$29&gt;ProposalToGnatt[[#This Row],[Start Date]],AA$29&lt;ProposalToGnatt[[#This Row],[Start Date]]+ProposalToGnatt[[#This Row],[Days]]),$G$5,"")),"")</f>
        <v/>
      </c>
      <c r="AB41" s="37" t="str">
        <f ca="1">IFERROR(+IF(AB$29=ProposalToGnatt[[#This Row],[Start Date]],Milestone_Marker,IF(AND(AB$29&gt;ProposalToGnatt[[#This Row],[Start Date]],AB$29&lt;ProposalToGnatt[[#This Row],[Start Date]]+ProposalToGnatt[[#This Row],[Days]]),$G$5,"")),"")</f>
        <v/>
      </c>
      <c r="AC41" s="37" t="str">
        <f ca="1">IFERROR(+IF(AC$29=ProposalToGnatt[[#This Row],[Start Date]],Milestone_Marker,IF(AND(AC$29&gt;ProposalToGnatt[[#This Row],[Start Date]],AC$29&lt;ProposalToGnatt[[#This Row],[Start Date]]+ProposalToGnatt[[#This Row],[Days]]),$G$5,"")),"")</f>
        <v/>
      </c>
      <c r="AD41" s="37" t="str">
        <f ca="1">IFERROR(+IF(AD$29=ProposalToGnatt[[#This Row],[Start Date]],Milestone_Marker,IF(AND(AD$29&gt;ProposalToGnatt[[#This Row],[Start Date]],AD$29&lt;ProposalToGnatt[[#This Row],[Start Date]]+ProposalToGnatt[[#This Row],[Days]]),$G$5,"")),"")</f>
        <v/>
      </c>
      <c r="AE41" s="37" t="str">
        <f ca="1">IFERROR(+IF(AE$29=ProposalToGnatt[[#This Row],[Start Date]],Milestone_Marker,IF(AND(AE$29&gt;ProposalToGnatt[[#This Row],[Start Date]],AE$29&lt;ProposalToGnatt[[#This Row],[Start Date]]+ProposalToGnatt[[#This Row],[Days]]),$G$5,"")),"")</f>
        <v/>
      </c>
      <c r="AF41" s="37" t="str">
        <f ca="1">IFERROR(+IF(AF$29=ProposalToGnatt[[#This Row],[Start Date]],Milestone_Marker,IF(AND(AF$29&gt;ProposalToGnatt[[#This Row],[Start Date]],AF$29&lt;ProposalToGnatt[[#This Row],[Start Date]]+ProposalToGnatt[[#This Row],[Days]]),$G$5,"")),"")</f>
        <v/>
      </c>
      <c r="AG41" s="37" t="str">
        <f ca="1">IFERROR(+IF(AG$29=ProposalToGnatt[[#This Row],[Start Date]],Milestone_Marker,IF(AND(AG$29&gt;ProposalToGnatt[[#This Row],[Start Date]],AG$29&lt;ProposalToGnatt[[#This Row],[Start Date]]+ProposalToGnatt[[#This Row],[Days]]),$G$5,"")),"")</f>
        <v/>
      </c>
      <c r="AH41" s="37" t="str">
        <f ca="1">IFERROR(+IF(AH$29=ProposalToGnatt[[#This Row],[Start Date]],Milestone_Marker,IF(AND(AH$29&gt;ProposalToGnatt[[#This Row],[Start Date]],AH$29&lt;ProposalToGnatt[[#This Row],[Start Date]]+ProposalToGnatt[[#This Row],[Days]]),$G$5,"")),"")</f>
        <v/>
      </c>
      <c r="AI41" s="37" t="str">
        <f ca="1">IFERROR(+IF(AI$29=ProposalToGnatt[[#This Row],[Start Date]],Milestone_Marker,IF(AND(AI$29&gt;ProposalToGnatt[[#This Row],[Start Date]],AI$29&lt;ProposalToGnatt[[#This Row],[Start Date]]+ProposalToGnatt[[#This Row],[Days]]),$G$5,"")),"")</f>
        <v/>
      </c>
      <c r="AJ41" s="37" t="str">
        <f ca="1">IFERROR(+IF(AJ$29=ProposalToGnatt[[#This Row],[Start Date]],Milestone_Marker,IF(AND(AJ$29&gt;ProposalToGnatt[[#This Row],[Start Date]],AJ$29&lt;ProposalToGnatt[[#This Row],[Start Date]]+ProposalToGnatt[[#This Row],[Days]]),$G$5,"")),"")</f>
        <v/>
      </c>
      <c r="AK41" s="37" t="str">
        <f ca="1">IFERROR(+IF(AK$29=ProposalToGnatt[[#This Row],[Start Date]],Milestone_Marker,IF(AND(AK$29&gt;ProposalToGnatt[[#This Row],[Start Date]],AK$29&lt;ProposalToGnatt[[#This Row],[Start Date]]+ProposalToGnatt[[#This Row],[Days]]),$G$5,"")),"")</f>
        <v/>
      </c>
      <c r="AL41" s="37" t="str">
        <f ca="1">IFERROR(+IF(AL$29=ProposalToGnatt[[#This Row],[Start Date]],Milestone_Marker,IF(AND(AL$29&gt;ProposalToGnatt[[#This Row],[Start Date]],AL$29&lt;ProposalToGnatt[[#This Row],[Start Date]]+ProposalToGnatt[[#This Row],[Days]]),$G$5,"")),"")</f>
        <v/>
      </c>
      <c r="AM41" s="37" t="str">
        <f ca="1">IFERROR(+IF(AM$29=ProposalToGnatt[[#This Row],[Start Date]],Milestone_Marker,IF(AND(AM$29&gt;ProposalToGnatt[[#This Row],[Start Date]],AM$29&lt;ProposalToGnatt[[#This Row],[Start Date]]+ProposalToGnatt[[#This Row],[Days]]),$G$5,"")),"")</f>
        <v/>
      </c>
      <c r="AN41" s="37" t="str">
        <f ca="1">IFERROR(+IF(AN$29=ProposalToGnatt[[#This Row],[Start Date]],Milestone_Marker,IF(AND(AN$29&gt;ProposalToGnatt[[#This Row],[Start Date]],AN$29&lt;ProposalToGnatt[[#This Row],[Start Date]]+ProposalToGnatt[[#This Row],[Days]]),$G$5,"")),"")</f>
        <v/>
      </c>
      <c r="AO41" s="37" t="str">
        <f ca="1">IFERROR(+IF(AO$29=ProposalToGnatt[[#This Row],[Start Date]],Milestone_Marker,IF(AND(AO$29&gt;ProposalToGnatt[[#This Row],[Start Date]],AO$29&lt;ProposalToGnatt[[#This Row],[Start Date]]+ProposalToGnatt[[#This Row],[Days]]),$G$5,"")),"")</f>
        <v/>
      </c>
      <c r="AP41" s="37" t="str">
        <f ca="1">IFERROR(+IF(AP$29=ProposalToGnatt[[#This Row],[Start Date]],Milestone_Marker,IF(AND(AP$29&gt;ProposalToGnatt[[#This Row],[Start Date]],AP$29&lt;ProposalToGnatt[[#This Row],[Start Date]]+ProposalToGnatt[[#This Row],[Days]]),$G$5,"")),"")</f>
        <v/>
      </c>
      <c r="AQ41" s="37" t="str">
        <f ca="1">IFERROR(+IF(AQ$29=ProposalToGnatt[[#This Row],[Start Date]],Milestone_Marker,IF(AND(AQ$29&gt;ProposalToGnatt[[#This Row],[Start Date]],AQ$29&lt;ProposalToGnatt[[#This Row],[Start Date]]+ProposalToGnatt[[#This Row],[Days]]),$G$5,"")),"")</f>
        <v/>
      </c>
      <c r="AR41" s="37" t="str">
        <f ca="1">IFERROR(+IF(AR$29=ProposalToGnatt[[#This Row],[Start Date]],Milestone_Marker,IF(AND(AR$29&gt;ProposalToGnatt[[#This Row],[Start Date]],AR$29&lt;ProposalToGnatt[[#This Row],[Start Date]]+ProposalToGnatt[[#This Row],[Days]]),$G$5,"")),"")</f>
        <v/>
      </c>
      <c r="AS41" s="37" t="str">
        <f ca="1">IFERROR(+IF(AS$29=ProposalToGnatt[[#This Row],[Start Date]],Milestone_Marker,IF(AND(AS$29&gt;ProposalToGnatt[[#This Row],[Start Date]],AS$29&lt;ProposalToGnatt[[#This Row],[Start Date]]+ProposalToGnatt[[#This Row],[Days]]),$G$5,"")),"")</f>
        <v/>
      </c>
      <c r="AT41" s="37" t="str">
        <f ca="1">IFERROR(+IF(AT$29=ProposalToGnatt[[#This Row],[Start Date]],Milestone_Marker,IF(AND(AT$29&gt;ProposalToGnatt[[#This Row],[Start Date]],AT$29&lt;ProposalToGnatt[[#This Row],[Start Date]]+ProposalToGnatt[[#This Row],[Days]]),$G$5,"")),"")</f>
        <v/>
      </c>
      <c r="AU41" s="37" t="str">
        <f ca="1">IFERROR(+IF(AU$29=ProposalToGnatt[[#This Row],[Start Date]],Milestone_Marker,IF(AND(AU$29&gt;ProposalToGnatt[[#This Row],[Start Date]],AU$29&lt;ProposalToGnatt[[#This Row],[Start Date]]+ProposalToGnatt[[#This Row],[Days]]),$G$5,"")),"")</f>
        <v/>
      </c>
      <c r="AV41" s="37" t="str">
        <f ca="1">IFERROR(+IF(AV$29=ProposalToGnatt[[#This Row],[Start Date]],Milestone_Marker,IF(AND(AV$29&gt;ProposalToGnatt[[#This Row],[Start Date]],AV$29&lt;ProposalToGnatt[[#This Row],[Start Date]]+ProposalToGnatt[[#This Row],[Days]]),$G$5,"")),"")</f>
        <v/>
      </c>
      <c r="AW41" s="37" t="str">
        <f ca="1">IFERROR(+IF(AW$29=ProposalToGnatt[[#This Row],[Start Date]],Milestone_Marker,IF(AND(AW$29&gt;ProposalToGnatt[[#This Row],[Start Date]],AW$29&lt;ProposalToGnatt[[#This Row],[Start Date]]+ProposalToGnatt[[#This Row],[Days]]),$G$5,"")),"")</f>
        <v/>
      </c>
      <c r="AX41" s="37" t="str">
        <f ca="1">IFERROR(+IF(AX$29=ProposalToGnatt[[#This Row],[Start Date]],Milestone_Marker,IF(AND(AX$29&gt;ProposalToGnatt[[#This Row],[Start Date]],AX$29&lt;ProposalToGnatt[[#This Row],[Start Date]]+ProposalToGnatt[[#This Row],[Days]]),$G$5,"")),"")</f>
        <v/>
      </c>
      <c r="AY41" s="37" t="str">
        <f ca="1">IFERROR(+IF(AY$29=ProposalToGnatt[[#This Row],[Start Date]],Milestone_Marker,IF(AND(AY$29&gt;ProposalToGnatt[[#This Row],[Start Date]],AY$29&lt;ProposalToGnatt[[#This Row],[Start Date]]+ProposalToGnatt[[#This Row],[Days]]),$G$5,"")),"")</f>
        <v/>
      </c>
      <c r="AZ41" s="37" t="str">
        <f ca="1">IFERROR(+IF(AZ$29=ProposalToGnatt[[#This Row],[Start Date]],Milestone_Marker,IF(AND(AZ$29&gt;ProposalToGnatt[[#This Row],[Start Date]],AZ$29&lt;ProposalToGnatt[[#This Row],[Start Date]]+ProposalToGnatt[[#This Row],[Days]]),$G$5,"")),"")</f>
        <v/>
      </c>
      <c r="BA41" s="37" t="str">
        <f ca="1">IFERROR(+IF(BA$29=ProposalToGnatt[[#This Row],[Start Date]],Milestone_Marker,IF(AND(BA$29&gt;ProposalToGnatt[[#This Row],[Start Date]],BA$29&lt;ProposalToGnatt[[#This Row],[Start Date]]+ProposalToGnatt[[#This Row],[Days]]),$G$5,"")),"")</f>
        <v/>
      </c>
      <c r="BB41" s="37" t="str">
        <f ca="1">IFERROR(+IF(BB$29=ProposalToGnatt[[#This Row],[Start Date]],Milestone_Marker,IF(AND(BB$29&gt;ProposalToGnatt[[#This Row],[Start Date]],BB$29&lt;ProposalToGnatt[[#This Row],[Start Date]]+ProposalToGnatt[[#This Row],[Days]]),$G$5,"")),"")</f>
        <v/>
      </c>
      <c r="BC41" s="37" t="str">
        <f ca="1">IFERROR(+IF(BC$29=ProposalToGnatt[[#This Row],[Start Date]],Milestone_Marker,IF(AND(BC$29&gt;ProposalToGnatt[[#This Row],[Start Date]],BC$29&lt;ProposalToGnatt[[#This Row],[Start Date]]+ProposalToGnatt[[#This Row],[Days]]),$G$5,"")),"")</f>
        <v/>
      </c>
      <c r="BD41" s="37" t="str">
        <f ca="1">IFERROR(+IF(BD$29=ProposalToGnatt[[#This Row],[Start Date]],Milestone_Marker,IF(AND(BD$29&gt;ProposalToGnatt[[#This Row],[Start Date]],BD$29&lt;ProposalToGnatt[[#This Row],[Start Date]]+ProposalToGnatt[[#This Row],[Days]]),$G$5,"")),"")</f>
        <v/>
      </c>
      <c r="BE41" s="37" t="str">
        <f ca="1">IFERROR(+IF(BE$29=ProposalToGnatt[[#This Row],[Start Date]],Milestone_Marker,IF(AND(BE$29&gt;ProposalToGnatt[[#This Row],[Start Date]],BE$29&lt;ProposalToGnatt[[#This Row],[Start Date]]+ProposalToGnatt[[#This Row],[Days]]),$G$5,"")),"")</f>
        <v/>
      </c>
      <c r="BF41" s="37" t="str">
        <f ca="1">IFERROR(+IF(BF$29=ProposalToGnatt[[#This Row],[Start Date]],Milestone_Marker,IF(AND(BF$29&gt;ProposalToGnatt[[#This Row],[Start Date]],BF$29&lt;ProposalToGnatt[[#This Row],[Start Date]]+ProposalToGnatt[[#This Row],[Days]]),$G$5,"")),"")</f>
        <v/>
      </c>
      <c r="BG41" s="37" t="str">
        <f ca="1">IFERROR(+IF(BG$29=ProposalToGnatt[[#This Row],[Start Date]],Milestone_Marker,IF(AND(BG$29&gt;ProposalToGnatt[[#This Row],[Start Date]],BG$29&lt;ProposalToGnatt[[#This Row],[Start Date]]+ProposalToGnatt[[#This Row],[Days]]),$G$5,"")),"")</f>
        <v/>
      </c>
      <c r="BH41" s="37" t="str">
        <f ca="1">IFERROR(+IF(BH$29=ProposalToGnatt[[#This Row],[Start Date]],Milestone_Marker,IF(AND(BH$29&gt;ProposalToGnatt[[#This Row],[Start Date]],BH$29&lt;ProposalToGnatt[[#This Row],[Start Date]]+ProposalToGnatt[[#This Row],[Days]]),$G$5,"")),"")</f>
        <v/>
      </c>
      <c r="BI41" s="37" t="str">
        <f ca="1">IFERROR(+IF(BI$29=ProposalToGnatt[[#This Row],[Start Date]],Milestone_Marker,IF(AND(BI$29&gt;ProposalToGnatt[[#This Row],[Start Date]],BI$29&lt;ProposalToGnatt[[#This Row],[Start Date]]+ProposalToGnatt[[#This Row],[Days]]),$G$5,"")),"")</f>
        <v/>
      </c>
      <c r="BJ41" s="37" t="str">
        <f ca="1">IFERROR(+IF(BJ$29=ProposalToGnatt[[#This Row],[Start Date]],Milestone_Marker,IF(AND(BJ$29&gt;ProposalToGnatt[[#This Row],[Start Date]],BJ$29&lt;ProposalToGnatt[[#This Row],[Start Date]]+ProposalToGnatt[[#This Row],[Days]]),$G$5,"")),"")</f>
        <v/>
      </c>
      <c r="BK41" s="37" t="str">
        <f ca="1">IFERROR(+IF(BK$29=ProposalToGnatt[[#This Row],[Start Date]],Milestone_Marker,IF(AND(BK$29&gt;ProposalToGnatt[[#This Row],[Start Date]],BK$29&lt;ProposalToGnatt[[#This Row],[Start Date]]+ProposalToGnatt[[#This Row],[Days]]),$G$5,"")),"")</f>
        <v/>
      </c>
      <c r="BL41" s="37" t="str">
        <f ca="1">IFERROR(+IF(BL$29=ProposalToGnatt[[#This Row],[Start Date]],Milestone_Marker,IF(AND(BL$29&gt;ProposalToGnatt[[#This Row],[Start Date]],BL$29&lt;ProposalToGnatt[[#This Row],[Start Date]]+ProposalToGnatt[[#This Row],[Days]]),$G$5,"")),"")</f>
        <v/>
      </c>
      <c r="BM41" s="37" t="str">
        <f ca="1">IFERROR(+IF(BM$29=ProposalToGnatt[[#This Row],[Start Date]],Milestone_Marker,IF(AND(BM$29&gt;ProposalToGnatt[[#This Row],[Start Date]],BM$29&lt;ProposalToGnatt[[#This Row],[Start Date]]+ProposalToGnatt[[#This Row],[Days]]),$G$5,"")),"")</f>
        <v/>
      </c>
      <c r="BN41" s="37" t="str">
        <f ca="1">IFERROR(+IF(BN$29=ProposalToGnatt[[#This Row],[Start Date]],Milestone_Marker,IF(AND(BN$29&gt;ProposalToGnatt[[#This Row],[Start Date]],BN$29&lt;ProposalToGnatt[[#This Row],[Start Date]]+ProposalToGnatt[[#This Row],[Days]]),$G$5,"")),"")</f>
        <v/>
      </c>
      <c r="BO41" s="37" t="str">
        <f ca="1">IFERROR(+IF(BO$29=ProposalToGnatt[[#This Row],[Start Date]],Milestone_Marker,IF(AND(BO$29&gt;ProposalToGnatt[[#This Row],[Start Date]],BO$29&lt;ProposalToGnatt[[#This Row],[Start Date]]+ProposalToGnatt[[#This Row],[Days]]),$G$5,"")),"")</f>
        <v/>
      </c>
      <c r="BP41" s="37" t="str">
        <f ca="1">IFERROR(+IF(BP$29=ProposalToGnatt[[#This Row],[Start Date]],Milestone_Marker,IF(AND(BP$29&gt;ProposalToGnatt[[#This Row],[Start Date]],BP$29&lt;ProposalToGnatt[[#This Row],[Start Date]]+ProposalToGnatt[[#This Row],[Days]]),$G$5,"")),"")</f>
        <v/>
      </c>
      <c r="BQ41" s="37" t="str">
        <f ca="1">IFERROR(+IF(BQ$29=ProposalToGnatt[[#This Row],[Start Date]],Milestone_Marker,IF(AND(BQ$29&gt;ProposalToGnatt[[#This Row],[Start Date]],BQ$29&lt;ProposalToGnatt[[#This Row],[Start Date]]+ProposalToGnatt[[#This Row],[Days]]),$G$5,"")),"")</f>
        <v/>
      </c>
      <c r="BR41" s="37" t="str">
        <f ca="1">IFERROR(+IF(BR$29=ProposalToGnatt[[#This Row],[Start Date]],Milestone_Marker,IF(AND(BR$29&gt;ProposalToGnatt[[#This Row],[Start Date]],BR$29&lt;ProposalToGnatt[[#This Row],[Start Date]]+ProposalToGnatt[[#This Row],[Days]]),$G$5,"")),"")</f>
        <v/>
      </c>
      <c r="BS41" s="37" t="str">
        <f ca="1">IFERROR(+IF(BS$29=ProposalToGnatt[[#This Row],[Start Date]],Milestone_Marker,IF(AND(BS$29&gt;ProposalToGnatt[[#This Row],[Start Date]],BS$29&lt;ProposalToGnatt[[#This Row],[Start Date]]+ProposalToGnatt[[#This Row],[Days]]),$G$5,"")),"")</f>
        <v/>
      </c>
      <c r="BT41" s="37" t="str">
        <f ca="1">IFERROR(+IF(BT$29=ProposalToGnatt[[#This Row],[Start Date]],Milestone_Marker,IF(AND(BT$29&gt;ProposalToGnatt[[#This Row],[Start Date]],BT$29&lt;ProposalToGnatt[[#This Row],[Start Date]]+ProposalToGnatt[[#This Row],[Days]]),$G$5,"")),"")</f>
        <v/>
      </c>
      <c r="BU41" s="37" t="str">
        <f ca="1">IFERROR(+IF(BU$29=ProposalToGnatt[[#This Row],[Start Date]],Milestone_Marker,IF(AND(BU$29&gt;ProposalToGnatt[[#This Row],[Start Date]],BU$29&lt;ProposalToGnatt[[#This Row],[Start Date]]+ProposalToGnatt[[#This Row],[Days]]),$G$5,"")),"")</f>
        <v/>
      </c>
      <c r="BV41" s="37" t="str">
        <f ca="1">IFERROR(+IF(BV$29=ProposalToGnatt[[#This Row],[Start Date]],Milestone_Marker,IF(AND(BV$29&gt;ProposalToGnatt[[#This Row],[Start Date]],BV$29&lt;ProposalToGnatt[[#This Row],[Start Date]]+ProposalToGnatt[[#This Row],[Days]]),$G$5,"")),"")</f>
        <v/>
      </c>
      <c r="BW41" s="37" t="str">
        <f ca="1">IFERROR(+IF(BW$29=ProposalToGnatt[[#This Row],[Start Date]],Milestone_Marker,IF(AND(BW$29&gt;ProposalToGnatt[[#This Row],[Start Date]],BW$29&lt;ProposalToGnatt[[#This Row],[Start Date]]+ProposalToGnatt[[#This Row],[Days]]),$G$5,"")),"")</f>
        <v/>
      </c>
      <c r="BX41" s="37" t="str">
        <f ca="1">IFERROR(+IF(BX$29=ProposalToGnatt[[#This Row],[Start Date]],Milestone_Marker,IF(AND(BX$29&gt;ProposalToGnatt[[#This Row],[Start Date]],BX$29&lt;ProposalToGnatt[[#This Row],[Start Date]]+ProposalToGnatt[[#This Row],[Days]]),$G$5,"")),"")</f>
        <v/>
      </c>
      <c r="BY41" s="37" t="str">
        <f ca="1">IFERROR(+IF(BY$29=ProposalToGnatt[[#This Row],[Start Date]],Milestone_Marker,IF(AND(BY$29&gt;ProposalToGnatt[[#This Row],[Start Date]],BY$29&lt;ProposalToGnatt[[#This Row],[Start Date]]+ProposalToGnatt[[#This Row],[Days]]),$G$5,"")),"")</f>
        <v/>
      </c>
      <c r="BZ41" s="37" t="str">
        <f ca="1">IFERROR(+IF(BZ$29=ProposalToGnatt[[#This Row],[Start Date]],Milestone_Marker,IF(AND(BZ$29&gt;ProposalToGnatt[[#This Row],[Start Date]],BZ$29&lt;ProposalToGnatt[[#This Row],[Start Date]]+ProposalToGnatt[[#This Row],[Days]]),$G$5,"")),"")</f>
        <v/>
      </c>
      <c r="CA41" s="37" t="str">
        <f ca="1">IFERROR(+IF(CA$29=ProposalToGnatt[[#This Row],[Start Date]],Milestone_Marker,IF(AND(CA$29&gt;ProposalToGnatt[[#This Row],[Start Date]],CA$29&lt;ProposalToGnatt[[#This Row],[Start Date]]+ProposalToGnatt[[#This Row],[Days]]),$G$5,"")),"")</f>
        <v/>
      </c>
      <c r="CB41" s="37" t="str">
        <f ca="1">IFERROR(+IF(CB$29=ProposalToGnatt[[#This Row],[Start Date]],Milestone_Marker,IF(AND(CB$29&gt;ProposalToGnatt[[#This Row],[Start Date]],CB$29&lt;ProposalToGnatt[[#This Row],[Start Date]]+ProposalToGnatt[[#This Row],[Days]]),$G$5,"")),"")</f>
        <v/>
      </c>
      <c r="CC41" s="37" t="str">
        <f ca="1">IFERROR(+IF(CC$29=ProposalToGnatt[[#This Row],[Start Date]],Milestone_Marker,IF(AND(CC$29&gt;ProposalToGnatt[[#This Row],[Start Date]],CC$29&lt;ProposalToGnatt[[#This Row],[Start Date]]+ProposalToGnatt[[#This Row],[Days]]),$G$5,"")),"")</f>
        <v/>
      </c>
      <c r="CD41" s="37" t="str">
        <f ca="1">IFERROR(+IF(CD$29=ProposalToGnatt[[#This Row],[Start Date]],Milestone_Marker,IF(AND(CD$29&gt;ProposalToGnatt[[#This Row],[Start Date]],CD$29&lt;ProposalToGnatt[[#This Row],[Start Date]]+ProposalToGnatt[[#This Row],[Days]]),$G$5,"")),"")</f>
        <v/>
      </c>
      <c r="CE41" s="37" t="str">
        <f ca="1">IFERROR(+IF(CE$29=ProposalToGnatt[[#This Row],[Start Date]],Milestone_Marker,IF(AND(CE$29&gt;ProposalToGnatt[[#This Row],[Start Date]],CE$29&lt;ProposalToGnatt[[#This Row],[Start Date]]+ProposalToGnatt[[#This Row],[Days]]),$G$5,"")),"")</f>
        <v/>
      </c>
      <c r="CF41" s="37" t="str">
        <f ca="1">IFERROR(+IF(CF$29=ProposalToGnatt[[#This Row],[Start Date]],Milestone_Marker,IF(AND(CF$29&gt;ProposalToGnatt[[#This Row],[Start Date]],CF$29&lt;ProposalToGnatt[[#This Row],[Start Date]]+ProposalToGnatt[[#This Row],[Days]]),$G$5,"")),"")</f>
        <v/>
      </c>
      <c r="CG41" s="37" t="str">
        <f ca="1">IFERROR(+IF(CG$29=ProposalToGnatt[[#This Row],[Start Date]],Milestone_Marker,IF(AND(CG$29&gt;ProposalToGnatt[[#This Row],[Start Date]],CG$29&lt;ProposalToGnatt[[#This Row],[Start Date]]+ProposalToGnatt[[#This Row],[Days]]),$G$5,"")),"")</f>
        <v/>
      </c>
      <c r="CH41" s="37" t="str">
        <f ca="1">IFERROR(+IF(CH$29=ProposalToGnatt[[#This Row],[Start Date]],Milestone_Marker,IF(AND(CH$29&gt;ProposalToGnatt[[#This Row],[Start Date]],CH$29&lt;ProposalToGnatt[[#This Row],[Start Date]]+ProposalToGnatt[[#This Row],[Days]]),$G$5,"")),"")</f>
        <v/>
      </c>
      <c r="CI41" s="37" t="str">
        <f ca="1">IFERROR(+IF(CI$29=ProposalToGnatt[[#This Row],[Start Date]],Milestone_Marker,IF(AND(CI$29&gt;ProposalToGnatt[[#This Row],[Start Date]],CI$29&lt;ProposalToGnatt[[#This Row],[Start Date]]+ProposalToGnatt[[#This Row],[Days]]),$G$5,"")),"")</f>
        <v/>
      </c>
      <c r="CJ41" s="37" t="str">
        <f ca="1">IFERROR(+IF(CJ$29=ProposalToGnatt[[#This Row],[Start Date]],Milestone_Marker,IF(AND(CJ$29&gt;ProposalToGnatt[[#This Row],[Start Date]],CJ$29&lt;ProposalToGnatt[[#This Row],[Start Date]]+ProposalToGnatt[[#This Row],[Days]]),$G$5,"")),"")</f>
        <v/>
      </c>
      <c r="CK41" s="37" t="str">
        <f ca="1">IFERROR(+IF(CK$29=ProposalToGnatt[[#This Row],[Start Date]],Milestone_Marker,IF(AND(CK$29&gt;ProposalToGnatt[[#This Row],[Start Date]],CK$29&lt;ProposalToGnatt[[#This Row],[Start Date]]+ProposalToGnatt[[#This Row],[Days]]),$G$5,"")),"")</f>
        <v/>
      </c>
      <c r="CL41" s="37" t="str">
        <f ca="1">IFERROR(+IF(CL$29=ProposalToGnatt[[#This Row],[Start Date]],Milestone_Marker,IF(AND(CL$29&gt;ProposalToGnatt[[#This Row],[Start Date]],CL$29&lt;ProposalToGnatt[[#This Row],[Start Date]]+ProposalToGnatt[[#This Row],[Days]]),$G$5,"")),"")</f>
        <v/>
      </c>
      <c r="CM41" s="37" t="str">
        <f ca="1">IFERROR(+IF(CM$29=ProposalToGnatt[[#This Row],[Start Date]],Milestone_Marker,IF(AND(CM$29&gt;ProposalToGnatt[[#This Row],[Start Date]],CM$29&lt;ProposalToGnatt[[#This Row],[Start Date]]+ProposalToGnatt[[#This Row],[Days]]),$G$5,"")),"")</f>
        <v/>
      </c>
      <c r="CN41" s="37" t="str">
        <f ca="1">IFERROR(+IF(CN$29=ProposalToGnatt[[#This Row],[Start Date]],Milestone_Marker,IF(AND(CN$29&gt;ProposalToGnatt[[#This Row],[Start Date]],CN$29&lt;ProposalToGnatt[[#This Row],[Start Date]]+ProposalToGnatt[[#This Row],[Days]]),$G$5,"")),"")</f>
        <v/>
      </c>
      <c r="CO41" s="37" t="str">
        <f ca="1">IFERROR(+IF(CO$29=ProposalToGnatt[[#This Row],[Start Date]],Milestone_Marker,IF(AND(CO$29&gt;ProposalToGnatt[[#This Row],[Start Date]],CO$29&lt;ProposalToGnatt[[#This Row],[Start Date]]+ProposalToGnatt[[#This Row],[Days]]),$G$5,"")),"")</f>
        <v/>
      </c>
      <c r="CP41" s="37" t="str">
        <f ca="1">IFERROR(+IF(CP$29=ProposalToGnatt[[#This Row],[Start Date]],Milestone_Marker,IF(AND(CP$29&gt;ProposalToGnatt[[#This Row],[Start Date]],CP$29&lt;ProposalToGnatt[[#This Row],[Start Date]]+ProposalToGnatt[[#This Row],[Days]]),$G$5,"")),"")</f>
        <v/>
      </c>
      <c r="CQ41" s="37" t="str">
        <f ca="1">IFERROR(+IF(CQ$29=ProposalToGnatt[[#This Row],[Start Date]],Milestone_Marker,IF(AND(CQ$29&gt;ProposalToGnatt[[#This Row],[Start Date]],CQ$29&lt;ProposalToGnatt[[#This Row],[Start Date]]+ProposalToGnatt[[#This Row],[Days]]),$G$5,"")),"")</f>
        <v/>
      </c>
      <c r="CR41" s="37" t="str">
        <f ca="1">IFERROR(+IF(CR$29=ProposalToGnatt[[#This Row],[Start Date]],Milestone_Marker,IF(AND(CR$29&gt;ProposalToGnatt[[#This Row],[Start Date]],CR$29&lt;ProposalToGnatt[[#This Row],[Start Date]]+ProposalToGnatt[[#This Row],[Days]]),$G$5,"")),"")</f>
        <v/>
      </c>
      <c r="CS41" s="37" t="str">
        <f ca="1">IFERROR(+IF(CS$29=ProposalToGnatt[[#This Row],[Start Date]],Milestone_Marker,IF(AND(CS$29&gt;ProposalToGnatt[[#This Row],[Start Date]],CS$29&lt;ProposalToGnatt[[#This Row],[Start Date]]+ProposalToGnatt[[#This Row],[Days]]),$G$5,"")),"")</f>
        <v/>
      </c>
      <c r="CT41" s="37" t="str">
        <f ca="1">IFERROR(+IF(CT$29=ProposalToGnatt[[#This Row],[Start Date]],Milestone_Marker,IF(AND(CT$29&gt;ProposalToGnatt[[#This Row],[Start Date]],CT$29&lt;ProposalToGnatt[[#This Row],[Start Date]]+ProposalToGnatt[[#This Row],[Days]]),$G$5,"")),"")</f>
        <v/>
      </c>
      <c r="CU41" s="37" t="str">
        <f ca="1">IFERROR(+IF(CU$29=ProposalToGnatt[[#This Row],[Start Date]],Milestone_Marker,IF(AND(CU$29&gt;ProposalToGnatt[[#This Row],[Start Date]],CU$29&lt;ProposalToGnatt[[#This Row],[Start Date]]+ProposalToGnatt[[#This Row],[Days]]),$G$5,"")),"")</f>
        <v/>
      </c>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row>
    <row r="42" spans="1:125" s="42" customFormat="1" ht="15">
      <c r="A42" t="s">
        <v>437</v>
      </c>
      <c r="B42">
        <v>13</v>
      </c>
      <c r="C42" t="s">
        <v>359</v>
      </c>
      <c r="D42"/>
      <c r="E42"/>
      <c r="F42"/>
      <c r="G42" s="11"/>
      <c r="H42" s="26"/>
      <c r="I42"/>
      <c r="J42"/>
      <c r="K42" s="363"/>
      <c r="L42"/>
      <c r="M42"/>
      <c r="N42"/>
      <c r="O42" s="26"/>
      <c r="P42" s="37">
        <f ca="1">IFERROR(+IF(P$29=ProposalToGnatt[[#This Row],[Start Date]],Milestone_Marker,IF(AND(P$29&gt;ProposalToGnatt[[#This Row],[Start Date]],P$29&lt;ProposalToGnatt[[#This Row],[Start Date]]+ProposalToGnatt[[#This Row],[Days]]),$G$5,"")),"")</f>
        <v>1</v>
      </c>
      <c r="Q42" s="37" t="str">
        <f ca="1">IFERROR(+IF(Q$29=ProposalToGnatt[[#This Row],[Start Date]],Milestone_Marker,IF(AND(Q$29&gt;ProposalToGnatt[[#This Row],[Start Date]],Q$29&lt;ProposalToGnatt[[#This Row],[Start Date]]+ProposalToGnatt[[#This Row],[Days]]),$G$5,"")),"")</f>
        <v/>
      </c>
      <c r="R42" s="37" t="str">
        <f ca="1">IFERROR(+IF(R$29=ProposalToGnatt[[#This Row],[Start Date]],Milestone_Marker,IF(AND(R$29&gt;ProposalToGnatt[[#This Row],[Start Date]],R$29&lt;ProposalToGnatt[[#This Row],[Start Date]]+ProposalToGnatt[[#This Row],[Days]]),$G$5,"")),"")</f>
        <v/>
      </c>
      <c r="S42" s="37" t="str">
        <f ca="1">IFERROR(+IF(S$29=ProposalToGnatt[[#This Row],[Start Date]],Milestone_Marker,IF(AND(S$29&gt;ProposalToGnatt[[#This Row],[Start Date]],S$29&lt;ProposalToGnatt[[#This Row],[Start Date]]+ProposalToGnatt[[#This Row],[Days]]),$G$5,"")),"")</f>
        <v/>
      </c>
      <c r="T42" s="37" t="str">
        <f ca="1">IFERROR(+IF(T$29=ProposalToGnatt[[#This Row],[Start Date]],Milestone_Marker,IF(AND(T$29&gt;ProposalToGnatt[[#This Row],[Start Date]],T$29&lt;ProposalToGnatt[[#This Row],[Start Date]]+ProposalToGnatt[[#This Row],[Days]]),$G$5,"")),"")</f>
        <v/>
      </c>
      <c r="U42" s="37" t="str">
        <f ca="1">IFERROR(+IF(U$29=ProposalToGnatt[[#This Row],[Start Date]],Milestone_Marker,IF(AND(U$29&gt;ProposalToGnatt[[#This Row],[Start Date]],U$29&lt;ProposalToGnatt[[#This Row],[Start Date]]+ProposalToGnatt[[#This Row],[Days]]),$G$5,"")),"")</f>
        <v/>
      </c>
      <c r="V42" s="37" t="str">
        <f ca="1">IFERROR(+IF(V$29=ProposalToGnatt[[#This Row],[Start Date]],Milestone_Marker,IF(AND(V$29&gt;ProposalToGnatt[[#This Row],[Start Date]],V$29&lt;ProposalToGnatt[[#This Row],[Start Date]]+ProposalToGnatt[[#This Row],[Days]]),$G$5,"")),"")</f>
        <v/>
      </c>
      <c r="W42" s="37" t="str">
        <f ca="1">IFERROR(+IF(W$29=ProposalToGnatt[[#This Row],[Start Date]],Milestone_Marker,IF(AND(W$29&gt;ProposalToGnatt[[#This Row],[Start Date]],W$29&lt;ProposalToGnatt[[#This Row],[Start Date]]+ProposalToGnatt[[#This Row],[Days]]),$G$5,"")),"")</f>
        <v/>
      </c>
      <c r="X42" s="37" t="str">
        <f ca="1">IFERROR(+IF(X$29=ProposalToGnatt[[#This Row],[Start Date]],Milestone_Marker,IF(AND(X$29&gt;ProposalToGnatt[[#This Row],[Start Date]],X$29&lt;ProposalToGnatt[[#This Row],[Start Date]]+ProposalToGnatt[[#This Row],[Days]]),$G$5,"")),"")</f>
        <v/>
      </c>
      <c r="Y42" s="37" t="str">
        <f ca="1">IFERROR(+IF(Y$29=ProposalToGnatt[[#This Row],[Start Date]],Milestone_Marker,IF(AND(Y$29&gt;ProposalToGnatt[[#This Row],[Start Date]],Y$29&lt;ProposalToGnatt[[#This Row],[Start Date]]+ProposalToGnatt[[#This Row],[Days]]),$G$5,"")),"")</f>
        <v/>
      </c>
      <c r="Z42" s="37" t="str">
        <f ca="1">IFERROR(+IF(Z$29=ProposalToGnatt[[#This Row],[Start Date]],Milestone_Marker,IF(AND(Z$29&gt;ProposalToGnatt[[#This Row],[Start Date]],Z$29&lt;ProposalToGnatt[[#This Row],[Start Date]]+ProposalToGnatt[[#This Row],[Days]]),$G$5,"")),"")</f>
        <v/>
      </c>
      <c r="AA42" s="37" t="str">
        <f ca="1">IFERROR(+IF(AA$29=ProposalToGnatt[[#This Row],[Start Date]],Milestone_Marker,IF(AND(AA$29&gt;ProposalToGnatt[[#This Row],[Start Date]],AA$29&lt;ProposalToGnatt[[#This Row],[Start Date]]+ProposalToGnatt[[#This Row],[Days]]),$G$5,"")),"")</f>
        <v/>
      </c>
      <c r="AB42" s="37" t="str">
        <f ca="1">IFERROR(+IF(AB$29=ProposalToGnatt[[#This Row],[Start Date]],Milestone_Marker,IF(AND(AB$29&gt;ProposalToGnatt[[#This Row],[Start Date]],AB$29&lt;ProposalToGnatt[[#This Row],[Start Date]]+ProposalToGnatt[[#This Row],[Days]]),$G$5,"")),"")</f>
        <v/>
      </c>
      <c r="AC42" s="37" t="str">
        <f ca="1">IFERROR(+IF(AC$29=ProposalToGnatt[[#This Row],[Start Date]],Milestone_Marker,IF(AND(AC$29&gt;ProposalToGnatt[[#This Row],[Start Date]],AC$29&lt;ProposalToGnatt[[#This Row],[Start Date]]+ProposalToGnatt[[#This Row],[Days]]),$G$5,"")),"")</f>
        <v/>
      </c>
      <c r="AD42" s="37" t="str">
        <f ca="1">IFERROR(+IF(AD$29=ProposalToGnatt[[#This Row],[Start Date]],Milestone_Marker,IF(AND(AD$29&gt;ProposalToGnatt[[#This Row],[Start Date]],AD$29&lt;ProposalToGnatt[[#This Row],[Start Date]]+ProposalToGnatt[[#This Row],[Days]]),$G$5,"")),"")</f>
        <v/>
      </c>
      <c r="AE42" s="37" t="str">
        <f ca="1">IFERROR(+IF(AE$29=ProposalToGnatt[[#This Row],[Start Date]],Milestone_Marker,IF(AND(AE$29&gt;ProposalToGnatt[[#This Row],[Start Date]],AE$29&lt;ProposalToGnatt[[#This Row],[Start Date]]+ProposalToGnatt[[#This Row],[Days]]),$G$5,"")),"")</f>
        <v/>
      </c>
      <c r="AF42" s="37" t="str">
        <f ca="1">IFERROR(+IF(AF$29=ProposalToGnatt[[#This Row],[Start Date]],Milestone_Marker,IF(AND(AF$29&gt;ProposalToGnatt[[#This Row],[Start Date]],AF$29&lt;ProposalToGnatt[[#This Row],[Start Date]]+ProposalToGnatt[[#This Row],[Days]]),$G$5,"")),"")</f>
        <v/>
      </c>
      <c r="AG42" s="37" t="str">
        <f ca="1">IFERROR(+IF(AG$29=ProposalToGnatt[[#This Row],[Start Date]],Milestone_Marker,IF(AND(AG$29&gt;ProposalToGnatt[[#This Row],[Start Date]],AG$29&lt;ProposalToGnatt[[#This Row],[Start Date]]+ProposalToGnatt[[#This Row],[Days]]),$G$5,"")),"")</f>
        <v/>
      </c>
      <c r="AH42" s="37" t="str">
        <f ca="1">IFERROR(+IF(AH$29=ProposalToGnatt[[#This Row],[Start Date]],Milestone_Marker,IF(AND(AH$29&gt;ProposalToGnatt[[#This Row],[Start Date]],AH$29&lt;ProposalToGnatt[[#This Row],[Start Date]]+ProposalToGnatt[[#This Row],[Days]]),$G$5,"")),"")</f>
        <v/>
      </c>
      <c r="AI42" s="37" t="str">
        <f ca="1">IFERROR(+IF(AI$29=ProposalToGnatt[[#This Row],[Start Date]],Milestone_Marker,IF(AND(AI$29&gt;ProposalToGnatt[[#This Row],[Start Date]],AI$29&lt;ProposalToGnatt[[#This Row],[Start Date]]+ProposalToGnatt[[#This Row],[Days]]),$G$5,"")),"")</f>
        <v/>
      </c>
      <c r="AJ42" s="37" t="str">
        <f ca="1">IFERROR(+IF(AJ$29=ProposalToGnatt[[#This Row],[Start Date]],Milestone_Marker,IF(AND(AJ$29&gt;ProposalToGnatt[[#This Row],[Start Date]],AJ$29&lt;ProposalToGnatt[[#This Row],[Start Date]]+ProposalToGnatt[[#This Row],[Days]]),$G$5,"")),"")</f>
        <v/>
      </c>
      <c r="AK42" s="37" t="str">
        <f ca="1">IFERROR(+IF(AK$29=ProposalToGnatt[[#This Row],[Start Date]],Milestone_Marker,IF(AND(AK$29&gt;ProposalToGnatt[[#This Row],[Start Date]],AK$29&lt;ProposalToGnatt[[#This Row],[Start Date]]+ProposalToGnatt[[#This Row],[Days]]),$G$5,"")),"")</f>
        <v/>
      </c>
      <c r="AL42" s="37" t="str">
        <f ca="1">IFERROR(+IF(AL$29=ProposalToGnatt[[#This Row],[Start Date]],Milestone_Marker,IF(AND(AL$29&gt;ProposalToGnatt[[#This Row],[Start Date]],AL$29&lt;ProposalToGnatt[[#This Row],[Start Date]]+ProposalToGnatt[[#This Row],[Days]]),$G$5,"")),"")</f>
        <v/>
      </c>
      <c r="AM42" s="37" t="str">
        <f ca="1">IFERROR(+IF(AM$29=ProposalToGnatt[[#This Row],[Start Date]],Milestone_Marker,IF(AND(AM$29&gt;ProposalToGnatt[[#This Row],[Start Date]],AM$29&lt;ProposalToGnatt[[#This Row],[Start Date]]+ProposalToGnatt[[#This Row],[Days]]),$G$5,"")),"")</f>
        <v/>
      </c>
      <c r="AN42" s="37" t="str">
        <f ca="1">IFERROR(+IF(AN$29=ProposalToGnatt[[#This Row],[Start Date]],Milestone_Marker,IF(AND(AN$29&gt;ProposalToGnatt[[#This Row],[Start Date]],AN$29&lt;ProposalToGnatt[[#This Row],[Start Date]]+ProposalToGnatt[[#This Row],[Days]]),$G$5,"")),"")</f>
        <v/>
      </c>
      <c r="AO42" s="37" t="str">
        <f ca="1">IFERROR(+IF(AO$29=ProposalToGnatt[[#This Row],[Start Date]],Milestone_Marker,IF(AND(AO$29&gt;ProposalToGnatt[[#This Row],[Start Date]],AO$29&lt;ProposalToGnatt[[#This Row],[Start Date]]+ProposalToGnatt[[#This Row],[Days]]),$G$5,"")),"")</f>
        <v/>
      </c>
      <c r="AP42" s="37" t="str">
        <f ca="1">IFERROR(+IF(AP$29=ProposalToGnatt[[#This Row],[Start Date]],Milestone_Marker,IF(AND(AP$29&gt;ProposalToGnatt[[#This Row],[Start Date]],AP$29&lt;ProposalToGnatt[[#This Row],[Start Date]]+ProposalToGnatt[[#This Row],[Days]]),$G$5,"")),"")</f>
        <v/>
      </c>
      <c r="AQ42" s="37" t="str">
        <f ca="1">IFERROR(+IF(AQ$29=ProposalToGnatt[[#This Row],[Start Date]],Milestone_Marker,IF(AND(AQ$29&gt;ProposalToGnatt[[#This Row],[Start Date]],AQ$29&lt;ProposalToGnatt[[#This Row],[Start Date]]+ProposalToGnatt[[#This Row],[Days]]),$G$5,"")),"")</f>
        <v/>
      </c>
      <c r="AR42" s="37" t="str">
        <f ca="1">IFERROR(+IF(AR$29=ProposalToGnatt[[#This Row],[Start Date]],Milestone_Marker,IF(AND(AR$29&gt;ProposalToGnatt[[#This Row],[Start Date]],AR$29&lt;ProposalToGnatt[[#This Row],[Start Date]]+ProposalToGnatt[[#This Row],[Days]]),$G$5,"")),"")</f>
        <v/>
      </c>
      <c r="AS42" s="37" t="str">
        <f ca="1">IFERROR(+IF(AS$29=ProposalToGnatt[[#This Row],[Start Date]],Milestone_Marker,IF(AND(AS$29&gt;ProposalToGnatt[[#This Row],[Start Date]],AS$29&lt;ProposalToGnatt[[#This Row],[Start Date]]+ProposalToGnatt[[#This Row],[Days]]),$G$5,"")),"")</f>
        <v/>
      </c>
      <c r="AT42" s="37" t="str">
        <f ca="1">IFERROR(+IF(AT$29=ProposalToGnatt[[#This Row],[Start Date]],Milestone_Marker,IF(AND(AT$29&gt;ProposalToGnatt[[#This Row],[Start Date]],AT$29&lt;ProposalToGnatt[[#This Row],[Start Date]]+ProposalToGnatt[[#This Row],[Days]]),$G$5,"")),"")</f>
        <v/>
      </c>
      <c r="AU42" s="37" t="str">
        <f ca="1">IFERROR(+IF(AU$29=ProposalToGnatt[[#This Row],[Start Date]],Milestone_Marker,IF(AND(AU$29&gt;ProposalToGnatt[[#This Row],[Start Date]],AU$29&lt;ProposalToGnatt[[#This Row],[Start Date]]+ProposalToGnatt[[#This Row],[Days]]),$G$5,"")),"")</f>
        <v/>
      </c>
      <c r="AV42" s="37" t="str">
        <f ca="1">IFERROR(+IF(AV$29=ProposalToGnatt[[#This Row],[Start Date]],Milestone_Marker,IF(AND(AV$29&gt;ProposalToGnatt[[#This Row],[Start Date]],AV$29&lt;ProposalToGnatt[[#This Row],[Start Date]]+ProposalToGnatt[[#This Row],[Days]]),$G$5,"")),"")</f>
        <v/>
      </c>
      <c r="AW42" s="37" t="str">
        <f ca="1">IFERROR(+IF(AW$29=ProposalToGnatt[[#This Row],[Start Date]],Milestone_Marker,IF(AND(AW$29&gt;ProposalToGnatt[[#This Row],[Start Date]],AW$29&lt;ProposalToGnatt[[#This Row],[Start Date]]+ProposalToGnatt[[#This Row],[Days]]),$G$5,"")),"")</f>
        <v/>
      </c>
      <c r="AX42" s="37" t="str">
        <f ca="1">IFERROR(+IF(AX$29=ProposalToGnatt[[#This Row],[Start Date]],Milestone_Marker,IF(AND(AX$29&gt;ProposalToGnatt[[#This Row],[Start Date]],AX$29&lt;ProposalToGnatt[[#This Row],[Start Date]]+ProposalToGnatt[[#This Row],[Days]]),$G$5,"")),"")</f>
        <v/>
      </c>
      <c r="AY42" s="37" t="str">
        <f ca="1">IFERROR(+IF(AY$29=ProposalToGnatt[[#This Row],[Start Date]],Milestone_Marker,IF(AND(AY$29&gt;ProposalToGnatt[[#This Row],[Start Date]],AY$29&lt;ProposalToGnatt[[#This Row],[Start Date]]+ProposalToGnatt[[#This Row],[Days]]),$G$5,"")),"")</f>
        <v/>
      </c>
      <c r="AZ42" s="37" t="str">
        <f ca="1">IFERROR(+IF(AZ$29=ProposalToGnatt[[#This Row],[Start Date]],Milestone_Marker,IF(AND(AZ$29&gt;ProposalToGnatt[[#This Row],[Start Date]],AZ$29&lt;ProposalToGnatt[[#This Row],[Start Date]]+ProposalToGnatt[[#This Row],[Days]]),$G$5,"")),"")</f>
        <v/>
      </c>
      <c r="BA42" s="37" t="str">
        <f ca="1">IFERROR(+IF(BA$29=ProposalToGnatt[[#This Row],[Start Date]],Milestone_Marker,IF(AND(BA$29&gt;ProposalToGnatt[[#This Row],[Start Date]],BA$29&lt;ProposalToGnatt[[#This Row],[Start Date]]+ProposalToGnatt[[#This Row],[Days]]),$G$5,"")),"")</f>
        <v/>
      </c>
      <c r="BB42" s="37" t="str">
        <f ca="1">IFERROR(+IF(BB$29=ProposalToGnatt[[#This Row],[Start Date]],Milestone_Marker,IF(AND(BB$29&gt;ProposalToGnatt[[#This Row],[Start Date]],BB$29&lt;ProposalToGnatt[[#This Row],[Start Date]]+ProposalToGnatt[[#This Row],[Days]]),$G$5,"")),"")</f>
        <v/>
      </c>
      <c r="BC42" s="37" t="str">
        <f ca="1">IFERROR(+IF(BC$29=ProposalToGnatt[[#This Row],[Start Date]],Milestone_Marker,IF(AND(BC$29&gt;ProposalToGnatt[[#This Row],[Start Date]],BC$29&lt;ProposalToGnatt[[#This Row],[Start Date]]+ProposalToGnatt[[#This Row],[Days]]),$G$5,"")),"")</f>
        <v/>
      </c>
      <c r="BD42" s="37" t="str">
        <f ca="1">IFERROR(+IF(BD$29=ProposalToGnatt[[#This Row],[Start Date]],Milestone_Marker,IF(AND(BD$29&gt;ProposalToGnatt[[#This Row],[Start Date]],BD$29&lt;ProposalToGnatt[[#This Row],[Start Date]]+ProposalToGnatt[[#This Row],[Days]]),$G$5,"")),"")</f>
        <v/>
      </c>
      <c r="BE42" s="37" t="str">
        <f ca="1">IFERROR(+IF(BE$29=ProposalToGnatt[[#This Row],[Start Date]],Milestone_Marker,IF(AND(BE$29&gt;ProposalToGnatt[[#This Row],[Start Date]],BE$29&lt;ProposalToGnatt[[#This Row],[Start Date]]+ProposalToGnatt[[#This Row],[Days]]),$G$5,"")),"")</f>
        <v/>
      </c>
      <c r="BF42" s="37" t="str">
        <f ca="1">IFERROR(+IF(BF$29=ProposalToGnatt[[#This Row],[Start Date]],Milestone_Marker,IF(AND(BF$29&gt;ProposalToGnatt[[#This Row],[Start Date]],BF$29&lt;ProposalToGnatt[[#This Row],[Start Date]]+ProposalToGnatt[[#This Row],[Days]]),$G$5,"")),"")</f>
        <v/>
      </c>
      <c r="BG42" s="37" t="str">
        <f ca="1">IFERROR(+IF(BG$29=ProposalToGnatt[[#This Row],[Start Date]],Milestone_Marker,IF(AND(BG$29&gt;ProposalToGnatt[[#This Row],[Start Date]],BG$29&lt;ProposalToGnatt[[#This Row],[Start Date]]+ProposalToGnatt[[#This Row],[Days]]),$G$5,"")),"")</f>
        <v/>
      </c>
      <c r="BH42" s="37" t="str">
        <f ca="1">IFERROR(+IF(BH$29=ProposalToGnatt[[#This Row],[Start Date]],Milestone_Marker,IF(AND(BH$29&gt;ProposalToGnatt[[#This Row],[Start Date]],BH$29&lt;ProposalToGnatt[[#This Row],[Start Date]]+ProposalToGnatt[[#This Row],[Days]]),$G$5,"")),"")</f>
        <v/>
      </c>
      <c r="BI42" s="37" t="str">
        <f ca="1">IFERROR(+IF(BI$29=ProposalToGnatt[[#This Row],[Start Date]],Milestone_Marker,IF(AND(BI$29&gt;ProposalToGnatt[[#This Row],[Start Date]],BI$29&lt;ProposalToGnatt[[#This Row],[Start Date]]+ProposalToGnatt[[#This Row],[Days]]),$G$5,"")),"")</f>
        <v/>
      </c>
      <c r="BJ42" s="37" t="str">
        <f ca="1">IFERROR(+IF(BJ$29=ProposalToGnatt[[#This Row],[Start Date]],Milestone_Marker,IF(AND(BJ$29&gt;ProposalToGnatt[[#This Row],[Start Date]],BJ$29&lt;ProposalToGnatt[[#This Row],[Start Date]]+ProposalToGnatt[[#This Row],[Days]]),$G$5,"")),"")</f>
        <v/>
      </c>
      <c r="BK42" s="37" t="str">
        <f ca="1">IFERROR(+IF(BK$29=ProposalToGnatt[[#This Row],[Start Date]],Milestone_Marker,IF(AND(BK$29&gt;ProposalToGnatt[[#This Row],[Start Date]],BK$29&lt;ProposalToGnatt[[#This Row],[Start Date]]+ProposalToGnatt[[#This Row],[Days]]),$G$5,"")),"")</f>
        <v/>
      </c>
      <c r="BL42" s="37" t="str">
        <f ca="1">IFERROR(+IF(BL$29=ProposalToGnatt[[#This Row],[Start Date]],Milestone_Marker,IF(AND(BL$29&gt;ProposalToGnatt[[#This Row],[Start Date]],BL$29&lt;ProposalToGnatt[[#This Row],[Start Date]]+ProposalToGnatt[[#This Row],[Days]]),$G$5,"")),"")</f>
        <v/>
      </c>
      <c r="BM42" s="37" t="str">
        <f ca="1">IFERROR(+IF(BM$29=ProposalToGnatt[[#This Row],[Start Date]],Milestone_Marker,IF(AND(BM$29&gt;ProposalToGnatt[[#This Row],[Start Date]],BM$29&lt;ProposalToGnatt[[#This Row],[Start Date]]+ProposalToGnatt[[#This Row],[Days]]),$G$5,"")),"")</f>
        <v/>
      </c>
      <c r="BN42" s="37" t="str">
        <f ca="1">IFERROR(+IF(BN$29=ProposalToGnatt[[#This Row],[Start Date]],Milestone_Marker,IF(AND(BN$29&gt;ProposalToGnatt[[#This Row],[Start Date]],BN$29&lt;ProposalToGnatt[[#This Row],[Start Date]]+ProposalToGnatt[[#This Row],[Days]]),$G$5,"")),"")</f>
        <v/>
      </c>
      <c r="BO42" s="37" t="str">
        <f ca="1">IFERROR(+IF(BO$29=ProposalToGnatt[[#This Row],[Start Date]],Milestone_Marker,IF(AND(BO$29&gt;ProposalToGnatt[[#This Row],[Start Date]],BO$29&lt;ProposalToGnatt[[#This Row],[Start Date]]+ProposalToGnatt[[#This Row],[Days]]),$G$5,"")),"")</f>
        <v/>
      </c>
      <c r="BP42" s="37" t="str">
        <f ca="1">IFERROR(+IF(BP$29=ProposalToGnatt[[#This Row],[Start Date]],Milestone_Marker,IF(AND(BP$29&gt;ProposalToGnatt[[#This Row],[Start Date]],BP$29&lt;ProposalToGnatt[[#This Row],[Start Date]]+ProposalToGnatt[[#This Row],[Days]]),$G$5,"")),"")</f>
        <v/>
      </c>
      <c r="BQ42" s="37" t="str">
        <f ca="1">IFERROR(+IF(BQ$29=ProposalToGnatt[[#This Row],[Start Date]],Milestone_Marker,IF(AND(BQ$29&gt;ProposalToGnatt[[#This Row],[Start Date]],BQ$29&lt;ProposalToGnatt[[#This Row],[Start Date]]+ProposalToGnatt[[#This Row],[Days]]),$G$5,"")),"")</f>
        <v/>
      </c>
      <c r="BR42" s="37" t="str">
        <f ca="1">IFERROR(+IF(BR$29=ProposalToGnatt[[#This Row],[Start Date]],Milestone_Marker,IF(AND(BR$29&gt;ProposalToGnatt[[#This Row],[Start Date]],BR$29&lt;ProposalToGnatt[[#This Row],[Start Date]]+ProposalToGnatt[[#This Row],[Days]]),$G$5,"")),"")</f>
        <v/>
      </c>
      <c r="BS42" s="37" t="str">
        <f ca="1">IFERROR(+IF(BS$29=ProposalToGnatt[[#This Row],[Start Date]],Milestone_Marker,IF(AND(BS$29&gt;ProposalToGnatt[[#This Row],[Start Date]],BS$29&lt;ProposalToGnatt[[#This Row],[Start Date]]+ProposalToGnatt[[#This Row],[Days]]),$G$5,"")),"")</f>
        <v/>
      </c>
      <c r="BT42" s="37" t="str">
        <f ca="1">IFERROR(+IF(BT$29=ProposalToGnatt[[#This Row],[Start Date]],Milestone_Marker,IF(AND(BT$29&gt;ProposalToGnatt[[#This Row],[Start Date]],BT$29&lt;ProposalToGnatt[[#This Row],[Start Date]]+ProposalToGnatt[[#This Row],[Days]]),$G$5,"")),"")</f>
        <v/>
      </c>
      <c r="BU42" s="37" t="str">
        <f ca="1">IFERROR(+IF(BU$29=ProposalToGnatt[[#This Row],[Start Date]],Milestone_Marker,IF(AND(BU$29&gt;ProposalToGnatt[[#This Row],[Start Date]],BU$29&lt;ProposalToGnatt[[#This Row],[Start Date]]+ProposalToGnatt[[#This Row],[Days]]),$G$5,"")),"")</f>
        <v/>
      </c>
      <c r="BV42" s="37" t="str">
        <f ca="1">IFERROR(+IF(BV$29=ProposalToGnatt[[#This Row],[Start Date]],Milestone_Marker,IF(AND(BV$29&gt;ProposalToGnatt[[#This Row],[Start Date]],BV$29&lt;ProposalToGnatt[[#This Row],[Start Date]]+ProposalToGnatt[[#This Row],[Days]]),$G$5,"")),"")</f>
        <v/>
      </c>
      <c r="BW42" s="37" t="str">
        <f ca="1">IFERROR(+IF(BW$29=ProposalToGnatt[[#This Row],[Start Date]],Milestone_Marker,IF(AND(BW$29&gt;ProposalToGnatt[[#This Row],[Start Date]],BW$29&lt;ProposalToGnatt[[#This Row],[Start Date]]+ProposalToGnatt[[#This Row],[Days]]),$G$5,"")),"")</f>
        <v/>
      </c>
      <c r="BX42" s="37" t="str">
        <f ca="1">IFERROR(+IF(BX$29=ProposalToGnatt[[#This Row],[Start Date]],Milestone_Marker,IF(AND(BX$29&gt;ProposalToGnatt[[#This Row],[Start Date]],BX$29&lt;ProposalToGnatt[[#This Row],[Start Date]]+ProposalToGnatt[[#This Row],[Days]]),$G$5,"")),"")</f>
        <v/>
      </c>
      <c r="BY42" s="37" t="str">
        <f ca="1">IFERROR(+IF(BY$29=ProposalToGnatt[[#This Row],[Start Date]],Milestone_Marker,IF(AND(BY$29&gt;ProposalToGnatt[[#This Row],[Start Date]],BY$29&lt;ProposalToGnatt[[#This Row],[Start Date]]+ProposalToGnatt[[#This Row],[Days]]),$G$5,"")),"")</f>
        <v/>
      </c>
      <c r="BZ42" s="37" t="str">
        <f ca="1">IFERROR(+IF(BZ$29=ProposalToGnatt[[#This Row],[Start Date]],Milestone_Marker,IF(AND(BZ$29&gt;ProposalToGnatt[[#This Row],[Start Date]],BZ$29&lt;ProposalToGnatt[[#This Row],[Start Date]]+ProposalToGnatt[[#This Row],[Days]]),$G$5,"")),"")</f>
        <v/>
      </c>
      <c r="CA42" s="37" t="str">
        <f ca="1">IFERROR(+IF(CA$29=ProposalToGnatt[[#This Row],[Start Date]],Milestone_Marker,IF(AND(CA$29&gt;ProposalToGnatt[[#This Row],[Start Date]],CA$29&lt;ProposalToGnatt[[#This Row],[Start Date]]+ProposalToGnatt[[#This Row],[Days]]),$G$5,"")),"")</f>
        <v/>
      </c>
      <c r="CB42" s="37" t="str">
        <f ca="1">IFERROR(+IF(CB$29=ProposalToGnatt[[#This Row],[Start Date]],Milestone_Marker,IF(AND(CB$29&gt;ProposalToGnatt[[#This Row],[Start Date]],CB$29&lt;ProposalToGnatt[[#This Row],[Start Date]]+ProposalToGnatt[[#This Row],[Days]]),$G$5,"")),"")</f>
        <v/>
      </c>
      <c r="CC42" s="37" t="str">
        <f ca="1">IFERROR(+IF(CC$29=ProposalToGnatt[[#This Row],[Start Date]],Milestone_Marker,IF(AND(CC$29&gt;ProposalToGnatt[[#This Row],[Start Date]],CC$29&lt;ProposalToGnatt[[#This Row],[Start Date]]+ProposalToGnatt[[#This Row],[Days]]),$G$5,"")),"")</f>
        <v/>
      </c>
      <c r="CD42" s="37" t="str">
        <f ca="1">IFERROR(+IF(CD$29=ProposalToGnatt[[#This Row],[Start Date]],Milestone_Marker,IF(AND(CD$29&gt;ProposalToGnatt[[#This Row],[Start Date]],CD$29&lt;ProposalToGnatt[[#This Row],[Start Date]]+ProposalToGnatt[[#This Row],[Days]]),$G$5,"")),"")</f>
        <v/>
      </c>
      <c r="CE42" s="37" t="str">
        <f ca="1">IFERROR(+IF(CE$29=ProposalToGnatt[[#This Row],[Start Date]],Milestone_Marker,IF(AND(CE$29&gt;ProposalToGnatt[[#This Row],[Start Date]],CE$29&lt;ProposalToGnatt[[#This Row],[Start Date]]+ProposalToGnatt[[#This Row],[Days]]),$G$5,"")),"")</f>
        <v/>
      </c>
      <c r="CF42" s="37" t="str">
        <f ca="1">IFERROR(+IF(CF$29=ProposalToGnatt[[#This Row],[Start Date]],Milestone_Marker,IF(AND(CF$29&gt;ProposalToGnatt[[#This Row],[Start Date]],CF$29&lt;ProposalToGnatt[[#This Row],[Start Date]]+ProposalToGnatt[[#This Row],[Days]]),$G$5,"")),"")</f>
        <v/>
      </c>
      <c r="CG42" s="37" t="str">
        <f ca="1">IFERROR(+IF(CG$29=ProposalToGnatt[[#This Row],[Start Date]],Milestone_Marker,IF(AND(CG$29&gt;ProposalToGnatt[[#This Row],[Start Date]],CG$29&lt;ProposalToGnatt[[#This Row],[Start Date]]+ProposalToGnatt[[#This Row],[Days]]),$G$5,"")),"")</f>
        <v/>
      </c>
      <c r="CH42" s="37" t="str">
        <f ca="1">IFERROR(+IF(CH$29=ProposalToGnatt[[#This Row],[Start Date]],Milestone_Marker,IF(AND(CH$29&gt;ProposalToGnatt[[#This Row],[Start Date]],CH$29&lt;ProposalToGnatt[[#This Row],[Start Date]]+ProposalToGnatt[[#This Row],[Days]]),$G$5,"")),"")</f>
        <v/>
      </c>
      <c r="CI42" s="37" t="str">
        <f ca="1">IFERROR(+IF(CI$29=ProposalToGnatt[[#This Row],[Start Date]],Milestone_Marker,IF(AND(CI$29&gt;ProposalToGnatt[[#This Row],[Start Date]],CI$29&lt;ProposalToGnatt[[#This Row],[Start Date]]+ProposalToGnatt[[#This Row],[Days]]),$G$5,"")),"")</f>
        <v/>
      </c>
      <c r="CJ42" s="37" t="str">
        <f ca="1">IFERROR(+IF(CJ$29=ProposalToGnatt[[#This Row],[Start Date]],Milestone_Marker,IF(AND(CJ$29&gt;ProposalToGnatt[[#This Row],[Start Date]],CJ$29&lt;ProposalToGnatt[[#This Row],[Start Date]]+ProposalToGnatt[[#This Row],[Days]]),$G$5,"")),"")</f>
        <v/>
      </c>
      <c r="CK42" s="37" t="str">
        <f ca="1">IFERROR(+IF(CK$29=ProposalToGnatt[[#This Row],[Start Date]],Milestone_Marker,IF(AND(CK$29&gt;ProposalToGnatt[[#This Row],[Start Date]],CK$29&lt;ProposalToGnatt[[#This Row],[Start Date]]+ProposalToGnatt[[#This Row],[Days]]),$G$5,"")),"")</f>
        <v/>
      </c>
      <c r="CL42" s="37" t="str">
        <f ca="1">IFERROR(+IF(CL$29=ProposalToGnatt[[#This Row],[Start Date]],Milestone_Marker,IF(AND(CL$29&gt;ProposalToGnatt[[#This Row],[Start Date]],CL$29&lt;ProposalToGnatt[[#This Row],[Start Date]]+ProposalToGnatt[[#This Row],[Days]]),$G$5,"")),"")</f>
        <v/>
      </c>
      <c r="CM42" s="37" t="str">
        <f ca="1">IFERROR(+IF(CM$29=ProposalToGnatt[[#This Row],[Start Date]],Milestone_Marker,IF(AND(CM$29&gt;ProposalToGnatt[[#This Row],[Start Date]],CM$29&lt;ProposalToGnatt[[#This Row],[Start Date]]+ProposalToGnatt[[#This Row],[Days]]),$G$5,"")),"")</f>
        <v/>
      </c>
      <c r="CN42" s="37" t="str">
        <f ca="1">IFERROR(+IF(CN$29=ProposalToGnatt[[#This Row],[Start Date]],Milestone_Marker,IF(AND(CN$29&gt;ProposalToGnatt[[#This Row],[Start Date]],CN$29&lt;ProposalToGnatt[[#This Row],[Start Date]]+ProposalToGnatt[[#This Row],[Days]]),$G$5,"")),"")</f>
        <v/>
      </c>
      <c r="CO42" s="37" t="str">
        <f ca="1">IFERROR(+IF(CO$29=ProposalToGnatt[[#This Row],[Start Date]],Milestone_Marker,IF(AND(CO$29&gt;ProposalToGnatt[[#This Row],[Start Date]],CO$29&lt;ProposalToGnatt[[#This Row],[Start Date]]+ProposalToGnatt[[#This Row],[Days]]),$G$5,"")),"")</f>
        <v/>
      </c>
      <c r="CP42" s="37" t="str">
        <f ca="1">IFERROR(+IF(CP$29=ProposalToGnatt[[#This Row],[Start Date]],Milestone_Marker,IF(AND(CP$29&gt;ProposalToGnatt[[#This Row],[Start Date]],CP$29&lt;ProposalToGnatt[[#This Row],[Start Date]]+ProposalToGnatt[[#This Row],[Days]]),$G$5,"")),"")</f>
        <v/>
      </c>
      <c r="CQ42" s="37" t="str">
        <f ca="1">IFERROR(+IF(CQ$29=ProposalToGnatt[[#This Row],[Start Date]],Milestone_Marker,IF(AND(CQ$29&gt;ProposalToGnatt[[#This Row],[Start Date]],CQ$29&lt;ProposalToGnatt[[#This Row],[Start Date]]+ProposalToGnatt[[#This Row],[Days]]),$G$5,"")),"")</f>
        <v/>
      </c>
      <c r="CR42" s="37" t="str">
        <f ca="1">IFERROR(+IF(CR$29=ProposalToGnatt[[#This Row],[Start Date]],Milestone_Marker,IF(AND(CR$29&gt;ProposalToGnatt[[#This Row],[Start Date]],CR$29&lt;ProposalToGnatt[[#This Row],[Start Date]]+ProposalToGnatt[[#This Row],[Days]]),$G$5,"")),"")</f>
        <v/>
      </c>
      <c r="CS42" s="37" t="str">
        <f ca="1">IFERROR(+IF(CS$29=ProposalToGnatt[[#This Row],[Start Date]],Milestone_Marker,IF(AND(CS$29&gt;ProposalToGnatt[[#This Row],[Start Date]],CS$29&lt;ProposalToGnatt[[#This Row],[Start Date]]+ProposalToGnatt[[#This Row],[Days]]),$G$5,"")),"")</f>
        <v/>
      </c>
      <c r="CT42" s="37" t="str">
        <f ca="1">IFERROR(+IF(CT$29=ProposalToGnatt[[#This Row],[Start Date]],Milestone_Marker,IF(AND(CT$29&gt;ProposalToGnatt[[#This Row],[Start Date]],CT$29&lt;ProposalToGnatt[[#This Row],[Start Date]]+ProposalToGnatt[[#This Row],[Days]]),$G$5,"")),"")</f>
        <v/>
      </c>
      <c r="CU42" s="37" t="str">
        <f ca="1">IFERROR(+IF(CU$29=ProposalToGnatt[[#This Row],[Start Date]],Milestone_Marker,IF(AND(CU$29&gt;ProposalToGnatt[[#This Row],[Start Date]],CU$29&lt;ProposalToGnatt[[#This Row],[Start Date]]+ProposalToGnatt[[#This Row],[Days]]),$G$5,"")),"")</f>
        <v/>
      </c>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row>
    <row r="43" spans="1:125" s="42" customFormat="1" ht="15">
      <c r="A43" t="s">
        <v>437</v>
      </c>
      <c r="B43">
        <v>14</v>
      </c>
      <c r="C43" t="s">
        <v>360</v>
      </c>
      <c r="D43"/>
      <c r="E43"/>
      <c r="F43"/>
      <c r="G43" s="11"/>
      <c r="H43" s="26"/>
      <c r="I43"/>
      <c r="J43"/>
      <c r="K43" s="363"/>
      <c r="L43"/>
      <c r="M43"/>
      <c r="N43"/>
      <c r="O43" s="26"/>
      <c r="P43" s="37">
        <f ca="1">IFERROR(+IF(P$29=ProposalToGnatt[[#This Row],[Start Date]],Milestone_Marker,IF(AND(P$29&gt;ProposalToGnatt[[#This Row],[Start Date]],P$29&lt;ProposalToGnatt[[#This Row],[Start Date]]+ProposalToGnatt[[#This Row],[Days]]),$G$5,"")),"")</f>
        <v>1</v>
      </c>
      <c r="Q43" s="37" t="str">
        <f ca="1">IFERROR(+IF(Q$29=ProposalToGnatt[[#This Row],[Start Date]],Milestone_Marker,IF(AND(Q$29&gt;ProposalToGnatt[[#This Row],[Start Date]],Q$29&lt;ProposalToGnatt[[#This Row],[Start Date]]+ProposalToGnatt[[#This Row],[Days]]),$G$5,"")),"")</f>
        <v/>
      </c>
      <c r="R43" s="37" t="str">
        <f ca="1">IFERROR(+IF(R$29=ProposalToGnatt[[#This Row],[Start Date]],Milestone_Marker,IF(AND(R$29&gt;ProposalToGnatt[[#This Row],[Start Date]],R$29&lt;ProposalToGnatt[[#This Row],[Start Date]]+ProposalToGnatt[[#This Row],[Days]]),$G$5,"")),"")</f>
        <v/>
      </c>
      <c r="S43" s="37" t="str">
        <f ca="1">IFERROR(+IF(S$29=ProposalToGnatt[[#This Row],[Start Date]],Milestone_Marker,IF(AND(S$29&gt;ProposalToGnatt[[#This Row],[Start Date]],S$29&lt;ProposalToGnatt[[#This Row],[Start Date]]+ProposalToGnatt[[#This Row],[Days]]),$G$5,"")),"")</f>
        <v/>
      </c>
      <c r="T43" s="37" t="str">
        <f ca="1">IFERROR(+IF(T$29=ProposalToGnatt[[#This Row],[Start Date]],Milestone_Marker,IF(AND(T$29&gt;ProposalToGnatt[[#This Row],[Start Date]],T$29&lt;ProposalToGnatt[[#This Row],[Start Date]]+ProposalToGnatt[[#This Row],[Days]]),$G$5,"")),"")</f>
        <v/>
      </c>
      <c r="U43" s="37" t="str">
        <f ca="1">IFERROR(+IF(U$29=ProposalToGnatt[[#This Row],[Start Date]],Milestone_Marker,IF(AND(U$29&gt;ProposalToGnatt[[#This Row],[Start Date]],U$29&lt;ProposalToGnatt[[#This Row],[Start Date]]+ProposalToGnatt[[#This Row],[Days]]),$G$5,"")),"")</f>
        <v/>
      </c>
      <c r="V43" s="37" t="str">
        <f ca="1">IFERROR(+IF(V$29=ProposalToGnatt[[#This Row],[Start Date]],Milestone_Marker,IF(AND(V$29&gt;ProposalToGnatt[[#This Row],[Start Date]],V$29&lt;ProposalToGnatt[[#This Row],[Start Date]]+ProposalToGnatt[[#This Row],[Days]]),$G$5,"")),"")</f>
        <v/>
      </c>
      <c r="W43" s="37" t="str">
        <f ca="1">IFERROR(+IF(W$29=ProposalToGnatt[[#This Row],[Start Date]],Milestone_Marker,IF(AND(W$29&gt;ProposalToGnatt[[#This Row],[Start Date]],W$29&lt;ProposalToGnatt[[#This Row],[Start Date]]+ProposalToGnatt[[#This Row],[Days]]),$G$5,"")),"")</f>
        <v/>
      </c>
      <c r="X43" s="37" t="str">
        <f ca="1">IFERROR(+IF(X$29=ProposalToGnatt[[#This Row],[Start Date]],Milestone_Marker,IF(AND(X$29&gt;ProposalToGnatt[[#This Row],[Start Date]],X$29&lt;ProposalToGnatt[[#This Row],[Start Date]]+ProposalToGnatt[[#This Row],[Days]]),$G$5,"")),"")</f>
        <v/>
      </c>
      <c r="Y43" s="37" t="str">
        <f ca="1">IFERROR(+IF(Y$29=ProposalToGnatt[[#This Row],[Start Date]],Milestone_Marker,IF(AND(Y$29&gt;ProposalToGnatt[[#This Row],[Start Date]],Y$29&lt;ProposalToGnatt[[#This Row],[Start Date]]+ProposalToGnatt[[#This Row],[Days]]),$G$5,"")),"")</f>
        <v/>
      </c>
      <c r="Z43" s="37" t="str">
        <f ca="1">IFERROR(+IF(Z$29=ProposalToGnatt[[#This Row],[Start Date]],Milestone_Marker,IF(AND(Z$29&gt;ProposalToGnatt[[#This Row],[Start Date]],Z$29&lt;ProposalToGnatt[[#This Row],[Start Date]]+ProposalToGnatt[[#This Row],[Days]]),$G$5,"")),"")</f>
        <v/>
      </c>
      <c r="AA43" s="37" t="str">
        <f ca="1">IFERROR(+IF(AA$29=ProposalToGnatt[[#This Row],[Start Date]],Milestone_Marker,IF(AND(AA$29&gt;ProposalToGnatt[[#This Row],[Start Date]],AA$29&lt;ProposalToGnatt[[#This Row],[Start Date]]+ProposalToGnatt[[#This Row],[Days]]),$G$5,"")),"")</f>
        <v/>
      </c>
      <c r="AB43" s="37" t="str">
        <f ca="1">IFERROR(+IF(AB$29=ProposalToGnatt[[#This Row],[Start Date]],Milestone_Marker,IF(AND(AB$29&gt;ProposalToGnatt[[#This Row],[Start Date]],AB$29&lt;ProposalToGnatt[[#This Row],[Start Date]]+ProposalToGnatt[[#This Row],[Days]]),$G$5,"")),"")</f>
        <v/>
      </c>
      <c r="AC43" s="37" t="str">
        <f ca="1">IFERROR(+IF(AC$29=ProposalToGnatt[[#This Row],[Start Date]],Milestone_Marker,IF(AND(AC$29&gt;ProposalToGnatt[[#This Row],[Start Date]],AC$29&lt;ProposalToGnatt[[#This Row],[Start Date]]+ProposalToGnatt[[#This Row],[Days]]),$G$5,"")),"")</f>
        <v/>
      </c>
      <c r="AD43" s="37" t="str">
        <f ca="1">IFERROR(+IF(AD$29=ProposalToGnatt[[#This Row],[Start Date]],Milestone_Marker,IF(AND(AD$29&gt;ProposalToGnatt[[#This Row],[Start Date]],AD$29&lt;ProposalToGnatt[[#This Row],[Start Date]]+ProposalToGnatt[[#This Row],[Days]]),$G$5,"")),"")</f>
        <v/>
      </c>
      <c r="AE43" s="37" t="str">
        <f ca="1">IFERROR(+IF(AE$29=ProposalToGnatt[[#This Row],[Start Date]],Milestone_Marker,IF(AND(AE$29&gt;ProposalToGnatt[[#This Row],[Start Date]],AE$29&lt;ProposalToGnatt[[#This Row],[Start Date]]+ProposalToGnatt[[#This Row],[Days]]),$G$5,"")),"")</f>
        <v/>
      </c>
      <c r="AF43" s="37" t="str">
        <f ca="1">IFERROR(+IF(AF$29=ProposalToGnatt[[#This Row],[Start Date]],Milestone_Marker,IF(AND(AF$29&gt;ProposalToGnatt[[#This Row],[Start Date]],AF$29&lt;ProposalToGnatt[[#This Row],[Start Date]]+ProposalToGnatt[[#This Row],[Days]]),$G$5,"")),"")</f>
        <v/>
      </c>
      <c r="AG43" s="37" t="str">
        <f ca="1">IFERROR(+IF(AG$29=ProposalToGnatt[[#This Row],[Start Date]],Milestone_Marker,IF(AND(AG$29&gt;ProposalToGnatt[[#This Row],[Start Date]],AG$29&lt;ProposalToGnatt[[#This Row],[Start Date]]+ProposalToGnatt[[#This Row],[Days]]),$G$5,"")),"")</f>
        <v/>
      </c>
      <c r="AH43" s="37" t="str">
        <f ca="1">IFERROR(+IF(AH$29=ProposalToGnatt[[#This Row],[Start Date]],Milestone_Marker,IF(AND(AH$29&gt;ProposalToGnatt[[#This Row],[Start Date]],AH$29&lt;ProposalToGnatt[[#This Row],[Start Date]]+ProposalToGnatt[[#This Row],[Days]]),$G$5,"")),"")</f>
        <v/>
      </c>
      <c r="AI43" s="37" t="str">
        <f ca="1">IFERROR(+IF(AI$29=ProposalToGnatt[[#This Row],[Start Date]],Milestone_Marker,IF(AND(AI$29&gt;ProposalToGnatt[[#This Row],[Start Date]],AI$29&lt;ProposalToGnatt[[#This Row],[Start Date]]+ProposalToGnatt[[#This Row],[Days]]),$G$5,"")),"")</f>
        <v/>
      </c>
      <c r="AJ43" s="37" t="str">
        <f ca="1">IFERROR(+IF(AJ$29=ProposalToGnatt[[#This Row],[Start Date]],Milestone_Marker,IF(AND(AJ$29&gt;ProposalToGnatt[[#This Row],[Start Date]],AJ$29&lt;ProposalToGnatt[[#This Row],[Start Date]]+ProposalToGnatt[[#This Row],[Days]]),$G$5,"")),"")</f>
        <v/>
      </c>
      <c r="AK43" s="37" t="str">
        <f ca="1">IFERROR(+IF(AK$29=ProposalToGnatt[[#This Row],[Start Date]],Milestone_Marker,IF(AND(AK$29&gt;ProposalToGnatt[[#This Row],[Start Date]],AK$29&lt;ProposalToGnatt[[#This Row],[Start Date]]+ProposalToGnatt[[#This Row],[Days]]),$G$5,"")),"")</f>
        <v/>
      </c>
      <c r="AL43" s="37" t="str">
        <f ca="1">IFERROR(+IF(AL$29=ProposalToGnatt[[#This Row],[Start Date]],Milestone_Marker,IF(AND(AL$29&gt;ProposalToGnatt[[#This Row],[Start Date]],AL$29&lt;ProposalToGnatt[[#This Row],[Start Date]]+ProposalToGnatt[[#This Row],[Days]]),$G$5,"")),"")</f>
        <v/>
      </c>
      <c r="AM43" s="37" t="str">
        <f ca="1">IFERROR(+IF(AM$29=ProposalToGnatt[[#This Row],[Start Date]],Milestone_Marker,IF(AND(AM$29&gt;ProposalToGnatt[[#This Row],[Start Date]],AM$29&lt;ProposalToGnatt[[#This Row],[Start Date]]+ProposalToGnatt[[#This Row],[Days]]),$G$5,"")),"")</f>
        <v/>
      </c>
      <c r="AN43" s="37" t="str">
        <f ca="1">IFERROR(+IF(AN$29=ProposalToGnatt[[#This Row],[Start Date]],Milestone_Marker,IF(AND(AN$29&gt;ProposalToGnatt[[#This Row],[Start Date]],AN$29&lt;ProposalToGnatt[[#This Row],[Start Date]]+ProposalToGnatt[[#This Row],[Days]]),$G$5,"")),"")</f>
        <v/>
      </c>
      <c r="AO43" s="37" t="str">
        <f ca="1">IFERROR(+IF(AO$29=ProposalToGnatt[[#This Row],[Start Date]],Milestone_Marker,IF(AND(AO$29&gt;ProposalToGnatt[[#This Row],[Start Date]],AO$29&lt;ProposalToGnatt[[#This Row],[Start Date]]+ProposalToGnatt[[#This Row],[Days]]),$G$5,"")),"")</f>
        <v/>
      </c>
      <c r="AP43" s="37" t="str">
        <f ca="1">IFERROR(+IF(AP$29=ProposalToGnatt[[#This Row],[Start Date]],Milestone_Marker,IF(AND(AP$29&gt;ProposalToGnatt[[#This Row],[Start Date]],AP$29&lt;ProposalToGnatt[[#This Row],[Start Date]]+ProposalToGnatt[[#This Row],[Days]]),$G$5,"")),"")</f>
        <v/>
      </c>
      <c r="AQ43" s="37" t="str">
        <f ca="1">IFERROR(+IF(AQ$29=ProposalToGnatt[[#This Row],[Start Date]],Milestone_Marker,IF(AND(AQ$29&gt;ProposalToGnatt[[#This Row],[Start Date]],AQ$29&lt;ProposalToGnatt[[#This Row],[Start Date]]+ProposalToGnatt[[#This Row],[Days]]),$G$5,"")),"")</f>
        <v/>
      </c>
      <c r="AR43" s="37" t="str">
        <f ca="1">IFERROR(+IF(AR$29=ProposalToGnatt[[#This Row],[Start Date]],Milestone_Marker,IF(AND(AR$29&gt;ProposalToGnatt[[#This Row],[Start Date]],AR$29&lt;ProposalToGnatt[[#This Row],[Start Date]]+ProposalToGnatt[[#This Row],[Days]]),$G$5,"")),"")</f>
        <v/>
      </c>
      <c r="AS43" s="37" t="str">
        <f ca="1">IFERROR(+IF(AS$29=ProposalToGnatt[[#This Row],[Start Date]],Milestone_Marker,IF(AND(AS$29&gt;ProposalToGnatt[[#This Row],[Start Date]],AS$29&lt;ProposalToGnatt[[#This Row],[Start Date]]+ProposalToGnatt[[#This Row],[Days]]),$G$5,"")),"")</f>
        <v/>
      </c>
      <c r="AT43" s="37" t="str">
        <f ca="1">IFERROR(+IF(AT$29=ProposalToGnatt[[#This Row],[Start Date]],Milestone_Marker,IF(AND(AT$29&gt;ProposalToGnatt[[#This Row],[Start Date]],AT$29&lt;ProposalToGnatt[[#This Row],[Start Date]]+ProposalToGnatt[[#This Row],[Days]]),$G$5,"")),"")</f>
        <v/>
      </c>
      <c r="AU43" s="37" t="str">
        <f ca="1">IFERROR(+IF(AU$29=ProposalToGnatt[[#This Row],[Start Date]],Milestone_Marker,IF(AND(AU$29&gt;ProposalToGnatt[[#This Row],[Start Date]],AU$29&lt;ProposalToGnatt[[#This Row],[Start Date]]+ProposalToGnatt[[#This Row],[Days]]),$G$5,"")),"")</f>
        <v/>
      </c>
      <c r="AV43" s="37" t="str">
        <f ca="1">IFERROR(+IF(AV$29=ProposalToGnatt[[#This Row],[Start Date]],Milestone_Marker,IF(AND(AV$29&gt;ProposalToGnatt[[#This Row],[Start Date]],AV$29&lt;ProposalToGnatt[[#This Row],[Start Date]]+ProposalToGnatt[[#This Row],[Days]]),$G$5,"")),"")</f>
        <v/>
      </c>
      <c r="AW43" s="37" t="str">
        <f ca="1">IFERROR(+IF(AW$29=ProposalToGnatt[[#This Row],[Start Date]],Milestone_Marker,IF(AND(AW$29&gt;ProposalToGnatt[[#This Row],[Start Date]],AW$29&lt;ProposalToGnatt[[#This Row],[Start Date]]+ProposalToGnatt[[#This Row],[Days]]),$G$5,"")),"")</f>
        <v/>
      </c>
      <c r="AX43" s="37" t="str">
        <f ca="1">IFERROR(+IF(AX$29=ProposalToGnatt[[#This Row],[Start Date]],Milestone_Marker,IF(AND(AX$29&gt;ProposalToGnatt[[#This Row],[Start Date]],AX$29&lt;ProposalToGnatt[[#This Row],[Start Date]]+ProposalToGnatt[[#This Row],[Days]]),$G$5,"")),"")</f>
        <v/>
      </c>
      <c r="AY43" s="37" t="str">
        <f ca="1">IFERROR(+IF(AY$29=ProposalToGnatt[[#This Row],[Start Date]],Milestone_Marker,IF(AND(AY$29&gt;ProposalToGnatt[[#This Row],[Start Date]],AY$29&lt;ProposalToGnatt[[#This Row],[Start Date]]+ProposalToGnatt[[#This Row],[Days]]),$G$5,"")),"")</f>
        <v/>
      </c>
      <c r="AZ43" s="37" t="str">
        <f ca="1">IFERROR(+IF(AZ$29=ProposalToGnatt[[#This Row],[Start Date]],Milestone_Marker,IF(AND(AZ$29&gt;ProposalToGnatt[[#This Row],[Start Date]],AZ$29&lt;ProposalToGnatt[[#This Row],[Start Date]]+ProposalToGnatt[[#This Row],[Days]]),$G$5,"")),"")</f>
        <v/>
      </c>
      <c r="BA43" s="37" t="str">
        <f ca="1">IFERROR(+IF(BA$29=ProposalToGnatt[[#This Row],[Start Date]],Milestone_Marker,IF(AND(BA$29&gt;ProposalToGnatt[[#This Row],[Start Date]],BA$29&lt;ProposalToGnatt[[#This Row],[Start Date]]+ProposalToGnatt[[#This Row],[Days]]),$G$5,"")),"")</f>
        <v/>
      </c>
      <c r="BB43" s="37" t="str">
        <f ca="1">IFERROR(+IF(BB$29=ProposalToGnatt[[#This Row],[Start Date]],Milestone_Marker,IF(AND(BB$29&gt;ProposalToGnatt[[#This Row],[Start Date]],BB$29&lt;ProposalToGnatt[[#This Row],[Start Date]]+ProposalToGnatt[[#This Row],[Days]]),$G$5,"")),"")</f>
        <v/>
      </c>
      <c r="BC43" s="37" t="str">
        <f ca="1">IFERROR(+IF(BC$29=ProposalToGnatt[[#This Row],[Start Date]],Milestone_Marker,IF(AND(BC$29&gt;ProposalToGnatt[[#This Row],[Start Date]],BC$29&lt;ProposalToGnatt[[#This Row],[Start Date]]+ProposalToGnatt[[#This Row],[Days]]),$G$5,"")),"")</f>
        <v/>
      </c>
      <c r="BD43" s="37" t="str">
        <f ca="1">IFERROR(+IF(BD$29=ProposalToGnatt[[#This Row],[Start Date]],Milestone_Marker,IF(AND(BD$29&gt;ProposalToGnatt[[#This Row],[Start Date]],BD$29&lt;ProposalToGnatt[[#This Row],[Start Date]]+ProposalToGnatt[[#This Row],[Days]]),$G$5,"")),"")</f>
        <v/>
      </c>
      <c r="BE43" s="37" t="str">
        <f ca="1">IFERROR(+IF(BE$29=ProposalToGnatt[[#This Row],[Start Date]],Milestone_Marker,IF(AND(BE$29&gt;ProposalToGnatt[[#This Row],[Start Date]],BE$29&lt;ProposalToGnatt[[#This Row],[Start Date]]+ProposalToGnatt[[#This Row],[Days]]),$G$5,"")),"")</f>
        <v/>
      </c>
      <c r="BF43" s="37" t="str">
        <f ca="1">IFERROR(+IF(BF$29=ProposalToGnatt[[#This Row],[Start Date]],Milestone_Marker,IF(AND(BF$29&gt;ProposalToGnatt[[#This Row],[Start Date]],BF$29&lt;ProposalToGnatt[[#This Row],[Start Date]]+ProposalToGnatt[[#This Row],[Days]]),$G$5,"")),"")</f>
        <v/>
      </c>
      <c r="BG43" s="37" t="str">
        <f ca="1">IFERROR(+IF(BG$29=ProposalToGnatt[[#This Row],[Start Date]],Milestone_Marker,IF(AND(BG$29&gt;ProposalToGnatt[[#This Row],[Start Date]],BG$29&lt;ProposalToGnatt[[#This Row],[Start Date]]+ProposalToGnatt[[#This Row],[Days]]),$G$5,"")),"")</f>
        <v/>
      </c>
      <c r="BH43" s="37" t="str">
        <f ca="1">IFERROR(+IF(BH$29=ProposalToGnatt[[#This Row],[Start Date]],Milestone_Marker,IF(AND(BH$29&gt;ProposalToGnatt[[#This Row],[Start Date]],BH$29&lt;ProposalToGnatt[[#This Row],[Start Date]]+ProposalToGnatt[[#This Row],[Days]]),$G$5,"")),"")</f>
        <v/>
      </c>
      <c r="BI43" s="37" t="str">
        <f ca="1">IFERROR(+IF(BI$29=ProposalToGnatt[[#This Row],[Start Date]],Milestone_Marker,IF(AND(BI$29&gt;ProposalToGnatt[[#This Row],[Start Date]],BI$29&lt;ProposalToGnatt[[#This Row],[Start Date]]+ProposalToGnatt[[#This Row],[Days]]),$G$5,"")),"")</f>
        <v/>
      </c>
      <c r="BJ43" s="37" t="str">
        <f ca="1">IFERROR(+IF(BJ$29=ProposalToGnatt[[#This Row],[Start Date]],Milestone_Marker,IF(AND(BJ$29&gt;ProposalToGnatt[[#This Row],[Start Date]],BJ$29&lt;ProposalToGnatt[[#This Row],[Start Date]]+ProposalToGnatt[[#This Row],[Days]]),$G$5,"")),"")</f>
        <v/>
      </c>
      <c r="BK43" s="37" t="str">
        <f ca="1">IFERROR(+IF(BK$29=ProposalToGnatt[[#This Row],[Start Date]],Milestone_Marker,IF(AND(BK$29&gt;ProposalToGnatt[[#This Row],[Start Date]],BK$29&lt;ProposalToGnatt[[#This Row],[Start Date]]+ProposalToGnatt[[#This Row],[Days]]),$G$5,"")),"")</f>
        <v/>
      </c>
      <c r="BL43" s="37" t="str">
        <f ca="1">IFERROR(+IF(BL$29=ProposalToGnatt[[#This Row],[Start Date]],Milestone_Marker,IF(AND(BL$29&gt;ProposalToGnatt[[#This Row],[Start Date]],BL$29&lt;ProposalToGnatt[[#This Row],[Start Date]]+ProposalToGnatt[[#This Row],[Days]]),$G$5,"")),"")</f>
        <v/>
      </c>
      <c r="BM43" s="37" t="str">
        <f ca="1">IFERROR(+IF(BM$29=ProposalToGnatt[[#This Row],[Start Date]],Milestone_Marker,IF(AND(BM$29&gt;ProposalToGnatt[[#This Row],[Start Date]],BM$29&lt;ProposalToGnatt[[#This Row],[Start Date]]+ProposalToGnatt[[#This Row],[Days]]),$G$5,"")),"")</f>
        <v/>
      </c>
      <c r="BN43" s="37" t="str">
        <f ca="1">IFERROR(+IF(BN$29=ProposalToGnatt[[#This Row],[Start Date]],Milestone_Marker,IF(AND(BN$29&gt;ProposalToGnatt[[#This Row],[Start Date]],BN$29&lt;ProposalToGnatt[[#This Row],[Start Date]]+ProposalToGnatt[[#This Row],[Days]]),$G$5,"")),"")</f>
        <v/>
      </c>
      <c r="BO43" s="37" t="str">
        <f ca="1">IFERROR(+IF(BO$29=ProposalToGnatt[[#This Row],[Start Date]],Milestone_Marker,IF(AND(BO$29&gt;ProposalToGnatt[[#This Row],[Start Date]],BO$29&lt;ProposalToGnatt[[#This Row],[Start Date]]+ProposalToGnatt[[#This Row],[Days]]),$G$5,"")),"")</f>
        <v/>
      </c>
      <c r="BP43" s="37" t="str">
        <f ca="1">IFERROR(+IF(BP$29=ProposalToGnatt[[#This Row],[Start Date]],Milestone_Marker,IF(AND(BP$29&gt;ProposalToGnatt[[#This Row],[Start Date]],BP$29&lt;ProposalToGnatt[[#This Row],[Start Date]]+ProposalToGnatt[[#This Row],[Days]]),$G$5,"")),"")</f>
        <v/>
      </c>
      <c r="BQ43" s="37" t="str">
        <f ca="1">IFERROR(+IF(BQ$29=ProposalToGnatt[[#This Row],[Start Date]],Milestone_Marker,IF(AND(BQ$29&gt;ProposalToGnatt[[#This Row],[Start Date]],BQ$29&lt;ProposalToGnatt[[#This Row],[Start Date]]+ProposalToGnatt[[#This Row],[Days]]),$G$5,"")),"")</f>
        <v/>
      </c>
      <c r="BR43" s="37" t="str">
        <f ca="1">IFERROR(+IF(BR$29=ProposalToGnatt[[#This Row],[Start Date]],Milestone_Marker,IF(AND(BR$29&gt;ProposalToGnatt[[#This Row],[Start Date]],BR$29&lt;ProposalToGnatt[[#This Row],[Start Date]]+ProposalToGnatt[[#This Row],[Days]]),$G$5,"")),"")</f>
        <v/>
      </c>
      <c r="BS43" s="37" t="str">
        <f ca="1">IFERROR(+IF(BS$29=ProposalToGnatt[[#This Row],[Start Date]],Milestone_Marker,IF(AND(BS$29&gt;ProposalToGnatt[[#This Row],[Start Date]],BS$29&lt;ProposalToGnatt[[#This Row],[Start Date]]+ProposalToGnatt[[#This Row],[Days]]),$G$5,"")),"")</f>
        <v/>
      </c>
      <c r="BT43" s="37" t="str">
        <f ca="1">IFERROR(+IF(BT$29=ProposalToGnatt[[#This Row],[Start Date]],Milestone_Marker,IF(AND(BT$29&gt;ProposalToGnatt[[#This Row],[Start Date]],BT$29&lt;ProposalToGnatt[[#This Row],[Start Date]]+ProposalToGnatt[[#This Row],[Days]]),$G$5,"")),"")</f>
        <v/>
      </c>
      <c r="BU43" s="37" t="str">
        <f ca="1">IFERROR(+IF(BU$29=ProposalToGnatt[[#This Row],[Start Date]],Milestone_Marker,IF(AND(BU$29&gt;ProposalToGnatt[[#This Row],[Start Date]],BU$29&lt;ProposalToGnatt[[#This Row],[Start Date]]+ProposalToGnatt[[#This Row],[Days]]),$G$5,"")),"")</f>
        <v/>
      </c>
      <c r="BV43" s="37" t="str">
        <f ca="1">IFERROR(+IF(BV$29=ProposalToGnatt[[#This Row],[Start Date]],Milestone_Marker,IF(AND(BV$29&gt;ProposalToGnatt[[#This Row],[Start Date]],BV$29&lt;ProposalToGnatt[[#This Row],[Start Date]]+ProposalToGnatt[[#This Row],[Days]]),$G$5,"")),"")</f>
        <v/>
      </c>
      <c r="BW43" s="37" t="str">
        <f ca="1">IFERROR(+IF(BW$29=ProposalToGnatt[[#This Row],[Start Date]],Milestone_Marker,IF(AND(BW$29&gt;ProposalToGnatt[[#This Row],[Start Date]],BW$29&lt;ProposalToGnatt[[#This Row],[Start Date]]+ProposalToGnatt[[#This Row],[Days]]),$G$5,"")),"")</f>
        <v/>
      </c>
      <c r="BX43" s="37" t="str">
        <f ca="1">IFERROR(+IF(BX$29=ProposalToGnatt[[#This Row],[Start Date]],Milestone_Marker,IF(AND(BX$29&gt;ProposalToGnatt[[#This Row],[Start Date]],BX$29&lt;ProposalToGnatt[[#This Row],[Start Date]]+ProposalToGnatt[[#This Row],[Days]]),$G$5,"")),"")</f>
        <v/>
      </c>
      <c r="BY43" s="37" t="str">
        <f ca="1">IFERROR(+IF(BY$29=ProposalToGnatt[[#This Row],[Start Date]],Milestone_Marker,IF(AND(BY$29&gt;ProposalToGnatt[[#This Row],[Start Date]],BY$29&lt;ProposalToGnatt[[#This Row],[Start Date]]+ProposalToGnatt[[#This Row],[Days]]),$G$5,"")),"")</f>
        <v/>
      </c>
      <c r="BZ43" s="37" t="str">
        <f ca="1">IFERROR(+IF(BZ$29=ProposalToGnatt[[#This Row],[Start Date]],Milestone_Marker,IF(AND(BZ$29&gt;ProposalToGnatt[[#This Row],[Start Date]],BZ$29&lt;ProposalToGnatt[[#This Row],[Start Date]]+ProposalToGnatt[[#This Row],[Days]]),$G$5,"")),"")</f>
        <v/>
      </c>
      <c r="CA43" s="37" t="str">
        <f ca="1">IFERROR(+IF(CA$29=ProposalToGnatt[[#This Row],[Start Date]],Milestone_Marker,IF(AND(CA$29&gt;ProposalToGnatt[[#This Row],[Start Date]],CA$29&lt;ProposalToGnatt[[#This Row],[Start Date]]+ProposalToGnatt[[#This Row],[Days]]),$G$5,"")),"")</f>
        <v/>
      </c>
      <c r="CB43" s="37" t="str">
        <f ca="1">IFERROR(+IF(CB$29=ProposalToGnatt[[#This Row],[Start Date]],Milestone_Marker,IF(AND(CB$29&gt;ProposalToGnatt[[#This Row],[Start Date]],CB$29&lt;ProposalToGnatt[[#This Row],[Start Date]]+ProposalToGnatt[[#This Row],[Days]]),$G$5,"")),"")</f>
        <v/>
      </c>
      <c r="CC43" s="37" t="str">
        <f ca="1">IFERROR(+IF(CC$29=ProposalToGnatt[[#This Row],[Start Date]],Milestone_Marker,IF(AND(CC$29&gt;ProposalToGnatt[[#This Row],[Start Date]],CC$29&lt;ProposalToGnatt[[#This Row],[Start Date]]+ProposalToGnatt[[#This Row],[Days]]),$G$5,"")),"")</f>
        <v/>
      </c>
      <c r="CD43" s="37" t="str">
        <f ca="1">IFERROR(+IF(CD$29=ProposalToGnatt[[#This Row],[Start Date]],Milestone_Marker,IF(AND(CD$29&gt;ProposalToGnatt[[#This Row],[Start Date]],CD$29&lt;ProposalToGnatt[[#This Row],[Start Date]]+ProposalToGnatt[[#This Row],[Days]]),$G$5,"")),"")</f>
        <v/>
      </c>
      <c r="CE43" s="37" t="str">
        <f ca="1">IFERROR(+IF(CE$29=ProposalToGnatt[[#This Row],[Start Date]],Milestone_Marker,IF(AND(CE$29&gt;ProposalToGnatt[[#This Row],[Start Date]],CE$29&lt;ProposalToGnatt[[#This Row],[Start Date]]+ProposalToGnatt[[#This Row],[Days]]),$G$5,"")),"")</f>
        <v/>
      </c>
      <c r="CF43" s="37" t="str">
        <f ca="1">IFERROR(+IF(CF$29=ProposalToGnatt[[#This Row],[Start Date]],Milestone_Marker,IF(AND(CF$29&gt;ProposalToGnatt[[#This Row],[Start Date]],CF$29&lt;ProposalToGnatt[[#This Row],[Start Date]]+ProposalToGnatt[[#This Row],[Days]]),$G$5,"")),"")</f>
        <v/>
      </c>
      <c r="CG43" s="37" t="str">
        <f ca="1">IFERROR(+IF(CG$29=ProposalToGnatt[[#This Row],[Start Date]],Milestone_Marker,IF(AND(CG$29&gt;ProposalToGnatt[[#This Row],[Start Date]],CG$29&lt;ProposalToGnatt[[#This Row],[Start Date]]+ProposalToGnatt[[#This Row],[Days]]),$G$5,"")),"")</f>
        <v/>
      </c>
      <c r="CH43" s="37" t="str">
        <f ca="1">IFERROR(+IF(CH$29=ProposalToGnatt[[#This Row],[Start Date]],Milestone_Marker,IF(AND(CH$29&gt;ProposalToGnatt[[#This Row],[Start Date]],CH$29&lt;ProposalToGnatt[[#This Row],[Start Date]]+ProposalToGnatt[[#This Row],[Days]]),$G$5,"")),"")</f>
        <v/>
      </c>
      <c r="CI43" s="37" t="str">
        <f ca="1">IFERROR(+IF(CI$29=ProposalToGnatt[[#This Row],[Start Date]],Milestone_Marker,IF(AND(CI$29&gt;ProposalToGnatt[[#This Row],[Start Date]],CI$29&lt;ProposalToGnatt[[#This Row],[Start Date]]+ProposalToGnatt[[#This Row],[Days]]),$G$5,"")),"")</f>
        <v/>
      </c>
      <c r="CJ43" s="37" t="str">
        <f ca="1">IFERROR(+IF(CJ$29=ProposalToGnatt[[#This Row],[Start Date]],Milestone_Marker,IF(AND(CJ$29&gt;ProposalToGnatt[[#This Row],[Start Date]],CJ$29&lt;ProposalToGnatt[[#This Row],[Start Date]]+ProposalToGnatt[[#This Row],[Days]]),$G$5,"")),"")</f>
        <v/>
      </c>
      <c r="CK43" s="37" t="str">
        <f ca="1">IFERROR(+IF(CK$29=ProposalToGnatt[[#This Row],[Start Date]],Milestone_Marker,IF(AND(CK$29&gt;ProposalToGnatt[[#This Row],[Start Date]],CK$29&lt;ProposalToGnatt[[#This Row],[Start Date]]+ProposalToGnatt[[#This Row],[Days]]),$G$5,"")),"")</f>
        <v/>
      </c>
      <c r="CL43" s="37" t="str">
        <f ca="1">IFERROR(+IF(CL$29=ProposalToGnatt[[#This Row],[Start Date]],Milestone_Marker,IF(AND(CL$29&gt;ProposalToGnatt[[#This Row],[Start Date]],CL$29&lt;ProposalToGnatt[[#This Row],[Start Date]]+ProposalToGnatt[[#This Row],[Days]]),$G$5,"")),"")</f>
        <v/>
      </c>
      <c r="CM43" s="37" t="str">
        <f ca="1">IFERROR(+IF(CM$29=ProposalToGnatt[[#This Row],[Start Date]],Milestone_Marker,IF(AND(CM$29&gt;ProposalToGnatt[[#This Row],[Start Date]],CM$29&lt;ProposalToGnatt[[#This Row],[Start Date]]+ProposalToGnatt[[#This Row],[Days]]),$G$5,"")),"")</f>
        <v/>
      </c>
      <c r="CN43" s="37" t="str">
        <f ca="1">IFERROR(+IF(CN$29=ProposalToGnatt[[#This Row],[Start Date]],Milestone_Marker,IF(AND(CN$29&gt;ProposalToGnatt[[#This Row],[Start Date]],CN$29&lt;ProposalToGnatt[[#This Row],[Start Date]]+ProposalToGnatt[[#This Row],[Days]]),$G$5,"")),"")</f>
        <v/>
      </c>
      <c r="CO43" s="37" t="str">
        <f ca="1">IFERROR(+IF(CO$29=ProposalToGnatt[[#This Row],[Start Date]],Milestone_Marker,IF(AND(CO$29&gt;ProposalToGnatt[[#This Row],[Start Date]],CO$29&lt;ProposalToGnatt[[#This Row],[Start Date]]+ProposalToGnatt[[#This Row],[Days]]),$G$5,"")),"")</f>
        <v/>
      </c>
      <c r="CP43" s="37" t="str">
        <f ca="1">IFERROR(+IF(CP$29=ProposalToGnatt[[#This Row],[Start Date]],Milestone_Marker,IF(AND(CP$29&gt;ProposalToGnatt[[#This Row],[Start Date]],CP$29&lt;ProposalToGnatt[[#This Row],[Start Date]]+ProposalToGnatt[[#This Row],[Days]]),$G$5,"")),"")</f>
        <v/>
      </c>
      <c r="CQ43" s="37" t="str">
        <f ca="1">IFERROR(+IF(CQ$29=ProposalToGnatt[[#This Row],[Start Date]],Milestone_Marker,IF(AND(CQ$29&gt;ProposalToGnatt[[#This Row],[Start Date]],CQ$29&lt;ProposalToGnatt[[#This Row],[Start Date]]+ProposalToGnatt[[#This Row],[Days]]),$G$5,"")),"")</f>
        <v/>
      </c>
      <c r="CR43" s="37" t="str">
        <f ca="1">IFERROR(+IF(CR$29=ProposalToGnatt[[#This Row],[Start Date]],Milestone_Marker,IF(AND(CR$29&gt;ProposalToGnatt[[#This Row],[Start Date]],CR$29&lt;ProposalToGnatt[[#This Row],[Start Date]]+ProposalToGnatt[[#This Row],[Days]]),$G$5,"")),"")</f>
        <v/>
      </c>
      <c r="CS43" s="37" t="str">
        <f ca="1">IFERROR(+IF(CS$29=ProposalToGnatt[[#This Row],[Start Date]],Milestone_Marker,IF(AND(CS$29&gt;ProposalToGnatt[[#This Row],[Start Date]],CS$29&lt;ProposalToGnatt[[#This Row],[Start Date]]+ProposalToGnatt[[#This Row],[Days]]),$G$5,"")),"")</f>
        <v/>
      </c>
      <c r="CT43" s="37" t="str">
        <f ca="1">IFERROR(+IF(CT$29=ProposalToGnatt[[#This Row],[Start Date]],Milestone_Marker,IF(AND(CT$29&gt;ProposalToGnatt[[#This Row],[Start Date]],CT$29&lt;ProposalToGnatt[[#This Row],[Start Date]]+ProposalToGnatt[[#This Row],[Days]]),$G$5,"")),"")</f>
        <v/>
      </c>
      <c r="CU43" s="37" t="str">
        <f ca="1">IFERROR(+IF(CU$29=ProposalToGnatt[[#This Row],[Start Date]],Milestone_Marker,IF(AND(CU$29&gt;ProposalToGnatt[[#This Row],[Start Date]],CU$29&lt;ProposalToGnatt[[#This Row],[Start Date]]+ProposalToGnatt[[#This Row],[Days]]),$G$5,"")),"")</f>
        <v/>
      </c>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row>
    <row r="44" spans="1:125" s="42" customFormat="1" ht="15" customHeight="1">
      <c r="A44" t="s">
        <v>437</v>
      </c>
      <c r="B44">
        <v>15</v>
      </c>
      <c r="C44" t="s">
        <v>361</v>
      </c>
      <c r="D44"/>
      <c r="E44"/>
      <c r="F44"/>
      <c r="G44" s="11"/>
      <c r="H44" s="26"/>
      <c r="I44"/>
      <c r="J44"/>
      <c r="K44" s="363"/>
      <c r="L44"/>
      <c r="M44"/>
      <c r="N44"/>
      <c r="O44" s="26"/>
      <c r="P44" s="37">
        <f ca="1">IFERROR(+IF(P$29=ProposalToGnatt[[#This Row],[Start Date]],Milestone_Marker,IF(AND(P$29&gt;ProposalToGnatt[[#This Row],[Start Date]],P$29&lt;ProposalToGnatt[[#This Row],[Start Date]]+ProposalToGnatt[[#This Row],[Days]]),$G$5,"")),"")</f>
        <v>1</v>
      </c>
      <c r="Q44" s="37" t="str">
        <f ca="1">IFERROR(+IF(Q$29=ProposalToGnatt[[#This Row],[Start Date]],Milestone_Marker,IF(AND(Q$29&gt;ProposalToGnatt[[#This Row],[Start Date]],Q$29&lt;ProposalToGnatt[[#This Row],[Start Date]]+ProposalToGnatt[[#This Row],[Days]]),$G$5,"")),"")</f>
        <v/>
      </c>
      <c r="R44" s="37" t="str">
        <f ca="1">IFERROR(+IF(R$29=ProposalToGnatt[[#This Row],[Start Date]],Milestone_Marker,IF(AND(R$29&gt;ProposalToGnatt[[#This Row],[Start Date]],R$29&lt;ProposalToGnatt[[#This Row],[Start Date]]+ProposalToGnatt[[#This Row],[Days]]),$G$5,"")),"")</f>
        <v/>
      </c>
      <c r="S44" s="37" t="str">
        <f ca="1">IFERROR(+IF(S$29=ProposalToGnatt[[#This Row],[Start Date]],Milestone_Marker,IF(AND(S$29&gt;ProposalToGnatt[[#This Row],[Start Date]],S$29&lt;ProposalToGnatt[[#This Row],[Start Date]]+ProposalToGnatt[[#This Row],[Days]]),$G$5,"")),"")</f>
        <v/>
      </c>
      <c r="T44" s="37" t="str">
        <f ca="1">IFERROR(+IF(T$29=ProposalToGnatt[[#This Row],[Start Date]],Milestone_Marker,IF(AND(T$29&gt;ProposalToGnatt[[#This Row],[Start Date]],T$29&lt;ProposalToGnatt[[#This Row],[Start Date]]+ProposalToGnatt[[#This Row],[Days]]),$G$5,"")),"")</f>
        <v/>
      </c>
      <c r="U44" s="37" t="str">
        <f ca="1">IFERROR(+IF(U$29=ProposalToGnatt[[#This Row],[Start Date]],Milestone_Marker,IF(AND(U$29&gt;ProposalToGnatt[[#This Row],[Start Date]],U$29&lt;ProposalToGnatt[[#This Row],[Start Date]]+ProposalToGnatt[[#This Row],[Days]]),$G$5,"")),"")</f>
        <v/>
      </c>
      <c r="V44" s="37" t="str">
        <f ca="1">IFERROR(+IF(V$29=ProposalToGnatt[[#This Row],[Start Date]],Milestone_Marker,IF(AND(V$29&gt;ProposalToGnatt[[#This Row],[Start Date]],V$29&lt;ProposalToGnatt[[#This Row],[Start Date]]+ProposalToGnatt[[#This Row],[Days]]),$G$5,"")),"")</f>
        <v/>
      </c>
      <c r="W44" s="37" t="str">
        <f ca="1">IFERROR(+IF(W$29=ProposalToGnatt[[#This Row],[Start Date]],Milestone_Marker,IF(AND(W$29&gt;ProposalToGnatt[[#This Row],[Start Date]],W$29&lt;ProposalToGnatt[[#This Row],[Start Date]]+ProposalToGnatt[[#This Row],[Days]]),$G$5,"")),"")</f>
        <v/>
      </c>
      <c r="X44" s="37" t="str">
        <f ca="1">IFERROR(+IF(X$29=ProposalToGnatt[[#This Row],[Start Date]],Milestone_Marker,IF(AND(X$29&gt;ProposalToGnatt[[#This Row],[Start Date]],X$29&lt;ProposalToGnatt[[#This Row],[Start Date]]+ProposalToGnatt[[#This Row],[Days]]),$G$5,"")),"")</f>
        <v/>
      </c>
      <c r="Y44" s="37" t="str">
        <f ca="1">IFERROR(+IF(Y$29=ProposalToGnatt[[#This Row],[Start Date]],Milestone_Marker,IF(AND(Y$29&gt;ProposalToGnatt[[#This Row],[Start Date]],Y$29&lt;ProposalToGnatt[[#This Row],[Start Date]]+ProposalToGnatt[[#This Row],[Days]]),$G$5,"")),"")</f>
        <v/>
      </c>
      <c r="Z44" s="37" t="str">
        <f ca="1">IFERROR(+IF(Z$29=ProposalToGnatt[[#This Row],[Start Date]],Milestone_Marker,IF(AND(Z$29&gt;ProposalToGnatt[[#This Row],[Start Date]],Z$29&lt;ProposalToGnatt[[#This Row],[Start Date]]+ProposalToGnatt[[#This Row],[Days]]),$G$5,"")),"")</f>
        <v/>
      </c>
      <c r="AA44" s="37" t="str">
        <f ca="1">IFERROR(+IF(AA$29=ProposalToGnatt[[#This Row],[Start Date]],Milestone_Marker,IF(AND(AA$29&gt;ProposalToGnatt[[#This Row],[Start Date]],AA$29&lt;ProposalToGnatt[[#This Row],[Start Date]]+ProposalToGnatt[[#This Row],[Days]]),$G$5,"")),"")</f>
        <v/>
      </c>
      <c r="AB44" s="37" t="str">
        <f ca="1">IFERROR(+IF(AB$29=ProposalToGnatt[[#This Row],[Start Date]],Milestone_Marker,IF(AND(AB$29&gt;ProposalToGnatt[[#This Row],[Start Date]],AB$29&lt;ProposalToGnatt[[#This Row],[Start Date]]+ProposalToGnatt[[#This Row],[Days]]),$G$5,"")),"")</f>
        <v/>
      </c>
      <c r="AC44" s="37" t="str">
        <f ca="1">IFERROR(+IF(AC$29=ProposalToGnatt[[#This Row],[Start Date]],Milestone_Marker,IF(AND(AC$29&gt;ProposalToGnatt[[#This Row],[Start Date]],AC$29&lt;ProposalToGnatt[[#This Row],[Start Date]]+ProposalToGnatt[[#This Row],[Days]]),$G$5,"")),"")</f>
        <v/>
      </c>
      <c r="AD44" s="37" t="str">
        <f ca="1">IFERROR(+IF(AD$29=ProposalToGnatt[[#This Row],[Start Date]],Milestone_Marker,IF(AND(AD$29&gt;ProposalToGnatt[[#This Row],[Start Date]],AD$29&lt;ProposalToGnatt[[#This Row],[Start Date]]+ProposalToGnatt[[#This Row],[Days]]),$G$5,"")),"")</f>
        <v/>
      </c>
      <c r="AE44" s="37" t="str">
        <f ca="1">IFERROR(+IF(AE$29=ProposalToGnatt[[#This Row],[Start Date]],Milestone_Marker,IF(AND(AE$29&gt;ProposalToGnatt[[#This Row],[Start Date]],AE$29&lt;ProposalToGnatt[[#This Row],[Start Date]]+ProposalToGnatt[[#This Row],[Days]]),$G$5,"")),"")</f>
        <v/>
      </c>
      <c r="AF44" s="37" t="str">
        <f ca="1">IFERROR(+IF(AF$29=ProposalToGnatt[[#This Row],[Start Date]],Milestone_Marker,IF(AND(AF$29&gt;ProposalToGnatt[[#This Row],[Start Date]],AF$29&lt;ProposalToGnatt[[#This Row],[Start Date]]+ProposalToGnatt[[#This Row],[Days]]),$G$5,"")),"")</f>
        <v/>
      </c>
      <c r="AG44" s="37" t="str">
        <f ca="1">IFERROR(+IF(AG$29=ProposalToGnatt[[#This Row],[Start Date]],Milestone_Marker,IF(AND(AG$29&gt;ProposalToGnatt[[#This Row],[Start Date]],AG$29&lt;ProposalToGnatt[[#This Row],[Start Date]]+ProposalToGnatt[[#This Row],[Days]]),$G$5,"")),"")</f>
        <v/>
      </c>
      <c r="AH44" s="37" t="str">
        <f ca="1">IFERROR(+IF(AH$29=ProposalToGnatt[[#This Row],[Start Date]],Milestone_Marker,IF(AND(AH$29&gt;ProposalToGnatt[[#This Row],[Start Date]],AH$29&lt;ProposalToGnatt[[#This Row],[Start Date]]+ProposalToGnatt[[#This Row],[Days]]),$G$5,"")),"")</f>
        <v/>
      </c>
      <c r="AI44" s="37" t="str">
        <f ca="1">IFERROR(+IF(AI$29=ProposalToGnatt[[#This Row],[Start Date]],Milestone_Marker,IF(AND(AI$29&gt;ProposalToGnatt[[#This Row],[Start Date]],AI$29&lt;ProposalToGnatt[[#This Row],[Start Date]]+ProposalToGnatt[[#This Row],[Days]]),$G$5,"")),"")</f>
        <v/>
      </c>
      <c r="AJ44" s="37" t="str">
        <f ca="1">IFERROR(+IF(AJ$29=ProposalToGnatt[[#This Row],[Start Date]],Milestone_Marker,IF(AND(AJ$29&gt;ProposalToGnatt[[#This Row],[Start Date]],AJ$29&lt;ProposalToGnatt[[#This Row],[Start Date]]+ProposalToGnatt[[#This Row],[Days]]),$G$5,"")),"")</f>
        <v/>
      </c>
      <c r="AK44" s="37" t="str">
        <f ca="1">IFERROR(+IF(AK$29=ProposalToGnatt[[#This Row],[Start Date]],Milestone_Marker,IF(AND(AK$29&gt;ProposalToGnatt[[#This Row],[Start Date]],AK$29&lt;ProposalToGnatt[[#This Row],[Start Date]]+ProposalToGnatt[[#This Row],[Days]]),$G$5,"")),"")</f>
        <v/>
      </c>
      <c r="AL44" s="37" t="str">
        <f ca="1">IFERROR(+IF(AL$29=ProposalToGnatt[[#This Row],[Start Date]],Milestone_Marker,IF(AND(AL$29&gt;ProposalToGnatt[[#This Row],[Start Date]],AL$29&lt;ProposalToGnatt[[#This Row],[Start Date]]+ProposalToGnatt[[#This Row],[Days]]),$G$5,"")),"")</f>
        <v/>
      </c>
      <c r="AM44" s="37" t="str">
        <f ca="1">IFERROR(+IF(AM$29=ProposalToGnatt[[#This Row],[Start Date]],Milestone_Marker,IF(AND(AM$29&gt;ProposalToGnatt[[#This Row],[Start Date]],AM$29&lt;ProposalToGnatt[[#This Row],[Start Date]]+ProposalToGnatt[[#This Row],[Days]]),$G$5,"")),"")</f>
        <v/>
      </c>
      <c r="AN44" s="37" t="str">
        <f ca="1">IFERROR(+IF(AN$29=ProposalToGnatt[[#This Row],[Start Date]],Milestone_Marker,IF(AND(AN$29&gt;ProposalToGnatt[[#This Row],[Start Date]],AN$29&lt;ProposalToGnatt[[#This Row],[Start Date]]+ProposalToGnatt[[#This Row],[Days]]),$G$5,"")),"")</f>
        <v/>
      </c>
      <c r="AO44" s="37" t="str">
        <f ca="1">IFERROR(+IF(AO$29=ProposalToGnatt[[#This Row],[Start Date]],Milestone_Marker,IF(AND(AO$29&gt;ProposalToGnatt[[#This Row],[Start Date]],AO$29&lt;ProposalToGnatt[[#This Row],[Start Date]]+ProposalToGnatt[[#This Row],[Days]]),$G$5,"")),"")</f>
        <v/>
      </c>
      <c r="AP44" s="37" t="str">
        <f ca="1">IFERROR(+IF(AP$29=ProposalToGnatt[[#This Row],[Start Date]],Milestone_Marker,IF(AND(AP$29&gt;ProposalToGnatt[[#This Row],[Start Date]],AP$29&lt;ProposalToGnatt[[#This Row],[Start Date]]+ProposalToGnatt[[#This Row],[Days]]),$G$5,"")),"")</f>
        <v/>
      </c>
      <c r="AQ44" s="37" t="str">
        <f ca="1">IFERROR(+IF(AQ$29=ProposalToGnatt[[#This Row],[Start Date]],Milestone_Marker,IF(AND(AQ$29&gt;ProposalToGnatt[[#This Row],[Start Date]],AQ$29&lt;ProposalToGnatt[[#This Row],[Start Date]]+ProposalToGnatt[[#This Row],[Days]]),$G$5,"")),"")</f>
        <v/>
      </c>
      <c r="AR44" s="37" t="str">
        <f ca="1">IFERROR(+IF(AR$29=ProposalToGnatt[[#This Row],[Start Date]],Milestone_Marker,IF(AND(AR$29&gt;ProposalToGnatt[[#This Row],[Start Date]],AR$29&lt;ProposalToGnatt[[#This Row],[Start Date]]+ProposalToGnatt[[#This Row],[Days]]),$G$5,"")),"")</f>
        <v/>
      </c>
      <c r="AS44" s="37" t="str">
        <f ca="1">IFERROR(+IF(AS$29=ProposalToGnatt[[#This Row],[Start Date]],Milestone_Marker,IF(AND(AS$29&gt;ProposalToGnatt[[#This Row],[Start Date]],AS$29&lt;ProposalToGnatt[[#This Row],[Start Date]]+ProposalToGnatt[[#This Row],[Days]]),$G$5,"")),"")</f>
        <v/>
      </c>
      <c r="AT44" s="37" t="str">
        <f ca="1">IFERROR(+IF(AT$29=ProposalToGnatt[[#This Row],[Start Date]],Milestone_Marker,IF(AND(AT$29&gt;ProposalToGnatt[[#This Row],[Start Date]],AT$29&lt;ProposalToGnatt[[#This Row],[Start Date]]+ProposalToGnatt[[#This Row],[Days]]),$G$5,"")),"")</f>
        <v/>
      </c>
      <c r="AU44" s="37" t="str">
        <f ca="1">IFERROR(+IF(AU$29=ProposalToGnatt[[#This Row],[Start Date]],Milestone_Marker,IF(AND(AU$29&gt;ProposalToGnatt[[#This Row],[Start Date]],AU$29&lt;ProposalToGnatt[[#This Row],[Start Date]]+ProposalToGnatt[[#This Row],[Days]]),$G$5,"")),"")</f>
        <v/>
      </c>
      <c r="AV44" s="37" t="str">
        <f ca="1">IFERROR(+IF(AV$29=ProposalToGnatt[[#This Row],[Start Date]],Milestone_Marker,IF(AND(AV$29&gt;ProposalToGnatt[[#This Row],[Start Date]],AV$29&lt;ProposalToGnatt[[#This Row],[Start Date]]+ProposalToGnatt[[#This Row],[Days]]),$G$5,"")),"")</f>
        <v/>
      </c>
      <c r="AW44" s="37" t="str">
        <f ca="1">IFERROR(+IF(AW$29=ProposalToGnatt[[#This Row],[Start Date]],Milestone_Marker,IF(AND(AW$29&gt;ProposalToGnatt[[#This Row],[Start Date]],AW$29&lt;ProposalToGnatt[[#This Row],[Start Date]]+ProposalToGnatt[[#This Row],[Days]]),$G$5,"")),"")</f>
        <v/>
      </c>
      <c r="AX44" s="37" t="str">
        <f ca="1">IFERROR(+IF(AX$29=ProposalToGnatt[[#This Row],[Start Date]],Milestone_Marker,IF(AND(AX$29&gt;ProposalToGnatt[[#This Row],[Start Date]],AX$29&lt;ProposalToGnatt[[#This Row],[Start Date]]+ProposalToGnatt[[#This Row],[Days]]),$G$5,"")),"")</f>
        <v/>
      </c>
      <c r="AY44" s="37" t="str">
        <f ca="1">IFERROR(+IF(AY$29=ProposalToGnatt[[#This Row],[Start Date]],Milestone_Marker,IF(AND(AY$29&gt;ProposalToGnatt[[#This Row],[Start Date]],AY$29&lt;ProposalToGnatt[[#This Row],[Start Date]]+ProposalToGnatt[[#This Row],[Days]]),$G$5,"")),"")</f>
        <v/>
      </c>
      <c r="AZ44" s="37" t="str">
        <f ca="1">IFERROR(+IF(AZ$29=ProposalToGnatt[[#This Row],[Start Date]],Milestone_Marker,IF(AND(AZ$29&gt;ProposalToGnatt[[#This Row],[Start Date]],AZ$29&lt;ProposalToGnatt[[#This Row],[Start Date]]+ProposalToGnatt[[#This Row],[Days]]),$G$5,"")),"")</f>
        <v/>
      </c>
      <c r="BA44" s="37" t="str">
        <f ca="1">IFERROR(+IF(BA$29=ProposalToGnatt[[#This Row],[Start Date]],Milestone_Marker,IF(AND(BA$29&gt;ProposalToGnatt[[#This Row],[Start Date]],BA$29&lt;ProposalToGnatt[[#This Row],[Start Date]]+ProposalToGnatt[[#This Row],[Days]]),$G$5,"")),"")</f>
        <v/>
      </c>
      <c r="BB44" s="37" t="str">
        <f ca="1">IFERROR(+IF(BB$29=ProposalToGnatt[[#This Row],[Start Date]],Milestone_Marker,IF(AND(BB$29&gt;ProposalToGnatt[[#This Row],[Start Date]],BB$29&lt;ProposalToGnatt[[#This Row],[Start Date]]+ProposalToGnatt[[#This Row],[Days]]),$G$5,"")),"")</f>
        <v/>
      </c>
      <c r="BC44" s="37" t="str">
        <f ca="1">IFERROR(+IF(BC$29=ProposalToGnatt[[#This Row],[Start Date]],Milestone_Marker,IF(AND(BC$29&gt;ProposalToGnatt[[#This Row],[Start Date]],BC$29&lt;ProposalToGnatt[[#This Row],[Start Date]]+ProposalToGnatt[[#This Row],[Days]]),$G$5,"")),"")</f>
        <v/>
      </c>
      <c r="BD44" s="37" t="str">
        <f ca="1">IFERROR(+IF(BD$29=ProposalToGnatt[[#This Row],[Start Date]],Milestone_Marker,IF(AND(BD$29&gt;ProposalToGnatt[[#This Row],[Start Date]],BD$29&lt;ProposalToGnatt[[#This Row],[Start Date]]+ProposalToGnatt[[#This Row],[Days]]),$G$5,"")),"")</f>
        <v/>
      </c>
      <c r="BE44" s="37" t="str">
        <f ca="1">IFERROR(+IF(BE$29=ProposalToGnatt[[#This Row],[Start Date]],Milestone_Marker,IF(AND(BE$29&gt;ProposalToGnatt[[#This Row],[Start Date]],BE$29&lt;ProposalToGnatt[[#This Row],[Start Date]]+ProposalToGnatt[[#This Row],[Days]]),$G$5,"")),"")</f>
        <v/>
      </c>
      <c r="BF44" s="37" t="str">
        <f ca="1">IFERROR(+IF(BF$29=ProposalToGnatt[[#This Row],[Start Date]],Milestone_Marker,IF(AND(BF$29&gt;ProposalToGnatt[[#This Row],[Start Date]],BF$29&lt;ProposalToGnatt[[#This Row],[Start Date]]+ProposalToGnatt[[#This Row],[Days]]),$G$5,"")),"")</f>
        <v/>
      </c>
      <c r="BG44" s="37" t="str">
        <f ca="1">IFERROR(+IF(BG$29=ProposalToGnatt[[#This Row],[Start Date]],Milestone_Marker,IF(AND(BG$29&gt;ProposalToGnatt[[#This Row],[Start Date]],BG$29&lt;ProposalToGnatt[[#This Row],[Start Date]]+ProposalToGnatt[[#This Row],[Days]]),$G$5,"")),"")</f>
        <v/>
      </c>
      <c r="BH44" s="37" t="str">
        <f ca="1">IFERROR(+IF(BH$29=ProposalToGnatt[[#This Row],[Start Date]],Milestone_Marker,IF(AND(BH$29&gt;ProposalToGnatt[[#This Row],[Start Date]],BH$29&lt;ProposalToGnatt[[#This Row],[Start Date]]+ProposalToGnatt[[#This Row],[Days]]),$G$5,"")),"")</f>
        <v/>
      </c>
      <c r="BI44" s="37" t="str">
        <f ca="1">IFERROR(+IF(BI$29=ProposalToGnatt[[#This Row],[Start Date]],Milestone_Marker,IF(AND(BI$29&gt;ProposalToGnatt[[#This Row],[Start Date]],BI$29&lt;ProposalToGnatt[[#This Row],[Start Date]]+ProposalToGnatt[[#This Row],[Days]]),$G$5,"")),"")</f>
        <v/>
      </c>
      <c r="BJ44" s="37" t="str">
        <f ca="1">IFERROR(+IF(BJ$29=ProposalToGnatt[[#This Row],[Start Date]],Milestone_Marker,IF(AND(BJ$29&gt;ProposalToGnatt[[#This Row],[Start Date]],BJ$29&lt;ProposalToGnatt[[#This Row],[Start Date]]+ProposalToGnatt[[#This Row],[Days]]),$G$5,"")),"")</f>
        <v/>
      </c>
      <c r="BK44" s="37" t="str">
        <f ca="1">IFERROR(+IF(BK$29=ProposalToGnatt[[#This Row],[Start Date]],Milestone_Marker,IF(AND(BK$29&gt;ProposalToGnatt[[#This Row],[Start Date]],BK$29&lt;ProposalToGnatt[[#This Row],[Start Date]]+ProposalToGnatt[[#This Row],[Days]]),$G$5,"")),"")</f>
        <v/>
      </c>
      <c r="BL44" s="37" t="str">
        <f ca="1">IFERROR(+IF(BL$29=ProposalToGnatt[[#This Row],[Start Date]],Milestone_Marker,IF(AND(BL$29&gt;ProposalToGnatt[[#This Row],[Start Date]],BL$29&lt;ProposalToGnatt[[#This Row],[Start Date]]+ProposalToGnatt[[#This Row],[Days]]),$G$5,"")),"")</f>
        <v/>
      </c>
      <c r="BM44" s="37" t="str">
        <f ca="1">IFERROR(+IF(BM$29=ProposalToGnatt[[#This Row],[Start Date]],Milestone_Marker,IF(AND(BM$29&gt;ProposalToGnatt[[#This Row],[Start Date]],BM$29&lt;ProposalToGnatt[[#This Row],[Start Date]]+ProposalToGnatt[[#This Row],[Days]]),$G$5,"")),"")</f>
        <v/>
      </c>
      <c r="BN44" s="37" t="str">
        <f ca="1">IFERROR(+IF(BN$29=ProposalToGnatt[[#This Row],[Start Date]],Milestone_Marker,IF(AND(BN$29&gt;ProposalToGnatt[[#This Row],[Start Date]],BN$29&lt;ProposalToGnatt[[#This Row],[Start Date]]+ProposalToGnatt[[#This Row],[Days]]),$G$5,"")),"")</f>
        <v/>
      </c>
      <c r="BO44" s="37" t="str">
        <f ca="1">IFERROR(+IF(BO$29=ProposalToGnatt[[#This Row],[Start Date]],Milestone_Marker,IF(AND(BO$29&gt;ProposalToGnatt[[#This Row],[Start Date]],BO$29&lt;ProposalToGnatt[[#This Row],[Start Date]]+ProposalToGnatt[[#This Row],[Days]]),$G$5,"")),"")</f>
        <v/>
      </c>
      <c r="BP44" s="37" t="str">
        <f ca="1">IFERROR(+IF(BP$29=ProposalToGnatt[[#This Row],[Start Date]],Milestone_Marker,IF(AND(BP$29&gt;ProposalToGnatt[[#This Row],[Start Date]],BP$29&lt;ProposalToGnatt[[#This Row],[Start Date]]+ProposalToGnatt[[#This Row],[Days]]),$G$5,"")),"")</f>
        <v/>
      </c>
      <c r="BQ44" s="37" t="str">
        <f ca="1">IFERROR(+IF(BQ$29=ProposalToGnatt[[#This Row],[Start Date]],Milestone_Marker,IF(AND(BQ$29&gt;ProposalToGnatt[[#This Row],[Start Date]],BQ$29&lt;ProposalToGnatt[[#This Row],[Start Date]]+ProposalToGnatt[[#This Row],[Days]]),$G$5,"")),"")</f>
        <v/>
      </c>
      <c r="BR44" s="37" t="str">
        <f ca="1">IFERROR(+IF(BR$29=ProposalToGnatt[[#This Row],[Start Date]],Milestone_Marker,IF(AND(BR$29&gt;ProposalToGnatt[[#This Row],[Start Date]],BR$29&lt;ProposalToGnatt[[#This Row],[Start Date]]+ProposalToGnatt[[#This Row],[Days]]),$G$5,"")),"")</f>
        <v/>
      </c>
      <c r="BS44" s="37" t="str">
        <f ca="1">IFERROR(+IF(BS$29=ProposalToGnatt[[#This Row],[Start Date]],Milestone_Marker,IF(AND(BS$29&gt;ProposalToGnatt[[#This Row],[Start Date]],BS$29&lt;ProposalToGnatt[[#This Row],[Start Date]]+ProposalToGnatt[[#This Row],[Days]]),$G$5,"")),"")</f>
        <v/>
      </c>
      <c r="BT44" s="37" t="str">
        <f ca="1">IFERROR(+IF(BT$29=ProposalToGnatt[[#This Row],[Start Date]],Milestone_Marker,IF(AND(BT$29&gt;ProposalToGnatt[[#This Row],[Start Date]],BT$29&lt;ProposalToGnatt[[#This Row],[Start Date]]+ProposalToGnatt[[#This Row],[Days]]),$G$5,"")),"")</f>
        <v/>
      </c>
      <c r="BU44" s="37" t="str">
        <f ca="1">IFERROR(+IF(BU$29=ProposalToGnatt[[#This Row],[Start Date]],Milestone_Marker,IF(AND(BU$29&gt;ProposalToGnatt[[#This Row],[Start Date]],BU$29&lt;ProposalToGnatt[[#This Row],[Start Date]]+ProposalToGnatt[[#This Row],[Days]]),$G$5,"")),"")</f>
        <v/>
      </c>
      <c r="BV44" s="37" t="str">
        <f ca="1">IFERROR(+IF(BV$29=ProposalToGnatt[[#This Row],[Start Date]],Milestone_Marker,IF(AND(BV$29&gt;ProposalToGnatt[[#This Row],[Start Date]],BV$29&lt;ProposalToGnatt[[#This Row],[Start Date]]+ProposalToGnatt[[#This Row],[Days]]),$G$5,"")),"")</f>
        <v/>
      </c>
      <c r="BW44" s="37" t="str">
        <f ca="1">IFERROR(+IF(BW$29=ProposalToGnatt[[#This Row],[Start Date]],Milestone_Marker,IF(AND(BW$29&gt;ProposalToGnatt[[#This Row],[Start Date]],BW$29&lt;ProposalToGnatt[[#This Row],[Start Date]]+ProposalToGnatt[[#This Row],[Days]]),$G$5,"")),"")</f>
        <v/>
      </c>
      <c r="BX44" s="37" t="str">
        <f ca="1">IFERROR(+IF(BX$29=ProposalToGnatt[[#This Row],[Start Date]],Milestone_Marker,IF(AND(BX$29&gt;ProposalToGnatt[[#This Row],[Start Date]],BX$29&lt;ProposalToGnatt[[#This Row],[Start Date]]+ProposalToGnatt[[#This Row],[Days]]),$G$5,"")),"")</f>
        <v/>
      </c>
      <c r="BY44" s="37" t="str">
        <f ca="1">IFERROR(+IF(BY$29=ProposalToGnatt[[#This Row],[Start Date]],Milestone_Marker,IF(AND(BY$29&gt;ProposalToGnatt[[#This Row],[Start Date]],BY$29&lt;ProposalToGnatt[[#This Row],[Start Date]]+ProposalToGnatt[[#This Row],[Days]]),$G$5,"")),"")</f>
        <v/>
      </c>
      <c r="BZ44" s="37" t="str">
        <f ca="1">IFERROR(+IF(BZ$29=ProposalToGnatt[[#This Row],[Start Date]],Milestone_Marker,IF(AND(BZ$29&gt;ProposalToGnatt[[#This Row],[Start Date]],BZ$29&lt;ProposalToGnatt[[#This Row],[Start Date]]+ProposalToGnatt[[#This Row],[Days]]),$G$5,"")),"")</f>
        <v/>
      </c>
      <c r="CA44" s="37" t="str">
        <f ca="1">IFERROR(+IF(CA$29=ProposalToGnatt[[#This Row],[Start Date]],Milestone_Marker,IF(AND(CA$29&gt;ProposalToGnatt[[#This Row],[Start Date]],CA$29&lt;ProposalToGnatt[[#This Row],[Start Date]]+ProposalToGnatt[[#This Row],[Days]]),$G$5,"")),"")</f>
        <v/>
      </c>
      <c r="CB44" s="37" t="str">
        <f ca="1">IFERROR(+IF(CB$29=ProposalToGnatt[[#This Row],[Start Date]],Milestone_Marker,IF(AND(CB$29&gt;ProposalToGnatt[[#This Row],[Start Date]],CB$29&lt;ProposalToGnatt[[#This Row],[Start Date]]+ProposalToGnatt[[#This Row],[Days]]),$G$5,"")),"")</f>
        <v/>
      </c>
      <c r="CC44" s="37" t="str">
        <f ca="1">IFERROR(+IF(CC$29=ProposalToGnatt[[#This Row],[Start Date]],Milestone_Marker,IF(AND(CC$29&gt;ProposalToGnatt[[#This Row],[Start Date]],CC$29&lt;ProposalToGnatt[[#This Row],[Start Date]]+ProposalToGnatt[[#This Row],[Days]]),$G$5,"")),"")</f>
        <v/>
      </c>
      <c r="CD44" s="37" t="str">
        <f ca="1">IFERROR(+IF(CD$29=ProposalToGnatt[[#This Row],[Start Date]],Milestone_Marker,IF(AND(CD$29&gt;ProposalToGnatt[[#This Row],[Start Date]],CD$29&lt;ProposalToGnatt[[#This Row],[Start Date]]+ProposalToGnatt[[#This Row],[Days]]),$G$5,"")),"")</f>
        <v/>
      </c>
      <c r="CE44" s="37" t="str">
        <f ca="1">IFERROR(+IF(CE$29=ProposalToGnatt[[#This Row],[Start Date]],Milestone_Marker,IF(AND(CE$29&gt;ProposalToGnatt[[#This Row],[Start Date]],CE$29&lt;ProposalToGnatt[[#This Row],[Start Date]]+ProposalToGnatt[[#This Row],[Days]]),$G$5,"")),"")</f>
        <v/>
      </c>
      <c r="CF44" s="37" t="str">
        <f ca="1">IFERROR(+IF(CF$29=ProposalToGnatt[[#This Row],[Start Date]],Milestone_Marker,IF(AND(CF$29&gt;ProposalToGnatt[[#This Row],[Start Date]],CF$29&lt;ProposalToGnatt[[#This Row],[Start Date]]+ProposalToGnatt[[#This Row],[Days]]),$G$5,"")),"")</f>
        <v/>
      </c>
      <c r="CG44" s="37" t="str">
        <f ca="1">IFERROR(+IF(CG$29=ProposalToGnatt[[#This Row],[Start Date]],Milestone_Marker,IF(AND(CG$29&gt;ProposalToGnatt[[#This Row],[Start Date]],CG$29&lt;ProposalToGnatt[[#This Row],[Start Date]]+ProposalToGnatt[[#This Row],[Days]]),$G$5,"")),"")</f>
        <v/>
      </c>
      <c r="CH44" s="37" t="str">
        <f ca="1">IFERROR(+IF(CH$29=ProposalToGnatt[[#This Row],[Start Date]],Milestone_Marker,IF(AND(CH$29&gt;ProposalToGnatt[[#This Row],[Start Date]],CH$29&lt;ProposalToGnatt[[#This Row],[Start Date]]+ProposalToGnatt[[#This Row],[Days]]),$G$5,"")),"")</f>
        <v/>
      </c>
      <c r="CI44" s="37" t="str">
        <f ca="1">IFERROR(+IF(CI$29=ProposalToGnatt[[#This Row],[Start Date]],Milestone_Marker,IF(AND(CI$29&gt;ProposalToGnatt[[#This Row],[Start Date]],CI$29&lt;ProposalToGnatt[[#This Row],[Start Date]]+ProposalToGnatt[[#This Row],[Days]]),$G$5,"")),"")</f>
        <v/>
      </c>
      <c r="CJ44" s="37" t="str">
        <f ca="1">IFERROR(+IF(CJ$29=ProposalToGnatt[[#This Row],[Start Date]],Milestone_Marker,IF(AND(CJ$29&gt;ProposalToGnatt[[#This Row],[Start Date]],CJ$29&lt;ProposalToGnatt[[#This Row],[Start Date]]+ProposalToGnatt[[#This Row],[Days]]),$G$5,"")),"")</f>
        <v/>
      </c>
      <c r="CK44" s="37" t="str">
        <f ca="1">IFERROR(+IF(CK$29=ProposalToGnatt[[#This Row],[Start Date]],Milestone_Marker,IF(AND(CK$29&gt;ProposalToGnatt[[#This Row],[Start Date]],CK$29&lt;ProposalToGnatt[[#This Row],[Start Date]]+ProposalToGnatt[[#This Row],[Days]]),$G$5,"")),"")</f>
        <v/>
      </c>
      <c r="CL44" s="37" t="str">
        <f ca="1">IFERROR(+IF(CL$29=ProposalToGnatt[[#This Row],[Start Date]],Milestone_Marker,IF(AND(CL$29&gt;ProposalToGnatt[[#This Row],[Start Date]],CL$29&lt;ProposalToGnatt[[#This Row],[Start Date]]+ProposalToGnatt[[#This Row],[Days]]),$G$5,"")),"")</f>
        <v/>
      </c>
      <c r="CM44" s="37" t="str">
        <f ca="1">IFERROR(+IF(CM$29=ProposalToGnatt[[#This Row],[Start Date]],Milestone_Marker,IF(AND(CM$29&gt;ProposalToGnatt[[#This Row],[Start Date]],CM$29&lt;ProposalToGnatt[[#This Row],[Start Date]]+ProposalToGnatt[[#This Row],[Days]]),$G$5,"")),"")</f>
        <v/>
      </c>
      <c r="CN44" s="37" t="str">
        <f ca="1">IFERROR(+IF(CN$29=ProposalToGnatt[[#This Row],[Start Date]],Milestone_Marker,IF(AND(CN$29&gt;ProposalToGnatt[[#This Row],[Start Date]],CN$29&lt;ProposalToGnatt[[#This Row],[Start Date]]+ProposalToGnatt[[#This Row],[Days]]),$G$5,"")),"")</f>
        <v/>
      </c>
      <c r="CO44" s="37" t="str">
        <f ca="1">IFERROR(+IF(CO$29=ProposalToGnatt[[#This Row],[Start Date]],Milestone_Marker,IF(AND(CO$29&gt;ProposalToGnatt[[#This Row],[Start Date]],CO$29&lt;ProposalToGnatt[[#This Row],[Start Date]]+ProposalToGnatt[[#This Row],[Days]]),$G$5,"")),"")</f>
        <v/>
      </c>
      <c r="CP44" s="37" t="str">
        <f ca="1">IFERROR(+IF(CP$29=ProposalToGnatt[[#This Row],[Start Date]],Milestone_Marker,IF(AND(CP$29&gt;ProposalToGnatt[[#This Row],[Start Date]],CP$29&lt;ProposalToGnatt[[#This Row],[Start Date]]+ProposalToGnatt[[#This Row],[Days]]),$G$5,"")),"")</f>
        <v/>
      </c>
      <c r="CQ44" s="37" t="str">
        <f ca="1">IFERROR(+IF(CQ$29=ProposalToGnatt[[#This Row],[Start Date]],Milestone_Marker,IF(AND(CQ$29&gt;ProposalToGnatt[[#This Row],[Start Date]],CQ$29&lt;ProposalToGnatt[[#This Row],[Start Date]]+ProposalToGnatt[[#This Row],[Days]]),$G$5,"")),"")</f>
        <v/>
      </c>
      <c r="CR44" s="37" t="str">
        <f ca="1">IFERROR(+IF(CR$29=ProposalToGnatt[[#This Row],[Start Date]],Milestone_Marker,IF(AND(CR$29&gt;ProposalToGnatt[[#This Row],[Start Date]],CR$29&lt;ProposalToGnatt[[#This Row],[Start Date]]+ProposalToGnatt[[#This Row],[Days]]),$G$5,"")),"")</f>
        <v/>
      </c>
      <c r="CS44" s="37" t="str">
        <f ca="1">IFERROR(+IF(CS$29=ProposalToGnatt[[#This Row],[Start Date]],Milestone_Marker,IF(AND(CS$29&gt;ProposalToGnatt[[#This Row],[Start Date]],CS$29&lt;ProposalToGnatt[[#This Row],[Start Date]]+ProposalToGnatt[[#This Row],[Days]]),$G$5,"")),"")</f>
        <v/>
      </c>
      <c r="CT44" s="37" t="str">
        <f ca="1">IFERROR(+IF(CT$29=ProposalToGnatt[[#This Row],[Start Date]],Milestone_Marker,IF(AND(CT$29&gt;ProposalToGnatt[[#This Row],[Start Date]],CT$29&lt;ProposalToGnatt[[#This Row],[Start Date]]+ProposalToGnatt[[#This Row],[Days]]),$G$5,"")),"")</f>
        <v/>
      </c>
      <c r="CU44" s="37" t="str">
        <f ca="1">IFERROR(+IF(CU$29=ProposalToGnatt[[#This Row],[Start Date]],Milestone_Marker,IF(AND(CU$29&gt;ProposalToGnatt[[#This Row],[Start Date]],CU$29&lt;ProposalToGnatt[[#This Row],[Start Date]]+ProposalToGnatt[[#This Row],[Days]]),$G$5,"")),"")</f>
        <v/>
      </c>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row>
    <row r="45" spans="1:125" s="42" customFormat="1" ht="15">
      <c r="A45" t="s">
        <v>437</v>
      </c>
      <c r="B45">
        <v>16</v>
      </c>
      <c r="C45" t="s">
        <v>361</v>
      </c>
      <c r="D45"/>
      <c r="E45"/>
      <c r="F45"/>
      <c r="G45" s="11"/>
      <c r="H45" s="26"/>
      <c r="I45" s="367"/>
      <c r="J45"/>
      <c r="K45" s="363"/>
      <c r="L45"/>
      <c r="M45"/>
      <c r="N45"/>
      <c r="O45" s="26"/>
      <c r="P45" s="37">
        <f ca="1">IFERROR(+IF(P$29=ProposalToGnatt[[#This Row],[Start Date]],Milestone_Marker,IF(AND(P$29&gt;ProposalToGnatt[[#This Row],[Start Date]],P$29&lt;ProposalToGnatt[[#This Row],[Start Date]]+ProposalToGnatt[[#This Row],[Days]]),$G$5,"")),"")</f>
        <v>1</v>
      </c>
      <c r="Q45" s="37" t="str">
        <f ca="1">IFERROR(+IF(Q$29=ProposalToGnatt[[#This Row],[Start Date]],Milestone_Marker,IF(AND(Q$29&gt;ProposalToGnatt[[#This Row],[Start Date]],Q$29&lt;ProposalToGnatt[[#This Row],[Start Date]]+ProposalToGnatt[[#This Row],[Days]]),$G$5,"")),"")</f>
        <v/>
      </c>
      <c r="R45" s="37" t="str">
        <f ca="1">IFERROR(+IF(R$29=ProposalToGnatt[[#This Row],[Start Date]],Milestone_Marker,IF(AND(R$29&gt;ProposalToGnatt[[#This Row],[Start Date]],R$29&lt;ProposalToGnatt[[#This Row],[Start Date]]+ProposalToGnatt[[#This Row],[Days]]),$G$5,"")),"")</f>
        <v/>
      </c>
      <c r="S45" s="37" t="str">
        <f ca="1">IFERROR(+IF(S$29=ProposalToGnatt[[#This Row],[Start Date]],Milestone_Marker,IF(AND(S$29&gt;ProposalToGnatt[[#This Row],[Start Date]],S$29&lt;ProposalToGnatt[[#This Row],[Start Date]]+ProposalToGnatt[[#This Row],[Days]]),$G$5,"")),"")</f>
        <v/>
      </c>
      <c r="T45" s="37" t="str">
        <f ca="1">IFERROR(+IF(T$29=ProposalToGnatt[[#This Row],[Start Date]],Milestone_Marker,IF(AND(T$29&gt;ProposalToGnatt[[#This Row],[Start Date]],T$29&lt;ProposalToGnatt[[#This Row],[Start Date]]+ProposalToGnatt[[#This Row],[Days]]),$G$5,"")),"")</f>
        <v/>
      </c>
      <c r="U45" s="37" t="str">
        <f ca="1">IFERROR(+IF(U$29=ProposalToGnatt[[#This Row],[Start Date]],Milestone_Marker,IF(AND(U$29&gt;ProposalToGnatt[[#This Row],[Start Date]],U$29&lt;ProposalToGnatt[[#This Row],[Start Date]]+ProposalToGnatt[[#This Row],[Days]]),$G$5,"")),"")</f>
        <v/>
      </c>
      <c r="V45" s="37" t="str">
        <f ca="1">IFERROR(+IF(V$29=ProposalToGnatt[[#This Row],[Start Date]],Milestone_Marker,IF(AND(V$29&gt;ProposalToGnatt[[#This Row],[Start Date]],V$29&lt;ProposalToGnatt[[#This Row],[Start Date]]+ProposalToGnatt[[#This Row],[Days]]),$G$5,"")),"")</f>
        <v/>
      </c>
      <c r="W45" s="37" t="str">
        <f ca="1">IFERROR(+IF(W$29=ProposalToGnatt[[#This Row],[Start Date]],Milestone_Marker,IF(AND(W$29&gt;ProposalToGnatt[[#This Row],[Start Date]],W$29&lt;ProposalToGnatt[[#This Row],[Start Date]]+ProposalToGnatt[[#This Row],[Days]]),$G$5,"")),"")</f>
        <v/>
      </c>
      <c r="X45" s="37" t="str">
        <f ca="1">IFERROR(+IF(X$29=ProposalToGnatt[[#This Row],[Start Date]],Milestone_Marker,IF(AND(X$29&gt;ProposalToGnatt[[#This Row],[Start Date]],X$29&lt;ProposalToGnatt[[#This Row],[Start Date]]+ProposalToGnatt[[#This Row],[Days]]),$G$5,"")),"")</f>
        <v/>
      </c>
      <c r="Y45" s="37" t="str">
        <f ca="1">IFERROR(+IF(Y$29=ProposalToGnatt[[#This Row],[Start Date]],Milestone_Marker,IF(AND(Y$29&gt;ProposalToGnatt[[#This Row],[Start Date]],Y$29&lt;ProposalToGnatt[[#This Row],[Start Date]]+ProposalToGnatt[[#This Row],[Days]]),$G$5,"")),"")</f>
        <v/>
      </c>
      <c r="Z45" s="37" t="str">
        <f ca="1">IFERROR(+IF(Z$29=ProposalToGnatt[[#This Row],[Start Date]],Milestone_Marker,IF(AND(Z$29&gt;ProposalToGnatt[[#This Row],[Start Date]],Z$29&lt;ProposalToGnatt[[#This Row],[Start Date]]+ProposalToGnatt[[#This Row],[Days]]),$G$5,"")),"")</f>
        <v/>
      </c>
      <c r="AA45" s="37" t="str">
        <f ca="1">IFERROR(+IF(AA$29=ProposalToGnatt[[#This Row],[Start Date]],Milestone_Marker,IF(AND(AA$29&gt;ProposalToGnatt[[#This Row],[Start Date]],AA$29&lt;ProposalToGnatt[[#This Row],[Start Date]]+ProposalToGnatt[[#This Row],[Days]]),$G$5,"")),"")</f>
        <v/>
      </c>
      <c r="AB45" s="37" t="str">
        <f ca="1">IFERROR(+IF(AB$29=ProposalToGnatt[[#This Row],[Start Date]],Milestone_Marker,IF(AND(AB$29&gt;ProposalToGnatt[[#This Row],[Start Date]],AB$29&lt;ProposalToGnatt[[#This Row],[Start Date]]+ProposalToGnatt[[#This Row],[Days]]),$G$5,"")),"")</f>
        <v/>
      </c>
      <c r="AC45" s="37" t="str">
        <f ca="1">IFERROR(+IF(AC$29=ProposalToGnatt[[#This Row],[Start Date]],Milestone_Marker,IF(AND(AC$29&gt;ProposalToGnatt[[#This Row],[Start Date]],AC$29&lt;ProposalToGnatt[[#This Row],[Start Date]]+ProposalToGnatt[[#This Row],[Days]]),$G$5,"")),"")</f>
        <v/>
      </c>
      <c r="AD45" s="37" t="str">
        <f ca="1">IFERROR(+IF(AD$29=ProposalToGnatt[[#This Row],[Start Date]],Milestone_Marker,IF(AND(AD$29&gt;ProposalToGnatt[[#This Row],[Start Date]],AD$29&lt;ProposalToGnatt[[#This Row],[Start Date]]+ProposalToGnatt[[#This Row],[Days]]),$G$5,"")),"")</f>
        <v/>
      </c>
      <c r="AE45" s="37" t="str">
        <f ca="1">IFERROR(+IF(AE$29=ProposalToGnatt[[#This Row],[Start Date]],Milestone_Marker,IF(AND(AE$29&gt;ProposalToGnatt[[#This Row],[Start Date]],AE$29&lt;ProposalToGnatt[[#This Row],[Start Date]]+ProposalToGnatt[[#This Row],[Days]]),$G$5,"")),"")</f>
        <v/>
      </c>
      <c r="AF45" s="37" t="str">
        <f ca="1">IFERROR(+IF(AF$29=ProposalToGnatt[[#This Row],[Start Date]],Milestone_Marker,IF(AND(AF$29&gt;ProposalToGnatt[[#This Row],[Start Date]],AF$29&lt;ProposalToGnatt[[#This Row],[Start Date]]+ProposalToGnatt[[#This Row],[Days]]),$G$5,"")),"")</f>
        <v/>
      </c>
      <c r="AG45" s="37" t="str">
        <f ca="1">IFERROR(+IF(AG$29=ProposalToGnatt[[#This Row],[Start Date]],Milestone_Marker,IF(AND(AG$29&gt;ProposalToGnatt[[#This Row],[Start Date]],AG$29&lt;ProposalToGnatt[[#This Row],[Start Date]]+ProposalToGnatt[[#This Row],[Days]]),$G$5,"")),"")</f>
        <v/>
      </c>
      <c r="AH45" s="37" t="str">
        <f ca="1">IFERROR(+IF(AH$29=ProposalToGnatt[[#This Row],[Start Date]],Milestone_Marker,IF(AND(AH$29&gt;ProposalToGnatt[[#This Row],[Start Date]],AH$29&lt;ProposalToGnatt[[#This Row],[Start Date]]+ProposalToGnatt[[#This Row],[Days]]),$G$5,"")),"")</f>
        <v/>
      </c>
      <c r="AI45" s="37" t="str">
        <f ca="1">IFERROR(+IF(AI$29=ProposalToGnatt[[#This Row],[Start Date]],Milestone_Marker,IF(AND(AI$29&gt;ProposalToGnatt[[#This Row],[Start Date]],AI$29&lt;ProposalToGnatt[[#This Row],[Start Date]]+ProposalToGnatt[[#This Row],[Days]]),$G$5,"")),"")</f>
        <v/>
      </c>
      <c r="AJ45" s="37" t="str">
        <f ca="1">IFERROR(+IF(AJ$29=ProposalToGnatt[[#This Row],[Start Date]],Milestone_Marker,IF(AND(AJ$29&gt;ProposalToGnatt[[#This Row],[Start Date]],AJ$29&lt;ProposalToGnatt[[#This Row],[Start Date]]+ProposalToGnatt[[#This Row],[Days]]),$G$5,"")),"")</f>
        <v/>
      </c>
      <c r="AK45" s="37" t="str">
        <f ca="1">IFERROR(+IF(AK$29=ProposalToGnatt[[#This Row],[Start Date]],Milestone_Marker,IF(AND(AK$29&gt;ProposalToGnatt[[#This Row],[Start Date]],AK$29&lt;ProposalToGnatt[[#This Row],[Start Date]]+ProposalToGnatt[[#This Row],[Days]]),$G$5,"")),"")</f>
        <v/>
      </c>
      <c r="AL45" s="37" t="str">
        <f ca="1">IFERROR(+IF(AL$29=ProposalToGnatt[[#This Row],[Start Date]],Milestone_Marker,IF(AND(AL$29&gt;ProposalToGnatt[[#This Row],[Start Date]],AL$29&lt;ProposalToGnatt[[#This Row],[Start Date]]+ProposalToGnatt[[#This Row],[Days]]),$G$5,"")),"")</f>
        <v/>
      </c>
      <c r="AM45" s="37" t="str">
        <f ca="1">IFERROR(+IF(AM$29=ProposalToGnatt[[#This Row],[Start Date]],Milestone_Marker,IF(AND(AM$29&gt;ProposalToGnatt[[#This Row],[Start Date]],AM$29&lt;ProposalToGnatt[[#This Row],[Start Date]]+ProposalToGnatt[[#This Row],[Days]]),$G$5,"")),"")</f>
        <v/>
      </c>
      <c r="AN45" s="37" t="str">
        <f ca="1">IFERROR(+IF(AN$29=ProposalToGnatt[[#This Row],[Start Date]],Milestone_Marker,IF(AND(AN$29&gt;ProposalToGnatt[[#This Row],[Start Date]],AN$29&lt;ProposalToGnatt[[#This Row],[Start Date]]+ProposalToGnatt[[#This Row],[Days]]),$G$5,"")),"")</f>
        <v/>
      </c>
      <c r="AO45" s="37" t="str">
        <f ca="1">IFERROR(+IF(AO$29=ProposalToGnatt[[#This Row],[Start Date]],Milestone_Marker,IF(AND(AO$29&gt;ProposalToGnatt[[#This Row],[Start Date]],AO$29&lt;ProposalToGnatt[[#This Row],[Start Date]]+ProposalToGnatt[[#This Row],[Days]]),$G$5,"")),"")</f>
        <v/>
      </c>
      <c r="AP45" s="37" t="str">
        <f ca="1">IFERROR(+IF(AP$29=ProposalToGnatt[[#This Row],[Start Date]],Milestone_Marker,IF(AND(AP$29&gt;ProposalToGnatt[[#This Row],[Start Date]],AP$29&lt;ProposalToGnatt[[#This Row],[Start Date]]+ProposalToGnatt[[#This Row],[Days]]),$G$5,"")),"")</f>
        <v/>
      </c>
      <c r="AQ45" s="37" t="str">
        <f ca="1">IFERROR(+IF(AQ$29=ProposalToGnatt[[#This Row],[Start Date]],Milestone_Marker,IF(AND(AQ$29&gt;ProposalToGnatt[[#This Row],[Start Date]],AQ$29&lt;ProposalToGnatt[[#This Row],[Start Date]]+ProposalToGnatt[[#This Row],[Days]]),$G$5,"")),"")</f>
        <v/>
      </c>
      <c r="AR45" s="37" t="str">
        <f ca="1">IFERROR(+IF(AR$29=ProposalToGnatt[[#This Row],[Start Date]],Milestone_Marker,IF(AND(AR$29&gt;ProposalToGnatt[[#This Row],[Start Date]],AR$29&lt;ProposalToGnatt[[#This Row],[Start Date]]+ProposalToGnatt[[#This Row],[Days]]),$G$5,"")),"")</f>
        <v/>
      </c>
      <c r="AS45" s="37" t="str">
        <f ca="1">IFERROR(+IF(AS$29=ProposalToGnatt[[#This Row],[Start Date]],Milestone_Marker,IF(AND(AS$29&gt;ProposalToGnatt[[#This Row],[Start Date]],AS$29&lt;ProposalToGnatt[[#This Row],[Start Date]]+ProposalToGnatt[[#This Row],[Days]]),$G$5,"")),"")</f>
        <v/>
      </c>
      <c r="AT45" s="37" t="str">
        <f ca="1">IFERROR(+IF(AT$29=ProposalToGnatt[[#This Row],[Start Date]],Milestone_Marker,IF(AND(AT$29&gt;ProposalToGnatt[[#This Row],[Start Date]],AT$29&lt;ProposalToGnatt[[#This Row],[Start Date]]+ProposalToGnatt[[#This Row],[Days]]),$G$5,"")),"")</f>
        <v/>
      </c>
      <c r="AU45" s="37" t="str">
        <f ca="1">IFERROR(+IF(AU$29=ProposalToGnatt[[#This Row],[Start Date]],Milestone_Marker,IF(AND(AU$29&gt;ProposalToGnatt[[#This Row],[Start Date]],AU$29&lt;ProposalToGnatt[[#This Row],[Start Date]]+ProposalToGnatt[[#This Row],[Days]]),$G$5,"")),"")</f>
        <v/>
      </c>
      <c r="AV45" s="37" t="str">
        <f ca="1">IFERROR(+IF(AV$29=ProposalToGnatt[[#This Row],[Start Date]],Milestone_Marker,IF(AND(AV$29&gt;ProposalToGnatt[[#This Row],[Start Date]],AV$29&lt;ProposalToGnatt[[#This Row],[Start Date]]+ProposalToGnatt[[#This Row],[Days]]),$G$5,"")),"")</f>
        <v/>
      </c>
      <c r="AW45" s="37" t="str">
        <f ca="1">IFERROR(+IF(AW$29=ProposalToGnatt[[#This Row],[Start Date]],Milestone_Marker,IF(AND(AW$29&gt;ProposalToGnatt[[#This Row],[Start Date]],AW$29&lt;ProposalToGnatt[[#This Row],[Start Date]]+ProposalToGnatt[[#This Row],[Days]]),$G$5,"")),"")</f>
        <v/>
      </c>
      <c r="AX45" s="37" t="str">
        <f ca="1">IFERROR(+IF(AX$29=ProposalToGnatt[[#This Row],[Start Date]],Milestone_Marker,IF(AND(AX$29&gt;ProposalToGnatt[[#This Row],[Start Date]],AX$29&lt;ProposalToGnatt[[#This Row],[Start Date]]+ProposalToGnatt[[#This Row],[Days]]),$G$5,"")),"")</f>
        <v/>
      </c>
      <c r="AY45" s="37" t="str">
        <f ca="1">IFERROR(+IF(AY$29=ProposalToGnatt[[#This Row],[Start Date]],Milestone_Marker,IF(AND(AY$29&gt;ProposalToGnatt[[#This Row],[Start Date]],AY$29&lt;ProposalToGnatt[[#This Row],[Start Date]]+ProposalToGnatt[[#This Row],[Days]]),$G$5,"")),"")</f>
        <v/>
      </c>
      <c r="AZ45" s="37" t="str">
        <f ca="1">IFERROR(+IF(AZ$29=ProposalToGnatt[[#This Row],[Start Date]],Milestone_Marker,IF(AND(AZ$29&gt;ProposalToGnatt[[#This Row],[Start Date]],AZ$29&lt;ProposalToGnatt[[#This Row],[Start Date]]+ProposalToGnatt[[#This Row],[Days]]),$G$5,"")),"")</f>
        <v/>
      </c>
      <c r="BA45" s="37" t="str">
        <f ca="1">IFERROR(+IF(BA$29=ProposalToGnatt[[#This Row],[Start Date]],Milestone_Marker,IF(AND(BA$29&gt;ProposalToGnatt[[#This Row],[Start Date]],BA$29&lt;ProposalToGnatt[[#This Row],[Start Date]]+ProposalToGnatt[[#This Row],[Days]]),$G$5,"")),"")</f>
        <v/>
      </c>
      <c r="BB45" s="37" t="str">
        <f ca="1">IFERROR(+IF(BB$29=ProposalToGnatt[[#This Row],[Start Date]],Milestone_Marker,IF(AND(BB$29&gt;ProposalToGnatt[[#This Row],[Start Date]],BB$29&lt;ProposalToGnatt[[#This Row],[Start Date]]+ProposalToGnatt[[#This Row],[Days]]),$G$5,"")),"")</f>
        <v/>
      </c>
      <c r="BC45" s="37" t="str">
        <f ca="1">IFERROR(+IF(BC$29=ProposalToGnatt[[#This Row],[Start Date]],Milestone_Marker,IF(AND(BC$29&gt;ProposalToGnatt[[#This Row],[Start Date]],BC$29&lt;ProposalToGnatt[[#This Row],[Start Date]]+ProposalToGnatt[[#This Row],[Days]]),$G$5,"")),"")</f>
        <v/>
      </c>
      <c r="BD45" s="37" t="str">
        <f ca="1">IFERROR(+IF(BD$29=ProposalToGnatt[[#This Row],[Start Date]],Milestone_Marker,IF(AND(BD$29&gt;ProposalToGnatt[[#This Row],[Start Date]],BD$29&lt;ProposalToGnatt[[#This Row],[Start Date]]+ProposalToGnatt[[#This Row],[Days]]),$G$5,"")),"")</f>
        <v/>
      </c>
      <c r="BE45" s="37" t="str">
        <f ca="1">IFERROR(+IF(BE$29=ProposalToGnatt[[#This Row],[Start Date]],Milestone_Marker,IF(AND(BE$29&gt;ProposalToGnatt[[#This Row],[Start Date]],BE$29&lt;ProposalToGnatt[[#This Row],[Start Date]]+ProposalToGnatt[[#This Row],[Days]]),$G$5,"")),"")</f>
        <v/>
      </c>
      <c r="BF45" s="37" t="str">
        <f ca="1">IFERROR(+IF(BF$29=ProposalToGnatt[[#This Row],[Start Date]],Milestone_Marker,IF(AND(BF$29&gt;ProposalToGnatt[[#This Row],[Start Date]],BF$29&lt;ProposalToGnatt[[#This Row],[Start Date]]+ProposalToGnatt[[#This Row],[Days]]),$G$5,"")),"")</f>
        <v/>
      </c>
      <c r="BG45" s="37" t="str">
        <f ca="1">IFERROR(+IF(BG$29=ProposalToGnatt[[#This Row],[Start Date]],Milestone_Marker,IF(AND(BG$29&gt;ProposalToGnatt[[#This Row],[Start Date]],BG$29&lt;ProposalToGnatt[[#This Row],[Start Date]]+ProposalToGnatt[[#This Row],[Days]]),$G$5,"")),"")</f>
        <v/>
      </c>
      <c r="BH45" s="37" t="str">
        <f ca="1">IFERROR(+IF(BH$29=ProposalToGnatt[[#This Row],[Start Date]],Milestone_Marker,IF(AND(BH$29&gt;ProposalToGnatt[[#This Row],[Start Date]],BH$29&lt;ProposalToGnatt[[#This Row],[Start Date]]+ProposalToGnatt[[#This Row],[Days]]),$G$5,"")),"")</f>
        <v/>
      </c>
      <c r="BI45" s="37" t="str">
        <f ca="1">IFERROR(+IF(BI$29=ProposalToGnatt[[#This Row],[Start Date]],Milestone_Marker,IF(AND(BI$29&gt;ProposalToGnatt[[#This Row],[Start Date]],BI$29&lt;ProposalToGnatt[[#This Row],[Start Date]]+ProposalToGnatt[[#This Row],[Days]]),$G$5,"")),"")</f>
        <v/>
      </c>
      <c r="BJ45" s="37" t="str">
        <f ca="1">IFERROR(+IF(BJ$29=ProposalToGnatt[[#This Row],[Start Date]],Milestone_Marker,IF(AND(BJ$29&gt;ProposalToGnatt[[#This Row],[Start Date]],BJ$29&lt;ProposalToGnatt[[#This Row],[Start Date]]+ProposalToGnatt[[#This Row],[Days]]),$G$5,"")),"")</f>
        <v/>
      </c>
      <c r="BK45" s="37" t="str">
        <f ca="1">IFERROR(+IF(BK$29=ProposalToGnatt[[#This Row],[Start Date]],Milestone_Marker,IF(AND(BK$29&gt;ProposalToGnatt[[#This Row],[Start Date]],BK$29&lt;ProposalToGnatt[[#This Row],[Start Date]]+ProposalToGnatt[[#This Row],[Days]]),$G$5,"")),"")</f>
        <v/>
      </c>
      <c r="BL45" s="37" t="str">
        <f ca="1">IFERROR(+IF(BL$29=ProposalToGnatt[[#This Row],[Start Date]],Milestone_Marker,IF(AND(BL$29&gt;ProposalToGnatt[[#This Row],[Start Date]],BL$29&lt;ProposalToGnatt[[#This Row],[Start Date]]+ProposalToGnatt[[#This Row],[Days]]),$G$5,"")),"")</f>
        <v/>
      </c>
      <c r="BM45" s="37" t="str">
        <f ca="1">IFERROR(+IF(BM$29=ProposalToGnatt[[#This Row],[Start Date]],Milestone_Marker,IF(AND(BM$29&gt;ProposalToGnatt[[#This Row],[Start Date]],BM$29&lt;ProposalToGnatt[[#This Row],[Start Date]]+ProposalToGnatt[[#This Row],[Days]]),$G$5,"")),"")</f>
        <v/>
      </c>
      <c r="BN45" s="37" t="str">
        <f ca="1">IFERROR(+IF(BN$29=ProposalToGnatt[[#This Row],[Start Date]],Milestone_Marker,IF(AND(BN$29&gt;ProposalToGnatt[[#This Row],[Start Date]],BN$29&lt;ProposalToGnatt[[#This Row],[Start Date]]+ProposalToGnatt[[#This Row],[Days]]),$G$5,"")),"")</f>
        <v/>
      </c>
      <c r="BO45" s="37" t="str">
        <f ca="1">IFERROR(+IF(BO$29=ProposalToGnatt[[#This Row],[Start Date]],Milestone_Marker,IF(AND(BO$29&gt;ProposalToGnatt[[#This Row],[Start Date]],BO$29&lt;ProposalToGnatt[[#This Row],[Start Date]]+ProposalToGnatt[[#This Row],[Days]]),$G$5,"")),"")</f>
        <v/>
      </c>
      <c r="BP45" s="37" t="str">
        <f ca="1">IFERROR(+IF(BP$29=ProposalToGnatt[[#This Row],[Start Date]],Milestone_Marker,IF(AND(BP$29&gt;ProposalToGnatt[[#This Row],[Start Date]],BP$29&lt;ProposalToGnatt[[#This Row],[Start Date]]+ProposalToGnatt[[#This Row],[Days]]),$G$5,"")),"")</f>
        <v/>
      </c>
      <c r="BQ45" s="37" t="str">
        <f ca="1">IFERROR(+IF(BQ$29=ProposalToGnatt[[#This Row],[Start Date]],Milestone_Marker,IF(AND(BQ$29&gt;ProposalToGnatt[[#This Row],[Start Date]],BQ$29&lt;ProposalToGnatt[[#This Row],[Start Date]]+ProposalToGnatt[[#This Row],[Days]]),$G$5,"")),"")</f>
        <v/>
      </c>
      <c r="BR45" s="37" t="str">
        <f ca="1">IFERROR(+IF(BR$29=ProposalToGnatt[[#This Row],[Start Date]],Milestone_Marker,IF(AND(BR$29&gt;ProposalToGnatt[[#This Row],[Start Date]],BR$29&lt;ProposalToGnatt[[#This Row],[Start Date]]+ProposalToGnatt[[#This Row],[Days]]),$G$5,"")),"")</f>
        <v/>
      </c>
      <c r="BS45" s="37" t="str">
        <f ca="1">IFERROR(+IF(BS$29=ProposalToGnatt[[#This Row],[Start Date]],Milestone_Marker,IF(AND(BS$29&gt;ProposalToGnatt[[#This Row],[Start Date]],BS$29&lt;ProposalToGnatt[[#This Row],[Start Date]]+ProposalToGnatt[[#This Row],[Days]]),$G$5,"")),"")</f>
        <v/>
      </c>
      <c r="BT45" s="37" t="str">
        <f ca="1">IFERROR(+IF(BT$29=ProposalToGnatt[[#This Row],[Start Date]],Milestone_Marker,IF(AND(BT$29&gt;ProposalToGnatt[[#This Row],[Start Date]],BT$29&lt;ProposalToGnatt[[#This Row],[Start Date]]+ProposalToGnatt[[#This Row],[Days]]),$G$5,"")),"")</f>
        <v/>
      </c>
      <c r="BU45" s="37" t="str">
        <f ca="1">IFERROR(+IF(BU$29=ProposalToGnatt[[#This Row],[Start Date]],Milestone_Marker,IF(AND(BU$29&gt;ProposalToGnatt[[#This Row],[Start Date]],BU$29&lt;ProposalToGnatt[[#This Row],[Start Date]]+ProposalToGnatt[[#This Row],[Days]]),$G$5,"")),"")</f>
        <v/>
      </c>
      <c r="BV45" s="37" t="str">
        <f ca="1">IFERROR(+IF(BV$29=ProposalToGnatt[[#This Row],[Start Date]],Milestone_Marker,IF(AND(BV$29&gt;ProposalToGnatt[[#This Row],[Start Date]],BV$29&lt;ProposalToGnatt[[#This Row],[Start Date]]+ProposalToGnatt[[#This Row],[Days]]),$G$5,"")),"")</f>
        <v/>
      </c>
      <c r="BW45" s="37" t="str">
        <f ca="1">IFERROR(+IF(BW$29=ProposalToGnatt[[#This Row],[Start Date]],Milestone_Marker,IF(AND(BW$29&gt;ProposalToGnatt[[#This Row],[Start Date]],BW$29&lt;ProposalToGnatt[[#This Row],[Start Date]]+ProposalToGnatt[[#This Row],[Days]]),$G$5,"")),"")</f>
        <v/>
      </c>
      <c r="BX45" s="37" t="str">
        <f ca="1">IFERROR(+IF(BX$29=ProposalToGnatt[[#This Row],[Start Date]],Milestone_Marker,IF(AND(BX$29&gt;ProposalToGnatt[[#This Row],[Start Date]],BX$29&lt;ProposalToGnatt[[#This Row],[Start Date]]+ProposalToGnatt[[#This Row],[Days]]),$G$5,"")),"")</f>
        <v/>
      </c>
      <c r="BY45" s="37" t="str">
        <f ca="1">IFERROR(+IF(BY$29=ProposalToGnatt[[#This Row],[Start Date]],Milestone_Marker,IF(AND(BY$29&gt;ProposalToGnatt[[#This Row],[Start Date]],BY$29&lt;ProposalToGnatt[[#This Row],[Start Date]]+ProposalToGnatt[[#This Row],[Days]]),$G$5,"")),"")</f>
        <v/>
      </c>
      <c r="BZ45" s="37" t="str">
        <f ca="1">IFERROR(+IF(BZ$29=ProposalToGnatt[[#This Row],[Start Date]],Milestone_Marker,IF(AND(BZ$29&gt;ProposalToGnatt[[#This Row],[Start Date]],BZ$29&lt;ProposalToGnatt[[#This Row],[Start Date]]+ProposalToGnatt[[#This Row],[Days]]),$G$5,"")),"")</f>
        <v/>
      </c>
      <c r="CA45" s="37" t="str">
        <f ca="1">IFERROR(+IF(CA$29=ProposalToGnatt[[#This Row],[Start Date]],Milestone_Marker,IF(AND(CA$29&gt;ProposalToGnatt[[#This Row],[Start Date]],CA$29&lt;ProposalToGnatt[[#This Row],[Start Date]]+ProposalToGnatt[[#This Row],[Days]]),$G$5,"")),"")</f>
        <v/>
      </c>
      <c r="CB45" s="37" t="str">
        <f ca="1">IFERROR(+IF(CB$29=ProposalToGnatt[[#This Row],[Start Date]],Milestone_Marker,IF(AND(CB$29&gt;ProposalToGnatt[[#This Row],[Start Date]],CB$29&lt;ProposalToGnatt[[#This Row],[Start Date]]+ProposalToGnatt[[#This Row],[Days]]),$G$5,"")),"")</f>
        <v/>
      </c>
      <c r="CC45" s="37" t="str">
        <f ca="1">IFERROR(+IF(CC$29=ProposalToGnatt[[#This Row],[Start Date]],Milestone_Marker,IF(AND(CC$29&gt;ProposalToGnatt[[#This Row],[Start Date]],CC$29&lt;ProposalToGnatt[[#This Row],[Start Date]]+ProposalToGnatt[[#This Row],[Days]]),$G$5,"")),"")</f>
        <v/>
      </c>
      <c r="CD45" s="37" t="str">
        <f ca="1">IFERROR(+IF(CD$29=ProposalToGnatt[[#This Row],[Start Date]],Milestone_Marker,IF(AND(CD$29&gt;ProposalToGnatt[[#This Row],[Start Date]],CD$29&lt;ProposalToGnatt[[#This Row],[Start Date]]+ProposalToGnatt[[#This Row],[Days]]),$G$5,"")),"")</f>
        <v/>
      </c>
      <c r="CE45" s="37" t="str">
        <f ca="1">IFERROR(+IF(CE$29=ProposalToGnatt[[#This Row],[Start Date]],Milestone_Marker,IF(AND(CE$29&gt;ProposalToGnatt[[#This Row],[Start Date]],CE$29&lt;ProposalToGnatt[[#This Row],[Start Date]]+ProposalToGnatt[[#This Row],[Days]]),$G$5,"")),"")</f>
        <v/>
      </c>
      <c r="CF45" s="37" t="str">
        <f ca="1">IFERROR(+IF(CF$29=ProposalToGnatt[[#This Row],[Start Date]],Milestone_Marker,IF(AND(CF$29&gt;ProposalToGnatt[[#This Row],[Start Date]],CF$29&lt;ProposalToGnatt[[#This Row],[Start Date]]+ProposalToGnatt[[#This Row],[Days]]),$G$5,"")),"")</f>
        <v/>
      </c>
      <c r="CG45" s="37" t="str">
        <f ca="1">IFERROR(+IF(CG$29=ProposalToGnatt[[#This Row],[Start Date]],Milestone_Marker,IF(AND(CG$29&gt;ProposalToGnatt[[#This Row],[Start Date]],CG$29&lt;ProposalToGnatt[[#This Row],[Start Date]]+ProposalToGnatt[[#This Row],[Days]]),$G$5,"")),"")</f>
        <v/>
      </c>
      <c r="CH45" s="37" t="str">
        <f ca="1">IFERROR(+IF(CH$29=ProposalToGnatt[[#This Row],[Start Date]],Milestone_Marker,IF(AND(CH$29&gt;ProposalToGnatt[[#This Row],[Start Date]],CH$29&lt;ProposalToGnatt[[#This Row],[Start Date]]+ProposalToGnatt[[#This Row],[Days]]),$G$5,"")),"")</f>
        <v/>
      </c>
      <c r="CI45" s="37" t="str">
        <f ca="1">IFERROR(+IF(CI$29=ProposalToGnatt[[#This Row],[Start Date]],Milestone_Marker,IF(AND(CI$29&gt;ProposalToGnatt[[#This Row],[Start Date]],CI$29&lt;ProposalToGnatt[[#This Row],[Start Date]]+ProposalToGnatt[[#This Row],[Days]]),$G$5,"")),"")</f>
        <v/>
      </c>
      <c r="CJ45" s="37" t="str">
        <f ca="1">IFERROR(+IF(CJ$29=ProposalToGnatt[[#This Row],[Start Date]],Milestone_Marker,IF(AND(CJ$29&gt;ProposalToGnatt[[#This Row],[Start Date]],CJ$29&lt;ProposalToGnatt[[#This Row],[Start Date]]+ProposalToGnatt[[#This Row],[Days]]),$G$5,"")),"")</f>
        <v/>
      </c>
      <c r="CK45" s="37" t="str">
        <f ca="1">IFERROR(+IF(CK$29=ProposalToGnatt[[#This Row],[Start Date]],Milestone_Marker,IF(AND(CK$29&gt;ProposalToGnatt[[#This Row],[Start Date]],CK$29&lt;ProposalToGnatt[[#This Row],[Start Date]]+ProposalToGnatt[[#This Row],[Days]]),$G$5,"")),"")</f>
        <v/>
      </c>
      <c r="CL45" s="37" t="str">
        <f ca="1">IFERROR(+IF(CL$29=ProposalToGnatt[[#This Row],[Start Date]],Milestone_Marker,IF(AND(CL$29&gt;ProposalToGnatt[[#This Row],[Start Date]],CL$29&lt;ProposalToGnatt[[#This Row],[Start Date]]+ProposalToGnatt[[#This Row],[Days]]),$G$5,"")),"")</f>
        <v/>
      </c>
      <c r="CM45" s="37" t="str">
        <f ca="1">IFERROR(+IF(CM$29=ProposalToGnatt[[#This Row],[Start Date]],Milestone_Marker,IF(AND(CM$29&gt;ProposalToGnatt[[#This Row],[Start Date]],CM$29&lt;ProposalToGnatt[[#This Row],[Start Date]]+ProposalToGnatt[[#This Row],[Days]]),$G$5,"")),"")</f>
        <v/>
      </c>
      <c r="CN45" s="37" t="str">
        <f ca="1">IFERROR(+IF(CN$29=ProposalToGnatt[[#This Row],[Start Date]],Milestone_Marker,IF(AND(CN$29&gt;ProposalToGnatt[[#This Row],[Start Date]],CN$29&lt;ProposalToGnatt[[#This Row],[Start Date]]+ProposalToGnatt[[#This Row],[Days]]),$G$5,"")),"")</f>
        <v/>
      </c>
      <c r="CO45" s="37" t="str">
        <f ca="1">IFERROR(+IF(CO$29=ProposalToGnatt[[#This Row],[Start Date]],Milestone_Marker,IF(AND(CO$29&gt;ProposalToGnatt[[#This Row],[Start Date]],CO$29&lt;ProposalToGnatt[[#This Row],[Start Date]]+ProposalToGnatt[[#This Row],[Days]]),$G$5,"")),"")</f>
        <v/>
      </c>
      <c r="CP45" s="37" t="str">
        <f ca="1">IFERROR(+IF(CP$29=ProposalToGnatt[[#This Row],[Start Date]],Milestone_Marker,IF(AND(CP$29&gt;ProposalToGnatt[[#This Row],[Start Date]],CP$29&lt;ProposalToGnatt[[#This Row],[Start Date]]+ProposalToGnatt[[#This Row],[Days]]),$G$5,"")),"")</f>
        <v/>
      </c>
      <c r="CQ45" s="37" t="str">
        <f ca="1">IFERROR(+IF(CQ$29=ProposalToGnatt[[#This Row],[Start Date]],Milestone_Marker,IF(AND(CQ$29&gt;ProposalToGnatt[[#This Row],[Start Date]],CQ$29&lt;ProposalToGnatt[[#This Row],[Start Date]]+ProposalToGnatt[[#This Row],[Days]]),$G$5,"")),"")</f>
        <v/>
      </c>
      <c r="CR45" s="37" t="str">
        <f ca="1">IFERROR(+IF(CR$29=ProposalToGnatt[[#This Row],[Start Date]],Milestone_Marker,IF(AND(CR$29&gt;ProposalToGnatt[[#This Row],[Start Date]],CR$29&lt;ProposalToGnatt[[#This Row],[Start Date]]+ProposalToGnatt[[#This Row],[Days]]),$G$5,"")),"")</f>
        <v/>
      </c>
      <c r="CS45" s="37" t="str">
        <f ca="1">IFERROR(+IF(CS$29=ProposalToGnatt[[#This Row],[Start Date]],Milestone_Marker,IF(AND(CS$29&gt;ProposalToGnatt[[#This Row],[Start Date]],CS$29&lt;ProposalToGnatt[[#This Row],[Start Date]]+ProposalToGnatt[[#This Row],[Days]]),$G$5,"")),"")</f>
        <v/>
      </c>
      <c r="CT45" s="37" t="str">
        <f ca="1">IFERROR(+IF(CT$29=ProposalToGnatt[[#This Row],[Start Date]],Milestone_Marker,IF(AND(CT$29&gt;ProposalToGnatt[[#This Row],[Start Date]],CT$29&lt;ProposalToGnatt[[#This Row],[Start Date]]+ProposalToGnatt[[#This Row],[Days]]),$G$5,"")),"")</f>
        <v/>
      </c>
      <c r="CU45" s="37" t="str">
        <f ca="1">IFERROR(+IF(CU$29=ProposalToGnatt[[#This Row],[Start Date]],Milestone_Marker,IF(AND(CU$29&gt;ProposalToGnatt[[#This Row],[Start Date]],CU$29&lt;ProposalToGnatt[[#This Row],[Start Date]]+ProposalToGnatt[[#This Row],[Days]]),$G$5,"")),"")</f>
        <v/>
      </c>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row>
    <row r="46" spans="1:125" s="42" customFormat="1" ht="15">
      <c r="A46"/>
      <c r="B46"/>
      <c r="C46"/>
      <c r="D46"/>
      <c r="E46"/>
      <c r="F46"/>
      <c r="G46" s="11"/>
      <c r="H46" s="26"/>
      <c r="I46"/>
      <c r="J46"/>
      <c r="K46" s="363"/>
      <c r="L46"/>
      <c r="M46"/>
      <c r="N46"/>
      <c r="O46" s="26"/>
      <c r="P46" s="37" t="str">
        <f ca="1">IFERROR(+IF(P$29=ProposalToGnatt[[#This Row],[Start Date]],Milestone_Marker,IF(AND(P$29&gt;ProposalToGnatt[[#This Row],[Start Date]],P$29&lt;ProposalToGnatt[[#This Row],[Start Date]]+ProposalToGnatt[[#This Row],[Days]]),$G$5,"")),"")</f>
        <v/>
      </c>
      <c r="Q46" s="37" t="str">
        <f ca="1">IFERROR(+IF(Q$29=ProposalToGnatt[[#This Row],[Start Date]],Milestone_Marker,IF(AND(Q$29&gt;ProposalToGnatt[[#This Row],[Start Date]],Q$29&lt;ProposalToGnatt[[#This Row],[Start Date]]+ProposalToGnatt[[#This Row],[Days]]),$G$5,"")),"")</f>
        <v/>
      </c>
      <c r="R46" s="37" t="str">
        <f ca="1">IFERROR(+IF(R$29=ProposalToGnatt[[#This Row],[Start Date]],Milestone_Marker,IF(AND(R$29&gt;ProposalToGnatt[[#This Row],[Start Date]],R$29&lt;ProposalToGnatt[[#This Row],[Start Date]]+ProposalToGnatt[[#This Row],[Days]]),$G$5,"")),"")</f>
        <v/>
      </c>
      <c r="S46" s="37" t="str">
        <f ca="1">IFERROR(+IF(S$29=ProposalToGnatt[[#This Row],[Start Date]],Milestone_Marker,IF(AND(S$29&gt;ProposalToGnatt[[#This Row],[Start Date]],S$29&lt;ProposalToGnatt[[#This Row],[Start Date]]+ProposalToGnatt[[#This Row],[Days]]),$G$5,"")),"")</f>
        <v/>
      </c>
      <c r="T46" s="37" t="str">
        <f ca="1">IFERROR(+IF(T$29=ProposalToGnatt[[#This Row],[Start Date]],Milestone_Marker,IF(AND(T$29&gt;ProposalToGnatt[[#This Row],[Start Date]],T$29&lt;ProposalToGnatt[[#This Row],[Start Date]]+ProposalToGnatt[[#This Row],[Days]]),$G$5,"")),"")</f>
        <v/>
      </c>
      <c r="U46" s="37" t="str">
        <f ca="1">IFERROR(+IF(U$29=ProposalToGnatt[[#This Row],[Start Date]],Milestone_Marker,IF(AND(U$29&gt;ProposalToGnatt[[#This Row],[Start Date]],U$29&lt;ProposalToGnatt[[#This Row],[Start Date]]+ProposalToGnatt[[#This Row],[Days]]),$G$5,"")),"")</f>
        <v/>
      </c>
      <c r="V46" s="37" t="str">
        <f ca="1">IFERROR(+IF(V$29=ProposalToGnatt[[#This Row],[Start Date]],Milestone_Marker,IF(AND(V$29&gt;ProposalToGnatt[[#This Row],[Start Date]],V$29&lt;ProposalToGnatt[[#This Row],[Start Date]]+ProposalToGnatt[[#This Row],[Days]]),$G$5,"")),"")</f>
        <v/>
      </c>
      <c r="W46" s="37" t="str">
        <f ca="1">IFERROR(+IF(W$29=ProposalToGnatt[[#This Row],[Start Date]],Milestone_Marker,IF(AND(W$29&gt;ProposalToGnatt[[#This Row],[Start Date]],W$29&lt;ProposalToGnatt[[#This Row],[Start Date]]+ProposalToGnatt[[#This Row],[Days]]),$G$5,"")),"")</f>
        <v/>
      </c>
      <c r="X46" s="37" t="str">
        <f ca="1">IFERROR(+IF(X$29=ProposalToGnatt[[#This Row],[Start Date]],Milestone_Marker,IF(AND(X$29&gt;ProposalToGnatt[[#This Row],[Start Date]],X$29&lt;ProposalToGnatt[[#This Row],[Start Date]]+ProposalToGnatt[[#This Row],[Days]]),$G$5,"")),"")</f>
        <v/>
      </c>
      <c r="Y46" s="37" t="str">
        <f ca="1">IFERROR(+IF(Y$29=ProposalToGnatt[[#This Row],[Start Date]],Milestone_Marker,IF(AND(Y$29&gt;ProposalToGnatt[[#This Row],[Start Date]],Y$29&lt;ProposalToGnatt[[#This Row],[Start Date]]+ProposalToGnatt[[#This Row],[Days]]),$G$5,"")),"")</f>
        <v/>
      </c>
      <c r="Z46" s="37" t="str">
        <f ca="1">IFERROR(+IF(Z$29=ProposalToGnatt[[#This Row],[Start Date]],Milestone_Marker,IF(AND(Z$29&gt;ProposalToGnatt[[#This Row],[Start Date]],Z$29&lt;ProposalToGnatt[[#This Row],[Start Date]]+ProposalToGnatt[[#This Row],[Days]]),$G$5,"")),"")</f>
        <v/>
      </c>
      <c r="AA46" s="37" t="str">
        <f ca="1">IFERROR(+IF(AA$29=ProposalToGnatt[[#This Row],[Start Date]],Milestone_Marker,IF(AND(AA$29&gt;ProposalToGnatt[[#This Row],[Start Date]],AA$29&lt;ProposalToGnatt[[#This Row],[Start Date]]+ProposalToGnatt[[#This Row],[Days]]),$G$5,"")),"")</f>
        <v/>
      </c>
      <c r="AB46" s="37" t="str">
        <f ca="1">IFERROR(+IF(AB$29=ProposalToGnatt[[#This Row],[Start Date]],Milestone_Marker,IF(AND(AB$29&gt;ProposalToGnatt[[#This Row],[Start Date]],AB$29&lt;ProposalToGnatt[[#This Row],[Start Date]]+ProposalToGnatt[[#This Row],[Days]]),$G$5,"")),"")</f>
        <v/>
      </c>
      <c r="AC46" s="37" t="str">
        <f ca="1">IFERROR(+IF(AC$29=ProposalToGnatt[[#This Row],[Start Date]],Milestone_Marker,IF(AND(AC$29&gt;ProposalToGnatt[[#This Row],[Start Date]],AC$29&lt;ProposalToGnatt[[#This Row],[Start Date]]+ProposalToGnatt[[#This Row],[Days]]),$G$5,"")),"")</f>
        <v/>
      </c>
      <c r="AD46" s="37" t="str">
        <f ca="1">IFERROR(+IF(AD$29=ProposalToGnatt[[#This Row],[Start Date]],Milestone_Marker,IF(AND(AD$29&gt;ProposalToGnatt[[#This Row],[Start Date]],AD$29&lt;ProposalToGnatt[[#This Row],[Start Date]]+ProposalToGnatt[[#This Row],[Days]]),$G$5,"")),"")</f>
        <v/>
      </c>
      <c r="AE46" s="37" t="str">
        <f ca="1">IFERROR(+IF(AE$29=ProposalToGnatt[[#This Row],[Start Date]],Milestone_Marker,IF(AND(AE$29&gt;ProposalToGnatt[[#This Row],[Start Date]],AE$29&lt;ProposalToGnatt[[#This Row],[Start Date]]+ProposalToGnatt[[#This Row],[Days]]),$G$5,"")),"")</f>
        <v/>
      </c>
      <c r="AF46" s="37" t="str">
        <f ca="1">IFERROR(+IF(AF$29=ProposalToGnatt[[#This Row],[Start Date]],Milestone_Marker,IF(AND(AF$29&gt;ProposalToGnatt[[#This Row],[Start Date]],AF$29&lt;ProposalToGnatt[[#This Row],[Start Date]]+ProposalToGnatt[[#This Row],[Days]]),$G$5,"")),"")</f>
        <v/>
      </c>
      <c r="AG46" s="37" t="str">
        <f ca="1">IFERROR(+IF(AG$29=ProposalToGnatt[[#This Row],[Start Date]],Milestone_Marker,IF(AND(AG$29&gt;ProposalToGnatt[[#This Row],[Start Date]],AG$29&lt;ProposalToGnatt[[#This Row],[Start Date]]+ProposalToGnatt[[#This Row],[Days]]),$G$5,"")),"")</f>
        <v/>
      </c>
      <c r="AH46" s="37" t="str">
        <f ca="1">IFERROR(+IF(AH$29=ProposalToGnatt[[#This Row],[Start Date]],Milestone_Marker,IF(AND(AH$29&gt;ProposalToGnatt[[#This Row],[Start Date]],AH$29&lt;ProposalToGnatt[[#This Row],[Start Date]]+ProposalToGnatt[[#This Row],[Days]]),$G$5,"")),"")</f>
        <v/>
      </c>
      <c r="AI46" s="37" t="str">
        <f ca="1">IFERROR(+IF(AI$29=ProposalToGnatt[[#This Row],[Start Date]],Milestone_Marker,IF(AND(AI$29&gt;ProposalToGnatt[[#This Row],[Start Date]],AI$29&lt;ProposalToGnatt[[#This Row],[Start Date]]+ProposalToGnatt[[#This Row],[Days]]),$G$5,"")),"")</f>
        <v/>
      </c>
      <c r="AJ46" s="37" t="str">
        <f ca="1">IFERROR(+IF(AJ$29=ProposalToGnatt[[#This Row],[Start Date]],Milestone_Marker,IF(AND(AJ$29&gt;ProposalToGnatt[[#This Row],[Start Date]],AJ$29&lt;ProposalToGnatt[[#This Row],[Start Date]]+ProposalToGnatt[[#This Row],[Days]]),$G$5,"")),"")</f>
        <v/>
      </c>
      <c r="AK46" s="37" t="str">
        <f ca="1">IFERROR(+IF(AK$29=ProposalToGnatt[[#This Row],[Start Date]],Milestone_Marker,IF(AND(AK$29&gt;ProposalToGnatt[[#This Row],[Start Date]],AK$29&lt;ProposalToGnatt[[#This Row],[Start Date]]+ProposalToGnatt[[#This Row],[Days]]),$G$5,"")),"")</f>
        <v/>
      </c>
      <c r="AL46" s="37" t="str">
        <f ca="1">IFERROR(+IF(AL$29=ProposalToGnatt[[#This Row],[Start Date]],Milestone_Marker,IF(AND(AL$29&gt;ProposalToGnatt[[#This Row],[Start Date]],AL$29&lt;ProposalToGnatt[[#This Row],[Start Date]]+ProposalToGnatt[[#This Row],[Days]]),$G$5,"")),"")</f>
        <v/>
      </c>
      <c r="AM46" s="37" t="str">
        <f ca="1">IFERROR(+IF(AM$29=ProposalToGnatt[[#This Row],[Start Date]],Milestone_Marker,IF(AND(AM$29&gt;ProposalToGnatt[[#This Row],[Start Date]],AM$29&lt;ProposalToGnatt[[#This Row],[Start Date]]+ProposalToGnatt[[#This Row],[Days]]),$G$5,"")),"")</f>
        <v/>
      </c>
      <c r="AN46" s="37" t="str">
        <f ca="1">IFERROR(+IF(AN$29=ProposalToGnatt[[#This Row],[Start Date]],Milestone_Marker,IF(AND(AN$29&gt;ProposalToGnatt[[#This Row],[Start Date]],AN$29&lt;ProposalToGnatt[[#This Row],[Start Date]]+ProposalToGnatt[[#This Row],[Days]]),$G$5,"")),"")</f>
        <v/>
      </c>
      <c r="AO46" s="37" t="str">
        <f ca="1">IFERROR(+IF(AO$29=ProposalToGnatt[[#This Row],[Start Date]],Milestone_Marker,IF(AND(AO$29&gt;ProposalToGnatt[[#This Row],[Start Date]],AO$29&lt;ProposalToGnatt[[#This Row],[Start Date]]+ProposalToGnatt[[#This Row],[Days]]),$G$5,"")),"")</f>
        <v/>
      </c>
      <c r="AP46" s="37" t="str">
        <f ca="1">IFERROR(+IF(AP$29=ProposalToGnatt[[#This Row],[Start Date]],Milestone_Marker,IF(AND(AP$29&gt;ProposalToGnatt[[#This Row],[Start Date]],AP$29&lt;ProposalToGnatt[[#This Row],[Start Date]]+ProposalToGnatt[[#This Row],[Days]]),$G$5,"")),"")</f>
        <v/>
      </c>
      <c r="AQ46" s="37" t="str">
        <f ca="1">IFERROR(+IF(AQ$29=ProposalToGnatt[[#This Row],[Start Date]],Milestone_Marker,IF(AND(AQ$29&gt;ProposalToGnatt[[#This Row],[Start Date]],AQ$29&lt;ProposalToGnatt[[#This Row],[Start Date]]+ProposalToGnatt[[#This Row],[Days]]),$G$5,"")),"")</f>
        <v/>
      </c>
      <c r="AR46" s="37" t="str">
        <f ca="1">IFERROR(+IF(AR$29=ProposalToGnatt[[#This Row],[Start Date]],Milestone_Marker,IF(AND(AR$29&gt;ProposalToGnatt[[#This Row],[Start Date]],AR$29&lt;ProposalToGnatt[[#This Row],[Start Date]]+ProposalToGnatt[[#This Row],[Days]]),$G$5,"")),"")</f>
        <v/>
      </c>
      <c r="AS46" s="37" t="str">
        <f ca="1">IFERROR(+IF(AS$29=ProposalToGnatt[[#This Row],[Start Date]],Milestone_Marker,IF(AND(AS$29&gt;ProposalToGnatt[[#This Row],[Start Date]],AS$29&lt;ProposalToGnatt[[#This Row],[Start Date]]+ProposalToGnatt[[#This Row],[Days]]),$G$5,"")),"")</f>
        <v/>
      </c>
      <c r="AT46" s="37" t="str">
        <f ca="1">IFERROR(+IF(AT$29=ProposalToGnatt[[#This Row],[Start Date]],Milestone_Marker,IF(AND(AT$29&gt;ProposalToGnatt[[#This Row],[Start Date]],AT$29&lt;ProposalToGnatt[[#This Row],[Start Date]]+ProposalToGnatt[[#This Row],[Days]]),$G$5,"")),"")</f>
        <v/>
      </c>
      <c r="AU46" s="37" t="str">
        <f ca="1">IFERROR(+IF(AU$29=ProposalToGnatt[[#This Row],[Start Date]],Milestone_Marker,IF(AND(AU$29&gt;ProposalToGnatt[[#This Row],[Start Date]],AU$29&lt;ProposalToGnatt[[#This Row],[Start Date]]+ProposalToGnatt[[#This Row],[Days]]),$G$5,"")),"")</f>
        <v/>
      </c>
      <c r="AV46" s="37" t="str">
        <f ca="1">IFERROR(+IF(AV$29=ProposalToGnatt[[#This Row],[Start Date]],Milestone_Marker,IF(AND(AV$29&gt;ProposalToGnatt[[#This Row],[Start Date]],AV$29&lt;ProposalToGnatt[[#This Row],[Start Date]]+ProposalToGnatt[[#This Row],[Days]]),$G$5,"")),"")</f>
        <v/>
      </c>
      <c r="AW46" s="37" t="str">
        <f ca="1">IFERROR(+IF(AW$29=ProposalToGnatt[[#This Row],[Start Date]],Milestone_Marker,IF(AND(AW$29&gt;ProposalToGnatt[[#This Row],[Start Date]],AW$29&lt;ProposalToGnatt[[#This Row],[Start Date]]+ProposalToGnatt[[#This Row],[Days]]),$G$5,"")),"")</f>
        <v/>
      </c>
      <c r="AX46" s="37" t="str">
        <f ca="1">IFERROR(+IF(AX$29=ProposalToGnatt[[#This Row],[Start Date]],Milestone_Marker,IF(AND(AX$29&gt;ProposalToGnatt[[#This Row],[Start Date]],AX$29&lt;ProposalToGnatt[[#This Row],[Start Date]]+ProposalToGnatt[[#This Row],[Days]]),$G$5,"")),"")</f>
        <v/>
      </c>
      <c r="AY46" s="37" t="str">
        <f ca="1">IFERROR(+IF(AY$29=ProposalToGnatt[[#This Row],[Start Date]],Milestone_Marker,IF(AND(AY$29&gt;ProposalToGnatt[[#This Row],[Start Date]],AY$29&lt;ProposalToGnatt[[#This Row],[Start Date]]+ProposalToGnatt[[#This Row],[Days]]),$G$5,"")),"")</f>
        <v/>
      </c>
      <c r="AZ46" s="37" t="str">
        <f ca="1">IFERROR(+IF(AZ$29=ProposalToGnatt[[#This Row],[Start Date]],Milestone_Marker,IF(AND(AZ$29&gt;ProposalToGnatt[[#This Row],[Start Date]],AZ$29&lt;ProposalToGnatt[[#This Row],[Start Date]]+ProposalToGnatt[[#This Row],[Days]]),$G$5,"")),"")</f>
        <v/>
      </c>
      <c r="BA46" s="37" t="str">
        <f ca="1">IFERROR(+IF(BA$29=ProposalToGnatt[[#This Row],[Start Date]],Milestone_Marker,IF(AND(BA$29&gt;ProposalToGnatt[[#This Row],[Start Date]],BA$29&lt;ProposalToGnatt[[#This Row],[Start Date]]+ProposalToGnatt[[#This Row],[Days]]),$G$5,"")),"")</f>
        <v/>
      </c>
      <c r="BB46" s="37" t="str">
        <f ca="1">IFERROR(+IF(BB$29=ProposalToGnatt[[#This Row],[Start Date]],Milestone_Marker,IF(AND(BB$29&gt;ProposalToGnatt[[#This Row],[Start Date]],BB$29&lt;ProposalToGnatt[[#This Row],[Start Date]]+ProposalToGnatt[[#This Row],[Days]]),$G$5,"")),"")</f>
        <v/>
      </c>
      <c r="BC46" s="37" t="str">
        <f ca="1">IFERROR(+IF(BC$29=ProposalToGnatt[[#This Row],[Start Date]],Milestone_Marker,IF(AND(BC$29&gt;ProposalToGnatt[[#This Row],[Start Date]],BC$29&lt;ProposalToGnatt[[#This Row],[Start Date]]+ProposalToGnatt[[#This Row],[Days]]),$G$5,"")),"")</f>
        <v/>
      </c>
      <c r="BD46" s="37" t="str">
        <f ca="1">IFERROR(+IF(BD$29=ProposalToGnatt[[#This Row],[Start Date]],Milestone_Marker,IF(AND(BD$29&gt;ProposalToGnatt[[#This Row],[Start Date]],BD$29&lt;ProposalToGnatt[[#This Row],[Start Date]]+ProposalToGnatt[[#This Row],[Days]]),$G$5,"")),"")</f>
        <v/>
      </c>
      <c r="BE46" s="37" t="str">
        <f ca="1">IFERROR(+IF(BE$29=ProposalToGnatt[[#This Row],[Start Date]],Milestone_Marker,IF(AND(BE$29&gt;ProposalToGnatt[[#This Row],[Start Date]],BE$29&lt;ProposalToGnatt[[#This Row],[Start Date]]+ProposalToGnatt[[#This Row],[Days]]),$G$5,"")),"")</f>
        <v/>
      </c>
      <c r="BF46" s="37" t="str">
        <f ca="1">IFERROR(+IF(BF$29=ProposalToGnatt[[#This Row],[Start Date]],Milestone_Marker,IF(AND(BF$29&gt;ProposalToGnatt[[#This Row],[Start Date]],BF$29&lt;ProposalToGnatt[[#This Row],[Start Date]]+ProposalToGnatt[[#This Row],[Days]]),$G$5,"")),"")</f>
        <v/>
      </c>
      <c r="BG46" s="37" t="str">
        <f ca="1">IFERROR(+IF(BG$29=ProposalToGnatt[[#This Row],[Start Date]],Milestone_Marker,IF(AND(BG$29&gt;ProposalToGnatt[[#This Row],[Start Date]],BG$29&lt;ProposalToGnatt[[#This Row],[Start Date]]+ProposalToGnatt[[#This Row],[Days]]),$G$5,"")),"")</f>
        <v/>
      </c>
      <c r="BH46" s="37" t="str">
        <f ca="1">IFERROR(+IF(BH$29=ProposalToGnatt[[#This Row],[Start Date]],Milestone_Marker,IF(AND(BH$29&gt;ProposalToGnatt[[#This Row],[Start Date]],BH$29&lt;ProposalToGnatt[[#This Row],[Start Date]]+ProposalToGnatt[[#This Row],[Days]]),$G$5,"")),"")</f>
        <v/>
      </c>
      <c r="BI46" s="37" t="str">
        <f ca="1">IFERROR(+IF(BI$29=ProposalToGnatt[[#This Row],[Start Date]],Milestone_Marker,IF(AND(BI$29&gt;ProposalToGnatt[[#This Row],[Start Date]],BI$29&lt;ProposalToGnatt[[#This Row],[Start Date]]+ProposalToGnatt[[#This Row],[Days]]),$G$5,"")),"")</f>
        <v/>
      </c>
      <c r="BJ46" s="37" t="str">
        <f ca="1">IFERROR(+IF(BJ$29=ProposalToGnatt[[#This Row],[Start Date]],Milestone_Marker,IF(AND(BJ$29&gt;ProposalToGnatt[[#This Row],[Start Date]],BJ$29&lt;ProposalToGnatt[[#This Row],[Start Date]]+ProposalToGnatt[[#This Row],[Days]]),$G$5,"")),"")</f>
        <v/>
      </c>
      <c r="BK46" s="37" t="str">
        <f ca="1">IFERROR(+IF(BK$29=ProposalToGnatt[[#This Row],[Start Date]],Milestone_Marker,IF(AND(BK$29&gt;ProposalToGnatt[[#This Row],[Start Date]],BK$29&lt;ProposalToGnatt[[#This Row],[Start Date]]+ProposalToGnatt[[#This Row],[Days]]),$G$5,"")),"")</f>
        <v/>
      </c>
      <c r="BL46" s="37" t="str">
        <f ca="1">IFERROR(+IF(BL$29=ProposalToGnatt[[#This Row],[Start Date]],Milestone_Marker,IF(AND(BL$29&gt;ProposalToGnatt[[#This Row],[Start Date]],BL$29&lt;ProposalToGnatt[[#This Row],[Start Date]]+ProposalToGnatt[[#This Row],[Days]]),$G$5,"")),"")</f>
        <v/>
      </c>
      <c r="BM46" s="37" t="str">
        <f ca="1">IFERROR(+IF(BM$29=ProposalToGnatt[[#This Row],[Start Date]],Milestone_Marker,IF(AND(BM$29&gt;ProposalToGnatt[[#This Row],[Start Date]],BM$29&lt;ProposalToGnatt[[#This Row],[Start Date]]+ProposalToGnatt[[#This Row],[Days]]),$G$5,"")),"")</f>
        <v/>
      </c>
      <c r="BN46" s="37" t="str">
        <f ca="1">IFERROR(+IF(BN$29=ProposalToGnatt[[#This Row],[Start Date]],Milestone_Marker,IF(AND(BN$29&gt;ProposalToGnatt[[#This Row],[Start Date]],BN$29&lt;ProposalToGnatt[[#This Row],[Start Date]]+ProposalToGnatt[[#This Row],[Days]]),$G$5,"")),"")</f>
        <v/>
      </c>
      <c r="BO46" s="37" t="str">
        <f ca="1">IFERROR(+IF(BO$29=ProposalToGnatt[[#This Row],[Start Date]],Milestone_Marker,IF(AND(BO$29&gt;ProposalToGnatt[[#This Row],[Start Date]],BO$29&lt;ProposalToGnatt[[#This Row],[Start Date]]+ProposalToGnatt[[#This Row],[Days]]),$G$5,"")),"")</f>
        <v/>
      </c>
      <c r="BP46" s="37" t="str">
        <f ca="1">IFERROR(+IF(BP$29=ProposalToGnatt[[#This Row],[Start Date]],Milestone_Marker,IF(AND(BP$29&gt;ProposalToGnatt[[#This Row],[Start Date]],BP$29&lt;ProposalToGnatt[[#This Row],[Start Date]]+ProposalToGnatt[[#This Row],[Days]]),$G$5,"")),"")</f>
        <v/>
      </c>
      <c r="BQ46" s="37" t="str">
        <f ca="1">IFERROR(+IF(BQ$29=ProposalToGnatt[[#This Row],[Start Date]],Milestone_Marker,IF(AND(BQ$29&gt;ProposalToGnatt[[#This Row],[Start Date]],BQ$29&lt;ProposalToGnatt[[#This Row],[Start Date]]+ProposalToGnatt[[#This Row],[Days]]),$G$5,"")),"")</f>
        <v/>
      </c>
      <c r="BR46" s="37" t="str">
        <f ca="1">IFERROR(+IF(BR$29=ProposalToGnatt[[#This Row],[Start Date]],Milestone_Marker,IF(AND(BR$29&gt;ProposalToGnatt[[#This Row],[Start Date]],BR$29&lt;ProposalToGnatt[[#This Row],[Start Date]]+ProposalToGnatt[[#This Row],[Days]]),$G$5,"")),"")</f>
        <v/>
      </c>
      <c r="BS46" s="37" t="str">
        <f ca="1">IFERROR(+IF(BS$29=ProposalToGnatt[[#This Row],[Start Date]],Milestone_Marker,IF(AND(BS$29&gt;ProposalToGnatt[[#This Row],[Start Date]],BS$29&lt;ProposalToGnatt[[#This Row],[Start Date]]+ProposalToGnatt[[#This Row],[Days]]),$G$5,"")),"")</f>
        <v/>
      </c>
      <c r="BT46" s="37" t="str">
        <f ca="1">IFERROR(+IF(BT$29=ProposalToGnatt[[#This Row],[Start Date]],Milestone_Marker,IF(AND(BT$29&gt;ProposalToGnatt[[#This Row],[Start Date]],BT$29&lt;ProposalToGnatt[[#This Row],[Start Date]]+ProposalToGnatt[[#This Row],[Days]]),$G$5,"")),"")</f>
        <v/>
      </c>
      <c r="BU46" s="37" t="str">
        <f ca="1">IFERROR(+IF(BU$29=ProposalToGnatt[[#This Row],[Start Date]],Milestone_Marker,IF(AND(BU$29&gt;ProposalToGnatt[[#This Row],[Start Date]],BU$29&lt;ProposalToGnatt[[#This Row],[Start Date]]+ProposalToGnatt[[#This Row],[Days]]),$G$5,"")),"")</f>
        <v/>
      </c>
      <c r="BV46" s="37" t="str">
        <f ca="1">IFERROR(+IF(BV$29=ProposalToGnatt[[#This Row],[Start Date]],Milestone_Marker,IF(AND(BV$29&gt;ProposalToGnatt[[#This Row],[Start Date]],BV$29&lt;ProposalToGnatt[[#This Row],[Start Date]]+ProposalToGnatt[[#This Row],[Days]]),$G$5,"")),"")</f>
        <v/>
      </c>
      <c r="BW46" s="37" t="str">
        <f ca="1">IFERROR(+IF(BW$29=ProposalToGnatt[[#This Row],[Start Date]],Milestone_Marker,IF(AND(BW$29&gt;ProposalToGnatt[[#This Row],[Start Date]],BW$29&lt;ProposalToGnatt[[#This Row],[Start Date]]+ProposalToGnatt[[#This Row],[Days]]),$G$5,"")),"")</f>
        <v/>
      </c>
      <c r="BX46" s="37" t="str">
        <f ca="1">IFERROR(+IF(BX$29=ProposalToGnatt[[#This Row],[Start Date]],Milestone_Marker,IF(AND(BX$29&gt;ProposalToGnatt[[#This Row],[Start Date]],BX$29&lt;ProposalToGnatt[[#This Row],[Start Date]]+ProposalToGnatt[[#This Row],[Days]]),$G$5,"")),"")</f>
        <v/>
      </c>
      <c r="BY46" s="37" t="str">
        <f ca="1">IFERROR(+IF(BY$29=ProposalToGnatt[[#This Row],[Start Date]],Milestone_Marker,IF(AND(BY$29&gt;ProposalToGnatt[[#This Row],[Start Date]],BY$29&lt;ProposalToGnatt[[#This Row],[Start Date]]+ProposalToGnatt[[#This Row],[Days]]),$G$5,"")),"")</f>
        <v/>
      </c>
      <c r="BZ46" s="37" t="str">
        <f ca="1">IFERROR(+IF(BZ$29=ProposalToGnatt[[#This Row],[Start Date]],Milestone_Marker,IF(AND(BZ$29&gt;ProposalToGnatt[[#This Row],[Start Date]],BZ$29&lt;ProposalToGnatt[[#This Row],[Start Date]]+ProposalToGnatt[[#This Row],[Days]]),$G$5,"")),"")</f>
        <v/>
      </c>
      <c r="CA46" s="37" t="str">
        <f ca="1">IFERROR(+IF(CA$29=ProposalToGnatt[[#This Row],[Start Date]],Milestone_Marker,IF(AND(CA$29&gt;ProposalToGnatt[[#This Row],[Start Date]],CA$29&lt;ProposalToGnatt[[#This Row],[Start Date]]+ProposalToGnatt[[#This Row],[Days]]),$G$5,"")),"")</f>
        <v/>
      </c>
      <c r="CB46" s="37" t="str">
        <f ca="1">IFERROR(+IF(CB$29=ProposalToGnatt[[#This Row],[Start Date]],Milestone_Marker,IF(AND(CB$29&gt;ProposalToGnatt[[#This Row],[Start Date]],CB$29&lt;ProposalToGnatt[[#This Row],[Start Date]]+ProposalToGnatt[[#This Row],[Days]]),$G$5,"")),"")</f>
        <v/>
      </c>
      <c r="CC46" s="37" t="str">
        <f ca="1">IFERROR(+IF(CC$29=ProposalToGnatt[[#This Row],[Start Date]],Milestone_Marker,IF(AND(CC$29&gt;ProposalToGnatt[[#This Row],[Start Date]],CC$29&lt;ProposalToGnatt[[#This Row],[Start Date]]+ProposalToGnatt[[#This Row],[Days]]),$G$5,"")),"")</f>
        <v/>
      </c>
      <c r="CD46" s="37" t="str">
        <f ca="1">IFERROR(+IF(CD$29=ProposalToGnatt[[#This Row],[Start Date]],Milestone_Marker,IF(AND(CD$29&gt;ProposalToGnatt[[#This Row],[Start Date]],CD$29&lt;ProposalToGnatt[[#This Row],[Start Date]]+ProposalToGnatt[[#This Row],[Days]]),$G$5,"")),"")</f>
        <v/>
      </c>
      <c r="CE46" s="37" t="str">
        <f ca="1">IFERROR(+IF(CE$29=ProposalToGnatt[[#This Row],[Start Date]],Milestone_Marker,IF(AND(CE$29&gt;ProposalToGnatt[[#This Row],[Start Date]],CE$29&lt;ProposalToGnatt[[#This Row],[Start Date]]+ProposalToGnatt[[#This Row],[Days]]),$G$5,"")),"")</f>
        <v/>
      </c>
      <c r="CF46" s="37" t="str">
        <f ca="1">IFERROR(+IF(CF$29=ProposalToGnatt[[#This Row],[Start Date]],Milestone_Marker,IF(AND(CF$29&gt;ProposalToGnatt[[#This Row],[Start Date]],CF$29&lt;ProposalToGnatt[[#This Row],[Start Date]]+ProposalToGnatt[[#This Row],[Days]]),$G$5,"")),"")</f>
        <v/>
      </c>
      <c r="CG46" s="37" t="str">
        <f ca="1">IFERROR(+IF(CG$29=ProposalToGnatt[[#This Row],[Start Date]],Milestone_Marker,IF(AND(CG$29&gt;ProposalToGnatt[[#This Row],[Start Date]],CG$29&lt;ProposalToGnatt[[#This Row],[Start Date]]+ProposalToGnatt[[#This Row],[Days]]),$G$5,"")),"")</f>
        <v/>
      </c>
      <c r="CH46" s="37" t="str">
        <f ca="1">IFERROR(+IF(CH$29=ProposalToGnatt[[#This Row],[Start Date]],Milestone_Marker,IF(AND(CH$29&gt;ProposalToGnatt[[#This Row],[Start Date]],CH$29&lt;ProposalToGnatt[[#This Row],[Start Date]]+ProposalToGnatt[[#This Row],[Days]]),$G$5,"")),"")</f>
        <v/>
      </c>
      <c r="CI46" s="37" t="str">
        <f ca="1">IFERROR(+IF(CI$29=ProposalToGnatt[[#This Row],[Start Date]],Milestone_Marker,IF(AND(CI$29&gt;ProposalToGnatt[[#This Row],[Start Date]],CI$29&lt;ProposalToGnatt[[#This Row],[Start Date]]+ProposalToGnatt[[#This Row],[Days]]),$G$5,"")),"")</f>
        <v/>
      </c>
      <c r="CJ46" s="37" t="str">
        <f ca="1">IFERROR(+IF(CJ$29=ProposalToGnatt[[#This Row],[Start Date]],Milestone_Marker,IF(AND(CJ$29&gt;ProposalToGnatt[[#This Row],[Start Date]],CJ$29&lt;ProposalToGnatt[[#This Row],[Start Date]]+ProposalToGnatt[[#This Row],[Days]]),$G$5,"")),"")</f>
        <v/>
      </c>
      <c r="CK46" s="37" t="str">
        <f ca="1">IFERROR(+IF(CK$29=ProposalToGnatt[[#This Row],[Start Date]],Milestone_Marker,IF(AND(CK$29&gt;ProposalToGnatt[[#This Row],[Start Date]],CK$29&lt;ProposalToGnatt[[#This Row],[Start Date]]+ProposalToGnatt[[#This Row],[Days]]),$G$5,"")),"")</f>
        <v/>
      </c>
      <c r="CL46" s="37" t="str">
        <f ca="1">IFERROR(+IF(CL$29=ProposalToGnatt[[#This Row],[Start Date]],Milestone_Marker,IF(AND(CL$29&gt;ProposalToGnatt[[#This Row],[Start Date]],CL$29&lt;ProposalToGnatt[[#This Row],[Start Date]]+ProposalToGnatt[[#This Row],[Days]]),$G$5,"")),"")</f>
        <v/>
      </c>
      <c r="CM46" s="37" t="str">
        <f ca="1">IFERROR(+IF(CM$29=ProposalToGnatt[[#This Row],[Start Date]],Milestone_Marker,IF(AND(CM$29&gt;ProposalToGnatt[[#This Row],[Start Date]],CM$29&lt;ProposalToGnatt[[#This Row],[Start Date]]+ProposalToGnatt[[#This Row],[Days]]),$G$5,"")),"")</f>
        <v/>
      </c>
      <c r="CN46" s="37" t="str">
        <f ca="1">IFERROR(+IF(CN$29=ProposalToGnatt[[#This Row],[Start Date]],Milestone_Marker,IF(AND(CN$29&gt;ProposalToGnatt[[#This Row],[Start Date]],CN$29&lt;ProposalToGnatt[[#This Row],[Start Date]]+ProposalToGnatt[[#This Row],[Days]]),$G$5,"")),"")</f>
        <v/>
      </c>
      <c r="CO46" s="37" t="str">
        <f ca="1">IFERROR(+IF(CO$29=ProposalToGnatt[[#This Row],[Start Date]],Milestone_Marker,IF(AND(CO$29&gt;ProposalToGnatt[[#This Row],[Start Date]],CO$29&lt;ProposalToGnatt[[#This Row],[Start Date]]+ProposalToGnatt[[#This Row],[Days]]),$G$5,"")),"")</f>
        <v/>
      </c>
      <c r="CP46" s="37" t="str">
        <f ca="1">IFERROR(+IF(CP$29=ProposalToGnatt[[#This Row],[Start Date]],Milestone_Marker,IF(AND(CP$29&gt;ProposalToGnatt[[#This Row],[Start Date]],CP$29&lt;ProposalToGnatt[[#This Row],[Start Date]]+ProposalToGnatt[[#This Row],[Days]]),$G$5,"")),"")</f>
        <v/>
      </c>
      <c r="CQ46" s="37" t="str">
        <f ca="1">IFERROR(+IF(CQ$29=ProposalToGnatt[[#This Row],[Start Date]],Milestone_Marker,IF(AND(CQ$29&gt;ProposalToGnatt[[#This Row],[Start Date]],CQ$29&lt;ProposalToGnatt[[#This Row],[Start Date]]+ProposalToGnatt[[#This Row],[Days]]),$G$5,"")),"")</f>
        <v/>
      </c>
      <c r="CR46" s="37" t="str">
        <f ca="1">IFERROR(+IF(CR$29=ProposalToGnatt[[#This Row],[Start Date]],Milestone_Marker,IF(AND(CR$29&gt;ProposalToGnatt[[#This Row],[Start Date]],CR$29&lt;ProposalToGnatt[[#This Row],[Start Date]]+ProposalToGnatt[[#This Row],[Days]]),$G$5,"")),"")</f>
        <v/>
      </c>
      <c r="CS46" s="37" t="str">
        <f ca="1">IFERROR(+IF(CS$29=ProposalToGnatt[[#This Row],[Start Date]],Milestone_Marker,IF(AND(CS$29&gt;ProposalToGnatt[[#This Row],[Start Date]],CS$29&lt;ProposalToGnatt[[#This Row],[Start Date]]+ProposalToGnatt[[#This Row],[Days]]),$G$5,"")),"")</f>
        <v/>
      </c>
      <c r="CT46" s="37" t="str">
        <f ca="1">IFERROR(+IF(CT$29=ProposalToGnatt[[#This Row],[Start Date]],Milestone_Marker,IF(AND(CT$29&gt;ProposalToGnatt[[#This Row],[Start Date]],CT$29&lt;ProposalToGnatt[[#This Row],[Start Date]]+ProposalToGnatt[[#This Row],[Days]]),$G$5,"")),"")</f>
        <v/>
      </c>
      <c r="CU46" s="37" t="str">
        <f ca="1">IFERROR(+IF(CU$29=ProposalToGnatt[[#This Row],[Start Date]],Milestone_Marker,IF(AND(CU$29&gt;ProposalToGnatt[[#This Row],[Start Date]],CU$29&lt;ProposalToGnatt[[#This Row],[Start Date]]+ProposalToGnatt[[#This Row],[Days]]),$G$5,"")),"")</f>
        <v/>
      </c>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row>
    <row r="47" spans="1:125" s="42" customFormat="1" ht="15">
      <c r="A47"/>
      <c r="B47"/>
      <c r="C47"/>
      <c r="D47"/>
      <c r="E47"/>
      <c r="F47"/>
      <c r="G47" s="11"/>
      <c r="H47" s="26"/>
      <c r="I47"/>
      <c r="J47"/>
      <c r="K47" s="363"/>
      <c r="L47"/>
      <c r="M47"/>
      <c r="N47"/>
      <c r="O47" s="26"/>
      <c r="P47" s="37" t="str">
        <f ca="1">IFERROR(+IF(P$29=ProposalToGnatt[[#This Row],[Start Date]],Milestone_Marker,IF(AND(P$29&gt;ProposalToGnatt[[#This Row],[Start Date]],P$29&lt;ProposalToGnatt[[#This Row],[Start Date]]+ProposalToGnatt[[#This Row],[Days]]),$G$5,"")),"")</f>
        <v/>
      </c>
      <c r="Q47" s="37" t="str">
        <f ca="1">IFERROR(+IF(Q$29=ProposalToGnatt[[#This Row],[Start Date]],Milestone_Marker,IF(AND(Q$29&gt;ProposalToGnatt[[#This Row],[Start Date]],Q$29&lt;ProposalToGnatt[[#This Row],[Start Date]]+ProposalToGnatt[[#This Row],[Days]]),$G$5,"")),"")</f>
        <v/>
      </c>
      <c r="R47" s="37" t="str">
        <f ca="1">IFERROR(+IF(R$29=ProposalToGnatt[[#This Row],[Start Date]],Milestone_Marker,IF(AND(R$29&gt;ProposalToGnatt[[#This Row],[Start Date]],R$29&lt;ProposalToGnatt[[#This Row],[Start Date]]+ProposalToGnatt[[#This Row],[Days]]),$G$5,"")),"")</f>
        <v/>
      </c>
      <c r="S47" s="37" t="str">
        <f ca="1">IFERROR(+IF(S$29=ProposalToGnatt[[#This Row],[Start Date]],Milestone_Marker,IF(AND(S$29&gt;ProposalToGnatt[[#This Row],[Start Date]],S$29&lt;ProposalToGnatt[[#This Row],[Start Date]]+ProposalToGnatt[[#This Row],[Days]]),$G$5,"")),"")</f>
        <v/>
      </c>
      <c r="T47" s="37" t="str">
        <f ca="1">IFERROR(+IF(T$29=ProposalToGnatt[[#This Row],[Start Date]],Milestone_Marker,IF(AND(T$29&gt;ProposalToGnatt[[#This Row],[Start Date]],T$29&lt;ProposalToGnatt[[#This Row],[Start Date]]+ProposalToGnatt[[#This Row],[Days]]),$G$5,"")),"")</f>
        <v/>
      </c>
      <c r="U47" s="37" t="str">
        <f ca="1">IFERROR(+IF(U$29=ProposalToGnatt[[#This Row],[Start Date]],Milestone_Marker,IF(AND(U$29&gt;ProposalToGnatt[[#This Row],[Start Date]],U$29&lt;ProposalToGnatt[[#This Row],[Start Date]]+ProposalToGnatt[[#This Row],[Days]]),$G$5,"")),"")</f>
        <v/>
      </c>
      <c r="V47" s="37" t="str">
        <f ca="1">IFERROR(+IF(V$29=ProposalToGnatt[[#This Row],[Start Date]],Milestone_Marker,IF(AND(V$29&gt;ProposalToGnatt[[#This Row],[Start Date]],V$29&lt;ProposalToGnatt[[#This Row],[Start Date]]+ProposalToGnatt[[#This Row],[Days]]),$G$5,"")),"")</f>
        <v/>
      </c>
      <c r="W47" s="37" t="str">
        <f ca="1">IFERROR(+IF(W$29=ProposalToGnatt[[#This Row],[Start Date]],Milestone_Marker,IF(AND(W$29&gt;ProposalToGnatt[[#This Row],[Start Date]],W$29&lt;ProposalToGnatt[[#This Row],[Start Date]]+ProposalToGnatt[[#This Row],[Days]]),$G$5,"")),"")</f>
        <v/>
      </c>
      <c r="X47" s="37" t="str">
        <f ca="1">IFERROR(+IF(X$29=ProposalToGnatt[[#This Row],[Start Date]],Milestone_Marker,IF(AND(X$29&gt;ProposalToGnatt[[#This Row],[Start Date]],X$29&lt;ProposalToGnatt[[#This Row],[Start Date]]+ProposalToGnatt[[#This Row],[Days]]),$G$5,"")),"")</f>
        <v/>
      </c>
      <c r="Y47" s="37" t="str">
        <f ca="1">IFERROR(+IF(Y$29=ProposalToGnatt[[#This Row],[Start Date]],Milestone_Marker,IF(AND(Y$29&gt;ProposalToGnatt[[#This Row],[Start Date]],Y$29&lt;ProposalToGnatt[[#This Row],[Start Date]]+ProposalToGnatt[[#This Row],[Days]]),$G$5,"")),"")</f>
        <v/>
      </c>
      <c r="Z47" s="37" t="str">
        <f ca="1">IFERROR(+IF(Z$29=ProposalToGnatt[[#This Row],[Start Date]],Milestone_Marker,IF(AND(Z$29&gt;ProposalToGnatt[[#This Row],[Start Date]],Z$29&lt;ProposalToGnatt[[#This Row],[Start Date]]+ProposalToGnatt[[#This Row],[Days]]),$G$5,"")),"")</f>
        <v/>
      </c>
      <c r="AA47" s="37" t="str">
        <f ca="1">IFERROR(+IF(AA$29=ProposalToGnatt[[#This Row],[Start Date]],Milestone_Marker,IF(AND(AA$29&gt;ProposalToGnatt[[#This Row],[Start Date]],AA$29&lt;ProposalToGnatt[[#This Row],[Start Date]]+ProposalToGnatt[[#This Row],[Days]]),$G$5,"")),"")</f>
        <v/>
      </c>
      <c r="AB47" s="37" t="str">
        <f ca="1">IFERROR(+IF(AB$29=ProposalToGnatt[[#This Row],[Start Date]],Milestone_Marker,IF(AND(AB$29&gt;ProposalToGnatt[[#This Row],[Start Date]],AB$29&lt;ProposalToGnatt[[#This Row],[Start Date]]+ProposalToGnatt[[#This Row],[Days]]),$G$5,"")),"")</f>
        <v/>
      </c>
      <c r="AC47" s="37" t="str">
        <f ca="1">IFERROR(+IF(AC$29=ProposalToGnatt[[#This Row],[Start Date]],Milestone_Marker,IF(AND(AC$29&gt;ProposalToGnatt[[#This Row],[Start Date]],AC$29&lt;ProposalToGnatt[[#This Row],[Start Date]]+ProposalToGnatt[[#This Row],[Days]]),$G$5,"")),"")</f>
        <v/>
      </c>
      <c r="AD47" s="37" t="str">
        <f ca="1">IFERROR(+IF(AD$29=ProposalToGnatt[[#This Row],[Start Date]],Milestone_Marker,IF(AND(AD$29&gt;ProposalToGnatt[[#This Row],[Start Date]],AD$29&lt;ProposalToGnatt[[#This Row],[Start Date]]+ProposalToGnatt[[#This Row],[Days]]),$G$5,"")),"")</f>
        <v/>
      </c>
      <c r="AE47" s="37" t="str">
        <f ca="1">IFERROR(+IF(AE$29=ProposalToGnatt[[#This Row],[Start Date]],Milestone_Marker,IF(AND(AE$29&gt;ProposalToGnatt[[#This Row],[Start Date]],AE$29&lt;ProposalToGnatt[[#This Row],[Start Date]]+ProposalToGnatt[[#This Row],[Days]]),$G$5,"")),"")</f>
        <v/>
      </c>
      <c r="AF47" s="37" t="str">
        <f ca="1">IFERROR(+IF(AF$29=ProposalToGnatt[[#This Row],[Start Date]],Milestone_Marker,IF(AND(AF$29&gt;ProposalToGnatt[[#This Row],[Start Date]],AF$29&lt;ProposalToGnatt[[#This Row],[Start Date]]+ProposalToGnatt[[#This Row],[Days]]),$G$5,"")),"")</f>
        <v/>
      </c>
      <c r="AG47" s="37" t="str">
        <f ca="1">IFERROR(+IF(AG$29=ProposalToGnatt[[#This Row],[Start Date]],Milestone_Marker,IF(AND(AG$29&gt;ProposalToGnatt[[#This Row],[Start Date]],AG$29&lt;ProposalToGnatt[[#This Row],[Start Date]]+ProposalToGnatt[[#This Row],[Days]]),$G$5,"")),"")</f>
        <v/>
      </c>
      <c r="AH47" s="37" t="str">
        <f ca="1">IFERROR(+IF(AH$29=ProposalToGnatt[[#This Row],[Start Date]],Milestone_Marker,IF(AND(AH$29&gt;ProposalToGnatt[[#This Row],[Start Date]],AH$29&lt;ProposalToGnatt[[#This Row],[Start Date]]+ProposalToGnatt[[#This Row],[Days]]),$G$5,"")),"")</f>
        <v/>
      </c>
      <c r="AI47" s="37" t="str">
        <f ca="1">IFERROR(+IF(AI$29=ProposalToGnatt[[#This Row],[Start Date]],Milestone_Marker,IF(AND(AI$29&gt;ProposalToGnatt[[#This Row],[Start Date]],AI$29&lt;ProposalToGnatt[[#This Row],[Start Date]]+ProposalToGnatt[[#This Row],[Days]]),$G$5,"")),"")</f>
        <v/>
      </c>
      <c r="AJ47" s="37" t="str">
        <f ca="1">IFERROR(+IF(AJ$29=ProposalToGnatt[[#This Row],[Start Date]],Milestone_Marker,IF(AND(AJ$29&gt;ProposalToGnatt[[#This Row],[Start Date]],AJ$29&lt;ProposalToGnatt[[#This Row],[Start Date]]+ProposalToGnatt[[#This Row],[Days]]),$G$5,"")),"")</f>
        <v/>
      </c>
      <c r="AK47" s="37" t="str">
        <f ca="1">IFERROR(+IF(AK$29=ProposalToGnatt[[#This Row],[Start Date]],Milestone_Marker,IF(AND(AK$29&gt;ProposalToGnatt[[#This Row],[Start Date]],AK$29&lt;ProposalToGnatt[[#This Row],[Start Date]]+ProposalToGnatt[[#This Row],[Days]]),$G$5,"")),"")</f>
        <v/>
      </c>
      <c r="AL47" s="37" t="str">
        <f ca="1">IFERROR(+IF(AL$29=ProposalToGnatt[[#This Row],[Start Date]],Milestone_Marker,IF(AND(AL$29&gt;ProposalToGnatt[[#This Row],[Start Date]],AL$29&lt;ProposalToGnatt[[#This Row],[Start Date]]+ProposalToGnatt[[#This Row],[Days]]),$G$5,"")),"")</f>
        <v/>
      </c>
      <c r="AM47" s="37" t="str">
        <f ca="1">IFERROR(+IF(AM$29=ProposalToGnatt[[#This Row],[Start Date]],Milestone_Marker,IF(AND(AM$29&gt;ProposalToGnatt[[#This Row],[Start Date]],AM$29&lt;ProposalToGnatt[[#This Row],[Start Date]]+ProposalToGnatt[[#This Row],[Days]]),$G$5,"")),"")</f>
        <v/>
      </c>
      <c r="AN47" s="37" t="str">
        <f ca="1">IFERROR(+IF(AN$29=ProposalToGnatt[[#This Row],[Start Date]],Milestone_Marker,IF(AND(AN$29&gt;ProposalToGnatt[[#This Row],[Start Date]],AN$29&lt;ProposalToGnatt[[#This Row],[Start Date]]+ProposalToGnatt[[#This Row],[Days]]),$G$5,"")),"")</f>
        <v/>
      </c>
      <c r="AO47" s="37" t="str">
        <f ca="1">IFERROR(+IF(AO$29=ProposalToGnatt[[#This Row],[Start Date]],Milestone_Marker,IF(AND(AO$29&gt;ProposalToGnatt[[#This Row],[Start Date]],AO$29&lt;ProposalToGnatt[[#This Row],[Start Date]]+ProposalToGnatt[[#This Row],[Days]]),$G$5,"")),"")</f>
        <v/>
      </c>
      <c r="AP47" s="37" t="str">
        <f ca="1">IFERROR(+IF(AP$29=ProposalToGnatt[[#This Row],[Start Date]],Milestone_Marker,IF(AND(AP$29&gt;ProposalToGnatt[[#This Row],[Start Date]],AP$29&lt;ProposalToGnatt[[#This Row],[Start Date]]+ProposalToGnatt[[#This Row],[Days]]),$G$5,"")),"")</f>
        <v/>
      </c>
      <c r="AQ47" s="37" t="str">
        <f ca="1">IFERROR(+IF(AQ$29=ProposalToGnatt[[#This Row],[Start Date]],Milestone_Marker,IF(AND(AQ$29&gt;ProposalToGnatt[[#This Row],[Start Date]],AQ$29&lt;ProposalToGnatt[[#This Row],[Start Date]]+ProposalToGnatt[[#This Row],[Days]]),$G$5,"")),"")</f>
        <v/>
      </c>
      <c r="AR47" s="37" t="str">
        <f ca="1">IFERROR(+IF(AR$29=ProposalToGnatt[[#This Row],[Start Date]],Milestone_Marker,IF(AND(AR$29&gt;ProposalToGnatt[[#This Row],[Start Date]],AR$29&lt;ProposalToGnatt[[#This Row],[Start Date]]+ProposalToGnatt[[#This Row],[Days]]),$G$5,"")),"")</f>
        <v/>
      </c>
      <c r="AS47" s="37" t="str">
        <f ca="1">IFERROR(+IF(AS$29=ProposalToGnatt[[#This Row],[Start Date]],Milestone_Marker,IF(AND(AS$29&gt;ProposalToGnatt[[#This Row],[Start Date]],AS$29&lt;ProposalToGnatt[[#This Row],[Start Date]]+ProposalToGnatt[[#This Row],[Days]]),$G$5,"")),"")</f>
        <v/>
      </c>
      <c r="AT47" s="37" t="str">
        <f ca="1">IFERROR(+IF(AT$29=ProposalToGnatt[[#This Row],[Start Date]],Milestone_Marker,IF(AND(AT$29&gt;ProposalToGnatt[[#This Row],[Start Date]],AT$29&lt;ProposalToGnatt[[#This Row],[Start Date]]+ProposalToGnatt[[#This Row],[Days]]),$G$5,"")),"")</f>
        <v/>
      </c>
      <c r="AU47" s="37" t="str">
        <f ca="1">IFERROR(+IF(AU$29=ProposalToGnatt[[#This Row],[Start Date]],Milestone_Marker,IF(AND(AU$29&gt;ProposalToGnatt[[#This Row],[Start Date]],AU$29&lt;ProposalToGnatt[[#This Row],[Start Date]]+ProposalToGnatt[[#This Row],[Days]]),$G$5,"")),"")</f>
        <v/>
      </c>
      <c r="AV47" s="37" t="str">
        <f ca="1">IFERROR(+IF(AV$29=ProposalToGnatt[[#This Row],[Start Date]],Milestone_Marker,IF(AND(AV$29&gt;ProposalToGnatt[[#This Row],[Start Date]],AV$29&lt;ProposalToGnatt[[#This Row],[Start Date]]+ProposalToGnatt[[#This Row],[Days]]),$G$5,"")),"")</f>
        <v/>
      </c>
      <c r="AW47" s="37" t="str">
        <f ca="1">IFERROR(+IF(AW$29=ProposalToGnatt[[#This Row],[Start Date]],Milestone_Marker,IF(AND(AW$29&gt;ProposalToGnatt[[#This Row],[Start Date]],AW$29&lt;ProposalToGnatt[[#This Row],[Start Date]]+ProposalToGnatt[[#This Row],[Days]]),$G$5,"")),"")</f>
        <v/>
      </c>
      <c r="AX47" s="37" t="str">
        <f ca="1">IFERROR(+IF(AX$29=ProposalToGnatt[[#This Row],[Start Date]],Milestone_Marker,IF(AND(AX$29&gt;ProposalToGnatt[[#This Row],[Start Date]],AX$29&lt;ProposalToGnatt[[#This Row],[Start Date]]+ProposalToGnatt[[#This Row],[Days]]),$G$5,"")),"")</f>
        <v/>
      </c>
      <c r="AY47" s="37" t="str">
        <f ca="1">IFERROR(+IF(AY$29=ProposalToGnatt[[#This Row],[Start Date]],Milestone_Marker,IF(AND(AY$29&gt;ProposalToGnatt[[#This Row],[Start Date]],AY$29&lt;ProposalToGnatt[[#This Row],[Start Date]]+ProposalToGnatt[[#This Row],[Days]]),$G$5,"")),"")</f>
        <v/>
      </c>
      <c r="AZ47" s="37" t="str">
        <f ca="1">IFERROR(+IF(AZ$29=ProposalToGnatt[[#This Row],[Start Date]],Milestone_Marker,IF(AND(AZ$29&gt;ProposalToGnatt[[#This Row],[Start Date]],AZ$29&lt;ProposalToGnatt[[#This Row],[Start Date]]+ProposalToGnatt[[#This Row],[Days]]),$G$5,"")),"")</f>
        <v/>
      </c>
      <c r="BA47" s="37" t="str">
        <f ca="1">IFERROR(+IF(BA$29=ProposalToGnatt[[#This Row],[Start Date]],Milestone_Marker,IF(AND(BA$29&gt;ProposalToGnatt[[#This Row],[Start Date]],BA$29&lt;ProposalToGnatt[[#This Row],[Start Date]]+ProposalToGnatt[[#This Row],[Days]]),$G$5,"")),"")</f>
        <v/>
      </c>
      <c r="BB47" s="37" t="str">
        <f ca="1">IFERROR(+IF(BB$29=ProposalToGnatt[[#This Row],[Start Date]],Milestone_Marker,IF(AND(BB$29&gt;ProposalToGnatt[[#This Row],[Start Date]],BB$29&lt;ProposalToGnatt[[#This Row],[Start Date]]+ProposalToGnatt[[#This Row],[Days]]),$G$5,"")),"")</f>
        <v/>
      </c>
      <c r="BC47" s="37" t="str">
        <f ca="1">IFERROR(+IF(BC$29=ProposalToGnatt[[#This Row],[Start Date]],Milestone_Marker,IF(AND(BC$29&gt;ProposalToGnatt[[#This Row],[Start Date]],BC$29&lt;ProposalToGnatt[[#This Row],[Start Date]]+ProposalToGnatt[[#This Row],[Days]]),$G$5,"")),"")</f>
        <v/>
      </c>
      <c r="BD47" s="37" t="str">
        <f ca="1">IFERROR(+IF(BD$29=ProposalToGnatt[[#This Row],[Start Date]],Milestone_Marker,IF(AND(BD$29&gt;ProposalToGnatt[[#This Row],[Start Date]],BD$29&lt;ProposalToGnatt[[#This Row],[Start Date]]+ProposalToGnatt[[#This Row],[Days]]),$G$5,"")),"")</f>
        <v/>
      </c>
      <c r="BE47" s="37" t="str">
        <f ca="1">IFERROR(+IF(BE$29=ProposalToGnatt[[#This Row],[Start Date]],Milestone_Marker,IF(AND(BE$29&gt;ProposalToGnatt[[#This Row],[Start Date]],BE$29&lt;ProposalToGnatt[[#This Row],[Start Date]]+ProposalToGnatt[[#This Row],[Days]]),$G$5,"")),"")</f>
        <v/>
      </c>
      <c r="BF47" s="37" t="str">
        <f ca="1">IFERROR(+IF(BF$29=ProposalToGnatt[[#This Row],[Start Date]],Milestone_Marker,IF(AND(BF$29&gt;ProposalToGnatt[[#This Row],[Start Date]],BF$29&lt;ProposalToGnatt[[#This Row],[Start Date]]+ProposalToGnatt[[#This Row],[Days]]),$G$5,"")),"")</f>
        <v/>
      </c>
      <c r="BG47" s="37" t="str">
        <f ca="1">IFERROR(+IF(BG$29=ProposalToGnatt[[#This Row],[Start Date]],Milestone_Marker,IF(AND(BG$29&gt;ProposalToGnatt[[#This Row],[Start Date]],BG$29&lt;ProposalToGnatt[[#This Row],[Start Date]]+ProposalToGnatt[[#This Row],[Days]]),$G$5,"")),"")</f>
        <v/>
      </c>
      <c r="BH47" s="37" t="str">
        <f ca="1">IFERROR(+IF(BH$29=ProposalToGnatt[[#This Row],[Start Date]],Milestone_Marker,IF(AND(BH$29&gt;ProposalToGnatt[[#This Row],[Start Date]],BH$29&lt;ProposalToGnatt[[#This Row],[Start Date]]+ProposalToGnatt[[#This Row],[Days]]),$G$5,"")),"")</f>
        <v/>
      </c>
      <c r="BI47" s="37" t="str">
        <f ca="1">IFERROR(+IF(BI$29=ProposalToGnatt[[#This Row],[Start Date]],Milestone_Marker,IF(AND(BI$29&gt;ProposalToGnatt[[#This Row],[Start Date]],BI$29&lt;ProposalToGnatt[[#This Row],[Start Date]]+ProposalToGnatt[[#This Row],[Days]]),$G$5,"")),"")</f>
        <v/>
      </c>
      <c r="BJ47" s="37" t="str">
        <f ca="1">IFERROR(+IF(BJ$29=ProposalToGnatt[[#This Row],[Start Date]],Milestone_Marker,IF(AND(BJ$29&gt;ProposalToGnatt[[#This Row],[Start Date]],BJ$29&lt;ProposalToGnatt[[#This Row],[Start Date]]+ProposalToGnatt[[#This Row],[Days]]),$G$5,"")),"")</f>
        <v/>
      </c>
      <c r="BK47" s="37" t="str">
        <f ca="1">IFERROR(+IF(BK$29=ProposalToGnatt[[#This Row],[Start Date]],Milestone_Marker,IF(AND(BK$29&gt;ProposalToGnatt[[#This Row],[Start Date]],BK$29&lt;ProposalToGnatt[[#This Row],[Start Date]]+ProposalToGnatt[[#This Row],[Days]]),$G$5,"")),"")</f>
        <v/>
      </c>
      <c r="BL47" s="37" t="str">
        <f ca="1">IFERROR(+IF(BL$29=ProposalToGnatt[[#This Row],[Start Date]],Milestone_Marker,IF(AND(BL$29&gt;ProposalToGnatt[[#This Row],[Start Date]],BL$29&lt;ProposalToGnatt[[#This Row],[Start Date]]+ProposalToGnatt[[#This Row],[Days]]),$G$5,"")),"")</f>
        <v/>
      </c>
      <c r="BM47" s="37" t="str">
        <f ca="1">IFERROR(+IF(BM$29=ProposalToGnatt[[#This Row],[Start Date]],Milestone_Marker,IF(AND(BM$29&gt;ProposalToGnatt[[#This Row],[Start Date]],BM$29&lt;ProposalToGnatt[[#This Row],[Start Date]]+ProposalToGnatt[[#This Row],[Days]]),$G$5,"")),"")</f>
        <v/>
      </c>
      <c r="BN47" s="37" t="str">
        <f ca="1">IFERROR(+IF(BN$29=ProposalToGnatt[[#This Row],[Start Date]],Milestone_Marker,IF(AND(BN$29&gt;ProposalToGnatt[[#This Row],[Start Date]],BN$29&lt;ProposalToGnatt[[#This Row],[Start Date]]+ProposalToGnatt[[#This Row],[Days]]),$G$5,"")),"")</f>
        <v/>
      </c>
      <c r="BO47" s="37" t="str">
        <f ca="1">IFERROR(+IF(BO$29=ProposalToGnatt[[#This Row],[Start Date]],Milestone_Marker,IF(AND(BO$29&gt;ProposalToGnatt[[#This Row],[Start Date]],BO$29&lt;ProposalToGnatt[[#This Row],[Start Date]]+ProposalToGnatt[[#This Row],[Days]]),$G$5,"")),"")</f>
        <v/>
      </c>
      <c r="BP47" s="37" t="str">
        <f ca="1">IFERROR(+IF(BP$29=ProposalToGnatt[[#This Row],[Start Date]],Milestone_Marker,IF(AND(BP$29&gt;ProposalToGnatt[[#This Row],[Start Date]],BP$29&lt;ProposalToGnatt[[#This Row],[Start Date]]+ProposalToGnatt[[#This Row],[Days]]),$G$5,"")),"")</f>
        <v/>
      </c>
      <c r="BQ47" s="37" t="str">
        <f ca="1">IFERROR(+IF(BQ$29=ProposalToGnatt[[#This Row],[Start Date]],Milestone_Marker,IF(AND(BQ$29&gt;ProposalToGnatt[[#This Row],[Start Date]],BQ$29&lt;ProposalToGnatt[[#This Row],[Start Date]]+ProposalToGnatt[[#This Row],[Days]]),$G$5,"")),"")</f>
        <v/>
      </c>
      <c r="BR47" s="37" t="str">
        <f ca="1">IFERROR(+IF(BR$29=ProposalToGnatt[[#This Row],[Start Date]],Milestone_Marker,IF(AND(BR$29&gt;ProposalToGnatt[[#This Row],[Start Date]],BR$29&lt;ProposalToGnatt[[#This Row],[Start Date]]+ProposalToGnatt[[#This Row],[Days]]),$G$5,"")),"")</f>
        <v/>
      </c>
      <c r="BS47" s="37" t="str">
        <f ca="1">IFERROR(+IF(BS$29=ProposalToGnatt[[#This Row],[Start Date]],Milestone_Marker,IF(AND(BS$29&gt;ProposalToGnatt[[#This Row],[Start Date]],BS$29&lt;ProposalToGnatt[[#This Row],[Start Date]]+ProposalToGnatt[[#This Row],[Days]]),$G$5,"")),"")</f>
        <v/>
      </c>
      <c r="BT47" s="37" t="str">
        <f ca="1">IFERROR(+IF(BT$29=ProposalToGnatt[[#This Row],[Start Date]],Milestone_Marker,IF(AND(BT$29&gt;ProposalToGnatt[[#This Row],[Start Date]],BT$29&lt;ProposalToGnatt[[#This Row],[Start Date]]+ProposalToGnatt[[#This Row],[Days]]),$G$5,"")),"")</f>
        <v/>
      </c>
      <c r="BU47" s="37" t="str">
        <f ca="1">IFERROR(+IF(BU$29=ProposalToGnatt[[#This Row],[Start Date]],Milestone_Marker,IF(AND(BU$29&gt;ProposalToGnatt[[#This Row],[Start Date]],BU$29&lt;ProposalToGnatt[[#This Row],[Start Date]]+ProposalToGnatt[[#This Row],[Days]]),$G$5,"")),"")</f>
        <v/>
      </c>
      <c r="BV47" s="37" t="str">
        <f ca="1">IFERROR(+IF(BV$29=ProposalToGnatt[[#This Row],[Start Date]],Milestone_Marker,IF(AND(BV$29&gt;ProposalToGnatt[[#This Row],[Start Date]],BV$29&lt;ProposalToGnatt[[#This Row],[Start Date]]+ProposalToGnatt[[#This Row],[Days]]),$G$5,"")),"")</f>
        <v/>
      </c>
      <c r="BW47" s="37" t="str">
        <f ca="1">IFERROR(+IF(BW$29=ProposalToGnatt[[#This Row],[Start Date]],Milestone_Marker,IF(AND(BW$29&gt;ProposalToGnatt[[#This Row],[Start Date]],BW$29&lt;ProposalToGnatt[[#This Row],[Start Date]]+ProposalToGnatt[[#This Row],[Days]]),$G$5,"")),"")</f>
        <v/>
      </c>
      <c r="BX47" s="37" t="str">
        <f ca="1">IFERROR(+IF(BX$29=ProposalToGnatt[[#This Row],[Start Date]],Milestone_Marker,IF(AND(BX$29&gt;ProposalToGnatt[[#This Row],[Start Date]],BX$29&lt;ProposalToGnatt[[#This Row],[Start Date]]+ProposalToGnatt[[#This Row],[Days]]),$G$5,"")),"")</f>
        <v/>
      </c>
      <c r="BY47" s="37" t="str">
        <f ca="1">IFERROR(+IF(BY$29=ProposalToGnatt[[#This Row],[Start Date]],Milestone_Marker,IF(AND(BY$29&gt;ProposalToGnatt[[#This Row],[Start Date]],BY$29&lt;ProposalToGnatt[[#This Row],[Start Date]]+ProposalToGnatt[[#This Row],[Days]]),$G$5,"")),"")</f>
        <v/>
      </c>
      <c r="BZ47" s="37" t="str">
        <f ca="1">IFERROR(+IF(BZ$29=ProposalToGnatt[[#This Row],[Start Date]],Milestone_Marker,IF(AND(BZ$29&gt;ProposalToGnatt[[#This Row],[Start Date]],BZ$29&lt;ProposalToGnatt[[#This Row],[Start Date]]+ProposalToGnatt[[#This Row],[Days]]),$G$5,"")),"")</f>
        <v/>
      </c>
      <c r="CA47" s="37" t="str">
        <f ca="1">IFERROR(+IF(CA$29=ProposalToGnatt[[#This Row],[Start Date]],Milestone_Marker,IF(AND(CA$29&gt;ProposalToGnatt[[#This Row],[Start Date]],CA$29&lt;ProposalToGnatt[[#This Row],[Start Date]]+ProposalToGnatt[[#This Row],[Days]]),$G$5,"")),"")</f>
        <v/>
      </c>
      <c r="CB47" s="37" t="str">
        <f ca="1">IFERROR(+IF(CB$29=ProposalToGnatt[[#This Row],[Start Date]],Milestone_Marker,IF(AND(CB$29&gt;ProposalToGnatt[[#This Row],[Start Date]],CB$29&lt;ProposalToGnatt[[#This Row],[Start Date]]+ProposalToGnatt[[#This Row],[Days]]),$G$5,"")),"")</f>
        <v/>
      </c>
      <c r="CC47" s="37" t="str">
        <f ca="1">IFERROR(+IF(CC$29=ProposalToGnatt[[#This Row],[Start Date]],Milestone_Marker,IF(AND(CC$29&gt;ProposalToGnatt[[#This Row],[Start Date]],CC$29&lt;ProposalToGnatt[[#This Row],[Start Date]]+ProposalToGnatt[[#This Row],[Days]]),$G$5,"")),"")</f>
        <v/>
      </c>
      <c r="CD47" s="37" t="str">
        <f ca="1">IFERROR(+IF(CD$29=ProposalToGnatt[[#This Row],[Start Date]],Milestone_Marker,IF(AND(CD$29&gt;ProposalToGnatt[[#This Row],[Start Date]],CD$29&lt;ProposalToGnatt[[#This Row],[Start Date]]+ProposalToGnatt[[#This Row],[Days]]),$G$5,"")),"")</f>
        <v/>
      </c>
      <c r="CE47" s="37" t="str">
        <f ca="1">IFERROR(+IF(CE$29=ProposalToGnatt[[#This Row],[Start Date]],Milestone_Marker,IF(AND(CE$29&gt;ProposalToGnatt[[#This Row],[Start Date]],CE$29&lt;ProposalToGnatt[[#This Row],[Start Date]]+ProposalToGnatt[[#This Row],[Days]]),$G$5,"")),"")</f>
        <v/>
      </c>
      <c r="CF47" s="37" t="str">
        <f ca="1">IFERROR(+IF(CF$29=ProposalToGnatt[[#This Row],[Start Date]],Milestone_Marker,IF(AND(CF$29&gt;ProposalToGnatt[[#This Row],[Start Date]],CF$29&lt;ProposalToGnatt[[#This Row],[Start Date]]+ProposalToGnatt[[#This Row],[Days]]),$G$5,"")),"")</f>
        <v/>
      </c>
      <c r="CG47" s="37" t="str">
        <f ca="1">IFERROR(+IF(CG$29=ProposalToGnatt[[#This Row],[Start Date]],Milestone_Marker,IF(AND(CG$29&gt;ProposalToGnatt[[#This Row],[Start Date]],CG$29&lt;ProposalToGnatt[[#This Row],[Start Date]]+ProposalToGnatt[[#This Row],[Days]]),$G$5,"")),"")</f>
        <v/>
      </c>
      <c r="CH47" s="37" t="str">
        <f ca="1">IFERROR(+IF(CH$29=ProposalToGnatt[[#This Row],[Start Date]],Milestone_Marker,IF(AND(CH$29&gt;ProposalToGnatt[[#This Row],[Start Date]],CH$29&lt;ProposalToGnatt[[#This Row],[Start Date]]+ProposalToGnatt[[#This Row],[Days]]),$G$5,"")),"")</f>
        <v/>
      </c>
      <c r="CI47" s="37" t="str">
        <f ca="1">IFERROR(+IF(CI$29=ProposalToGnatt[[#This Row],[Start Date]],Milestone_Marker,IF(AND(CI$29&gt;ProposalToGnatt[[#This Row],[Start Date]],CI$29&lt;ProposalToGnatt[[#This Row],[Start Date]]+ProposalToGnatt[[#This Row],[Days]]),$G$5,"")),"")</f>
        <v/>
      </c>
      <c r="CJ47" s="37" t="str">
        <f ca="1">IFERROR(+IF(CJ$29=ProposalToGnatt[[#This Row],[Start Date]],Milestone_Marker,IF(AND(CJ$29&gt;ProposalToGnatt[[#This Row],[Start Date]],CJ$29&lt;ProposalToGnatt[[#This Row],[Start Date]]+ProposalToGnatt[[#This Row],[Days]]),$G$5,"")),"")</f>
        <v/>
      </c>
      <c r="CK47" s="37" t="str">
        <f ca="1">IFERROR(+IF(CK$29=ProposalToGnatt[[#This Row],[Start Date]],Milestone_Marker,IF(AND(CK$29&gt;ProposalToGnatt[[#This Row],[Start Date]],CK$29&lt;ProposalToGnatt[[#This Row],[Start Date]]+ProposalToGnatt[[#This Row],[Days]]),$G$5,"")),"")</f>
        <v/>
      </c>
      <c r="CL47" s="37" t="str">
        <f ca="1">IFERROR(+IF(CL$29=ProposalToGnatt[[#This Row],[Start Date]],Milestone_Marker,IF(AND(CL$29&gt;ProposalToGnatt[[#This Row],[Start Date]],CL$29&lt;ProposalToGnatt[[#This Row],[Start Date]]+ProposalToGnatt[[#This Row],[Days]]),$G$5,"")),"")</f>
        <v/>
      </c>
      <c r="CM47" s="37" t="str">
        <f ca="1">IFERROR(+IF(CM$29=ProposalToGnatt[[#This Row],[Start Date]],Milestone_Marker,IF(AND(CM$29&gt;ProposalToGnatt[[#This Row],[Start Date]],CM$29&lt;ProposalToGnatt[[#This Row],[Start Date]]+ProposalToGnatt[[#This Row],[Days]]),$G$5,"")),"")</f>
        <v/>
      </c>
      <c r="CN47" s="37" t="str">
        <f ca="1">IFERROR(+IF(CN$29=ProposalToGnatt[[#This Row],[Start Date]],Milestone_Marker,IF(AND(CN$29&gt;ProposalToGnatt[[#This Row],[Start Date]],CN$29&lt;ProposalToGnatt[[#This Row],[Start Date]]+ProposalToGnatt[[#This Row],[Days]]),$G$5,"")),"")</f>
        <v/>
      </c>
      <c r="CO47" s="37" t="str">
        <f ca="1">IFERROR(+IF(CO$29=ProposalToGnatt[[#This Row],[Start Date]],Milestone_Marker,IF(AND(CO$29&gt;ProposalToGnatt[[#This Row],[Start Date]],CO$29&lt;ProposalToGnatt[[#This Row],[Start Date]]+ProposalToGnatt[[#This Row],[Days]]),$G$5,"")),"")</f>
        <v/>
      </c>
      <c r="CP47" s="37" t="str">
        <f ca="1">IFERROR(+IF(CP$29=ProposalToGnatt[[#This Row],[Start Date]],Milestone_Marker,IF(AND(CP$29&gt;ProposalToGnatt[[#This Row],[Start Date]],CP$29&lt;ProposalToGnatt[[#This Row],[Start Date]]+ProposalToGnatt[[#This Row],[Days]]),$G$5,"")),"")</f>
        <v/>
      </c>
      <c r="CQ47" s="37" t="str">
        <f ca="1">IFERROR(+IF(CQ$29=ProposalToGnatt[[#This Row],[Start Date]],Milestone_Marker,IF(AND(CQ$29&gt;ProposalToGnatt[[#This Row],[Start Date]],CQ$29&lt;ProposalToGnatt[[#This Row],[Start Date]]+ProposalToGnatt[[#This Row],[Days]]),$G$5,"")),"")</f>
        <v/>
      </c>
      <c r="CR47" s="37" t="str">
        <f ca="1">IFERROR(+IF(CR$29=ProposalToGnatt[[#This Row],[Start Date]],Milestone_Marker,IF(AND(CR$29&gt;ProposalToGnatt[[#This Row],[Start Date]],CR$29&lt;ProposalToGnatt[[#This Row],[Start Date]]+ProposalToGnatt[[#This Row],[Days]]),$G$5,"")),"")</f>
        <v/>
      </c>
      <c r="CS47" s="37" t="str">
        <f ca="1">IFERROR(+IF(CS$29=ProposalToGnatt[[#This Row],[Start Date]],Milestone_Marker,IF(AND(CS$29&gt;ProposalToGnatt[[#This Row],[Start Date]],CS$29&lt;ProposalToGnatt[[#This Row],[Start Date]]+ProposalToGnatt[[#This Row],[Days]]),$G$5,"")),"")</f>
        <v/>
      </c>
      <c r="CT47" s="37" t="str">
        <f ca="1">IFERROR(+IF(CT$29=ProposalToGnatt[[#This Row],[Start Date]],Milestone_Marker,IF(AND(CT$29&gt;ProposalToGnatt[[#This Row],[Start Date]],CT$29&lt;ProposalToGnatt[[#This Row],[Start Date]]+ProposalToGnatt[[#This Row],[Days]]),$G$5,"")),"")</f>
        <v/>
      </c>
      <c r="CU47" s="37" t="str">
        <f ca="1">IFERROR(+IF(CU$29=ProposalToGnatt[[#This Row],[Start Date]],Milestone_Marker,IF(AND(CU$29&gt;ProposalToGnatt[[#This Row],[Start Date]],CU$29&lt;ProposalToGnatt[[#This Row],[Start Date]]+ProposalToGnatt[[#This Row],[Days]]),$G$5,"")),"")</f>
        <v/>
      </c>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row>
    <row r="48" spans="1:125" s="42" customFormat="1" ht="15">
      <c r="A48"/>
      <c r="B48"/>
      <c r="C48"/>
      <c r="D48"/>
      <c r="E48"/>
      <c r="F48"/>
      <c r="G48" s="11"/>
      <c r="H48" s="26"/>
      <c r="I48"/>
      <c r="J48"/>
      <c r="K48" s="363"/>
      <c r="L48"/>
      <c r="M48"/>
      <c r="N48"/>
      <c r="O48" s="26"/>
      <c r="P48" s="37" t="str">
        <f ca="1">IFERROR(+IF(P$29=ProposalToGnatt[[#This Row],[Start Date]],Milestone_Marker,IF(AND(P$29&gt;ProposalToGnatt[[#This Row],[Start Date]],P$29&lt;ProposalToGnatt[[#This Row],[Start Date]]+ProposalToGnatt[[#This Row],[Days]]),$G$5,"")),"")</f>
        <v/>
      </c>
      <c r="Q48" s="37" t="str">
        <f ca="1">IFERROR(+IF(Q$29=ProposalToGnatt[[#This Row],[Start Date]],Milestone_Marker,IF(AND(Q$29&gt;ProposalToGnatt[[#This Row],[Start Date]],Q$29&lt;ProposalToGnatt[[#This Row],[Start Date]]+ProposalToGnatt[[#This Row],[Days]]),$G$5,"")),"")</f>
        <v/>
      </c>
      <c r="R48" s="37" t="str">
        <f ca="1">IFERROR(+IF(R$29=ProposalToGnatt[[#This Row],[Start Date]],Milestone_Marker,IF(AND(R$29&gt;ProposalToGnatt[[#This Row],[Start Date]],R$29&lt;ProposalToGnatt[[#This Row],[Start Date]]+ProposalToGnatt[[#This Row],[Days]]),$G$5,"")),"")</f>
        <v/>
      </c>
      <c r="S48" s="37" t="str">
        <f ca="1">IFERROR(+IF(S$29=ProposalToGnatt[[#This Row],[Start Date]],Milestone_Marker,IF(AND(S$29&gt;ProposalToGnatt[[#This Row],[Start Date]],S$29&lt;ProposalToGnatt[[#This Row],[Start Date]]+ProposalToGnatt[[#This Row],[Days]]),$G$5,"")),"")</f>
        <v/>
      </c>
      <c r="T48" s="37" t="str">
        <f ca="1">IFERROR(+IF(T$29=ProposalToGnatt[[#This Row],[Start Date]],Milestone_Marker,IF(AND(T$29&gt;ProposalToGnatt[[#This Row],[Start Date]],T$29&lt;ProposalToGnatt[[#This Row],[Start Date]]+ProposalToGnatt[[#This Row],[Days]]),$G$5,"")),"")</f>
        <v/>
      </c>
      <c r="U48" s="37" t="str">
        <f ca="1">IFERROR(+IF(U$29=ProposalToGnatt[[#This Row],[Start Date]],Milestone_Marker,IF(AND(U$29&gt;ProposalToGnatt[[#This Row],[Start Date]],U$29&lt;ProposalToGnatt[[#This Row],[Start Date]]+ProposalToGnatt[[#This Row],[Days]]),$G$5,"")),"")</f>
        <v/>
      </c>
      <c r="V48" s="37" t="str">
        <f ca="1">IFERROR(+IF(V$29=ProposalToGnatt[[#This Row],[Start Date]],Milestone_Marker,IF(AND(V$29&gt;ProposalToGnatt[[#This Row],[Start Date]],V$29&lt;ProposalToGnatt[[#This Row],[Start Date]]+ProposalToGnatt[[#This Row],[Days]]),$G$5,"")),"")</f>
        <v/>
      </c>
      <c r="W48" s="37" t="str">
        <f ca="1">IFERROR(+IF(W$29=ProposalToGnatt[[#This Row],[Start Date]],Milestone_Marker,IF(AND(W$29&gt;ProposalToGnatt[[#This Row],[Start Date]],W$29&lt;ProposalToGnatt[[#This Row],[Start Date]]+ProposalToGnatt[[#This Row],[Days]]),$G$5,"")),"")</f>
        <v/>
      </c>
      <c r="X48" s="37" t="str">
        <f ca="1">IFERROR(+IF(X$29=ProposalToGnatt[[#This Row],[Start Date]],Milestone_Marker,IF(AND(X$29&gt;ProposalToGnatt[[#This Row],[Start Date]],X$29&lt;ProposalToGnatt[[#This Row],[Start Date]]+ProposalToGnatt[[#This Row],[Days]]),$G$5,"")),"")</f>
        <v/>
      </c>
      <c r="Y48" s="37" t="str">
        <f ca="1">IFERROR(+IF(Y$29=ProposalToGnatt[[#This Row],[Start Date]],Milestone_Marker,IF(AND(Y$29&gt;ProposalToGnatt[[#This Row],[Start Date]],Y$29&lt;ProposalToGnatt[[#This Row],[Start Date]]+ProposalToGnatt[[#This Row],[Days]]),$G$5,"")),"")</f>
        <v/>
      </c>
      <c r="Z48" s="37" t="str">
        <f ca="1">IFERROR(+IF(Z$29=ProposalToGnatt[[#This Row],[Start Date]],Milestone_Marker,IF(AND(Z$29&gt;ProposalToGnatt[[#This Row],[Start Date]],Z$29&lt;ProposalToGnatt[[#This Row],[Start Date]]+ProposalToGnatt[[#This Row],[Days]]),$G$5,"")),"")</f>
        <v/>
      </c>
      <c r="AA48" s="37" t="str">
        <f ca="1">IFERROR(+IF(AA$29=ProposalToGnatt[[#This Row],[Start Date]],Milestone_Marker,IF(AND(AA$29&gt;ProposalToGnatt[[#This Row],[Start Date]],AA$29&lt;ProposalToGnatt[[#This Row],[Start Date]]+ProposalToGnatt[[#This Row],[Days]]),$G$5,"")),"")</f>
        <v/>
      </c>
      <c r="AB48" s="37" t="str">
        <f ca="1">IFERROR(+IF(AB$29=ProposalToGnatt[[#This Row],[Start Date]],Milestone_Marker,IF(AND(AB$29&gt;ProposalToGnatt[[#This Row],[Start Date]],AB$29&lt;ProposalToGnatt[[#This Row],[Start Date]]+ProposalToGnatt[[#This Row],[Days]]),$G$5,"")),"")</f>
        <v/>
      </c>
      <c r="AC48" s="37" t="str">
        <f ca="1">IFERROR(+IF(AC$29=ProposalToGnatt[[#This Row],[Start Date]],Milestone_Marker,IF(AND(AC$29&gt;ProposalToGnatt[[#This Row],[Start Date]],AC$29&lt;ProposalToGnatt[[#This Row],[Start Date]]+ProposalToGnatt[[#This Row],[Days]]),$G$5,"")),"")</f>
        <v/>
      </c>
      <c r="AD48" s="37" t="str">
        <f ca="1">IFERROR(+IF(AD$29=ProposalToGnatt[[#This Row],[Start Date]],Milestone_Marker,IF(AND(AD$29&gt;ProposalToGnatt[[#This Row],[Start Date]],AD$29&lt;ProposalToGnatt[[#This Row],[Start Date]]+ProposalToGnatt[[#This Row],[Days]]),$G$5,"")),"")</f>
        <v/>
      </c>
      <c r="AE48" s="37" t="str">
        <f ca="1">IFERROR(+IF(AE$29=ProposalToGnatt[[#This Row],[Start Date]],Milestone_Marker,IF(AND(AE$29&gt;ProposalToGnatt[[#This Row],[Start Date]],AE$29&lt;ProposalToGnatt[[#This Row],[Start Date]]+ProposalToGnatt[[#This Row],[Days]]),$G$5,"")),"")</f>
        <v/>
      </c>
      <c r="AF48" s="37" t="str">
        <f ca="1">IFERROR(+IF(AF$29=ProposalToGnatt[[#This Row],[Start Date]],Milestone_Marker,IF(AND(AF$29&gt;ProposalToGnatt[[#This Row],[Start Date]],AF$29&lt;ProposalToGnatt[[#This Row],[Start Date]]+ProposalToGnatt[[#This Row],[Days]]),$G$5,"")),"")</f>
        <v/>
      </c>
      <c r="AG48" s="37" t="str">
        <f ca="1">IFERROR(+IF(AG$29=ProposalToGnatt[[#This Row],[Start Date]],Milestone_Marker,IF(AND(AG$29&gt;ProposalToGnatt[[#This Row],[Start Date]],AG$29&lt;ProposalToGnatt[[#This Row],[Start Date]]+ProposalToGnatt[[#This Row],[Days]]),$G$5,"")),"")</f>
        <v/>
      </c>
      <c r="AH48" s="37" t="str">
        <f ca="1">IFERROR(+IF(AH$29=ProposalToGnatt[[#This Row],[Start Date]],Milestone_Marker,IF(AND(AH$29&gt;ProposalToGnatt[[#This Row],[Start Date]],AH$29&lt;ProposalToGnatt[[#This Row],[Start Date]]+ProposalToGnatt[[#This Row],[Days]]),$G$5,"")),"")</f>
        <v/>
      </c>
      <c r="AI48" s="37" t="str">
        <f ca="1">IFERROR(+IF(AI$29=ProposalToGnatt[[#This Row],[Start Date]],Milestone_Marker,IF(AND(AI$29&gt;ProposalToGnatt[[#This Row],[Start Date]],AI$29&lt;ProposalToGnatt[[#This Row],[Start Date]]+ProposalToGnatt[[#This Row],[Days]]),$G$5,"")),"")</f>
        <v/>
      </c>
      <c r="AJ48" s="37" t="str">
        <f ca="1">IFERROR(+IF(AJ$29=ProposalToGnatt[[#This Row],[Start Date]],Milestone_Marker,IF(AND(AJ$29&gt;ProposalToGnatt[[#This Row],[Start Date]],AJ$29&lt;ProposalToGnatt[[#This Row],[Start Date]]+ProposalToGnatt[[#This Row],[Days]]),$G$5,"")),"")</f>
        <v/>
      </c>
      <c r="AK48" s="37" t="str">
        <f ca="1">IFERROR(+IF(AK$29=ProposalToGnatt[[#This Row],[Start Date]],Milestone_Marker,IF(AND(AK$29&gt;ProposalToGnatt[[#This Row],[Start Date]],AK$29&lt;ProposalToGnatt[[#This Row],[Start Date]]+ProposalToGnatt[[#This Row],[Days]]),$G$5,"")),"")</f>
        <v/>
      </c>
      <c r="AL48" s="37" t="str">
        <f ca="1">IFERROR(+IF(AL$29=ProposalToGnatt[[#This Row],[Start Date]],Milestone_Marker,IF(AND(AL$29&gt;ProposalToGnatt[[#This Row],[Start Date]],AL$29&lt;ProposalToGnatt[[#This Row],[Start Date]]+ProposalToGnatt[[#This Row],[Days]]),$G$5,"")),"")</f>
        <v/>
      </c>
      <c r="AM48" s="37" t="str">
        <f ca="1">IFERROR(+IF(AM$29=ProposalToGnatt[[#This Row],[Start Date]],Milestone_Marker,IF(AND(AM$29&gt;ProposalToGnatt[[#This Row],[Start Date]],AM$29&lt;ProposalToGnatt[[#This Row],[Start Date]]+ProposalToGnatt[[#This Row],[Days]]),$G$5,"")),"")</f>
        <v/>
      </c>
      <c r="AN48" s="37" t="str">
        <f ca="1">IFERROR(+IF(AN$29=ProposalToGnatt[[#This Row],[Start Date]],Milestone_Marker,IF(AND(AN$29&gt;ProposalToGnatt[[#This Row],[Start Date]],AN$29&lt;ProposalToGnatt[[#This Row],[Start Date]]+ProposalToGnatt[[#This Row],[Days]]),$G$5,"")),"")</f>
        <v/>
      </c>
      <c r="AO48" s="37" t="str">
        <f ca="1">IFERROR(+IF(AO$29=ProposalToGnatt[[#This Row],[Start Date]],Milestone_Marker,IF(AND(AO$29&gt;ProposalToGnatt[[#This Row],[Start Date]],AO$29&lt;ProposalToGnatt[[#This Row],[Start Date]]+ProposalToGnatt[[#This Row],[Days]]),$G$5,"")),"")</f>
        <v/>
      </c>
      <c r="AP48" s="37" t="str">
        <f ca="1">IFERROR(+IF(AP$29=ProposalToGnatt[[#This Row],[Start Date]],Milestone_Marker,IF(AND(AP$29&gt;ProposalToGnatt[[#This Row],[Start Date]],AP$29&lt;ProposalToGnatt[[#This Row],[Start Date]]+ProposalToGnatt[[#This Row],[Days]]),$G$5,"")),"")</f>
        <v/>
      </c>
      <c r="AQ48" s="37" t="str">
        <f ca="1">IFERROR(+IF(AQ$29=ProposalToGnatt[[#This Row],[Start Date]],Milestone_Marker,IF(AND(AQ$29&gt;ProposalToGnatt[[#This Row],[Start Date]],AQ$29&lt;ProposalToGnatt[[#This Row],[Start Date]]+ProposalToGnatt[[#This Row],[Days]]),$G$5,"")),"")</f>
        <v/>
      </c>
      <c r="AR48" s="37" t="str">
        <f ca="1">IFERROR(+IF(AR$29=ProposalToGnatt[[#This Row],[Start Date]],Milestone_Marker,IF(AND(AR$29&gt;ProposalToGnatt[[#This Row],[Start Date]],AR$29&lt;ProposalToGnatt[[#This Row],[Start Date]]+ProposalToGnatt[[#This Row],[Days]]),$G$5,"")),"")</f>
        <v/>
      </c>
      <c r="AS48" s="37" t="str">
        <f ca="1">IFERROR(+IF(AS$29=ProposalToGnatt[[#This Row],[Start Date]],Milestone_Marker,IF(AND(AS$29&gt;ProposalToGnatt[[#This Row],[Start Date]],AS$29&lt;ProposalToGnatt[[#This Row],[Start Date]]+ProposalToGnatt[[#This Row],[Days]]),$G$5,"")),"")</f>
        <v/>
      </c>
      <c r="AT48" s="37" t="str">
        <f ca="1">IFERROR(+IF(AT$29=ProposalToGnatt[[#This Row],[Start Date]],Milestone_Marker,IF(AND(AT$29&gt;ProposalToGnatt[[#This Row],[Start Date]],AT$29&lt;ProposalToGnatt[[#This Row],[Start Date]]+ProposalToGnatt[[#This Row],[Days]]),$G$5,"")),"")</f>
        <v/>
      </c>
      <c r="AU48" s="37" t="str">
        <f ca="1">IFERROR(+IF(AU$29=ProposalToGnatt[[#This Row],[Start Date]],Milestone_Marker,IF(AND(AU$29&gt;ProposalToGnatt[[#This Row],[Start Date]],AU$29&lt;ProposalToGnatt[[#This Row],[Start Date]]+ProposalToGnatt[[#This Row],[Days]]),$G$5,"")),"")</f>
        <v/>
      </c>
      <c r="AV48" s="37" t="str">
        <f ca="1">IFERROR(+IF(AV$29=ProposalToGnatt[[#This Row],[Start Date]],Milestone_Marker,IF(AND(AV$29&gt;ProposalToGnatt[[#This Row],[Start Date]],AV$29&lt;ProposalToGnatt[[#This Row],[Start Date]]+ProposalToGnatt[[#This Row],[Days]]),$G$5,"")),"")</f>
        <v/>
      </c>
      <c r="AW48" s="37" t="str">
        <f ca="1">IFERROR(+IF(AW$29=ProposalToGnatt[[#This Row],[Start Date]],Milestone_Marker,IF(AND(AW$29&gt;ProposalToGnatt[[#This Row],[Start Date]],AW$29&lt;ProposalToGnatt[[#This Row],[Start Date]]+ProposalToGnatt[[#This Row],[Days]]),$G$5,"")),"")</f>
        <v/>
      </c>
      <c r="AX48" s="37" t="str">
        <f ca="1">IFERROR(+IF(AX$29=ProposalToGnatt[[#This Row],[Start Date]],Milestone_Marker,IF(AND(AX$29&gt;ProposalToGnatt[[#This Row],[Start Date]],AX$29&lt;ProposalToGnatt[[#This Row],[Start Date]]+ProposalToGnatt[[#This Row],[Days]]),$G$5,"")),"")</f>
        <v/>
      </c>
      <c r="AY48" s="37" t="str">
        <f ca="1">IFERROR(+IF(AY$29=ProposalToGnatt[[#This Row],[Start Date]],Milestone_Marker,IF(AND(AY$29&gt;ProposalToGnatt[[#This Row],[Start Date]],AY$29&lt;ProposalToGnatt[[#This Row],[Start Date]]+ProposalToGnatt[[#This Row],[Days]]),$G$5,"")),"")</f>
        <v/>
      </c>
      <c r="AZ48" s="37" t="str">
        <f ca="1">IFERROR(+IF(AZ$29=ProposalToGnatt[[#This Row],[Start Date]],Milestone_Marker,IF(AND(AZ$29&gt;ProposalToGnatt[[#This Row],[Start Date]],AZ$29&lt;ProposalToGnatt[[#This Row],[Start Date]]+ProposalToGnatt[[#This Row],[Days]]),$G$5,"")),"")</f>
        <v/>
      </c>
      <c r="BA48" s="37" t="str">
        <f ca="1">IFERROR(+IF(BA$29=ProposalToGnatt[[#This Row],[Start Date]],Milestone_Marker,IF(AND(BA$29&gt;ProposalToGnatt[[#This Row],[Start Date]],BA$29&lt;ProposalToGnatt[[#This Row],[Start Date]]+ProposalToGnatt[[#This Row],[Days]]),$G$5,"")),"")</f>
        <v/>
      </c>
      <c r="BB48" s="37" t="str">
        <f ca="1">IFERROR(+IF(BB$29=ProposalToGnatt[[#This Row],[Start Date]],Milestone_Marker,IF(AND(BB$29&gt;ProposalToGnatt[[#This Row],[Start Date]],BB$29&lt;ProposalToGnatt[[#This Row],[Start Date]]+ProposalToGnatt[[#This Row],[Days]]),$G$5,"")),"")</f>
        <v/>
      </c>
      <c r="BC48" s="37" t="str">
        <f ca="1">IFERROR(+IF(BC$29=ProposalToGnatt[[#This Row],[Start Date]],Milestone_Marker,IF(AND(BC$29&gt;ProposalToGnatt[[#This Row],[Start Date]],BC$29&lt;ProposalToGnatt[[#This Row],[Start Date]]+ProposalToGnatt[[#This Row],[Days]]),$G$5,"")),"")</f>
        <v/>
      </c>
      <c r="BD48" s="37" t="str">
        <f ca="1">IFERROR(+IF(BD$29=ProposalToGnatt[[#This Row],[Start Date]],Milestone_Marker,IF(AND(BD$29&gt;ProposalToGnatt[[#This Row],[Start Date]],BD$29&lt;ProposalToGnatt[[#This Row],[Start Date]]+ProposalToGnatt[[#This Row],[Days]]),$G$5,"")),"")</f>
        <v/>
      </c>
      <c r="BE48" s="37" t="str">
        <f ca="1">IFERROR(+IF(BE$29=ProposalToGnatt[[#This Row],[Start Date]],Milestone_Marker,IF(AND(BE$29&gt;ProposalToGnatt[[#This Row],[Start Date]],BE$29&lt;ProposalToGnatt[[#This Row],[Start Date]]+ProposalToGnatt[[#This Row],[Days]]),$G$5,"")),"")</f>
        <v/>
      </c>
      <c r="BF48" s="37" t="str">
        <f ca="1">IFERROR(+IF(BF$29=ProposalToGnatt[[#This Row],[Start Date]],Milestone_Marker,IF(AND(BF$29&gt;ProposalToGnatt[[#This Row],[Start Date]],BF$29&lt;ProposalToGnatt[[#This Row],[Start Date]]+ProposalToGnatt[[#This Row],[Days]]),$G$5,"")),"")</f>
        <v/>
      </c>
      <c r="BG48" s="37" t="str">
        <f ca="1">IFERROR(+IF(BG$29=ProposalToGnatt[[#This Row],[Start Date]],Milestone_Marker,IF(AND(BG$29&gt;ProposalToGnatt[[#This Row],[Start Date]],BG$29&lt;ProposalToGnatt[[#This Row],[Start Date]]+ProposalToGnatt[[#This Row],[Days]]),$G$5,"")),"")</f>
        <v/>
      </c>
      <c r="BH48" s="37" t="str">
        <f ca="1">IFERROR(+IF(BH$29=ProposalToGnatt[[#This Row],[Start Date]],Milestone_Marker,IF(AND(BH$29&gt;ProposalToGnatt[[#This Row],[Start Date]],BH$29&lt;ProposalToGnatt[[#This Row],[Start Date]]+ProposalToGnatt[[#This Row],[Days]]),$G$5,"")),"")</f>
        <v/>
      </c>
      <c r="BI48" s="37" t="str">
        <f ca="1">IFERROR(+IF(BI$29=ProposalToGnatt[[#This Row],[Start Date]],Milestone_Marker,IF(AND(BI$29&gt;ProposalToGnatt[[#This Row],[Start Date]],BI$29&lt;ProposalToGnatt[[#This Row],[Start Date]]+ProposalToGnatt[[#This Row],[Days]]),$G$5,"")),"")</f>
        <v/>
      </c>
      <c r="BJ48" s="37" t="str">
        <f ca="1">IFERROR(+IF(BJ$29=ProposalToGnatt[[#This Row],[Start Date]],Milestone_Marker,IF(AND(BJ$29&gt;ProposalToGnatt[[#This Row],[Start Date]],BJ$29&lt;ProposalToGnatt[[#This Row],[Start Date]]+ProposalToGnatt[[#This Row],[Days]]),$G$5,"")),"")</f>
        <v/>
      </c>
      <c r="BK48" s="37" t="str">
        <f ca="1">IFERROR(+IF(BK$29=ProposalToGnatt[[#This Row],[Start Date]],Milestone_Marker,IF(AND(BK$29&gt;ProposalToGnatt[[#This Row],[Start Date]],BK$29&lt;ProposalToGnatt[[#This Row],[Start Date]]+ProposalToGnatt[[#This Row],[Days]]),$G$5,"")),"")</f>
        <v/>
      </c>
      <c r="BL48" s="37" t="str">
        <f ca="1">IFERROR(+IF(BL$29=ProposalToGnatt[[#This Row],[Start Date]],Milestone_Marker,IF(AND(BL$29&gt;ProposalToGnatt[[#This Row],[Start Date]],BL$29&lt;ProposalToGnatt[[#This Row],[Start Date]]+ProposalToGnatt[[#This Row],[Days]]),$G$5,"")),"")</f>
        <v/>
      </c>
      <c r="BM48" s="37" t="str">
        <f ca="1">IFERROR(+IF(BM$29=ProposalToGnatt[[#This Row],[Start Date]],Milestone_Marker,IF(AND(BM$29&gt;ProposalToGnatt[[#This Row],[Start Date]],BM$29&lt;ProposalToGnatt[[#This Row],[Start Date]]+ProposalToGnatt[[#This Row],[Days]]),$G$5,"")),"")</f>
        <v/>
      </c>
      <c r="BN48" s="37" t="str">
        <f ca="1">IFERROR(+IF(BN$29=ProposalToGnatt[[#This Row],[Start Date]],Milestone_Marker,IF(AND(BN$29&gt;ProposalToGnatt[[#This Row],[Start Date]],BN$29&lt;ProposalToGnatt[[#This Row],[Start Date]]+ProposalToGnatt[[#This Row],[Days]]),$G$5,"")),"")</f>
        <v/>
      </c>
      <c r="BO48" s="37" t="str">
        <f ca="1">IFERROR(+IF(BO$29=ProposalToGnatt[[#This Row],[Start Date]],Milestone_Marker,IF(AND(BO$29&gt;ProposalToGnatt[[#This Row],[Start Date]],BO$29&lt;ProposalToGnatt[[#This Row],[Start Date]]+ProposalToGnatt[[#This Row],[Days]]),$G$5,"")),"")</f>
        <v/>
      </c>
      <c r="BP48" s="37" t="str">
        <f ca="1">IFERROR(+IF(BP$29=ProposalToGnatt[[#This Row],[Start Date]],Milestone_Marker,IF(AND(BP$29&gt;ProposalToGnatt[[#This Row],[Start Date]],BP$29&lt;ProposalToGnatt[[#This Row],[Start Date]]+ProposalToGnatt[[#This Row],[Days]]),$G$5,"")),"")</f>
        <v/>
      </c>
      <c r="BQ48" s="37" t="str">
        <f ca="1">IFERROR(+IF(BQ$29=ProposalToGnatt[[#This Row],[Start Date]],Milestone_Marker,IF(AND(BQ$29&gt;ProposalToGnatt[[#This Row],[Start Date]],BQ$29&lt;ProposalToGnatt[[#This Row],[Start Date]]+ProposalToGnatt[[#This Row],[Days]]),$G$5,"")),"")</f>
        <v/>
      </c>
      <c r="BR48" s="37" t="str">
        <f ca="1">IFERROR(+IF(BR$29=ProposalToGnatt[[#This Row],[Start Date]],Milestone_Marker,IF(AND(BR$29&gt;ProposalToGnatt[[#This Row],[Start Date]],BR$29&lt;ProposalToGnatt[[#This Row],[Start Date]]+ProposalToGnatt[[#This Row],[Days]]),$G$5,"")),"")</f>
        <v/>
      </c>
      <c r="BS48" s="37" t="str">
        <f ca="1">IFERROR(+IF(BS$29=ProposalToGnatt[[#This Row],[Start Date]],Milestone_Marker,IF(AND(BS$29&gt;ProposalToGnatt[[#This Row],[Start Date]],BS$29&lt;ProposalToGnatt[[#This Row],[Start Date]]+ProposalToGnatt[[#This Row],[Days]]),$G$5,"")),"")</f>
        <v/>
      </c>
      <c r="BT48" s="37" t="str">
        <f ca="1">IFERROR(+IF(BT$29=ProposalToGnatt[[#This Row],[Start Date]],Milestone_Marker,IF(AND(BT$29&gt;ProposalToGnatt[[#This Row],[Start Date]],BT$29&lt;ProposalToGnatt[[#This Row],[Start Date]]+ProposalToGnatt[[#This Row],[Days]]),$G$5,"")),"")</f>
        <v/>
      </c>
      <c r="BU48" s="37" t="str">
        <f ca="1">IFERROR(+IF(BU$29=ProposalToGnatt[[#This Row],[Start Date]],Milestone_Marker,IF(AND(BU$29&gt;ProposalToGnatt[[#This Row],[Start Date]],BU$29&lt;ProposalToGnatt[[#This Row],[Start Date]]+ProposalToGnatt[[#This Row],[Days]]),$G$5,"")),"")</f>
        <v/>
      </c>
      <c r="BV48" s="37" t="str">
        <f ca="1">IFERROR(+IF(BV$29=ProposalToGnatt[[#This Row],[Start Date]],Milestone_Marker,IF(AND(BV$29&gt;ProposalToGnatt[[#This Row],[Start Date]],BV$29&lt;ProposalToGnatt[[#This Row],[Start Date]]+ProposalToGnatt[[#This Row],[Days]]),$G$5,"")),"")</f>
        <v/>
      </c>
      <c r="BW48" s="37" t="str">
        <f ca="1">IFERROR(+IF(BW$29=ProposalToGnatt[[#This Row],[Start Date]],Milestone_Marker,IF(AND(BW$29&gt;ProposalToGnatt[[#This Row],[Start Date]],BW$29&lt;ProposalToGnatt[[#This Row],[Start Date]]+ProposalToGnatt[[#This Row],[Days]]),$G$5,"")),"")</f>
        <v/>
      </c>
      <c r="BX48" s="37" t="str">
        <f ca="1">IFERROR(+IF(BX$29=ProposalToGnatt[[#This Row],[Start Date]],Milestone_Marker,IF(AND(BX$29&gt;ProposalToGnatt[[#This Row],[Start Date]],BX$29&lt;ProposalToGnatt[[#This Row],[Start Date]]+ProposalToGnatt[[#This Row],[Days]]),$G$5,"")),"")</f>
        <v/>
      </c>
      <c r="BY48" s="37" t="str">
        <f ca="1">IFERROR(+IF(BY$29=ProposalToGnatt[[#This Row],[Start Date]],Milestone_Marker,IF(AND(BY$29&gt;ProposalToGnatt[[#This Row],[Start Date]],BY$29&lt;ProposalToGnatt[[#This Row],[Start Date]]+ProposalToGnatt[[#This Row],[Days]]),$G$5,"")),"")</f>
        <v/>
      </c>
      <c r="BZ48" s="37" t="str">
        <f ca="1">IFERROR(+IF(BZ$29=ProposalToGnatt[[#This Row],[Start Date]],Milestone_Marker,IF(AND(BZ$29&gt;ProposalToGnatt[[#This Row],[Start Date]],BZ$29&lt;ProposalToGnatt[[#This Row],[Start Date]]+ProposalToGnatt[[#This Row],[Days]]),$G$5,"")),"")</f>
        <v/>
      </c>
      <c r="CA48" s="37" t="str">
        <f ca="1">IFERROR(+IF(CA$29=ProposalToGnatt[[#This Row],[Start Date]],Milestone_Marker,IF(AND(CA$29&gt;ProposalToGnatt[[#This Row],[Start Date]],CA$29&lt;ProposalToGnatt[[#This Row],[Start Date]]+ProposalToGnatt[[#This Row],[Days]]),$G$5,"")),"")</f>
        <v/>
      </c>
      <c r="CB48" s="37" t="str">
        <f ca="1">IFERROR(+IF(CB$29=ProposalToGnatt[[#This Row],[Start Date]],Milestone_Marker,IF(AND(CB$29&gt;ProposalToGnatt[[#This Row],[Start Date]],CB$29&lt;ProposalToGnatt[[#This Row],[Start Date]]+ProposalToGnatt[[#This Row],[Days]]),$G$5,"")),"")</f>
        <v/>
      </c>
      <c r="CC48" s="37" t="str">
        <f ca="1">IFERROR(+IF(CC$29=ProposalToGnatt[[#This Row],[Start Date]],Milestone_Marker,IF(AND(CC$29&gt;ProposalToGnatt[[#This Row],[Start Date]],CC$29&lt;ProposalToGnatt[[#This Row],[Start Date]]+ProposalToGnatt[[#This Row],[Days]]),$G$5,"")),"")</f>
        <v/>
      </c>
      <c r="CD48" s="37" t="str">
        <f ca="1">IFERROR(+IF(CD$29=ProposalToGnatt[[#This Row],[Start Date]],Milestone_Marker,IF(AND(CD$29&gt;ProposalToGnatt[[#This Row],[Start Date]],CD$29&lt;ProposalToGnatt[[#This Row],[Start Date]]+ProposalToGnatt[[#This Row],[Days]]),$G$5,"")),"")</f>
        <v/>
      </c>
      <c r="CE48" s="37" t="str">
        <f ca="1">IFERROR(+IF(CE$29=ProposalToGnatt[[#This Row],[Start Date]],Milestone_Marker,IF(AND(CE$29&gt;ProposalToGnatt[[#This Row],[Start Date]],CE$29&lt;ProposalToGnatt[[#This Row],[Start Date]]+ProposalToGnatt[[#This Row],[Days]]),$G$5,"")),"")</f>
        <v/>
      </c>
      <c r="CF48" s="37" t="str">
        <f ca="1">IFERROR(+IF(CF$29=ProposalToGnatt[[#This Row],[Start Date]],Milestone_Marker,IF(AND(CF$29&gt;ProposalToGnatt[[#This Row],[Start Date]],CF$29&lt;ProposalToGnatt[[#This Row],[Start Date]]+ProposalToGnatt[[#This Row],[Days]]),$G$5,"")),"")</f>
        <v/>
      </c>
      <c r="CG48" s="37" t="str">
        <f ca="1">IFERROR(+IF(CG$29=ProposalToGnatt[[#This Row],[Start Date]],Milestone_Marker,IF(AND(CG$29&gt;ProposalToGnatt[[#This Row],[Start Date]],CG$29&lt;ProposalToGnatt[[#This Row],[Start Date]]+ProposalToGnatt[[#This Row],[Days]]),$G$5,"")),"")</f>
        <v/>
      </c>
      <c r="CH48" s="37" t="str">
        <f ca="1">IFERROR(+IF(CH$29=ProposalToGnatt[[#This Row],[Start Date]],Milestone_Marker,IF(AND(CH$29&gt;ProposalToGnatt[[#This Row],[Start Date]],CH$29&lt;ProposalToGnatt[[#This Row],[Start Date]]+ProposalToGnatt[[#This Row],[Days]]),$G$5,"")),"")</f>
        <v/>
      </c>
      <c r="CI48" s="37" t="str">
        <f ca="1">IFERROR(+IF(CI$29=ProposalToGnatt[[#This Row],[Start Date]],Milestone_Marker,IF(AND(CI$29&gt;ProposalToGnatt[[#This Row],[Start Date]],CI$29&lt;ProposalToGnatt[[#This Row],[Start Date]]+ProposalToGnatt[[#This Row],[Days]]),$G$5,"")),"")</f>
        <v/>
      </c>
      <c r="CJ48" s="37" t="str">
        <f ca="1">IFERROR(+IF(CJ$29=ProposalToGnatt[[#This Row],[Start Date]],Milestone_Marker,IF(AND(CJ$29&gt;ProposalToGnatt[[#This Row],[Start Date]],CJ$29&lt;ProposalToGnatt[[#This Row],[Start Date]]+ProposalToGnatt[[#This Row],[Days]]),$G$5,"")),"")</f>
        <v/>
      </c>
      <c r="CK48" s="37" t="str">
        <f ca="1">IFERROR(+IF(CK$29=ProposalToGnatt[[#This Row],[Start Date]],Milestone_Marker,IF(AND(CK$29&gt;ProposalToGnatt[[#This Row],[Start Date]],CK$29&lt;ProposalToGnatt[[#This Row],[Start Date]]+ProposalToGnatt[[#This Row],[Days]]),$G$5,"")),"")</f>
        <v/>
      </c>
      <c r="CL48" s="37" t="str">
        <f ca="1">IFERROR(+IF(CL$29=ProposalToGnatt[[#This Row],[Start Date]],Milestone_Marker,IF(AND(CL$29&gt;ProposalToGnatt[[#This Row],[Start Date]],CL$29&lt;ProposalToGnatt[[#This Row],[Start Date]]+ProposalToGnatt[[#This Row],[Days]]),$G$5,"")),"")</f>
        <v/>
      </c>
      <c r="CM48" s="37" t="str">
        <f ca="1">IFERROR(+IF(CM$29=ProposalToGnatt[[#This Row],[Start Date]],Milestone_Marker,IF(AND(CM$29&gt;ProposalToGnatt[[#This Row],[Start Date]],CM$29&lt;ProposalToGnatt[[#This Row],[Start Date]]+ProposalToGnatt[[#This Row],[Days]]),$G$5,"")),"")</f>
        <v/>
      </c>
      <c r="CN48" s="37" t="str">
        <f ca="1">IFERROR(+IF(CN$29=ProposalToGnatt[[#This Row],[Start Date]],Milestone_Marker,IF(AND(CN$29&gt;ProposalToGnatt[[#This Row],[Start Date]],CN$29&lt;ProposalToGnatt[[#This Row],[Start Date]]+ProposalToGnatt[[#This Row],[Days]]),$G$5,"")),"")</f>
        <v/>
      </c>
      <c r="CO48" s="37" t="str">
        <f ca="1">IFERROR(+IF(CO$29=ProposalToGnatt[[#This Row],[Start Date]],Milestone_Marker,IF(AND(CO$29&gt;ProposalToGnatt[[#This Row],[Start Date]],CO$29&lt;ProposalToGnatt[[#This Row],[Start Date]]+ProposalToGnatt[[#This Row],[Days]]),$G$5,"")),"")</f>
        <v/>
      </c>
      <c r="CP48" s="37" t="str">
        <f ca="1">IFERROR(+IF(CP$29=ProposalToGnatt[[#This Row],[Start Date]],Milestone_Marker,IF(AND(CP$29&gt;ProposalToGnatt[[#This Row],[Start Date]],CP$29&lt;ProposalToGnatt[[#This Row],[Start Date]]+ProposalToGnatt[[#This Row],[Days]]),$G$5,"")),"")</f>
        <v/>
      </c>
      <c r="CQ48" s="37" t="str">
        <f ca="1">IFERROR(+IF(CQ$29=ProposalToGnatt[[#This Row],[Start Date]],Milestone_Marker,IF(AND(CQ$29&gt;ProposalToGnatt[[#This Row],[Start Date]],CQ$29&lt;ProposalToGnatt[[#This Row],[Start Date]]+ProposalToGnatt[[#This Row],[Days]]),$G$5,"")),"")</f>
        <v/>
      </c>
      <c r="CR48" s="37" t="str">
        <f ca="1">IFERROR(+IF(CR$29=ProposalToGnatt[[#This Row],[Start Date]],Milestone_Marker,IF(AND(CR$29&gt;ProposalToGnatt[[#This Row],[Start Date]],CR$29&lt;ProposalToGnatt[[#This Row],[Start Date]]+ProposalToGnatt[[#This Row],[Days]]),$G$5,"")),"")</f>
        <v/>
      </c>
      <c r="CS48" s="37" t="str">
        <f ca="1">IFERROR(+IF(CS$29=ProposalToGnatt[[#This Row],[Start Date]],Milestone_Marker,IF(AND(CS$29&gt;ProposalToGnatt[[#This Row],[Start Date]],CS$29&lt;ProposalToGnatt[[#This Row],[Start Date]]+ProposalToGnatt[[#This Row],[Days]]),$G$5,"")),"")</f>
        <v/>
      </c>
      <c r="CT48" s="37" t="str">
        <f ca="1">IFERROR(+IF(CT$29=ProposalToGnatt[[#This Row],[Start Date]],Milestone_Marker,IF(AND(CT$29&gt;ProposalToGnatt[[#This Row],[Start Date]],CT$29&lt;ProposalToGnatt[[#This Row],[Start Date]]+ProposalToGnatt[[#This Row],[Days]]),$G$5,"")),"")</f>
        <v/>
      </c>
      <c r="CU48" s="37" t="str">
        <f ca="1">IFERROR(+IF(CU$29=ProposalToGnatt[[#This Row],[Start Date]],Milestone_Marker,IF(AND(CU$29&gt;ProposalToGnatt[[#This Row],[Start Date]],CU$29&lt;ProposalToGnatt[[#This Row],[Start Date]]+ProposalToGnatt[[#This Row],[Days]]),$G$5,"")),"")</f>
        <v/>
      </c>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row>
    <row r="49" spans="1:125" s="42" customFormat="1" ht="15">
      <c r="A49"/>
      <c r="B49"/>
      <c r="C49"/>
      <c r="D49"/>
      <c r="E49"/>
      <c r="F49"/>
      <c r="G49" s="11"/>
      <c r="H49" s="26"/>
      <c r="I49"/>
      <c r="J49"/>
      <c r="K49" s="363"/>
      <c r="L49"/>
      <c r="M49"/>
      <c r="N49"/>
      <c r="O49" s="26"/>
      <c r="P49" s="37" t="str">
        <f ca="1">IFERROR(+IF(P$29=ProposalToGnatt[[#This Row],[Start Date]],Milestone_Marker,IF(AND(P$29&gt;ProposalToGnatt[[#This Row],[Start Date]],P$29&lt;ProposalToGnatt[[#This Row],[Start Date]]+ProposalToGnatt[[#This Row],[Days]]),$G$5,"")),"")</f>
        <v/>
      </c>
      <c r="Q49" s="37" t="str">
        <f ca="1">IFERROR(+IF(Q$29=ProposalToGnatt[[#This Row],[Start Date]],Milestone_Marker,IF(AND(Q$29&gt;ProposalToGnatt[[#This Row],[Start Date]],Q$29&lt;ProposalToGnatt[[#This Row],[Start Date]]+ProposalToGnatt[[#This Row],[Days]]),$G$5,"")),"")</f>
        <v/>
      </c>
      <c r="R49" s="37" t="str">
        <f ca="1">IFERROR(+IF(R$29=ProposalToGnatt[[#This Row],[Start Date]],Milestone_Marker,IF(AND(R$29&gt;ProposalToGnatt[[#This Row],[Start Date]],R$29&lt;ProposalToGnatt[[#This Row],[Start Date]]+ProposalToGnatt[[#This Row],[Days]]),$G$5,"")),"")</f>
        <v/>
      </c>
      <c r="S49" s="37" t="str">
        <f ca="1">IFERROR(+IF(S$29=ProposalToGnatt[[#This Row],[Start Date]],Milestone_Marker,IF(AND(S$29&gt;ProposalToGnatt[[#This Row],[Start Date]],S$29&lt;ProposalToGnatt[[#This Row],[Start Date]]+ProposalToGnatt[[#This Row],[Days]]),$G$5,"")),"")</f>
        <v/>
      </c>
      <c r="T49" s="37" t="str">
        <f ca="1">IFERROR(+IF(T$29=ProposalToGnatt[[#This Row],[Start Date]],Milestone_Marker,IF(AND(T$29&gt;ProposalToGnatt[[#This Row],[Start Date]],T$29&lt;ProposalToGnatt[[#This Row],[Start Date]]+ProposalToGnatt[[#This Row],[Days]]),$G$5,"")),"")</f>
        <v/>
      </c>
      <c r="U49" s="37" t="str">
        <f ca="1">IFERROR(+IF(U$29=ProposalToGnatt[[#This Row],[Start Date]],Milestone_Marker,IF(AND(U$29&gt;ProposalToGnatt[[#This Row],[Start Date]],U$29&lt;ProposalToGnatt[[#This Row],[Start Date]]+ProposalToGnatt[[#This Row],[Days]]),$G$5,"")),"")</f>
        <v/>
      </c>
      <c r="V49" s="37" t="str">
        <f ca="1">IFERROR(+IF(V$29=ProposalToGnatt[[#This Row],[Start Date]],Milestone_Marker,IF(AND(V$29&gt;ProposalToGnatt[[#This Row],[Start Date]],V$29&lt;ProposalToGnatt[[#This Row],[Start Date]]+ProposalToGnatt[[#This Row],[Days]]),$G$5,"")),"")</f>
        <v/>
      </c>
      <c r="W49" s="37" t="str">
        <f ca="1">IFERROR(+IF(W$29=ProposalToGnatt[[#This Row],[Start Date]],Milestone_Marker,IF(AND(W$29&gt;ProposalToGnatt[[#This Row],[Start Date]],W$29&lt;ProposalToGnatt[[#This Row],[Start Date]]+ProposalToGnatt[[#This Row],[Days]]),$G$5,"")),"")</f>
        <v/>
      </c>
      <c r="X49" s="37" t="str">
        <f ca="1">IFERROR(+IF(X$29=ProposalToGnatt[[#This Row],[Start Date]],Milestone_Marker,IF(AND(X$29&gt;ProposalToGnatt[[#This Row],[Start Date]],X$29&lt;ProposalToGnatt[[#This Row],[Start Date]]+ProposalToGnatt[[#This Row],[Days]]),$G$5,"")),"")</f>
        <v/>
      </c>
      <c r="Y49" s="37" t="str">
        <f ca="1">IFERROR(+IF(Y$29=ProposalToGnatt[[#This Row],[Start Date]],Milestone_Marker,IF(AND(Y$29&gt;ProposalToGnatt[[#This Row],[Start Date]],Y$29&lt;ProposalToGnatt[[#This Row],[Start Date]]+ProposalToGnatt[[#This Row],[Days]]),$G$5,"")),"")</f>
        <v/>
      </c>
      <c r="Z49" s="37" t="str">
        <f ca="1">IFERROR(+IF(Z$29=ProposalToGnatt[[#This Row],[Start Date]],Milestone_Marker,IF(AND(Z$29&gt;ProposalToGnatt[[#This Row],[Start Date]],Z$29&lt;ProposalToGnatt[[#This Row],[Start Date]]+ProposalToGnatt[[#This Row],[Days]]),$G$5,"")),"")</f>
        <v/>
      </c>
      <c r="AA49" s="37" t="str">
        <f ca="1">IFERROR(+IF(AA$29=ProposalToGnatt[[#This Row],[Start Date]],Milestone_Marker,IF(AND(AA$29&gt;ProposalToGnatt[[#This Row],[Start Date]],AA$29&lt;ProposalToGnatt[[#This Row],[Start Date]]+ProposalToGnatt[[#This Row],[Days]]),$G$5,"")),"")</f>
        <v/>
      </c>
      <c r="AB49" s="37" t="str">
        <f ca="1">IFERROR(+IF(AB$29=ProposalToGnatt[[#This Row],[Start Date]],Milestone_Marker,IF(AND(AB$29&gt;ProposalToGnatt[[#This Row],[Start Date]],AB$29&lt;ProposalToGnatt[[#This Row],[Start Date]]+ProposalToGnatt[[#This Row],[Days]]),$G$5,"")),"")</f>
        <v/>
      </c>
      <c r="AC49" s="37" t="str">
        <f ca="1">IFERROR(+IF(AC$29=ProposalToGnatt[[#This Row],[Start Date]],Milestone_Marker,IF(AND(AC$29&gt;ProposalToGnatt[[#This Row],[Start Date]],AC$29&lt;ProposalToGnatt[[#This Row],[Start Date]]+ProposalToGnatt[[#This Row],[Days]]),$G$5,"")),"")</f>
        <v/>
      </c>
      <c r="AD49" s="37" t="str">
        <f ca="1">IFERROR(+IF(AD$29=ProposalToGnatt[[#This Row],[Start Date]],Milestone_Marker,IF(AND(AD$29&gt;ProposalToGnatt[[#This Row],[Start Date]],AD$29&lt;ProposalToGnatt[[#This Row],[Start Date]]+ProposalToGnatt[[#This Row],[Days]]),$G$5,"")),"")</f>
        <v/>
      </c>
      <c r="AE49" s="37" t="str">
        <f ca="1">IFERROR(+IF(AE$29=ProposalToGnatt[[#This Row],[Start Date]],Milestone_Marker,IF(AND(AE$29&gt;ProposalToGnatt[[#This Row],[Start Date]],AE$29&lt;ProposalToGnatt[[#This Row],[Start Date]]+ProposalToGnatt[[#This Row],[Days]]),$G$5,"")),"")</f>
        <v/>
      </c>
      <c r="AF49" s="37" t="str">
        <f ca="1">IFERROR(+IF(AF$29=ProposalToGnatt[[#This Row],[Start Date]],Milestone_Marker,IF(AND(AF$29&gt;ProposalToGnatt[[#This Row],[Start Date]],AF$29&lt;ProposalToGnatt[[#This Row],[Start Date]]+ProposalToGnatt[[#This Row],[Days]]),$G$5,"")),"")</f>
        <v/>
      </c>
      <c r="AG49" s="37" t="str">
        <f ca="1">IFERROR(+IF(AG$29=ProposalToGnatt[[#This Row],[Start Date]],Milestone_Marker,IF(AND(AG$29&gt;ProposalToGnatt[[#This Row],[Start Date]],AG$29&lt;ProposalToGnatt[[#This Row],[Start Date]]+ProposalToGnatt[[#This Row],[Days]]),$G$5,"")),"")</f>
        <v/>
      </c>
      <c r="AH49" s="37" t="str">
        <f ca="1">IFERROR(+IF(AH$29=ProposalToGnatt[[#This Row],[Start Date]],Milestone_Marker,IF(AND(AH$29&gt;ProposalToGnatt[[#This Row],[Start Date]],AH$29&lt;ProposalToGnatt[[#This Row],[Start Date]]+ProposalToGnatt[[#This Row],[Days]]),$G$5,"")),"")</f>
        <v/>
      </c>
      <c r="AI49" s="37" t="str">
        <f ca="1">IFERROR(+IF(AI$29=ProposalToGnatt[[#This Row],[Start Date]],Milestone_Marker,IF(AND(AI$29&gt;ProposalToGnatt[[#This Row],[Start Date]],AI$29&lt;ProposalToGnatt[[#This Row],[Start Date]]+ProposalToGnatt[[#This Row],[Days]]),$G$5,"")),"")</f>
        <v/>
      </c>
      <c r="AJ49" s="37" t="str">
        <f ca="1">IFERROR(+IF(AJ$29=ProposalToGnatt[[#This Row],[Start Date]],Milestone_Marker,IF(AND(AJ$29&gt;ProposalToGnatt[[#This Row],[Start Date]],AJ$29&lt;ProposalToGnatt[[#This Row],[Start Date]]+ProposalToGnatt[[#This Row],[Days]]),$G$5,"")),"")</f>
        <v/>
      </c>
      <c r="AK49" s="37" t="str">
        <f ca="1">IFERROR(+IF(AK$29=ProposalToGnatt[[#This Row],[Start Date]],Milestone_Marker,IF(AND(AK$29&gt;ProposalToGnatt[[#This Row],[Start Date]],AK$29&lt;ProposalToGnatt[[#This Row],[Start Date]]+ProposalToGnatt[[#This Row],[Days]]),$G$5,"")),"")</f>
        <v/>
      </c>
      <c r="AL49" s="37" t="str">
        <f ca="1">IFERROR(+IF(AL$29=ProposalToGnatt[[#This Row],[Start Date]],Milestone_Marker,IF(AND(AL$29&gt;ProposalToGnatt[[#This Row],[Start Date]],AL$29&lt;ProposalToGnatt[[#This Row],[Start Date]]+ProposalToGnatt[[#This Row],[Days]]),$G$5,"")),"")</f>
        <v/>
      </c>
      <c r="AM49" s="37" t="str">
        <f ca="1">IFERROR(+IF(AM$29=ProposalToGnatt[[#This Row],[Start Date]],Milestone_Marker,IF(AND(AM$29&gt;ProposalToGnatt[[#This Row],[Start Date]],AM$29&lt;ProposalToGnatt[[#This Row],[Start Date]]+ProposalToGnatt[[#This Row],[Days]]),$G$5,"")),"")</f>
        <v/>
      </c>
      <c r="AN49" s="37" t="str">
        <f ca="1">IFERROR(+IF(AN$29=ProposalToGnatt[[#This Row],[Start Date]],Milestone_Marker,IF(AND(AN$29&gt;ProposalToGnatt[[#This Row],[Start Date]],AN$29&lt;ProposalToGnatt[[#This Row],[Start Date]]+ProposalToGnatt[[#This Row],[Days]]),$G$5,"")),"")</f>
        <v/>
      </c>
      <c r="AO49" s="37" t="str">
        <f ca="1">IFERROR(+IF(AO$29=ProposalToGnatt[[#This Row],[Start Date]],Milestone_Marker,IF(AND(AO$29&gt;ProposalToGnatt[[#This Row],[Start Date]],AO$29&lt;ProposalToGnatt[[#This Row],[Start Date]]+ProposalToGnatt[[#This Row],[Days]]),$G$5,"")),"")</f>
        <v/>
      </c>
      <c r="AP49" s="37" t="str">
        <f ca="1">IFERROR(+IF(AP$29=ProposalToGnatt[[#This Row],[Start Date]],Milestone_Marker,IF(AND(AP$29&gt;ProposalToGnatt[[#This Row],[Start Date]],AP$29&lt;ProposalToGnatt[[#This Row],[Start Date]]+ProposalToGnatt[[#This Row],[Days]]),$G$5,"")),"")</f>
        <v/>
      </c>
      <c r="AQ49" s="37" t="str">
        <f ca="1">IFERROR(+IF(AQ$29=ProposalToGnatt[[#This Row],[Start Date]],Milestone_Marker,IF(AND(AQ$29&gt;ProposalToGnatt[[#This Row],[Start Date]],AQ$29&lt;ProposalToGnatt[[#This Row],[Start Date]]+ProposalToGnatt[[#This Row],[Days]]),$G$5,"")),"")</f>
        <v/>
      </c>
      <c r="AR49" s="37" t="str">
        <f ca="1">IFERROR(+IF(AR$29=ProposalToGnatt[[#This Row],[Start Date]],Milestone_Marker,IF(AND(AR$29&gt;ProposalToGnatt[[#This Row],[Start Date]],AR$29&lt;ProposalToGnatt[[#This Row],[Start Date]]+ProposalToGnatt[[#This Row],[Days]]),$G$5,"")),"")</f>
        <v/>
      </c>
      <c r="AS49" s="37" t="str">
        <f ca="1">IFERROR(+IF(AS$29=ProposalToGnatt[[#This Row],[Start Date]],Milestone_Marker,IF(AND(AS$29&gt;ProposalToGnatt[[#This Row],[Start Date]],AS$29&lt;ProposalToGnatt[[#This Row],[Start Date]]+ProposalToGnatt[[#This Row],[Days]]),$G$5,"")),"")</f>
        <v/>
      </c>
      <c r="AT49" s="37" t="str">
        <f ca="1">IFERROR(+IF(AT$29=ProposalToGnatt[[#This Row],[Start Date]],Milestone_Marker,IF(AND(AT$29&gt;ProposalToGnatt[[#This Row],[Start Date]],AT$29&lt;ProposalToGnatt[[#This Row],[Start Date]]+ProposalToGnatt[[#This Row],[Days]]),$G$5,"")),"")</f>
        <v/>
      </c>
      <c r="AU49" s="37" t="str">
        <f ca="1">IFERROR(+IF(AU$29=ProposalToGnatt[[#This Row],[Start Date]],Milestone_Marker,IF(AND(AU$29&gt;ProposalToGnatt[[#This Row],[Start Date]],AU$29&lt;ProposalToGnatt[[#This Row],[Start Date]]+ProposalToGnatt[[#This Row],[Days]]),$G$5,"")),"")</f>
        <v/>
      </c>
      <c r="AV49" s="37" t="str">
        <f ca="1">IFERROR(+IF(AV$29=ProposalToGnatt[[#This Row],[Start Date]],Milestone_Marker,IF(AND(AV$29&gt;ProposalToGnatt[[#This Row],[Start Date]],AV$29&lt;ProposalToGnatt[[#This Row],[Start Date]]+ProposalToGnatt[[#This Row],[Days]]),$G$5,"")),"")</f>
        <v/>
      </c>
      <c r="AW49" s="37" t="str">
        <f ca="1">IFERROR(+IF(AW$29=ProposalToGnatt[[#This Row],[Start Date]],Milestone_Marker,IF(AND(AW$29&gt;ProposalToGnatt[[#This Row],[Start Date]],AW$29&lt;ProposalToGnatt[[#This Row],[Start Date]]+ProposalToGnatt[[#This Row],[Days]]),$G$5,"")),"")</f>
        <v/>
      </c>
      <c r="AX49" s="37" t="str">
        <f ca="1">IFERROR(+IF(AX$29=ProposalToGnatt[[#This Row],[Start Date]],Milestone_Marker,IF(AND(AX$29&gt;ProposalToGnatt[[#This Row],[Start Date]],AX$29&lt;ProposalToGnatt[[#This Row],[Start Date]]+ProposalToGnatt[[#This Row],[Days]]),$G$5,"")),"")</f>
        <v/>
      </c>
      <c r="AY49" s="37" t="str">
        <f ca="1">IFERROR(+IF(AY$29=ProposalToGnatt[[#This Row],[Start Date]],Milestone_Marker,IF(AND(AY$29&gt;ProposalToGnatt[[#This Row],[Start Date]],AY$29&lt;ProposalToGnatt[[#This Row],[Start Date]]+ProposalToGnatt[[#This Row],[Days]]),$G$5,"")),"")</f>
        <v/>
      </c>
      <c r="AZ49" s="37" t="str">
        <f ca="1">IFERROR(+IF(AZ$29=ProposalToGnatt[[#This Row],[Start Date]],Milestone_Marker,IF(AND(AZ$29&gt;ProposalToGnatt[[#This Row],[Start Date]],AZ$29&lt;ProposalToGnatt[[#This Row],[Start Date]]+ProposalToGnatt[[#This Row],[Days]]),$G$5,"")),"")</f>
        <v/>
      </c>
      <c r="BA49" s="37" t="str">
        <f ca="1">IFERROR(+IF(BA$29=ProposalToGnatt[[#This Row],[Start Date]],Milestone_Marker,IF(AND(BA$29&gt;ProposalToGnatt[[#This Row],[Start Date]],BA$29&lt;ProposalToGnatt[[#This Row],[Start Date]]+ProposalToGnatt[[#This Row],[Days]]),$G$5,"")),"")</f>
        <v/>
      </c>
      <c r="BB49" s="37" t="str">
        <f ca="1">IFERROR(+IF(BB$29=ProposalToGnatt[[#This Row],[Start Date]],Milestone_Marker,IF(AND(BB$29&gt;ProposalToGnatt[[#This Row],[Start Date]],BB$29&lt;ProposalToGnatt[[#This Row],[Start Date]]+ProposalToGnatt[[#This Row],[Days]]),$G$5,"")),"")</f>
        <v/>
      </c>
      <c r="BC49" s="37" t="str">
        <f ca="1">IFERROR(+IF(BC$29=ProposalToGnatt[[#This Row],[Start Date]],Milestone_Marker,IF(AND(BC$29&gt;ProposalToGnatt[[#This Row],[Start Date]],BC$29&lt;ProposalToGnatt[[#This Row],[Start Date]]+ProposalToGnatt[[#This Row],[Days]]),$G$5,"")),"")</f>
        <v/>
      </c>
      <c r="BD49" s="37" t="str">
        <f ca="1">IFERROR(+IF(BD$29=ProposalToGnatt[[#This Row],[Start Date]],Milestone_Marker,IF(AND(BD$29&gt;ProposalToGnatt[[#This Row],[Start Date]],BD$29&lt;ProposalToGnatt[[#This Row],[Start Date]]+ProposalToGnatt[[#This Row],[Days]]),$G$5,"")),"")</f>
        <v/>
      </c>
      <c r="BE49" s="37" t="str">
        <f ca="1">IFERROR(+IF(BE$29=ProposalToGnatt[[#This Row],[Start Date]],Milestone_Marker,IF(AND(BE$29&gt;ProposalToGnatt[[#This Row],[Start Date]],BE$29&lt;ProposalToGnatt[[#This Row],[Start Date]]+ProposalToGnatt[[#This Row],[Days]]),$G$5,"")),"")</f>
        <v/>
      </c>
      <c r="BF49" s="37" t="str">
        <f ca="1">IFERROR(+IF(BF$29=ProposalToGnatt[[#This Row],[Start Date]],Milestone_Marker,IF(AND(BF$29&gt;ProposalToGnatt[[#This Row],[Start Date]],BF$29&lt;ProposalToGnatt[[#This Row],[Start Date]]+ProposalToGnatt[[#This Row],[Days]]),$G$5,"")),"")</f>
        <v/>
      </c>
      <c r="BG49" s="37" t="str">
        <f ca="1">IFERROR(+IF(BG$29=ProposalToGnatt[[#This Row],[Start Date]],Milestone_Marker,IF(AND(BG$29&gt;ProposalToGnatt[[#This Row],[Start Date]],BG$29&lt;ProposalToGnatt[[#This Row],[Start Date]]+ProposalToGnatt[[#This Row],[Days]]),$G$5,"")),"")</f>
        <v/>
      </c>
      <c r="BH49" s="37" t="str">
        <f ca="1">IFERROR(+IF(BH$29=ProposalToGnatt[[#This Row],[Start Date]],Milestone_Marker,IF(AND(BH$29&gt;ProposalToGnatt[[#This Row],[Start Date]],BH$29&lt;ProposalToGnatt[[#This Row],[Start Date]]+ProposalToGnatt[[#This Row],[Days]]),$G$5,"")),"")</f>
        <v/>
      </c>
      <c r="BI49" s="37" t="str">
        <f ca="1">IFERROR(+IF(BI$29=ProposalToGnatt[[#This Row],[Start Date]],Milestone_Marker,IF(AND(BI$29&gt;ProposalToGnatt[[#This Row],[Start Date]],BI$29&lt;ProposalToGnatt[[#This Row],[Start Date]]+ProposalToGnatt[[#This Row],[Days]]),$G$5,"")),"")</f>
        <v/>
      </c>
      <c r="BJ49" s="37" t="str">
        <f ca="1">IFERROR(+IF(BJ$29=ProposalToGnatt[[#This Row],[Start Date]],Milestone_Marker,IF(AND(BJ$29&gt;ProposalToGnatt[[#This Row],[Start Date]],BJ$29&lt;ProposalToGnatt[[#This Row],[Start Date]]+ProposalToGnatt[[#This Row],[Days]]),$G$5,"")),"")</f>
        <v/>
      </c>
      <c r="BK49" s="37" t="str">
        <f ca="1">IFERROR(+IF(BK$29=ProposalToGnatt[[#This Row],[Start Date]],Milestone_Marker,IF(AND(BK$29&gt;ProposalToGnatt[[#This Row],[Start Date]],BK$29&lt;ProposalToGnatt[[#This Row],[Start Date]]+ProposalToGnatt[[#This Row],[Days]]),$G$5,"")),"")</f>
        <v/>
      </c>
      <c r="BL49" s="37" t="str">
        <f ca="1">IFERROR(+IF(BL$29=ProposalToGnatt[[#This Row],[Start Date]],Milestone_Marker,IF(AND(BL$29&gt;ProposalToGnatt[[#This Row],[Start Date]],BL$29&lt;ProposalToGnatt[[#This Row],[Start Date]]+ProposalToGnatt[[#This Row],[Days]]),$G$5,"")),"")</f>
        <v/>
      </c>
      <c r="BM49" s="37" t="str">
        <f ca="1">IFERROR(+IF(BM$29=ProposalToGnatt[[#This Row],[Start Date]],Milestone_Marker,IF(AND(BM$29&gt;ProposalToGnatt[[#This Row],[Start Date]],BM$29&lt;ProposalToGnatt[[#This Row],[Start Date]]+ProposalToGnatt[[#This Row],[Days]]),$G$5,"")),"")</f>
        <v/>
      </c>
      <c r="BN49" s="37" t="str">
        <f ca="1">IFERROR(+IF(BN$29=ProposalToGnatt[[#This Row],[Start Date]],Milestone_Marker,IF(AND(BN$29&gt;ProposalToGnatt[[#This Row],[Start Date]],BN$29&lt;ProposalToGnatt[[#This Row],[Start Date]]+ProposalToGnatt[[#This Row],[Days]]),$G$5,"")),"")</f>
        <v/>
      </c>
      <c r="BO49" s="37" t="str">
        <f ca="1">IFERROR(+IF(BO$29=ProposalToGnatt[[#This Row],[Start Date]],Milestone_Marker,IF(AND(BO$29&gt;ProposalToGnatt[[#This Row],[Start Date]],BO$29&lt;ProposalToGnatt[[#This Row],[Start Date]]+ProposalToGnatt[[#This Row],[Days]]),$G$5,"")),"")</f>
        <v/>
      </c>
      <c r="BP49" s="37" t="str">
        <f ca="1">IFERROR(+IF(BP$29=ProposalToGnatt[[#This Row],[Start Date]],Milestone_Marker,IF(AND(BP$29&gt;ProposalToGnatt[[#This Row],[Start Date]],BP$29&lt;ProposalToGnatt[[#This Row],[Start Date]]+ProposalToGnatt[[#This Row],[Days]]),$G$5,"")),"")</f>
        <v/>
      </c>
      <c r="BQ49" s="37" t="str">
        <f ca="1">IFERROR(+IF(BQ$29=ProposalToGnatt[[#This Row],[Start Date]],Milestone_Marker,IF(AND(BQ$29&gt;ProposalToGnatt[[#This Row],[Start Date]],BQ$29&lt;ProposalToGnatt[[#This Row],[Start Date]]+ProposalToGnatt[[#This Row],[Days]]),$G$5,"")),"")</f>
        <v/>
      </c>
      <c r="BR49" s="37" t="str">
        <f ca="1">IFERROR(+IF(BR$29=ProposalToGnatt[[#This Row],[Start Date]],Milestone_Marker,IF(AND(BR$29&gt;ProposalToGnatt[[#This Row],[Start Date]],BR$29&lt;ProposalToGnatt[[#This Row],[Start Date]]+ProposalToGnatt[[#This Row],[Days]]),$G$5,"")),"")</f>
        <v/>
      </c>
      <c r="BS49" s="37" t="str">
        <f ca="1">IFERROR(+IF(BS$29=ProposalToGnatt[[#This Row],[Start Date]],Milestone_Marker,IF(AND(BS$29&gt;ProposalToGnatt[[#This Row],[Start Date]],BS$29&lt;ProposalToGnatt[[#This Row],[Start Date]]+ProposalToGnatt[[#This Row],[Days]]),$G$5,"")),"")</f>
        <v/>
      </c>
      <c r="BT49" s="37" t="str">
        <f ca="1">IFERROR(+IF(BT$29=ProposalToGnatt[[#This Row],[Start Date]],Milestone_Marker,IF(AND(BT$29&gt;ProposalToGnatt[[#This Row],[Start Date]],BT$29&lt;ProposalToGnatt[[#This Row],[Start Date]]+ProposalToGnatt[[#This Row],[Days]]),$G$5,"")),"")</f>
        <v/>
      </c>
      <c r="BU49" s="37" t="str">
        <f ca="1">IFERROR(+IF(BU$29=ProposalToGnatt[[#This Row],[Start Date]],Milestone_Marker,IF(AND(BU$29&gt;ProposalToGnatt[[#This Row],[Start Date]],BU$29&lt;ProposalToGnatt[[#This Row],[Start Date]]+ProposalToGnatt[[#This Row],[Days]]),$G$5,"")),"")</f>
        <v/>
      </c>
      <c r="BV49" s="37" t="str">
        <f ca="1">IFERROR(+IF(BV$29=ProposalToGnatt[[#This Row],[Start Date]],Milestone_Marker,IF(AND(BV$29&gt;ProposalToGnatt[[#This Row],[Start Date]],BV$29&lt;ProposalToGnatt[[#This Row],[Start Date]]+ProposalToGnatt[[#This Row],[Days]]),$G$5,"")),"")</f>
        <v/>
      </c>
      <c r="BW49" s="37" t="str">
        <f ca="1">IFERROR(+IF(BW$29=ProposalToGnatt[[#This Row],[Start Date]],Milestone_Marker,IF(AND(BW$29&gt;ProposalToGnatt[[#This Row],[Start Date]],BW$29&lt;ProposalToGnatt[[#This Row],[Start Date]]+ProposalToGnatt[[#This Row],[Days]]),$G$5,"")),"")</f>
        <v/>
      </c>
      <c r="BX49" s="37" t="str">
        <f ca="1">IFERROR(+IF(BX$29=ProposalToGnatt[[#This Row],[Start Date]],Milestone_Marker,IF(AND(BX$29&gt;ProposalToGnatt[[#This Row],[Start Date]],BX$29&lt;ProposalToGnatt[[#This Row],[Start Date]]+ProposalToGnatt[[#This Row],[Days]]),$G$5,"")),"")</f>
        <v/>
      </c>
      <c r="BY49" s="37" t="str">
        <f ca="1">IFERROR(+IF(BY$29=ProposalToGnatt[[#This Row],[Start Date]],Milestone_Marker,IF(AND(BY$29&gt;ProposalToGnatt[[#This Row],[Start Date]],BY$29&lt;ProposalToGnatt[[#This Row],[Start Date]]+ProposalToGnatt[[#This Row],[Days]]),$G$5,"")),"")</f>
        <v/>
      </c>
      <c r="BZ49" s="37" t="str">
        <f ca="1">IFERROR(+IF(BZ$29=ProposalToGnatt[[#This Row],[Start Date]],Milestone_Marker,IF(AND(BZ$29&gt;ProposalToGnatt[[#This Row],[Start Date]],BZ$29&lt;ProposalToGnatt[[#This Row],[Start Date]]+ProposalToGnatt[[#This Row],[Days]]),$G$5,"")),"")</f>
        <v/>
      </c>
      <c r="CA49" s="37" t="str">
        <f ca="1">IFERROR(+IF(CA$29=ProposalToGnatt[[#This Row],[Start Date]],Milestone_Marker,IF(AND(CA$29&gt;ProposalToGnatt[[#This Row],[Start Date]],CA$29&lt;ProposalToGnatt[[#This Row],[Start Date]]+ProposalToGnatt[[#This Row],[Days]]),$G$5,"")),"")</f>
        <v/>
      </c>
      <c r="CB49" s="37" t="str">
        <f ca="1">IFERROR(+IF(CB$29=ProposalToGnatt[[#This Row],[Start Date]],Milestone_Marker,IF(AND(CB$29&gt;ProposalToGnatt[[#This Row],[Start Date]],CB$29&lt;ProposalToGnatt[[#This Row],[Start Date]]+ProposalToGnatt[[#This Row],[Days]]),$G$5,"")),"")</f>
        <v/>
      </c>
      <c r="CC49" s="37" t="str">
        <f ca="1">IFERROR(+IF(CC$29=ProposalToGnatt[[#This Row],[Start Date]],Milestone_Marker,IF(AND(CC$29&gt;ProposalToGnatt[[#This Row],[Start Date]],CC$29&lt;ProposalToGnatt[[#This Row],[Start Date]]+ProposalToGnatt[[#This Row],[Days]]),$G$5,"")),"")</f>
        <v/>
      </c>
      <c r="CD49" s="37" t="str">
        <f ca="1">IFERROR(+IF(CD$29=ProposalToGnatt[[#This Row],[Start Date]],Milestone_Marker,IF(AND(CD$29&gt;ProposalToGnatt[[#This Row],[Start Date]],CD$29&lt;ProposalToGnatt[[#This Row],[Start Date]]+ProposalToGnatt[[#This Row],[Days]]),$G$5,"")),"")</f>
        <v/>
      </c>
      <c r="CE49" s="37" t="str">
        <f ca="1">IFERROR(+IF(CE$29=ProposalToGnatt[[#This Row],[Start Date]],Milestone_Marker,IF(AND(CE$29&gt;ProposalToGnatt[[#This Row],[Start Date]],CE$29&lt;ProposalToGnatt[[#This Row],[Start Date]]+ProposalToGnatt[[#This Row],[Days]]),$G$5,"")),"")</f>
        <v/>
      </c>
      <c r="CF49" s="37" t="str">
        <f ca="1">IFERROR(+IF(CF$29=ProposalToGnatt[[#This Row],[Start Date]],Milestone_Marker,IF(AND(CF$29&gt;ProposalToGnatt[[#This Row],[Start Date]],CF$29&lt;ProposalToGnatt[[#This Row],[Start Date]]+ProposalToGnatt[[#This Row],[Days]]),$G$5,"")),"")</f>
        <v/>
      </c>
      <c r="CG49" s="37" t="str">
        <f ca="1">IFERROR(+IF(CG$29=ProposalToGnatt[[#This Row],[Start Date]],Milestone_Marker,IF(AND(CG$29&gt;ProposalToGnatt[[#This Row],[Start Date]],CG$29&lt;ProposalToGnatt[[#This Row],[Start Date]]+ProposalToGnatt[[#This Row],[Days]]),$G$5,"")),"")</f>
        <v/>
      </c>
      <c r="CH49" s="37" t="str">
        <f ca="1">IFERROR(+IF(CH$29=ProposalToGnatt[[#This Row],[Start Date]],Milestone_Marker,IF(AND(CH$29&gt;ProposalToGnatt[[#This Row],[Start Date]],CH$29&lt;ProposalToGnatt[[#This Row],[Start Date]]+ProposalToGnatt[[#This Row],[Days]]),$G$5,"")),"")</f>
        <v/>
      </c>
      <c r="CI49" s="37" t="str">
        <f ca="1">IFERROR(+IF(CI$29=ProposalToGnatt[[#This Row],[Start Date]],Milestone_Marker,IF(AND(CI$29&gt;ProposalToGnatt[[#This Row],[Start Date]],CI$29&lt;ProposalToGnatt[[#This Row],[Start Date]]+ProposalToGnatt[[#This Row],[Days]]),$G$5,"")),"")</f>
        <v/>
      </c>
      <c r="CJ49" s="37" t="str">
        <f ca="1">IFERROR(+IF(CJ$29=ProposalToGnatt[[#This Row],[Start Date]],Milestone_Marker,IF(AND(CJ$29&gt;ProposalToGnatt[[#This Row],[Start Date]],CJ$29&lt;ProposalToGnatt[[#This Row],[Start Date]]+ProposalToGnatt[[#This Row],[Days]]),$G$5,"")),"")</f>
        <v/>
      </c>
      <c r="CK49" s="37" t="str">
        <f ca="1">IFERROR(+IF(CK$29=ProposalToGnatt[[#This Row],[Start Date]],Milestone_Marker,IF(AND(CK$29&gt;ProposalToGnatt[[#This Row],[Start Date]],CK$29&lt;ProposalToGnatt[[#This Row],[Start Date]]+ProposalToGnatt[[#This Row],[Days]]),$G$5,"")),"")</f>
        <v/>
      </c>
      <c r="CL49" s="37" t="str">
        <f ca="1">IFERROR(+IF(CL$29=ProposalToGnatt[[#This Row],[Start Date]],Milestone_Marker,IF(AND(CL$29&gt;ProposalToGnatt[[#This Row],[Start Date]],CL$29&lt;ProposalToGnatt[[#This Row],[Start Date]]+ProposalToGnatt[[#This Row],[Days]]),$G$5,"")),"")</f>
        <v/>
      </c>
      <c r="CM49" s="37" t="str">
        <f ca="1">IFERROR(+IF(CM$29=ProposalToGnatt[[#This Row],[Start Date]],Milestone_Marker,IF(AND(CM$29&gt;ProposalToGnatt[[#This Row],[Start Date]],CM$29&lt;ProposalToGnatt[[#This Row],[Start Date]]+ProposalToGnatt[[#This Row],[Days]]),$G$5,"")),"")</f>
        <v/>
      </c>
      <c r="CN49" s="37" t="str">
        <f ca="1">IFERROR(+IF(CN$29=ProposalToGnatt[[#This Row],[Start Date]],Milestone_Marker,IF(AND(CN$29&gt;ProposalToGnatt[[#This Row],[Start Date]],CN$29&lt;ProposalToGnatt[[#This Row],[Start Date]]+ProposalToGnatt[[#This Row],[Days]]),$G$5,"")),"")</f>
        <v/>
      </c>
      <c r="CO49" s="37" t="str">
        <f ca="1">IFERROR(+IF(CO$29=ProposalToGnatt[[#This Row],[Start Date]],Milestone_Marker,IF(AND(CO$29&gt;ProposalToGnatt[[#This Row],[Start Date]],CO$29&lt;ProposalToGnatt[[#This Row],[Start Date]]+ProposalToGnatt[[#This Row],[Days]]),$G$5,"")),"")</f>
        <v/>
      </c>
      <c r="CP49" s="37" t="str">
        <f ca="1">IFERROR(+IF(CP$29=ProposalToGnatt[[#This Row],[Start Date]],Milestone_Marker,IF(AND(CP$29&gt;ProposalToGnatt[[#This Row],[Start Date]],CP$29&lt;ProposalToGnatt[[#This Row],[Start Date]]+ProposalToGnatt[[#This Row],[Days]]),$G$5,"")),"")</f>
        <v/>
      </c>
      <c r="CQ49" s="37" t="str">
        <f ca="1">IFERROR(+IF(CQ$29=ProposalToGnatt[[#This Row],[Start Date]],Milestone_Marker,IF(AND(CQ$29&gt;ProposalToGnatt[[#This Row],[Start Date]],CQ$29&lt;ProposalToGnatt[[#This Row],[Start Date]]+ProposalToGnatt[[#This Row],[Days]]),$G$5,"")),"")</f>
        <v/>
      </c>
      <c r="CR49" s="37" t="str">
        <f ca="1">IFERROR(+IF(CR$29=ProposalToGnatt[[#This Row],[Start Date]],Milestone_Marker,IF(AND(CR$29&gt;ProposalToGnatt[[#This Row],[Start Date]],CR$29&lt;ProposalToGnatt[[#This Row],[Start Date]]+ProposalToGnatt[[#This Row],[Days]]),$G$5,"")),"")</f>
        <v/>
      </c>
      <c r="CS49" s="37" t="str">
        <f ca="1">IFERROR(+IF(CS$29=ProposalToGnatt[[#This Row],[Start Date]],Milestone_Marker,IF(AND(CS$29&gt;ProposalToGnatt[[#This Row],[Start Date]],CS$29&lt;ProposalToGnatt[[#This Row],[Start Date]]+ProposalToGnatt[[#This Row],[Days]]),$G$5,"")),"")</f>
        <v/>
      </c>
      <c r="CT49" s="37" t="str">
        <f ca="1">IFERROR(+IF(CT$29=ProposalToGnatt[[#This Row],[Start Date]],Milestone_Marker,IF(AND(CT$29&gt;ProposalToGnatt[[#This Row],[Start Date]],CT$29&lt;ProposalToGnatt[[#This Row],[Start Date]]+ProposalToGnatt[[#This Row],[Days]]),$G$5,"")),"")</f>
        <v/>
      </c>
      <c r="CU49" s="37" t="str">
        <f ca="1">IFERROR(+IF(CU$29=ProposalToGnatt[[#This Row],[Start Date]],Milestone_Marker,IF(AND(CU$29&gt;ProposalToGnatt[[#This Row],[Start Date]],CU$29&lt;ProposalToGnatt[[#This Row],[Start Date]]+ProposalToGnatt[[#This Row],[Days]]),$G$5,"")),"")</f>
        <v/>
      </c>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row>
    <row r="50" spans="1:125" s="42" customFormat="1" ht="15">
      <c r="A50"/>
      <c r="B50"/>
      <c r="C50"/>
      <c r="D50"/>
      <c r="E50"/>
      <c r="F50"/>
      <c r="G50" s="11"/>
      <c r="H50" s="26"/>
      <c r="I50"/>
      <c r="J50"/>
      <c r="K50" s="363"/>
      <c r="L50"/>
      <c r="M50"/>
      <c r="N50"/>
      <c r="O50" s="26"/>
      <c r="P50" s="37" t="str">
        <f ca="1">IFERROR(+IF(P$29=ProposalToGnatt[[#This Row],[Start Date]],Milestone_Marker,IF(AND(P$29&gt;ProposalToGnatt[[#This Row],[Start Date]],P$29&lt;ProposalToGnatt[[#This Row],[Start Date]]+ProposalToGnatt[[#This Row],[Days]]),$G$5,"")),"")</f>
        <v/>
      </c>
      <c r="Q50" s="37" t="str">
        <f ca="1">IFERROR(+IF(Q$29=ProposalToGnatt[[#This Row],[Start Date]],Milestone_Marker,IF(AND(Q$29&gt;ProposalToGnatt[[#This Row],[Start Date]],Q$29&lt;ProposalToGnatt[[#This Row],[Start Date]]+ProposalToGnatt[[#This Row],[Days]]),$G$5,"")),"")</f>
        <v/>
      </c>
      <c r="R50" s="37" t="str">
        <f ca="1">IFERROR(+IF(R$29=ProposalToGnatt[[#This Row],[Start Date]],Milestone_Marker,IF(AND(R$29&gt;ProposalToGnatt[[#This Row],[Start Date]],R$29&lt;ProposalToGnatt[[#This Row],[Start Date]]+ProposalToGnatt[[#This Row],[Days]]),$G$5,"")),"")</f>
        <v/>
      </c>
      <c r="S50" s="37" t="str">
        <f ca="1">IFERROR(+IF(S$29=ProposalToGnatt[[#This Row],[Start Date]],Milestone_Marker,IF(AND(S$29&gt;ProposalToGnatt[[#This Row],[Start Date]],S$29&lt;ProposalToGnatt[[#This Row],[Start Date]]+ProposalToGnatt[[#This Row],[Days]]),$G$5,"")),"")</f>
        <v/>
      </c>
      <c r="T50" s="37" t="str">
        <f ca="1">IFERROR(+IF(T$29=ProposalToGnatt[[#This Row],[Start Date]],Milestone_Marker,IF(AND(T$29&gt;ProposalToGnatt[[#This Row],[Start Date]],T$29&lt;ProposalToGnatt[[#This Row],[Start Date]]+ProposalToGnatt[[#This Row],[Days]]),$G$5,"")),"")</f>
        <v/>
      </c>
      <c r="U50" s="37" t="str">
        <f ca="1">IFERROR(+IF(U$29=ProposalToGnatt[[#This Row],[Start Date]],Milestone_Marker,IF(AND(U$29&gt;ProposalToGnatt[[#This Row],[Start Date]],U$29&lt;ProposalToGnatt[[#This Row],[Start Date]]+ProposalToGnatt[[#This Row],[Days]]),$G$5,"")),"")</f>
        <v/>
      </c>
      <c r="V50" s="37" t="str">
        <f ca="1">IFERROR(+IF(V$29=ProposalToGnatt[[#This Row],[Start Date]],Milestone_Marker,IF(AND(V$29&gt;ProposalToGnatt[[#This Row],[Start Date]],V$29&lt;ProposalToGnatt[[#This Row],[Start Date]]+ProposalToGnatt[[#This Row],[Days]]),$G$5,"")),"")</f>
        <v/>
      </c>
      <c r="W50" s="37" t="str">
        <f ca="1">IFERROR(+IF(W$29=ProposalToGnatt[[#This Row],[Start Date]],Milestone_Marker,IF(AND(W$29&gt;ProposalToGnatt[[#This Row],[Start Date]],W$29&lt;ProposalToGnatt[[#This Row],[Start Date]]+ProposalToGnatt[[#This Row],[Days]]),$G$5,"")),"")</f>
        <v/>
      </c>
      <c r="X50" s="37" t="str">
        <f ca="1">IFERROR(+IF(X$29=ProposalToGnatt[[#This Row],[Start Date]],Milestone_Marker,IF(AND(X$29&gt;ProposalToGnatt[[#This Row],[Start Date]],X$29&lt;ProposalToGnatt[[#This Row],[Start Date]]+ProposalToGnatt[[#This Row],[Days]]),$G$5,"")),"")</f>
        <v/>
      </c>
      <c r="Y50" s="37" t="str">
        <f ca="1">IFERROR(+IF(Y$29=ProposalToGnatt[[#This Row],[Start Date]],Milestone_Marker,IF(AND(Y$29&gt;ProposalToGnatt[[#This Row],[Start Date]],Y$29&lt;ProposalToGnatt[[#This Row],[Start Date]]+ProposalToGnatt[[#This Row],[Days]]),$G$5,"")),"")</f>
        <v/>
      </c>
      <c r="Z50" s="37" t="str">
        <f ca="1">IFERROR(+IF(Z$29=ProposalToGnatt[[#This Row],[Start Date]],Milestone_Marker,IF(AND(Z$29&gt;ProposalToGnatt[[#This Row],[Start Date]],Z$29&lt;ProposalToGnatt[[#This Row],[Start Date]]+ProposalToGnatt[[#This Row],[Days]]),$G$5,"")),"")</f>
        <v/>
      </c>
      <c r="AA50" s="37" t="str">
        <f ca="1">IFERROR(+IF(AA$29=ProposalToGnatt[[#This Row],[Start Date]],Milestone_Marker,IF(AND(AA$29&gt;ProposalToGnatt[[#This Row],[Start Date]],AA$29&lt;ProposalToGnatt[[#This Row],[Start Date]]+ProposalToGnatt[[#This Row],[Days]]),$G$5,"")),"")</f>
        <v/>
      </c>
      <c r="AB50" s="37" t="str">
        <f ca="1">IFERROR(+IF(AB$29=ProposalToGnatt[[#This Row],[Start Date]],Milestone_Marker,IF(AND(AB$29&gt;ProposalToGnatt[[#This Row],[Start Date]],AB$29&lt;ProposalToGnatt[[#This Row],[Start Date]]+ProposalToGnatt[[#This Row],[Days]]),$G$5,"")),"")</f>
        <v/>
      </c>
      <c r="AC50" s="37" t="str">
        <f ca="1">IFERROR(+IF(AC$29=ProposalToGnatt[[#This Row],[Start Date]],Milestone_Marker,IF(AND(AC$29&gt;ProposalToGnatt[[#This Row],[Start Date]],AC$29&lt;ProposalToGnatt[[#This Row],[Start Date]]+ProposalToGnatt[[#This Row],[Days]]),$G$5,"")),"")</f>
        <v/>
      </c>
      <c r="AD50" s="37" t="str">
        <f ca="1">IFERROR(+IF(AD$29=ProposalToGnatt[[#This Row],[Start Date]],Milestone_Marker,IF(AND(AD$29&gt;ProposalToGnatt[[#This Row],[Start Date]],AD$29&lt;ProposalToGnatt[[#This Row],[Start Date]]+ProposalToGnatt[[#This Row],[Days]]),$G$5,"")),"")</f>
        <v/>
      </c>
      <c r="AE50" s="37" t="str">
        <f ca="1">IFERROR(+IF(AE$29=ProposalToGnatt[[#This Row],[Start Date]],Milestone_Marker,IF(AND(AE$29&gt;ProposalToGnatt[[#This Row],[Start Date]],AE$29&lt;ProposalToGnatt[[#This Row],[Start Date]]+ProposalToGnatt[[#This Row],[Days]]),$G$5,"")),"")</f>
        <v/>
      </c>
      <c r="AF50" s="37" t="str">
        <f ca="1">IFERROR(+IF(AF$29=ProposalToGnatt[[#This Row],[Start Date]],Milestone_Marker,IF(AND(AF$29&gt;ProposalToGnatt[[#This Row],[Start Date]],AF$29&lt;ProposalToGnatt[[#This Row],[Start Date]]+ProposalToGnatt[[#This Row],[Days]]),$G$5,"")),"")</f>
        <v/>
      </c>
      <c r="AG50" s="37" t="str">
        <f ca="1">IFERROR(+IF(AG$29=ProposalToGnatt[[#This Row],[Start Date]],Milestone_Marker,IF(AND(AG$29&gt;ProposalToGnatt[[#This Row],[Start Date]],AG$29&lt;ProposalToGnatt[[#This Row],[Start Date]]+ProposalToGnatt[[#This Row],[Days]]),$G$5,"")),"")</f>
        <v/>
      </c>
      <c r="AH50" s="37" t="str">
        <f ca="1">IFERROR(+IF(AH$29=ProposalToGnatt[[#This Row],[Start Date]],Milestone_Marker,IF(AND(AH$29&gt;ProposalToGnatt[[#This Row],[Start Date]],AH$29&lt;ProposalToGnatt[[#This Row],[Start Date]]+ProposalToGnatt[[#This Row],[Days]]),$G$5,"")),"")</f>
        <v/>
      </c>
      <c r="AI50" s="37" t="str">
        <f ca="1">IFERROR(+IF(AI$29=ProposalToGnatt[[#This Row],[Start Date]],Milestone_Marker,IF(AND(AI$29&gt;ProposalToGnatt[[#This Row],[Start Date]],AI$29&lt;ProposalToGnatt[[#This Row],[Start Date]]+ProposalToGnatt[[#This Row],[Days]]),$G$5,"")),"")</f>
        <v/>
      </c>
      <c r="AJ50" s="37" t="str">
        <f ca="1">IFERROR(+IF(AJ$29=ProposalToGnatt[[#This Row],[Start Date]],Milestone_Marker,IF(AND(AJ$29&gt;ProposalToGnatt[[#This Row],[Start Date]],AJ$29&lt;ProposalToGnatt[[#This Row],[Start Date]]+ProposalToGnatt[[#This Row],[Days]]),$G$5,"")),"")</f>
        <v/>
      </c>
      <c r="AK50" s="37" t="str">
        <f ca="1">IFERROR(+IF(AK$29=ProposalToGnatt[[#This Row],[Start Date]],Milestone_Marker,IF(AND(AK$29&gt;ProposalToGnatt[[#This Row],[Start Date]],AK$29&lt;ProposalToGnatt[[#This Row],[Start Date]]+ProposalToGnatt[[#This Row],[Days]]),$G$5,"")),"")</f>
        <v/>
      </c>
      <c r="AL50" s="37" t="str">
        <f ca="1">IFERROR(+IF(AL$29=ProposalToGnatt[[#This Row],[Start Date]],Milestone_Marker,IF(AND(AL$29&gt;ProposalToGnatt[[#This Row],[Start Date]],AL$29&lt;ProposalToGnatt[[#This Row],[Start Date]]+ProposalToGnatt[[#This Row],[Days]]),$G$5,"")),"")</f>
        <v/>
      </c>
      <c r="AM50" s="37" t="str">
        <f ca="1">IFERROR(+IF(AM$29=ProposalToGnatt[[#This Row],[Start Date]],Milestone_Marker,IF(AND(AM$29&gt;ProposalToGnatt[[#This Row],[Start Date]],AM$29&lt;ProposalToGnatt[[#This Row],[Start Date]]+ProposalToGnatt[[#This Row],[Days]]),$G$5,"")),"")</f>
        <v/>
      </c>
      <c r="AN50" s="37" t="str">
        <f ca="1">IFERROR(+IF(AN$29=ProposalToGnatt[[#This Row],[Start Date]],Milestone_Marker,IF(AND(AN$29&gt;ProposalToGnatt[[#This Row],[Start Date]],AN$29&lt;ProposalToGnatt[[#This Row],[Start Date]]+ProposalToGnatt[[#This Row],[Days]]),$G$5,"")),"")</f>
        <v/>
      </c>
      <c r="AO50" s="37" t="str">
        <f ca="1">IFERROR(+IF(AO$29=ProposalToGnatt[[#This Row],[Start Date]],Milestone_Marker,IF(AND(AO$29&gt;ProposalToGnatt[[#This Row],[Start Date]],AO$29&lt;ProposalToGnatt[[#This Row],[Start Date]]+ProposalToGnatt[[#This Row],[Days]]),$G$5,"")),"")</f>
        <v/>
      </c>
      <c r="AP50" s="37" t="str">
        <f ca="1">IFERROR(+IF(AP$29=ProposalToGnatt[[#This Row],[Start Date]],Milestone_Marker,IF(AND(AP$29&gt;ProposalToGnatt[[#This Row],[Start Date]],AP$29&lt;ProposalToGnatt[[#This Row],[Start Date]]+ProposalToGnatt[[#This Row],[Days]]),$G$5,"")),"")</f>
        <v/>
      </c>
      <c r="AQ50" s="37" t="str">
        <f ca="1">IFERROR(+IF(AQ$29=ProposalToGnatt[[#This Row],[Start Date]],Milestone_Marker,IF(AND(AQ$29&gt;ProposalToGnatt[[#This Row],[Start Date]],AQ$29&lt;ProposalToGnatt[[#This Row],[Start Date]]+ProposalToGnatt[[#This Row],[Days]]),$G$5,"")),"")</f>
        <v/>
      </c>
      <c r="AR50" s="37" t="str">
        <f ca="1">IFERROR(+IF(AR$29=ProposalToGnatt[[#This Row],[Start Date]],Milestone_Marker,IF(AND(AR$29&gt;ProposalToGnatt[[#This Row],[Start Date]],AR$29&lt;ProposalToGnatt[[#This Row],[Start Date]]+ProposalToGnatt[[#This Row],[Days]]),$G$5,"")),"")</f>
        <v/>
      </c>
      <c r="AS50" s="37" t="str">
        <f ca="1">IFERROR(+IF(AS$29=ProposalToGnatt[[#This Row],[Start Date]],Milestone_Marker,IF(AND(AS$29&gt;ProposalToGnatt[[#This Row],[Start Date]],AS$29&lt;ProposalToGnatt[[#This Row],[Start Date]]+ProposalToGnatt[[#This Row],[Days]]),$G$5,"")),"")</f>
        <v/>
      </c>
      <c r="AT50" s="37" t="str">
        <f ca="1">IFERROR(+IF(AT$29=ProposalToGnatt[[#This Row],[Start Date]],Milestone_Marker,IF(AND(AT$29&gt;ProposalToGnatt[[#This Row],[Start Date]],AT$29&lt;ProposalToGnatt[[#This Row],[Start Date]]+ProposalToGnatt[[#This Row],[Days]]),$G$5,"")),"")</f>
        <v/>
      </c>
      <c r="AU50" s="37" t="str">
        <f ca="1">IFERROR(+IF(AU$29=ProposalToGnatt[[#This Row],[Start Date]],Milestone_Marker,IF(AND(AU$29&gt;ProposalToGnatt[[#This Row],[Start Date]],AU$29&lt;ProposalToGnatt[[#This Row],[Start Date]]+ProposalToGnatt[[#This Row],[Days]]),$G$5,"")),"")</f>
        <v/>
      </c>
      <c r="AV50" s="37" t="str">
        <f ca="1">IFERROR(+IF(AV$29=ProposalToGnatt[[#This Row],[Start Date]],Milestone_Marker,IF(AND(AV$29&gt;ProposalToGnatt[[#This Row],[Start Date]],AV$29&lt;ProposalToGnatt[[#This Row],[Start Date]]+ProposalToGnatt[[#This Row],[Days]]),$G$5,"")),"")</f>
        <v/>
      </c>
      <c r="AW50" s="37" t="str">
        <f ca="1">IFERROR(+IF(AW$29=ProposalToGnatt[[#This Row],[Start Date]],Milestone_Marker,IF(AND(AW$29&gt;ProposalToGnatt[[#This Row],[Start Date]],AW$29&lt;ProposalToGnatt[[#This Row],[Start Date]]+ProposalToGnatt[[#This Row],[Days]]),$G$5,"")),"")</f>
        <v/>
      </c>
      <c r="AX50" s="37" t="str">
        <f ca="1">IFERROR(+IF(AX$29=ProposalToGnatt[[#This Row],[Start Date]],Milestone_Marker,IF(AND(AX$29&gt;ProposalToGnatt[[#This Row],[Start Date]],AX$29&lt;ProposalToGnatt[[#This Row],[Start Date]]+ProposalToGnatt[[#This Row],[Days]]),$G$5,"")),"")</f>
        <v/>
      </c>
      <c r="AY50" s="37" t="str">
        <f ca="1">IFERROR(+IF(AY$29=ProposalToGnatt[[#This Row],[Start Date]],Milestone_Marker,IF(AND(AY$29&gt;ProposalToGnatt[[#This Row],[Start Date]],AY$29&lt;ProposalToGnatt[[#This Row],[Start Date]]+ProposalToGnatt[[#This Row],[Days]]),$G$5,"")),"")</f>
        <v/>
      </c>
      <c r="AZ50" s="37" t="str">
        <f ca="1">IFERROR(+IF(AZ$29=ProposalToGnatt[[#This Row],[Start Date]],Milestone_Marker,IF(AND(AZ$29&gt;ProposalToGnatt[[#This Row],[Start Date]],AZ$29&lt;ProposalToGnatt[[#This Row],[Start Date]]+ProposalToGnatt[[#This Row],[Days]]),$G$5,"")),"")</f>
        <v/>
      </c>
      <c r="BA50" s="37" t="str">
        <f ca="1">IFERROR(+IF(BA$29=ProposalToGnatt[[#This Row],[Start Date]],Milestone_Marker,IF(AND(BA$29&gt;ProposalToGnatt[[#This Row],[Start Date]],BA$29&lt;ProposalToGnatt[[#This Row],[Start Date]]+ProposalToGnatt[[#This Row],[Days]]),$G$5,"")),"")</f>
        <v/>
      </c>
      <c r="BB50" s="37" t="str">
        <f ca="1">IFERROR(+IF(BB$29=ProposalToGnatt[[#This Row],[Start Date]],Milestone_Marker,IF(AND(BB$29&gt;ProposalToGnatt[[#This Row],[Start Date]],BB$29&lt;ProposalToGnatt[[#This Row],[Start Date]]+ProposalToGnatt[[#This Row],[Days]]),$G$5,"")),"")</f>
        <v/>
      </c>
      <c r="BC50" s="37" t="str">
        <f ca="1">IFERROR(+IF(BC$29=ProposalToGnatt[[#This Row],[Start Date]],Milestone_Marker,IF(AND(BC$29&gt;ProposalToGnatt[[#This Row],[Start Date]],BC$29&lt;ProposalToGnatt[[#This Row],[Start Date]]+ProposalToGnatt[[#This Row],[Days]]),$G$5,"")),"")</f>
        <v/>
      </c>
      <c r="BD50" s="37" t="str">
        <f ca="1">IFERROR(+IF(BD$29=ProposalToGnatt[[#This Row],[Start Date]],Milestone_Marker,IF(AND(BD$29&gt;ProposalToGnatt[[#This Row],[Start Date]],BD$29&lt;ProposalToGnatt[[#This Row],[Start Date]]+ProposalToGnatt[[#This Row],[Days]]),$G$5,"")),"")</f>
        <v/>
      </c>
      <c r="BE50" s="37" t="str">
        <f ca="1">IFERROR(+IF(BE$29=ProposalToGnatt[[#This Row],[Start Date]],Milestone_Marker,IF(AND(BE$29&gt;ProposalToGnatt[[#This Row],[Start Date]],BE$29&lt;ProposalToGnatt[[#This Row],[Start Date]]+ProposalToGnatt[[#This Row],[Days]]),$G$5,"")),"")</f>
        <v/>
      </c>
      <c r="BF50" s="37" t="str">
        <f ca="1">IFERROR(+IF(BF$29=ProposalToGnatt[[#This Row],[Start Date]],Milestone_Marker,IF(AND(BF$29&gt;ProposalToGnatt[[#This Row],[Start Date]],BF$29&lt;ProposalToGnatt[[#This Row],[Start Date]]+ProposalToGnatt[[#This Row],[Days]]),$G$5,"")),"")</f>
        <v/>
      </c>
      <c r="BG50" s="37" t="str">
        <f ca="1">IFERROR(+IF(BG$29=ProposalToGnatt[[#This Row],[Start Date]],Milestone_Marker,IF(AND(BG$29&gt;ProposalToGnatt[[#This Row],[Start Date]],BG$29&lt;ProposalToGnatt[[#This Row],[Start Date]]+ProposalToGnatt[[#This Row],[Days]]),$G$5,"")),"")</f>
        <v/>
      </c>
      <c r="BH50" s="37" t="str">
        <f ca="1">IFERROR(+IF(BH$29=ProposalToGnatt[[#This Row],[Start Date]],Milestone_Marker,IF(AND(BH$29&gt;ProposalToGnatt[[#This Row],[Start Date]],BH$29&lt;ProposalToGnatt[[#This Row],[Start Date]]+ProposalToGnatt[[#This Row],[Days]]),$G$5,"")),"")</f>
        <v/>
      </c>
      <c r="BI50" s="37" t="str">
        <f ca="1">IFERROR(+IF(BI$29=ProposalToGnatt[[#This Row],[Start Date]],Milestone_Marker,IF(AND(BI$29&gt;ProposalToGnatt[[#This Row],[Start Date]],BI$29&lt;ProposalToGnatt[[#This Row],[Start Date]]+ProposalToGnatt[[#This Row],[Days]]),$G$5,"")),"")</f>
        <v/>
      </c>
      <c r="BJ50" s="37" t="str">
        <f ca="1">IFERROR(+IF(BJ$29=ProposalToGnatt[[#This Row],[Start Date]],Milestone_Marker,IF(AND(BJ$29&gt;ProposalToGnatt[[#This Row],[Start Date]],BJ$29&lt;ProposalToGnatt[[#This Row],[Start Date]]+ProposalToGnatt[[#This Row],[Days]]),$G$5,"")),"")</f>
        <v/>
      </c>
      <c r="BK50" s="37" t="str">
        <f ca="1">IFERROR(+IF(BK$29=ProposalToGnatt[[#This Row],[Start Date]],Milestone_Marker,IF(AND(BK$29&gt;ProposalToGnatt[[#This Row],[Start Date]],BK$29&lt;ProposalToGnatt[[#This Row],[Start Date]]+ProposalToGnatt[[#This Row],[Days]]),$G$5,"")),"")</f>
        <v/>
      </c>
      <c r="BL50" s="37" t="str">
        <f ca="1">IFERROR(+IF(BL$29=ProposalToGnatt[[#This Row],[Start Date]],Milestone_Marker,IF(AND(BL$29&gt;ProposalToGnatt[[#This Row],[Start Date]],BL$29&lt;ProposalToGnatt[[#This Row],[Start Date]]+ProposalToGnatt[[#This Row],[Days]]),$G$5,"")),"")</f>
        <v/>
      </c>
      <c r="BM50" s="37" t="str">
        <f ca="1">IFERROR(+IF(BM$29=ProposalToGnatt[[#This Row],[Start Date]],Milestone_Marker,IF(AND(BM$29&gt;ProposalToGnatt[[#This Row],[Start Date]],BM$29&lt;ProposalToGnatt[[#This Row],[Start Date]]+ProposalToGnatt[[#This Row],[Days]]),$G$5,"")),"")</f>
        <v/>
      </c>
      <c r="BN50" s="37" t="str">
        <f ca="1">IFERROR(+IF(BN$29=ProposalToGnatt[[#This Row],[Start Date]],Milestone_Marker,IF(AND(BN$29&gt;ProposalToGnatt[[#This Row],[Start Date]],BN$29&lt;ProposalToGnatt[[#This Row],[Start Date]]+ProposalToGnatt[[#This Row],[Days]]),$G$5,"")),"")</f>
        <v/>
      </c>
      <c r="BO50" s="37" t="str">
        <f ca="1">IFERROR(+IF(BO$29=ProposalToGnatt[[#This Row],[Start Date]],Milestone_Marker,IF(AND(BO$29&gt;ProposalToGnatt[[#This Row],[Start Date]],BO$29&lt;ProposalToGnatt[[#This Row],[Start Date]]+ProposalToGnatt[[#This Row],[Days]]),$G$5,"")),"")</f>
        <v/>
      </c>
      <c r="BP50" s="37" t="str">
        <f ca="1">IFERROR(+IF(BP$29=ProposalToGnatt[[#This Row],[Start Date]],Milestone_Marker,IF(AND(BP$29&gt;ProposalToGnatt[[#This Row],[Start Date]],BP$29&lt;ProposalToGnatt[[#This Row],[Start Date]]+ProposalToGnatt[[#This Row],[Days]]),$G$5,"")),"")</f>
        <v/>
      </c>
      <c r="BQ50" s="37" t="str">
        <f ca="1">IFERROR(+IF(BQ$29=ProposalToGnatt[[#This Row],[Start Date]],Milestone_Marker,IF(AND(BQ$29&gt;ProposalToGnatt[[#This Row],[Start Date]],BQ$29&lt;ProposalToGnatt[[#This Row],[Start Date]]+ProposalToGnatt[[#This Row],[Days]]),$G$5,"")),"")</f>
        <v/>
      </c>
      <c r="BR50" s="37" t="str">
        <f ca="1">IFERROR(+IF(BR$29=ProposalToGnatt[[#This Row],[Start Date]],Milestone_Marker,IF(AND(BR$29&gt;ProposalToGnatt[[#This Row],[Start Date]],BR$29&lt;ProposalToGnatt[[#This Row],[Start Date]]+ProposalToGnatt[[#This Row],[Days]]),$G$5,"")),"")</f>
        <v/>
      </c>
      <c r="BS50" s="37" t="str">
        <f ca="1">IFERROR(+IF(BS$29=ProposalToGnatt[[#This Row],[Start Date]],Milestone_Marker,IF(AND(BS$29&gt;ProposalToGnatt[[#This Row],[Start Date]],BS$29&lt;ProposalToGnatt[[#This Row],[Start Date]]+ProposalToGnatt[[#This Row],[Days]]),$G$5,"")),"")</f>
        <v/>
      </c>
      <c r="BT50" s="37" t="str">
        <f ca="1">IFERROR(+IF(BT$29=ProposalToGnatt[[#This Row],[Start Date]],Milestone_Marker,IF(AND(BT$29&gt;ProposalToGnatt[[#This Row],[Start Date]],BT$29&lt;ProposalToGnatt[[#This Row],[Start Date]]+ProposalToGnatt[[#This Row],[Days]]),$G$5,"")),"")</f>
        <v/>
      </c>
      <c r="BU50" s="37" t="str">
        <f ca="1">IFERROR(+IF(BU$29=ProposalToGnatt[[#This Row],[Start Date]],Milestone_Marker,IF(AND(BU$29&gt;ProposalToGnatt[[#This Row],[Start Date]],BU$29&lt;ProposalToGnatt[[#This Row],[Start Date]]+ProposalToGnatt[[#This Row],[Days]]),$G$5,"")),"")</f>
        <v/>
      </c>
      <c r="BV50" s="37" t="str">
        <f ca="1">IFERROR(+IF(BV$29=ProposalToGnatt[[#This Row],[Start Date]],Milestone_Marker,IF(AND(BV$29&gt;ProposalToGnatt[[#This Row],[Start Date]],BV$29&lt;ProposalToGnatt[[#This Row],[Start Date]]+ProposalToGnatt[[#This Row],[Days]]),$G$5,"")),"")</f>
        <v/>
      </c>
      <c r="BW50" s="37" t="str">
        <f ca="1">IFERROR(+IF(BW$29=ProposalToGnatt[[#This Row],[Start Date]],Milestone_Marker,IF(AND(BW$29&gt;ProposalToGnatt[[#This Row],[Start Date]],BW$29&lt;ProposalToGnatt[[#This Row],[Start Date]]+ProposalToGnatt[[#This Row],[Days]]),$G$5,"")),"")</f>
        <v/>
      </c>
      <c r="BX50" s="37" t="str">
        <f ca="1">IFERROR(+IF(BX$29=ProposalToGnatt[[#This Row],[Start Date]],Milestone_Marker,IF(AND(BX$29&gt;ProposalToGnatt[[#This Row],[Start Date]],BX$29&lt;ProposalToGnatt[[#This Row],[Start Date]]+ProposalToGnatt[[#This Row],[Days]]),$G$5,"")),"")</f>
        <v/>
      </c>
      <c r="BY50" s="37" t="str">
        <f ca="1">IFERROR(+IF(BY$29=ProposalToGnatt[[#This Row],[Start Date]],Milestone_Marker,IF(AND(BY$29&gt;ProposalToGnatt[[#This Row],[Start Date]],BY$29&lt;ProposalToGnatt[[#This Row],[Start Date]]+ProposalToGnatt[[#This Row],[Days]]),$G$5,"")),"")</f>
        <v/>
      </c>
      <c r="BZ50" s="37" t="str">
        <f ca="1">IFERROR(+IF(BZ$29=ProposalToGnatt[[#This Row],[Start Date]],Milestone_Marker,IF(AND(BZ$29&gt;ProposalToGnatt[[#This Row],[Start Date]],BZ$29&lt;ProposalToGnatt[[#This Row],[Start Date]]+ProposalToGnatt[[#This Row],[Days]]),$G$5,"")),"")</f>
        <v/>
      </c>
      <c r="CA50" s="37" t="str">
        <f ca="1">IFERROR(+IF(CA$29=ProposalToGnatt[[#This Row],[Start Date]],Milestone_Marker,IF(AND(CA$29&gt;ProposalToGnatt[[#This Row],[Start Date]],CA$29&lt;ProposalToGnatt[[#This Row],[Start Date]]+ProposalToGnatt[[#This Row],[Days]]),$G$5,"")),"")</f>
        <v/>
      </c>
      <c r="CB50" s="37" t="str">
        <f ca="1">IFERROR(+IF(CB$29=ProposalToGnatt[[#This Row],[Start Date]],Milestone_Marker,IF(AND(CB$29&gt;ProposalToGnatt[[#This Row],[Start Date]],CB$29&lt;ProposalToGnatt[[#This Row],[Start Date]]+ProposalToGnatt[[#This Row],[Days]]),$G$5,"")),"")</f>
        <v/>
      </c>
      <c r="CC50" s="37" t="str">
        <f ca="1">IFERROR(+IF(CC$29=ProposalToGnatt[[#This Row],[Start Date]],Milestone_Marker,IF(AND(CC$29&gt;ProposalToGnatt[[#This Row],[Start Date]],CC$29&lt;ProposalToGnatt[[#This Row],[Start Date]]+ProposalToGnatt[[#This Row],[Days]]),$G$5,"")),"")</f>
        <v/>
      </c>
      <c r="CD50" s="37" t="str">
        <f ca="1">IFERROR(+IF(CD$29=ProposalToGnatt[[#This Row],[Start Date]],Milestone_Marker,IF(AND(CD$29&gt;ProposalToGnatt[[#This Row],[Start Date]],CD$29&lt;ProposalToGnatt[[#This Row],[Start Date]]+ProposalToGnatt[[#This Row],[Days]]),$G$5,"")),"")</f>
        <v/>
      </c>
      <c r="CE50" s="37" t="str">
        <f ca="1">IFERROR(+IF(CE$29=ProposalToGnatt[[#This Row],[Start Date]],Milestone_Marker,IF(AND(CE$29&gt;ProposalToGnatt[[#This Row],[Start Date]],CE$29&lt;ProposalToGnatt[[#This Row],[Start Date]]+ProposalToGnatt[[#This Row],[Days]]),$G$5,"")),"")</f>
        <v/>
      </c>
      <c r="CF50" s="37" t="str">
        <f ca="1">IFERROR(+IF(CF$29=ProposalToGnatt[[#This Row],[Start Date]],Milestone_Marker,IF(AND(CF$29&gt;ProposalToGnatt[[#This Row],[Start Date]],CF$29&lt;ProposalToGnatt[[#This Row],[Start Date]]+ProposalToGnatt[[#This Row],[Days]]),$G$5,"")),"")</f>
        <v/>
      </c>
      <c r="CG50" s="37" t="str">
        <f ca="1">IFERROR(+IF(CG$29=ProposalToGnatt[[#This Row],[Start Date]],Milestone_Marker,IF(AND(CG$29&gt;ProposalToGnatt[[#This Row],[Start Date]],CG$29&lt;ProposalToGnatt[[#This Row],[Start Date]]+ProposalToGnatt[[#This Row],[Days]]),$G$5,"")),"")</f>
        <v/>
      </c>
      <c r="CH50" s="37" t="str">
        <f ca="1">IFERROR(+IF(CH$29=ProposalToGnatt[[#This Row],[Start Date]],Milestone_Marker,IF(AND(CH$29&gt;ProposalToGnatt[[#This Row],[Start Date]],CH$29&lt;ProposalToGnatt[[#This Row],[Start Date]]+ProposalToGnatt[[#This Row],[Days]]),$G$5,"")),"")</f>
        <v/>
      </c>
      <c r="CI50" s="37" t="str">
        <f ca="1">IFERROR(+IF(CI$29=ProposalToGnatt[[#This Row],[Start Date]],Milestone_Marker,IF(AND(CI$29&gt;ProposalToGnatt[[#This Row],[Start Date]],CI$29&lt;ProposalToGnatt[[#This Row],[Start Date]]+ProposalToGnatt[[#This Row],[Days]]),$G$5,"")),"")</f>
        <v/>
      </c>
      <c r="CJ50" s="37" t="str">
        <f ca="1">IFERROR(+IF(CJ$29=ProposalToGnatt[[#This Row],[Start Date]],Milestone_Marker,IF(AND(CJ$29&gt;ProposalToGnatt[[#This Row],[Start Date]],CJ$29&lt;ProposalToGnatt[[#This Row],[Start Date]]+ProposalToGnatt[[#This Row],[Days]]),$G$5,"")),"")</f>
        <v/>
      </c>
      <c r="CK50" s="37" t="str">
        <f ca="1">IFERROR(+IF(CK$29=ProposalToGnatt[[#This Row],[Start Date]],Milestone_Marker,IF(AND(CK$29&gt;ProposalToGnatt[[#This Row],[Start Date]],CK$29&lt;ProposalToGnatt[[#This Row],[Start Date]]+ProposalToGnatt[[#This Row],[Days]]),$G$5,"")),"")</f>
        <v/>
      </c>
      <c r="CL50" s="37" t="str">
        <f ca="1">IFERROR(+IF(CL$29=ProposalToGnatt[[#This Row],[Start Date]],Milestone_Marker,IF(AND(CL$29&gt;ProposalToGnatt[[#This Row],[Start Date]],CL$29&lt;ProposalToGnatt[[#This Row],[Start Date]]+ProposalToGnatt[[#This Row],[Days]]),$G$5,"")),"")</f>
        <v/>
      </c>
      <c r="CM50" s="37" t="str">
        <f ca="1">IFERROR(+IF(CM$29=ProposalToGnatt[[#This Row],[Start Date]],Milestone_Marker,IF(AND(CM$29&gt;ProposalToGnatt[[#This Row],[Start Date]],CM$29&lt;ProposalToGnatt[[#This Row],[Start Date]]+ProposalToGnatt[[#This Row],[Days]]),$G$5,"")),"")</f>
        <v/>
      </c>
      <c r="CN50" s="37" t="str">
        <f ca="1">IFERROR(+IF(CN$29=ProposalToGnatt[[#This Row],[Start Date]],Milestone_Marker,IF(AND(CN$29&gt;ProposalToGnatt[[#This Row],[Start Date]],CN$29&lt;ProposalToGnatt[[#This Row],[Start Date]]+ProposalToGnatt[[#This Row],[Days]]),$G$5,"")),"")</f>
        <v/>
      </c>
      <c r="CO50" s="37" t="str">
        <f ca="1">IFERROR(+IF(CO$29=ProposalToGnatt[[#This Row],[Start Date]],Milestone_Marker,IF(AND(CO$29&gt;ProposalToGnatt[[#This Row],[Start Date]],CO$29&lt;ProposalToGnatt[[#This Row],[Start Date]]+ProposalToGnatt[[#This Row],[Days]]),$G$5,"")),"")</f>
        <v/>
      </c>
      <c r="CP50" s="37" t="str">
        <f ca="1">IFERROR(+IF(CP$29=ProposalToGnatt[[#This Row],[Start Date]],Milestone_Marker,IF(AND(CP$29&gt;ProposalToGnatt[[#This Row],[Start Date]],CP$29&lt;ProposalToGnatt[[#This Row],[Start Date]]+ProposalToGnatt[[#This Row],[Days]]),$G$5,"")),"")</f>
        <v/>
      </c>
      <c r="CQ50" s="37" t="str">
        <f ca="1">IFERROR(+IF(CQ$29=ProposalToGnatt[[#This Row],[Start Date]],Milestone_Marker,IF(AND(CQ$29&gt;ProposalToGnatt[[#This Row],[Start Date]],CQ$29&lt;ProposalToGnatt[[#This Row],[Start Date]]+ProposalToGnatt[[#This Row],[Days]]),$G$5,"")),"")</f>
        <v/>
      </c>
      <c r="CR50" s="37" t="str">
        <f ca="1">IFERROR(+IF(CR$29=ProposalToGnatt[[#This Row],[Start Date]],Milestone_Marker,IF(AND(CR$29&gt;ProposalToGnatt[[#This Row],[Start Date]],CR$29&lt;ProposalToGnatt[[#This Row],[Start Date]]+ProposalToGnatt[[#This Row],[Days]]),$G$5,"")),"")</f>
        <v/>
      </c>
      <c r="CS50" s="37" t="str">
        <f ca="1">IFERROR(+IF(CS$29=ProposalToGnatt[[#This Row],[Start Date]],Milestone_Marker,IF(AND(CS$29&gt;ProposalToGnatt[[#This Row],[Start Date]],CS$29&lt;ProposalToGnatt[[#This Row],[Start Date]]+ProposalToGnatt[[#This Row],[Days]]),$G$5,"")),"")</f>
        <v/>
      </c>
      <c r="CT50" s="37" t="str">
        <f ca="1">IFERROR(+IF(CT$29=ProposalToGnatt[[#This Row],[Start Date]],Milestone_Marker,IF(AND(CT$29&gt;ProposalToGnatt[[#This Row],[Start Date]],CT$29&lt;ProposalToGnatt[[#This Row],[Start Date]]+ProposalToGnatt[[#This Row],[Days]]),$G$5,"")),"")</f>
        <v/>
      </c>
      <c r="CU50" s="37" t="str">
        <f ca="1">IFERROR(+IF(CU$29=ProposalToGnatt[[#This Row],[Start Date]],Milestone_Marker,IF(AND(CU$29&gt;ProposalToGnatt[[#This Row],[Start Date]],CU$29&lt;ProposalToGnatt[[#This Row],[Start Date]]+ProposalToGnatt[[#This Row],[Days]]),$G$5,"")),"")</f>
        <v/>
      </c>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row>
    <row r="51" spans="1:125" s="42" customFormat="1" ht="15">
      <c r="A51"/>
      <c r="B51"/>
      <c r="C51"/>
      <c r="D51"/>
      <c r="E51"/>
      <c r="F51"/>
      <c r="G51" s="11"/>
      <c r="H51" s="26"/>
      <c r="I51"/>
      <c r="J51"/>
      <c r="K51" s="363"/>
      <c r="L51"/>
      <c r="M51"/>
      <c r="N51"/>
      <c r="O51" s="26"/>
      <c r="P51" s="37" t="str">
        <f ca="1">IFERROR(+IF(P$29=ProposalToGnatt[[#This Row],[Start Date]],Milestone_Marker,IF(AND(P$29&gt;ProposalToGnatt[[#This Row],[Start Date]],P$29&lt;ProposalToGnatt[[#This Row],[Start Date]]+ProposalToGnatt[[#This Row],[Days]]),$G$5,"")),"")</f>
        <v/>
      </c>
      <c r="Q51" s="37" t="str">
        <f ca="1">IFERROR(+IF(Q$29=ProposalToGnatt[[#This Row],[Start Date]],Milestone_Marker,IF(AND(Q$29&gt;ProposalToGnatt[[#This Row],[Start Date]],Q$29&lt;ProposalToGnatt[[#This Row],[Start Date]]+ProposalToGnatt[[#This Row],[Days]]),$G$5,"")),"")</f>
        <v/>
      </c>
      <c r="R51" s="37" t="str">
        <f ca="1">IFERROR(+IF(R$29=ProposalToGnatt[[#This Row],[Start Date]],Milestone_Marker,IF(AND(R$29&gt;ProposalToGnatt[[#This Row],[Start Date]],R$29&lt;ProposalToGnatt[[#This Row],[Start Date]]+ProposalToGnatt[[#This Row],[Days]]),$G$5,"")),"")</f>
        <v/>
      </c>
      <c r="S51" s="37" t="str">
        <f ca="1">IFERROR(+IF(S$29=ProposalToGnatt[[#This Row],[Start Date]],Milestone_Marker,IF(AND(S$29&gt;ProposalToGnatt[[#This Row],[Start Date]],S$29&lt;ProposalToGnatt[[#This Row],[Start Date]]+ProposalToGnatt[[#This Row],[Days]]),$G$5,"")),"")</f>
        <v/>
      </c>
      <c r="T51" s="37" t="str">
        <f ca="1">IFERROR(+IF(T$29=ProposalToGnatt[[#This Row],[Start Date]],Milestone_Marker,IF(AND(T$29&gt;ProposalToGnatt[[#This Row],[Start Date]],T$29&lt;ProposalToGnatt[[#This Row],[Start Date]]+ProposalToGnatt[[#This Row],[Days]]),$G$5,"")),"")</f>
        <v/>
      </c>
      <c r="U51" s="37" t="str">
        <f ca="1">IFERROR(+IF(U$29=ProposalToGnatt[[#This Row],[Start Date]],Milestone_Marker,IF(AND(U$29&gt;ProposalToGnatt[[#This Row],[Start Date]],U$29&lt;ProposalToGnatt[[#This Row],[Start Date]]+ProposalToGnatt[[#This Row],[Days]]),$G$5,"")),"")</f>
        <v/>
      </c>
      <c r="V51" s="37" t="str">
        <f ca="1">IFERROR(+IF(V$29=ProposalToGnatt[[#This Row],[Start Date]],Milestone_Marker,IF(AND(V$29&gt;ProposalToGnatt[[#This Row],[Start Date]],V$29&lt;ProposalToGnatt[[#This Row],[Start Date]]+ProposalToGnatt[[#This Row],[Days]]),$G$5,"")),"")</f>
        <v/>
      </c>
      <c r="W51" s="37" t="str">
        <f ca="1">IFERROR(+IF(W$29=ProposalToGnatt[[#This Row],[Start Date]],Milestone_Marker,IF(AND(W$29&gt;ProposalToGnatt[[#This Row],[Start Date]],W$29&lt;ProposalToGnatt[[#This Row],[Start Date]]+ProposalToGnatt[[#This Row],[Days]]),$G$5,"")),"")</f>
        <v/>
      </c>
      <c r="X51" s="37" t="str">
        <f ca="1">IFERROR(+IF(X$29=ProposalToGnatt[[#This Row],[Start Date]],Milestone_Marker,IF(AND(X$29&gt;ProposalToGnatt[[#This Row],[Start Date]],X$29&lt;ProposalToGnatt[[#This Row],[Start Date]]+ProposalToGnatt[[#This Row],[Days]]),$G$5,"")),"")</f>
        <v/>
      </c>
      <c r="Y51" s="37" t="str">
        <f ca="1">IFERROR(+IF(Y$29=ProposalToGnatt[[#This Row],[Start Date]],Milestone_Marker,IF(AND(Y$29&gt;ProposalToGnatt[[#This Row],[Start Date]],Y$29&lt;ProposalToGnatt[[#This Row],[Start Date]]+ProposalToGnatt[[#This Row],[Days]]),$G$5,"")),"")</f>
        <v/>
      </c>
      <c r="Z51" s="37" t="str">
        <f ca="1">IFERROR(+IF(Z$29=ProposalToGnatt[[#This Row],[Start Date]],Milestone_Marker,IF(AND(Z$29&gt;ProposalToGnatt[[#This Row],[Start Date]],Z$29&lt;ProposalToGnatt[[#This Row],[Start Date]]+ProposalToGnatt[[#This Row],[Days]]),$G$5,"")),"")</f>
        <v/>
      </c>
      <c r="AA51" s="37" t="str">
        <f ca="1">IFERROR(+IF(AA$29=ProposalToGnatt[[#This Row],[Start Date]],Milestone_Marker,IF(AND(AA$29&gt;ProposalToGnatt[[#This Row],[Start Date]],AA$29&lt;ProposalToGnatt[[#This Row],[Start Date]]+ProposalToGnatt[[#This Row],[Days]]),$G$5,"")),"")</f>
        <v/>
      </c>
      <c r="AB51" s="37" t="str">
        <f ca="1">IFERROR(+IF(AB$29=ProposalToGnatt[[#This Row],[Start Date]],Milestone_Marker,IF(AND(AB$29&gt;ProposalToGnatt[[#This Row],[Start Date]],AB$29&lt;ProposalToGnatt[[#This Row],[Start Date]]+ProposalToGnatt[[#This Row],[Days]]),$G$5,"")),"")</f>
        <v/>
      </c>
      <c r="AC51" s="37" t="str">
        <f ca="1">IFERROR(+IF(AC$29=ProposalToGnatt[[#This Row],[Start Date]],Milestone_Marker,IF(AND(AC$29&gt;ProposalToGnatt[[#This Row],[Start Date]],AC$29&lt;ProposalToGnatt[[#This Row],[Start Date]]+ProposalToGnatt[[#This Row],[Days]]),$G$5,"")),"")</f>
        <v/>
      </c>
      <c r="AD51" s="37" t="str">
        <f ca="1">IFERROR(+IF(AD$29=ProposalToGnatt[[#This Row],[Start Date]],Milestone_Marker,IF(AND(AD$29&gt;ProposalToGnatt[[#This Row],[Start Date]],AD$29&lt;ProposalToGnatt[[#This Row],[Start Date]]+ProposalToGnatt[[#This Row],[Days]]),$G$5,"")),"")</f>
        <v/>
      </c>
      <c r="AE51" s="37" t="str">
        <f ca="1">IFERROR(+IF(AE$29=ProposalToGnatt[[#This Row],[Start Date]],Milestone_Marker,IF(AND(AE$29&gt;ProposalToGnatt[[#This Row],[Start Date]],AE$29&lt;ProposalToGnatt[[#This Row],[Start Date]]+ProposalToGnatt[[#This Row],[Days]]),$G$5,"")),"")</f>
        <v/>
      </c>
      <c r="AF51" s="37" t="str">
        <f ca="1">IFERROR(+IF(AF$29=ProposalToGnatt[[#This Row],[Start Date]],Milestone_Marker,IF(AND(AF$29&gt;ProposalToGnatt[[#This Row],[Start Date]],AF$29&lt;ProposalToGnatt[[#This Row],[Start Date]]+ProposalToGnatt[[#This Row],[Days]]),$G$5,"")),"")</f>
        <v/>
      </c>
      <c r="AG51" s="37" t="str">
        <f ca="1">IFERROR(+IF(AG$29=ProposalToGnatt[[#This Row],[Start Date]],Milestone_Marker,IF(AND(AG$29&gt;ProposalToGnatt[[#This Row],[Start Date]],AG$29&lt;ProposalToGnatt[[#This Row],[Start Date]]+ProposalToGnatt[[#This Row],[Days]]),$G$5,"")),"")</f>
        <v/>
      </c>
      <c r="AH51" s="37" t="str">
        <f ca="1">IFERROR(+IF(AH$29=ProposalToGnatt[[#This Row],[Start Date]],Milestone_Marker,IF(AND(AH$29&gt;ProposalToGnatt[[#This Row],[Start Date]],AH$29&lt;ProposalToGnatt[[#This Row],[Start Date]]+ProposalToGnatt[[#This Row],[Days]]),$G$5,"")),"")</f>
        <v/>
      </c>
      <c r="AI51" s="37" t="str">
        <f ca="1">IFERROR(+IF(AI$29=ProposalToGnatt[[#This Row],[Start Date]],Milestone_Marker,IF(AND(AI$29&gt;ProposalToGnatt[[#This Row],[Start Date]],AI$29&lt;ProposalToGnatt[[#This Row],[Start Date]]+ProposalToGnatt[[#This Row],[Days]]),$G$5,"")),"")</f>
        <v/>
      </c>
      <c r="AJ51" s="37" t="str">
        <f ca="1">IFERROR(+IF(AJ$29=ProposalToGnatt[[#This Row],[Start Date]],Milestone_Marker,IF(AND(AJ$29&gt;ProposalToGnatt[[#This Row],[Start Date]],AJ$29&lt;ProposalToGnatt[[#This Row],[Start Date]]+ProposalToGnatt[[#This Row],[Days]]),$G$5,"")),"")</f>
        <v/>
      </c>
      <c r="AK51" s="37" t="str">
        <f ca="1">IFERROR(+IF(AK$29=ProposalToGnatt[[#This Row],[Start Date]],Milestone_Marker,IF(AND(AK$29&gt;ProposalToGnatt[[#This Row],[Start Date]],AK$29&lt;ProposalToGnatt[[#This Row],[Start Date]]+ProposalToGnatt[[#This Row],[Days]]),$G$5,"")),"")</f>
        <v/>
      </c>
      <c r="AL51" s="37" t="str">
        <f ca="1">IFERROR(+IF(AL$29=ProposalToGnatt[[#This Row],[Start Date]],Milestone_Marker,IF(AND(AL$29&gt;ProposalToGnatt[[#This Row],[Start Date]],AL$29&lt;ProposalToGnatt[[#This Row],[Start Date]]+ProposalToGnatt[[#This Row],[Days]]),$G$5,"")),"")</f>
        <v/>
      </c>
      <c r="AM51" s="37" t="str">
        <f ca="1">IFERROR(+IF(AM$29=ProposalToGnatt[[#This Row],[Start Date]],Milestone_Marker,IF(AND(AM$29&gt;ProposalToGnatt[[#This Row],[Start Date]],AM$29&lt;ProposalToGnatt[[#This Row],[Start Date]]+ProposalToGnatt[[#This Row],[Days]]),$G$5,"")),"")</f>
        <v/>
      </c>
      <c r="AN51" s="37" t="str">
        <f ca="1">IFERROR(+IF(AN$29=ProposalToGnatt[[#This Row],[Start Date]],Milestone_Marker,IF(AND(AN$29&gt;ProposalToGnatt[[#This Row],[Start Date]],AN$29&lt;ProposalToGnatt[[#This Row],[Start Date]]+ProposalToGnatt[[#This Row],[Days]]),$G$5,"")),"")</f>
        <v/>
      </c>
      <c r="AO51" s="37" t="str">
        <f ca="1">IFERROR(+IF(AO$29=ProposalToGnatt[[#This Row],[Start Date]],Milestone_Marker,IF(AND(AO$29&gt;ProposalToGnatt[[#This Row],[Start Date]],AO$29&lt;ProposalToGnatt[[#This Row],[Start Date]]+ProposalToGnatt[[#This Row],[Days]]),$G$5,"")),"")</f>
        <v/>
      </c>
      <c r="AP51" s="37" t="str">
        <f ca="1">IFERROR(+IF(AP$29=ProposalToGnatt[[#This Row],[Start Date]],Milestone_Marker,IF(AND(AP$29&gt;ProposalToGnatt[[#This Row],[Start Date]],AP$29&lt;ProposalToGnatt[[#This Row],[Start Date]]+ProposalToGnatt[[#This Row],[Days]]),$G$5,"")),"")</f>
        <v/>
      </c>
      <c r="AQ51" s="37" t="str">
        <f ca="1">IFERROR(+IF(AQ$29=ProposalToGnatt[[#This Row],[Start Date]],Milestone_Marker,IF(AND(AQ$29&gt;ProposalToGnatt[[#This Row],[Start Date]],AQ$29&lt;ProposalToGnatt[[#This Row],[Start Date]]+ProposalToGnatt[[#This Row],[Days]]),$G$5,"")),"")</f>
        <v/>
      </c>
      <c r="AR51" s="37" t="str">
        <f ca="1">IFERROR(+IF(AR$29=ProposalToGnatt[[#This Row],[Start Date]],Milestone_Marker,IF(AND(AR$29&gt;ProposalToGnatt[[#This Row],[Start Date]],AR$29&lt;ProposalToGnatt[[#This Row],[Start Date]]+ProposalToGnatt[[#This Row],[Days]]),$G$5,"")),"")</f>
        <v/>
      </c>
      <c r="AS51" s="37" t="str">
        <f ca="1">IFERROR(+IF(AS$29=ProposalToGnatt[[#This Row],[Start Date]],Milestone_Marker,IF(AND(AS$29&gt;ProposalToGnatt[[#This Row],[Start Date]],AS$29&lt;ProposalToGnatt[[#This Row],[Start Date]]+ProposalToGnatt[[#This Row],[Days]]),$G$5,"")),"")</f>
        <v/>
      </c>
      <c r="AT51" s="37" t="str">
        <f ca="1">IFERROR(+IF(AT$29=ProposalToGnatt[[#This Row],[Start Date]],Milestone_Marker,IF(AND(AT$29&gt;ProposalToGnatt[[#This Row],[Start Date]],AT$29&lt;ProposalToGnatt[[#This Row],[Start Date]]+ProposalToGnatt[[#This Row],[Days]]),$G$5,"")),"")</f>
        <v/>
      </c>
      <c r="AU51" s="37" t="str">
        <f ca="1">IFERROR(+IF(AU$29=ProposalToGnatt[[#This Row],[Start Date]],Milestone_Marker,IF(AND(AU$29&gt;ProposalToGnatt[[#This Row],[Start Date]],AU$29&lt;ProposalToGnatt[[#This Row],[Start Date]]+ProposalToGnatt[[#This Row],[Days]]),$G$5,"")),"")</f>
        <v/>
      </c>
      <c r="AV51" s="37" t="str">
        <f ca="1">IFERROR(+IF(AV$29=ProposalToGnatt[[#This Row],[Start Date]],Milestone_Marker,IF(AND(AV$29&gt;ProposalToGnatt[[#This Row],[Start Date]],AV$29&lt;ProposalToGnatt[[#This Row],[Start Date]]+ProposalToGnatt[[#This Row],[Days]]),$G$5,"")),"")</f>
        <v/>
      </c>
      <c r="AW51" s="37" t="str">
        <f ca="1">IFERROR(+IF(AW$29=ProposalToGnatt[[#This Row],[Start Date]],Milestone_Marker,IF(AND(AW$29&gt;ProposalToGnatt[[#This Row],[Start Date]],AW$29&lt;ProposalToGnatt[[#This Row],[Start Date]]+ProposalToGnatt[[#This Row],[Days]]),$G$5,"")),"")</f>
        <v/>
      </c>
      <c r="AX51" s="37" t="str">
        <f ca="1">IFERROR(+IF(AX$29=ProposalToGnatt[[#This Row],[Start Date]],Milestone_Marker,IF(AND(AX$29&gt;ProposalToGnatt[[#This Row],[Start Date]],AX$29&lt;ProposalToGnatt[[#This Row],[Start Date]]+ProposalToGnatt[[#This Row],[Days]]),$G$5,"")),"")</f>
        <v/>
      </c>
      <c r="AY51" s="37" t="str">
        <f ca="1">IFERROR(+IF(AY$29=ProposalToGnatt[[#This Row],[Start Date]],Milestone_Marker,IF(AND(AY$29&gt;ProposalToGnatt[[#This Row],[Start Date]],AY$29&lt;ProposalToGnatt[[#This Row],[Start Date]]+ProposalToGnatt[[#This Row],[Days]]),$G$5,"")),"")</f>
        <v/>
      </c>
      <c r="AZ51" s="37" t="str">
        <f ca="1">IFERROR(+IF(AZ$29=ProposalToGnatt[[#This Row],[Start Date]],Milestone_Marker,IF(AND(AZ$29&gt;ProposalToGnatt[[#This Row],[Start Date]],AZ$29&lt;ProposalToGnatt[[#This Row],[Start Date]]+ProposalToGnatt[[#This Row],[Days]]),$G$5,"")),"")</f>
        <v/>
      </c>
      <c r="BA51" s="37" t="str">
        <f ca="1">IFERROR(+IF(BA$29=ProposalToGnatt[[#This Row],[Start Date]],Milestone_Marker,IF(AND(BA$29&gt;ProposalToGnatt[[#This Row],[Start Date]],BA$29&lt;ProposalToGnatt[[#This Row],[Start Date]]+ProposalToGnatt[[#This Row],[Days]]),$G$5,"")),"")</f>
        <v/>
      </c>
      <c r="BB51" s="37" t="str">
        <f ca="1">IFERROR(+IF(BB$29=ProposalToGnatt[[#This Row],[Start Date]],Milestone_Marker,IF(AND(BB$29&gt;ProposalToGnatt[[#This Row],[Start Date]],BB$29&lt;ProposalToGnatt[[#This Row],[Start Date]]+ProposalToGnatt[[#This Row],[Days]]),$G$5,"")),"")</f>
        <v/>
      </c>
      <c r="BC51" s="37" t="str">
        <f ca="1">IFERROR(+IF(BC$29=ProposalToGnatt[[#This Row],[Start Date]],Milestone_Marker,IF(AND(BC$29&gt;ProposalToGnatt[[#This Row],[Start Date]],BC$29&lt;ProposalToGnatt[[#This Row],[Start Date]]+ProposalToGnatt[[#This Row],[Days]]),$G$5,"")),"")</f>
        <v/>
      </c>
      <c r="BD51" s="37" t="str">
        <f ca="1">IFERROR(+IF(BD$29=ProposalToGnatt[[#This Row],[Start Date]],Milestone_Marker,IF(AND(BD$29&gt;ProposalToGnatt[[#This Row],[Start Date]],BD$29&lt;ProposalToGnatt[[#This Row],[Start Date]]+ProposalToGnatt[[#This Row],[Days]]),$G$5,"")),"")</f>
        <v/>
      </c>
      <c r="BE51" s="37" t="str">
        <f ca="1">IFERROR(+IF(BE$29=ProposalToGnatt[[#This Row],[Start Date]],Milestone_Marker,IF(AND(BE$29&gt;ProposalToGnatt[[#This Row],[Start Date]],BE$29&lt;ProposalToGnatt[[#This Row],[Start Date]]+ProposalToGnatt[[#This Row],[Days]]),$G$5,"")),"")</f>
        <v/>
      </c>
      <c r="BF51" s="37" t="str">
        <f ca="1">IFERROR(+IF(BF$29=ProposalToGnatt[[#This Row],[Start Date]],Milestone_Marker,IF(AND(BF$29&gt;ProposalToGnatt[[#This Row],[Start Date]],BF$29&lt;ProposalToGnatt[[#This Row],[Start Date]]+ProposalToGnatt[[#This Row],[Days]]),$G$5,"")),"")</f>
        <v/>
      </c>
      <c r="BG51" s="37" t="str">
        <f ca="1">IFERROR(+IF(BG$29=ProposalToGnatt[[#This Row],[Start Date]],Milestone_Marker,IF(AND(BG$29&gt;ProposalToGnatt[[#This Row],[Start Date]],BG$29&lt;ProposalToGnatt[[#This Row],[Start Date]]+ProposalToGnatt[[#This Row],[Days]]),$G$5,"")),"")</f>
        <v/>
      </c>
      <c r="BH51" s="37" t="str">
        <f ca="1">IFERROR(+IF(BH$29=ProposalToGnatt[[#This Row],[Start Date]],Milestone_Marker,IF(AND(BH$29&gt;ProposalToGnatt[[#This Row],[Start Date]],BH$29&lt;ProposalToGnatt[[#This Row],[Start Date]]+ProposalToGnatt[[#This Row],[Days]]),$G$5,"")),"")</f>
        <v/>
      </c>
      <c r="BI51" s="37" t="str">
        <f ca="1">IFERROR(+IF(BI$29=ProposalToGnatt[[#This Row],[Start Date]],Milestone_Marker,IF(AND(BI$29&gt;ProposalToGnatt[[#This Row],[Start Date]],BI$29&lt;ProposalToGnatt[[#This Row],[Start Date]]+ProposalToGnatt[[#This Row],[Days]]),$G$5,"")),"")</f>
        <v/>
      </c>
      <c r="BJ51" s="37" t="str">
        <f ca="1">IFERROR(+IF(BJ$29=ProposalToGnatt[[#This Row],[Start Date]],Milestone_Marker,IF(AND(BJ$29&gt;ProposalToGnatt[[#This Row],[Start Date]],BJ$29&lt;ProposalToGnatt[[#This Row],[Start Date]]+ProposalToGnatt[[#This Row],[Days]]),$G$5,"")),"")</f>
        <v/>
      </c>
      <c r="BK51" s="37" t="str">
        <f ca="1">IFERROR(+IF(BK$29=ProposalToGnatt[[#This Row],[Start Date]],Milestone_Marker,IF(AND(BK$29&gt;ProposalToGnatt[[#This Row],[Start Date]],BK$29&lt;ProposalToGnatt[[#This Row],[Start Date]]+ProposalToGnatt[[#This Row],[Days]]),$G$5,"")),"")</f>
        <v/>
      </c>
      <c r="BL51" s="37" t="str">
        <f ca="1">IFERROR(+IF(BL$29=ProposalToGnatt[[#This Row],[Start Date]],Milestone_Marker,IF(AND(BL$29&gt;ProposalToGnatt[[#This Row],[Start Date]],BL$29&lt;ProposalToGnatt[[#This Row],[Start Date]]+ProposalToGnatt[[#This Row],[Days]]),$G$5,"")),"")</f>
        <v/>
      </c>
      <c r="BM51" s="37" t="str">
        <f ca="1">IFERROR(+IF(BM$29=ProposalToGnatt[[#This Row],[Start Date]],Milestone_Marker,IF(AND(BM$29&gt;ProposalToGnatt[[#This Row],[Start Date]],BM$29&lt;ProposalToGnatt[[#This Row],[Start Date]]+ProposalToGnatt[[#This Row],[Days]]),$G$5,"")),"")</f>
        <v/>
      </c>
      <c r="BN51" s="37" t="str">
        <f ca="1">IFERROR(+IF(BN$29=ProposalToGnatt[[#This Row],[Start Date]],Milestone_Marker,IF(AND(BN$29&gt;ProposalToGnatt[[#This Row],[Start Date]],BN$29&lt;ProposalToGnatt[[#This Row],[Start Date]]+ProposalToGnatt[[#This Row],[Days]]),$G$5,"")),"")</f>
        <v/>
      </c>
      <c r="BO51" s="37" t="str">
        <f ca="1">IFERROR(+IF(BO$29=ProposalToGnatt[[#This Row],[Start Date]],Milestone_Marker,IF(AND(BO$29&gt;ProposalToGnatt[[#This Row],[Start Date]],BO$29&lt;ProposalToGnatt[[#This Row],[Start Date]]+ProposalToGnatt[[#This Row],[Days]]),$G$5,"")),"")</f>
        <v/>
      </c>
      <c r="BP51" s="37" t="str">
        <f ca="1">IFERROR(+IF(BP$29=ProposalToGnatt[[#This Row],[Start Date]],Milestone_Marker,IF(AND(BP$29&gt;ProposalToGnatt[[#This Row],[Start Date]],BP$29&lt;ProposalToGnatt[[#This Row],[Start Date]]+ProposalToGnatt[[#This Row],[Days]]),$G$5,"")),"")</f>
        <v/>
      </c>
      <c r="BQ51" s="37" t="str">
        <f ca="1">IFERROR(+IF(BQ$29=ProposalToGnatt[[#This Row],[Start Date]],Milestone_Marker,IF(AND(BQ$29&gt;ProposalToGnatt[[#This Row],[Start Date]],BQ$29&lt;ProposalToGnatt[[#This Row],[Start Date]]+ProposalToGnatt[[#This Row],[Days]]),$G$5,"")),"")</f>
        <v/>
      </c>
      <c r="BR51" s="37" t="str">
        <f ca="1">IFERROR(+IF(BR$29=ProposalToGnatt[[#This Row],[Start Date]],Milestone_Marker,IF(AND(BR$29&gt;ProposalToGnatt[[#This Row],[Start Date]],BR$29&lt;ProposalToGnatt[[#This Row],[Start Date]]+ProposalToGnatt[[#This Row],[Days]]),$G$5,"")),"")</f>
        <v/>
      </c>
      <c r="BS51" s="37" t="str">
        <f ca="1">IFERROR(+IF(BS$29=ProposalToGnatt[[#This Row],[Start Date]],Milestone_Marker,IF(AND(BS$29&gt;ProposalToGnatt[[#This Row],[Start Date]],BS$29&lt;ProposalToGnatt[[#This Row],[Start Date]]+ProposalToGnatt[[#This Row],[Days]]),$G$5,"")),"")</f>
        <v/>
      </c>
      <c r="BT51" s="37" t="str">
        <f ca="1">IFERROR(+IF(BT$29=ProposalToGnatt[[#This Row],[Start Date]],Milestone_Marker,IF(AND(BT$29&gt;ProposalToGnatt[[#This Row],[Start Date]],BT$29&lt;ProposalToGnatt[[#This Row],[Start Date]]+ProposalToGnatt[[#This Row],[Days]]),$G$5,"")),"")</f>
        <v/>
      </c>
      <c r="BU51" s="37" t="str">
        <f ca="1">IFERROR(+IF(BU$29=ProposalToGnatt[[#This Row],[Start Date]],Milestone_Marker,IF(AND(BU$29&gt;ProposalToGnatt[[#This Row],[Start Date]],BU$29&lt;ProposalToGnatt[[#This Row],[Start Date]]+ProposalToGnatt[[#This Row],[Days]]),$G$5,"")),"")</f>
        <v/>
      </c>
      <c r="BV51" s="37" t="str">
        <f ca="1">IFERROR(+IF(BV$29=ProposalToGnatt[[#This Row],[Start Date]],Milestone_Marker,IF(AND(BV$29&gt;ProposalToGnatt[[#This Row],[Start Date]],BV$29&lt;ProposalToGnatt[[#This Row],[Start Date]]+ProposalToGnatt[[#This Row],[Days]]),$G$5,"")),"")</f>
        <v/>
      </c>
      <c r="BW51" s="37" t="str">
        <f ca="1">IFERROR(+IF(BW$29=ProposalToGnatt[[#This Row],[Start Date]],Milestone_Marker,IF(AND(BW$29&gt;ProposalToGnatt[[#This Row],[Start Date]],BW$29&lt;ProposalToGnatt[[#This Row],[Start Date]]+ProposalToGnatt[[#This Row],[Days]]),$G$5,"")),"")</f>
        <v/>
      </c>
      <c r="BX51" s="37" t="str">
        <f ca="1">IFERROR(+IF(BX$29=ProposalToGnatt[[#This Row],[Start Date]],Milestone_Marker,IF(AND(BX$29&gt;ProposalToGnatt[[#This Row],[Start Date]],BX$29&lt;ProposalToGnatt[[#This Row],[Start Date]]+ProposalToGnatt[[#This Row],[Days]]),$G$5,"")),"")</f>
        <v/>
      </c>
      <c r="BY51" s="37" t="str">
        <f ca="1">IFERROR(+IF(BY$29=ProposalToGnatt[[#This Row],[Start Date]],Milestone_Marker,IF(AND(BY$29&gt;ProposalToGnatt[[#This Row],[Start Date]],BY$29&lt;ProposalToGnatt[[#This Row],[Start Date]]+ProposalToGnatt[[#This Row],[Days]]),$G$5,"")),"")</f>
        <v/>
      </c>
      <c r="BZ51" s="37" t="str">
        <f ca="1">IFERROR(+IF(BZ$29=ProposalToGnatt[[#This Row],[Start Date]],Milestone_Marker,IF(AND(BZ$29&gt;ProposalToGnatt[[#This Row],[Start Date]],BZ$29&lt;ProposalToGnatt[[#This Row],[Start Date]]+ProposalToGnatt[[#This Row],[Days]]),$G$5,"")),"")</f>
        <v/>
      </c>
      <c r="CA51" s="37" t="str">
        <f ca="1">IFERROR(+IF(CA$29=ProposalToGnatt[[#This Row],[Start Date]],Milestone_Marker,IF(AND(CA$29&gt;ProposalToGnatt[[#This Row],[Start Date]],CA$29&lt;ProposalToGnatt[[#This Row],[Start Date]]+ProposalToGnatt[[#This Row],[Days]]),$G$5,"")),"")</f>
        <v/>
      </c>
      <c r="CB51" s="37" t="str">
        <f ca="1">IFERROR(+IF(CB$29=ProposalToGnatt[[#This Row],[Start Date]],Milestone_Marker,IF(AND(CB$29&gt;ProposalToGnatt[[#This Row],[Start Date]],CB$29&lt;ProposalToGnatt[[#This Row],[Start Date]]+ProposalToGnatt[[#This Row],[Days]]),$G$5,"")),"")</f>
        <v/>
      </c>
      <c r="CC51" s="37" t="str">
        <f ca="1">IFERROR(+IF(CC$29=ProposalToGnatt[[#This Row],[Start Date]],Milestone_Marker,IF(AND(CC$29&gt;ProposalToGnatt[[#This Row],[Start Date]],CC$29&lt;ProposalToGnatt[[#This Row],[Start Date]]+ProposalToGnatt[[#This Row],[Days]]),$G$5,"")),"")</f>
        <v/>
      </c>
      <c r="CD51" s="37" t="str">
        <f ca="1">IFERROR(+IF(CD$29=ProposalToGnatt[[#This Row],[Start Date]],Milestone_Marker,IF(AND(CD$29&gt;ProposalToGnatt[[#This Row],[Start Date]],CD$29&lt;ProposalToGnatt[[#This Row],[Start Date]]+ProposalToGnatt[[#This Row],[Days]]),$G$5,"")),"")</f>
        <v/>
      </c>
      <c r="CE51" s="37" t="str">
        <f ca="1">IFERROR(+IF(CE$29=ProposalToGnatt[[#This Row],[Start Date]],Milestone_Marker,IF(AND(CE$29&gt;ProposalToGnatt[[#This Row],[Start Date]],CE$29&lt;ProposalToGnatt[[#This Row],[Start Date]]+ProposalToGnatt[[#This Row],[Days]]),$G$5,"")),"")</f>
        <v/>
      </c>
      <c r="CF51" s="37" t="str">
        <f ca="1">IFERROR(+IF(CF$29=ProposalToGnatt[[#This Row],[Start Date]],Milestone_Marker,IF(AND(CF$29&gt;ProposalToGnatt[[#This Row],[Start Date]],CF$29&lt;ProposalToGnatt[[#This Row],[Start Date]]+ProposalToGnatt[[#This Row],[Days]]),$G$5,"")),"")</f>
        <v/>
      </c>
      <c r="CG51" s="37" t="str">
        <f ca="1">IFERROR(+IF(CG$29=ProposalToGnatt[[#This Row],[Start Date]],Milestone_Marker,IF(AND(CG$29&gt;ProposalToGnatt[[#This Row],[Start Date]],CG$29&lt;ProposalToGnatt[[#This Row],[Start Date]]+ProposalToGnatt[[#This Row],[Days]]),$G$5,"")),"")</f>
        <v/>
      </c>
      <c r="CH51" s="37" t="str">
        <f ca="1">IFERROR(+IF(CH$29=ProposalToGnatt[[#This Row],[Start Date]],Milestone_Marker,IF(AND(CH$29&gt;ProposalToGnatt[[#This Row],[Start Date]],CH$29&lt;ProposalToGnatt[[#This Row],[Start Date]]+ProposalToGnatt[[#This Row],[Days]]),$G$5,"")),"")</f>
        <v/>
      </c>
      <c r="CI51" s="37" t="str">
        <f ca="1">IFERROR(+IF(CI$29=ProposalToGnatt[[#This Row],[Start Date]],Milestone_Marker,IF(AND(CI$29&gt;ProposalToGnatt[[#This Row],[Start Date]],CI$29&lt;ProposalToGnatt[[#This Row],[Start Date]]+ProposalToGnatt[[#This Row],[Days]]),$G$5,"")),"")</f>
        <v/>
      </c>
      <c r="CJ51" s="37" t="str">
        <f ca="1">IFERROR(+IF(CJ$29=ProposalToGnatt[[#This Row],[Start Date]],Milestone_Marker,IF(AND(CJ$29&gt;ProposalToGnatt[[#This Row],[Start Date]],CJ$29&lt;ProposalToGnatt[[#This Row],[Start Date]]+ProposalToGnatt[[#This Row],[Days]]),$G$5,"")),"")</f>
        <v/>
      </c>
      <c r="CK51" s="37" t="str">
        <f ca="1">IFERROR(+IF(CK$29=ProposalToGnatt[[#This Row],[Start Date]],Milestone_Marker,IF(AND(CK$29&gt;ProposalToGnatt[[#This Row],[Start Date]],CK$29&lt;ProposalToGnatt[[#This Row],[Start Date]]+ProposalToGnatt[[#This Row],[Days]]),$G$5,"")),"")</f>
        <v/>
      </c>
      <c r="CL51" s="37" t="str">
        <f ca="1">IFERROR(+IF(CL$29=ProposalToGnatt[[#This Row],[Start Date]],Milestone_Marker,IF(AND(CL$29&gt;ProposalToGnatt[[#This Row],[Start Date]],CL$29&lt;ProposalToGnatt[[#This Row],[Start Date]]+ProposalToGnatt[[#This Row],[Days]]),$G$5,"")),"")</f>
        <v/>
      </c>
      <c r="CM51" s="37" t="str">
        <f ca="1">IFERROR(+IF(CM$29=ProposalToGnatt[[#This Row],[Start Date]],Milestone_Marker,IF(AND(CM$29&gt;ProposalToGnatt[[#This Row],[Start Date]],CM$29&lt;ProposalToGnatt[[#This Row],[Start Date]]+ProposalToGnatt[[#This Row],[Days]]),$G$5,"")),"")</f>
        <v/>
      </c>
      <c r="CN51" s="37" t="str">
        <f ca="1">IFERROR(+IF(CN$29=ProposalToGnatt[[#This Row],[Start Date]],Milestone_Marker,IF(AND(CN$29&gt;ProposalToGnatt[[#This Row],[Start Date]],CN$29&lt;ProposalToGnatt[[#This Row],[Start Date]]+ProposalToGnatt[[#This Row],[Days]]),$G$5,"")),"")</f>
        <v/>
      </c>
      <c r="CO51" s="37" t="str">
        <f ca="1">IFERROR(+IF(CO$29=ProposalToGnatt[[#This Row],[Start Date]],Milestone_Marker,IF(AND(CO$29&gt;ProposalToGnatt[[#This Row],[Start Date]],CO$29&lt;ProposalToGnatt[[#This Row],[Start Date]]+ProposalToGnatt[[#This Row],[Days]]),$G$5,"")),"")</f>
        <v/>
      </c>
      <c r="CP51" s="37" t="str">
        <f ca="1">IFERROR(+IF(CP$29=ProposalToGnatt[[#This Row],[Start Date]],Milestone_Marker,IF(AND(CP$29&gt;ProposalToGnatt[[#This Row],[Start Date]],CP$29&lt;ProposalToGnatt[[#This Row],[Start Date]]+ProposalToGnatt[[#This Row],[Days]]),$G$5,"")),"")</f>
        <v/>
      </c>
      <c r="CQ51" s="37" t="str">
        <f ca="1">IFERROR(+IF(CQ$29=ProposalToGnatt[[#This Row],[Start Date]],Milestone_Marker,IF(AND(CQ$29&gt;ProposalToGnatt[[#This Row],[Start Date]],CQ$29&lt;ProposalToGnatt[[#This Row],[Start Date]]+ProposalToGnatt[[#This Row],[Days]]),$G$5,"")),"")</f>
        <v/>
      </c>
      <c r="CR51" s="37" t="str">
        <f ca="1">IFERROR(+IF(CR$29=ProposalToGnatt[[#This Row],[Start Date]],Milestone_Marker,IF(AND(CR$29&gt;ProposalToGnatt[[#This Row],[Start Date]],CR$29&lt;ProposalToGnatt[[#This Row],[Start Date]]+ProposalToGnatt[[#This Row],[Days]]),$G$5,"")),"")</f>
        <v/>
      </c>
      <c r="CS51" s="37" t="str">
        <f ca="1">IFERROR(+IF(CS$29=ProposalToGnatt[[#This Row],[Start Date]],Milestone_Marker,IF(AND(CS$29&gt;ProposalToGnatt[[#This Row],[Start Date]],CS$29&lt;ProposalToGnatt[[#This Row],[Start Date]]+ProposalToGnatt[[#This Row],[Days]]),$G$5,"")),"")</f>
        <v/>
      </c>
      <c r="CT51" s="37" t="str">
        <f ca="1">IFERROR(+IF(CT$29=ProposalToGnatt[[#This Row],[Start Date]],Milestone_Marker,IF(AND(CT$29&gt;ProposalToGnatt[[#This Row],[Start Date]],CT$29&lt;ProposalToGnatt[[#This Row],[Start Date]]+ProposalToGnatt[[#This Row],[Days]]),$G$5,"")),"")</f>
        <v/>
      </c>
      <c r="CU51" s="37" t="str">
        <f ca="1">IFERROR(+IF(CU$29=ProposalToGnatt[[#This Row],[Start Date]],Milestone_Marker,IF(AND(CU$29&gt;ProposalToGnatt[[#This Row],[Start Date]],CU$29&lt;ProposalToGnatt[[#This Row],[Start Date]]+ProposalToGnatt[[#This Row],[Days]]),$G$5,"")),"")</f>
        <v/>
      </c>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row>
    <row r="52" spans="1:125" s="42" customFormat="1" ht="15">
      <c r="A52"/>
      <c r="B52"/>
      <c r="C52"/>
      <c r="D52"/>
      <c r="E52"/>
      <c r="F52"/>
      <c r="G52" s="11"/>
      <c r="H52" s="26"/>
      <c r="I52"/>
      <c r="J52"/>
      <c r="K52" s="363"/>
      <c r="L52"/>
      <c r="M52"/>
      <c r="N52"/>
      <c r="O52" s="26"/>
      <c r="P52" s="37" t="str">
        <f ca="1">IFERROR(+IF(P$29=ProposalToGnatt[[#This Row],[Start Date]],Milestone_Marker,IF(AND(P$29&gt;ProposalToGnatt[[#This Row],[Start Date]],P$29&lt;ProposalToGnatt[[#This Row],[Start Date]]+ProposalToGnatt[[#This Row],[Days]]),$G$5,"")),"")</f>
        <v/>
      </c>
      <c r="Q52" s="37" t="str">
        <f ca="1">IFERROR(+IF(Q$29=ProposalToGnatt[[#This Row],[Start Date]],Milestone_Marker,IF(AND(Q$29&gt;ProposalToGnatt[[#This Row],[Start Date]],Q$29&lt;ProposalToGnatt[[#This Row],[Start Date]]+ProposalToGnatt[[#This Row],[Days]]),$G$5,"")),"")</f>
        <v/>
      </c>
      <c r="R52" s="37" t="str">
        <f ca="1">IFERROR(+IF(R$29=ProposalToGnatt[[#This Row],[Start Date]],Milestone_Marker,IF(AND(R$29&gt;ProposalToGnatt[[#This Row],[Start Date]],R$29&lt;ProposalToGnatt[[#This Row],[Start Date]]+ProposalToGnatt[[#This Row],[Days]]),$G$5,"")),"")</f>
        <v/>
      </c>
      <c r="S52" s="37" t="str">
        <f ca="1">IFERROR(+IF(S$29=ProposalToGnatt[[#This Row],[Start Date]],Milestone_Marker,IF(AND(S$29&gt;ProposalToGnatt[[#This Row],[Start Date]],S$29&lt;ProposalToGnatt[[#This Row],[Start Date]]+ProposalToGnatt[[#This Row],[Days]]),$G$5,"")),"")</f>
        <v/>
      </c>
      <c r="T52" s="37" t="str">
        <f ca="1">IFERROR(+IF(T$29=ProposalToGnatt[[#This Row],[Start Date]],Milestone_Marker,IF(AND(T$29&gt;ProposalToGnatt[[#This Row],[Start Date]],T$29&lt;ProposalToGnatt[[#This Row],[Start Date]]+ProposalToGnatt[[#This Row],[Days]]),$G$5,"")),"")</f>
        <v/>
      </c>
      <c r="U52" s="37" t="str">
        <f ca="1">IFERROR(+IF(U$29=ProposalToGnatt[[#This Row],[Start Date]],Milestone_Marker,IF(AND(U$29&gt;ProposalToGnatt[[#This Row],[Start Date]],U$29&lt;ProposalToGnatt[[#This Row],[Start Date]]+ProposalToGnatt[[#This Row],[Days]]),$G$5,"")),"")</f>
        <v/>
      </c>
      <c r="V52" s="37" t="str">
        <f ca="1">IFERROR(+IF(V$29=ProposalToGnatt[[#This Row],[Start Date]],Milestone_Marker,IF(AND(V$29&gt;ProposalToGnatt[[#This Row],[Start Date]],V$29&lt;ProposalToGnatt[[#This Row],[Start Date]]+ProposalToGnatt[[#This Row],[Days]]),$G$5,"")),"")</f>
        <v/>
      </c>
      <c r="W52" s="37" t="str">
        <f ca="1">IFERROR(+IF(W$29=ProposalToGnatt[[#This Row],[Start Date]],Milestone_Marker,IF(AND(W$29&gt;ProposalToGnatt[[#This Row],[Start Date]],W$29&lt;ProposalToGnatt[[#This Row],[Start Date]]+ProposalToGnatt[[#This Row],[Days]]),$G$5,"")),"")</f>
        <v/>
      </c>
      <c r="X52" s="37" t="str">
        <f ca="1">IFERROR(+IF(X$29=ProposalToGnatt[[#This Row],[Start Date]],Milestone_Marker,IF(AND(X$29&gt;ProposalToGnatt[[#This Row],[Start Date]],X$29&lt;ProposalToGnatt[[#This Row],[Start Date]]+ProposalToGnatt[[#This Row],[Days]]),$G$5,"")),"")</f>
        <v/>
      </c>
      <c r="Y52" s="37" t="str">
        <f ca="1">IFERROR(+IF(Y$29=ProposalToGnatt[[#This Row],[Start Date]],Milestone_Marker,IF(AND(Y$29&gt;ProposalToGnatt[[#This Row],[Start Date]],Y$29&lt;ProposalToGnatt[[#This Row],[Start Date]]+ProposalToGnatt[[#This Row],[Days]]),$G$5,"")),"")</f>
        <v/>
      </c>
      <c r="Z52" s="37" t="str">
        <f ca="1">IFERROR(+IF(Z$29=ProposalToGnatt[[#This Row],[Start Date]],Milestone_Marker,IF(AND(Z$29&gt;ProposalToGnatt[[#This Row],[Start Date]],Z$29&lt;ProposalToGnatt[[#This Row],[Start Date]]+ProposalToGnatt[[#This Row],[Days]]),$G$5,"")),"")</f>
        <v/>
      </c>
      <c r="AA52" s="37" t="str">
        <f ca="1">IFERROR(+IF(AA$29=ProposalToGnatt[[#This Row],[Start Date]],Milestone_Marker,IF(AND(AA$29&gt;ProposalToGnatt[[#This Row],[Start Date]],AA$29&lt;ProposalToGnatt[[#This Row],[Start Date]]+ProposalToGnatt[[#This Row],[Days]]),$G$5,"")),"")</f>
        <v/>
      </c>
      <c r="AB52" s="37" t="str">
        <f ca="1">IFERROR(+IF(AB$29=ProposalToGnatt[[#This Row],[Start Date]],Milestone_Marker,IF(AND(AB$29&gt;ProposalToGnatt[[#This Row],[Start Date]],AB$29&lt;ProposalToGnatt[[#This Row],[Start Date]]+ProposalToGnatt[[#This Row],[Days]]),$G$5,"")),"")</f>
        <v/>
      </c>
      <c r="AC52" s="37" t="str">
        <f ca="1">IFERROR(+IF(AC$29=ProposalToGnatt[[#This Row],[Start Date]],Milestone_Marker,IF(AND(AC$29&gt;ProposalToGnatt[[#This Row],[Start Date]],AC$29&lt;ProposalToGnatt[[#This Row],[Start Date]]+ProposalToGnatt[[#This Row],[Days]]),$G$5,"")),"")</f>
        <v/>
      </c>
      <c r="AD52" s="37" t="str">
        <f ca="1">IFERROR(+IF(AD$29=ProposalToGnatt[[#This Row],[Start Date]],Milestone_Marker,IF(AND(AD$29&gt;ProposalToGnatt[[#This Row],[Start Date]],AD$29&lt;ProposalToGnatt[[#This Row],[Start Date]]+ProposalToGnatt[[#This Row],[Days]]),$G$5,"")),"")</f>
        <v/>
      </c>
      <c r="AE52" s="37" t="str">
        <f ca="1">IFERROR(+IF(AE$29=ProposalToGnatt[[#This Row],[Start Date]],Milestone_Marker,IF(AND(AE$29&gt;ProposalToGnatt[[#This Row],[Start Date]],AE$29&lt;ProposalToGnatt[[#This Row],[Start Date]]+ProposalToGnatt[[#This Row],[Days]]),$G$5,"")),"")</f>
        <v/>
      </c>
      <c r="AF52" s="37" t="str">
        <f ca="1">IFERROR(+IF(AF$29=ProposalToGnatt[[#This Row],[Start Date]],Milestone_Marker,IF(AND(AF$29&gt;ProposalToGnatt[[#This Row],[Start Date]],AF$29&lt;ProposalToGnatt[[#This Row],[Start Date]]+ProposalToGnatt[[#This Row],[Days]]),$G$5,"")),"")</f>
        <v/>
      </c>
      <c r="AG52" s="37" t="str">
        <f ca="1">IFERROR(+IF(AG$29=ProposalToGnatt[[#This Row],[Start Date]],Milestone_Marker,IF(AND(AG$29&gt;ProposalToGnatt[[#This Row],[Start Date]],AG$29&lt;ProposalToGnatt[[#This Row],[Start Date]]+ProposalToGnatt[[#This Row],[Days]]),$G$5,"")),"")</f>
        <v/>
      </c>
      <c r="AH52" s="37" t="str">
        <f ca="1">IFERROR(+IF(AH$29=ProposalToGnatt[[#This Row],[Start Date]],Milestone_Marker,IF(AND(AH$29&gt;ProposalToGnatt[[#This Row],[Start Date]],AH$29&lt;ProposalToGnatt[[#This Row],[Start Date]]+ProposalToGnatt[[#This Row],[Days]]),$G$5,"")),"")</f>
        <v/>
      </c>
      <c r="AI52" s="37" t="str">
        <f ca="1">IFERROR(+IF(AI$29=ProposalToGnatt[[#This Row],[Start Date]],Milestone_Marker,IF(AND(AI$29&gt;ProposalToGnatt[[#This Row],[Start Date]],AI$29&lt;ProposalToGnatt[[#This Row],[Start Date]]+ProposalToGnatt[[#This Row],[Days]]),$G$5,"")),"")</f>
        <v/>
      </c>
      <c r="AJ52" s="37" t="str">
        <f ca="1">IFERROR(+IF(AJ$29=ProposalToGnatt[[#This Row],[Start Date]],Milestone_Marker,IF(AND(AJ$29&gt;ProposalToGnatt[[#This Row],[Start Date]],AJ$29&lt;ProposalToGnatt[[#This Row],[Start Date]]+ProposalToGnatt[[#This Row],[Days]]),$G$5,"")),"")</f>
        <v/>
      </c>
      <c r="AK52" s="37" t="str">
        <f ca="1">IFERROR(+IF(AK$29=ProposalToGnatt[[#This Row],[Start Date]],Milestone_Marker,IF(AND(AK$29&gt;ProposalToGnatt[[#This Row],[Start Date]],AK$29&lt;ProposalToGnatt[[#This Row],[Start Date]]+ProposalToGnatt[[#This Row],[Days]]),$G$5,"")),"")</f>
        <v/>
      </c>
      <c r="AL52" s="37" t="str">
        <f ca="1">IFERROR(+IF(AL$29=ProposalToGnatt[[#This Row],[Start Date]],Milestone_Marker,IF(AND(AL$29&gt;ProposalToGnatt[[#This Row],[Start Date]],AL$29&lt;ProposalToGnatt[[#This Row],[Start Date]]+ProposalToGnatt[[#This Row],[Days]]),$G$5,"")),"")</f>
        <v/>
      </c>
      <c r="AM52" s="37" t="str">
        <f ca="1">IFERROR(+IF(AM$29=ProposalToGnatt[[#This Row],[Start Date]],Milestone_Marker,IF(AND(AM$29&gt;ProposalToGnatt[[#This Row],[Start Date]],AM$29&lt;ProposalToGnatt[[#This Row],[Start Date]]+ProposalToGnatt[[#This Row],[Days]]),$G$5,"")),"")</f>
        <v/>
      </c>
      <c r="AN52" s="37" t="str">
        <f ca="1">IFERROR(+IF(AN$29=ProposalToGnatt[[#This Row],[Start Date]],Milestone_Marker,IF(AND(AN$29&gt;ProposalToGnatt[[#This Row],[Start Date]],AN$29&lt;ProposalToGnatt[[#This Row],[Start Date]]+ProposalToGnatt[[#This Row],[Days]]),$G$5,"")),"")</f>
        <v/>
      </c>
      <c r="AO52" s="37" t="str">
        <f ca="1">IFERROR(+IF(AO$29=ProposalToGnatt[[#This Row],[Start Date]],Milestone_Marker,IF(AND(AO$29&gt;ProposalToGnatt[[#This Row],[Start Date]],AO$29&lt;ProposalToGnatt[[#This Row],[Start Date]]+ProposalToGnatt[[#This Row],[Days]]),$G$5,"")),"")</f>
        <v/>
      </c>
      <c r="AP52" s="37" t="str">
        <f ca="1">IFERROR(+IF(AP$29=ProposalToGnatt[[#This Row],[Start Date]],Milestone_Marker,IF(AND(AP$29&gt;ProposalToGnatt[[#This Row],[Start Date]],AP$29&lt;ProposalToGnatt[[#This Row],[Start Date]]+ProposalToGnatt[[#This Row],[Days]]),$G$5,"")),"")</f>
        <v/>
      </c>
      <c r="AQ52" s="37" t="str">
        <f ca="1">IFERROR(+IF(AQ$29=ProposalToGnatt[[#This Row],[Start Date]],Milestone_Marker,IF(AND(AQ$29&gt;ProposalToGnatt[[#This Row],[Start Date]],AQ$29&lt;ProposalToGnatt[[#This Row],[Start Date]]+ProposalToGnatt[[#This Row],[Days]]),$G$5,"")),"")</f>
        <v/>
      </c>
      <c r="AR52" s="37" t="str">
        <f ca="1">IFERROR(+IF(AR$29=ProposalToGnatt[[#This Row],[Start Date]],Milestone_Marker,IF(AND(AR$29&gt;ProposalToGnatt[[#This Row],[Start Date]],AR$29&lt;ProposalToGnatt[[#This Row],[Start Date]]+ProposalToGnatt[[#This Row],[Days]]),$G$5,"")),"")</f>
        <v/>
      </c>
      <c r="AS52" s="37" t="str">
        <f ca="1">IFERROR(+IF(AS$29=ProposalToGnatt[[#This Row],[Start Date]],Milestone_Marker,IF(AND(AS$29&gt;ProposalToGnatt[[#This Row],[Start Date]],AS$29&lt;ProposalToGnatt[[#This Row],[Start Date]]+ProposalToGnatt[[#This Row],[Days]]),$G$5,"")),"")</f>
        <v/>
      </c>
      <c r="AT52" s="37" t="str">
        <f ca="1">IFERROR(+IF(AT$29=ProposalToGnatt[[#This Row],[Start Date]],Milestone_Marker,IF(AND(AT$29&gt;ProposalToGnatt[[#This Row],[Start Date]],AT$29&lt;ProposalToGnatt[[#This Row],[Start Date]]+ProposalToGnatt[[#This Row],[Days]]),$G$5,"")),"")</f>
        <v/>
      </c>
      <c r="AU52" s="37" t="str">
        <f ca="1">IFERROR(+IF(AU$29=ProposalToGnatt[[#This Row],[Start Date]],Milestone_Marker,IF(AND(AU$29&gt;ProposalToGnatt[[#This Row],[Start Date]],AU$29&lt;ProposalToGnatt[[#This Row],[Start Date]]+ProposalToGnatt[[#This Row],[Days]]),$G$5,"")),"")</f>
        <v/>
      </c>
      <c r="AV52" s="37" t="str">
        <f ca="1">IFERROR(+IF(AV$29=ProposalToGnatt[[#This Row],[Start Date]],Milestone_Marker,IF(AND(AV$29&gt;ProposalToGnatt[[#This Row],[Start Date]],AV$29&lt;ProposalToGnatt[[#This Row],[Start Date]]+ProposalToGnatt[[#This Row],[Days]]),$G$5,"")),"")</f>
        <v/>
      </c>
      <c r="AW52" s="37" t="str">
        <f ca="1">IFERROR(+IF(AW$29=ProposalToGnatt[[#This Row],[Start Date]],Milestone_Marker,IF(AND(AW$29&gt;ProposalToGnatt[[#This Row],[Start Date]],AW$29&lt;ProposalToGnatt[[#This Row],[Start Date]]+ProposalToGnatt[[#This Row],[Days]]),$G$5,"")),"")</f>
        <v/>
      </c>
      <c r="AX52" s="37" t="str">
        <f ca="1">IFERROR(+IF(AX$29=ProposalToGnatt[[#This Row],[Start Date]],Milestone_Marker,IF(AND(AX$29&gt;ProposalToGnatt[[#This Row],[Start Date]],AX$29&lt;ProposalToGnatt[[#This Row],[Start Date]]+ProposalToGnatt[[#This Row],[Days]]),$G$5,"")),"")</f>
        <v/>
      </c>
      <c r="AY52" s="37" t="str">
        <f ca="1">IFERROR(+IF(AY$29=ProposalToGnatt[[#This Row],[Start Date]],Milestone_Marker,IF(AND(AY$29&gt;ProposalToGnatt[[#This Row],[Start Date]],AY$29&lt;ProposalToGnatt[[#This Row],[Start Date]]+ProposalToGnatt[[#This Row],[Days]]),$G$5,"")),"")</f>
        <v/>
      </c>
      <c r="AZ52" s="37" t="str">
        <f ca="1">IFERROR(+IF(AZ$29=ProposalToGnatt[[#This Row],[Start Date]],Milestone_Marker,IF(AND(AZ$29&gt;ProposalToGnatt[[#This Row],[Start Date]],AZ$29&lt;ProposalToGnatt[[#This Row],[Start Date]]+ProposalToGnatt[[#This Row],[Days]]),$G$5,"")),"")</f>
        <v/>
      </c>
      <c r="BA52" s="37" t="str">
        <f ca="1">IFERROR(+IF(BA$29=ProposalToGnatt[[#This Row],[Start Date]],Milestone_Marker,IF(AND(BA$29&gt;ProposalToGnatt[[#This Row],[Start Date]],BA$29&lt;ProposalToGnatt[[#This Row],[Start Date]]+ProposalToGnatt[[#This Row],[Days]]),$G$5,"")),"")</f>
        <v/>
      </c>
      <c r="BB52" s="37" t="str">
        <f ca="1">IFERROR(+IF(BB$29=ProposalToGnatt[[#This Row],[Start Date]],Milestone_Marker,IF(AND(BB$29&gt;ProposalToGnatt[[#This Row],[Start Date]],BB$29&lt;ProposalToGnatt[[#This Row],[Start Date]]+ProposalToGnatt[[#This Row],[Days]]),$G$5,"")),"")</f>
        <v/>
      </c>
      <c r="BC52" s="37" t="str">
        <f ca="1">IFERROR(+IF(BC$29=ProposalToGnatt[[#This Row],[Start Date]],Milestone_Marker,IF(AND(BC$29&gt;ProposalToGnatt[[#This Row],[Start Date]],BC$29&lt;ProposalToGnatt[[#This Row],[Start Date]]+ProposalToGnatt[[#This Row],[Days]]),$G$5,"")),"")</f>
        <v/>
      </c>
      <c r="BD52" s="37" t="str">
        <f ca="1">IFERROR(+IF(BD$29=ProposalToGnatt[[#This Row],[Start Date]],Milestone_Marker,IF(AND(BD$29&gt;ProposalToGnatt[[#This Row],[Start Date]],BD$29&lt;ProposalToGnatt[[#This Row],[Start Date]]+ProposalToGnatt[[#This Row],[Days]]),$G$5,"")),"")</f>
        <v/>
      </c>
      <c r="BE52" s="37" t="str">
        <f ca="1">IFERROR(+IF(BE$29=ProposalToGnatt[[#This Row],[Start Date]],Milestone_Marker,IF(AND(BE$29&gt;ProposalToGnatt[[#This Row],[Start Date]],BE$29&lt;ProposalToGnatt[[#This Row],[Start Date]]+ProposalToGnatt[[#This Row],[Days]]),$G$5,"")),"")</f>
        <v/>
      </c>
      <c r="BF52" s="37" t="str">
        <f ca="1">IFERROR(+IF(BF$29=ProposalToGnatt[[#This Row],[Start Date]],Milestone_Marker,IF(AND(BF$29&gt;ProposalToGnatt[[#This Row],[Start Date]],BF$29&lt;ProposalToGnatt[[#This Row],[Start Date]]+ProposalToGnatt[[#This Row],[Days]]),$G$5,"")),"")</f>
        <v/>
      </c>
      <c r="BG52" s="37" t="str">
        <f ca="1">IFERROR(+IF(BG$29=ProposalToGnatt[[#This Row],[Start Date]],Milestone_Marker,IF(AND(BG$29&gt;ProposalToGnatt[[#This Row],[Start Date]],BG$29&lt;ProposalToGnatt[[#This Row],[Start Date]]+ProposalToGnatt[[#This Row],[Days]]),$G$5,"")),"")</f>
        <v/>
      </c>
      <c r="BH52" s="37" t="str">
        <f ca="1">IFERROR(+IF(BH$29=ProposalToGnatt[[#This Row],[Start Date]],Milestone_Marker,IF(AND(BH$29&gt;ProposalToGnatt[[#This Row],[Start Date]],BH$29&lt;ProposalToGnatt[[#This Row],[Start Date]]+ProposalToGnatt[[#This Row],[Days]]),$G$5,"")),"")</f>
        <v/>
      </c>
      <c r="BI52" s="37" t="str">
        <f ca="1">IFERROR(+IF(BI$29=ProposalToGnatt[[#This Row],[Start Date]],Milestone_Marker,IF(AND(BI$29&gt;ProposalToGnatt[[#This Row],[Start Date]],BI$29&lt;ProposalToGnatt[[#This Row],[Start Date]]+ProposalToGnatt[[#This Row],[Days]]),$G$5,"")),"")</f>
        <v/>
      </c>
      <c r="BJ52" s="37" t="str">
        <f ca="1">IFERROR(+IF(BJ$29=ProposalToGnatt[[#This Row],[Start Date]],Milestone_Marker,IF(AND(BJ$29&gt;ProposalToGnatt[[#This Row],[Start Date]],BJ$29&lt;ProposalToGnatt[[#This Row],[Start Date]]+ProposalToGnatt[[#This Row],[Days]]),$G$5,"")),"")</f>
        <v/>
      </c>
      <c r="BK52" s="37" t="str">
        <f ca="1">IFERROR(+IF(BK$29=ProposalToGnatt[[#This Row],[Start Date]],Milestone_Marker,IF(AND(BK$29&gt;ProposalToGnatt[[#This Row],[Start Date]],BK$29&lt;ProposalToGnatt[[#This Row],[Start Date]]+ProposalToGnatt[[#This Row],[Days]]),$G$5,"")),"")</f>
        <v/>
      </c>
      <c r="BL52" s="37" t="str">
        <f ca="1">IFERROR(+IF(BL$29=ProposalToGnatt[[#This Row],[Start Date]],Milestone_Marker,IF(AND(BL$29&gt;ProposalToGnatt[[#This Row],[Start Date]],BL$29&lt;ProposalToGnatt[[#This Row],[Start Date]]+ProposalToGnatt[[#This Row],[Days]]),$G$5,"")),"")</f>
        <v/>
      </c>
      <c r="BM52" s="37" t="str">
        <f ca="1">IFERROR(+IF(BM$29=ProposalToGnatt[[#This Row],[Start Date]],Milestone_Marker,IF(AND(BM$29&gt;ProposalToGnatt[[#This Row],[Start Date]],BM$29&lt;ProposalToGnatt[[#This Row],[Start Date]]+ProposalToGnatt[[#This Row],[Days]]),$G$5,"")),"")</f>
        <v/>
      </c>
      <c r="BN52" s="37" t="str">
        <f ca="1">IFERROR(+IF(BN$29=ProposalToGnatt[[#This Row],[Start Date]],Milestone_Marker,IF(AND(BN$29&gt;ProposalToGnatt[[#This Row],[Start Date]],BN$29&lt;ProposalToGnatt[[#This Row],[Start Date]]+ProposalToGnatt[[#This Row],[Days]]),$G$5,"")),"")</f>
        <v/>
      </c>
      <c r="BO52" s="37" t="str">
        <f ca="1">IFERROR(+IF(BO$29=ProposalToGnatt[[#This Row],[Start Date]],Milestone_Marker,IF(AND(BO$29&gt;ProposalToGnatt[[#This Row],[Start Date]],BO$29&lt;ProposalToGnatt[[#This Row],[Start Date]]+ProposalToGnatt[[#This Row],[Days]]),$G$5,"")),"")</f>
        <v/>
      </c>
      <c r="BP52" s="37" t="str">
        <f ca="1">IFERROR(+IF(BP$29=ProposalToGnatt[[#This Row],[Start Date]],Milestone_Marker,IF(AND(BP$29&gt;ProposalToGnatt[[#This Row],[Start Date]],BP$29&lt;ProposalToGnatt[[#This Row],[Start Date]]+ProposalToGnatt[[#This Row],[Days]]),$G$5,"")),"")</f>
        <v/>
      </c>
      <c r="BQ52" s="37" t="str">
        <f ca="1">IFERROR(+IF(BQ$29=ProposalToGnatt[[#This Row],[Start Date]],Milestone_Marker,IF(AND(BQ$29&gt;ProposalToGnatt[[#This Row],[Start Date]],BQ$29&lt;ProposalToGnatt[[#This Row],[Start Date]]+ProposalToGnatt[[#This Row],[Days]]),$G$5,"")),"")</f>
        <v/>
      </c>
      <c r="BR52" s="37" t="str">
        <f ca="1">IFERROR(+IF(BR$29=ProposalToGnatt[[#This Row],[Start Date]],Milestone_Marker,IF(AND(BR$29&gt;ProposalToGnatt[[#This Row],[Start Date]],BR$29&lt;ProposalToGnatt[[#This Row],[Start Date]]+ProposalToGnatt[[#This Row],[Days]]),$G$5,"")),"")</f>
        <v/>
      </c>
      <c r="BS52" s="37" t="str">
        <f ca="1">IFERROR(+IF(BS$29=ProposalToGnatt[[#This Row],[Start Date]],Milestone_Marker,IF(AND(BS$29&gt;ProposalToGnatt[[#This Row],[Start Date]],BS$29&lt;ProposalToGnatt[[#This Row],[Start Date]]+ProposalToGnatt[[#This Row],[Days]]),$G$5,"")),"")</f>
        <v/>
      </c>
      <c r="BT52" s="37" t="str">
        <f ca="1">IFERROR(+IF(BT$29=ProposalToGnatt[[#This Row],[Start Date]],Milestone_Marker,IF(AND(BT$29&gt;ProposalToGnatt[[#This Row],[Start Date]],BT$29&lt;ProposalToGnatt[[#This Row],[Start Date]]+ProposalToGnatt[[#This Row],[Days]]),$G$5,"")),"")</f>
        <v/>
      </c>
      <c r="BU52" s="37" t="str">
        <f ca="1">IFERROR(+IF(BU$29=ProposalToGnatt[[#This Row],[Start Date]],Milestone_Marker,IF(AND(BU$29&gt;ProposalToGnatt[[#This Row],[Start Date]],BU$29&lt;ProposalToGnatt[[#This Row],[Start Date]]+ProposalToGnatt[[#This Row],[Days]]),$G$5,"")),"")</f>
        <v/>
      </c>
      <c r="BV52" s="37" t="str">
        <f ca="1">IFERROR(+IF(BV$29=ProposalToGnatt[[#This Row],[Start Date]],Milestone_Marker,IF(AND(BV$29&gt;ProposalToGnatt[[#This Row],[Start Date]],BV$29&lt;ProposalToGnatt[[#This Row],[Start Date]]+ProposalToGnatt[[#This Row],[Days]]),$G$5,"")),"")</f>
        <v/>
      </c>
      <c r="BW52" s="37" t="str">
        <f ca="1">IFERROR(+IF(BW$29=ProposalToGnatt[[#This Row],[Start Date]],Milestone_Marker,IF(AND(BW$29&gt;ProposalToGnatt[[#This Row],[Start Date]],BW$29&lt;ProposalToGnatt[[#This Row],[Start Date]]+ProposalToGnatt[[#This Row],[Days]]),$G$5,"")),"")</f>
        <v/>
      </c>
      <c r="BX52" s="37" t="str">
        <f ca="1">IFERROR(+IF(BX$29=ProposalToGnatt[[#This Row],[Start Date]],Milestone_Marker,IF(AND(BX$29&gt;ProposalToGnatt[[#This Row],[Start Date]],BX$29&lt;ProposalToGnatt[[#This Row],[Start Date]]+ProposalToGnatt[[#This Row],[Days]]),$G$5,"")),"")</f>
        <v/>
      </c>
      <c r="BY52" s="37" t="str">
        <f ca="1">IFERROR(+IF(BY$29=ProposalToGnatt[[#This Row],[Start Date]],Milestone_Marker,IF(AND(BY$29&gt;ProposalToGnatt[[#This Row],[Start Date]],BY$29&lt;ProposalToGnatt[[#This Row],[Start Date]]+ProposalToGnatt[[#This Row],[Days]]),$G$5,"")),"")</f>
        <v/>
      </c>
      <c r="BZ52" s="37" t="str">
        <f ca="1">IFERROR(+IF(BZ$29=ProposalToGnatt[[#This Row],[Start Date]],Milestone_Marker,IF(AND(BZ$29&gt;ProposalToGnatt[[#This Row],[Start Date]],BZ$29&lt;ProposalToGnatt[[#This Row],[Start Date]]+ProposalToGnatt[[#This Row],[Days]]),$G$5,"")),"")</f>
        <v/>
      </c>
      <c r="CA52" s="37" t="str">
        <f ca="1">IFERROR(+IF(CA$29=ProposalToGnatt[[#This Row],[Start Date]],Milestone_Marker,IF(AND(CA$29&gt;ProposalToGnatt[[#This Row],[Start Date]],CA$29&lt;ProposalToGnatt[[#This Row],[Start Date]]+ProposalToGnatt[[#This Row],[Days]]),$G$5,"")),"")</f>
        <v/>
      </c>
      <c r="CB52" s="37" t="str">
        <f ca="1">IFERROR(+IF(CB$29=ProposalToGnatt[[#This Row],[Start Date]],Milestone_Marker,IF(AND(CB$29&gt;ProposalToGnatt[[#This Row],[Start Date]],CB$29&lt;ProposalToGnatt[[#This Row],[Start Date]]+ProposalToGnatt[[#This Row],[Days]]),$G$5,"")),"")</f>
        <v/>
      </c>
      <c r="CC52" s="37" t="str">
        <f ca="1">IFERROR(+IF(CC$29=ProposalToGnatt[[#This Row],[Start Date]],Milestone_Marker,IF(AND(CC$29&gt;ProposalToGnatt[[#This Row],[Start Date]],CC$29&lt;ProposalToGnatt[[#This Row],[Start Date]]+ProposalToGnatt[[#This Row],[Days]]),$G$5,"")),"")</f>
        <v/>
      </c>
      <c r="CD52" s="37" t="str">
        <f ca="1">IFERROR(+IF(CD$29=ProposalToGnatt[[#This Row],[Start Date]],Milestone_Marker,IF(AND(CD$29&gt;ProposalToGnatt[[#This Row],[Start Date]],CD$29&lt;ProposalToGnatt[[#This Row],[Start Date]]+ProposalToGnatt[[#This Row],[Days]]),$G$5,"")),"")</f>
        <v/>
      </c>
      <c r="CE52" s="37" t="str">
        <f ca="1">IFERROR(+IF(CE$29=ProposalToGnatt[[#This Row],[Start Date]],Milestone_Marker,IF(AND(CE$29&gt;ProposalToGnatt[[#This Row],[Start Date]],CE$29&lt;ProposalToGnatt[[#This Row],[Start Date]]+ProposalToGnatt[[#This Row],[Days]]),$G$5,"")),"")</f>
        <v/>
      </c>
      <c r="CF52" s="37" t="str">
        <f ca="1">IFERROR(+IF(CF$29=ProposalToGnatt[[#This Row],[Start Date]],Milestone_Marker,IF(AND(CF$29&gt;ProposalToGnatt[[#This Row],[Start Date]],CF$29&lt;ProposalToGnatt[[#This Row],[Start Date]]+ProposalToGnatt[[#This Row],[Days]]),$G$5,"")),"")</f>
        <v/>
      </c>
      <c r="CG52" s="37" t="str">
        <f ca="1">IFERROR(+IF(CG$29=ProposalToGnatt[[#This Row],[Start Date]],Milestone_Marker,IF(AND(CG$29&gt;ProposalToGnatt[[#This Row],[Start Date]],CG$29&lt;ProposalToGnatt[[#This Row],[Start Date]]+ProposalToGnatt[[#This Row],[Days]]),$G$5,"")),"")</f>
        <v/>
      </c>
      <c r="CH52" s="37" t="str">
        <f ca="1">IFERROR(+IF(CH$29=ProposalToGnatt[[#This Row],[Start Date]],Milestone_Marker,IF(AND(CH$29&gt;ProposalToGnatt[[#This Row],[Start Date]],CH$29&lt;ProposalToGnatt[[#This Row],[Start Date]]+ProposalToGnatt[[#This Row],[Days]]),$G$5,"")),"")</f>
        <v/>
      </c>
      <c r="CI52" s="37" t="str">
        <f ca="1">IFERROR(+IF(CI$29=ProposalToGnatt[[#This Row],[Start Date]],Milestone_Marker,IF(AND(CI$29&gt;ProposalToGnatt[[#This Row],[Start Date]],CI$29&lt;ProposalToGnatt[[#This Row],[Start Date]]+ProposalToGnatt[[#This Row],[Days]]),$G$5,"")),"")</f>
        <v/>
      </c>
      <c r="CJ52" s="37" t="str">
        <f ca="1">IFERROR(+IF(CJ$29=ProposalToGnatt[[#This Row],[Start Date]],Milestone_Marker,IF(AND(CJ$29&gt;ProposalToGnatt[[#This Row],[Start Date]],CJ$29&lt;ProposalToGnatt[[#This Row],[Start Date]]+ProposalToGnatt[[#This Row],[Days]]),$G$5,"")),"")</f>
        <v/>
      </c>
      <c r="CK52" s="37" t="str">
        <f ca="1">IFERROR(+IF(CK$29=ProposalToGnatt[[#This Row],[Start Date]],Milestone_Marker,IF(AND(CK$29&gt;ProposalToGnatt[[#This Row],[Start Date]],CK$29&lt;ProposalToGnatt[[#This Row],[Start Date]]+ProposalToGnatt[[#This Row],[Days]]),$G$5,"")),"")</f>
        <v/>
      </c>
      <c r="CL52" s="37" t="str">
        <f ca="1">IFERROR(+IF(CL$29=ProposalToGnatt[[#This Row],[Start Date]],Milestone_Marker,IF(AND(CL$29&gt;ProposalToGnatt[[#This Row],[Start Date]],CL$29&lt;ProposalToGnatt[[#This Row],[Start Date]]+ProposalToGnatt[[#This Row],[Days]]),$G$5,"")),"")</f>
        <v/>
      </c>
      <c r="CM52" s="37" t="str">
        <f ca="1">IFERROR(+IF(CM$29=ProposalToGnatt[[#This Row],[Start Date]],Milestone_Marker,IF(AND(CM$29&gt;ProposalToGnatt[[#This Row],[Start Date]],CM$29&lt;ProposalToGnatt[[#This Row],[Start Date]]+ProposalToGnatt[[#This Row],[Days]]),$G$5,"")),"")</f>
        <v/>
      </c>
      <c r="CN52" s="37" t="str">
        <f ca="1">IFERROR(+IF(CN$29=ProposalToGnatt[[#This Row],[Start Date]],Milestone_Marker,IF(AND(CN$29&gt;ProposalToGnatt[[#This Row],[Start Date]],CN$29&lt;ProposalToGnatt[[#This Row],[Start Date]]+ProposalToGnatt[[#This Row],[Days]]),$G$5,"")),"")</f>
        <v/>
      </c>
      <c r="CO52" s="37" t="str">
        <f ca="1">IFERROR(+IF(CO$29=ProposalToGnatt[[#This Row],[Start Date]],Milestone_Marker,IF(AND(CO$29&gt;ProposalToGnatt[[#This Row],[Start Date]],CO$29&lt;ProposalToGnatt[[#This Row],[Start Date]]+ProposalToGnatt[[#This Row],[Days]]),$G$5,"")),"")</f>
        <v/>
      </c>
      <c r="CP52" s="37" t="str">
        <f ca="1">IFERROR(+IF(CP$29=ProposalToGnatt[[#This Row],[Start Date]],Milestone_Marker,IF(AND(CP$29&gt;ProposalToGnatt[[#This Row],[Start Date]],CP$29&lt;ProposalToGnatt[[#This Row],[Start Date]]+ProposalToGnatt[[#This Row],[Days]]),$G$5,"")),"")</f>
        <v/>
      </c>
      <c r="CQ52" s="37" t="str">
        <f ca="1">IFERROR(+IF(CQ$29=ProposalToGnatt[[#This Row],[Start Date]],Milestone_Marker,IF(AND(CQ$29&gt;ProposalToGnatt[[#This Row],[Start Date]],CQ$29&lt;ProposalToGnatt[[#This Row],[Start Date]]+ProposalToGnatt[[#This Row],[Days]]),$G$5,"")),"")</f>
        <v/>
      </c>
      <c r="CR52" s="37" t="str">
        <f ca="1">IFERROR(+IF(CR$29=ProposalToGnatt[[#This Row],[Start Date]],Milestone_Marker,IF(AND(CR$29&gt;ProposalToGnatt[[#This Row],[Start Date]],CR$29&lt;ProposalToGnatt[[#This Row],[Start Date]]+ProposalToGnatt[[#This Row],[Days]]),$G$5,"")),"")</f>
        <v/>
      </c>
      <c r="CS52" s="37" t="str">
        <f ca="1">IFERROR(+IF(CS$29=ProposalToGnatt[[#This Row],[Start Date]],Milestone_Marker,IF(AND(CS$29&gt;ProposalToGnatt[[#This Row],[Start Date]],CS$29&lt;ProposalToGnatt[[#This Row],[Start Date]]+ProposalToGnatt[[#This Row],[Days]]),$G$5,"")),"")</f>
        <v/>
      </c>
      <c r="CT52" s="37" t="str">
        <f ca="1">IFERROR(+IF(CT$29=ProposalToGnatt[[#This Row],[Start Date]],Milestone_Marker,IF(AND(CT$29&gt;ProposalToGnatt[[#This Row],[Start Date]],CT$29&lt;ProposalToGnatt[[#This Row],[Start Date]]+ProposalToGnatt[[#This Row],[Days]]),$G$5,"")),"")</f>
        <v/>
      </c>
      <c r="CU52" s="37" t="str">
        <f ca="1">IFERROR(+IF(CU$29=ProposalToGnatt[[#This Row],[Start Date]],Milestone_Marker,IF(AND(CU$29&gt;ProposalToGnatt[[#This Row],[Start Date]],CU$29&lt;ProposalToGnatt[[#This Row],[Start Date]]+ProposalToGnatt[[#This Row],[Days]]),$G$5,"")),"")</f>
        <v/>
      </c>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row>
    <row r="53" spans="1:125" s="42" customFormat="1" ht="15">
      <c r="A53"/>
      <c r="B53"/>
      <c r="C53"/>
      <c r="D53"/>
      <c r="E53"/>
      <c r="F53"/>
      <c r="G53" s="11"/>
      <c r="H53" s="26"/>
      <c r="I53"/>
      <c r="J53"/>
      <c r="K53" s="363"/>
      <c r="L53"/>
      <c r="M53"/>
      <c r="N53"/>
      <c r="O53" s="26"/>
      <c r="P53" s="37" t="str">
        <f ca="1">IFERROR(+IF(P$29=ProposalToGnatt[[#This Row],[Start Date]],Milestone_Marker,IF(AND(P$29&gt;ProposalToGnatt[[#This Row],[Start Date]],P$29&lt;ProposalToGnatt[[#This Row],[Start Date]]+ProposalToGnatt[[#This Row],[Days]]),$G$5,"")),"")</f>
        <v/>
      </c>
      <c r="Q53" s="37" t="str">
        <f ca="1">IFERROR(+IF(Q$29=ProposalToGnatt[[#This Row],[Start Date]],Milestone_Marker,IF(AND(Q$29&gt;ProposalToGnatt[[#This Row],[Start Date]],Q$29&lt;ProposalToGnatt[[#This Row],[Start Date]]+ProposalToGnatt[[#This Row],[Days]]),$G$5,"")),"")</f>
        <v/>
      </c>
      <c r="R53" s="37" t="str">
        <f ca="1">IFERROR(+IF(R$29=ProposalToGnatt[[#This Row],[Start Date]],Milestone_Marker,IF(AND(R$29&gt;ProposalToGnatt[[#This Row],[Start Date]],R$29&lt;ProposalToGnatt[[#This Row],[Start Date]]+ProposalToGnatt[[#This Row],[Days]]),$G$5,"")),"")</f>
        <v/>
      </c>
      <c r="S53" s="37" t="str">
        <f ca="1">IFERROR(+IF(S$29=ProposalToGnatt[[#This Row],[Start Date]],Milestone_Marker,IF(AND(S$29&gt;ProposalToGnatt[[#This Row],[Start Date]],S$29&lt;ProposalToGnatt[[#This Row],[Start Date]]+ProposalToGnatt[[#This Row],[Days]]),$G$5,"")),"")</f>
        <v/>
      </c>
      <c r="T53" s="37" t="str">
        <f ca="1">IFERROR(+IF(T$29=ProposalToGnatt[[#This Row],[Start Date]],Milestone_Marker,IF(AND(T$29&gt;ProposalToGnatt[[#This Row],[Start Date]],T$29&lt;ProposalToGnatt[[#This Row],[Start Date]]+ProposalToGnatt[[#This Row],[Days]]),$G$5,"")),"")</f>
        <v/>
      </c>
      <c r="U53" s="37" t="str">
        <f ca="1">IFERROR(+IF(U$29=ProposalToGnatt[[#This Row],[Start Date]],Milestone_Marker,IF(AND(U$29&gt;ProposalToGnatt[[#This Row],[Start Date]],U$29&lt;ProposalToGnatt[[#This Row],[Start Date]]+ProposalToGnatt[[#This Row],[Days]]),$G$5,"")),"")</f>
        <v/>
      </c>
      <c r="V53" s="37" t="str">
        <f ca="1">IFERROR(+IF(V$29=ProposalToGnatt[[#This Row],[Start Date]],Milestone_Marker,IF(AND(V$29&gt;ProposalToGnatt[[#This Row],[Start Date]],V$29&lt;ProposalToGnatt[[#This Row],[Start Date]]+ProposalToGnatt[[#This Row],[Days]]),$G$5,"")),"")</f>
        <v/>
      </c>
      <c r="W53" s="37" t="str">
        <f ca="1">IFERROR(+IF(W$29=ProposalToGnatt[[#This Row],[Start Date]],Milestone_Marker,IF(AND(W$29&gt;ProposalToGnatt[[#This Row],[Start Date]],W$29&lt;ProposalToGnatt[[#This Row],[Start Date]]+ProposalToGnatt[[#This Row],[Days]]),$G$5,"")),"")</f>
        <v/>
      </c>
      <c r="X53" s="37" t="str">
        <f ca="1">IFERROR(+IF(X$29=ProposalToGnatt[[#This Row],[Start Date]],Milestone_Marker,IF(AND(X$29&gt;ProposalToGnatt[[#This Row],[Start Date]],X$29&lt;ProposalToGnatt[[#This Row],[Start Date]]+ProposalToGnatt[[#This Row],[Days]]),$G$5,"")),"")</f>
        <v/>
      </c>
      <c r="Y53" s="37" t="str">
        <f ca="1">IFERROR(+IF(Y$29=ProposalToGnatt[[#This Row],[Start Date]],Milestone_Marker,IF(AND(Y$29&gt;ProposalToGnatt[[#This Row],[Start Date]],Y$29&lt;ProposalToGnatt[[#This Row],[Start Date]]+ProposalToGnatt[[#This Row],[Days]]),$G$5,"")),"")</f>
        <v/>
      </c>
      <c r="Z53" s="37" t="str">
        <f ca="1">IFERROR(+IF(Z$29=ProposalToGnatt[[#This Row],[Start Date]],Milestone_Marker,IF(AND(Z$29&gt;ProposalToGnatt[[#This Row],[Start Date]],Z$29&lt;ProposalToGnatt[[#This Row],[Start Date]]+ProposalToGnatt[[#This Row],[Days]]),$G$5,"")),"")</f>
        <v/>
      </c>
      <c r="AA53" s="37" t="str">
        <f ca="1">IFERROR(+IF(AA$29=ProposalToGnatt[[#This Row],[Start Date]],Milestone_Marker,IF(AND(AA$29&gt;ProposalToGnatt[[#This Row],[Start Date]],AA$29&lt;ProposalToGnatt[[#This Row],[Start Date]]+ProposalToGnatt[[#This Row],[Days]]),$G$5,"")),"")</f>
        <v/>
      </c>
      <c r="AB53" s="37" t="str">
        <f ca="1">IFERROR(+IF(AB$29=ProposalToGnatt[[#This Row],[Start Date]],Milestone_Marker,IF(AND(AB$29&gt;ProposalToGnatt[[#This Row],[Start Date]],AB$29&lt;ProposalToGnatt[[#This Row],[Start Date]]+ProposalToGnatt[[#This Row],[Days]]),$G$5,"")),"")</f>
        <v/>
      </c>
      <c r="AC53" s="37" t="str">
        <f ca="1">IFERROR(+IF(AC$29=ProposalToGnatt[[#This Row],[Start Date]],Milestone_Marker,IF(AND(AC$29&gt;ProposalToGnatt[[#This Row],[Start Date]],AC$29&lt;ProposalToGnatt[[#This Row],[Start Date]]+ProposalToGnatt[[#This Row],[Days]]),$G$5,"")),"")</f>
        <v/>
      </c>
      <c r="AD53" s="37" t="str">
        <f ca="1">IFERROR(+IF(AD$29=ProposalToGnatt[[#This Row],[Start Date]],Milestone_Marker,IF(AND(AD$29&gt;ProposalToGnatt[[#This Row],[Start Date]],AD$29&lt;ProposalToGnatt[[#This Row],[Start Date]]+ProposalToGnatt[[#This Row],[Days]]),$G$5,"")),"")</f>
        <v/>
      </c>
      <c r="AE53" s="37" t="str">
        <f ca="1">IFERROR(+IF(AE$29=ProposalToGnatt[[#This Row],[Start Date]],Milestone_Marker,IF(AND(AE$29&gt;ProposalToGnatt[[#This Row],[Start Date]],AE$29&lt;ProposalToGnatt[[#This Row],[Start Date]]+ProposalToGnatt[[#This Row],[Days]]),$G$5,"")),"")</f>
        <v/>
      </c>
      <c r="AF53" s="37" t="str">
        <f ca="1">IFERROR(+IF(AF$29=ProposalToGnatt[[#This Row],[Start Date]],Milestone_Marker,IF(AND(AF$29&gt;ProposalToGnatt[[#This Row],[Start Date]],AF$29&lt;ProposalToGnatt[[#This Row],[Start Date]]+ProposalToGnatt[[#This Row],[Days]]),$G$5,"")),"")</f>
        <v/>
      </c>
      <c r="AG53" s="37" t="str">
        <f ca="1">IFERROR(+IF(AG$29=ProposalToGnatt[[#This Row],[Start Date]],Milestone_Marker,IF(AND(AG$29&gt;ProposalToGnatt[[#This Row],[Start Date]],AG$29&lt;ProposalToGnatt[[#This Row],[Start Date]]+ProposalToGnatt[[#This Row],[Days]]),$G$5,"")),"")</f>
        <v/>
      </c>
      <c r="AH53" s="37" t="str">
        <f ca="1">IFERROR(+IF(AH$29=ProposalToGnatt[[#This Row],[Start Date]],Milestone_Marker,IF(AND(AH$29&gt;ProposalToGnatt[[#This Row],[Start Date]],AH$29&lt;ProposalToGnatt[[#This Row],[Start Date]]+ProposalToGnatt[[#This Row],[Days]]),$G$5,"")),"")</f>
        <v/>
      </c>
      <c r="AI53" s="37" t="str">
        <f ca="1">IFERROR(+IF(AI$29=ProposalToGnatt[[#This Row],[Start Date]],Milestone_Marker,IF(AND(AI$29&gt;ProposalToGnatt[[#This Row],[Start Date]],AI$29&lt;ProposalToGnatt[[#This Row],[Start Date]]+ProposalToGnatt[[#This Row],[Days]]),$G$5,"")),"")</f>
        <v/>
      </c>
      <c r="AJ53" s="37" t="str">
        <f ca="1">IFERROR(+IF(AJ$29=ProposalToGnatt[[#This Row],[Start Date]],Milestone_Marker,IF(AND(AJ$29&gt;ProposalToGnatt[[#This Row],[Start Date]],AJ$29&lt;ProposalToGnatt[[#This Row],[Start Date]]+ProposalToGnatt[[#This Row],[Days]]),$G$5,"")),"")</f>
        <v/>
      </c>
      <c r="AK53" s="37" t="str">
        <f ca="1">IFERROR(+IF(AK$29=ProposalToGnatt[[#This Row],[Start Date]],Milestone_Marker,IF(AND(AK$29&gt;ProposalToGnatt[[#This Row],[Start Date]],AK$29&lt;ProposalToGnatt[[#This Row],[Start Date]]+ProposalToGnatt[[#This Row],[Days]]),$G$5,"")),"")</f>
        <v/>
      </c>
      <c r="AL53" s="37" t="str">
        <f ca="1">IFERROR(+IF(AL$29=ProposalToGnatt[[#This Row],[Start Date]],Milestone_Marker,IF(AND(AL$29&gt;ProposalToGnatt[[#This Row],[Start Date]],AL$29&lt;ProposalToGnatt[[#This Row],[Start Date]]+ProposalToGnatt[[#This Row],[Days]]),$G$5,"")),"")</f>
        <v/>
      </c>
      <c r="AM53" s="37" t="str">
        <f ca="1">IFERROR(+IF(AM$29=ProposalToGnatt[[#This Row],[Start Date]],Milestone_Marker,IF(AND(AM$29&gt;ProposalToGnatt[[#This Row],[Start Date]],AM$29&lt;ProposalToGnatt[[#This Row],[Start Date]]+ProposalToGnatt[[#This Row],[Days]]),$G$5,"")),"")</f>
        <v/>
      </c>
      <c r="AN53" s="37" t="str">
        <f ca="1">IFERROR(+IF(AN$29=ProposalToGnatt[[#This Row],[Start Date]],Milestone_Marker,IF(AND(AN$29&gt;ProposalToGnatt[[#This Row],[Start Date]],AN$29&lt;ProposalToGnatt[[#This Row],[Start Date]]+ProposalToGnatt[[#This Row],[Days]]),$G$5,"")),"")</f>
        <v/>
      </c>
      <c r="AO53" s="37" t="str">
        <f ca="1">IFERROR(+IF(AO$29=ProposalToGnatt[[#This Row],[Start Date]],Milestone_Marker,IF(AND(AO$29&gt;ProposalToGnatt[[#This Row],[Start Date]],AO$29&lt;ProposalToGnatt[[#This Row],[Start Date]]+ProposalToGnatt[[#This Row],[Days]]),$G$5,"")),"")</f>
        <v/>
      </c>
      <c r="AP53" s="37" t="str">
        <f ca="1">IFERROR(+IF(AP$29=ProposalToGnatt[[#This Row],[Start Date]],Milestone_Marker,IF(AND(AP$29&gt;ProposalToGnatt[[#This Row],[Start Date]],AP$29&lt;ProposalToGnatt[[#This Row],[Start Date]]+ProposalToGnatt[[#This Row],[Days]]),$G$5,"")),"")</f>
        <v/>
      </c>
      <c r="AQ53" s="37" t="str">
        <f ca="1">IFERROR(+IF(AQ$29=ProposalToGnatt[[#This Row],[Start Date]],Milestone_Marker,IF(AND(AQ$29&gt;ProposalToGnatt[[#This Row],[Start Date]],AQ$29&lt;ProposalToGnatt[[#This Row],[Start Date]]+ProposalToGnatt[[#This Row],[Days]]),$G$5,"")),"")</f>
        <v/>
      </c>
      <c r="AR53" s="37" t="str">
        <f ca="1">IFERROR(+IF(AR$29=ProposalToGnatt[[#This Row],[Start Date]],Milestone_Marker,IF(AND(AR$29&gt;ProposalToGnatt[[#This Row],[Start Date]],AR$29&lt;ProposalToGnatt[[#This Row],[Start Date]]+ProposalToGnatt[[#This Row],[Days]]),$G$5,"")),"")</f>
        <v/>
      </c>
      <c r="AS53" s="37" t="str">
        <f ca="1">IFERROR(+IF(AS$29=ProposalToGnatt[[#This Row],[Start Date]],Milestone_Marker,IF(AND(AS$29&gt;ProposalToGnatt[[#This Row],[Start Date]],AS$29&lt;ProposalToGnatt[[#This Row],[Start Date]]+ProposalToGnatt[[#This Row],[Days]]),$G$5,"")),"")</f>
        <v/>
      </c>
      <c r="AT53" s="37" t="str">
        <f ca="1">IFERROR(+IF(AT$29=ProposalToGnatt[[#This Row],[Start Date]],Milestone_Marker,IF(AND(AT$29&gt;ProposalToGnatt[[#This Row],[Start Date]],AT$29&lt;ProposalToGnatt[[#This Row],[Start Date]]+ProposalToGnatt[[#This Row],[Days]]),$G$5,"")),"")</f>
        <v/>
      </c>
      <c r="AU53" s="37" t="str">
        <f ca="1">IFERROR(+IF(AU$29=ProposalToGnatt[[#This Row],[Start Date]],Milestone_Marker,IF(AND(AU$29&gt;ProposalToGnatt[[#This Row],[Start Date]],AU$29&lt;ProposalToGnatt[[#This Row],[Start Date]]+ProposalToGnatt[[#This Row],[Days]]),$G$5,"")),"")</f>
        <v/>
      </c>
      <c r="AV53" s="37" t="str">
        <f ca="1">IFERROR(+IF(AV$29=ProposalToGnatt[[#This Row],[Start Date]],Milestone_Marker,IF(AND(AV$29&gt;ProposalToGnatt[[#This Row],[Start Date]],AV$29&lt;ProposalToGnatt[[#This Row],[Start Date]]+ProposalToGnatt[[#This Row],[Days]]),$G$5,"")),"")</f>
        <v/>
      </c>
      <c r="AW53" s="37" t="str">
        <f ca="1">IFERROR(+IF(AW$29=ProposalToGnatt[[#This Row],[Start Date]],Milestone_Marker,IF(AND(AW$29&gt;ProposalToGnatt[[#This Row],[Start Date]],AW$29&lt;ProposalToGnatt[[#This Row],[Start Date]]+ProposalToGnatt[[#This Row],[Days]]),$G$5,"")),"")</f>
        <v/>
      </c>
      <c r="AX53" s="37" t="str">
        <f ca="1">IFERROR(+IF(AX$29=ProposalToGnatt[[#This Row],[Start Date]],Milestone_Marker,IF(AND(AX$29&gt;ProposalToGnatt[[#This Row],[Start Date]],AX$29&lt;ProposalToGnatt[[#This Row],[Start Date]]+ProposalToGnatt[[#This Row],[Days]]),$G$5,"")),"")</f>
        <v/>
      </c>
      <c r="AY53" s="37" t="str">
        <f ca="1">IFERROR(+IF(AY$29=ProposalToGnatt[[#This Row],[Start Date]],Milestone_Marker,IF(AND(AY$29&gt;ProposalToGnatt[[#This Row],[Start Date]],AY$29&lt;ProposalToGnatt[[#This Row],[Start Date]]+ProposalToGnatt[[#This Row],[Days]]),$G$5,"")),"")</f>
        <v/>
      </c>
      <c r="AZ53" s="37" t="str">
        <f ca="1">IFERROR(+IF(AZ$29=ProposalToGnatt[[#This Row],[Start Date]],Milestone_Marker,IF(AND(AZ$29&gt;ProposalToGnatt[[#This Row],[Start Date]],AZ$29&lt;ProposalToGnatt[[#This Row],[Start Date]]+ProposalToGnatt[[#This Row],[Days]]),$G$5,"")),"")</f>
        <v/>
      </c>
      <c r="BA53" s="37" t="str">
        <f ca="1">IFERROR(+IF(BA$29=ProposalToGnatt[[#This Row],[Start Date]],Milestone_Marker,IF(AND(BA$29&gt;ProposalToGnatt[[#This Row],[Start Date]],BA$29&lt;ProposalToGnatt[[#This Row],[Start Date]]+ProposalToGnatt[[#This Row],[Days]]),$G$5,"")),"")</f>
        <v/>
      </c>
      <c r="BB53" s="37" t="str">
        <f ca="1">IFERROR(+IF(BB$29=ProposalToGnatt[[#This Row],[Start Date]],Milestone_Marker,IF(AND(BB$29&gt;ProposalToGnatt[[#This Row],[Start Date]],BB$29&lt;ProposalToGnatt[[#This Row],[Start Date]]+ProposalToGnatt[[#This Row],[Days]]),$G$5,"")),"")</f>
        <v/>
      </c>
      <c r="BC53" s="37" t="str">
        <f ca="1">IFERROR(+IF(BC$29=ProposalToGnatt[[#This Row],[Start Date]],Milestone_Marker,IF(AND(BC$29&gt;ProposalToGnatt[[#This Row],[Start Date]],BC$29&lt;ProposalToGnatt[[#This Row],[Start Date]]+ProposalToGnatt[[#This Row],[Days]]),$G$5,"")),"")</f>
        <v/>
      </c>
      <c r="BD53" s="37" t="str">
        <f ca="1">IFERROR(+IF(BD$29=ProposalToGnatt[[#This Row],[Start Date]],Milestone_Marker,IF(AND(BD$29&gt;ProposalToGnatt[[#This Row],[Start Date]],BD$29&lt;ProposalToGnatt[[#This Row],[Start Date]]+ProposalToGnatt[[#This Row],[Days]]),$G$5,"")),"")</f>
        <v/>
      </c>
      <c r="BE53" s="37" t="str">
        <f ca="1">IFERROR(+IF(BE$29=ProposalToGnatt[[#This Row],[Start Date]],Milestone_Marker,IF(AND(BE$29&gt;ProposalToGnatt[[#This Row],[Start Date]],BE$29&lt;ProposalToGnatt[[#This Row],[Start Date]]+ProposalToGnatt[[#This Row],[Days]]),$G$5,"")),"")</f>
        <v/>
      </c>
      <c r="BF53" s="37" t="str">
        <f ca="1">IFERROR(+IF(BF$29=ProposalToGnatt[[#This Row],[Start Date]],Milestone_Marker,IF(AND(BF$29&gt;ProposalToGnatt[[#This Row],[Start Date]],BF$29&lt;ProposalToGnatt[[#This Row],[Start Date]]+ProposalToGnatt[[#This Row],[Days]]),$G$5,"")),"")</f>
        <v/>
      </c>
      <c r="BG53" s="37" t="str">
        <f ca="1">IFERROR(+IF(BG$29=ProposalToGnatt[[#This Row],[Start Date]],Milestone_Marker,IF(AND(BG$29&gt;ProposalToGnatt[[#This Row],[Start Date]],BG$29&lt;ProposalToGnatt[[#This Row],[Start Date]]+ProposalToGnatt[[#This Row],[Days]]),$G$5,"")),"")</f>
        <v/>
      </c>
      <c r="BH53" s="37" t="str">
        <f ca="1">IFERROR(+IF(BH$29=ProposalToGnatt[[#This Row],[Start Date]],Milestone_Marker,IF(AND(BH$29&gt;ProposalToGnatt[[#This Row],[Start Date]],BH$29&lt;ProposalToGnatt[[#This Row],[Start Date]]+ProposalToGnatt[[#This Row],[Days]]),$G$5,"")),"")</f>
        <v/>
      </c>
      <c r="BI53" s="37" t="str">
        <f ca="1">IFERROR(+IF(BI$29=ProposalToGnatt[[#This Row],[Start Date]],Milestone_Marker,IF(AND(BI$29&gt;ProposalToGnatt[[#This Row],[Start Date]],BI$29&lt;ProposalToGnatt[[#This Row],[Start Date]]+ProposalToGnatt[[#This Row],[Days]]),$G$5,"")),"")</f>
        <v/>
      </c>
      <c r="BJ53" s="37" t="str">
        <f ca="1">IFERROR(+IF(BJ$29=ProposalToGnatt[[#This Row],[Start Date]],Milestone_Marker,IF(AND(BJ$29&gt;ProposalToGnatt[[#This Row],[Start Date]],BJ$29&lt;ProposalToGnatt[[#This Row],[Start Date]]+ProposalToGnatt[[#This Row],[Days]]),$G$5,"")),"")</f>
        <v/>
      </c>
      <c r="BK53" s="37" t="str">
        <f ca="1">IFERROR(+IF(BK$29=ProposalToGnatt[[#This Row],[Start Date]],Milestone_Marker,IF(AND(BK$29&gt;ProposalToGnatt[[#This Row],[Start Date]],BK$29&lt;ProposalToGnatt[[#This Row],[Start Date]]+ProposalToGnatt[[#This Row],[Days]]),$G$5,"")),"")</f>
        <v/>
      </c>
      <c r="BL53" s="37" t="str">
        <f ca="1">IFERROR(+IF(BL$29=ProposalToGnatt[[#This Row],[Start Date]],Milestone_Marker,IF(AND(BL$29&gt;ProposalToGnatt[[#This Row],[Start Date]],BL$29&lt;ProposalToGnatt[[#This Row],[Start Date]]+ProposalToGnatt[[#This Row],[Days]]),$G$5,"")),"")</f>
        <v/>
      </c>
      <c r="BM53" s="37" t="str">
        <f ca="1">IFERROR(+IF(BM$29=ProposalToGnatt[[#This Row],[Start Date]],Milestone_Marker,IF(AND(BM$29&gt;ProposalToGnatt[[#This Row],[Start Date]],BM$29&lt;ProposalToGnatt[[#This Row],[Start Date]]+ProposalToGnatt[[#This Row],[Days]]),$G$5,"")),"")</f>
        <v/>
      </c>
      <c r="BN53" s="37" t="str">
        <f ca="1">IFERROR(+IF(BN$29=ProposalToGnatt[[#This Row],[Start Date]],Milestone_Marker,IF(AND(BN$29&gt;ProposalToGnatt[[#This Row],[Start Date]],BN$29&lt;ProposalToGnatt[[#This Row],[Start Date]]+ProposalToGnatt[[#This Row],[Days]]),$G$5,"")),"")</f>
        <v/>
      </c>
      <c r="BO53" s="37" t="str">
        <f ca="1">IFERROR(+IF(BO$29=ProposalToGnatt[[#This Row],[Start Date]],Milestone_Marker,IF(AND(BO$29&gt;ProposalToGnatt[[#This Row],[Start Date]],BO$29&lt;ProposalToGnatt[[#This Row],[Start Date]]+ProposalToGnatt[[#This Row],[Days]]),$G$5,"")),"")</f>
        <v/>
      </c>
      <c r="BP53" s="37" t="str">
        <f ca="1">IFERROR(+IF(BP$29=ProposalToGnatt[[#This Row],[Start Date]],Milestone_Marker,IF(AND(BP$29&gt;ProposalToGnatt[[#This Row],[Start Date]],BP$29&lt;ProposalToGnatt[[#This Row],[Start Date]]+ProposalToGnatt[[#This Row],[Days]]),$G$5,"")),"")</f>
        <v/>
      </c>
      <c r="BQ53" s="37" t="str">
        <f ca="1">IFERROR(+IF(BQ$29=ProposalToGnatt[[#This Row],[Start Date]],Milestone_Marker,IF(AND(BQ$29&gt;ProposalToGnatt[[#This Row],[Start Date]],BQ$29&lt;ProposalToGnatt[[#This Row],[Start Date]]+ProposalToGnatt[[#This Row],[Days]]),$G$5,"")),"")</f>
        <v/>
      </c>
      <c r="BR53" s="37" t="str">
        <f ca="1">IFERROR(+IF(BR$29=ProposalToGnatt[[#This Row],[Start Date]],Milestone_Marker,IF(AND(BR$29&gt;ProposalToGnatt[[#This Row],[Start Date]],BR$29&lt;ProposalToGnatt[[#This Row],[Start Date]]+ProposalToGnatt[[#This Row],[Days]]),$G$5,"")),"")</f>
        <v/>
      </c>
      <c r="BS53" s="37" t="str">
        <f ca="1">IFERROR(+IF(BS$29=ProposalToGnatt[[#This Row],[Start Date]],Milestone_Marker,IF(AND(BS$29&gt;ProposalToGnatt[[#This Row],[Start Date]],BS$29&lt;ProposalToGnatt[[#This Row],[Start Date]]+ProposalToGnatt[[#This Row],[Days]]),$G$5,"")),"")</f>
        <v/>
      </c>
      <c r="BT53" s="37" t="str">
        <f ca="1">IFERROR(+IF(BT$29=ProposalToGnatt[[#This Row],[Start Date]],Milestone_Marker,IF(AND(BT$29&gt;ProposalToGnatt[[#This Row],[Start Date]],BT$29&lt;ProposalToGnatt[[#This Row],[Start Date]]+ProposalToGnatt[[#This Row],[Days]]),$G$5,"")),"")</f>
        <v/>
      </c>
      <c r="BU53" s="37" t="str">
        <f ca="1">IFERROR(+IF(BU$29=ProposalToGnatt[[#This Row],[Start Date]],Milestone_Marker,IF(AND(BU$29&gt;ProposalToGnatt[[#This Row],[Start Date]],BU$29&lt;ProposalToGnatt[[#This Row],[Start Date]]+ProposalToGnatt[[#This Row],[Days]]),$G$5,"")),"")</f>
        <v/>
      </c>
      <c r="BV53" s="37" t="str">
        <f ca="1">IFERROR(+IF(BV$29=ProposalToGnatt[[#This Row],[Start Date]],Milestone_Marker,IF(AND(BV$29&gt;ProposalToGnatt[[#This Row],[Start Date]],BV$29&lt;ProposalToGnatt[[#This Row],[Start Date]]+ProposalToGnatt[[#This Row],[Days]]),$G$5,"")),"")</f>
        <v/>
      </c>
      <c r="BW53" s="37" t="str">
        <f ca="1">IFERROR(+IF(BW$29=ProposalToGnatt[[#This Row],[Start Date]],Milestone_Marker,IF(AND(BW$29&gt;ProposalToGnatt[[#This Row],[Start Date]],BW$29&lt;ProposalToGnatt[[#This Row],[Start Date]]+ProposalToGnatt[[#This Row],[Days]]),$G$5,"")),"")</f>
        <v/>
      </c>
      <c r="BX53" s="37" t="str">
        <f ca="1">IFERROR(+IF(BX$29=ProposalToGnatt[[#This Row],[Start Date]],Milestone_Marker,IF(AND(BX$29&gt;ProposalToGnatt[[#This Row],[Start Date]],BX$29&lt;ProposalToGnatt[[#This Row],[Start Date]]+ProposalToGnatt[[#This Row],[Days]]),$G$5,"")),"")</f>
        <v/>
      </c>
      <c r="BY53" s="37" t="str">
        <f ca="1">IFERROR(+IF(BY$29=ProposalToGnatt[[#This Row],[Start Date]],Milestone_Marker,IF(AND(BY$29&gt;ProposalToGnatt[[#This Row],[Start Date]],BY$29&lt;ProposalToGnatt[[#This Row],[Start Date]]+ProposalToGnatt[[#This Row],[Days]]),$G$5,"")),"")</f>
        <v/>
      </c>
      <c r="BZ53" s="37" t="str">
        <f ca="1">IFERROR(+IF(BZ$29=ProposalToGnatt[[#This Row],[Start Date]],Milestone_Marker,IF(AND(BZ$29&gt;ProposalToGnatt[[#This Row],[Start Date]],BZ$29&lt;ProposalToGnatt[[#This Row],[Start Date]]+ProposalToGnatt[[#This Row],[Days]]),$G$5,"")),"")</f>
        <v/>
      </c>
      <c r="CA53" s="37" t="str">
        <f ca="1">IFERROR(+IF(CA$29=ProposalToGnatt[[#This Row],[Start Date]],Milestone_Marker,IF(AND(CA$29&gt;ProposalToGnatt[[#This Row],[Start Date]],CA$29&lt;ProposalToGnatt[[#This Row],[Start Date]]+ProposalToGnatt[[#This Row],[Days]]),$G$5,"")),"")</f>
        <v/>
      </c>
      <c r="CB53" s="37" t="str">
        <f ca="1">IFERROR(+IF(CB$29=ProposalToGnatt[[#This Row],[Start Date]],Milestone_Marker,IF(AND(CB$29&gt;ProposalToGnatt[[#This Row],[Start Date]],CB$29&lt;ProposalToGnatt[[#This Row],[Start Date]]+ProposalToGnatt[[#This Row],[Days]]),$G$5,"")),"")</f>
        <v/>
      </c>
      <c r="CC53" s="37" t="str">
        <f ca="1">IFERROR(+IF(CC$29=ProposalToGnatt[[#This Row],[Start Date]],Milestone_Marker,IF(AND(CC$29&gt;ProposalToGnatt[[#This Row],[Start Date]],CC$29&lt;ProposalToGnatt[[#This Row],[Start Date]]+ProposalToGnatt[[#This Row],[Days]]),$G$5,"")),"")</f>
        <v/>
      </c>
      <c r="CD53" s="37" t="str">
        <f ca="1">IFERROR(+IF(CD$29=ProposalToGnatt[[#This Row],[Start Date]],Milestone_Marker,IF(AND(CD$29&gt;ProposalToGnatt[[#This Row],[Start Date]],CD$29&lt;ProposalToGnatt[[#This Row],[Start Date]]+ProposalToGnatt[[#This Row],[Days]]),$G$5,"")),"")</f>
        <v/>
      </c>
      <c r="CE53" s="37" t="str">
        <f ca="1">IFERROR(+IF(CE$29=ProposalToGnatt[[#This Row],[Start Date]],Milestone_Marker,IF(AND(CE$29&gt;ProposalToGnatt[[#This Row],[Start Date]],CE$29&lt;ProposalToGnatt[[#This Row],[Start Date]]+ProposalToGnatt[[#This Row],[Days]]),$G$5,"")),"")</f>
        <v/>
      </c>
      <c r="CF53" s="37" t="str">
        <f ca="1">IFERROR(+IF(CF$29=ProposalToGnatt[[#This Row],[Start Date]],Milestone_Marker,IF(AND(CF$29&gt;ProposalToGnatt[[#This Row],[Start Date]],CF$29&lt;ProposalToGnatt[[#This Row],[Start Date]]+ProposalToGnatt[[#This Row],[Days]]),$G$5,"")),"")</f>
        <v/>
      </c>
      <c r="CG53" s="37" t="str">
        <f ca="1">IFERROR(+IF(CG$29=ProposalToGnatt[[#This Row],[Start Date]],Milestone_Marker,IF(AND(CG$29&gt;ProposalToGnatt[[#This Row],[Start Date]],CG$29&lt;ProposalToGnatt[[#This Row],[Start Date]]+ProposalToGnatt[[#This Row],[Days]]),$G$5,"")),"")</f>
        <v/>
      </c>
      <c r="CH53" s="37" t="str">
        <f ca="1">IFERROR(+IF(CH$29=ProposalToGnatt[[#This Row],[Start Date]],Milestone_Marker,IF(AND(CH$29&gt;ProposalToGnatt[[#This Row],[Start Date]],CH$29&lt;ProposalToGnatt[[#This Row],[Start Date]]+ProposalToGnatt[[#This Row],[Days]]),$G$5,"")),"")</f>
        <v/>
      </c>
      <c r="CI53" s="37" t="str">
        <f ca="1">IFERROR(+IF(CI$29=ProposalToGnatt[[#This Row],[Start Date]],Milestone_Marker,IF(AND(CI$29&gt;ProposalToGnatt[[#This Row],[Start Date]],CI$29&lt;ProposalToGnatt[[#This Row],[Start Date]]+ProposalToGnatt[[#This Row],[Days]]),$G$5,"")),"")</f>
        <v/>
      </c>
      <c r="CJ53" s="37" t="str">
        <f ca="1">IFERROR(+IF(CJ$29=ProposalToGnatt[[#This Row],[Start Date]],Milestone_Marker,IF(AND(CJ$29&gt;ProposalToGnatt[[#This Row],[Start Date]],CJ$29&lt;ProposalToGnatt[[#This Row],[Start Date]]+ProposalToGnatt[[#This Row],[Days]]),$G$5,"")),"")</f>
        <v/>
      </c>
      <c r="CK53" s="37" t="str">
        <f ca="1">IFERROR(+IF(CK$29=ProposalToGnatt[[#This Row],[Start Date]],Milestone_Marker,IF(AND(CK$29&gt;ProposalToGnatt[[#This Row],[Start Date]],CK$29&lt;ProposalToGnatt[[#This Row],[Start Date]]+ProposalToGnatt[[#This Row],[Days]]),$G$5,"")),"")</f>
        <v/>
      </c>
      <c r="CL53" s="37" t="str">
        <f ca="1">IFERROR(+IF(CL$29=ProposalToGnatt[[#This Row],[Start Date]],Milestone_Marker,IF(AND(CL$29&gt;ProposalToGnatt[[#This Row],[Start Date]],CL$29&lt;ProposalToGnatt[[#This Row],[Start Date]]+ProposalToGnatt[[#This Row],[Days]]),$G$5,"")),"")</f>
        <v/>
      </c>
      <c r="CM53" s="37" t="str">
        <f ca="1">IFERROR(+IF(CM$29=ProposalToGnatt[[#This Row],[Start Date]],Milestone_Marker,IF(AND(CM$29&gt;ProposalToGnatt[[#This Row],[Start Date]],CM$29&lt;ProposalToGnatt[[#This Row],[Start Date]]+ProposalToGnatt[[#This Row],[Days]]),$G$5,"")),"")</f>
        <v/>
      </c>
      <c r="CN53" s="37" t="str">
        <f ca="1">IFERROR(+IF(CN$29=ProposalToGnatt[[#This Row],[Start Date]],Milestone_Marker,IF(AND(CN$29&gt;ProposalToGnatt[[#This Row],[Start Date]],CN$29&lt;ProposalToGnatt[[#This Row],[Start Date]]+ProposalToGnatt[[#This Row],[Days]]),$G$5,"")),"")</f>
        <v/>
      </c>
      <c r="CO53" s="37" t="str">
        <f ca="1">IFERROR(+IF(CO$29=ProposalToGnatt[[#This Row],[Start Date]],Milestone_Marker,IF(AND(CO$29&gt;ProposalToGnatt[[#This Row],[Start Date]],CO$29&lt;ProposalToGnatt[[#This Row],[Start Date]]+ProposalToGnatt[[#This Row],[Days]]),$G$5,"")),"")</f>
        <v/>
      </c>
      <c r="CP53" s="37" t="str">
        <f ca="1">IFERROR(+IF(CP$29=ProposalToGnatt[[#This Row],[Start Date]],Milestone_Marker,IF(AND(CP$29&gt;ProposalToGnatt[[#This Row],[Start Date]],CP$29&lt;ProposalToGnatt[[#This Row],[Start Date]]+ProposalToGnatt[[#This Row],[Days]]),$G$5,"")),"")</f>
        <v/>
      </c>
      <c r="CQ53" s="37" t="str">
        <f ca="1">IFERROR(+IF(CQ$29=ProposalToGnatt[[#This Row],[Start Date]],Milestone_Marker,IF(AND(CQ$29&gt;ProposalToGnatt[[#This Row],[Start Date]],CQ$29&lt;ProposalToGnatt[[#This Row],[Start Date]]+ProposalToGnatt[[#This Row],[Days]]),$G$5,"")),"")</f>
        <v/>
      </c>
      <c r="CR53" s="37" t="str">
        <f ca="1">IFERROR(+IF(CR$29=ProposalToGnatt[[#This Row],[Start Date]],Milestone_Marker,IF(AND(CR$29&gt;ProposalToGnatt[[#This Row],[Start Date]],CR$29&lt;ProposalToGnatt[[#This Row],[Start Date]]+ProposalToGnatt[[#This Row],[Days]]),$G$5,"")),"")</f>
        <v/>
      </c>
      <c r="CS53" s="37" t="str">
        <f ca="1">IFERROR(+IF(CS$29=ProposalToGnatt[[#This Row],[Start Date]],Milestone_Marker,IF(AND(CS$29&gt;ProposalToGnatt[[#This Row],[Start Date]],CS$29&lt;ProposalToGnatt[[#This Row],[Start Date]]+ProposalToGnatt[[#This Row],[Days]]),$G$5,"")),"")</f>
        <v/>
      </c>
      <c r="CT53" s="37" t="str">
        <f ca="1">IFERROR(+IF(CT$29=ProposalToGnatt[[#This Row],[Start Date]],Milestone_Marker,IF(AND(CT$29&gt;ProposalToGnatt[[#This Row],[Start Date]],CT$29&lt;ProposalToGnatt[[#This Row],[Start Date]]+ProposalToGnatt[[#This Row],[Days]]),$G$5,"")),"")</f>
        <v/>
      </c>
      <c r="CU53" s="37" t="str">
        <f ca="1">IFERROR(+IF(CU$29=ProposalToGnatt[[#This Row],[Start Date]],Milestone_Marker,IF(AND(CU$29&gt;ProposalToGnatt[[#This Row],[Start Date]],CU$29&lt;ProposalToGnatt[[#This Row],[Start Date]]+ProposalToGnatt[[#This Row],[Days]]),$G$5,"")),"")</f>
        <v/>
      </c>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row>
    <row r="54" spans="1:125" s="42" customFormat="1" ht="15">
      <c r="A54"/>
      <c r="B54"/>
      <c r="C54"/>
      <c r="D54"/>
      <c r="E54"/>
      <c r="F54"/>
      <c r="G54" s="11"/>
      <c r="H54" s="26"/>
      <c r="I54"/>
      <c r="J54"/>
      <c r="K54" s="363"/>
      <c r="L54"/>
      <c r="M54"/>
      <c r="N54"/>
      <c r="O54" s="26"/>
      <c r="P54" s="37" t="str">
        <f ca="1">IFERROR(+IF(P$29=ProposalToGnatt[[#This Row],[Start Date]],Milestone_Marker,IF(AND(P$29&gt;ProposalToGnatt[[#This Row],[Start Date]],P$29&lt;ProposalToGnatt[[#This Row],[Start Date]]+ProposalToGnatt[[#This Row],[Days]]),$G$5,"")),"")</f>
        <v/>
      </c>
      <c r="Q54" s="37" t="str">
        <f ca="1">IFERROR(+IF(Q$29=ProposalToGnatt[[#This Row],[Start Date]],Milestone_Marker,IF(AND(Q$29&gt;ProposalToGnatt[[#This Row],[Start Date]],Q$29&lt;ProposalToGnatt[[#This Row],[Start Date]]+ProposalToGnatt[[#This Row],[Days]]),$G$5,"")),"")</f>
        <v/>
      </c>
      <c r="R54" s="37" t="str">
        <f ca="1">IFERROR(+IF(R$29=ProposalToGnatt[[#This Row],[Start Date]],Milestone_Marker,IF(AND(R$29&gt;ProposalToGnatt[[#This Row],[Start Date]],R$29&lt;ProposalToGnatt[[#This Row],[Start Date]]+ProposalToGnatt[[#This Row],[Days]]),$G$5,"")),"")</f>
        <v/>
      </c>
      <c r="S54" s="37" t="str">
        <f ca="1">IFERROR(+IF(S$29=ProposalToGnatt[[#This Row],[Start Date]],Milestone_Marker,IF(AND(S$29&gt;ProposalToGnatt[[#This Row],[Start Date]],S$29&lt;ProposalToGnatt[[#This Row],[Start Date]]+ProposalToGnatt[[#This Row],[Days]]),$G$5,"")),"")</f>
        <v/>
      </c>
      <c r="T54" s="37" t="str">
        <f ca="1">IFERROR(+IF(T$29=ProposalToGnatt[[#This Row],[Start Date]],Milestone_Marker,IF(AND(T$29&gt;ProposalToGnatt[[#This Row],[Start Date]],T$29&lt;ProposalToGnatt[[#This Row],[Start Date]]+ProposalToGnatt[[#This Row],[Days]]),$G$5,"")),"")</f>
        <v/>
      </c>
      <c r="U54" s="37" t="str">
        <f ca="1">IFERROR(+IF(U$29=ProposalToGnatt[[#This Row],[Start Date]],Milestone_Marker,IF(AND(U$29&gt;ProposalToGnatt[[#This Row],[Start Date]],U$29&lt;ProposalToGnatt[[#This Row],[Start Date]]+ProposalToGnatt[[#This Row],[Days]]),$G$5,"")),"")</f>
        <v/>
      </c>
      <c r="V54" s="37" t="str">
        <f ca="1">IFERROR(+IF(V$29=ProposalToGnatt[[#This Row],[Start Date]],Milestone_Marker,IF(AND(V$29&gt;ProposalToGnatt[[#This Row],[Start Date]],V$29&lt;ProposalToGnatt[[#This Row],[Start Date]]+ProposalToGnatt[[#This Row],[Days]]),$G$5,"")),"")</f>
        <v/>
      </c>
      <c r="W54" s="37" t="str">
        <f ca="1">IFERROR(+IF(W$29=ProposalToGnatt[[#This Row],[Start Date]],Milestone_Marker,IF(AND(W$29&gt;ProposalToGnatt[[#This Row],[Start Date]],W$29&lt;ProposalToGnatt[[#This Row],[Start Date]]+ProposalToGnatt[[#This Row],[Days]]),$G$5,"")),"")</f>
        <v/>
      </c>
      <c r="X54" s="37" t="str">
        <f ca="1">IFERROR(+IF(X$29=ProposalToGnatt[[#This Row],[Start Date]],Milestone_Marker,IF(AND(X$29&gt;ProposalToGnatt[[#This Row],[Start Date]],X$29&lt;ProposalToGnatt[[#This Row],[Start Date]]+ProposalToGnatt[[#This Row],[Days]]),$G$5,"")),"")</f>
        <v/>
      </c>
      <c r="Y54" s="37" t="str">
        <f ca="1">IFERROR(+IF(Y$29=ProposalToGnatt[[#This Row],[Start Date]],Milestone_Marker,IF(AND(Y$29&gt;ProposalToGnatt[[#This Row],[Start Date]],Y$29&lt;ProposalToGnatt[[#This Row],[Start Date]]+ProposalToGnatt[[#This Row],[Days]]),$G$5,"")),"")</f>
        <v/>
      </c>
      <c r="Z54" s="37" t="str">
        <f ca="1">IFERROR(+IF(Z$29=ProposalToGnatt[[#This Row],[Start Date]],Milestone_Marker,IF(AND(Z$29&gt;ProposalToGnatt[[#This Row],[Start Date]],Z$29&lt;ProposalToGnatt[[#This Row],[Start Date]]+ProposalToGnatt[[#This Row],[Days]]),$G$5,"")),"")</f>
        <v/>
      </c>
      <c r="AA54" s="37" t="str">
        <f ca="1">IFERROR(+IF(AA$29=ProposalToGnatt[[#This Row],[Start Date]],Milestone_Marker,IF(AND(AA$29&gt;ProposalToGnatt[[#This Row],[Start Date]],AA$29&lt;ProposalToGnatt[[#This Row],[Start Date]]+ProposalToGnatt[[#This Row],[Days]]),$G$5,"")),"")</f>
        <v/>
      </c>
      <c r="AB54" s="37" t="str">
        <f ca="1">IFERROR(+IF(AB$29=ProposalToGnatt[[#This Row],[Start Date]],Milestone_Marker,IF(AND(AB$29&gt;ProposalToGnatt[[#This Row],[Start Date]],AB$29&lt;ProposalToGnatt[[#This Row],[Start Date]]+ProposalToGnatt[[#This Row],[Days]]),$G$5,"")),"")</f>
        <v/>
      </c>
      <c r="AC54" s="37" t="str">
        <f ca="1">IFERROR(+IF(AC$29=ProposalToGnatt[[#This Row],[Start Date]],Milestone_Marker,IF(AND(AC$29&gt;ProposalToGnatt[[#This Row],[Start Date]],AC$29&lt;ProposalToGnatt[[#This Row],[Start Date]]+ProposalToGnatt[[#This Row],[Days]]),$G$5,"")),"")</f>
        <v/>
      </c>
      <c r="AD54" s="37" t="str">
        <f ca="1">IFERROR(+IF(AD$29=ProposalToGnatt[[#This Row],[Start Date]],Milestone_Marker,IF(AND(AD$29&gt;ProposalToGnatt[[#This Row],[Start Date]],AD$29&lt;ProposalToGnatt[[#This Row],[Start Date]]+ProposalToGnatt[[#This Row],[Days]]),$G$5,"")),"")</f>
        <v/>
      </c>
      <c r="AE54" s="37" t="str">
        <f ca="1">IFERROR(+IF(AE$29=ProposalToGnatt[[#This Row],[Start Date]],Milestone_Marker,IF(AND(AE$29&gt;ProposalToGnatt[[#This Row],[Start Date]],AE$29&lt;ProposalToGnatt[[#This Row],[Start Date]]+ProposalToGnatt[[#This Row],[Days]]),$G$5,"")),"")</f>
        <v/>
      </c>
      <c r="AF54" s="37" t="str">
        <f ca="1">IFERROR(+IF(AF$29=ProposalToGnatt[[#This Row],[Start Date]],Milestone_Marker,IF(AND(AF$29&gt;ProposalToGnatt[[#This Row],[Start Date]],AF$29&lt;ProposalToGnatt[[#This Row],[Start Date]]+ProposalToGnatt[[#This Row],[Days]]),$G$5,"")),"")</f>
        <v/>
      </c>
      <c r="AG54" s="37" t="str">
        <f ca="1">IFERROR(+IF(AG$29=ProposalToGnatt[[#This Row],[Start Date]],Milestone_Marker,IF(AND(AG$29&gt;ProposalToGnatt[[#This Row],[Start Date]],AG$29&lt;ProposalToGnatt[[#This Row],[Start Date]]+ProposalToGnatt[[#This Row],[Days]]),$G$5,"")),"")</f>
        <v/>
      </c>
      <c r="AH54" s="37" t="str">
        <f ca="1">IFERROR(+IF(AH$29=ProposalToGnatt[[#This Row],[Start Date]],Milestone_Marker,IF(AND(AH$29&gt;ProposalToGnatt[[#This Row],[Start Date]],AH$29&lt;ProposalToGnatt[[#This Row],[Start Date]]+ProposalToGnatt[[#This Row],[Days]]),$G$5,"")),"")</f>
        <v/>
      </c>
      <c r="AI54" s="37" t="str">
        <f ca="1">IFERROR(+IF(AI$29=ProposalToGnatt[[#This Row],[Start Date]],Milestone_Marker,IF(AND(AI$29&gt;ProposalToGnatt[[#This Row],[Start Date]],AI$29&lt;ProposalToGnatt[[#This Row],[Start Date]]+ProposalToGnatt[[#This Row],[Days]]),$G$5,"")),"")</f>
        <v/>
      </c>
      <c r="AJ54" s="37" t="str">
        <f ca="1">IFERROR(+IF(AJ$29=ProposalToGnatt[[#This Row],[Start Date]],Milestone_Marker,IF(AND(AJ$29&gt;ProposalToGnatt[[#This Row],[Start Date]],AJ$29&lt;ProposalToGnatt[[#This Row],[Start Date]]+ProposalToGnatt[[#This Row],[Days]]),$G$5,"")),"")</f>
        <v/>
      </c>
      <c r="AK54" s="37" t="str">
        <f ca="1">IFERROR(+IF(AK$29=ProposalToGnatt[[#This Row],[Start Date]],Milestone_Marker,IF(AND(AK$29&gt;ProposalToGnatt[[#This Row],[Start Date]],AK$29&lt;ProposalToGnatt[[#This Row],[Start Date]]+ProposalToGnatt[[#This Row],[Days]]),$G$5,"")),"")</f>
        <v/>
      </c>
      <c r="AL54" s="37" t="str">
        <f ca="1">IFERROR(+IF(AL$29=ProposalToGnatt[[#This Row],[Start Date]],Milestone_Marker,IF(AND(AL$29&gt;ProposalToGnatt[[#This Row],[Start Date]],AL$29&lt;ProposalToGnatt[[#This Row],[Start Date]]+ProposalToGnatt[[#This Row],[Days]]),$G$5,"")),"")</f>
        <v/>
      </c>
      <c r="AM54" s="37" t="str">
        <f ca="1">IFERROR(+IF(AM$29=ProposalToGnatt[[#This Row],[Start Date]],Milestone_Marker,IF(AND(AM$29&gt;ProposalToGnatt[[#This Row],[Start Date]],AM$29&lt;ProposalToGnatt[[#This Row],[Start Date]]+ProposalToGnatt[[#This Row],[Days]]),$G$5,"")),"")</f>
        <v/>
      </c>
      <c r="AN54" s="37" t="str">
        <f ca="1">IFERROR(+IF(AN$29=ProposalToGnatt[[#This Row],[Start Date]],Milestone_Marker,IF(AND(AN$29&gt;ProposalToGnatt[[#This Row],[Start Date]],AN$29&lt;ProposalToGnatt[[#This Row],[Start Date]]+ProposalToGnatt[[#This Row],[Days]]),$G$5,"")),"")</f>
        <v/>
      </c>
      <c r="AO54" s="37" t="str">
        <f ca="1">IFERROR(+IF(AO$29=ProposalToGnatt[[#This Row],[Start Date]],Milestone_Marker,IF(AND(AO$29&gt;ProposalToGnatt[[#This Row],[Start Date]],AO$29&lt;ProposalToGnatt[[#This Row],[Start Date]]+ProposalToGnatt[[#This Row],[Days]]),$G$5,"")),"")</f>
        <v/>
      </c>
      <c r="AP54" s="37" t="str">
        <f ca="1">IFERROR(+IF(AP$29=ProposalToGnatt[[#This Row],[Start Date]],Milestone_Marker,IF(AND(AP$29&gt;ProposalToGnatt[[#This Row],[Start Date]],AP$29&lt;ProposalToGnatt[[#This Row],[Start Date]]+ProposalToGnatt[[#This Row],[Days]]),$G$5,"")),"")</f>
        <v/>
      </c>
      <c r="AQ54" s="37" t="str">
        <f ca="1">IFERROR(+IF(AQ$29=ProposalToGnatt[[#This Row],[Start Date]],Milestone_Marker,IF(AND(AQ$29&gt;ProposalToGnatt[[#This Row],[Start Date]],AQ$29&lt;ProposalToGnatt[[#This Row],[Start Date]]+ProposalToGnatt[[#This Row],[Days]]),$G$5,"")),"")</f>
        <v/>
      </c>
      <c r="AR54" s="37" t="str">
        <f ca="1">IFERROR(+IF(AR$29=ProposalToGnatt[[#This Row],[Start Date]],Milestone_Marker,IF(AND(AR$29&gt;ProposalToGnatt[[#This Row],[Start Date]],AR$29&lt;ProposalToGnatt[[#This Row],[Start Date]]+ProposalToGnatt[[#This Row],[Days]]),$G$5,"")),"")</f>
        <v/>
      </c>
      <c r="AS54" s="37" t="str">
        <f ca="1">IFERROR(+IF(AS$29=ProposalToGnatt[[#This Row],[Start Date]],Milestone_Marker,IF(AND(AS$29&gt;ProposalToGnatt[[#This Row],[Start Date]],AS$29&lt;ProposalToGnatt[[#This Row],[Start Date]]+ProposalToGnatt[[#This Row],[Days]]),$G$5,"")),"")</f>
        <v/>
      </c>
      <c r="AT54" s="37" t="str">
        <f ca="1">IFERROR(+IF(AT$29=ProposalToGnatt[[#This Row],[Start Date]],Milestone_Marker,IF(AND(AT$29&gt;ProposalToGnatt[[#This Row],[Start Date]],AT$29&lt;ProposalToGnatt[[#This Row],[Start Date]]+ProposalToGnatt[[#This Row],[Days]]),$G$5,"")),"")</f>
        <v/>
      </c>
      <c r="AU54" s="37" t="str">
        <f ca="1">IFERROR(+IF(AU$29=ProposalToGnatt[[#This Row],[Start Date]],Milestone_Marker,IF(AND(AU$29&gt;ProposalToGnatt[[#This Row],[Start Date]],AU$29&lt;ProposalToGnatt[[#This Row],[Start Date]]+ProposalToGnatt[[#This Row],[Days]]),$G$5,"")),"")</f>
        <v/>
      </c>
      <c r="AV54" s="37" t="str">
        <f ca="1">IFERROR(+IF(AV$29=ProposalToGnatt[[#This Row],[Start Date]],Milestone_Marker,IF(AND(AV$29&gt;ProposalToGnatt[[#This Row],[Start Date]],AV$29&lt;ProposalToGnatt[[#This Row],[Start Date]]+ProposalToGnatt[[#This Row],[Days]]),$G$5,"")),"")</f>
        <v/>
      </c>
      <c r="AW54" s="37" t="str">
        <f ca="1">IFERROR(+IF(AW$29=ProposalToGnatt[[#This Row],[Start Date]],Milestone_Marker,IF(AND(AW$29&gt;ProposalToGnatt[[#This Row],[Start Date]],AW$29&lt;ProposalToGnatt[[#This Row],[Start Date]]+ProposalToGnatt[[#This Row],[Days]]),$G$5,"")),"")</f>
        <v/>
      </c>
      <c r="AX54" s="37" t="str">
        <f ca="1">IFERROR(+IF(AX$29=ProposalToGnatt[[#This Row],[Start Date]],Milestone_Marker,IF(AND(AX$29&gt;ProposalToGnatt[[#This Row],[Start Date]],AX$29&lt;ProposalToGnatt[[#This Row],[Start Date]]+ProposalToGnatt[[#This Row],[Days]]),$G$5,"")),"")</f>
        <v/>
      </c>
      <c r="AY54" s="37" t="str">
        <f ca="1">IFERROR(+IF(AY$29=ProposalToGnatt[[#This Row],[Start Date]],Milestone_Marker,IF(AND(AY$29&gt;ProposalToGnatt[[#This Row],[Start Date]],AY$29&lt;ProposalToGnatt[[#This Row],[Start Date]]+ProposalToGnatt[[#This Row],[Days]]),$G$5,"")),"")</f>
        <v/>
      </c>
      <c r="AZ54" s="37" t="str">
        <f ca="1">IFERROR(+IF(AZ$29=ProposalToGnatt[[#This Row],[Start Date]],Milestone_Marker,IF(AND(AZ$29&gt;ProposalToGnatt[[#This Row],[Start Date]],AZ$29&lt;ProposalToGnatt[[#This Row],[Start Date]]+ProposalToGnatt[[#This Row],[Days]]),$G$5,"")),"")</f>
        <v/>
      </c>
      <c r="BA54" s="37" t="str">
        <f ca="1">IFERROR(+IF(BA$29=ProposalToGnatt[[#This Row],[Start Date]],Milestone_Marker,IF(AND(BA$29&gt;ProposalToGnatt[[#This Row],[Start Date]],BA$29&lt;ProposalToGnatt[[#This Row],[Start Date]]+ProposalToGnatt[[#This Row],[Days]]),$G$5,"")),"")</f>
        <v/>
      </c>
      <c r="BB54" s="37" t="str">
        <f ca="1">IFERROR(+IF(BB$29=ProposalToGnatt[[#This Row],[Start Date]],Milestone_Marker,IF(AND(BB$29&gt;ProposalToGnatt[[#This Row],[Start Date]],BB$29&lt;ProposalToGnatt[[#This Row],[Start Date]]+ProposalToGnatt[[#This Row],[Days]]),$G$5,"")),"")</f>
        <v/>
      </c>
      <c r="BC54" s="37" t="str">
        <f ca="1">IFERROR(+IF(BC$29=ProposalToGnatt[[#This Row],[Start Date]],Milestone_Marker,IF(AND(BC$29&gt;ProposalToGnatt[[#This Row],[Start Date]],BC$29&lt;ProposalToGnatt[[#This Row],[Start Date]]+ProposalToGnatt[[#This Row],[Days]]),$G$5,"")),"")</f>
        <v/>
      </c>
      <c r="BD54" s="37" t="str">
        <f ca="1">IFERROR(+IF(BD$29=ProposalToGnatt[[#This Row],[Start Date]],Milestone_Marker,IF(AND(BD$29&gt;ProposalToGnatt[[#This Row],[Start Date]],BD$29&lt;ProposalToGnatt[[#This Row],[Start Date]]+ProposalToGnatt[[#This Row],[Days]]),$G$5,"")),"")</f>
        <v/>
      </c>
      <c r="BE54" s="37" t="str">
        <f ca="1">IFERROR(+IF(BE$29=ProposalToGnatt[[#This Row],[Start Date]],Milestone_Marker,IF(AND(BE$29&gt;ProposalToGnatt[[#This Row],[Start Date]],BE$29&lt;ProposalToGnatt[[#This Row],[Start Date]]+ProposalToGnatt[[#This Row],[Days]]),$G$5,"")),"")</f>
        <v/>
      </c>
      <c r="BF54" s="37" t="str">
        <f ca="1">IFERROR(+IF(BF$29=ProposalToGnatt[[#This Row],[Start Date]],Milestone_Marker,IF(AND(BF$29&gt;ProposalToGnatt[[#This Row],[Start Date]],BF$29&lt;ProposalToGnatt[[#This Row],[Start Date]]+ProposalToGnatt[[#This Row],[Days]]),$G$5,"")),"")</f>
        <v/>
      </c>
      <c r="BG54" s="37" t="str">
        <f ca="1">IFERROR(+IF(BG$29=ProposalToGnatt[[#This Row],[Start Date]],Milestone_Marker,IF(AND(BG$29&gt;ProposalToGnatt[[#This Row],[Start Date]],BG$29&lt;ProposalToGnatt[[#This Row],[Start Date]]+ProposalToGnatt[[#This Row],[Days]]),$G$5,"")),"")</f>
        <v/>
      </c>
      <c r="BH54" s="37" t="str">
        <f ca="1">IFERROR(+IF(BH$29=ProposalToGnatt[[#This Row],[Start Date]],Milestone_Marker,IF(AND(BH$29&gt;ProposalToGnatt[[#This Row],[Start Date]],BH$29&lt;ProposalToGnatt[[#This Row],[Start Date]]+ProposalToGnatt[[#This Row],[Days]]),$G$5,"")),"")</f>
        <v/>
      </c>
      <c r="BI54" s="37" t="str">
        <f ca="1">IFERROR(+IF(BI$29=ProposalToGnatt[[#This Row],[Start Date]],Milestone_Marker,IF(AND(BI$29&gt;ProposalToGnatt[[#This Row],[Start Date]],BI$29&lt;ProposalToGnatt[[#This Row],[Start Date]]+ProposalToGnatt[[#This Row],[Days]]),$G$5,"")),"")</f>
        <v/>
      </c>
      <c r="BJ54" s="37" t="str">
        <f ca="1">IFERROR(+IF(BJ$29=ProposalToGnatt[[#This Row],[Start Date]],Milestone_Marker,IF(AND(BJ$29&gt;ProposalToGnatt[[#This Row],[Start Date]],BJ$29&lt;ProposalToGnatt[[#This Row],[Start Date]]+ProposalToGnatt[[#This Row],[Days]]),$G$5,"")),"")</f>
        <v/>
      </c>
      <c r="BK54" s="37" t="str">
        <f ca="1">IFERROR(+IF(BK$29=ProposalToGnatt[[#This Row],[Start Date]],Milestone_Marker,IF(AND(BK$29&gt;ProposalToGnatt[[#This Row],[Start Date]],BK$29&lt;ProposalToGnatt[[#This Row],[Start Date]]+ProposalToGnatt[[#This Row],[Days]]),$G$5,"")),"")</f>
        <v/>
      </c>
      <c r="BL54" s="37" t="str">
        <f ca="1">IFERROR(+IF(BL$29=ProposalToGnatt[[#This Row],[Start Date]],Milestone_Marker,IF(AND(BL$29&gt;ProposalToGnatt[[#This Row],[Start Date]],BL$29&lt;ProposalToGnatt[[#This Row],[Start Date]]+ProposalToGnatt[[#This Row],[Days]]),$G$5,"")),"")</f>
        <v/>
      </c>
      <c r="BM54" s="37" t="str">
        <f ca="1">IFERROR(+IF(BM$29=ProposalToGnatt[[#This Row],[Start Date]],Milestone_Marker,IF(AND(BM$29&gt;ProposalToGnatt[[#This Row],[Start Date]],BM$29&lt;ProposalToGnatt[[#This Row],[Start Date]]+ProposalToGnatt[[#This Row],[Days]]),$G$5,"")),"")</f>
        <v/>
      </c>
      <c r="BN54" s="37" t="str">
        <f ca="1">IFERROR(+IF(BN$29=ProposalToGnatt[[#This Row],[Start Date]],Milestone_Marker,IF(AND(BN$29&gt;ProposalToGnatt[[#This Row],[Start Date]],BN$29&lt;ProposalToGnatt[[#This Row],[Start Date]]+ProposalToGnatt[[#This Row],[Days]]),$G$5,"")),"")</f>
        <v/>
      </c>
      <c r="BO54" s="37" t="str">
        <f ca="1">IFERROR(+IF(BO$29=ProposalToGnatt[[#This Row],[Start Date]],Milestone_Marker,IF(AND(BO$29&gt;ProposalToGnatt[[#This Row],[Start Date]],BO$29&lt;ProposalToGnatt[[#This Row],[Start Date]]+ProposalToGnatt[[#This Row],[Days]]),$G$5,"")),"")</f>
        <v/>
      </c>
      <c r="BP54" s="37" t="str">
        <f ca="1">IFERROR(+IF(BP$29=ProposalToGnatt[[#This Row],[Start Date]],Milestone_Marker,IF(AND(BP$29&gt;ProposalToGnatt[[#This Row],[Start Date]],BP$29&lt;ProposalToGnatt[[#This Row],[Start Date]]+ProposalToGnatt[[#This Row],[Days]]),$G$5,"")),"")</f>
        <v/>
      </c>
      <c r="BQ54" s="37" t="str">
        <f ca="1">IFERROR(+IF(BQ$29=ProposalToGnatt[[#This Row],[Start Date]],Milestone_Marker,IF(AND(BQ$29&gt;ProposalToGnatt[[#This Row],[Start Date]],BQ$29&lt;ProposalToGnatt[[#This Row],[Start Date]]+ProposalToGnatt[[#This Row],[Days]]),$G$5,"")),"")</f>
        <v/>
      </c>
      <c r="BR54" s="37" t="str">
        <f ca="1">IFERROR(+IF(BR$29=ProposalToGnatt[[#This Row],[Start Date]],Milestone_Marker,IF(AND(BR$29&gt;ProposalToGnatt[[#This Row],[Start Date]],BR$29&lt;ProposalToGnatt[[#This Row],[Start Date]]+ProposalToGnatt[[#This Row],[Days]]),$G$5,"")),"")</f>
        <v/>
      </c>
      <c r="BS54" s="37" t="str">
        <f ca="1">IFERROR(+IF(BS$29=ProposalToGnatt[[#This Row],[Start Date]],Milestone_Marker,IF(AND(BS$29&gt;ProposalToGnatt[[#This Row],[Start Date]],BS$29&lt;ProposalToGnatt[[#This Row],[Start Date]]+ProposalToGnatt[[#This Row],[Days]]),$G$5,"")),"")</f>
        <v/>
      </c>
      <c r="BT54" s="37" t="str">
        <f ca="1">IFERROR(+IF(BT$29=ProposalToGnatt[[#This Row],[Start Date]],Milestone_Marker,IF(AND(BT$29&gt;ProposalToGnatt[[#This Row],[Start Date]],BT$29&lt;ProposalToGnatt[[#This Row],[Start Date]]+ProposalToGnatt[[#This Row],[Days]]),$G$5,"")),"")</f>
        <v/>
      </c>
      <c r="BU54" s="37" t="str">
        <f ca="1">IFERROR(+IF(BU$29=ProposalToGnatt[[#This Row],[Start Date]],Milestone_Marker,IF(AND(BU$29&gt;ProposalToGnatt[[#This Row],[Start Date]],BU$29&lt;ProposalToGnatt[[#This Row],[Start Date]]+ProposalToGnatt[[#This Row],[Days]]),$G$5,"")),"")</f>
        <v/>
      </c>
      <c r="BV54" s="37" t="str">
        <f ca="1">IFERROR(+IF(BV$29=ProposalToGnatt[[#This Row],[Start Date]],Milestone_Marker,IF(AND(BV$29&gt;ProposalToGnatt[[#This Row],[Start Date]],BV$29&lt;ProposalToGnatt[[#This Row],[Start Date]]+ProposalToGnatt[[#This Row],[Days]]),$G$5,"")),"")</f>
        <v/>
      </c>
      <c r="BW54" s="37" t="str">
        <f ca="1">IFERROR(+IF(BW$29=ProposalToGnatt[[#This Row],[Start Date]],Milestone_Marker,IF(AND(BW$29&gt;ProposalToGnatt[[#This Row],[Start Date]],BW$29&lt;ProposalToGnatt[[#This Row],[Start Date]]+ProposalToGnatt[[#This Row],[Days]]),$G$5,"")),"")</f>
        <v/>
      </c>
      <c r="BX54" s="37" t="str">
        <f ca="1">IFERROR(+IF(BX$29=ProposalToGnatt[[#This Row],[Start Date]],Milestone_Marker,IF(AND(BX$29&gt;ProposalToGnatt[[#This Row],[Start Date]],BX$29&lt;ProposalToGnatt[[#This Row],[Start Date]]+ProposalToGnatt[[#This Row],[Days]]),$G$5,"")),"")</f>
        <v/>
      </c>
      <c r="BY54" s="37" t="str">
        <f ca="1">IFERROR(+IF(BY$29=ProposalToGnatt[[#This Row],[Start Date]],Milestone_Marker,IF(AND(BY$29&gt;ProposalToGnatt[[#This Row],[Start Date]],BY$29&lt;ProposalToGnatt[[#This Row],[Start Date]]+ProposalToGnatt[[#This Row],[Days]]),$G$5,"")),"")</f>
        <v/>
      </c>
      <c r="BZ54" s="37" t="str">
        <f ca="1">IFERROR(+IF(BZ$29=ProposalToGnatt[[#This Row],[Start Date]],Milestone_Marker,IF(AND(BZ$29&gt;ProposalToGnatt[[#This Row],[Start Date]],BZ$29&lt;ProposalToGnatt[[#This Row],[Start Date]]+ProposalToGnatt[[#This Row],[Days]]),$G$5,"")),"")</f>
        <v/>
      </c>
      <c r="CA54" s="37" t="str">
        <f ca="1">IFERROR(+IF(CA$29=ProposalToGnatt[[#This Row],[Start Date]],Milestone_Marker,IF(AND(CA$29&gt;ProposalToGnatt[[#This Row],[Start Date]],CA$29&lt;ProposalToGnatt[[#This Row],[Start Date]]+ProposalToGnatt[[#This Row],[Days]]),$G$5,"")),"")</f>
        <v/>
      </c>
      <c r="CB54" s="37" t="str">
        <f ca="1">IFERROR(+IF(CB$29=ProposalToGnatt[[#This Row],[Start Date]],Milestone_Marker,IF(AND(CB$29&gt;ProposalToGnatt[[#This Row],[Start Date]],CB$29&lt;ProposalToGnatt[[#This Row],[Start Date]]+ProposalToGnatt[[#This Row],[Days]]),$G$5,"")),"")</f>
        <v/>
      </c>
      <c r="CC54" s="37" t="str">
        <f ca="1">IFERROR(+IF(CC$29=ProposalToGnatt[[#This Row],[Start Date]],Milestone_Marker,IF(AND(CC$29&gt;ProposalToGnatt[[#This Row],[Start Date]],CC$29&lt;ProposalToGnatt[[#This Row],[Start Date]]+ProposalToGnatt[[#This Row],[Days]]),$G$5,"")),"")</f>
        <v/>
      </c>
      <c r="CD54" s="37" t="str">
        <f ca="1">IFERROR(+IF(CD$29=ProposalToGnatt[[#This Row],[Start Date]],Milestone_Marker,IF(AND(CD$29&gt;ProposalToGnatt[[#This Row],[Start Date]],CD$29&lt;ProposalToGnatt[[#This Row],[Start Date]]+ProposalToGnatt[[#This Row],[Days]]),$G$5,"")),"")</f>
        <v/>
      </c>
      <c r="CE54" s="37" t="str">
        <f ca="1">IFERROR(+IF(CE$29=ProposalToGnatt[[#This Row],[Start Date]],Milestone_Marker,IF(AND(CE$29&gt;ProposalToGnatt[[#This Row],[Start Date]],CE$29&lt;ProposalToGnatt[[#This Row],[Start Date]]+ProposalToGnatt[[#This Row],[Days]]),$G$5,"")),"")</f>
        <v/>
      </c>
      <c r="CF54" s="37" t="str">
        <f ca="1">IFERROR(+IF(CF$29=ProposalToGnatt[[#This Row],[Start Date]],Milestone_Marker,IF(AND(CF$29&gt;ProposalToGnatt[[#This Row],[Start Date]],CF$29&lt;ProposalToGnatt[[#This Row],[Start Date]]+ProposalToGnatt[[#This Row],[Days]]),$G$5,"")),"")</f>
        <v/>
      </c>
      <c r="CG54" s="37" t="str">
        <f ca="1">IFERROR(+IF(CG$29=ProposalToGnatt[[#This Row],[Start Date]],Milestone_Marker,IF(AND(CG$29&gt;ProposalToGnatt[[#This Row],[Start Date]],CG$29&lt;ProposalToGnatt[[#This Row],[Start Date]]+ProposalToGnatt[[#This Row],[Days]]),$G$5,"")),"")</f>
        <v/>
      </c>
      <c r="CH54" s="37" t="str">
        <f ca="1">IFERROR(+IF(CH$29=ProposalToGnatt[[#This Row],[Start Date]],Milestone_Marker,IF(AND(CH$29&gt;ProposalToGnatt[[#This Row],[Start Date]],CH$29&lt;ProposalToGnatt[[#This Row],[Start Date]]+ProposalToGnatt[[#This Row],[Days]]),$G$5,"")),"")</f>
        <v/>
      </c>
      <c r="CI54" s="37" t="str">
        <f ca="1">IFERROR(+IF(CI$29=ProposalToGnatt[[#This Row],[Start Date]],Milestone_Marker,IF(AND(CI$29&gt;ProposalToGnatt[[#This Row],[Start Date]],CI$29&lt;ProposalToGnatt[[#This Row],[Start Date]]+ProposalToGnatt[[#This Row],[Days]]),$G$5,"")),"")</f>
        <v/>
      </c>
      <c r="CJ54" s="37" t="str">
        <f ca="1">IFERROR(+IF(CJ$29=ProposalToGnatt[[#This Row],[Start Date]],Milestone_Marker,IF(AND(CJ$29&gt;ProposalToGnatt[[#This Row],[Start Date]],CJ$29&lt;ProposalToGnatt[[#This Row],[Start Date]]+ProposalToGnatt[[#This Row],[Days]]),$G$5,"")),"")</f>
        <v/>
      </c>
      <c r="CK54" s="37" t="str">
        <f ca="1">IFERROR(+IF(CK$29=ProposalToGnatt[[#This Row],[Start Date]],Milestone_Marker,IF(AND(CK$29&gt;ProposalToGnatt[[#This Row],[Start Date]],CK$29&lt;ProposalToGnatt[[#This Row],[Start Date]]+ProposalToGnatt[[#This Row],[Days]]),$G$5,"")),"")</f>
        <v/>
      </c>
      <c r="CL54" s="37" t="str">
        <f ca="1">IFERROR(+IF(CL$29=ProposalToGnatt[[#This Row],[Start Date]],Milestone_Marker,IF(AND(CL$29&gt;ProposalToGnatt[[#This Row],[Start Date]],CL$29&lt;ProposalToGnatt[[#This Row],[Start Date]]+ProposalToGnatt[[#This Row],[Days]]),$G$5,"")),"")</f>
        <v/>
      </c>
      <c r="CM54" s="37" t="str">
        <f ca="1">IFERROR(+IF(CM$29=ProposalToGnatt[[#This Row],[Start Date]],Milestone_Marker,IF(AND(CM$29&gt;ProposalToGnatt[[#This Row],[Start Date]],CM$29&lt;ProposalToGnatt[[#This Row],[Start Date]]+ProposalToGnatt[[#This Row],[Days]]),$G$5,"")),"")</f>
        <v/>
      </c>
      <c r="CN54" s="37" t="str">
        <f ca="1">IFERROR(+IF(CN$29=ProposalToGnatt[[#This Row],[Start Date]],Milestone_Marker,IF(AND(CN$29&gt;ProposalToGnatt[[#This Row],[Start Date]],CN$29&lt;ProposalToGnatt[[#This Row],[Start Date]]+ProposalToGnatt[[#This Row],[Days]]),$G$5,"")),"")</f>
        <v/>
      </c>
      <c r="CO54" s="37" t="str">
        <f ca="1">IFERROR(+IF(CO$29=ProposalToGnatt[[#This Row],[Start Date]],Milestone_Marker,IF(AND(CO$29&gt;ProposalToGnatt[[#This Row],[Start Date]],CO$29&lt;ProposalToGnatt[[#This Row],[Start Date]]+ProposalToGnatt[[#This Row],[Days]]),$G$5,"")),"")</f>
        <v/>
      </c>
      <c r="CP54" s="37" t="str">
        <f ca="1">IFERROR(+IF(CP$29=ProposalToGnatt[[#This Row],[Start Date]],Milestone_Marker,IF(AND(CP$29&gt;ProposalToGnatt[[#This Row],[Start Date]],CP$29&lt;ProposalToGnatt[[#This Row],[Start Date]]+ProposalToGnatt[[#This Row],[Days]]),$G$5,"")),"")</f>
        <v/>
      </c>
      <c r="CQ54" s="37" t="str">
        <f ca="1">IFERROR(+IF(CQ$29=ProposalToGnatt[[#This Row],[Start Date]],Milestone_Marker,IF(AND(CQ$29&gt;ProposalToGnatt[[#This Row],[Start Date]],CQ$29&lt;ProposalToGnatt[[#This Row],[Start Date]]+ProposalToGnatt[[#This Row],[Days]]),$G$5,"")),"")</f>
        <v/>
      </c>
      <c r="CR54" s="37" t="str">
        <f ca="1">IFERROR(+IF(CR$29=ProposalToGnatt[[#This Row],[Start Date]],Milestone_Marker,IF(AND(CR$29&gt;ProposalToGnatt[[#This Row],[Start Date]],CR$29&lt;ProposalToGnatt[[#This Row],[Start Date]]+ProposalToGnatt[[#This Row],[Days]]),$G$5,"")),"")</f>
        <v/>
      </c>
      <c r="CS54" s="37" t="str">
        <f ca="1">IFERROR(+IF(CS$29=ProposalToGnatt[[#This Row],[Start Date]],Milestone_Marker,IF(AND(CS$29&gt;ProposalToGnatt[[#This Row],[Start Date]],CS$29&lt;ProposalToGnatt[[#This Row],[Start Date]]+ProposalToGnatt[[#This Row],[Days]]),$G$5,"")),"")</f>
        <v/>
      </c>
      <c r="CT54" s="37" t="str">
        <f ca="1">IFERROR(+IF(CT$29=ProposalToGnatt[[#This Row],[Start Date]],Milestone_Marker,IF(AND(CT$29&gt;ProposalToGnatt[[#This Row],[Start Date]],CT$29&lt;ProposalToGnatt[[#This Row],[Start Date]]+ProposalToGnatt[[#This Row],[Days]]),$G$5,"")),"")</f>
        <v/>
      </c>
      <c r="CU54" s="37" t="str">
        <f ca="1">IFERROR(+IF(CU$29=ProposalToGnatt[[#This Row],[Start Date]],Milestone_Marker,IF(AND(CU$29&gt;ProposalToGnatt[[#This Row],[Start Date]],CU$29&lt;ProposalToGnatt[[#This Row],[Start Date]]+ProposalToGnatt[[#This Row],[Days]]),$G$5,"")),"")</f>
        <v/>
      </c>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row>
    <row r="55" spans="1:125" s="42" customFormat="1" ht="15">
      <c r="A55"/>
      <c r="B55"/>
      <c r="C55"/>
      <c r="D55"/>
      <c r="E55"/>
      <c r="F55"/>
      <c r="G55" s="11"/>
      <c r="H55" s="26"/>
      <c r="I55"/>
      <c r="J55"/>
      <c r="K55" s="363"/>
      <c r="L55"/>
      <c r="M55"/>
      <c r="N55"/>
      <c r="O55" s="26"/>
      <c r="P55" s="37" t="str">
        <f ca="1">IFERROR(+IF(P$29=ProposalToGnatt[[#This Row],[Start Date]],Milestone_Marker,IF(AND(P$29&gt;ProposalToGnatt[[#This Row],[Start Date]],P$29&lt;ProposalToGnatt[[#This Row],[Start Date]]+ProposalToGnatt[[#This Row],[Days]]),$G$5,"")),"")</f>
        <v/>
      </c>
      <c r="Q55" s="37" t="str">
        <f ca="1">IFERROR(+IF(Q$29=ProposalToGnatt[[#This Row],[Start Date]],Milestone_Marker,IF(AND(Q$29&gt;ProposalToGnatt[[#This Row],[Start Date]],Q$29&lt;ProposalToGnatt[[#This Row],[Start Date]]+ProposalToGnatt[[#This Row],[Days]]),$G$5,"")),"")</f>
        <v/>
      </c>
      <c r="R55" s="37" t="str">
        <f ca="1">IFERROR(+IF(R$29=ProposalToGnatt[[#This Row],[Start Date]],Milestone_Marker,IF(AND(R$29&gt;ProposalToGnatt[[#This Row],[Start Date]],R$29&lt;ProposalToGnatt[[#This Row],[Start Date]]+ProposalToGnatt[[#This Row],[Days]]),$G$5,"")),"")</f>
        <v/>
      </c>
      <c r="S55" s="37" t="str">
        <f ca="1">IFERROR(+IF(S$29=ProposalToGnatt[[#This Row],[Start Date]],Milestone_Marker,IF(AND(S$29&gt;ProposalToGnatt[[#This Row],[Start Date]],S$29&lt;ProposalToGnatt[[#This Row],[Start Date]]+ProposalToGnatt[[#This Row],[Days]]),$G$5,"")),"")</f>
        <v/>
      </c>
      <c r="T55" s="37" t="str">
        <f ca="1">IFERROR(+IF(T$29=ProposalToGnatt[[#This Row],[Start Date]],Milestone_Marker,IF(AND(T$29&gt;ProposalToGnatt[[#This Row],[Start Date]],T$29&lt;ProposalToGnatt[[#This Row],[Start Date]]+ProposalToGnatt[[#This Row],[Days]]),$G$5,"")),"")</f>
        <v/>
      </c>
      <c r="U55" s="37" t="str">
        <f ca="1">IFERROR(+IF(U$29=ProposalToGnatt[[#This Row],[Start Date]],Milestone_Marker,IF(AND(U$29&gt;ProposalToGnatt[[#This Row],[Start Date]],U$29&lt;ProposalToGnatt[[#This Row],[Start Date]]+ProposalToGnatt[[#This Row],[Days]]),$G$5,"")),"")</f>
        <v/>
      </c>
      <c r="V55" s="37" t="str">
        <f ca="1">IFERROR(+IF(V$29=ProposalToGnatt[[#This Row],[Start Date]],Milestone_Marker,IF(AND(V$29&gt;ProposalToGnatt[[#This Row],[Start Date]],V$29&lt;ProposalToGnatt[[#This Row],[Start Date]]+ProposalToGnatt[[#This Row],[Days]]),$G$5,"")),"")</f>
        <v/>
      </c>
      <c r="W55" s="37" t="str">
        <f ca="1">IFERROR(+IF(W$29=ProposalToGnatt[[#This Row],[Start Date]],Milestone_Marker,IF(AND(W$29&gt;ProposalToGnatt[[#This Row],[Start Date]],W$29&lt;ProposalToGnatt[[#This Row],[Start Date]]+ProposalToGnatt[[#This Row],[Days]]),$G$5,"")),"")</f>
        <v/>
      </c>
      <c r="X55" s="37" t="str">
        <f ca="1">IFERROR(+IF(X$29=ProposalToGnatt[[#This Row],[Start Date]],Milestone_Marker,IF(AND(X$29&gt;ProposalToGnatt[[#This Row],[Start Date]],X$29&lt;ProposalToGnatt[[#This Row],[Start Date]]+ProposalToGnatt[[#This Row],[Days]]),$G$5,"")),"")</f>
        <v/>
      </c>
      <c r="Y55" s="37" t="str">
        <f ca="1">IFERROR(+IF(Y$29=ProposalToGnatt[[#This Row],[Start Date]],Milestone_Marker,IF(AND(Y$29&gt;ProposalToGnatt[[#This Row],[Start Date]],Y$29&lt;ProposalToGnatt[[#This Row],[Start Date]]+ProposalToGnatt[[#This Row],[Days]]),$G$5,"")),"")</f>
        <v/>
      </c>
      <c r="Z55" s="37" t="str">
        <f ca="1">IFERROR(+IF(Z$29=ProposalToGnatt[[#This Row],[Start Date]],Milestone_Marker,IF(AND(Z$29&gt;ProposalToGnatt[[#This Row],[Start Date]],Z$29&lt;ProposalToGnatt[[#This Row],[Start Date]]+ProposalToGnatt[[#This Row],[Days]]),$G$5,"")),"")</f>
        <v/>
      </c>
      <c r="AA55" s="37" t="str">
        <f ca="1">IFERROR(+IF(AA$29=ProposalToGnatt[[#This Row],[Start Date]],Milestone_Marker,IF(AND(AA$29&gt;ProposalToGnatt[[#This Row],[Start Date]],AA$29&lt;ProposalToGnatt[[#This Row],[Start Date]]+ProposalToGnatt[[#This Row],[Days]]),$G$5,"")),"")</f>
        <v/>
      </c>
      <c r="AB55" s="37" t="str">
        <f ca="1">IFERROR(+IF(AB$29=ProposalToGnatt[[#This Row],[Start Date]],Milestone_Marker,IF(AND(AB$29&gt;ProposalToGnatt[[#This Row],[Start Date]],AB$29&lt;ProposalToGnatt[[#This Row],[Start Date]]+ProposalToGnatt[[#This Row],[Days]]),$G$5,"")),"")</f>
        <v/>
      </c>
      <c r="AC55" s="37" t="str">
        <f ca="1">IFERROR(+IF(AC$29=ProposalToGnatt[[#This Row],[Start Date]],Milestone_Marker,IF(AND(AC$29&gt;ProposalToGnatt[[#This Row],[Start Date]],AC$29&lt;ProposalToGnatt[[#This Row],[Start Date]]+ProposalToGnatt[[#This Row],[Days]]),$G$5,"")),"")</f>
        <v/>
      </c>
      <c r="AD55" s="37" t="str">
        <f ca="1">IFERROR(+IF(AD$29=ProposalToGnatt[[#This Row],[Start Date]],Milestone_Marker,IF(AND(AD$29&gt;ProposalToGnatt[[#This Row],[Start Date]],AD$29&lt;ProposalToGnatt[[#This Row],[Start Date]]+ProposalToGnatt[[#This Row],[Days]]),$G$5,"")),"")</f>
        <v/>
      </c>
      <c r="AE55" s="37" t="str">
        <f ca="1">IFERROR(+IF(AE$29=ProposalToGnatt[[#This Row],[Start Date]],Milestone_Marker,IF(AND(AE$29&gt;ProposalToGnatt[[#This Row],[Start Date]],AE$29&lt;ProposalToGnatt[[#This Row],[Start Date]]+ProposalToGnatt[[#This Row],[Days]]),$G$5,"")),"")</f>
        <v/>
      </c>
      <c r="AF55" s="37" t="str">
        <f ca="1">IFERROR(+IF(AF$29=ProposalToGnatt[[#This Row],[Start Date]],Milestone_Marker,IF(AND(AF$29&gt;ProposalToGnatt[[#This Row],[Start Date]],AF$29&lt;ProposalToGnatt[[#This Row],[Start Date]]+ProposalToGnatt[[#This Row],[Days]]),$G$5,"")),"")</f>
        <v/>
      </c>
      <c r="AG55" s="37" t="str">
        <f ca="1">IFERROR(+IF(AG$29=ProposalToGnatt[[#This Row],[Start Date]],Milestone_Marker,IF(AND(AG$29&gt;ProposalToGnatt[[#This Row],[Start Date]],AG$29&lt;ProposalToGnatt[[#This Row],[Start Date]]+ProposalToGnatt[[#This Row],[Days]]),$G$5,"")),"")</f>
        <v/>
      </c>
      <c r="AH55" s="37" t="str">
        <f ca="1">IFERROR(+IF(AH$29=ProposalToGnatt[[#This Row],[Start Date]],Milestone_Marker,IF(AND(AH$29&gt;ProposalToGnatt[[#This Row],[Start Date]],AH$29&lt;ProposalToGnatt[[#This Row],[Start Date]]+ProposalToGnatt[[#This Row],[Days]]),$G$5,"")),"")</f>
        <v/>
      </c>
      <c r="AI55" s="37" t="str">
        <f ca="1">IFERROR(+IF(AI$29=ProposalToGnatt[[#This Row],[Start Date]],Milestone_Marker,IF(AND(AI$29&gt;ProposalToGnatt[[#This Row],[Start Date]],AI$29&lt;ProposalToGnatt[[#This Row],[Start Date]]+ProposalToGnatt[[#This Row],[Days]]),$G$5,"")),"")</f>
        <v/>
      </c>
      <c r="AJ55" s="37" t="str">
        <f ca="1">IFERROR(+IF(AJ$29=ProposalToGnatt[[#This Row],[Start Date]],Milestone_Marker,IF(AND(AJ$29&gt;ProposalToGnatt[[#This Row],[Start Date]],AJ$29&lt;ProposalToGnatt[[#This Row],[Start Date]]+ProposalToGnatt[[#This Row],[Days]]),$G$5,"")),"")</f>
        <v/>
      </c>
      <c r="AK55" s="37" t="str">
        <f ca="1">IFERROR(+IF(AK$29=ProposalToGnatt[[#This Row],[Start Date]],Milestone_Marker,IF(AND(AK$29&gt;ProposalToGnatt[[#This Row],[Start Date]],AK$29&lt;ProposalToGnatt[[#This Row],[Start Date]]+ProposalToGnatt[[#This Row],[Days]]),$G$5,"")),"")</f>
        <v/>
      </c>
      <c r="AL55" s="37" t="str">
        <f ca="1">IFERROR(+IF(AL$29=ProposalToGnatt[[#This Row],[Start Date]],Milestone_Marker,IF(AND(AL$29&gt;ProposalToGnatt[[#This Row],[Start Date]],AL$29&lt;ProposalToGnatt[[#This Row],[Start Date]]+ProposalToGnatt[[#This Row],[Days]]),$G$5,"")),"")</f>
        <v/>
      </c>
      <c r="AM55" s="37" t="str">
        <f ca="1">IFERROR(+IF(AM$29=ProposalToGnatt[[#This Row],[Start Date]],Milestone_Marker,IF(AND(AM$29&gt;ProposalToGnatt[[#This Row],[Start Date]],AM$29&lt;ProposalToGnatt[[#This Row],[Start Date]]+ProposalToGnatt[[#This Row],[Days]]),$G$5,"")),"")</f>
        <v/>
      </c>
      <c r="AN55" s="37" t="str">
        <f ca="1">IFERROR(+IF(AN$29=ProposalToGnatt[[#This Row],[Start Date]],Milestone_Marker,IF(AND(AN$29&gt;ProposalToGnatt[[#This Row],[Start Date]],AN$29&lt;ProposalToGnatt[[#This Row],[Start Date]]+ProposalToGnatt[[#This Row],[Days]]),$G$5,"")),"")</f>
        <v/>
      </c>
      <c r="AO55" s="37" t="str">
        <f ca="1">IFERROR(+IF(AO$29=ProposalToGnatt[[#This Row],[Start Date]],Milestone_Marker,IF(AND(AO$29&gt;ProposalToGnatt[[#This Row],[Start Date]],AO$29&lt;ProposalToGnatt[[#This Row],[Start Date]]+ProposalToGnatt[[#This Row],[Days]]),$G$5,"")),"")</f>
        <v/>
      </c>
      <c r="AP55" s="37" t="str">
        <f ca="1">IFERROR(+IF(AP$29=ProposalToGnatt[[#This Row],[Start Date]],Milestone_Marker,IF(AND(AP$29&gt;ProposalToGnatt[[#This Row],[Start Date]],AP$29&lt;ProposalToGnatt[[#This Row],[Start Date]]+ProposalToGnatt[[#This Row],[Days]]),$G$5,"")),"")</f>
        <v/>
      </c>
      <c r="AQ55" s="37" t="str">
        <f ca="1">IFERROR(+IF(AQ$29=ProposalToGnatt[[#This Row],[Start Date]],Milestone_Marker,IF(AND(AQ$29&gt;ProposalToGnatt[[#This Row],[Start Date]],AQ$29&lt;ProposalToGnatt[[#This Row],[Start Date]]+ProposalToGnatt[[#This Row],[Days]]),$G$5,"")),"")</f>
        <v/>
      </c>
      <c r="AR55" s="37" t="str">
        <f ca="1">IFERROR(+IF(AR$29=ProposalToGnatt[[#This Row],[Start Date]],Milestone_Marker,IF(AND(AR$29&gt;ProposalToGnatt[[#This Row],[Start Date]],AR$29&lt;ProposalToGnatt[[#This Row],[Start Date]]+ProposalToGnatt[[#This Row],[Days]]),$G$5,"")),"")</f>
        <v/>
      </c>
      <c r="AS55" s="37" t="str">
        <f ca="1">IFERROR(+IF(AS$29=ProposalToGnatt[[#This Row],[Start Date]],Milestone_Marker,IF(AND(AS$29&gt;ProposalToGnatt[[#This Row],[Start Date]],AS$29&lt;ProposalToGnatt[[#This Row],[Start Date]]+ProposalToGnatt[[#This Row],[Days]]),$G$5,"")),"")</f>
        <v/>
      </c>
      <c r="AT55" s="37" t="str">
        <f ca="1">IFERROR(+IF(AT$29=ProposalToGnatt[[#This Row],[Start Date]],Milestone_Marker,IF(AND(AT$29&gt;ProposalToGnatt[[#This Row],[Start Date]],AT$29&lt;ProposalToGnatt[[#This Row],[Start Date]]+ProposalToGnatt[[#This Row],[Days]]),$G$5,"")),"")</f>
        <v/>
      </c>
      <c r="AU55" s="37" t="str">
        <f ca="1">IFERROR(+IF(AU$29=ProposalToGnatt[[#This Row],[Start Date]],Milestone_Marker,IF(AND(AU$29&gt;ProposalToGnatt[[#This Row],[Start Date]],AU$29&lt;ProposalToGnatt[[#This Row],[Start Date]]+ProposalToGnatt[[#This Row],[Days]]),$G$5,"")),"")</f>
        <v/>
      </c>
      <c r="AV55" s="37" t="str">
        <f ca="1">IFERROR(+IF(AV$29=ProposalToGnatt[[#This Row],[Start Date]],Milestone_Marker,IF(AND(AV$29&gt;ProposalToGnatt[[#This Row],[Start Date]],AV$29&lt;ProposalToGnatt[[#This Row],[Start Date]]+ProposalToGnatt[[#This Row],[Days]]),$G$5,"")),"")</f>
        <v/>
      </c>
      <c r="AW55" s="37" t="str">
        <f ca="1">IFERROR(+IF(AW$29=ProposalToGnatt[[#This Row],[Start Date]],Milestone_Marker,IF(AND(AW$29&gt;ProposalToGnatt[[#This Row],[Start Date]],AW$29&lt;ProposalToGnatt[[#This Row],[Start Date]]+ProposalToGnatt[[#This Row],[Days]]),$G$5,"")),"")</f>
        <v/>
      </c>
      <c r="AX55" s="37" t="str">
        <f ca="1">IFERROR(+IF(AX$29=ProposalToGnatt[[#This Row],[Start Date]],Milestone_Marker,IF(AND(AX$29&gt;ProposalToGnatt[[#This Row],[Start Date]],AX$29&lt;ProposalToGnatt[[#This Row],[Start Date]]+ProposalToGnatt[[#This Row],[Days]]),$G$5,"")),"")</f>
        <v/>
      </c>
      <c r="AY55" s="37" t="str">
        <f ca="1">IFERROR(+IF(AY$29=ProposalToGnatt[[#This Row],[Start Date]],Milestone_Marker,IF(AND(AY$29&gt;ProposalToGnatt[[#This Row],[Start Date]],AY$29&lt;ProposalToGnatt[[#This Row],[Start Date]]+ProposalToGnatt[[#This Row],[Days]]),$G$5,"")),"")</f>
        <v/>
      </c>
      <c r="AZ55" s="37" t="str">
        <f ca="1">IFERROR(+IF(AZ$29=ProposalToGnatt[[#This Row],[Start Date]],Milestone_Marker,IF(AND(AZ$29&gt;ProposalToGnatt[[#This Row],[Start Date]],AZ$29&lt;ProposalToGnatt[[#This Row],[Start Date]]+ProposalToGnatt[[#This Row],[Days]]),$G$5,"")),"")</f>
        <v/>
      </c>
      <c r="BA55" s="37" t="str">
        <f ca="1">IFERROR(+IF(BA$29=ProposalToGnatt[[#This Row],[Start Date]],Milestone_Marker,IF(AND(BA$29&gt;ProposalToGnatt[[#This Row],[Start Date]],BA$29&lt;ProposalToGnatt[[#This Row],[Start Date]]+ProposalToGnatt[[#This Row],[Days]]),$G$5,"")),"")</f>
        <v/>
      </c>
      <c r="BB55" s="37" t="str">
        <f ca="1">IFERROR(+IF(BB$29=ProposalToGnatt[[#This Row],[Start Date]],Milestone_Marker,IF(AND(BB$29&gt;ProposalToGnatt[[#This Row],[Start Date]],BB$29&lt;ProposalToGnatt[[#This Row],[Start Date]]+ProposalToGnatt[[#This Row],[Days]]),$G$5,"")),"")</f>
        <v/>
      </c>
      <c r="BC55" s="37" t="str">
        <f ca="1">IFERROR(+IF(BC$29=ProposalToGnatt[[#This Row],[Start Date]],Milestone_Marker,IF(AND(BC$29&gt;ProposalToGnatt[[#This Row],[Start Date]],BC$29&lt;ProposalToGnatt[[#This Row],[Start Date]]+ProposalToGnatt[[#This Row],[Days]]),$G$5,"")),"")</f>
        <v/>
      </c>
      <c r="BD55" s="37" t="str">
        <f ca="1">IFERROR(+IF(BD$29=ProposalToGnatt[[#This Row],[Start Date]],Milestone_Marker,IF(AND(BD$29&gt;ProposalToGnatt[[#This Row],[Start Date]],BD$29&lt;ProposalToGnatt[[#This Row],[Start Date]]+ProposalToGnatt[[#This Row],[Days]]),$G$5,"")),"")</f>
        <v/>
      </c>
      <c r="BE55" s="37" t="str">
        <f ca="1">IFERROR(+IF(BE$29=ProposalToGnatt[[#This Row],[Start Date]],Milestone_Marker,IF(AND(BE$29&gt;ProposalToGnatt[[#This Row],[Start Date]],BE$29&lt;ProposalToGnatt[[#This Row],[Start Date]]+ProposalToGnatt[[#This Row],[Days]]),$G$5,"")),"")</f>
        <v/>
      </c>
      <c r="BF55" s="37" t="str">
        <f ca="1">IFERROR(+IF(BF$29=ProposalToGnatt[[#This Row],[Start Date]],Milestone_Marker,IF(AND(BF$29&gt;ProposalToGnatt[[#This Row],[Start Date]],BF$29&lt;ProposalToGnatt[[#This Row],[Start Date]]+ProposalToGnatt[[#This Row],[Days]]),$G$5,"")),"")</f>
        <v/>
      </c>
      <c r="BG55" s="37" t="str">
        <f ca="1">IFERROR(+IF(BG$29=ProposalToGnatt[[#This Row],[Start Date]],Milestone_Marker,IF(AND(BG$29&gt;ProposalToGnatt[[#This Row],[Start Date]],BG$29&lt;ProposalToGnatt[[#This Row],[Start Date]]+ProposalToGnatt[[#This Row],[Days]]),$G$5,"")),"")</f>
        <v/>
      </c>
      <c r="BH55" s="37" t="str">
        <f ca="1">IFERROR(+IF(BH$29=ProposalToGnatt[[#This Row],[Start Date]],Milestone_Marker,IF(AND(BH$29&gt;ProposalToGnatt[[#This Row],[Start Date]],BH$29&lt;ProposalToGnatt[[#This Row],[Start Date]]+ProposalToGnatt[[#This Row],[Days]]),$G$5,"")),"")</f>
        <v/>
      </c>
      <c r="BI55" s="37" t="str">
        <f ca="1">IFERROR(+IF(BI$29=ProposalToGnatt[[#This Row],[Start Date]],Milestone_Marker,IF(AND(BI$29&gt;ProposalToGnatt[[#This Row],[Start Date]],BI$29&lt;ProposalToGnatt[[#This Row],[Start Date]]+ProposalToGnatt[[#This Row],[Days]]),$G$5,"")),"")</f>
        <v/>
      </c>
      <c r="BJ55" s="37" t="str">
        <f ca="1">IFERROR(+IF(BJ$29=ProposalToGnatt[[#This Row],[Start Date]],Milestone_Marker,IF(AND(BJ$29&gt;ProposalToGnatt[[#This Row],[Start Date]],BJ$29&lt;ProposalToGnatt[[#This Row],[Start Date]]+ProposalToGnatt[[#This Row],[Days]]),$G$5,"")),"")</f>
        <v/>
      </c>
      <c r="BK55" s="37" t="str">
        <f ca="1">IFERROR(+IF(BK$29=ProposalToGnatt[[#This Row],[Start Date]],Milestone_Marker,IF(AND(BK$29&gt;ProposalToGnatt[[#This Row],[Start Date]],BK$29&lt;ProposalToGnatt[[#This Row],[Start Date]]+ProposalToGnatt[[#This Row],[Days]]),$G$5,"")),"")</f>
        <v/>
      </c>
      <c r="BL55" s="37" t="str">
        <f ca="1">IFERROR(+IF(BL$29=ProposalToGnatt[[#This Row],[Start Date]],Milestone_Marker,IF(AND(BL$29&gt;ProposalToGnatt[[#This Row],[Start Date]],BL$29&lt;ProposalToGnatt[[#This Row],[Start Date]]+ProposalToGnatt[[#This Row],[Days]]),$G$5,"")),"")</f>
        <v/>
      </c>
      <c r="BM55" s="37" t="str">
        <f ca="1">IFERROR(+IF(BM$29=ProposalToGnatt[[#This Row],[Start Date]],Milestone_Marker,IF(AND(BM$29&gt;ProposalToGnatt[[#This Row],[Start Date]],BM$29&lt;ProposalToGnatt[[#This Row],[Start Date]]+ProposalToGnatt[[#This Row],[Days]]),$G$5,"")),"")</f>
        <v/>
      </c>
      <c r="BN55" s="37" t="str">
        <f ca="1">IFERROR(+IF(BN$29=ProposalToGnatt[[#This Row],[Start Date]],Milestone_Marker,IF(AND(BN$29&gt;ProposalToGnatt[[#This Row],[Start Date]],BN$29&lt;ProposalToGnatt[[#This Row],[Start Date]]+ProposalToGnatt[[#This Row],[Days]]),$G$5,"")),"")</f>
        <v/>
      </c>
      <c r="BO55" s="37" t="str">
        <f ca="1">IFERROR(+IF(BO$29=ProposalToGnatt[[#This Row],[Start Date]],Milestone_Marker,IF(AND(BO$29&gt;ProposalToGnatt[[#This Row],[Start Date]],BO$29&lt;ProposalToGnatt[[#This Row],[Start Date]]+ProposalToGnatt[[#This Row],[Days]]),$G$5,"")),"")</f>
        <v/>
      </c>
      <c r="BP55" s="37" t="str">
        <f ca="1">IFERROR(+IF(BP$29=ProposalToGnatt[[#This Row],[Start Date]],Milestone_Marker,IF(AND(BP$29&gt;ProposalToGnatt[[#This Row],[Start Date]],BP$29&lt;ProposalToGnatt[[#This Row],[Start Date]]+ProposalToGnatt[[#This Row],[Days]]),$G$5,"")),"")</f>
        <v/>
      </c>
      <c r="BQ55" s="37" t="str">
        <f ca="1">IFERROR(+IF(BQ$29=ProposalToGnatt[[#This Row],[Start Date]],Milestone_Marker,IF(AND(BQ$29&gt;ProposalToGnatt[[#This Row],[Start Date]],BQ$29&lt;ProposalToGnatt[[#This Row],[Start Date]]+ProposalToGnatt[[#This Row],[Days]]),$G$5,"")),"")</f>
        <v/>
      </c>
      <c r="BR55" s="37" t="str">
        <f ca="1">IFERROR(+IF(BR$29=ProposalToGnatt[[#This Row],[Start Date]],Milestone_Marker,IF(AND(BR$29&gt;ProposalToGnatt[[#This Row],[Start Date]],BR$29&lt;ProposalToGnatt[[#This Row],[Start Date]]+ProposalToGnatt[[#This Row],[Days]]),$G$5,"")),"")</f>
        <v/>
      </c>
      <c r="BS55" s="37" t="str">
        <f ca="1">IFERROR(+IF(BS$29=ProposalToGnatt[[#This Row],[Start Date]],Milestone_Marker,IF(AND(BS$29&gt;ProposalToGnatt[[#This Row],[Start Date]],BS$29&lt;ProposalToGnatt[[#This Row],[Start Date]]+ProposalToGnatt[[#This Row],[Days]]),$G$5,"")),"")</f>
        <v/>
      </c>
      <c r="BT55" s="37" t="str">
        <f ca="1">IFERROR(+IF(BT$29=ProposalToGnatt[[#This Row],[Start Date]],Milestone_Marker,IF(AND(BT$29&gt;ProposalToGnatt[[#This Row],[Start Date]],BT$29&lt;ProposalToGnatt[[#This Row],[Start Date]]+ProposalToGnatt[[#This Row],[Days]]),$G$5,"")),"")</f>
        <v/>
      </c>
      <c r="BU55" s="37" t="str">
        <f ca="1">IFERROR(+IF(BU$29=ProposalToGnatt[[#This Row],[Start Date]],Milestone_Marker,IF(AND(BU$29&gt;ProposalToGnatt[[#This Row],[Start Date]],BU$29&lt;ProposalToGnatt[[#This Row],[Start Date]]+ProposalToGnatt[[#This Row],[Days]]),$G$5,"")),"")</f>
        <v/>
      </c>
      <c r="BV55" s="37" t="str">
        <f ca="1">IFERROR(+IF(BV$29=ProposalToGnatt[[#This Row],[Start Date]],Milestone_Marker,IF(AND(BV$29&gt;ProposalToGnatt[[#This Row],[Start Date]],BV$29&lt;ProposalToGnatt[[#This Row],[Start Date]]+ProposalToGnatt[[#This Row],[Days]]),$G$5,"")),"")</f>
        <v/>
      </c>
      <c r="BW55" s="37" t="str">
        <f ca="1">IFERROR(+IF(BW$29=ProposalToGnatt[[#This Row],[Start Date]],Milestone_Marker,IF(AND(BW$29&gt;ProposalToGnatt[[#This Row],[Start Date]],BW$29&lt;ProposalToGnatt[[#This Row],[Start Date]]+ProposalToGnatt[[#This Row],[Days]]),$G$5,"")),"")</f>
        <v/>
      </c>
      <c r="BX55" s="37" t="str">
        <f ca="1">IFERROR(+IF(BX$29=ProposalToGnatt[[#This Row],[Start Date]],Milestone_Marker,IF(AND(BX$29&gt;ProposalToGnatt[[#This Row],[Start Date]],BX$29&lt;ProposalToGnatt[[#This Row],[Start Date]]+ProposalToGnatt[[#This Row],[Days]]),$G$5,"")),"")</f>
        <v/>
      </c>
      <c r="BY55" s="37" t="str">
        <f ca="1">IFERROR(+IF(BY$29=ProposalToGnatt[[#This Row],[Start Date]],Milestone_Marker,IF(AND(BY$29&gt;ProposalToGnatt[[#This Row],[Start Date]],BY$29&lt;ProposalToGnatt[[#This Row],[Start Date]]+ProposalToGnatt[[#This Row],[Days]]),$G$5,"")),"")</f>
        <v/>
      </c>
      <c r="BZ55" s="37" t="str">
        <f ca="1">IFERROR(+IF(BZ$29=ProposalToGnatt[[#This Row],[Start Date]],Milestone_Marker,IF(AND(BZ$29&gt;ProposalToGnatt[[#This Row],[Start Date]],BZ$29&lt;ProposalToGnatt[[#This Row],[Start Date]]+ProposalToGnatt[[#This Row],[Days]]),$G$5,"")),"")</f>
        <v/>
      </c>
      <c r="CA55" s="37" t="str">
        <f ca="1">IFERROR(+IF(CA$29=ProposalToGnatt[[#This Row],[Start Date]],Milestone_Marker,IF(AND(CA$29&gt;ProposalToGnatt[[#This Row],[Start Date]],CA$29&lt;ProposalToGnatt[[#This Row],[Start Date]]+ProposalToGnatt[[#This Row],[Days]]),$G$5,"")),"")</f>
        <v/>
      </c>
      <c r="CB55" s="37" t="str">
        <f ca="1">IFERROR(+IF(CB$29=ProposalToGnatt[[#This Row],[Start Date]],Milestone_Marker,IF(AND(CB$29&gt;ProposalToGnatt[[#This Row],[Start Date]],CB$29&lt;ProposalToGnatt[[#This Row],[Start Date]]+ProposalToGnatt[[#This Row],[Days]]),$G$5,"")),"")</f>
        <v/>
      </c>
      <c r="CC55" s="37" t="str">
        <f ca="1">IFERROR(+IF(CC$29=ProposalToGnatt[[#This Row],[Start Date]],Milestone_Marker,IF(AND(CC$29&gt;ProposalToGnatt[[#This Row],[Start Date]],CC$29&lt;ProposalToGnatt[[#This Row],[Start Date]]+ProposalToGnatt[[#This Row],[Days]]),$G$5,"")),"")</f>
        <v/>
      </c>
      <c r="CD55" s="37" t="str">
        <f ca="1">IFERROR(+IF(CD$29=ProposalToGnatt[[#This Row],[Start Date]],Milestone_Marker,IF(AND(CD$29&gt;ProposalToGnatt[[#This Row],[Start Date]],CD$29&lt;ProposalToGnatt[[#This Row],[Start Date]]+ProposalToGnatt[[#This Row],[Days]]),$G$5,"")),"")</f>
        <v/>
      </c>
      <c r="CE55" s="37" t="str">
        <f ca="1">IFERROR(+IF(CE$29=ProposalToGnatt[[#This Row],[Start Date]],Milestone_Marker,IF(AND(CE$29&gt;ProposalToGnatt[[#This Row],[Start Date]],CE$29&lt;ProposalToGnatt[[#This Row],[Start Date]]+ProposalToGnatt[[#This Row],[Days]]),$G$5,"")),"")</f>
        <v/>
      </c>
      <c r="CF55" s="37" t="str">
        <f ca="1">IFERROR(+IF(CF$29=ProposalToGnatt[[#This Row],[Start Date]],Milestone_Marker,IF(AND(CF$29&gt;ProposalToGnatt[[#This Row],[Start Date]],CF$29&lt;ProposalToGnatt[[#This Row],[Start Date]]+ProposalToGnatt[[#This Row],[Days]]),$G$5,"")),"")</f>
        <v/>
      </c>
      <c r="CG55" s="37" t="str">
        <f ca="1">IFERROR(+IF(CG$29=ProposalToGnatt[[#This Row],[Start Date]],Milestone_Marker,IF(AND(CG$29&gt;ProposalToGnatt[[#This Row],[Start Date]],CG$29&lt;ProposalToGnatt[[#This Row],[Start Date]]+ProposalToGnatt[[#This Row],[Days]]),$G$5,"")),"")</f>
        <v/>
      </c>
      <c r="CH55" s="37" t="str">
        <f ca="1">IFERROR(+IF(CH$29=ProposalToGnatt[[#This Row],[Start Date]],Milestone_Marker,IF(AND(CH$29&gt;ProposalToGnatt[[#This Row],[Start Date]],CH$29&lt;ProposalToGnatt[[#This Row],[Start Date]]+ProposalToGnatt[[#This Row],[Days]]),$G$5,"")),"")</f>
        <v/>
      </c>
      <c r="CI55" s="37" t="str">
        <f ca="1">IFERROR(+IF(CI$29=ProposalToGnatt[[#This Row],[Start Date]],Milestone_Marker,IF(AND(CI$29&gt;ProposalToGnatt[[#This Row],[Start Date]],CI$29&lt;ProposalToGnatt[[#This Row],[Start Date]]+ProposalToGnatt[[#This Row],[Days]]),$G$5,"")),"")</f>
        <v/>
      </c>
      <c r="CJ55" s="37" t="str">
        <f ca="1">IFERROR(+IF(CJ$29=ProposalToGnatt[[#This Row],[Start Date]],Milestone_Marker,IF(AND(CJ$29&gt;ProposalToGnatt[[#This Row],[Start Date]],CJ$29&lt;ProposalToGnatt[[#This Row],[Start Date]]+ProposalToGnatt[[#This Row],[Days]]),$G$5,"")),"")</f>
        <v/>
      </c>
      <c r="CK55" s="37" t="str">
        <f ca="1">IFERROR(+IF(CK$29=ProposalToGnatt[[#This Row],[Start Date]],Milestone_Marker,IF(AND(CK$29&gt;ProposalToGnatt[[#This Row],[Start Date]],CK$29&lt;ProposalToGnatt[[#This Row],[Start Date]]+ProposalToGnatt[[#This Row],[Days]]),$G$5,"")),"")</f>
        <v/>
      </c>
      <c r="CL55" s="37" t="str">
        <f ca="1">IFERROR(+IF(CL$29=ProposalToGnatt[[#This Row],[Start Date]],Milestone_Marker,IF(AND(CL$29&gt;ProposalToGnatt[[#This Row],[Start Date]],CL$29&lt;ProposalToGnatt[[#This Row],[Start Date]]+ProposalToGnatt[[#This Row],[Days]]),$G$5,"")),"")</f>
        <v/>
      </c>
      <c r="CM55" s="37" t="str">
        <f ca="1">IFERROR(+IF(CM$29=ProposalToGnatt[[#This Row],[Start Date]],Milestone_Marker,IF(AND(CM$29&gt;ProposalToGnatt[[#This Row],[Start Date]],CM$29&lt;ProposalToGnatt[[#This Row],[Start Date]]+ProposalToGnatt[[#This Row],[Days]]),$G$5,"")),"")</f>
        <v/>
      </c>
      <c r="CN55" s="37" t="str">
        <f ca="1">IFERROR(+IF(CN$29=ProposalToGnatt[[#This Row],[Start Date]],Milestone_Marker,IF(AND(CN$29&gt;ProposalToGnatt[[#This Row],[Start Date]],CN$29&lt;ProposalToGnatt[[#This Row],[Start Date]]+ProposalToGnatt[[#This Row],[Days]]),$G$5,"")),"")</f>
        <v/>
      </c>
      <c r="CO55" s="37" t="str">
        <f ca="1">IFERROR(+IF(CO$29=ProposalToGnatt[[#This Row],[Start Date]],Milestone_Marker,IF(AND(CO$29&gt;ProposalToGnatt[[#This Row],[Start Date]],CO$29&lt;ProposalToGnatt[[#This Row],[Start Date]]+ProposalToGnatt[[#This Row],[Days]]),$G$5,"")),"")</f>
        <v/>
      </c>
      <c r="CP55" s="37" t="str">
        <f ca="1">IFERROR(+IF(CP$29=ProposalToGnatt[[#This Row],[Start Date]],Milestone_Marker,IF(AND(CP$29&gt;ProposalToGnatt[[#This Row],[Start Date]],CP$29&lt;ProposalToGnatt[[#This Row],[Start Date]]+ProposalToGnatt[[#This Row],[Days]]),$G$5,"")),"")</f>
        <v/>
      </c>
      <c r="CQ55" s="37" t="str">
        <f ca="1">IFERROR(+IF(CQ$29=ProposalToGnatt[[#This Row],[Start Date]],Milestone_Marker,IF(AND(CQ$29&gt;ProposalToGnatt[[#This Row],[Start Date]],CQ$29&lt;ProposalToGnatt[[#This Row],[Start Date]]+ProposalToGnatt[[#This Row],[Days]]),$G$5,"")),"")</f>
        <v/>
      </c>
      <c r="CR55" s="37" t="str">
        <f ca="1">IFERROR(+IF(CR$29=ProposalToGnatt[[#This Row],[Start Date]],Milestone_Marker,IF(AND(CR$29&gt;ProposalToGnatt[[#This Row],[Start Date]],CR$29&lt;ProposalToGnatt[[#This Row],[Start Date]]+ProposalToGnatt[[#This Row],[Days]]),$G$5,"")),"")</f>
        <v/>
      </c>
      <c r="CS55" s="37" t="str">
        <f ca="1">IFERROR(+IF(CS$29=ProposalToGnatt[[#This Row],[Start Date]],Milestone_Marker,IF(AND(CS$29&gt;ProposalToGnatt[[#This Row],[Start Date]],CS$29&lt;ProposalToGnatt[[#This Row],[Start Date]]+ProposalToGnatt[[#This Row],[Days]]),$G$5,"")),"")</f>
        <v/>
      </c>
      <c r="CT55" s="37" t="str">
        <f ca="1">IFERROR(+IF(CT$29=ProposalToGnatt[[#This Row],[Start Date]],Milestone_Marker,IF(AND(CT$29&gt;ProposalToGnatt[[#This Row],[Start Date]],CT$29&lt;ProposalToGnatt[[#This Row],[Start Date]]+ProposalToGnatt[[#This Row],[Days]]),$G$5,"")),"")</f>
        <v/>
      </c>
      <c r="CU55" s="37" t="str">
        <f ca="1">IFERROR(+IF(CU$29=ProposalToGnatt[[#This Row],[Start Date]],Milestone_Marker,IF(AND(CU$29&gt;ProposalToGnatt[[#This Row],[Start Date]],CU$29&lt;ProposalToGnatt[[#This Row],[Start Date]]+ProposalToGnatt[[#This Row],[Days]]),$G$5,"")),"")</f>
        <v/>
      </c>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row>
    <row r="56" spans="1:125" s="42" customFormat="1" ht="15">
      <c r="A56"/>
      <c r="B56"/>
      <c r="C56"/>
      <c r="D56"/>
      <c r="E56"/>
      <c r="F56"/>
      <c r="G56" s="11"/>
      <c r="H56" s="26"/>
      <c r="I56"/>
      <c r="J56"/>
      <c r="K56" s="363"/>
      <c r="L56"/>
      <c r="M56"/>
      <c r="N56"/>
      <c r="O56" s="26"/>
      <c r="P56" s="37" t="str">
        <f ca="1">IFERROR(+IF(P$29=ProposalToGnatt[[#This Row],[Start Date]],Milestone_Marker,IF(AND(P$29&gt;ProposalToGnatt[[#This Row],[Start Date]],P$29&lt;ProposalToGnatt[[#This Row],[Start Date]]+ProposalToGnatt[[#This Row],[Days]]),$G$5,"")),"")</f>
        <v/>
      </c>
      <c r="Q56" s="37" t="str">
        <f ca="1">IFERROR(+IF(Q$29=ProposalToGnatt[[#This Row],[Start Date]],Milestone_Marker,IF(AND(Q$29&gt;ProposalToGnatt[[#This Row],[Start Date]],Q$29&lt;ProposalToGnatt[[#This Row],[Start Date]]+ProposalToGnatt[[#This Row],[Days]]),$G$5,"")),"")</f>
        <v/>
      </c>
      <c r="R56" s="37" t="str">
        <f ca="1">IFERROR(+IF(R$29=ProposalToGnatt[[#This Row],[Start Date]],Milestone_Marker,IF(AND(R$29&gt;ProposalToGnatt[[#This Row],[Start Date]],R$29&lt;ProposalToGnatt[[#This Row],[Start Date]]+ProposalToGnatt[[#This Row],[Days]]),$G$5,"")),"")</f>
        <v/>
      </c>
      <c r="S56" s="37" t="str">
        <f ca="1">IFERROR(+IF(S$29=ProposalToGnatt[[#This Row],[Start Date]],Milestone_Marker,IF(AND(S$29&gt;ProposalToGnatt[[#This Row],[Start Date]],S$29&lt;ProposalToGnatt[[#This Row],[Start Date]]+ProposalToGnatt[[#This Row],[Days]]),$G$5,"")),"")</f>
        <v/>
      </c>
      <c r="T56" s="37" t="str">
        <f ca="1">IFERROR(+IF(T$29=ProposalToGnatt[[#This Row],[Start Date]],Milestone_Marker,IF(AND(T$29&gt;ProposalToGnatt[[#This Row],[Start Date]],T$29&lt;ProposalToGnatt[[#This Row],[Start Date]]+ProposalToGnatt[[#This Row],[Days]]),$G$5,"")),"")</f>
        <v/>
      </c>
      <c r="U56" s="37" t="str">
        <f ca="1">IFERROR(+IF(U$29=ProposalToGnatt[[#This Row],[Start Date]],Milestone_Marker,IF(AND(U$29&gt;ProposalToGnatt[[#This Row],[Start Date]],U$29&lt;ProposalToGnatt[[#This Row],[Start Date]]+ProposalToGnatt[[#This Row],[Days]]),$G$5,"")),"")</f>
        <v/>
      </c>
      <c r="V56" s="37" t="str">
        <f ca="1">IFERROR(+IF(V$29=ProposalToGnatt[[#This Row],[Start Date]],Milestone_Marker,IF(AND(V$29&gt;ProposalToGnatt[[#This Row],[Start Date]],V$29&lt;ProposalToGnatt[[#This Row],[Start Date]]+ProposalToGnatt[[#This Row],[Days]]),$G$5,"")),"")</f>
        <v/>
      </c>
      <c r="W56" s="37" t="str">
        <f ca="1">IFERROR(+IF(W$29=ProposalToGnatt[[#This Row],[Start Date]],Milestone_Marker,IF(AND(W$29&gt;ProposalToGnatt[[#This Row],[Start Date]],W$29&lt;ProposalToGnatt[[#This Row],[Start Date]]+ProposalToGnatt[[#This Row],[Days]]),$G$5,"")),"")</f>
        <v/>
      </c>
      <c r="X56" s="37" t="str">
        <f ca="1">IFERROR(+IF(X$29=ProposalToGnatt[[#This Row],[Start Date]],Milestone_Marker,IF(AND(X$29&gt;ProposalToGnatt[[#This Row],[Start Date]],X$29&lt;ProposalToGnatt[[#This Row],[Start Date]]+ProposalToGnatt[[#This Row],[Days]]),$G$5,"")),"")</f>
        <v/>
      </c>
      <c r="Y56" s="37" t="str">
        <f ca="1">IFERROR(+IF(Y$29=ProposalToGnatt[[#This Row],[Start Date]],Milestone_Marker,IF(AND(Y$29&gt;ProposalToGnatt[[#This Row],[Start Date]],Y$29&lt;ProposalToGnatt[[#This Row],[Start Date]]+ProposalToGnatt[[#This Row],[Days]]),$G$5,"")),"")</f>
        <v/>
      </c>
      <c r="Z56" s="37" t="str">
        <f ca="1">IFERROR(+IF(Z$29=ProposalToGnatt[[#This Row],[Start Date]],Milestone_Marker,IF(AND(Z$29&gt;ProposalToGnatt[[#This Row],[Start Date]],Z$29&lt;ProposalToGnatt[[#This Row],[Start Date]]+ProposalToGnatt[[#This Row],[Days]]),$G$5,"")),"")</f>
        <v/>
      </c>
      <c r="AA56" s="37" t="str">
        <f ca="1">IFERROR(+IF(AA$29=ProposalToGnatt[[#This Row],[Start Date]],Milestone_Marker,IF(AND(AA$29&gt;ProposalToGnatt[[#This Row],[Start Date]],AA$29&lt;ProposalToGnatt[[#This Row],[Start Date]]+ProposalToGnatt[[#This Row],[Days]]),$G$5,"")),"")</f>
        <v/>
      </c>
      <c r="AB56" s="37" t="str">
        <f ca="1">IFERROR(+IF(AB$29=ProposalToGnatt[[#This Row],[Start Date]],Milestone_Marker,IF(AND(AB$29&gt;ProposalToGnatt[[#This Row],[Start Date]],AB$29&lt;ProposalToGnatt[[#This Row],[Start Date]]+ProposalToGnatt[[#This Row],[Days]]),$G$5,"")),"")</f>
        <v/>
      </c>
      <c r="AC56" s="37" t="str">
        <f ca="1">IFERROR(+IF(AC$29=ProposalToGnatt[[#This Row],[Start Date]],Milestone_Marker,IF(AND(AC$29&gt;ProposalToGnatt[[#This Row],[Start Date]],AC$29&lt;ProposalToGnatt[[#This Row],[Start Date]]+ProposalToGnatt[[#This Row],[Days]]),$G$5,"")),"")</f>
        <v/>
      </c>
      <c r="AD56" s="37" t="str">
        <f ca="1">IFERROR(+IF(AD$29=ProposalToGnatt[[#This Row],[Start Date]],Milestone_Marker,IF(AND(AD$29&gt;ProposalToGnatt[[#This Row],[Start Date]],AD$29&lt;ProposalToGnatt[[#This Row],[Start Date]]+ProposalToGnatt[[#This Row],[Days]]),$G$5,"")),"")</f>
        <v/>
      </c>
      <c r="AE56" s="37" t="str">
        <f ca="1">IFERROR(+IF(AE$29=ProposalToGnatt[[#This Row],[Start Date]],Milestone_Marker,IF(AND(AE$29&gt;ProposalToGnatt[[#This Row],[Start Date]],AE$29&lt;ProposalToGnatt[[#This Row],[Start Date]]+ProposalToGnatt[[#This Row],[Days]]),$G$5,"")),"")</f>
        <v/>
      </c>
      <c r="AF56" s="37" t="str">
        <f ca="1">IFERROR(+IF(AF$29=ProposalToGnatt[[#This Row],[Start Date]],Milestone_Marker,IF(AND(AF$29&gt;ProposalToGnatt[[#This Row],[Start Date]],AF$29&lt;ProposalToGnatt[[#This Row],[Start Date]]+ProposalToGnatt[[#This Row],[Days]]),$G$5,"")),"")</f>
        <v/>
      </c>
      <c r="AG56" s="37" t="str">
        <f ca="1">IFERROR(+IF(AG$29=ProposalToGnatt[[#This Row],[Start Date]],Milestone_Marker,IF(AND(AG$29&gt;ProposalToGnatt[[#This Row],[Start Date]],AG$29&lt;ProposalToGnatt[[#This Row],[Start Date]]+ProposalToGnatt[[#This Row],[Days]]),$G$5,"")),"")</f>
        <v/>
      </c>
      <c r="AH56" s="37" t="str">
        <f ca="1">IFERROR(+IF(AH$29=ProposalToGnatt[[#This Row],[Start Date]],Milestone_Marker,IF(AND(AH$29&gt;ProposalToGnatt[[#This Row],[Start Date]],AH$29&lt;ProposalToGnatt[[#This Row],[Start Date]]+ProposalToGnatt[[#This Row],[Days]]),$G$5,"")),"")</f>
        <v/>
      </c>
      <c r="AI56" s="37" t="str">
        <f ca="1">IFERROR(+IF(AI$29=ProposalToGnatt[[#This Row],[Start Date]],Milestone_Marker,IF(AND(AI$29&gt;ProposalToGnatt[[#This Row],[Start Date]],AI$29&lt;ProposalToGnatt[[#This Row],[Start Date]]+ProposalToGnatt[[#This Row],[Days]]),$G$5,"")),"")</f>
        <v/>
      </c>
      <c r="AJ56" s="37" t="str">
        <f ca="1">IFERROR(+IF(AJ$29=ProposalToGnatt[[#This Row],[Start Date]],Milestone_Marker,IF(AND(AJ$29&gt;ProposalToGnatt[[#This Row],[Start Date]],AJ$29&lt;ProposalToGnatt[[#This Row],[Start Date]]+ProposalToGnatt[[#This Row],[Days]]),$G$5,"")),"")</f>
        <v/>
      </c>
      <c r="AK56" s="37" t="str">
        <f ca="1">IFERROR(+IF(AK$29=ProposalToGnatt[[#This Row],[Start Date]],Milestone_Marker,IF(AND(AK$29&gt;ProposalToGnatt[[#This Row],[Start Date]],AK$29&lt;ProposalToGnatt[[#This Row],[Start Date]]+ProposalToGnatt[[#This Row],[Days]]),$G$5,"")),"")</f>
        <v/>
      </c>
      <c r="AL56" s="37" t="str">
        <f ca="1">IFERROR(+IF(AL$29=ProposalToGnatt[[#This Row],[Start Date]],Milestone_Marker,IF(AND(AL$29&gt;ProposalToGnatt[[#This Row],[Start Date]],AL$29&lt;ProposalToGnatt[[#This Row],[Start Date]]+ProposalToGnatt[[#This Row],[Days]]),$G$5,"")),"")</f>
        <v/>
      </c>
      <c r="AM56" s="37" t="str">
        <f ca="1">IFERROR(+IF(AM$29=ProposalToGnatt[[#This Row],[Start Date]],Milestone_Marker,IF(AND(AM$29&gt;ProposalToGnatt[[#This Row],[Start Date]],AM$29&lt;ProposalToGnatt[[#This Row],[Start Date]]+ProposalToGnatt[[#This Row],[Days]]),$G$5,"")),"")</f>
        <v/>
      </c>
      <c r="AN56" s="37" t="str">
        <f ca="1">IFERROR(+IF(AN$29=ProposalToGnatt[[#This Row],[Start Date]],Milestone_Marker,IF(AND(AN$29&gt;ProposalToGnatt[[#This Row],[Start Date]],AN$29&lt;ProposalToGnatt[[#This Row],[Start Date]]+ProposalToGnatt[[#This Row],[Days]]),$G$5,"")),"")</f>
        <v/>
      </c>
      <c r="AO56" s="37" t="str">
        <f ca="1">IFERROR(+IF(AO$29=ProposalToGnatt[[#This Row],[Start Date]],Milestone_Marker,IF(AND(AO$29&gt;ProposalToGnatt[[#This Row],[Start Date]],AO$29&lt;ProposalToGnatt[[#This Row],[Start Date]]+ProposalToGnatt[[#This Row],[Days]]),$G$5,"")),"")</f>
        <v/>
      </c>
      <c r="AP56" s="37" t="str">
        <f ca="1">IFERROR(+IF(AP$29=ProposalToGnatt[[#This Row],[Start Date]],Milestone_Marker,IF(AND(AP$29&gt;ProposalToGnatt[[#This Row],[Start Date]],AP$29&lt;ProposalToGnatt[[#This Row],[Start Date]]+ProposalToGnatt[[#This Row],[Days]]),$G$5,"")),"")</f>
        <v/>
      </c>
      <c r="AQ56" s="37" t="str">
        <f ca="1">IFERROR(+IF(AQ$29=ProposalToGnatt[[#This Row],[Start Date]],Milestone_Marker,IF(AND(AQ$29&gt;ProposalToGnatt[[#This Row],[Start Date]],AQ$29&lt;ProposalToGnatt[[#This Row],[Start Date]]+ProposalToGnatt[[#This Row],[Days]]),$G$5,"")),"")</f>
        <v/>
      </c>
      <c r="AR56" s="37" t="str">
        <f ca="1">IFERROR(+IF(AR$29=ProposalToGnatt[[#This Row],[Start Date]],Milestone_Marker,IF(AND(AR$29&gt;ProposalToGnatt[[#This Row],[Start Date]],AR$29&lt;ProposalToGnatt[[#This Row],[Start Date]]+ProposalToGnatt[[#This Row],[Days]]),$G$5,"")),"")</f>
        <v/>
      </c>
      <c r="AS56" s="37" t="str">
        <f ca="1">IFERROR(+IF(AS$29=ProposalToGnatt[[#This Row],[Start Date]],Milestone_Marker,IF(AND(AS$29&gt;ProposalToGnatt[[#This Row],[Start Date]],AS$29&lt;ProposalToGnatt[[#This Row],[Start Date]]+ProposalToGnatt[[#This Row],[Days]]),$G$5,"")),"")</f>
        <v/>
      </c>
      <c r="AT56" s="37" t="str">
        <f ca="1">IFERROR(+IF(AT$29=ProposalToGnatt[[#This Row],[Start Date]],Milestone_Marker,IF(AND(AT$29&gt;ProposalToGnatt[[#This Row],[Start Date]],AT$29&lt;ProposalToGnatt[[#This Row],[Start Date]]+ProposalToGnatt[[#This Row],[Days]]),$G$5,"")),"")</f>
        <v/>
      </c>
      <c r="AU56" s="37" t="str">
        <f ca="1">IFERROR(+IF(AU$29=ProposalToGnatt[[#This Row],[Start Date]],Milestone_Marker,IF(AND(AU$29&gt;ProposalToGnatt[[#This Row],[Start Date]],AU$29&lt;ProposalToGnatt[[#This Row],[Start Date]]+ProposalToGnatt[[#This Row],[Days]]),$G$5,"")),"")</f>
        <v/>
      </c>
      <c r="AV56" s="37" t="str">
        <f ca="1">IFERROR(+IF(AV$29=ProposalToGnatt[[#This Row],[Start Date]],Milestone_Marker,IF(AND(AV$29&gt;ProposalToGnatt[[#This Row],[Start Date]],AV$29&lt;ProposalToGnatt[[#This Row],[Start Date]]+ProposalToGnatt[[#This Row],[Days]]),$G$5,"")),"")</f>
        <v/>
      </c>
      <c r="AW56" s="37" t="str">
        <f ca="1">IFERROR(+IF(AW$29=ProposalToGnatt[[#This Row],[Start Date]],Milestone_Marker,IF(AND(AW$29&gt;ProposalToGnatt[[#This Row],[Start Date]],AW$29&lt;ProposalToGnatt[[#This Row],[Start Date]]+ProposalToGnatt[[#This Row],[Days]]),$G$5,"")),"")</f>
        <v/>
      </c>
      <c r="AX56" s="37" t="str">
        <f ca="1">IFERROR(+IF(AX$29=ProposalToGnatt[[#This Row],[Start Date]],Milestone_Marker,IF(AND(AX$29&gt;ProposalToGnatt[[#This Row],[Start Date]],AX$29&lt;ProposalToGnatt[[#This Row],[Start Date]]+ProposalToGnatt[[#This Row],[Days]]),$G$5,"")),"")</f>
        <v/>
      </c>
      <c r="AY56" s="37" t="str">
        <f ca="1">IFERROR(+IF(AY$29=ProposalToGnatt[[#This Row],[Start Date]],Milestone_Marker,IF(AND(AY$29&gt;ProposalToGnatt[[#This Row],[Start Date]],AY$29&lt;ProposalToGnatt[[#This Row],[Start Date]]+ProposalToGnatt[[#This Row],[Days]]),$G$5,"")),"")</f>
        <v/>
      </c>
      <c r="AZ56" s="37" t="str">
        <f ca="1">IFERROR(+IF(AZ$29=ProposalToGnatt[[#This Row],[Start Date]],Milestone_Marker,IF(AND(AZ$29&gt;ProposalToGnatt[[#This Row],[Start Date]],AZ$29&lt;ProposalToGnatt[[#This Row],[Start Date]]+ProposalToGnatt[[#This Row],[Days]]),$G$5,"")),"")</f>
        <v/>
      </c>
      <c r="BA56" s="37" t="str">
        <f ca="1">IFERROR(+IF(BA$29=ProposalToGnatt[[#This Row],[Start Date]],Milestone_Marker,IF(AND(BA$29&gt;ProposalToGnatt[[#This Row],[Start Date]],BA$29&lt;ProposalToGnatt[[#This Row],[Start Date]]+ProposalToGnatt[[#This Row],[Days]]),$G$5,"")),"")</f>
        <v/>
      </c>
      <c r="BB56" s="37" t="str">
        <f ca="1">IFERROR(+IF(BB$29=ProposalToGnatt[[#This Row],[Start Date]],Milestone_Marker,IF(AND(BB$29&gt;ProposalToGnatt[[#This Row],[Start Date]],BB$29&lt;ProposalToGnatt[[#This Row],[Start Date]]+ProposalToGnatt[[#This Row],[Days]]),$G$5,"")),"")</f>
        <v/>
      </c>
      <c r="BC56" s="37" t="str">
        <f ca="1">IFERROR(+IF(BC$29=ProposalToGnatt[[#This Row],[Start Date]],Milestone_Marker,IF(AND(BC$29&gt;ProposalToGnatt[[#This Row],[Start Date]],BC$29&lt;ProposalToGnatt[[#This Row],[Start Date]]+ProposalToGnatt[[#This Row],[Days]]),$G$5,"")),"")</f>
        <v/>
      </c>
      <c r="BD56" s="37" t="str">
        <f ca="1">IFERROR(+IF(BD$29=ProposalToGnatt[[#This Row],[Start Date]],Milestone_Marker,IF(AND(BD$29&gt;ProposalToGnatt[[#This Row],[Start Date]],BD$29&lt;ProposalToGnatt[[#This Row],[Start Date]]+ProposalToGnatt[[#This Row],[Days]]),$G$5,"")),"")</f>
        <v/>
      </c>
      <c r="BE56" s="37" t="str">
        <f ca="1">IFERROR(+IF(BE$29=ProposalToGnatt[[#This Row],[Start Date]],Milestone_Marker,IF(AND(BE$29&gt;ProposalToGnatt[[#This Row],[Start Date]],BE$29&lt;ProposalToGnatt[[#This Row],[Start Date]]+ProposalToGnatt[[#This Row],[Days]]),$G$5,"")),"")</f>
        <v/>
      </c>
      <c r="BF56" s="37" t="str">
        <f ca="1">IFERROR(+IF(BF$29=ProposalToGnatt[[#This Row],[Start Date]],Milestone_Marker,IF(AND(BF$29&gt;ProposalToGnatt[[#This Row],[Start Date]],BF$29&lt;ProposalToGnatt[[#This Row],[Start Date]]+ProposalToGnatt[[#This Row],[Days]]),$G$5,"")),"")</f>
        <v/>
      </c>
      <c r="BG56" s="37" t="str">
        <f ca="1">IFERROR(+IF(BG$29=ProposalToGnatt[[#This Row],[Start Date]],Milestone_Marker,IF(AND(BG$29&gt;ProposalToGnatt[[#This Row],[Start Date]],BG$29&lt;ProposalToGnatt[[#This Row],[Start Date]]+ProposalToGnatt[[#This Row],[Days]]),$G$5,"")),"")</f>
        <v/>
      </c>
      <c r="BH56" s="37" t="str">
        <f ca="1">IFERROR(+IF(BH$29=ProposalToGnatt[[#This Row],[Start Date]],Milestone_Marker,IF(AND(BH$29&gt;ProposalToGnatt[[#This Row],[Start Date]],BH$29&lt;ProposalToGnatt[[#This Row],[Start Date]]+ProposalToGnatt[[#This Row],[Days]]),$G$5,"")),"")</f>
        <v/>
      </c>
      <c r="BI56" s="37" t="str">
        <f ca="1">IFERROR(+IF(BI$29=ProposalToGnatt[[#This Row],[Start Date]],Milestone_Marker,IF(AND(BI$29&gt;ProposalToGnatt[[#This Row],[Start Date]],BI$29&lt;ProposalToGnatt[[#This Row],[Start Date]]+ProposalToGnatt[[#This Row],[Days]]),$G$5,"")),"")</f>
        <v/>
      </c>
      <c r="BJ56" s="37" t="str">
        <f ca="1">IFERROR(+IF(BJ$29=ProposalToGnatt[[#This Row],[Start Date]],Milestone_Marker,IF(AND(BJ$29&gt;ProposalToGnatt[[#This Row],[Start Date]],BJ$29&lt;ProposalToGnatt[[#This Row],[Start Date]]+ProposalToGnatt[[#This Row],[Days]]),$G$5,"")),"")</f>
        <v/>
      </c>
      <c r="BK56" s="37" t="str">
        <f ca="1">IFERROR(+IF(BK$29=ProposalToGnatt[[#This Row],[Start Date]],Milestone_Marker,IF(AND(BK$29&gt;ProposalToGnatt[[#This Row],[Start Date]],BK$29&lt;ProposalToGnatt[[#This Row],[Start Date]]+ProposalToGnatt[[#This Row],[Days]]),$G$5,"")),"")</f>
        <v/>
      </c>
      <c r="BL56" s="37" t="str">
        <f ca="1">IFERROR(+IF(BL$29=ProposalToGnatt[[#This Row],[Start Date]],Milestone_Marker,IF(AND(BL$29&gt;ProposalToGnatt[[#This Row],[Start Date]],BL$29&lt;ProposalToGnatt[[#This Row],[Start Date]]+ProposalToGnatt[[#This Row],[Days]]),$G$5,"")),"")</f>
        <v/>
      </c>
      <c r="BM56" s="37" t="str">
        <f ca="1">IFERROR(+IF(BM$29=ProposalToGnatt[[#This Row],[Start Date]],Milestone_Marker,IF(AND(BM$29&gt;ProposalToGnatt[[#This Row],[Start Date]],BM$29&lt;ProposalToGnatt[[#This Row],[Start Date]]+ProposalToGnatt[[#This Row],[Days]]),$G$5,"")),"")</f>
        <v/>
      </c>
      <c r="BN56" s="37" t="str">
        <f ca="1">IFERROR(+IF(BN$29=ProposalToGnatt[[#This Row],[Start Date]],Milestone_Marker,IF(AND(BN$29&gt;ProposalToGnatt[[#This Row],[Start Date]],BN$29&lt;ProposalToGnatt[[#This Row],[Start Date]]+ProposalToGnatt[[#This Row],[Days]]),$G$5,"")),"")</f>
        <v/>
      </c>
      <c r="BO56" s="37" t="str">
        <f ca="1">IFERROR(+IF(BO$29=ProposalToGnatt[[#This Row],[Start Date]],Milestone_Marker,IF(AND(BO$29&gt;ProposalToGnatt[[#This Row],[Start Date]],BO$29&lt;ProposalToGnatt[[#This Row],[Start Date]]+ProposalToGnatt[[#This Row],[Days]]),$G$5,"")),"")</f>
        <v/>
      </c>
      <c r="BP56" s="37" t="str">
        <f ca="1">IFERROR(+IF(BP$29=ProposalToGnatt[[#This Row],[Start Date]],Milestone_Marker,IF(AND(BP$29&gt;ProposalToGnatt[[#This Row],[Start Date]],BP$29&lt;ProposalToGnatt[[#This Row],[Start Date]]+ProposalToGnatt[[#This Row],[Days]]),$G$5,"")),"")</f>
        <v/>
      </c>
      <c r="BQ56" s="37" t="str">
        <f ca="1">IFERROR(+IF(BQ$29=ProposalToGnatt[[#This Row],[Start Date]],Milestone_Marker,IF(AND(BQ$29&gt;ProposalToGnatt[[#This Row],[Start Date]],BQ$29&lt;ProposalToGnatt[[#This Row],[Start Date]]+ProposalToGnatt[[#This Row],[Days]]),$G$5,"")),"")</f>
        <v/>
      </c>
      <c r="BR56" s="37" t="str">
        <f ca="1">IFERROR(+IF(BR$29=ProposalToGnatt[[#This Row],[Start Date]],Milestone_Marker,IF(AND(BR$29&gt;ProposalToGnatt[[#This Row],[Start Date]],BR$29&lt;ProposalToGnatt[[#This Row],[Start Date]]+ProposalToGnatt[[#This Row],[Days]]),$G$5,"")),"")</f>
        <v/>
      </c>
      <c r="BS56" s="37" t="str">
        <f ca="1">IFERROR(+IF(BS$29=ProposalToGnatt[[#This Row],[Start Date]],Milestone_Marker,IF(AND(BS$29&gt;ProposalToGnatt[[#This Row],[Start Date]],BS$29&lt;ProposalToGnatt[[#This Row],[Start Date]]+ProposalToGnatt[[#This Row],[Days]]),$G$5,"")),"")</f>
        <v/>
      </c>
      <c r="BT56" s="37" t="str">
        <f ca="1">IFERROR(+IF(BT$29=ProposalToGnatt[[#This Row],[Start Date]],Milestone_Marker,IF(AND(BT$29&gt;ProposalToGnatt[[#This Row],[Start Date]],BT$29&lt;ProposalToGnatt[[#This Row],[Start Date]]+ProposalToGnatt[[#This Row],[Days]]),$G$5,"")),"")</f>
        <v/>
      </c>
      <c r="BU56" s="37" t="str">
        <f ca="1">IFERROR(+IF(BU$29=ProposalToGnatt[[#This Row],[Start Date]],Milestone_Marker,IF(AND(BU$29&gt;ProposalToGnatt[[#This Row],[Start Date]],BU$29&lt;ProposalToGnatt[[#This Row],[Start Date]]+ProposalToGnatt[[#This Row],[Days]]),$G$5,"")),"")</f>
        <v/>
      </c>
      <c r="BV56" s="37" t="str">
        <f ca="1">IFERROR(+IF(BV$29=ProposalToGnatt[[#This Row],[Start Date]],Milestone_Marker,IF(AND(BV$29&gt;ProposalToGnatt[[#This Row],[Start Date]],BV$29&lt;ProposalToGnatt[[#This Row],[Start Date]]+ProposalToGnatt[[#This Row],[Days]]),$G$5,"")),"")</f>
        <v/>
      </c>
      <c r="BW56" s="37" t="str">
        <f ca="1">IFERROR(+IF(BW$29=ProposalToGnatt[[#This Row],[Start Date]],Milestone_Marker,IF(AND(BW$29&gt;ProposalToGnatt[[#This Row],[Start Date]],BW$29&lt;ProposalToGnatt[[#This Row],[Start Date]]+ProposalToGnatt[[#This Row],[Days]]),$G$5,"")),"")</f>
        <v/>
      </c>
      <c r="BX56" s="37" t="str">
        <f ca="1">IFERROR(+IF(BX$29=ProposalToGnatt[[#This Row],[Start Date]],Milestone_Marker,IF(AND(BX$29&gt;ProposalToGnatt[[#This Row],[Start Date]],BX$29&lt;ProposalToGnatt[[#This Row],[Start Date]]+ProposalToGnatt[[#This Row],[Days]]),$G$5,"")),"")</f>
        <v/>
      </c>
      <c r="BY56" s="37" t="str">
        <f ca="1">IFERROR(+IF(BY$29=ProposalToGnatt[[#This Row],[Start Date]],Milestone_Marker,IF(AND(BY$29&gt;ProposalToGnatt[[#This Row],[Start Date]],BY$29&lt;ProposalToGnatt[[#This Row],[Start Date]]+ProposalToGnatt[[#This Row],[Days]]),$G$5,"")),"")</f>
        <v/>
      </c>
      <c r="BZ56" s="37" t="str">
        <f ca="1">IFERROR(+IF(BZ$29=ProposalToGnatt[[#This Row],[Start Date]],Milestone_Marker,IF(AND(BZ$29&gt;ProposalToGnatt[[#This Row],[Start Date]],BZ$29&lt;ProposalToGnatt[[#This Row],[Start Date]]+ProposalToGnatt[[#This Row],[Days]]),$G$5,"")),"")</f>
        <v/>
      </c>
      <c r="CA56" s="37" t="str">
        <f ca="1">IFERROR(+IF(CA$29=ProposalToGnatt[[#This Row],[Start Date]],Milestone_Marker,IF(AND(CA$29&gt;ProposalToGnatt[[#This Row],[Start Date]],CA$29&lt;ProposalToGnatt[[#This Row],[Start Date]]+ProposalToGnatt[[#This Row],[Days]]),$G$5,"")),"")</f>
        <v/>
      </c>
      <c r="CB56" s="37" t="str">
        <f ca="1">IFERROR(+IF(CB$29=ProposalToGnatt[[#This Row],[Start Date]],Milestone_Marker,IF(AND(CB$29&gt;ProposalToGnatt[[#This Row],[Start Date]],CB$29&lt;ProposalToGnatt[[#This Row],[Start Date]]+ProposalToGnatt[[#This Row],[Days]]),$G$5,"")),"")</f>
        <v/>
      </c>
      <c r="CC56" s="37" t="str">
        <f ca="1">IFERROR(+IF(CC$29=ProposalToGnatt[[#This Row],[Start Date]],Milestone_Marker,IF(AND(CC$29&gt;ProposalToGnatt[[#This Row],[Start Date]],CC$29&lt;ProposalToGnatt[[#This Row],[Start Date]]+ProposalToGnatt[[#This Row],[Days]]),$G$5,"")),"")</f>
        <v/>
      </c>
      <c r="CD56" s="37" t="str">
        <f ca="1">IFERROR(+IF(CD$29=ProposalToGnatt[[#This Row],[Start Date]],Milestone_Marker,IF(AND(CD$29&gt;ProposalToGnatt[[#This Row],[Start Date]],CD$29&lt;ProposalToGnatt[[#This Row],[Start Date]]+ProposalToGnatt[[#This Row],[Days]]),$G$5,"")),"")</f>
        <v/>
      </c>
      <c r="CE56" s="37" t="str">
        <f ca="1">IFERROR(+IF(CE$29=ProposalToGnatt[[#This Row],[Start Date]],Milestone_Marker,IF(AND(CE$29&gt;ProposalToGnatt[[#This Row],[Start Date]],CE$29&lt;ProposalToGnatt[[#This Row],[Start Date]]+ProposalToGnatt[[#This Row],[Days]]),$G$5,"")),"")</f>
        <v/>
      </c>
      <c r="CF56" s="37" t="str">
        <f ca="1">IFERROR(+IF(CF$29=ProposalToGnatt[[#This Row],[Start Date]],Milestone_Marker,IF(AND(CF$29&gt;ProposalToGnatt[[#This Row],[Start Date]],CF$29&lt;ProposalToGnatt[[#This Row],[Start Date]]+ProposalToGnatt[[#This Row],[Days]]),$G$5,"")),"")</f>
        <v/>
      </c>
      <c r="CG56" s="37" t="str">
        <f ca="1">IFERROR(+IF(CG$29=ProposalToGnatt[[#This Row],[Start Date]],Milestone_Marker,IF(AND(CG$29&gt;ProposalToGnatt[[#This Row],[Start Date]],CG$29&lt;ProposalToGnatt[[#This Row],[Start Date]]+ProposalToGnatt[[#This Row],[Days]]),$G$5,"")),"")</f>
        <v/>
      </c>
      <c r="CH56" s="37" t="str">
        <f ca="1">IFERROR(+IF(CH$29=ProposalToGnatt[[#This Row],[Start Date]],Milestone_Marker,IF(AND(CH$29&gt;ProposalToGnatt[[#This Row],[Start Date]],CH$29&lt;ProposalToGnatt[[#This Row],[Start Date]]+ProposalToGnatt[[#This Row],[Days]]),$G$5,"")),"")</f>
        <v/>
      </c>
      <c r="CI56" s="37" t="str">
        <f ca="1">IFERROR(+IF(CI$29=ProposalToGnatt[[#This Row],[Start Date]],Milestone_Marker,IF(AND(CI$29&gt;ProposalToGnatt[[#This Row],[Start Date]],CI$29&lt;ProposalToGnatt[[#This Row],[Start Date]]+ProposalToGnatt[[#This Row],[Days]]),$G$5,"")),"")</f>
        <v/>
      </c>
      <c r="CJ56" s="37" t="str">
        <f ca="1">IFERROR(+IF(CJ$29=ProposalToGnatt[[#This Row],[Start Date]],Milestone_Marker,IF(AND(CJ$29&gt;ProposalToGnatt[[#This Row],[Start Date]],CJ$29&lt;ProposalToGnatt[[#This Row],[Start Date]]+ProposalToGnatt[[#This Row],[Days]]),$G$5,"")),"")</f>
        <v/>
      </c>
      <c r="CK56" s="37" t="str">
        <f ca="1">IFERROR(+IF(CK$29=ProposalToGnatt[[#This Row],[Start Date]],Milestone_Marker,IF(AND(CK$29&gt;ProposalToGnatt[[#This Row],[Start Date]],CK$29&lt;ProposalToGnatt[[#This Row],[Start Date]]+ProposalToGnatt[[#This Row],[Days]]),$G$5,"")),"")</f>
        <v/>
      </c>
      <c r="CL56" s="37" t="str">
        <f ca="1">IFERROR(+IF(CL$29=ProposalToGnatt[[#This Row],[Start Date]],Milestone_Marker,IF(AND(CL$29&gt;ProposalToGnatt[[#This Row],[Start Date]],CL$29&lt;ProposalToGnatt[[#This Row],[Start Date]]+ProposalToGnatt[[#This Row],[Days]]),$G$5,"")),"")</f>
        <v/>
      </c>
      <c r="CM56" s="37" t="str">
        <f ca="1">IFERROR(+IF(CM$29=ProposalToGnatt[[#This Row],[Start Date]],Milestone_Marker,IF(AND(CM$29&gt;ProposalToGnatt[[#This Row],[Start Date]],CM$29&lt;ProposalToGnatt[[#This Row],[Start Date]]+ProposalToGnatt[[#This Row],[Days]]),$G$5,"")),"")</f>
        <v/>
      </c>
      <c r="CN56" s="37" t="str">
        <f ca="1">IFERROR(+IF(CN$29=ProposalToGnatt[[#This Row],[Start Date]],Milestone_Marker,IF(AND(CN$29&gt;ProposalToGnatt[[#This Row],[Start Date]],CN$29&lt;ProposalToGnatt[[#This Row],[Start Date]]+ProposalToGnatt[[#This Row],[Days]]),$G$5,"")),"")</f>
        <v/>
      </c>
      <c r="CO56" s="37" t="str">
        <f ca="1">IFERROR(+IF(CO$29=ProposalToGnatt[[#This Row],[Start Date]],Milestone_Marker,IF(AND(CO$29&gt;ProposalToGnatt[[#This Row],[Start Date]],CO$29&lt;ProposalToGnatt[[#This Row],[Start Date]]+ProposalToGnatt[[#This Row],[Days]]),$G$5,"")),"")</f>
        <v/>
      </c>
      <c r="CP56" s="37" t="str">
        <f ca="1">IFERROR(+IF(CP$29=ProposalToGnatt[[#This Row],[Start Date]],Milestone_Marker,IF(AND(CP$29&gt;ProposalToGnatt[[#This Row],[Start Date]],CP$29&lt;ProposalToGnatt[[#This Row],[Start Date]]+ProposalToGnatt[[#This Row],[Days]]),$G$5,"")),"")</f>
        <v/>
      </c>
      <c r="CQ56" s="37" t="str">
        <f ca="1">IFERROR(+IF(CQ$29=ProposalToGnatt[[#This Row],[Start Date]],Milestone_Marker,IF(AND(CQ$29&gt;ProposalToGnatt[[#This Row],[Start Date]],CQ$29&lt;ProposalToGnatt[[#This Row],[Start Date]]+ProposalToGnatt[[#This Row],[Days]]),$G$5,"")),"")</f>
        <v/>
      </c>
      <c r="CR56" s="37" t="str">
        <f ca="1">IFERROR(+IF(CR$29=ProposalToGnatt[[#This Row],[Start Date]],Milestone_Marker,IF(AND(CR$29&gt;ProposalToGnatt[[#This Row],[Start Date]],CR$29&lt;ProposalToGnatt[[#This Row],[Start Date]]+ProposalToGnatt[[#This Row],[Days]]),$G$5,"")),"")</f>
        <v/>
      </c>
      <c r="CS56" s="37" t="str">
        <f ca="1">IFERROR(+IF(CS$29=ProposalToGnatt[[#This Row],[Start Date]],Milestone_Marker,IF(AND(CS$29&gt;ProposalToGnatt[[#This Row],[Start Date]],CS$29&lt;ProposalToGnatt[[#This Row],[Start Date]]+ProposalToGnatt[[#This Row],[Days]]),$G$5,"")),"")</f>
        <v/>
      </c>
      <c r="CT56" s="37" t="str">
        <f ca="1">IFERROR(+IF(CT$29=ProposalToGnatt[[#This Row],[Start Date]],Milestone_Marker,IF(AND(CT$29&gt;ProposalToGnatt[[#This Row],[Start Date]],CT$29&lt;ProposalToGnatt[[#This Row],[Start Date]]+ProposalToGnatt[[#This Row],[Days]]),$G$5,"")),"")</f>
        <v/>
      </c>
      <c r="CU56" s="37" t="str">
        <f ca="1">IFERROR(+IF(CU$29=ProposalToGnatt[[#This Row],[Start Date]],Milestone_Marker,IF(AND(CU$29&gt;ProposalToGnatt[[#This Row],[Start Date]],CU$29&lt;ProposalToGnatt[[#This Row],[Start Date]]+ProposalToGnatt[[#This Row],[Days]]),$G$5,"")),"")</f>
        <v/>
      </c>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row>
    <row r="57" spans="1:125" s="42" customFormat="1" ht="15">
      <c r="A57"/>
      <c r="B57"/>
      <c r="C57"/>
      <c r="D57"/>
      <c r="E57"/>
      <c r="F57"/>
      <c r="G57" s="11"/>
      <c r="H57" s="26"/>
      <c r="I57"/>
      <c r="J57"/>
      <c r="K57" s="363"/>
      <c r="L57"/>
      <c r="M57"/>
      <c r="N57"/>
      <c r="O57" s="26"/>
      <c r="P57" s="37" t="str">
        <f ca="1">IFERROR(+IF(P$29=ProposalToGnatt[[#This Row],[Start Date]],Milestone_Marker,IF(AND(P$29&gt;ProposalToGnatt[[#This Row],[Start Date]],P$29&lt;ProposalToGnatt[[#This Row],[Start Date]]+ProposalToGnatt[[#This Row],[Days]]),$G$5,"")),"")</f>
        <v/>
      </c>
      <c r="Q57" s="37" t="str">
        <f ca="1">IFERROR(+IF(Q$29=ProposalToGnatt[[#This Row],[Start Date]],Milestone_Marker,IF(AND(Q$29&gt;ProposalToGnatt[[#This Row],[Start Date]],Q$29&lt;ProposalToGnatt[[#This Row],[Start Date]]+ProposalToGnatt[[#This Row],[Days]]),$G$5,"")),"")</f>
        <v/>
      </c>
      <c r="R57" s="37" t="str">
        <f ca="1">IFERROR(+IF(R$29=ProposalToGnatt[[#This Row],[Start Date]],Milestone_Marker,IF(AND(R$29&gt;ProposalToGnatt[[#This Row],[Start Date]],R$29&lt;ProposalToGnatt[[#This Row],[Start Date]]+ProposalToGnatt[[#This Row],[Days]]),$G$5,"")),"")</f>
        <v/>
      </c>
      <c r="S57" s="37" t="str">
        <f ca="1">IFERROR(+IF(S$29=ProposalToGnatt[[#This Row],[Start Date]],Milestone_Marker,IF(AND(S$29&gt;ProposalToGnatt[[#This Row],[Start Date]],S$29&lt;ProposalToGnatt[[#This Row],[Start Date]]+ProposalToGnatt[[#This Row],[Days]]),$G$5,"")),"")</f>
        <v/>
      </c>
      <c r="T57" s="37" t="str">
        <f ca="1">IFERROR(+IF(T$29=ProposalToGnatt[[#This Row],[Start Date]],Milestone_Marker,IF(AND(T$29&gt;ProposalToGnatt[[#This Row],[Start Date]],T$29&lt;ProposalToGnatt[[#This Row],[Start Date]]+ProposalToGnatt[[#This Row],[Days]]),$G$5,"")),"")</f>
        <v/>
      </c>
      <c r="U57" s="37" t="str">
        <f ca="1">IFERROR(+IF(U$29=ProposalToGnatt[[#This Row],[Start Date]],Milestone_Marker,IF(AND(U$29&gt;ProposalToGnatt[[#This Row],[Start Date]],U$29&lt;ProposalToGnatt[[#This Row],[Start Date]]+ProposalToGnatt[[#This Row],[Days]]),$G$5,"")),"")</f>
        <v/>
      </c>
      <c r="V57" s="37" t="str">
        <f ca="1">IFERROR(+IF(V$29=ProposalToGnatt[[#This Row],[Start Date]],Milestone_Marker,IF(AND(V$29&gt;ProposalToGnatt[[#This Row],[Start Date]],V$29&lt;ProposalToGnatt[[#This Row],[Start Date]]+ProposalToGnatt[[#This Row],[Days]]),$G$5,"")),"")</f>
        <v/>
      </c>
      <c r="W57" s="37" t="str">
        <f ca="1">IFERROR(+IF(W$29=ProposalToGnatt[[#This Row],[Start Date]],Milestone_Marker,IF(AND(W$29&gt;ProposalToGnatt[[#This Row],[Start Date]],W$29&lt;ProposalToGnatt[[#This Row],[Start Date]]+ProposalToGnatt[[#This Row],[Days]]),$G$5,"")),"")</f>
        <v/>
      </c>
      <c r="X57" s="37" t="str">
        <f ca="1">IFERROR(+IF(X$29=ProposalToGnatt[[#This Row],[Start Date]],Milestone_Marker,IF(AND(X$29&gt;ProposalToGnatt[[#This Row],[Start Date]],X$29&lt;ProposalToGnatt[[#This Row],[Start Date]]+ProposalToGnatt[[#This Row],[Days]]),$G$5,"")),"")</f>
        <v/>
      </c>
      <c r="Y57" s="37" t="str">
        <f ca="1">IFERROR(+IF(Y$29=ProposalToGnatt[[#This Row],[Start Date]],Milestone_Marker,IF(AND(Y$29&gt;ProposalToGnatt[[#This Row],[Start Date]],Y$29&lt;ProposalToGnatt[[#This Row],[Start Date]]+ProposalToGnatt[[#This Row],[Days]]),$G$5,"")),"")</f>
        <v/>
      </c>
      <c r="Z57" s="37" t="str">
        <f ca="1">IFERROR(+IF(Z$29=ProposalToGnatt[[#This Row],[Start Date]],Milestone_Marker,IF(AND(Z$29&gt;ProposalToGnatt[[#This Row],[Start Date]],Z$29&lt;ProposalToGnatt[[#This Row],[Start Date]]+ProposalToGnatt[[#This Row],[Days]]),$G$5,"")),"")</f>
        <v/>
      </c>
      <c r="AA57" s="37" t="str">
        <f ca="1">IFERROR(+IF(AA$29=ProposalToGnatt[[#This Row],[Start Date]],Milestone_Marker,IF(AND(AA$29&gt;ProposalToGnatt[[#This Row],[Start Date]],AA$29&lt;ProposalToGnatt[[#This Row],[Start Date]]+ProposalToGnatt[[#This Row],[Days]]),$G$5,"")),"")</f>
        <v/>
      </c>
      <c r="AB57" s="37" t="str">
        <f ca="1">IFERROR(+IF(AB$29=ProposalToGnatt[[#This Row],[Start Date]],Milestone_Marker,IF(AND(AB$29&gt;ProposalToGnatt[[#This Row],[Start Date]],AB$29&lt;ProposalToGnatt[[#This Row],[Start Date]]+ProposalToGnatt[[#This Row],[Days]]),$G$5,"")),"")</f>
        <v/>
      </c>
      <c r="AC57" s="37" t="str">
        <f ca="1">IFERROR(+IF(AC$29=ProposalToGnatt[[#This Row],[Start Date]],Milestone_Marker,IF(AND(AC$29&gt;ProposalToGnatt[[#This Row],[Start Date]],AC$29&lt;ProposalToGnatt[[#This Row],[Start Date]]+ProposalToGnatt[[#This Row],[Days]]),$G$5,"")),"")</f>
        <v/>
      </c>
      <c r="AD57" s="37" t="str">
        <f ca="1">IFERROR(+IF(AD$29=ProposalToGnatt[[#This Row],[Start Date]],Milestone_Marker,IF(AND(AD$29&gt;ProposalToGnatt[[#This Row],[Start Date]],AD$29&lt;ProposalToGnatt[[#This Row],[Start Date]]+ProposalToGnatt[[#This Row],[Days]]),$G$5,"")),"")</f>
        <v/>
      </c>
      <c r="AE57" s="37" t="str">
        <f ca="1">IFERROR(+IF(AE$29=ProposalToGnatt[[#This Row],[Start Date]],Milestone_Marker,IF(AND(AE$29&gt;ProposalToGnatt[[#This Row],[Start Date]],AE$29&lt;ProposalToGnatt[[#This Row],[Start Date]]+ProposalToGnatt[[#This Row],[Days]]),$G$5,"")),"")</f>
        <v/>
      </c>
      <c r="AF57" s="37" t="str">
        <f ca="1">IFERROR(+IF(AF$29=ProposalToGnatt[[#This Row],[Start Date]],Milestone_Marker,IF(AND(AF$29&gt;ProposalToGnatt[[#This Row],[Start Date]],AF$29&lt;ProposalToGnatt[[#This Row],[Start Date]]+ProposalToGnatt[[#This Row],[Days]]),$G$5,"")),"")</f>
        <v/>
      </c>
      <c r="AG57" s="37" t="str">
        <f ca="1">IFERROR(+IF(AG$29=ProposalToGnatt[[#This Row],[Start Date]],Milestone_Marker,IF(AND(AG$29&gt;ProposalToGnatt[[#This Row],[Start Date]],AG$29&lt;ProposalToGnatt[[#This Row],[Start Date]]+ProposalToGnatt[[#This Row],[Days]]),$G$5,"")),"")</f>
        <v/>
      </c>
      <c r="AH57" s="37" t="str">
        <f ca="1">IFERROR(+IF(AH$29=ProposalToGnatt[[#This Row],[Start Date]],Milestone_Marker,IF(AND(AH$29&gt;ProposalToGnatt[[#This Row],[Start Date]],AH$29&lt;ProposalToGnatt[[#This Row],[Start Date]]+ProposalToGnatt[[#This Row],[Days]]),$G$5,"")),"")</f>
        <v/>
      </c>
      <c r="AI57" s="37" t="str">
        <f ca="1">IFERROR(+IF(AI$29=ProposalToGnatt[[#This Row],[Start Date]],Milestone_Marker,IF(AND(AI$29&gt;ProposalToGnatt[[#This Row],[Start Date]],AI$29&lt;ProposalToGnatt[[#This Row],[Start Date]]+ProposalToGnatt[[#This Row],[Days]]),$G$5,"")),"")</f>
        <v/>
      </c>
      <c r="AJ57" s="37" t="str">
        <f ca="1">IFERROR(+IF(AJ$29=ProposalToGnatt[[#This Row],[Start Date]],Milestone_Marker,IF(AND(AJ$29&gt;ProposalToGnatt[[#This Row],[Start Date]],AJ$29&lt;ProposalToGnatt[[#This Row],[Start Date]]+ProposalToGnatt[[#This Row],[Days]]),$G$5,"")),"")</f>
        <v/>
      </c>
      <c r="AK57" s="37" t="str">
        <f ca="1">IFERROR(+IF(AK$29=ProposalToGnatt[[#This Row],[Start Date]],Milestone_Marker,IF(AND(AK$29&gt;ProposalToGnatt[[#This Row],[Start Date]],AK$29&lt;ProposalToGnatt[[#This Row],[Start Date]]+ProposalToGnatt[[#This Row],[Days]]),$G$5,"")),"")</f>
        <v/>
      </c>
      <c r="AL57" s="37" t="str">
        <f ca="1">IFERROR(+IF(AL$29=ProposalToGnatt[[#This Row],[Start Date]],Milestone_Marker,IF(AND(AL$29&gt;ProposalToGnatt[[#This Row],[Start Date]],AL$29&lt;ProposalToGnatt[[#This Row],[Start Date]]+ProposalToGnatt[[#This Row],[Days]]),$G$5,"")),"")</f>
        <v/>
      </c>
      <c r="AM57" s="37" t="str">
        <f ca="1">IFERROR(+IF(AM$29=ProposalToGnatt[[#This Row],[Start Date]],Milestone_Marker,IF(AND(AM$29&gt;ProposalToGnatt[[#This Row],[Start Date]],AM$29&lt;ProposalToGnatt[[#This Row],[Start Date]]+ProposalToGnatt[[#This Row],[Days]]),$G$5,"")),"")</f>
        <v/>
      </c>
      <c r="AN57" s="37" t="str">
        <f ca="1">IFERROR(+IF(AN$29=ProposalToGnatt[[#This Row],[Start Date]],Milestone_Marker,IF(AND(AN$29&gt;ProposalToGnatt[[#This Row],[Start Date]],AN$29&lt;ProposalToGnatt[[#This Row],[Start Date]]+ProposalToGnatt[[#This Row],[Days]]),$G$5,"")),"")</f>
        <v/>
      </c>
      <c r="AO57" s="37" t="str">
        <f ca="1">IFERROR(+IF(AO$29=ProposalToGnatt[[#This Row],[Start Date]],Milestone_Marker,IF(AND(AO$29&gt;ProposalToGnatt[[#This Row],[Start Date]],AO$29&lt;ProposalToGnatt[[#This Row],[Start Date]]+ProposalToGnatt[[#This Row],[Days]]),$G$5,"")),"")</f>
        <v/>
      </c>
      <c r="AP57" s="37" t="str">
        <f ca="1">IFERROR(+IF(AP$29=ProposalToGnatt[[#This Row],[Start Date]],Milestone_Marker,IF(AND(AP$29&gt;ProposalToGnatt[[#This Row],[Start Date]],AP$29&lt;ProposalToGnatt[[#This Row],[Start Date]]+ProposalToGnatt[[#This Row],[Days]]),$G$5,"")),"")</f>
        <v/>
      </c>
      <c r="AQ57" s="37" t="str">
        <f ca="1">IFERROR(+IF(AQ$29=ProposalToGnatt[[#This Row],[Start Date]],Milestone_Marker,IF(AND(AQ$29&gt;ProposalToGnatt[[#This Row],[Start Date]],AQ$29&lt;ProposalToGnatt[[#This Row],[Start Date]]+ProposalToGnatt[[#This Row],[Days]]),$G$5,"")),"")</f>
        <v/>
      </c>
      <c r="AR57" s="37" t="str">
        <f ca="1">IFERROR(+IF(AR$29=ProposalToGnatt[[#This Row],[Start Date]],Milestone_Marker,IF(AND(AR$29&gt;ProposalToGnatt[[#This Row],[Start Date]],AR$29&lt;ProposalToGnatt[[#This Row],[Start Date]]+ProposalToGnatt[[#This Row],[Days]]),$G$5,"")),"")</f>
        <v/>
      </c>
      <c r="AS57" s="37" t="str">
        <f ca="1">IFERROR(+IF(AS$29=ProposalToGnatt[[#This Row],[Start Date]],Milestone_Marker,IF(AND(AS$29&gt;ProposalToGnatt[[#This Row],[Start Date]],AS$29&lt;ProposalToGnatt[[#This Row],[Start Date]]+ProposalToGnatt[[#This Row],[Days]]),$G$5,"")),"")</f>
        <v/>
      </c>
      <c r="AT57" s="37" t="str">
        <f ca="1">IFERROR(+IF(AT$29=ProposalToGnatt[[#This Row],[Start Date]],Milestone_Marker,IF(AND(AT$29&gt;ProposalToGnatt[[#This Row],[Start Date]],AT$29&lt;ProposalToGnatt[[#This Row],[Start Date]]+ProposalToGnatt[[#This Row],[Days]]),$G$5,"")),"")</f>
        <v/>
      </c>
      <c r="AU57" s="37" t="str">
        <f ca="1">IFERROR(+IF(AU$29=ProposalToGnatt[[#This Row],[Start Date]],Milestone_Marker,IF(AND(AU$29&gt;ProposalToGnatt[[#This Row],[Start Date]],AU$29&lt;ProposalToGnatt[[#This Row],[Start Date]]+ProposalToGnatt[[#This Row],[Days]]),$G$5,"")),"")</f>
        <v/>
      </c>
      <c r="AV57" s="37" t="str">
        <f ca="1">IFERROR(+IF(AV$29=ProposalToGnatt[[#This Row],[Start Date]],Milestone_Marker,IF(AND(AV$29&gt;ProposalToGnatt[[#This Row],[Start Date]],AV$29&lt;ProposalToGnatt[[#This Row],[Start Date]]+ProposalToGnatt[[#This Row],[Days]]),$G$5,"")),"")</f>
        <v/>
      </c>
      <c r="AW57" s="37" t="str">
        <f ca="1">IFERROR(+IF(AW$29=ProposalToGnatt[[#This Row],[Start Date]],Milestone_Marker,IF(AND(AW$29&gt;ProposalToGnatt[[#This Row],[Start Date]],AW$29&lt;ProposalToGnatt[[#This Row],[Start Date]]+ProposalToGnatt[[#This Row],[Days]]),$G$5,"")),"")</f>
        <v/>
      </c>
      <c r="AX57" s="37" t="str">
        <f ca="1">IFERROR(+IF(AX$29=ProposalToGnatt[[#This Row],[Start Date]],Milestone_Marker,IF(AND(AX$29&gt;ProposalToGnatt[[#This Row],[Start Date]],AX$29&lt;ProposalToGnatt[[#This Row],[Start Date]]+ProposalToGnatt[[#This Row],[Days]]),$G$5,"")),"")</f>
        <v/>
      </c>
      <c r="AY57" s="37" t="str">
        <f ca="1">IFERROR(+IF(AY$29=ProposalToGnatt[[#This Row],[Start Date]],Milestone_Marker,IF(AND(AY$29&gt;ProposalToGnatt[[#This Row],[Start Date]],AY$29&lt;ProposalToGnatt[[#This Row],[Start Date]]+ProposalToGnatt[[#This Row],[Days]]),$G$5,"")),"")</f>
        <v/>
      </c>
      <c r="AZ57" s="37" t="str">
        <f ca="1">IFERROR(+IF(AZ$29=ProposalToGnatt[[#This Row],[Start Date]],Milestone_Marker,IF(AND(AZ$29&gt;ProposalToGnatt[[#This Row],[Start Date]],AZ$29&lt;ProposalToGnatt[[#This Row],[Start Date]]+ProposalToGnatt[[#This Row],[Days]]),$G$5,"")),"")</f>
        <v/>
      </c>
      <c r="BA57" s="37" t="str">
        <f ca="1">IFERROR(+IF(BA$29=ProposalToGnatt[[#This Row],[Start Date]],Milestone_Marker,IF(AND(BA$29&gt;ProposalToGnatt[[#This Row],[Start Date]],BA$29&lt;ProposalToGnatt[[#This Row],[Start Date]]+ProposalToGnatt[[#This Row],[Days]]),$G$5,"")),"")</f>
        <v/>
      </c>
      <c r="BB57" s="37" t="str">
        <f ca="1">IFERROR(+IF(BB$29=ProposalToGnatt[[#This Row],[Start Date]],Milestone_Marker,IF(AND(BB$29&gt;ProposalToGnatt[[#This Row],[Start Date]],BB$29&lt;ProposalToGnatt[[#This Row],[Start Date]]+ProposalToGnatt[[#This Row],[Days]]),$G$5,"")),"")</f>
        <v/>
      </c>
      <c r="BC57" s="37" t="str">
        <f ca="1">IFERROR(+IF(BC$29=ProposalToGnatt[[#This Row],[Start Date]],Milestone_Marker,IF(AND(BC$29&gt;ProposalToGnatt[[#This Row],[Start Date]],BC$29&lt;ProposalToGnatt[[#This Row],[Start Date]]+ProposalToGnatt[[#This Row],[Days]]),$G$5,"")),"")</f>
        <v/>
      </c>
      <c r="BD57" s="37" t="str">
        <f ca="1">IFERROR(+IF(BD$29=ProposalToGnatt[[#This Row],[Start Date]],Milestone_Marker,IF(AND(BD$29&gt;ProposalToGnatt[[#This Row],[Start Date]],BD$29&lt;ProposalToGnatt[[#This Row],[Start Date]]+ProposalToGnatt[[#This Row],[Days]]),$G$5,"")),"")</f>
        <v/>
      </c>
      <c r="BE57" s="37" t="str">
        <f ca="1">IFERROR(+IF(BE$29=ProposalToGnatt[[#This Row],[Start Date]],Milestone_Marker,IF(AND(BE$29&gt;ProposalToGnatt[[#This Row],[Start Date]],BE$29&lt;ProposalToGnatt[[#This Row],[Start Date]]+ProposalToGnatt[[#This Row],[Days]]),$G$5,"")),"")</f>
        <v/>
      </c>
      <c r="BF57" s="37" t="str">
        <f ca="1">IFERROR(+IF(BF$29=ProposalToGnatt[[#This Row],[Start Date]],Milestone_Marker,IF(AND(BF$29&gt;ProposalToGnatt[[#This Row],[Start Date]],BF$29&lt;ProposalToGnatt[[#This Row],[Start Date]]+ProposalToGnatt[[#This Row],[Days]]),$G$5,"")),"")</f>
        <v/>
      </c>
      <c r="BG57" s="37" t="str">
        <f ca="1">IFERROR(+IF(BG$29=ProposalToGnatt[[#This Row],[Start Date]],Milestone_Marker,IF(AND(BG$29&gt;ProposalToGnatt[[#This Row],[Start Date]],BG$29&lt;ProposalToGnatt[[#This Row],[Start Date]]+ProposalToGnatt[[#This Row],[Days]]),$G$5,"")),"")</f>
        <v/>
      </c>
      <c r="BH57" s="37" t="str">
        <f ca="1">IFERROR(+IF(BH$29=ProposalToGnatt[[#This Row],[Start Date]],Milestone_Marker,IF(AND(BH$29&gt;ProposalToGnatt[[#This Row],[Start Date]],BH$29&lt;ProposalToGnatt[[#This Row],[Start Date]]+ProposalToGnatt[[#This Row],[Days]]),$G$5,"")),"")</f>
        <v/>
      </c>
      <c r="BI57" s="37" t="str">
        <f ca="1">IFERROR(+IF(BI$29=ProposalToGnatt[[#This Row],[Start Date]],Milestone_Marker,IF(AND(BI$29&gt;ProposalToGnatt[[#This Row],[Start Date]],BI$29&lt;ProposalToGnatt[[#This Row],[Start Date]]+ProposalToGnatt[[#This Row],[Days]]),$G$5,"")),"")</f>
        <v/>
      </c>
      <c r="BJ57" s="37" t="str">
        <f ca="1">IFERROR(+IF(BJ$29=ProposalToGnatt[[#This Row],[Start Date]],Milestone_Marker,IF(AND(BJ$29&gt;ProposalToGnatt[[#This Row],[Start Date]],BJ$29&lt;ProposalToGnatt[[#This Row],[Start Date]]+ProposalToGnatt[[#This Row],[Days]]),$G$5,"")),"")</f>
        <v/>
      </c>
      <c r="BK57" s="37" t="str">
        <f ca="1">IFERROR(+IF(BK$29=ProposalToGnatt[[#This Row],[Start Date]],Milestone_Marker,IF(AND(BK$29&gt;ProposalToGnatt[[#This Row],[Start Date]],BK$29&lt;ProposalToGnatt[[#This Row],[Start Date]]+ProposalToGnatt[[#This Row],[Days]]),$G$5,"")),"")</f>
        <v/>
      </c>
      <c r="BL57" s="37" t="str">
        <f ca="1">IFERROR(+IF(BL$29=ProposalToGnatt[[#This Row],[Start Date]],Milestone_Marker,IF(AND(BL$29&gt;ProposalToGnatt[[#This Row],[Start Date]],BL$29&lt;ProposalToGnatt[[#This Row],[Start Date]]+ProposalToGnatt[[#This Row],[Days]]),$G$5,"")),"")</f>
        <v/>
      </c>
      <c r="BM57" s="37" t="str">
        <f ca="1">IFERROR(+IF(BM$29=ProposalToGnatt[[#This Row],[Start Date]],Milestone_Marker,IF(AND(BM$29&gt;ProposalToGnatt[[#This Row],[Start Date]],BM$29&lt;ProposalToGnatt[[#This Row],[Start Date]]+ProposalToGnatt[[#This Row],[Days]]),$G$5,"")),"")</f>
        <v/>
      </c>
      <c r="BN57" s="37" t="str">
        <f ca="1">IFERROR(+IF(BN$29=ProposalToGnatt[[#This Row],[Start Date]],Milestone_Marker,IF(AND(BN$29&gt;ProposalToGnatt[[#This Row],[Start Date]],BN$29&lt;ProposalToGnatt[[#This Row],[Start Date]]+ProposalToGnatt[[#This Row],[Days]]),$G$5,"")),"")</f>
        <v/>
      </c>
      <c r="BO57" s="37" t="str">
        <f ca="1">IFERROR(+IF(BO$29=ProposalToGnatt[[#This Row],[Start Date]],Milestone_Marker,IF(AND(BO$29&gt;ProposalToGnatt[[#This Row],[Start Date]],BO$29&lt;ProposalToGnatt[[#This Row],[Start Date]]+ProposalToGnatt[[#This Row],[Days]]),$G$5,"")),"")</f>
        <v/>
      </c>
      <c r="BP57" s="37" t="str">
        <f ca="1">IFERROR(+IF(BP$29=ProposalToGnatt[[#This Row],[Start Date]],Milestone_Marker,IF(AND(BP$29&gt;ProposalToGnatt[[#This Row],[Start Date]],BP$29&lt;ProposalToGnatt[[#This Row],[Start Date]]+ProposalToGnatt[[#This Row],[Days]]),$G$5,"")),"")</f>
        <v/>
      </c>
      <c r="BQ57" s="37" t="str">
        <f ca="1">IFERROR(+IF(BQ$29=ProposalToGnatt[[#This Row],[Start Date]],Milestone_Marker,IF(AND(BQ$29&gt;ProposalToGnatt[[#This Row],[Start Date]],BQ$29&lt;ProposalToGnatt[[#This Row],[Start Date]]+ProposalToGnatt[[#This Row],[Days]]),$G$5,"")),"")</f>
        <v/>
      </c>
      <c r="BR57" s="37" t="str">
        <f ca="1">IFERROR(+IF(BR$29=ProposalToGnatt[[#This Row],[Start Date]],Milestone_Marker,IF(AND(BR$29&gt;ProposalToGnatt[[#This Row],[Start Date]],BR$29&lt;ProposalToGnatt[[#This Row],[Start Date]]+ProposalToGnatt[[#This Row],[Days]]),$G$5,"")),"")</f>
        <v/>
      </c>
      <c r="BS57" s="37" t="str">
        <f ca="1">IFERROR(+IF(BS$29=ProposalToGnatt[[#This Row],[Start Date]],Milestone_Marker,IF(AND(BS$29&gt;ProposalToGnatt[[#This Row],[Start Date]],BS$29&lt;ProposalToGnatt[[#This Row],[Start Date]]+ProposalToGnatt[[#This Row],[Days]]),$G$5,"")),"")</f>
        <v/>
      </c>
      <c r="BT57" s="37" t="str">
        <f ca="1">IFERROR(+IF(BT$29=ProposalToGnatt[[#This Row],[Start Date]],Milestone_Marker,IF(AND(BT$29&gt;ProposalToGnatt[[#This Row],[Start Date]],BT$29&lt;ProposalToGnatt[[#This Row],[Start Date]]+ProposalToGnatt[[#This Row],[Days]]),$G$5,"")),"")</f>
        <v/>
      </c>
      <c r="BU57" s="37" t="str">
        <f ca="1">IFERROR(+IF(BU$29=ProposalToGnatt[[#This Row],[Start Date]],Milestone_Marker,IF(AND(BU$29&gt;ProposalToGnatt[[#This Row],[Start Date]],BU$29&lt;ProposalToGnatt[[#This Row],[Start Date]]+ProposalToGnatt[[#This Row],[Days]]),$G$5,"")),"")</f>
        <v/>
      </c>
      <c r="BV57" s="37" t="str">
        <f ca="1">IFERROR(+IF(BV$29=ProposalToGnatt[[#This Row],[Start Date]],Milestone_Marker,IF(AND(BV$29&gt;ProposalToGnatt[[#This Row],[Start Date]],BV$29&lt;ProposalToGnatt[[#This Row],[Start Date]]+ProposalToGnatt[[#This Row],[Days]]),$G$5,"")),"")</f>
        <v/>
      </c>
      <c r="BW57" s="37" t="str">
        <f ca="1">IFERROR(+IF(BW$29=ProposalToGnatt[[#This Row],[Start Date]],Milestone_Marker,IF(AND(BW$29&gt;ProposalToGnatt[[#This Row],[Start Date]],BW$29&lt;ProposalToGnatt[[#This Row],[Start Date]]+ProposalToGnatt[[#This Row],[Days]]),$G$5,"")),"")</f>
        <v/>
      </c>
      <c r="BX57" s="37" t="str">
        <f ca="1">IFERROR(+IF(BX$29=ProposalToGnatt[[#This Row],[Start Date]],Milestone_Marker,IF(AND(BX$29&gt;ProposalToGnatt[[#This Row],[Start Date]],BX$29&lt;ProposalToGnatt[[#This Row],[Start Date]]+ProposalToGnatt[[#This Row],[Days]]),$G$5,"")),"")</f>
        <v/>
      </c>
      <c r="BY57" s="37" t="str">
        <f ca="1">IFERROR(+IF(BY$29=ProposalToGnatt[[#This Row],[Start Date]],Milestone_Marker,IF(AND(BY$29&gt;ProposalToGnatt[[#This Row],[Start Date]],BY$29&lt;ProposalToGnatt[[#This Row],[Start Date]]+ProposalToGnatt[[#This Row],[Days]]),$G$5,"")),"")</f>
        <v/>
      </c>
      <c r="BZ57" s="37" t="str">
        <f ca="1">IFERROR(+IF(BZ$29=ProposalToGnatt[[#This Row],[Start Date]],Milestone_Marker,IF(AND(BZ$29&gt;ProposalToGnatt[[#This Row],[Start Date]],BZ$29&lt;ProposalToGnatt[[#This Row],[Start Date]]+ProposalToGnatt[[#This Row],[Days]]),$G$5,"")),"")</f>
        <v/>
      </c>
      <c r="CA57" s="37" t="str">
        <f ca="1">IFERROR(+IF(CA$29=ProposalToGnatt[[#This Row],[Start Date]],Milestone_Marker,IF(AND(CA$29&gt;ProposalToGnatt[[#This Row],[Start Date]],CA$29&lt;ProposalToGnatt[[#This Row],[Start Date]]+ProposalToGnatt[[#This Row],[Days]]),$G$5,"")),"")</f>
        <v/>
      </c>
      <c r="CB57" s="37" t="str">
        <f ca="1">IFERROR(+IF(CB$29=ProposalToGnatt[[#This Row],[Start Date]],Milestone_Marker,IF(AND(CB$29&gt;ProposalToGnatt[[#This Row],[Start Date]],CB$29&lt;ProposalToGnatt[[#This Row],[Start Date]]+ProposalToGnatt[[#This Row],[Days]]),$G$5,"")),"")</f>
        <v/>
      </c>
      <c r="CC57" s="37" t="str">
        <f ca="1">IFERROR(+IF(CC$29=ProposalToGnatt[[#This Row],[Start Date]],Milestone_Marker,IF(AND(CC$29&gt;ProposalToGnatt[[#This Row],[Start Date]],CC$29&lt;ProposalToGnatt[[#This Row],[Start Date]]+ProposalToGnatt[[#This Row],[Days]]),$G$5,"")),"")</f>
        <v/>
      </c>
      <c r="CD57" s="37" t="str">
        <f ca="1">IFERROR(+IF(CD$29=ProposalToGnatt[[#This Row],[Start Date]],Milestone_Marker,IF(AND(CD$29&gt;ProposalToGnatt[[#This Row],[Start Date]],CD$29&lt;ProposalToGnatt[[#This Row],[Start Date]]+ProposalToGnatt[[#This Row],[Days]]),$G$5,"")),"")</f>
        <v/>
      </c>
      <c r="CE57" s="37" t="str">
        <f ca="1">IFERROR(+IF(CE$29=ProposalToGnatt[[#This Row],[Start Date]],Milestone_Marker,IF(AND(CE$29&gt;ProposalToGnatt[[#This Row],[Start Date]],CE$29&lt;ProposalToGnatt[[#This Row],[Start Date]]+ProposalToGnatt[[#This Row],[Days]]),$G$5,"")),"")</f>
        <v/>
      </c>
      <c r="CF57" s="37" t="str">
        <f ca="1">IFERROR(+IF(CF$29=ProposalToGnatt[[#This Row],[Start Date]],Milestone_Marker,IF(AND(CF$29&gt;ProposalToGnatt[[#This Row],[Start Date]],CF$29&lt;ProposalToGnatt[[#This Row],[Start Date]]+ProposalToGnatt[[#This Row],[Days]]),$G$5,"")),"")</f>
        <v/>
      </c>
      <c r="CG57" s="37" t="str">
        <f ca="1">IFERROR(+IF(CG$29=ProposalToGnatt[[#This Row],[Start Date]],Milestone_Marker,IF(AND(CG$29&gt;ProposalToGnatt[[#This Row],[Start Date]],CG$29&lt;ProposalToGnatt[[#This Row],[Start Date]]+ProposalToGnatt[[#This Row],[Days]]),$G$5,"")),"")</f>
        <v/>
      </c>
      <c r="CH57" s="37" t="str">
        <f ca="1">IFERROR(+IF(CH$29=ProposalToGnatt[[#This Row],[Start Date]],Milestone_Marker,IF(AND(CH$29&gt;ProposalToGnatt[[#This Row],[Start Date]],CH$29&lt;ProposalToGnatt[[#This Row],[Start Date]]+ProposalToGnatt[[#This Row],[Days]]),$G$5,"")),"")</f>
        <v/>
      </c>
      <c r="CI57" s="37" t="str">
        <f ca="1">IFERROR(+IF(CI$29=ProposalToGnatt[[#This Row],[Start Date]],Milestone_Marker,IF(AND(CI$29&gt;ProposalToGnatt[[#This Row],[Start Date]],CI$29&lt;ProposalToGnatt[[#This Row],[Start Date]]+ProposalToGnatt[[#This Row],[Days]]),$G$5,"")),"")</f>
        <v/>
      </c>
      <c r="CJ57" s="37" t="str">
        <f ca="1">IFERROR(+IF(CJ$29=ProposalToGnatt[[#This Row],[Start Date]],Milestone_Marker,IF(AND(CJ$29&gt;ProposalToGnatt[[#This Row],[Start Date]],CJ$29&lt;ProposalToGnatt[[#This Row],[Start Date]]+ProposalToGnatt[[#This Row],[Days]]),$G$5,"")),"")</f>
        <v/>
      </c>
      <c r="CK57" s="37" t="str">
        <f ca="1">IFERROR(+IF(CK$29=ProposalToGnatt[[#This Row],[Start Date]],Milestone_Marker,IF(AND(CK$29&gt;ProposalToGnatt[[#This Row],[Start Date]],CK$29&lt;ProposalToGnatt[[#This Row],[Start Date]]+ProposalToGnatt[[#This Row],[Days]]),$G$5,"")),"")</f>
        <v/>
      </c>
      <c r="CL57" s="37" t="str">
        <f ca="1">IFERROR(+IF(CL$29=ProposalToGnatt[[#This Row],[Start Date]],Milestone_Marker,IF(AND(CL$29&gt;ProposalToGnatt[[#This Row],[Start Date]],CL$29&lt;ProposalToGnatt[[#This Row],[Start Date]]+ProposalToGnatt[[#This Row],[Days]]),$G$5,"")),"")</f>
        <v/>
      </c>
      <c r="CM57" s="37" t="str">
        <f ca="1">IFERROR(+IF(CM$29=ProposalToGnatt[[#This Row],[Start Date]],Milestone_Marker,IF(AND(CM$29&gt;ProposalToGnatt[[#This Row],[Start Date]],CM$29&lt;ProposalToGnatt[[#This Row],[Start Date]]+ProposalToGnatt[[#This Row],[Days]]),$G$5,"")),"")</f>
        <v/>
      </c>
      <c r="CN57" s="37" t="str">
        <f ca="1">IFERROR(+IF(CN$29=ProposalToGnatt[[#This Row],[Start Date]],Milestone_Marker,IF(AND(CN$29&gt;ProposalToGnatt[[#This Row],[Start Date]],CN$29&lt;ProposalToGnatt[[#This Row],[Start Date]]+ProposalToGnatt[[#This Row],[Days]]),$G$5,"")),"")</f>
        <v/>
      </c>
      <c r="CO57" s="37" t="str">
        <f ca="1">IFERROR(+IF(CO$29=ProposalToGnatt[[#This Row],[Start Date]],Milestone_Marker,IF(AND(CO$29&gt;ProposalToGnatt[[#This Row],[Start Date]],CO$29&lt;ProposalToGnatt[[#This Row],[Start Date]]+ProposalToGnatt[[#This Row],[Days]]),$G$5,"")),"")</f>
        <v/>
      </c>
      <c r="CP57" s="37" t="str">
        <f ca="1">IFERROR(+IF(CP$29=ProposalToGnatt[[#This Row],[Start Date]],Milestone_Marker,IF(AND(CP$29&gt;ProposalToGnatt[[#This Row],[Start Date]],CP$29&lt;ProposalToGnatt[[#This Row],[Start Date]]+ProposalToGnatt[[#This Row],[Days]]),$G$5,"")),"")</f>
        <v/>
      </c>
      <c r="CQ57" s="37" t="str">
        <f ca="1">IFERROR(+IF(CQ$29=ProposalToGnatt[[#This Row],[Start Date]],Milestone_Marker,IF(AND(CQ$29&gt;ProposalToGnatt[[#This Row],[Start Date]],CQ$29&lt;ProposalToGnatt[[#This Row],[Start Date]]+ProposalToGnatt[[#This Row],[Days]]),$G$5,"")),"")</f>
        <v/>
      </c>
      <c r="CR57" s="37" t="str">
        <f ca="1">IFERROR(+IF(CR$29=ProposalToGnatt[[#This Row],[Start Date]],Milestone_Marker,IF(AND(CR$29&gt;ProposalToGnatt[[#This Row],[Start Date]],CR$29&lt;ProposalToGnatt[[#This Row],[Start Date]]+ProposalToGnatt[[#This Row],[Days]]),$G$5,"")),"")</f>
        <v/>
      </c>
      <c r="CS57" s="37" t="str">
        <f ca="1">IFERROR(+IF(CS$29=ProposalToGnatt[[#This Row],[Start Date]],Milestone_Marker,IF(AND(CS$29&gt;ProposalToGnatt[[#This Row],[Start Date]],CS$29&lt;ProposalToGnatt[[#This Row],[Start Date]]+ProposalToGnatt[[#This Row],[Days]]),$G$5,"")),"")</f>
        <v/>
      </c>
      <c r="CT57" s="37" t="str">
        <f ca="1">IFERROR(+IF(CT$29=ProposalToGnatt[[#This Row],[Start Date]],Milestone_Marker,IF(AND(CT$29&gt;ProposalToGnatt[[#This Row],[Start Date]],CT$29&lt;ProposalToGnatt[[#This Row],[Start Date]]+ProposalToGnatt[[#This Row],[Days]]),$G$5,"")),"")</f>
        <v/>
      </c>
      <c r="CU57" s="37" t="str">
        <f ca="1">IFERROR(+IF(CU$29=ProposalToGnatt[[#This Row],[Start Date]],Milestone_Marker,IF(AND(CU$29&gt;ProposalToGnatt[[#This Row],[Start Date]],CU$29&lt;ProposalToGnatt[[#This Row],[Start Date]]+ProposalToGnatt[[#This Row],[Days]]),$G$5,"")),"")</f>
        <v/>
      </c>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row>
    <row r="58" spans="1:125" s="42" customFormat="1" ht="15">
      <c r="A58"/>
      <c r="B58"/>
      <c r="C58"/>
      <c r="D58"/>
      <c r="E58"/>
      <c r="F58"/>
      <c r="G58" s="11"/>
      <c r="H58" s="26"/>
      <c r="I58"/>
      <c r="J58"/>
      <c r="K58" s="363"/>
      <c r="L58"/>
      <c r="M58"/>
      <c r="N58"/>
      <c r="O58" s="26"/>
      <c r="P58" s="37" t="str">
        <f ca="1">IFERROR(+IF(P$29=ProposalToGnatt[[#This Row],[Start Date]],Milestone_Marker,IF(AND(P$29&gt;ProposalToGnatt[[#This Row],[Start Date]],P$29&lt;ProposalToGnatt[[#This Row],[Start Date]]+ProposalToGnatt[[#This Row],[Days]]),$G$5,"")),"")</f>
        <v/>
      </c>
      <c r="Q58" s="37" t="str">
        <f ca="1">IFERROR(+IF(Q$29=ProposalToGnatt[[#This Row],[Start Date]],Milestone_Marker,IF(AND(Q$29&gt;ProposalToGnatt[[#This Row],[Start Date]],Q$29&lt;ProposalToGnatt[[#This Row],[Start Date]]+ProposalToGnatt[[#This Row],[Days]]),$G$5,"")),"")</f>
        <v/>
      </c>
      <c r="R58" s="37" t="str">
        <f ca="1">IFERROR(+IF(R$29=ProposalToGnatt[[#This Row],[Start Date]],Milestone_Marker,IF(AND(R$29&gt;ProposalToGnatt[[#This Row],[Start Date]],R$29&lt;ProposalToGnatt[[#This Row],[Start Date]]+ProposalToGnatt[[#This Row],[Days]]),$G$5,"")),"")</f>
        <v/>
      </c>
      <c r="S58" s="37" t="str">
        <f ca="1">IFERROR(+IF(S$29=ProposalToGnatt[[#This Row],[Start Date]],Milestone_Marker,IF(AND(S$29&gt;ProposalToGnatt[[#This Row],[Start Date]],S$29&lt;ProposalToGnatt[[#This Row],[Start Date]]+ProposalToGnatt[[#This Row],[Days]]),$G$5,"")),"")</f>
        <v/>
      </c>
      <c r="T58" s="37" t="str">
        <f ca="1">IFERROR(+IF(T$29=ProposalToGnatt[[#This Row],[Start Date]],Milestone_Marker,IF(AND(T$29&gt;ProposalToGnatt[[#This Row],[Start Date]],T$29&lt;ProposalToGnatt[[#This Row],[Start Date]]+ProposalToGnatt[[#This Row],[Days]]),$G$5,"")),"")</f>
        <v/>
      </c>
      <c r="U58" s="37" t="str">
        <f ca="1">IFERROR(+IF(U$29=ProposalToGnatt[[#This Row],[Start Date]],Milestone_Marker,IF(AND(U$29&gt;ProposalToGnatt[[#This Row],[Start Date]],U$29&lt;ProposalToGnatt[[#This Row],[Start Date]]+ProposalToGnatt[[#This Row],[Days]]),$G$5,"")),"")</f>
        <v/>
      </c>
      <c r="V58" s="37" t="str">
        <f ca="1">IFERROR(+IF(V$29=ProposalToGnatt[[#This Row],[Start Date]],Milestone_Marker,IF(AND(V$29&gt;ProposalToGnatt[[#This Row],[Start Date]],V$29&lt;ProposalToGnatt[[#This Row],[Start Date]]+ProposalToGnatt[[#This Row],[Days]]),$G$5,"")),"")</f>
        <v/>
      </c>
      <c r="W58" s="37" t="str">
        <f ca="1">IFERROR(+IF(W$29=ProposalToGnatt[[#This Row],[Start Date]],Milestone_Marker,IF(AND(W$29&gt;ProposalToGnatt[[#This Row],[Start Date]],W$29&lt;ProposalToGnatt[[#This Row],[Start Date]]+ProposalToGnatt[[#This Row],[Days]]),$G$5,"")),"")</f>
        <v/>
      </c>
      <c r="X58" s="37" t="str">
        <f ca="1">IFERROR(+IF(X$29=ProposalToGnatt[[#This Row],[Start Date]],Milestone_Marker,IF(AND(X$29&gt;ProposalToGnatt[[#This Row],[Start Date]],X$29&lt;ProposalToGnatt[[#This Row],[Start Date]]+ProposalToGnatt[[#This Row],[Days]]),$G$5,"")),"")</f>
        <v/>
      </c>
      <c r="Y58" s="37" t="str">
        <f ca="1">IFERROR(+IF(Y$29=ProposalToGnatt[[#This Row],[Start Date]],Milestone_Marker,IF(AND(Y$29&gt;ProposalToGnatt[[#This Row],[Start Date]],Y$29&lt;ProposalToGnatt[[#This Row],[Start Date]]+ProposalToGnatt[[#This Row],[Days]]),$G$5,"")),"")</f>
        <v/>
      </c>
      <c r="Z58" s="37" t="str">
        <f ca="1">IFERROR(+IF(Z$29=ProposalToGnatt[[#This Row],[Start Date]],Milestone_Marker,IF(AND(Z$29&gt;ProposalToGnatt[[#This Row],[Start Date]],Z$29&lt;ProposalToGnatt[[#This Row],[Start Date]]+ProposalToGnatt[[#This Row],[Days]]),$G$5,"")),"")</f>
        <v/>
      </c>
      <c r="AA58" s="37" t="str">
        <f ca="1">IFERROR(+IF(AA$29=ProposalToGnatt[[#This Row],[Start Date]],Milestone_Marker,IF(AND(AA$29&gt;ProposalToGnatt[[#This Row],[Start Date]],AA$29&lt;ProposalToGnatt[[#This Row],[Start Date]]+ProposalToGnatt[[#This Row],[Days]]),$G$5,"")),"")</f>
        <v/>
      </c>
      <c r="AB58" s="37" t="str">
        <f ca="1">IFERROR(+IF(AB$29=ProposalToGnatt[[#This Row],[Start Date]],Milestone_Marker,IF(AND(AB$29&gt;ProposalToGnatt[[#This Row],[Start Date]],AB$29&lt;ProposalToGnatt[[#This Row],[Start Date]]+ProposalToGnatt[[#This Row],[Days]]),$G$5,"")),"")</f>
        <v/>
      </c>
      <c r="AC58" s="37" t="str">
        <f ca="1">IFERROR(+IF(AC$29=ProposalToGnatt[[#This Row],[Start Date]],Milestone_Marker,IF(AND(AC$29&gt;ProposalToGnatt[[#This Row],[Start Date]],AC$29&lt;ProposalToGnatt[[#This Row],[Start Date]]+ProposalToGnatt[[#This Row],[Days]]),$G$5,"")),"")</f>
        <v/>
      </c>
      <c r="AD58" s="37" t="str">
        <f ca="1">IFERROR(+IF(AD$29=ProposalToGnatt[[#This Row],[Start Date]],Milestone_Marker,IF(AND(AD$29&gt;ProposalToGnatt[[#This Row],[Start Date]],AD$29&lt;ProposalToGnatt[[#This Row],[Start Date]]+ProposalToGnatt[[#This Row],[Days]]),$G$5,"")),"")</f>
        <v/>
      </c>
      <c r="AE58" s="37" t="str">
        <f ca="1">IFERROR(+IF(AE$29=ProposalToGnatt[[#This Row],[Start Date]],Milestone_Marker,IF(AND(AE$29&gt;ProposalToGnatt[[#This Row],[Start Date]],AE$29&lt;ProposalToGnatt[[#This Row],[Start Date]]+ProposalToGnatt[[#This Row],[Days]]),$G$5,"")),"")</f>
        <v/>
      </c>
      <c r="AF58" s="37" t="str">
        <f ca="1">IFERROR(+IF(AF$29=ProposalToGnatt[[#This Row],[Start Date]],Milestone_Marker,IF(AND(AF$29&gt;ProposalToGnatt[[#This Row],[Start Date]],AF$29&lt;ProposalToGnatt[[#This Row],[Start Date]]+ProposalToGnatt[[#This Row],[Days]]),$G$5,"")),"")</f>
        <v/>
      </c>
      <c r="AG58" s="37" t="str">
        <f ca="1">IFERROR(+IF(AG$29=ProposalToGnatt[[#This Row],[Start Date]],Milestone_Marker,IF(AND(AG$29&gt;ProposalToGnatt[[#This Row],[Start Date]],AG$29&lt;ProposalToGnatt[[#This Row],[Start Date]]+ProposalToGnatt[[#This Row],[Days]]),$G$5,"")),"")</f>
        <v/>
      </c>
      <c r="AH58" s="37" t="str">
        <f ca="1">IFERROR(+IF(AH$29=ProposalToGnatt[[#This Row],[Start Date]],Milestone_Marker,IF(AND(AH$29&gt;ProposalToGnatt[[#This Row],[Start Date]],AH$29&lt;ProposalToGnatt[[#This Row],[Start Date]]+ProposalToGnatt[[#This Row],[Days]]),$G$5,"")),"")</f>
        <v/>
      </c>
      <c r="AI58" s="37" t="str">
        <f ca="1">IFERROR(+IF(AI$29=ProposalToGnatt[[#This Row],[Start Date]],Milestone_Marker,IF(AND(AI$29&gt;ProposalToGnatt[[#This Row],[Start Date]],AI$29&lt;ProposalToGnatt[[#This Row],[Start Date]]+ProposalToGnatt[[#This Row],[Days]]),$G$5,"")),"")</f>
        <v/>
      </c>
      <c r="AJ58" s="37" t="str">
        <f ca="1">IFERROR(+IF(AJ$29=ProposalToGnatt[[#This Row],[Start Date]],Milestone_Marker,IF(AND(AJ$29&gt;ProposalToGnatt[[#This Row],[Start Date]],AJ$29&lt;ProposalToGnatt[[#This Row],[Start Date]]+ProposalToGnatt[[#This Row],[Days]]),$G$5,"")),"")</f>
        <v/>
      </c>
      <c r="AK58" s="37" t="str">
        <f ca="1">IFERROR(+IF(AK$29=ProposalToGnatt[[#This Row],[Start Date]],Milestone_Marker,IF(AND(AK$29&gt;ProposalToGnatt[[#This Row],[Start Date]],AK$29&lt;ProposalToGnatt[[#This Row],[Start Date]]+ProposalToGnatt[[#This Row],[Days]]),$G$5,"")),"")</f>
        <v/>
      </c>
      <c r="AL58" s="37" t="str">
        <f ca="1">IFERROR(+IF(AL$29=ProposalToGnatt[[#This Row],[Start Date]],Milestone_Marker,IF(AND(AL$29&gt;ProposalToGnatt[[#This Row],[Start Date]],AL$29&lt;ProposalToGnatt[[#This Row],[Start Date]]+ProposalToGnatt[[#This Row],[Days]]),$G$5,"")),"")</f>
        <v/>
      </c>
      <c r="AM58" s="37" t="str">
        <f ca="1">IFERROR(+IF(AM$29=ProposalToGnatt[[#This Row],[Start Date]],Milestone_Marker,IF(AND(AM$29&gt;ProposalToGnatt[[#This Row],[Start Date]],AM$29&lt;ProposalToGnatt[[#This Row],[Start Date]]+ProposalToGnatt[[#This Row],[Days]]),$G$5,"")),"")</f>
        <v/>
      </c>
      <c r="AN58" s="37" t="str">
        <f ca="1">IFERROR(+IF(AN$29=ProposalToGnatt[[#This Row],[Start Date]],Milestone_Marker,IF(AND(AN$29&gt;ProposalToGnatt[[#This Row],[Start Date]],AN$29&lt;ProposalToGnatt[[#This Row],[Start Date]]+ProposalToGnatt[[#This Row],[Days]]),$G$5,"")),"")</f>
        <v/>
      </c>
      <c r="AO58" s="37" t="str">
        <f ca="1">IFERROR(+IF(AO$29=ProposalToGnatt[[#This Row],[Start Date]],Milestone_Marker,IF(AND(AO$29&gt;ProposalToGnatt[[#This Row],[Start Date]],AO$29&lt;ProposalToGnatt[[#This Row],[Start Date]]+ProposalToGnatt[[#This Row],[Days]]),$G$5,"")),"")</f>
        <v/>
      </c>
      <c r="AP58" s="37" t="str">
        <f ca="1">IFERROR(+IF(AP$29=ProposalToGnatt[[#This Row],[Start Date]],Milestone_Marker,IF(AND(AP$29&gt;ProposalToGnatt[[#This Row],[Start Date]],AP$29&lt;ProposalToGnatt[[#This Row],[Start Date]]+ProposalToGnatt[[#This Row],[Days]]),$G$5,"")),"")</f>
        <v/>
      </c>
      <c r="AQ58" s="37" t="str">
        <f ca="1">IFERROR(+IF(AQ$29=ProposalToGnatt[[#This Row],[Start Date]],Milestone_Marker,IF(AND(AQ$29&gt;ProposalToGnatt[[#This Row],[Start Date]],AQ$29&lt;ProposalToGnatt[[#This Row],[Start Date]]+ProposalToGnatt[[#This Row],[Days]]),$G$5,"")),"")</f>
        <v/>
      </c>
      <c r="AR58" s="37" t="str">
        <f ca="1">IFERROR(+IF(AR$29=ProposalToGnatt[[#This Row],[Start Date]],Milestone_Marker,IF(AND(AR$29&gt;ProposalToGnatt[[#This Row],[Start Date]],AR$29&lt;ProposalToGnatt[[#This Row],[Start Date]]+ProposalToGnatt[[#This Row],[Days]]),$G$5,"")),"")</f>
        <v/>
      </c>
      <c r="AS58" s="37" t="str">
        <f ca="1">IFERROR(+IF(AS$29=ProposalToGnatt[[#This Row],[Start Date]],Milestone_Marker,IF(AND(AS$29&gt;ProposalToGnatt[[#This Row],[Start Date]],AS$29&lt;ProposalToGnatt[[#This Row],[Start Date]]+ProposalToGnatt[[#This Row],[Days]]),$G$5,"")),"")</f>
        <v/>
      </c>
      <c r="AT58" s="37" t="str">
        <f ca="1">IFERROR(+IF(AT$29=ProposalToGnatt[[#This Row],[Start Date]],Milestone_Marker,IF(AND(AT$29&gt;ProposalToGnatt[[#This Row],[Start Date]],AT$29&lt;ProposalToGnatt[[#This Row],[Start Date]]+ProposalToGnatt[[#This Row],[Days]]),$G$5,"")),"")</f>
        <v/>
      </c>
      <c r="AU58" s="37" t="str">
        <f ca="1">IFERROR(+IF(AU$29=ProposalToGnatt[[#This Row],[Start Date]],Milestone_Marker,IF(AND(AU$29&gt;ProposalToGnatt[[#This Row],[Start Date]],AU$29&lt;ProposalToGnatt[[#This Row],[Start Date]]+ProposalToGnatt[[#This Row],[Days]]),$G$5,"")),"")</f>
        <v/>
      </c>
      <c r="AV58" s="37" t="str">
        <f ca="1">IFERROR(+IF(AV$29=ProposalToGnatt[[#This Row],[Start Date]],Milestone_Marker,IF(AND(AV$29&gt;ProposalToGnatt[[#This Row],[Start Date]],AV$29&lt;ProposalToGnatt[[#This Row],[Start Date]]+ProposalToGnatt[[#This Row],[Days]]),$G$5,"")),"")</f>
        <v/>
      </c>
      <c r="AW58" s="37" t="str">
        <f ca="1">IFERROR(+IF(AW$29=ProposalToGnatt[[#This Row],[Start Date]],Milestone_Marker,IF(AND(AW$29&gt;ProposalToGnatt[[#This Row],[Start Date]],AW$29&lt;ProposalToGnatt[[#This Row],[Start Date]]+ProposalToGnatt[[#This Row],[Days]]),$G$5,"")),"")</f>
        <v/>
      </c>
      <c r="AX58" s="37" t="str">
        <f ca="1">IFERROR(+IF(AX$29=ProposalToGnatt[[#This Row],[Start Date]],Milestone_Marker,IF(AND(AX$29&gt;ProposalToGnatt[[#This Row],[Start Date]],AX$29&lt;ProposalToGnatt[[#This Row],[Start Date]]+ProposalToGnatt[[#This Row],[Days]]),$G$5,"")),"")</f>
        <v/>
      </c>
      <c r="AY58" s="37" t="str">
        <f ca="1">IFERROR(+IF(AY$29=ProposalToGnatt[[#This Row],[Start Date]],Milestone_Marker,IF(AND(AY$29&gt;ProposalToGnatt[[#This Row],[Start Date]],AY$29&lt;ProposalToGnatt[[#This Row],[Start Date]]+ProposalToGnatt[[#This Row],[Days]]),$G$5,"")),"")</f>
        <v/>
      </c>
      <c r="AZ58" s="37" t="str">
        <f ca="1">IFERROR(+IF(AZ$29=ProposalToGnatt[[#This Row],[Start Date]],Milestone_Marker,IF(AND(AZ$29&gt;ProposalToGnatt[[#This Row],[Start Date]],AZ$29&lt;ProposalToGnatt[[#This Row],[Start Date]]+ProposalToGnatt[[#This Row],[Days]]),$G$5,"")),"")</f>
        <v/>
      </c>
      <c r="BA58" s="37" t="str">
        <f ca="1">IFERROR(+IF(BA$29=ProposalToGnatt[[#This Row],[Start Date]],Milestone_Marker,IF(AND(BA$29&gt;ProposalToGnatt[[#This Row],[Start Date]],BA$29&lt;ProposalToGnatt[[#This Row],[Start Date]]+ProposalToGnatt[[#This Row],[Days]]),$G$5,"")),"")</f>
        <v/>
      </c>
      <c r="BB58" s="37" t="str">
        <f ca="1">IFERROR(+IF(BB$29=ProposalToGnatt[[#This Row],[Start Date]],Milestone_Marker,IF(AND(BB$29&gt;ProposalToGnatt[[#This Row],[Start Date]],BB$29&lt;ProposalToGnatt[[#This Row],[Start Date]]+ProposalToGnatt[[#This Row],[Days]]),$G$5,"")),"")</f>
        <v/>
      </c>
      <c r="BC58" s="37" t="str">
        <f ca="1">IFERROR(+IF(BC$29=ProposalToGnatt[[#This Row],[Start Date]],Milestone_Marker,IF(AND(BC$29&gt;ProposalToGnatt[[#This Row],[Start Date]],BC$29&lt;ProposalToGnatt[[#This Row],[Start Date]]+ProposalToGnatt[[#This Row],[Days]]),$G$5,"")),"")</f>
        <v/>
      </c>
      <c r="BD58" s="37" t="str">
        <f ca="1">IFERROR(+IF(BD$29=ProposalToGnatt[[#This Row],[Start Date]],Milestone_Marker,IF(AND(BD$29&gt;ProposalToGnatt[[#This Row],[Start Date]],BD$29&lt;ProposalToGnatt[[#This Row],[Start Date]]+ProposalToGnatt[[#This Row],[Days]]),$G$5,"")),"")</f>
        <v/>
      </c>
      <c r="BE58" s="37" t="str">
        <f ca="1">IFERROR(+IF(BE$29=ProposalToGnatt[[#This Row],[Start Date]],Milestone_Marker,IF(AND(BE$29&gt;ProposalToGnatt[[#This Row],[Start Date]],BE$29&lt;ProposalToGnatt[[#This Row],[Start Date]]+ProposalToGnatt[[#This Row],[Days]]),$G$5,"")),"")</f>
        <v/>
      </c>
      <c r="BF58" s="37" t="str">
        <f ca="1">IFERROR(+IF(BF$29=ProposalToGnatt[[#This Row],[Start Date]],Milestone_Marker,IF(AND(BF$29&gt;ProposalToGnatt[[#This Row],[Start Date]],BF$29&lt;ProposalToGnatt[[#This Row],[Start Date]]+ProposalToGnatt[[#This Row],[Days]]),$G$5,"")),"")</f>
        <v/>
      </c>
      <c r="BG58" s="37" t="str">
        <f ca="1">IFERROR(+IF(BG$29=ProposalToGnatt[[#This Row],[Start Date]],Milestone_Marker,IF(AND(BG$29&gt;ProposalToGnatt[[#This Row],[Start Date]],BG$29&lt;ProposalToGnatt[[#This Row],[Start Date]]+ProposalToGnatt[[#This Row],[Days]]),$G$5,"")),"")</f>
        <v/>
      </c>
      <c r="BH58" s="37" t="str">
        <f ca="1">IFERROR(+IF(BH$29=ProposalToGnatt[[#This Row],[Start Date]],Milestone_Marker,IF(AND(BH$29&gt;ProposalToGnatt[[#This Row],[Start Date]],BH$29&lt;ProposalToGnatt[[#This Row],[Start Date]]+ProposalToGnatt[[#This Row],[Days]]),$G$5,"")),"")</f>
        <v/>
      </c>
      <c r="BI58" s="37" t="str">
        <f ca="1">IFERROR(+IF(BI$29=ProposalToGnatt[[#This Row],[Start Date]],Milestone_Marker,IF(AND(BI$29&gt;ProposalToGnatt[[#This Row],[Start Date]],BI$29&lt;ProposalToGnatt[[#This Row],[Start Date]]+ProposalToGnatt[[#This Row],[Days]]),$G$5,"")),"")</f>
        <v/>
      </c>
      <c r="BJ58" s="37" t="str">
        <f ca="1">IFERROR(+IF(BJ$29=ProposalToGnatt[[#This Row],[Start Date]],Milestone_Marker,IF(AND(BJ$29&gt;ProposalToGnatt[[#This Row],[Start Date]],BJ$29&lt;ProposalToGnatt[[#This Row],[Start Date]]+ProposalToGnatt[[#This Row],[Days]]),$G$5,"")),"")</f>
        <v/>
      </c>
      <c r="BK58" s="37" t="str">
        <f ca="1">IFERROR(+IF(BK$29=ProposalToGnatt[[#This Row],[Start Date]],Milestone_Marker,IF(AND(BK$29&gt;ProposalToGnatt[[#This Row],[Start Date]],BK$29&lt;ProposalToGnatt[[#This Row],[Start Date]]+ProposalToGnatt[[#This Row],[Days]]),$G$5,"")),"")</f>
        <v/>
      </c>
      <c r="BL58" s="37" t="str">
        <f ca="1">IFERROR(+IF(BL$29=ProposalToGnatt[[#This Row],[Start Date]],Milestone_Marker,IF(AND(BL$29&gt;ProposalToGnatt[[#This Row],[Start Date]],BL$29&lt;ProposalToGnatt[[#This Row],[Start Date]]+ProposalToGnatt[[#This Row],[Days]]),$G$5,"")),"")</f>
        <v/>
      </c>
      <c r="BM58" s="37" t="str">
        <f ca="1">IFERROR(+IF(BM$29=ProposalToGnatt[[#This Row],[Start Date]],Milestone_Marker,IF(AND(BM$29&gt;ProposalToGnatt[[#This Row],[Start Date]],BM$29&lt;ProposalToGnatt[[#This Row],[Start Date]]+ProposalToGnatt[[#This Row],[Days]]),$G$5,"")),"")</f>
        <v/>
      </c>
      <c r="BN58" s="37" t="str">
        <f ca="1">IFERROR(+IF(BN$29=ProposalToGnatt[[#This Row],[Start Date]],Milestone_Marker,IF(AND(BN$29&gt;ProposalToGnatt[[#This Row],[Start Date]],BN$29&lt;ProposalToGnatt[[#This Row],[Start Date]]+ProposalToGnatt[[#This Row],[Days]]),$G$5,"")),"")</f>
        <v/>
      </c>
      <c r="BO58" s="37" t="str">
        <f ca="1">IFERROR(+IF(BO$29=ProposalToGnatt[[#This Row],[Start Date]],Milestone_Marker,IF(AND(BO$29&gt;ProposalToGnatt[[#This Row],[Start Date]],BO$29&lt;ProposalToGnatt[[#This Row],[Start Date]]+ProposalToGnatt[[#This Row],[Days]]),$G$5,"")),"")</f>
        <v/>
      </c>
      <c r="BP58" s="37" t="str">
        <f ca="1">IFERROR(+IF(BP$29=ProposalToGnatt[[#This Row],[Start Date]],Milestone_Marker,IF(AND(BP$29&gt;ProposalToGnatt[[#This Row],[Start Date]],BP$29&lt;ProposalToGnatt[[#This Row],[Start Date]]+ProposalToGnatt[[#This Row],[Days]]),$G$5,"")),"")</f>
        <v/>
      </c>
      <c r="BQ58" s="37" t="str">
        <f ca="1">IFERROR(+IF(BQ$29=ProposalToGnatt[[#This Row],[Start Date]],Milestone_Marker,IF(AND(BQ$29&gt;ProposalToGnatt[[#This Row],[Start Date]],BQ$29&lt;ProposalToGnatt[[#This Row],[Start Date]]+ProposalToGnatt[[#This Row],[Days]]),$G$5,"")),"")</f>
        <v/>
      </c>
      <c r="BR58" s="37" t="str">
        <f ca="1">IFERROR(+IF(BR$29=ProposalToGnatt[[#This Row],[Start Date]],Milestone_Marker,IF(AND(BR$29&gt;ProposalToGnatt[[#This Row],[Start Date]],BR$29&lt;ProposalToGnatt[[#This Row],[Start Date]]+ProposalToGnatt[[#This Row],[Days]]),$G$5,"")),"")</f>
        <v/>
      </c>
      <c r="BS58" s="37" t="str">
        <f ca="1">IFERROR(+IF(BS$29=ProposalToGnatt[[#This Row],[Start Date]],Milestone_Marker,IF(AND(BS$29&gt;ProposalToGnatt[[#This Row],[Start Date]],BS$29&lt;ProposalToGnatt[[#This Row],[Start Date]]+ProposalToGnatt[[#This Row],[Days]]),$G$5,"")),"")</f>
        <v/>
      </c>
      <c r="BT58" s="37" t="str">
        <f ca="1">IFERROR(+IF(BT$29=ProposalToGnatt[[#This Row],[Start Date]],Milestone_Marker,IF(AND(BT$29&gt;ProposalToGnatt[[#This Row],[Start Date]],BT$29&lt;ProposalToGnatt[[#This Row],[Start Date]]+ProposalToGnatt[[#This Row],[Days]]),$G$5,"")),"")</f>
        <v/>
      </c>
      <c r="BU58" s="37" t="str">
        <f ca="1">IFERROR(+IF(BU$29=ProposalToGnatt[[#This Row],[Start Date]],Milestone_Marker,IF(AND(BU$29&gt;ProposalToGnatt[[#This Row],[Start Date]],BU$29&lt;ProposalToGnatt[[#This Row],[Start Date]]+ProposalToGnatt[[#This Row],[Days]]),$G$5,"")),"")</f>
        <v/>
      </c>
      <c r="BV58" s="37" t="str">
        <f ca="1">IFERROR(+IF(BV$29=ProposalToGnatt[[#This Row],[Start Date]],Milestone_Marker,IF(AND(BV$29&gt;ProposalToGnatt[[#This Row],[Start Date]],BV$29&lt;ProposalToGnatt[[#This Row],[Start Date]]+ProposalToGnatt[[#This Row],[Days]]),$G$5,"")),"")</f>
        <v/>
      </c>
      <c r="BW58" s="37" t="str">
        <f ca="1">IFERROR(+IF(BW$29=ProposalToGnatt[[#This Row],[Start Date]],Milestone_Marker,IF(AND(BW$29&gt;ProposalToGnatt[[#This Row],[Start Date]],BW$29&lt;ProposalToGnatt[[#This Row],[Start Date]]+ProposalToGnatt[[#This Row],[Days]]),$G$5,"")),"")</f>
        <v/>
      </c>
      <c r="BX58" s="37" t="str">
        <f ca="1">IFERROR(+IF(BX$29=ProposalToGnatt[[#This Row],[Start Date]],Milestone_Marker,IF(AND(BX$29&gt;ProposalToGnatt[[#This Row],[Start Date]],BX$29&lt;ProposalToGnatt[[#This Row],[Start Date]]+ProposalToGnatt[[#This Row],[Days]]),$G$5,"")),"")</f>
        <v/>
      </c>
      <c r="BY58" s="37" t="str">
        <f ca="1">IFERROR(+IF(BY$29=ProposalToGnatt[[#This Row],[Start Date]],Milestone_Marker,IF(AND(BY$29&gt;ProposalToGnatt[[#This Row],[Start Date]],BY$29&lt;ProposalToGnatt[[#This Row],[Start Date]]+ProposalToGnatt[[#This Row],[Days]]),$G$5,"")),"")</f>
        <v/>
      </c>
      <c r="BZ58" s="37" t="str">
        <f ca="1">IFERROR(+IF(BZ$29=ProposalToGnatt[[#This Row],[Start Date]],Milestone_Marker,IF(AND(BZ$29&gt;ProposalToGnatt[[#This Row],[Start Date]],BZ$29&lt;ProposalToGnatt[[#This Row],[Start Date]]+ProposalToGnatt[[#This Row],[Days]]),$G$5,"")),"")</f>
        <v/>
      </c>
      <c r="CA58" s="37" t="str">
        <f ca="1">IFERROR(+IF(CA$29=ProposalToGnatt[[#This Row],[Start Date]],Milestone_Marker,IF(AND(CA$29&gt;ProposalToGnatt[[#This Row],[Start Date]],CA$29&lt;ProposalToGnatt[[#This Row],[Start Date]]+ProposalToGnatt[[#This Row],[Days]]),$G$5,"")),"")</f>
        <v/>
      </c>
      <c r="CB58" s="37" t="str">
        <f ca="1">IFERROR(+IF(CB$29=ProposalToGnatt[[#This Row],[Start Date]],Milestone_Marker,IF(AND(CB$29&gt;ProposalToGnatt[[#This Row],[Start Date]],CB$29&lt;ProposalToGnatt[[#This Row],[Start Date]]+ProposalToGnatt[[#This Row],[Days]]),$G$5,"")),"")</f>
        <v/>
      </c>
      <c r="CC58" s="37" t="str">
        <f ca="1">IFERROR(+IF(CC$29=ProposalToGnatt[[#This Row],[Start Date]],Milestone_Marker,IF(AND(CC$29&gt;ProposalToGnatt[[#This Row],[Start Date]],CC$29&lt;ProposalToGnatt[[#This Row],[Start Date]]+ProposalToGnatt[[#This Row],[Days]]),$G$5,"")),"")</f>
        <v/>
      </c>
      <c r="CD58" s="37" t="str">
        <f ca="1">IFERROR(+IF(CD$29=ProposalToGnatt[[#This Row],[Start Date]],Milestone_Marker,IF(AND(CD$29&gt;ProposalToGnatt[[#This Row],[Start Date]],CD$29&lt;ProposalToGnatt[[#This Row],[Start Date]]+ProposalToGnatt[[#This Row],[Days]]),$G$5,"")),"")</f>
        <v/>
      </c>
      <c r="CE58" s="37" t="str">
        <f ca="1">IFERROR(+IF(CE$29=ProposalToGnatt[[#This Row],[Start Date]],Milestone_Marker,IF(AND(CE$29&gt;ProposalToGnatt[[#This Row],[Start Date]],CE$29&lt;ProposalToGnatt[[#This Row],[Start Date]]+ProposalToGnatt[[#This Row],[Days]]),$G$5,"")),"")</f>
        <v/>
      </c>
      <c r="CF58" s="37" t="str">
        <f ca="1">IFERROR(+IF(CF$29=ProposalToGnatt[[#This Row],[Start Date]],Milestone_Marker,IF(AND(CF$29&gt;ProposalToGnatt[[#This Row],[Start Date]],CF$29&lt;ProposalToGnatt[[#This Row],[Start Date]]+ProposalToGnatt[[#This Row],[Days]]),$G$5,"")),"")</f>
        <v/>
      </c>
      <c r="CG58" s="37" t="str">
        <f ca="1">IFERROR(+IF(CG$29=ProposalToGnatt[[#This Row],[Start Date]],Milestone_Marker,IF(AND(CG$29&gt;ProposalToGnatt[[#This Row],[Start Date]],CG$29&lt;ProposalToGnatt[[#This Row],[Start Date]]+ProposalToGnatt[[#This Row],[Days]]),$G$5,"")),"")</f>
        <v/>
      </c>
      <c r="CH58" s="37" t="str">
        <f ca="1">IFERROR(+IF(CH$29=ProposalToGnatt[[#This Row],[Start Date]],Milestone_Marker,IF(AND(CH$29&gt;ProposalToGnatt[[#This Row],[Start Date]],CH$29&lt;ProposalToGnatt[[#This Row],[Start Date]]+ProposalToGnatt[[#This Row],[Days]]),$G$5,"")),"")</f>
        <v/>
      </c>
      <c r="CI58" s="37" t="str">
        <f ca="1">IFERROR(+IF(CI$29=ProposalToGnatt[[#This Row],[Start Date]],Milestone_Marker,IF(AND(CI$29&gt;ProposalToGnatt[[#This Row],[Start Date]],CI$29&lt;ProposalToGnatt[[#This Row],[Start Date]]+ProposalToGnatt[[#This Row],[Days]]),$G$5,"")),"")</f>
        <v/>
      </c>
      <c r="CJ58" s="37" t="str">
        <f ca="1">IFERROR(+IF(CJ$29=ProposalToGnatt[[#This Row],[Start Date]],Milestone_Marker,IF(AND(CJ$29&gt;ProposalToGnatt[[#This Row],[Start Date]],CJ$29&lt;ProposalToGnatt[[#This Row],[Start Date]]+ProposalToGnatt[[#This Row],[Days]]),$G$5,"")),"")</f>
        <v/>
      </c>
      <c r="CK58" s="37" t="str">
        <f ca="1">IFERROR(+IF(CK$29=ProposalToGnatt[[#This Row],[Start Date]],Milestone_Marker,IF(AND(CK$29&gt;ProposalToGnatt[[#This Row],[Start Date]],CK$29&lt;ProposalToGnatt[[#This Row],[Start Date]]+ProposalToGnatt[[#This Row],[Days]]),$G$5,"")),"")</f>
        <v/>
      </c>
      <c r="CL58" s="37" t="str">
        <f ca="1">IFERROR(+IF(CL$29=ProposalToGnatt[[#This Row],[Start Date]],Milestone_Marker,IF(AND(CL$29&gt;ProposalToGnatt[[#This Row],[Start Date]],CL$29&lt;ProposalToGnatt[[#This Row],[Start Date]]+ProposalToGnatt[[#This Row],[Days]]),$G$5,"")),"")</f>
        <v/>
      </c>
      <c r="CM58" s="37" t="str">
        <f ca="1">IFERROR(+IF(CM$29=ProposalToGnatt[[#This Row],[Start Date]],Milestone_Marker,IF(AND(CM$29&gt;ProposalToGnatt[[#This Row],[Start Date]],CM$29&lt;ProposalToGnatt[[#This Row],[Start Date]]+ProposalToGnatt[[#This Row],[Days]]),$G$5,"")),"")</f>
        <v/>
      </c>
      <c r="CN58" s="37" t="str">
        <f ca="1">IFERROR(+IF(CN$29=ProposalToGnatt[[#This Row],[Start Date]],Milestone_Marker,IF(AND(CN$29&gt;ProposalToGnatt[[#This Row],[Start Date]],CN$29&lt;ProposalToGnatt[[#This Row],[Start Date]]+ProposalToGnatt[[#This Row],[Days]]),$G$5,"")),"")</f>
        <v/>
      </c>
      <c r="CO58" s="37" t="str">
        <f ca="1">IFERROR(+IF(CO$29=ProposalToGnatt[[#This Row],[Start Date]],Milestone_Marker,IF(AND(CO$29&gt;ProposalToGnatt[[#This Row],[Start Date]],CO$29&lt;ProposalToGnatt[[#This Row],[Start Date]]+ProposalToGnatt[[#This Row],[Days]]),$G$5,"")),"")</f>
        <v/>
      </c>
      <c r="CP58" s="37" t="str">
        <f ca="1">IFERROR(+IF(CP$29=ProposalToGnatt[[#This Row],[Start Date]],Milestone_Marker,IF(AND(CP$29&gt;ProposalToGnatt[[#This Row],[Start Date]],CP$29&lt;ProposalToGnatt[[#This Row],[Start Date]]+ProposalToGnatt[[#This Row],[Days]]),$G$5,"")),"")</f>
        <v/>
      </c>
      <c r="CQ58" s="37" t="str">
        <f ca="1">IFERROR(+IF(CQ$29=ProposalToGnatt[[#This Row],[Start Date]],Milestone_Marker,IF(AND(CQ$29&gt;ProposalToGnatt[[#This Row],[Start Date]],CQ$29&lt;ProposalToGnatt[[#This Row],[Start Date]]+ProposalToGnatt[[#This Row],[Days]]),$G$5,"")),"")</f>
        <v/>
      </c>
      <c r="CR58" s="37" t="str">
        <f ca="1">IFERROR(+IF(CR$29=ProposalToGnatt[[#This Row],[Start Date]],Milestone_Marker,IF(AND(CR$29&gt;ProposalToGnatt[[#This Row],[Start Date]],CR$29&lt;ProposalToGnatt[[#This Row],[Start Date]]+ProposalToGnatt[[#This Row],[Days]]),$G$5,"")),"")</f>
        <v/>
      </c>
      <c r="CS58" s="37" t="str">
        <f ca="1">IFERROR(+IF(CS$29=ProposalToGnatt[[#This Row],[Start Date]],Milestone_Marker,IF(AND(CS$29&gt;ProposalToGnatt[[#This Row],[Start Date]],CS$29&lt;ProposalToGnatt[[#This Row],[Start Date]]+ProposalToGnatt[[#This Row],[Days]]),$G$5,"")),"")</f>
        <v/>
      </c>
      <c r="CT58" s="37" t="str">
        <f ca="1">IFERROR(+IF(CT$29=ProposalToGnatt[[#This Row],[Start Date]],Milestone_Marker,IF(AND(CT$29&gt;ProposalToGnatt[[#This Row],[Start Date]],CT$29&lt;ProposalToGnatt[[#This Row],[Start Date]]+ProposalToGnatt[[#This Row],[Days]]),$G$5,"")),"")</f>
        <v/>
      </c>
      <c r="CU58" s="37" t="str">
        <f ca="1">IFERROR(+IF(CU$29=ProposalToGnatt[[#This Row],[Start Date]],Milestone_Marker,IF(AND(CU$29&gt;ProposalToGnatt[[#This Row],[Start Date]],CU$29&lt;ProposalToGnatt[[#This Row],[Start Date]]+ProposalToGnatt[[#This Row],[Days]]),$G$5,"")),"")</f>
        <v/>
      </c>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row>
    <row r="59" spans="1:125" s="42" customFormat="1" ht="15">
      <c r="A59"/>
      <c r="B59"/>
      <c r="C59"/>
      <c r="D59"/>
      <c r="E59"/>
      <c r="F59"/>
      <c r="G59" s="11"/>
      <c r="H59" s="26"/>
      <c r="I59" s="366"/>
      <c r="J59"/>
      <c r="K59" s="363"/>
      <c r="L59"/>
      <c r="M59"/>
      <c r="N59"/>
      <c r="O59" s="26"/>
      <c r="P59" s="37" t="str">
        <f ca="1">IFERROR(+IF(P$29=ProposalToGnatt[[#This Row],[Start Date]],Milestone_Marker,IF(AND(P$29&gt;ProposalToGnatt[[#This Row],[Start Date]],P$29&lt;ProposalToGnatt[[#This Row],[Start Date]]+ProposalToGnatt[[#This Row],[Days]]),$G$5,"")),"")</f>
        <v/>
      </c>
      <c r="Q59" s="37" t="str">
        <f ca="1">IFERROR(+IF(Q$29=ProposalToGnatt[[#This Row],[Start Date]],Milestone_Marker,IF(AND(Q$29&gt;ProposalToGnatt[[#This Row],[Start Date]],Q$29&lt;ProposalToGnatt[[#This Row],[Start Date]]+ProposalToGnatt[[#This Row],[Days]]),$G$5,"")),"")</f>
        <v/>
      </c>
      <c r="R59" s="37" t="str">
        <f ca="1">IFERROR(+IF(R$29=ProposalToGnatt[[#This Row],[Start Date]],Milestone_Marker,IF(AND(R$29&gt;ProposalToGnatt[[#This Row],[Start Date]],R$29&lt;ProposalToGnatt[[#This Row],[Start Date]]+ProposalToGnatt[[#This Row],[Days]]),$G$5,"")),"")</f>
        <v/>
      </c>
      <c r="S59" s="37" t="str">
        <f ca="1">IFERROR(+IF(S$29=ProposalToGnatt[[#This Row],[Start Date]],Milestone_Marker,IF(AND(S$29&gt;ProposalToGnatt[[#This Row],[Start Date]],S$29&lt;ProposalToGnatt[[#This Row],[Start Date]]+ProposalToGnatt[[#This Row],[Days]]),$G$5,"")),"")</f>
        <v/>
      </c>
      <c r="T59" s="37" t="str">
        <f ca="1">IFERROR(+IF(T$29=ProposalToGnatt[[#This Row],[Start Date]],Milestone_Marker,IF(AND(T$29&gt;ProposalToGnatt[[#This Row],[Start Date]],T$29&lt;ProposalToGnatt[[#This Row],[Start Date]]+ProposalToGnatt[[#This Row],[Days]]),$G$5,"")),"")</f>
        <v/>
      </c>
      <c r="U59" s="37" t="str">
        <f ca="1">IFERROR(+IF(U$29=ProposalToGnatt[[#This Row],[Start Date]],Milestone_Marker,IF(AND(U$29&gt;ProposalToGnatt[[#This Row],[Start Date]],U$29&lt;ProposalToGnatt[[#This Row],[Start Date]]+ProposalToGnatt[[#This Row],[Days]]),$G$5,"")),"")</f>
        <v/>
      </c>
      <c r="V59" s="37" t="str">
        <f ca="1">IFERROR(+IF(V$29=ProposalToGnatt[[#This Row],[Start Date]],Milestone_Marker,IF(AND(V$29&gt;ProposalToGnatt[[#This Row],[Start Date]],V$29&lt;ProposalToGnatt[[#This Row],[Start Date]]+ProposalToGnatt[[#This Row],[Days]]),$G$5,"")),"")</f>
        <v/>
      </c>
      <c r="W59" s="37" t="str">
        <f ca="1">IFERROR(+IF(W$29=ProposalToGnatt[[#This Row],[Start Date]],Milestone_Marker,IF(AND(W$29&gt;ProposalToGnatt[[#This Row],[Start Date]],W$29&lt;ProposalToGnatt[[#This Row],[Start Date]]+ProposalToGnatt[[#This Row],[Days]]),$G$5,"")),"")</f>
        <v/>
      </c>
      <c r="X59" s="37" t="str">
        <f ca="1">IFERROR(+IF(X$29=ProposalToGnatt[[#This Row],[Start Date]],Milestone_Marker,IF(AND(X$29&gt;ProposalToGnatt[[#This Row],[Start Date]],X$29&lt;ProposalToGnatt[[#This Row],[Start Date]]+ProposalToGnatt[[#This Row],[Days]]),$G$5,"")),"")</f>
        <v/>
      </c>
      <c r="Y59" s="37" t="str">
        <f ca="1">IFERROR(+IF(Y$29=ProposalToGnatt[[#This Row],[Start Date]],Milestone_Marker,IF(AND(Y$29&gt;ProposalToGnatt[[#This Row],[Start Date]],Y$29&lt;ProposalToGnatt[[#This Row],[Start Date]]+ProposalToGnatt[[#This Row],[Days]]),$G$5,"")),"")</f>
        <v/>
      </c>
      <c r="Z59" s="37" t="str">
        <f ca="1">IFERROR(+IF(Z$29=ProposalToGnatt[[#This Row],[Start Date]],Milestone_Marker,IF(AND(Z$29&gt;ProposalToGnatt[[#This Row],[Start Date]],Z$29&lt;ProposalToGnatt[[#This Row],[Start Date]]+ProposalToGnatt[[#This Row],[Days]]),$G$5,"")),"")</f>
        <v/>
      </c>
      <c r="AA59" s="37" t="str">
        <f ca="1">IFERROR(+IF(AA$29=ProposalToGnatt[[#This Row],[Start Date]],Milestone_Marker,IF(AND(AA$29&gt;ProposalToGnatt[[#This Row],[Start Date]],AA$29&lt;ProposalToGnatt[[#This Row],[Start Date]]+ProposalToGnatt[[#This Row],[Days]]),$G$5,"")),"")</f>
        <v/>
      </c>
      <c r="AB59" s="37" t="str">
        <f ca="1">IFERROR(+IF(AB$29=ProposalToGnatt[[#This Row],[Start Date]],Milestone_Marker,IF(AND(AB$29&gt;ProposalToGnatt[[#This Row],[Start Date]],AB$29&lt;ProposalToGnatt[[#This Row],[Start Date]]+ProposalToGnatt[[#This Row],[Days]]),$G$5,"")),"")</f>
        <v/>
      </c>
      <c r="AC59" s="37" t="str">
        <f ca="1">IFERROR(+IF(AC$29=ProposalToGnatt[[#This Row],[Start Date]],Milestone_Marker,IF(AND(AC$29&gt;ProposalToGnatt[[#This Row],[Start Date]],AC$29&lt;ProposalToGnatt[[#This Row],[Start Date]]+ProposalToGnatt[[#This Row],[Days]]),$G$5,"")),"")</f>
        <v/>
      </c>
      <c r="AD59" s="37" t="str">
        <f ca="1">IFERROR(+IF(AD$29=ProposalToGnatt[[#This Row],[Start Date]],Milestone_Marker,IF(AND(AD$29&gt;ProposalToGnatt[[#This Row],[Start Date]],AD$29&lt;ProposalToGnatt[[#This Row],[Start Date]]+ProposalToGnatt[[#This Row],[Days]]),$G$5,"")),"")</f>
        <v/>
      </c>
      <c r="AE59" s="37" t="str">
        <f ca="1">IFERROR(+IF(AE$29=ProposalToGnatt[[#This Row],[Start Date]],Milestone_Marker,IF(AND(AE$29&gt;ProposalToGnatt[[#This Row],[Start Date]],AE$29&lt;ProposalToGnatt[[#This Row],[Start Date]]+ProposalToGnatt[[#This Row],[Days]]),$G$5,"")),"")</f>
        <v/>
      </c>
      <c r="AF59" s="37" t="str">
        <f ca="1">IFERROR(+IF(AF$29=ProposalToGnatt[[#This Row],[Start Date]],Milestone_Marker,IF(AND(AF$29&gt;ProposalToGnatt[[#This Row],[Start Date]],AF$29&lt;ProposalToGnatt[[#This Row],[Start Date]]+ProposalToGnatt[[#This Row],[Days]]),$G$5,"")),"")</f>
        <v/>
      </c>
      <c r="AG59" s="37" t="str">
        <f ca="1">IFERROR(+IF(AG$29=ProposalToGnatt[[#This Row],[Start Date]],Milestone_Marker,IF(AND(AG$29&gt;ProposalToGnatt[[#This Row],[Start Date]],AG$29&lt;ProposalToGnatt[[#This Row],[Start Date]]+ProposalToGnatt[[#This Row],[Days]]),$G$5,"")),"")</f>
        <v/>
      </c>
      <c r="AH59" s="37" t="str">
        <f ca="1">IFERROR(+IF(AH$29=ProposalToGnatt[[#This Row],[Start Date]],Milestone_Marker,IF(AND(AH$29&gt;ProposalToGnatt[[#This Row],[Start Date]],AH$29&lt;ProposalToGnatt[[#This Row],[Start Date]]+ProposalToGnatt[[#This Row],[Days]]),$G$5,"")),"")</f>
        <v/>
      </c>
      <c r="AI59" s="37" t="str">
        <f ca="1">IFERROR(+IF(AI$29=ProposalToGnatt[[#This Row],[Start Date]],Milestone_Marker,IF(AND(AI$29&gt;ProposalToGnatt[[#This Row],[Start Date]],AI$29&lt;ProposalToGnatt[[#This Row],[Start Date]]+ProposalToGnatt[[#This Row],[Days]]),$G$5,"")),"")</f>
        <v/>
      </c>
      <c r="AJ59" s="37" t="str">
        <f ca="1">IFERROR(+IF(AJ$29=ProposalToGnatt[[#This Row],[Start Date]],Milestone_Marker,IF(AND(AJ$29&gt;ProposalToGnatt[[#This Row],[Start Date]],AJ$29&lt;ProposalToGnatt[[#This Row],[Start Date]]+ProposalToGnatt[[#This Row],[Days]]),$G$5,"")),"")</f>
        <v/>
      </c>
      <c r="AK59" s="37" t="str">
        <f ca="1">IFERROR(+IF(AK$29=ProposalToGnatt[[#This Row],[Start Date]],Milestone_Marker,IF(AND(AK$29&gt;ProposalToGnatt[[#This Row],[Start Date]],AK$29&lt;ProposalToGnatt[[#This Row],[Start Date]]+ProposalToGnatt[[#This Row],[Days]]),$G$5,"")),"")</f>
        <v/>
      </c>
      <c r="AL59" s="37" t="str">
        <f ca="1">IFERROR(+IF(AL$29=ProposalToGnatt[[#This Row],[Start Date]],Milestone_Marker,IF(AND(AL$29&gt;ProposalToGnatt[[#This Row],[Start Date]],AL$29&lt;ProposalToGnatt[[#This Row],[Start Date]]+ProposalToGnatt[[#This Row],[Days]]),$G$5,"")),"")</f>
        <v/>
      </c>
      <c r="AM59" s="37" t="str">
        <f ca="1">IFERROR(+IF(AM$29=ProposalToGnatt[[#This Row],[Start Date]],Milestone_Marker,IF(AND(AM$29&gt;ProposalToGnatt[[#This Row],[Start Date]],AM$29&lt;ProposalToGnatt[[#This Row],[Start Date]]+ProposalToGnatt[[#This Row],[Days]]),$G$5,"")),"")</f>
        <v/>
      </c>
      <c r="AN59" s="37" t="str">
        <f ca="1">IFERROR(+IF(AN$29=ProposalToGnatt[[#This Row],[Start Date]],Milestone_Marker,IF(AND(AN$29&gt;ProposalToGnatt[[#This Row],[Start Date]],AN$29&lt;ProposalToGnatt[[#This Row],[Start Date]]+ProposalToGnatt[[#This Row],[Days]]),$G$5,"")),"")</f>
        <v/>
      </c>
      <c r="AO59" s="37" t="str">
        <f ca="1">IFERROR(+IF(AO$29=ProposalToGnatt[[#This Row],[Start Date]],Milestone_Marker,IF(AND(AO$29&gt;ProposalToGnatt[[#This Row],[Start Date]],AO$29&lt;ProposalToGnatt[[#This Row],[Start Date]]+ProposalToGnatt[[#This Row],[Days]]),$G$5,"")),"")</f>
        <v/>
      </c>
      <c r="AP59" s="37" t="str">
        <f ca="1">IFERROR(+IF(AP$29=ProposalToGnatt[[#This Row],[Start Date]],Milestone_Marker,IF(AND(AP$29&gt;ProposalToGnatt[[#This Row],[Start Date]],AP$29&lt;ProposalToGnatt[[#This Row],[Start Date]]+ProposalToGnatt[[#This Row],[Days]]),$G$5,"")),"")</f>
        <v/>
      </c>
      <c r="AQ59" s="37" t="str">
        <f ca="1">IFERROR(+IF(AQ$29=ProposalToGnatt[[#This Row],[Start Date]],Milestone_Marker,IF(AND(AQ$29&gt;ProposalToGnatt[[#This Row],[Start Date]],AQ$29&lt;ProposalToGnatt[[#This Row],[Start Date]]+ProposalToGnatt[[#This Row],[Days]]),$G$5,"")),"")</f>
        <v/>
      </c>
      <c r="AR59" s="37" t="str">
        <f ca="1">IFERROR(+IF(AR$29=ProposalToGnatt[[#This Row],[Start Date]],Milestone_Marker,IF(AND(AR$29&gt;ProposalToGnatt[[#This Row],[Start Date]],AR$29&lt;ProposalToGnatt[[#This Row],[Start Date]]+ProposalToGnatt[[#This Row],[Days]]),$G$5,"")),"")</f>
        <v/>
      </c>
      <c r="AS59" s="37" t="str">
        <f ca="1">IFERROR(+IF(AS$29=ProposalToGnatt[[#This Row],[Start Date]],Milestone_Marker,IF(AND(AS$29&gt;ProposalToGnatt[[#This Row],[Start Date]],AS$29&lt;ProposalToGnatt[[#This Row],[Start Date]]+ProposalToGnatt[[#This Row],[Days]]),$G$5,"")),"")</f>
        <v/>
      </c>
      <c r="AT59" s="37" t="str">
        <f ca="1">IFERROR(+IF(AT$29=ProposalToGnatt[[#This Row],[Start Date]],Milestone_Marker,IF(AND(AT$29&gt;ProposalToGnatt[[#This Row],[Start Date]],AT$29&lt;ProposalToGnatt[[#This Row],[Start Date]]+ProposalToGnatt[[#This Row],[Days]]),$G$5,"")),"")</f>
        <v/>
      </c>
      <c r="AU59" s="37" t="str">
        <f ca="1">IFERROR(+IF(AU$29=ProposalToGnatt[[#This Row],[Start Date]],Milestone_Marker,IF(AND(AU$29&gt;ProposalToGnatt[[#This Row],[Start Date]],AU$29&lt;ProposalToGnatt[[#This Row],[Start Date]]+ProposalToGnatt[[#This Row],[Days]]),$G$5,"")),"")</f>
        <v/>
      </c>
      <c r="AV59" s="37" t="str">
        <f ca="1">IFERROR(+IF(AV$29=ProposalToGnatt[[#This Row],[Start Date]],Milestone_Marker,IF(AND(AV$29&gt;ProposalToGnatt[[#This Row],[Start Date]],AV$29&lt;ProposalToGnatt[[#This Row],[Start Date]]+ProposalToGnatt[[#This Row],[Days]]),$G$5,"")),"")</f>
        <v/>
      </c>
      <c r="AW59" s="37" t="str">
        <f ca="1">IFERROR(+IF(AW$29=ProposalToGnatt[[#This Row],[Start Date]],Milestone_Marker,IF(AND(AW$29&gt;ProposalToGnatt[[#This Row],[Start Date]],AW$29&lt;ProposalToGnatt[[#This Row],[Start Date]]+ProposalToGnatt[[#This Row],[Days]]),$G$5,"")),"")</f>
        <v/>
      </c>
      <c r="AX59" s="37" t="str">
        <f ca="1">IFERROR(+IF(AX$29=ProposalToGnatt[[#This Row],[Start Date]],Milestone_Marker,IF(AND(AX$29&gt;ProposalToGnatt[[#This Row],[Start Date]],AX$29&lt;ProposalToGnatt[[#This Row],[Start Date]]+ProposalToGnatt[[#This Row],[Days]]),$G$5,"")),"")</f>
        <v/>
      </c>
      <c r="AY59" s="37" t="str">
        <f ca="1">IFERROR(+IF(AY$29=ProposalToGnatt[[#This Row],[Start Date]],Milestone_Marker,IF(AND(AY$29&gt;ProposalToGnatt[[#This Row],[Start Date]],AY$29&lt;ProposalToGnatt[[#This Row],[Start Date]]+ProposalToGnatt[[#This Row],[Days]]),$G$5,"")),"")</f>
        <v/>
      </c>
      <c r="AZ59" s="37" t="str">
        <f ca="1">IFERROR(+IF(AZ$29=ProposalToGnatt[[#This Row],[Start Date]],Milestone_Marker,IF(AND(AZ$29&gt;ProposalToGnatt[[#This Row],[Start Date]],AZ$29&lt;ProposalToGnatt[[#This Row],[Start Date]]+ProposalToGnatt[[#This Row],[Days]]),$G$5,"")),"")</f>
        <v/>
      </c>
      <c r="BA59" s="37" t="str">
        <f ca="1">IFERROR(+IF(BA$29=ProposalToGnatt[[#This Row],[Start Date]],Milestone_Marker,IF(AND(BA$29&gt;ProposalToGnatt[[#This Row],[Start Date]],BA$29&lt;ProposalToGnatt[[#This Row],[Start Date]]+ProposalToGnatt[[#This Row],[Days]]),$G$5,"")),"")</f>
        <v/>
      </c>
      <c r="BB59" s="37" t="str">
        <f ca="1">IFERROR(+IF(BB$29=ProposalToGnatt[[#This Row],[Start Date]],Milestone_Marker,IF(AND(BB$29&gt;ProposalToGnatt[[#This Row],[Start Date]],BB$29&lt;ProposalToGnatt[[#This Row],[Start Date]]+ProposalToGnatt[[#This Row],[Days]]),$G$5,"")),"")</f>
        <v/>
      </c>
      <c r="BC59" s="37" t="str">
        <f ca="1">IFERROR(+IF(BC$29=ProposalToGnatt[[#This Row],[Start Date]],Milestone_Marker,IF(AND(BC$29&gt;ProposalToGnatt[[#This Row],[Start Date]],BC$29&lt;ProposalToGnatt[[#This Row],[Start Date]]+ProposalToGnatt[[#This Row],[Days]]),$G$5,"")),"")</f>
        <v/>
      </c>
      <c r="BD59" s="37" t="str">
        <f ca="1">IFERROR(+IF(BD$29=ProposalToGnatt[[#This Row],[Start Date]],Milestone_Marker,IF(AND(BD$29&gt;ProposalToGnatt[[#This Row],[Start Date]],BD$29&lt;ProposalToGnatt[[#This Row],[Start Date]]+ProposalToGnatt[[#This Row],[Days]]),$G$5,"")),"")</f>
        <v/>
      </c>
      <c r="BE59" s="37" t="str">
        <f ca="1">IFERROR(+IF(BE$29=ProposalToGnatt[[#This Row],[Start Date]],Milestone_Marker,IF(AND(BE$29&gt;ProposalToGnatt[[#This Row],[Start Date]],BE$29&lt;ProposalToGnatt[[#This Row],[Start Date]]+ProposalToGnatt[[#This Row],[Days]]),$G$5,"")),"")</f>
        <v/>
      </c>
      <c r="BF59" s="37" t="str">
        <f ca="1">IFERROR(+IF(BF$29=ProposalToGnatt[[#This Row],[Start Date]],Milestone_Marker,IF(AND(BF$29&gt;ProposalToGnatt[[#This Row],[Start Date]],BF$29&lt;ProposalToGnatt[[#This Row],[Start Date]]+ProposalToGnatt[[#This Row],[Days]]),$G$5,"")),"")</f>
        <v/>
      </c>
      <c r="BG59" s="37" t="str">
        <f ca="1">IFERROR(+IF(BG$29=ProposalToGnatt[[#This Row],[Start Date]],Milestone_Marker,IF(AND(BG$29&gt;ProposalToGnatt[[#This Row],[Start Date]],BG$29&lt;ProposalToGnatt[[#This Row],[Start Date]]+ProposalToGnatt[[#This Row],[Days]]),$G$5,"")),"")</f>
        <v/>
      </c>
      <c r="BH59" s="37" t="str">
        <f ca="1">IFERROR(+IF(BH$29=ProposalToGnatt[[#This Row],[Start Date]],Milestone_Marker,IF(AND(BH$29&gt;ProposalToGnatt[[#This Row],[Start Date]],BH$29&lt;ProposalToGnatt[[#This Row],[Start Date]]+ProposalToGnatt[[#This Row],[Days]]),$G$5,"")),"")</f>
        <v/>
      </c>
      <c r="BI59" s="37" t="str">
        <f ca="1">IFERROR(+IF(BI$29=ProposalToGnatt[[#This Row],[Start Date]],Milestone_Marker,IF(AND(BI$29&gt;ProposalToGnatt[[#This Row],[Start Date]],BI$29&lt;ProposalToGnatt[[#This Row],[Start Date]]+ProposalToGnatt[[#This Row],[Days]]),$G$5,"")),"")</f>
        <v/>
      </c>
      <c r="BJ59" s="37" t="str">
        <f ca="1">IFERROR(+IF(BJ$29=ProposalToGnatt[[#This Row],[Start Date]],Milestone_Marker,IF(AND(BJ$29&gt;ProposalToGnatt[[#This Row],[Start Date]],BJ$29&lt;ProposalToGnatt[[#This Row],[Start Date]]+ProposalToGnatt[[#This Row],[Days]]),$G$5,"")),"")</f>
        <v/>
      </c>
      <c r="BK59" s="37" t="str">
        <f ca="1">IFERROR(+IF(BK$29=ProposalToGnatt[[#This Row],[Start Date]],Milestone_Marker,IF(AND(BK$29&gt;ProposalToGnatt[[#This Row],[Start Date]],BK$29&lt;ProposalToGnatt[[#This Row],[Start Date]]+ProposalToGnatt[[#This Row],[Days]]),$G$5,"")),"")</f>
        <v/>
      </c>
      <c r="BL59" s="37" t="str">
        <f ca="1">IFERROR(+IF(BL$29=ProposalToGnatt[[#This Row],[Start Date]],Milestone_Marker,IF(AND(BL$29&gt;ProposalToGnatt[[#This Row],[Start Date]],BL$29&lt;ProposalToGnatt[[#This Row],[Start Date]]+ProposalToGnatt[[#This Row],[Days]]),$G$5,"")),"")</f>
        <v/>
      </c>
      <c r="BM59" s="37" t="str">
        <f ca="1">IFERROR(+IF(BM$29=ProposalToGnatt[[#This Row],[Start Date]],Milestone_Marker,IF(AND(BM$29&gt;ProposalToGnatt[[#This Row],[Start Date]],BM$29&lt;ProposalToGnatt[[#This Row],[Start Date]]+ProposalToGnatt[[#This Row],[Days]]),$G$5,"")),"")</f>
        <v/>
      </c>
      <c r="BN59" s="37" t="str">
        <f ca="1">IFERROR(+IF(BN$29=ProposalToGnatt[[#This Row],[Start Date]],Milestone_Marker,IF(AND(BN$29&gt;ProposalToGnatt[[#This Row],[Start Date]],BN$29&lt;ProposalToGnatt[[#This Row],[Start Date]]+ProposalToGnatt[[#This Row],[Days]]),$G$5,"")),"")</f>
        <v/>
      </c>
      <c r="BO59" s="37" t="str">
        <f ca="1">IFERROR(+IF(BO$29=ProposalToGnatt[[#This Row],[Start Date]],Milestone_Marker,IF(AND(BO$29&gt;ProposalToGnatt[[#This Row],[Start Date]],BO$29&lt;ProposalToGnatt[[#This Row],[Start Date]]+ProposalToGnatt[[#This Row],[Days]]),$G$5,"")),"")</f>
        <v/>
      </c>
      <c r="BP59" s="37" t="str">
        <f ca="1">IFERROR(+IF(BP$29=ProposalToGnatt[[#This Row],[Start Date]],Milestone_Marker,IF(AND(BP$29&gt;ProposalToGnatt[[#This Row],[Start Date]],BP$29&lt;ProposalToGnatt[[#This Row],[Start Date]]+ProposalToGnatt[[#This Row],[Days]]),$G$5,"")),"")</f>
        <v/>
      </c>
      <c r="BQ59" s="37" t="str">
        <f ca="1">IFERROR(+IF(BQ$29=ProposalToGnatt[[#This Row],[Start Date]],Milestone_Marker,IF(AND(BQ$29&gt;ProposalToGnatt[[#This Row],[Start Date]],BQ$29&lt;ProposalToGnatt[[#This Row],[Start Date]]+ProposalToGnatt[[#This Row],[Days]]),$G$5,"")),"")</f>
        <v/>
      </c>
      <c r="BR59" s="37" t="str">
        <f ca="1">IFERROR(+IF(BR$29=ProposalToGnatt[[#This Row],[Start Date]],Milestone_Marker,IF(AND(BR$29&gt;ProposalToGnatt[[#This Row],[Start Date]],BR$29&lt;ProposalToGnatt[[#This Row],[Start Date]]+ProposalToGnatt[[#This Row],[Days]]),$G$5,"")),"")</f>
        <v/>
      </c>
      <c r="BS59" s="37" t="str">
        <f ca="1">IFERROR(+IF(BS$29=ProposalToGnatt[[#This Row],[Start Date]],Milestone_Marker,IF(AND(BS$29&gt;ProposalToGnatt[[#This Row],[Start Date]],BS$29&lt;ProposalToGnatt[[#This Row],[Start Date]]+ProposalToGnatt[[#This Row],[Days]]),$G$5,"")),"")</f>
        <v/>
      </c>
      <c r="BT59" s="37" t="str">
        <f ca="1">IFERROR(+IF(BT$29=ProposalToGnatt[[#This Row],[Start Date]],Milestone_Marker,IF(AND(BT$29&gt;ProposalToGnatt[[#This Row],[Start Date]],BT$29&lt;ProposalToGnatt[[#This Row],[Start Date]]+ProposalToGnatt[[#This Row],[Days]]),$G$5,"")),"")</f>
        <v/>
      </c>
      <c r="BU59" s="37" t="str">
        <f ca="1">IFERROR(+IF(BU$29=ProposalToGnatt[[#This Row],[Start Date]],Milestone_Marker,IF(AND(BU$29&gt;ProposalToGnatt[[#This Row],[Start Date]],BU$29&lt;ProposalToGnatt[[#This Row],[Start Date]]+ProposalToGnatt[[#This Row],[Days]]),$G$5,"")),"")</f>
        <v/>
      </c>
      <c r="BV59" s="37" t="str">
        <f ca="1">IFERROR(+IF(BV$29=ProposalToGnatt[[#This Row],[Start Date]],Milestone_Marker,IF(AND(BV$29&gt;ProposalToGnatt[[#This Row],[Start Date]],BV$29&lt;ProposalToGnatt[[#This Row],[Start Date]]+ProposalToGnatt[[#This Row],[Days]]),$G$5,"")),"")</f>
        <v/>
      </c>
      <c r="BW59" s="37" t="str">
        <f ca="1">IFERROR(+IF(BW$29=ProposalToGnatt[[#This Row],[Start Date]],Milestone_Marker,IF(AND(BW$29&gt;ProposalToGnatt[[#This Row],[Start Date]],BW$29&lt;ProposalToGnatt[[#This Row],[Start Date]]+ProposalToGnatt[[#This Row],[Days]]),$G$5,"")),"")</f>
        <v/>
      </c>
      <c r="BX59" s="37" t="str">
        <f ca="1">IFERROR(+IF(BX$29=ProposalToGnatt[[#This Row],[Start Date]],Milestone_Marker,IF(AND(BX$29&gt;ProposalToGnatt[[#This Row],[Start Date]],BX$29&lt;ProposalToGnatt[[#This Row],[Start Date]]+ProposalToGnatt[[#This Row],[Days]]),$G$5,"")),"")</f>
        <v/>
      </c>
      <c r="BY59" s="37" t="str">
        <f ca="1">IFERROR(+IF(BY$29=ProposalToGnatt[[#This Row],[Start Date]],Milestone_Marker,IF(AND(BY$29&gt;ProposalToGnatt[[#This Row],[Start Date]],BY$29&lt;ProposalToGnatt[[#This Row],[Start Date]]+ProposalToGnatt[[#This Row],[Days]]),$G$5,"")),"")</f>
        <v/>
      </c>
      <c r="BZ59" s="37" t="str">
        <f ca="1">IFERROR(+IF(BZ$29=ProposalToGnatt[[#This Row],[Start Date]],Milestone_Marker,IF(AND(BZ$29&gt;ProposalToGnatt[[#This Row],[Start Date]],BZ$29&lt;ProposalToGnatt[[#This Row],[Start Date]]+ProposalToGnatt[[#This Row],[Days]]),$G$5,"")),"")</f>
        <v/>
      </c>
      <c r="CA59" s="37" t="str">
        <f ca="1">IFERROR(+IF(CA$29=ProposalToGnatt[[#This Row],[Start Date]],Milestone_Marker,IF(AND(CA$29&gt;ProposalToGnatt[[#This Row],[Start Date]],CA$29&lt;ProposalToGnatt[[#This Row],[Start Date]]+ProposalToGnatt[[#This Row],[Days]]),$G$5,"")),"")</f>
        <v/>
      </c>
      <c r="CB59" s="37" t="str">
        <f ca="1">IFERROR(+IF(CB$29=ProposalToGnatt[[#This Row],[Start Date]],Milestone_Marker,IF(AND(CB$29&gt;ProposalToGnatt[[#This Row],[Start Date]],CB$29&lt;ProposalToGnatt[[#This Row],[Start Date]]+ProposalToGnatt[[#This Row],[Days]]),$G$5,"")),"")</f>
        <v/>
      </c>
      <c r="CC59" s="37" t="str">
        <f ca="1">IFERROR(+IF(CC$29=ProposalToGnatt[[#This Row],[Start Date]],Milestone_Marker,IF(AND(CC$29&gt;ProposalToGnatt[[#This Row],[Start Date]],CC$29&lt;ProposalToGnatt[[#This Row],[Start Date]]+ProposalToGnatt[[#This Row],[Days]]),$G$5,"")),"")</f>
        <v/>
      </c>
      <c r="CD59" s="37" t="str">
        <f ca="1">IFERROR(+IF(CD$29=ProposalToGnatt[[#This Row],[Start Date]],Milestone_Marker,IF(AND(CD$29&gt;ProposalToGnatt[[#This Row],[Start Date]],CD$29&lt;ProposalToGnatt[[#This Row],[Start Date]]+ProposalToGnatt[[#This Row],[Days]]),$G$5,"")),"")</f>
        <v/>
      </c>
      <c r="CE59" s="37" t="str">
        <f ca="1">IFERROR(+IF(CE$29=ProposalToGnatt[[#This Row],[Start Date]],Milestone_Marker,IF(AND(CE$29&gt;ProposalToGnatt[[#This Row],[Start Date]],CE$29&lt;ProposalToGnatt[[#This Row],[Start Date]]+ProposalToGnatt[[#This Row],[Days]]),$G$5,"")),"")</f>
        <v/>
      </c>
      <c r="CF59" s="37" t="str">
        <f ca="1">IFERROR(+IF(CF$29=ProposalToGnatt[[#This Row],[Start Date]],Milestone_Marker,IF(AND(CF$29&gt;ProposalToGnatt[[#This Row],[Start Date]],CF$29&lt;ProposalToGnatt[[#This Row],[Start Date]]+ProposalToGnatt[[#This Row],[Days]]),$G$5,"")),"")</f>
        <v/>
      </c>
      <c r="CG59" s="37" t="str">
        <f ca="1">IFERROR(+IF(CG$29=ProposalToGnatt[[#This Row],[Start Date]],Milestone_Marker,IF(AND(CG$29&gt;ProposalToGnatt[[#This Row],[Start Date]],CG$29&lt;ProposalToGnatt[[#This Row],[Start Date]]+ProposalToGnatt[[#This Row],[Days]]),$G$5,"")),"")</f>
        <v/>
      </c>
      <c r="CH59" s="37" t="str">
        <f ca="1">IFERROR(+IF(CH$29=ProposalToGnatt[[#This Row],[Start Date]],Milestone_Marker,IF(AND(CH$29&gt;ProposalToGnatt[[#This Row],[Start Date]],CH$29&lt;ProposalToGnatt[[#This Row],[Start Date]]+ProposalToGnatt[[#This Row],[Days]]),$G$5,"")),"")</f>
        <v/>
      </c>
      <c r="CI59" s="37" t="str">
        <f ca="1">IFERROR(+IF(CI$29=ProposalToGnatt[[#This Row],[Start Date]],Milestone_Marker,IF(AND(CI$29&gt;ProposalToGnatt[[#This Row],[Start Date]],CI$29&lt;ProposalToGnatt[[#This Row],[Start Date]]+ProposalToGnatt[[#This Row],[Days]]),$G$5,"")),"")</f>
        <v/>
      </c>
      <c r="CJ59" s="37" t="str">
        <f ca="1">IFERROR(+IF(CJ$29=ProposalToGnatt[[#This Row],[Start Date]],Milestone_Marker,IF(AND(CJ$29&gt;ProposalToGnatt[[#This Row],[Start Date]],CJ$29&lt;ProposalToGnatt[[#This Row],[Start Date]]+ProposalToGnatt[[#This Row],[Days]]),$G$5,"")),"")</f>
        <v/>
      </c>
      <c r="CK59" s="37" t="str">
        <f ca="1">IFERROR(+IF(CK$29=ProposalToGnatt[[#This Row],[Start Date]],Milestone_Marker,IF(AND(CK$29&gt;ProposalToGnatt[[#This Row],[Start Date]],CK$29&lt;ProposalToGnatt[[#This Row],[Start Date]]+ProposalToGnatt[[#This Row],[Days]]),$G$5,"")),"")</f>
        <v/>
      </c>
      <c r="CL59" s="37" t="str">
        <f ca="1">IFERROR(+IF(CL$29=ProposalToGnatt[[#This Row],[Start Date]],Milestone_Marker,IF(AND(CL$29&gt;ProposalToGnatt[[#This Row],[Start Date]],CL$29&lt;ProposalToGnatt[[#This Row],[Start Date]]+ProposalToGnatt[[#This Row],[Days]]),$G$5,"")),"")</f>
        <v/>
      </c>
      <c r="CM59" s="37" t="str">
        <f ca="1">IFERROR(+IF(CM$29=ProposalToGnatt[[#This Row],[Start Date]],Milestone_Marker,IF(AND(CM$29&gt;ProposalToGnatt[[#This Row],[Start Date]],CM$29&lt;ProposalToGnatt[[#This Row],[Start Date]]+ProposalToGnatt[[#This Row],[Days]]),$G$5,"")),"")</f>
        <v/>
      </c>
      <c r="CN59" s="37" t="str">
        <f ca="1">IFERROR(+IF(CN$29=ProposalToGnatt[[#This Row],[Start Date]],Milestone_Marker,IF(AND(CN$29&gt;ProposalToGnatt[[#This Row],[Start Date]],CN$29&lt;ProposalToGnatt[[#This Row],[Start Date]]+ProposalToGnatt[[#This Row],[Days]]),$G$5,"")),"")</f>
        <v/>
      </c>
      <c r="CO59" s="37" t="str">
        <f ca="1">IFERROR(+IF(CO$29=ProposalToGnatt[[#This Row],[Start Date]],Milestone_Marker,IF(AND(CO$29&gt;ProposalToGnatt[[#This Row],[Start Date]],CO$29&lt;ProposalToGnatt[[#This Row],[Start Date]]+ProposalToGnatt[[#This Row],[Days]]),$G$5,"")),"")</f>
        <v/>
      </c>
      <c r="CP59" s="37" t="str">
        <f ca="1">IFERROR(+IF(CP$29=ProposalToGnatt[[#This Row],[Start Date]],Milestone_Marker,IF(AND(CP$29&gt;ProposalToGnatt[[#This Row],[Start Date]],CP$29&lt;ProposalToGnatt[[#This Row],[Start Date]]+ProposalToGnatt[[#This Row],[Days]]),$G$5,"")),"")</f>
        <v/>
      </c>
      <c r="CQ59" s="37" t="str">
        <f ca="1">IFERROR(+IF(CQ$29=ProposalToGnatt[[#This Row],[Start Date]],Milestone_Marker,IF(AND(CQ$29&gt;ProposalToGnatt[[#This Row],[Start Date]],CQ$29&lt;ProposalToGnatt[[#This Row],[Start Date]]+ProposalToGnatt[[#This Row],[Days]]),$G$5,"")),"")</f>
        <v/>
      </c>
      <c r="CR59" s="37" t="str">
        <f ca="1">IFERROR(+IF(CR$29=ProposalToGnatt[[#This Row],[Start Date]],Milestone_Marker,IF(AND(CR$29&gt;ProposalToGnatt[[#This Row],[Start Date]],CR$29&lt;ProposalToGnatt[[#This Row],[Start Date]]+ProposalToGnatt[[#This Row],[Days]]),$G$5,"")),"")</f>
        <v/>
      </c>
      <c r="CS59" s="37" t="str">
        <f ca="1">IFERROR(+IF(CS$29=ProposalToGnatt[[#This Row],[Start Date]],Milestone_Marker,IF(AND(CS$29&gt;ProposalToGnatt[[#This Row],[Start Date]],CS$29&lt;ProposalToGnatt[[#This Row],[Start Date]]+ProposalToGnatt[[#This Row],[Days]]),$G$5,"")),"")</f>
        <v/>
      </c>
      <c r="CT59" s="37" t="str">
        <f ca="1">IFERROR(+IF(CT$29=ProposalToGnatt[[#This Row],[Start Date]],Milestone_Marker,IF(AND(CT$29&gt;ProposalToGnatt[[#This Row],[Start Date]],CT$29&lt;ProposalToGnatt[[#This Row],[Start Date]]+ProposalToGnatt[[#This Row],[Days]]),$G$5,"")),"")</f>
        <v/>
      </c>
      <c r="CU59" s="37" t="str">
        <f ca="1">IFERROR(+IF(CU$29=ProposalToGnatt[[#This Row],[Start Date]],Milestone_Marker,IF(AND(CU$29&gt;ProposalToGnatt[[#This Row],[Start Date]],CU$29&lt;ProposalToGnatt[[#This Row],[Start Date]]+ProposalToGnatt[[#This Row],[Days]]),$G$5,"")),"")</f>
        <v/>
      </c>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row>
    <row r="60" spans="1:125" s="42" customFormat="1" ht="15">
      <c r="A60"/>
      <c r="B60"/>
      <c r="C60"/>
      <c r="D60"/>
      <c r="E60"/>
      <c r="F60"/>
      <c r="G60" s="11"/>
      <c r="H60" s="26"/>
      <c r="I60"/>
      <c r="J60"/>
      <c r="K60" s="363"/>
      <c r="L60"/>
      <c r="M60"/>
      <c r="N60"/>
      <c r="O60" s="26"/>
      <c r="P60" s="37" t="str">
        <f ca="1">IFERROR(+IF(P$29=ProposalToGnatt[[#This Row],[Start Date]],Milestone_Marker,IF(AND(P$29&gt;ProposalToGnatt[[#This Row],[Start Date]],P$29&lt;ProposalToGnatt[[#This Row],[Start Date]]+ProposalToGnatt[[#This Row],[Days]]),$G$5,"")),"")</f>
        <v/>
      </c>
      <c r="Q60" s="37" t="str">
        <f ca="1">IFERROR(+IF(Q$29=ProposalToGnatt[[#This Row],[Start Date]],Milestone_Marker,IF(AND(Q$29&gt;ProposalToGnatt[[#This Row],[Start Date]],Q$29&lt;ProposalToGnatt[[#This Row],[Start Date]]+ProposalToGnatt[[#This Row],[Days]]),$G$5,"")),"")</f>
        <v/>
      </c>
      <c r="R60" s="37" t="str">
        <f ca="1">IFERROR(+IF(R$29=ProposalToGnatt[[#This Row],[Start Date]],Milestone_Marker,IF(AND(R$29&gt;ProposalToGnatt[[#This Row],[Start Date]],R$29&lt;ProposalToGnatt[[#This Row],[Start Date]]+ProposalToGnatt[[#This Row],[Days]]),$G$5,"")),"")</f>
        <v/>
      </c>
      <c r="S60" s="37" t="str">
        <f ca="1">IFERROR(+IF(S$29=ProposalToGnatt[[#This Row],[Start Date]],Milestone_Marker,IF(AND(S$29&gt;ProposalToGnatt[[#This Row],[Start Date]],S$29&lt;ProposalToGnatt[[#This Row],[Start Date]]+ProposalToGnatt[[#This Row],[Days]]),$G$5,"")),"")</f>
        <v/>
      </c>
      <c r="T60" s="37" t="str">
        <f ca="1">IFERROR(+IF(T$29=ProposalToGnatt[[#This Row],[Start Date]],Milestone_Marker,IF(AND(T$29&gt;ProposalToGnatt[[#This Row],[Start Date]],T$29&lt;ProposalToGnatt[[#This Row],[Start Date]]+ProposalToGnatt[[#This Row],[Days]]),$G$5,"")),"")</f>
        <v/>
      </c>
      <c r="U60" s="37" t="str">
        <f ca="1">IFERROR(+IF(U$29=ProposalToGnatt[[#This Row],[Start Date]],Milestone_Marker,IF(AND(U$29&gt;ProposalToGnatt[[#This Row],[Start Date]],U$29&lt;ProposalToGnatt[[#This Row],[Start Date]]+ProposalToGnatt[[#This Row],[Days]]),$G$5,"")),"")</f>
        <v/>
      </c>
      <c r="V60" s="37" t="str">
        <f ca="1">IFERROR(+IF(V$29=ProposalToGnatt[[#This Row],[Start Date]],Milestone_Marker,IF(AND(V$29&gt;ProposalToGnatt[[#This Row],[Start Date]],V$29&lt;ProposalToGnatt[[#This Row],[Start Date]]+ProposalToGnatt[[#This Row],[Days]]),$G$5,"")),"")</f>
        <v/>
      </c>
      <c r="W60" s="37" t="str">
        <f ca="1">IFERROR(+IF(W$29=ProposalToGnatt[[#This Row],[Start Date]],Milestone_Marker,IF(AND(W$29&gt;ProposalToGnatt[[#This Row],[Start Date]],W$29&lt;ProposalToGnatt[[#This Row],[Start Date]]+ProposalToGnatt[[#This Row],[Days]]),$G$5,"")),"")</f>
        <v/>
      </c>
      <c r="X60" s="37" t="str">
        <f ca="1">IFERROR(+IF(X$29=ProposalToGnatt[[#This Row],[Start Date]],Milestone_Marker,IF(AND(X$29&gt;ProposalToGnatt[[#This Row],[Start Date]],X$29&lt;ProposalToGnatt[[#This Row],[Start Date]]+ProposalToGnatt[[#This Row],[Days]]),$G$5,"")),"")</f>
        <v/>
      </c>
      <c r="Y60" s="37" t="str">
        <f ca="1">IFERROR(+IF(Y$29=ProposalToGnatt[[#This Row],[Start Date]],Milestone_Marker,IF(AND(Y$29&gt;ProposalToGnatt[[#This Row],[Start Date]],Y$29&lt;ProposalToGnatt[[#This Row],[Start Date]]+ProposalToGnatt[[#This Row],[Days]]),$G$5,"")),"")</f>
        <v/>
      </c>
      <c r="Z60" s="37" t="str">
        <f ca="1">IFERROR(+IF(Z$29=ProposalToGnatt[[#This Row],[Start Date]],Milestone_Marker,IF(AND(Z$29&gt;ProposalToGnatt[[#This Row],[Start Date]],Z$29&lt;ProposalToGnatt[[#This Row],[Start Date]]+ProposalToGnatt[[#This Row],[Days]]),$G$5,"")),"")</f>
        <v/>
      </c>
      <c r="AA60" s="37" t="str">
        <f ca="1">IFERROR(+IF(AA$29=ProposalToGnatt[[#This Row],[Start Date]],Milestone_Marker,IF(AND(AA$29&gt;ProposalToGnatt[[#This Row],[Start Date]],AA$29&lt;ProposalToGnatt[[#This Row],[Start Date]]+ProposalToGnatt[[#This Row],[Days]]),$G$5,"")),"")</f>
        <v/>
      </c>
      <c r="AB60" s="37" t="str">
        <f ca="1">IFERROR(+IF(AB$29=ProposalToGnatt[[#This Row],[Start Date]],Milestone_Marker,IF(AND(AB$29&gt;ProposalToGnatt[[#This Row],[Start Date]],AB$29&lt;ProposalToGnatt[[#This Row],[Start Date]]+ProposalToGnatt[[#This Row],[Days]]),$G$5,"")),"")</f>
        <v/>
      </c>
      <c r="AC60" s="37" t="str">
        <f ca="1">IFERROR(+IF(AC$29=ProposalToGnatt[[#This Row],[Start Date]],Milestone_Marker,IF(AND(AC$29&gt;ProposalToGnatt[[#This Row],[Start Date]],AC$29&lt;ProposalToGnatt[[#This Row],[Start Date]]+ProposalToGnatt[[#This Row],[Days]]),$G$5,"")),"")</f>
        <v/>
      </c>
      <c r="AD60" s="37" t="str">
        <f ca="1">IFERROR(+IF(AD$29=ProposalToGnatt[[#This Row],[Start Date]],Milestone_Marker,IF(AND(AD$29&gt;ProposalToGnatt[[#This Row],[Start Date]],AD$29&lt;ProposalToGnatt[[#This Row],[Start Date]]+ProposalToGnatt[[#This Row],[Days]]),$G$5,"")),"")</f>
        <v/>
      </c>
      <c r="AE60" s="37" t="str">
        <f ca="1">IFERROR(+IF(AE$29=ProposalToGnatt[[#This Row],[Start Date]],Milestone_Marker,IF(AND(AE$29&gt;ProposalToGnatt[[#This Row],[Start Date]],AE$29&lt;ProposalToGnatt[[#This Row],[Start Date]]+ProposalToGnatt[[#This Row],[Days]]),$G$5,"")),"")</f>
        <v/>
      </c>
      <c r="AF60" s="37" t="str">
        <f ca="1">IFERROR(+IF(AF$29=ProposalToGnatt[[#This Row],[Start Date]],Milestone_Marker,IF(AND(AF$29&gt;ProposalToGnatt[[#This Row],[Start Date]],AF$29&lt;ProposalToGnatt[[#This Row],[Start Date]]+ProposalToGnatt[[#This Row],[Days]]),$G$5,"")),"")</f>
        <v/>
      </c>
      <c r="AG60" s="37" t="str">
        <f ca="1">IFERROR(+IF(AG$29=ProposalToGnatt[[#This Row],[Start Date]],Milestone_Marker,IF(AND(AG$29&gt;ProposalToGnatt[[#This Row],[Start Date]],AG$29&lt;ProposalToGnatt[[#This Row],[Start Date]]+ProposalToGnatt[[#This Row],[Days]]),$G$5,"")),"")</f>
        <v/>
      </c>
      <c r="AH60" s="37" t="str">
        <f ca="1">IFERROR(+IF(AH$29=ProposalToGnatt[[#This Row],[Start Date]],Milestone_Marker,IF(AND(AH$29&gt;ProposalToGnatt[[#This Row],[Start Date]],AH$29&lt;ProposalToGnatt[[#This Row],[Start Date]]+ProposalToGnatt[[#This Row],[Days]]),$G$5,"")),"")</f>
        <v/>
      </c>
      <c r="AI60" s="37" t="str">
        <f ca="1">IFERROR(+IF(AI$29=ProposalToGnatt[[#This Row],[Start Date]],Milestone_Marker,IF(AND(AI$29&gt;ProposalToGnatt[[#This Row],[Start Date]],AI$29&lt;ProposalToGnatt[[#This Row],[Start Date]]+ProposalToGnatt[[#This Row],[Days]]),$G$5,"")),"")</f>
        <v/>
      </c>
      <c r="AJ60" s="37" t="str">
        <f ca="1">IFERROR(+IF(AJ$29=ProposalToGnatt[[#This Row],[Start Date]],Milestone_Marker,IF(AND(AJ$29&gt;ProposalToGnatt[[#This Row],[Start Date]],AJ$29&lt;ProposalToGnatt[[#This Row],[Start Date]]+ProposalToGnatt[[#This Row],[Days]]),$G$5,"")),"")</f>
        <v/>
      </c>
      <c r="AK60" s="37" t="str">
        <f ca="1">IFERROR(+IF(AK$29=ProposalToGnatt[[#This Row],[Start Date]],Milestone_Marker,IF(AND(AK$29&gt;ProposalToGnatt[[#This Row],[Start Date]],AK$29&lt;ProposalToGnatt[[#This Row],[Start Date]]+ProposalToGnatt[[#This Row],[Days]]),$G$5,"")),"")</f>
        <v/>
      </c>
      <c r="AL60" s="37" t="str">
        <f ca="1">IFERROR(+IF(AL$29=ProposalToGnatt[[#This Row],[Start Date]],Milestone_Marker,IF(AND(AL$29&gt;ProposalToGnatt[[#This Row],[Start Date]],AL$29&lt;ProposalToGnatt[[#This Row],[Start Date]]+ProposalToGnatt[[#This Row],[Days]]),$G$5,"")),"")</f>
        <v/>
      </c>
      <c r="AM60" s="37" t="str">
        <f ca="1">IFERROR(+IF(AM$29=ProposalToGnatt[[#This Row],[Start Date]],Milestone_Marker,IF(AND(AM$29&gt;ProposalToGnatt[[#This Row],[Start Date]],AM$29&lt;ProposalToGnatt[[#This Row],[Start Date]]+ProposalToGnatt[[#This Row],[Days]]),$G$5,"")),"")</f>
        <v/>
      </c>
      <c r="AN60" s="37" t="str">
        <f ca="1">IFERROR(+IF(AN$29=ProposalToGnatt[[#This Row],[Start Date]],Milestone_Marker,IF(AND(AN$29&gt;ProposalToGnatt[[#This Row],[Start Date]],AN$29&lt;ProposalToGnatt[[#This Row],[Start Date]]+ProposalToGnatt[[#This Row],[Days]]),$G$5,"")),"")</f>
        <v/>
      </c>
      <c r="AO60" s="37" t="str">
        <f ca="1">IFERROR(+IF(AO$29=ProposalToGnatt[[#This Row],[Start Date]],Milestone_Marker,IF(AND(AO$29&gt;ProposalToGnatt[[#This Row],[Start Date]],AO$29&lt;ProposalToGnatt[[#This Row],[Start Date]]+ProposalToGnatt[[#This Row],[Days]]),$G$5,"")),"")</f>
        <v/>
      </c>
      <c r="AP60" s="37" t="str">
        <f ca="1">IFERROR(+IF(AP$29=ProposalToGnatt[[#This Row],[Start Date]],Milestone_Marker,IF(AND(AP$29&gt;ProposalToGnatt[[#This Row],[Start Date]],AP$29&lt;ProposalToGnatt[[#This Row],[Start Date]]+ProposalToGnatt[[#This Row],[Days]]),$G$5,"")),"")</f>
        <v/>
      </c>
      <c r="AQ60" s="37" t="str">
        <f ca="1">IFERROR(+IF(AQ$29=ProposalToGnatt[[#This Row],[Start Date]],Milestone_Marker,IF(AND(AQ$29&gt;ProposalToGnatt[[#This Row],[Start Date]],AQ$29&lt;ProposalToGnatt[[#This Row],[Start Date]]+ProposalToGnatt[[#This Row],[Days]]),$G$5,"")),"")</f>
        <v/>
      </c>
      <c r="AR60" s="37" t="str">
        <f ca="1">IFERROR(+IF(AR$29=ProposalToGnatt[[#This Row],[Start Date]],Milestone_Marker,IF(AND(AR$29&gt;ProposalToGnatt[[#This Row],[Start Date]],AR$29&lt;ProposalToGnatt[[#This Row],[Start Date]]+ProposalToGnatt[[#This Row],[Days]]),$G$5,"")),"")</f>
        <v/>
      </c>
      <c r="AS60" s="37" t="str">
        <f ca="1">IFERROR(+IF(AS$29=ProposalToGnatt[[#This Row],[Start Date]],Milestone_Marker,IF(AND(AS$29&gt;ProposalToGnatt[[#This Row],[Start Date]],AS$29&lt;ProposalToGnatt[[#This Row],[Start Date]]+ProposalToGnatt[[#This Row],[Days]]),$G$5,"")),"")</f>
        <v/>
      </c>
      <c r="AT60" s="37" t="str">
        <f ca="1">IFERROR(+IF(AT$29=ProposalToGnatt[[#This Row],[Start Date]],Milestone_Marker,IF(AND(AT$29&gt;ProposalToGnatt[[#This Row],[Start Date]],AT$29&lt;ProposalToGnatt[[#This Row],[Start Date]]+ProposalToGnatt[[#This Row],[Days]]),$G$5,"")),"")</f>
        <v/>
      </c>
      <c r="AU60" s="37" t="str">
        <f ca="1">IFERROR(+IF(AU$29=ProposalToGnatt[[#This Row],[Start Date]],Milestone_Marker,IF(AND(AU$29&gt;ProposalToGnatt[[#This Row],[Start Date]],AU$29&lt;ProposalToGnatt[[#This Row],[Start Date]]+ProposalToGnatt[[#This Row],[Days]]),$G$5,"")),"")</f>
        <v/>
      </c>
      <c r="AV60" s="37" t="str">
        <f ca="1">IFERROR(+IF(AV$29=ProposalToGnatt[[#This Row],[Start Date]],Milestone_Marker,IF(AND(AV$29&gt;ProposalToGnatt[[#This Row],[Start Date]],AV$29&lt;ProposalToGnatt[[#This Row],[Start Date]]+ProposalToGnatt[[#This Row],[Days]]),$G$5,"")),"")</f>
        <v/>
      </c>
      <c r="AW60" s="37" t="str">
        <f ca="1">IFERROR(+IF(AW$29=ProposalToGnatt[[#This Row],[Start Date]],Milestone_Marker,IF(AND(AW$29&gt;ProposalToGnatt[[#This Row],[Start Date]],AW$29&lt;ProposalToGnatt[[#This Row],[Start Date]]+ProposalToGnatt[[#This Row],[Days]]),$G$5,"")),"")</f>
        <v/>
      </c>
      <c r="AX60" s="37" t="str">
        <f ca="1">IFERROR(+IF(AX$29=ProposalToGnatt[[#This Row],[Start Date]],Milestone_Marker,IF(AND(AX$29&gt;ProposalToGnatt[[#This Row],[Start Date]],AX$29&lt;ProposalToGnatt[[#This Row],[Start Date]]+ProposalToGnatt[[#This Row],[Days]]),$G$5,"")),"")</f>
        <v/>
      </c>
      <c r="AY60" s="37" t="str">
        <f ca="1">IFERROR(+IF(AY$29=ProposalToGnatt[[#This Row],[Start Date]],Milestone_Marker,IF(AND(AY$29&gt;ProposalToGnatt[[#This Row],[Start Date]],AY$29&lt;ProposalToGnatt[[#This Row],[Start Date]]+ProposalToGnatt[[#This Row],[Days]]),$G$5,"")),"")</f>
        <v/>
      </c>
      <c r="AZ60" s="37" t="str">
        <f ca="1">IFERROR(+IF(AZ$29=ProposalToGnatt[[#This Row],[Start Date]],Milestone_Marker,IF(AND(AZ$29&gt;ProposalToGnatt[[#This Row],[Start Date]],AZ$29&lt;ProposalToGnatt[[#This Row],[Start Date]]+ProposalToGnatt[[#This Row],[Days]]),$G$5,"")),"")</f>
        <v/>
      </c>
      <c r="BA60" s="37" t="str">
        <f ca="1">IFERROR(+IF(BA$29=ProposalToGnatt[[#This Row],[Start Date]],Milestone_Marker,IF(AND(BA$29&gt;ProposalToGnatt[[#This Row],[Start Date]],BA$29&lt;ProposalToGnatt[[#This Row],[Start Date]]+ProposalToGnatt[[#This Row],[Days]]),$G$5,"")),"")</f>
        <v/>
      </c>
      <c r="BB60" s="37" t="str">
        <f ca="1">IFERROR(+IF(BB$29=ProposalToGnatt[[#This Row],[Start Date]],Milestone_Marker,IF(AND(BB$29&gt;ProposalToGnatt[[#This Row],[Start Date]],BB$29&lt;ProposalToGnatt[[#This Row],[Start Date]]+ProposalToGnatt[[#This Row],[Days]]),$G$5,"")),"")</f>
        <v/>
      </c>
      <c r="BC60" s="37" t="str">
        <f ca="1">IFERROR(+IF(BC$29=ProposalToGnatt[[#This Row],[Start Date]],Milestone_Marker,IF(AND(BC$29&gt;ProposalToGnatt[[#This Row],[Start Date]],BC$29&lt;ProposalToGnatt[[#This Row],[Start Date]]+ProposalToGnatt[[#This Row],[Days]]),$G$5,"")),"")</f>
        <v/>
      </c>
      <c r="BD60" s="37" t="str">
        <f ca="1">IFERROR(+IF(BD$29=ProposalToGnatt[[#This Row],[Start Date]],Milestone_Marker,IF(AND(BD$29&gt;ProposalToGnatt[[#This Row],[Start Date]],BD$29&lt;ProposalToGnatt[[#This Row],[Start Date]]+ProposalToGnatt[[#This Row],[Days]]),$G$5,"")),"")</f>
        <v/>
      </c>
      <c r="BE60" s="37" t="str">
        <f ca="1">IFERROR(+IF(BE$29=ProposalToGnatt[[#This Row],[Start Date]],Milestone_Marker,IF(AND(BE$29&gt;ProposalToGnatt[[#This Row],[Start Date]],BE$29&lt;ProposalToGnatt[[#This Row],[Start Date]]+ProposalToGnatt[[#This Row],[Days]]),$G$5,"")),"")</f>
        <v/>
      </c>
      <c r="BF60" s="37" t="str">
        <f ca="1">IFERROR(+IF(BF$29=ProposalToGnatt[[#This Row],[Start Date]],Milestone_Marker,IF(AND(BF$29&gt;ProposalToGnatt[[#This Row],[Start Date]],BF$29&lt;ProposalToGnatt[[#This Row],[Start Date]]+ProposalToGnatt[[#This Row],[Days]]),$G$5,"")),"")</f>
        <v/>
      </c>
      <c r="BG60" s="37" t="str">
        <f ca="1">IFERROR(+IF(BG$29=ProposalToGnatt[[#This Row],[Start Date]],Milestone_Marker,IF(AND(BG$29&gt;ProposalToGnatt[[#This Row],[Start Date]],BG$29&lt;ProposalToGnatt[[#This Row],[Start Date]]+ProposalToGnatt[[#This Row],[Days]]),$G$5,"")),"")</f>
        <v/>
      </c>
      <c r="BH60" s="37" t="str">
        <f ca="1">IFERROR(+IF(BH$29=ProposalToGnatt[[#This Row],[Start Date]],Milestone_Marker,IF(AND(BH$29&gt;ProposalToGnatt[[#This Row],[Start Date]],BH$29&lt;ProposalToGnatt[[#This Row],[Start Date]]+ProposalToGnatt[[#This Row],[Days]]),$G$5,"")),"")</f>
        <v/>
      </c>
      <c r="BI60" s="37" t="str">
        <f ca="1">IFERROR(+IF(BI$29=ProposalToGnatt[[#This Row],[Start Date]],Milestone_Marker,IF(AND(BI$29&gt;ProposalToGnatt[[#This Row],[Start Date]],BI$29&lt;ProposalToGnatt[[#This Row],[Start Date]]+ProposalToGnatt[[#This Row],[Days]]),$G$5,"")),"")</f>
        <v/>
      </c>
      <c r="BJ60" s="37" t="str">
        <f ca="1">IFERROR(+IF(BJ$29=ProposalToGnatt[[#This Row],[Start Date]],Milestone_Marker,IF(AND(BJ$29&gt;ProposalToGnatt[[#This Row],[Start Date]],BJ$29&lt;ProposalToGnatt[[#This Row],[Start Date]]+ProposalToGnatt[[#This Row],[Days]]),$G$5,"")),"")</f>
        <v/>
      </c>
      <c r="BK60" s="37" t="str">
        <f ca="1">IFERROR(+IF(BK$29=ProposalToGnatt[[#This Row],[Start Date]],Milestone_Marker,IF(AND(BK$29&gt;ProposalToGnatt[[#This Row],[Start Date]],BK$29&lt;ProposalToGnatt[[#This Row],[Start Date]]+ProposalToGnatt[[#This Row],[Days]]),$G$5,"")),"")</f>
        <v/>
      </c>
      <c r="BL60" s="37" t="str">
        <f ca="1">IFERROR(+IF(BL$29=ProposalToGnatt[[#This Row],[Start Date]],Milestone_Marker,IF(AND(BL$29&gt;ProposalToGnatt[[#This Row],[Start Date]],BL$29&lt;ProposalToGnatt[[#This Row],[Start Date]]+ProposalToGnatt[[#This Row],[Days]]),$G$5,"")),"")</f>
        <v/>
      </c>
      <c r="BM60" s="37" t="str">
        <f ca="1">IFERROR(+IF(BM$29=ProposalToGnatt[[#This Row],[Start Date]],Milestone_Marker,IF(AND(BM$29&gt;ProposalToGnatt[[#This Row],[Start Date]],BM$29&lt;ProposalToGnatt[[#This Row],[Start Date]]+ProposalToGnatt[[#This Row],[Days]]),$G$5,"")),"")</f>
        <v/>
      </c>
      <c r="BN60" s="37" t="str">
        <f ca="1">IFERROR(+IF(BN$29=ProposalToGnatt[[#This Row],[Start Date]],Milestone_Marker,IF(AND(BN$29&gt;ProposalToGnatt[[#This Row],[Start Date]],BN$29&lt;ProposalToGnatt[[#This Row],[Start Date]]+ProposalToGnatt[[#This Row],[Days]]),$G$5,"")),"")</f>
        <v/>
      </c>
      <c r="BO60" s="37" t="str">
        <f ca="1">IFERROR(+IF(BO$29=ProposalToGnatt[[#This Row],[Start Date]],Milestone_Marker,IF(AND(BO$29&gt;ProposalToGnatt[[#This Row],[Start Date]],BO$29&lt;ProposalToGnatt[[#This Row],[Start Date]]+ProposalToGnatt[[#This Row],[Days]]),$G$5,"")),"")</f>
        <v/>
      </c>
      <c r="BP60" s="37" t="str">
        <f ca="1">IFERROR(+IF(BP$29=ProposalToGnatt[[#This Row],[Start Date]],Milestone_Marker,IF(AND(BP$29&gt;ProposalToGnatt[[#This Row],[Start Date]],BP$29&lt;ProposalToGnatt[[#This Row],[Start Date]]+ProposalToGnatt[[#This Row],[Days]]),$G$5,"")),"")</f>
        <v/>
      </c>
      <c r="BQ60" s="37" t="str">
        <f ca="1">IFERROR(+IF(BQ$29=ProposalToGnatt[[#This Row],[Start Date]],Milestone_Marker,IF(AND(BQ$29&gt;ProposalToGnatt[[#This Row],[Start Date]],BQ$29&lt;ProposalToGnatt[[#This Row],[Start Date]]+ProposalToGnatt[[#This Row],[Days]]),$G$5,"")),"")</f>
        <v/>
      </c>
      <c r="BR60" s="37" t="str">
        <f ca="1">IFERROR(+IF(BR$29=ProposalToGnatt[[#This Row],[Start Date]],Milestone_Marker,IF(AND(BR$29&gt;ProposalToGnatt[[#This Row],[Start Date]],BR$29&lt;ProposalToGnatt[[#This Row],[Start Date]]+ProposalToGnatt[[#This Row],[Days]]),$G$5,"")),"")</f>
        <v/>
      </c>
      <c r="BS60" s="37" t="str">
        <f ca="1">IFERROR(+IF(BS$29=ProposalToGnatt[[#This Row],[Start Date]],Milestone_Marker,IF(AND(BS$29&gt;ProposalToGnatt[[#This Row],[Start Date]],BS$29&lt;ProposalToGnatt[[#This Row],[Start Date]]+ProposalToGnatt[[#This Row],[Days]]),$G$5,"")),"")</f>
        <v/>
      </c>
      <c r="BT60" s="37" t="str">
        <f ca="1">IFERROR(+IF(BT$29=ProposalToGnatt[[#This Row],[Start Date]],Milestone_Marker,IF(AND(BT$29&gt;ProposalToGnatt[[#This Row],[Start Date]],BT$29&lt;ProposalToGnatt[[#This Row],[Start Date]]+ProposalToGnatt[[#This Row],[Days]]),$G$5,"")),"")</f>
        <v/>
      </c>
      <c r="BU60" s="37" t="str">
        <f ca="1">IFERROR(+IF(BU$29=ProposalToGnatt[[#This Row],[Start Date]],Milestone_Marker,IF(AND(BU$29&gt;ProposalToGnatt[[#This Row],[Start Date]],BU$29&lt;ProposalToGnatt[[#This Row],[Start Date]]+ProposalToGnatt[[#This Row],[Days]]),$G$5,"")),"")</f>
        <v/>
      </c>
      <c r="BV60" s="37" t="str">
        <f ca="1">IFERROR(+IF(BV$29=ProposalToGnatt[[#This Row],[Start Date]],Milestone_Marker,IF(AND(BV$29&gt;ProposalToGnatt[[#This Row],[Start Date]],BV$29&lt;ProposalToGnatt[[#This Row],[Start Date]]+ProposalToGnatt[[#This Row],[Days]]),$G$5,"")),"")</f>
        <v/>
      </c>
      <c r="BW60" s="37" t="str">
        <f ca="1">IFERROR(+IF(BW$29=ProposalToGnatt[[#This Row],[Start Date]],Milestone_Marker,IF(AND(BW$29&gt;ProposalToGnatt[[#This Row],[Start Date]],BW$29&lt;ProposalToGnatt[[#This Row],[Start Date]]+ProposalToGnatt[[#This Row],[Days]]),$G$5,"")),"")</f>
        <v/>
      </c>
      <c r="BX60" s="37" t="str">
        <f ca="1">IFERROR(+IF(BX$29=ProposalToGnatt[[#This Row],[Start Date]],Milestone_Marker,IF(AND(BX$29&gt;ProposalToGnatt[[#This Row],[Start Date]],BX$29&lt;ProposalToGnatt[[#This Row],[Start Date]]+ProposalToGnatt[[#This Row],[Days]]),$G$5,"")),"")</f>
        <v/>
      </c>
      <c r="BY60" s="37" t="str">
        <f ca="1">IFERROR(+IF(BY$29=ProposalToGnatt[[#This Row],[Start Date]],Milestone_Marker,IF(AND(BY$29&gt;ProposalToGnatt[[#This Row],[Start Date]],BY$29&lt;ProposalToGnatt[[#This Row],[Start Date]]+ProposalToGnatt[[#This Row],[Days]]),$G$5,"")),"")</f>
        <v/>
      </c>
      <c r="BZ60" s="37" t="str">
        <f ca="1">IFERROR(+IF(BZ$29=ProposalToGnatt[[#This Row],[Start Date]],Milestone_Marker,IF(AND(BZ$29&gt;ProposalToGnatt[[#This Row],[Start Date]],BZ$29&lt;ProposalToGnatt[[#This Row],[Start Date]]+ProposalToGnatt[[#This Row],[Days]]),$G$5,"")),"")</f>
        <v/>
      </c>
      <c r="CA60" s="37" t="str">
        <f ca="1">IFERROR(+IF(CA$29=ProposalToGnatt[[#This Row],[Start Date]],Milestone_Marker,IF(AND(CA$29&gt;ProposalToGnatt[[#This Row],[Start Date]],CA$29&lt;ProposalToGnatt[[#This Row],[Start Date]]+ProposalToGnatt[[#This Row],[Days]]),$G$5,"")),"")</f>
        <v/>
      </c>
      <c r="CB60" s="37" t="str">
        <f ca="1">IFERROR(+IF(CB$29=ProposalToGnatt[[#This Row],[Start Date]],Milestone_Marker,IF(AND(CB$29&gt;ProposalToGnatt[[#This Row],[Start Date]],CB$29&lt;ProposalToGnatt[[#This Row],[Start Date]]+ProposalToGnatt[[#This Row],[Days]]),$G$5,"")),"")</f>
        <v/>
      </c>
      <c r="CC60" s="37" t="str">
        <f ca="1">IFERROR(+IF(CC$29=ProposalToGnatt[[#This Row],[Start Date]],Milestone_Marker,IF(AND(CC$29&gt;ProposalToGnatt[[#This Row],[Start Date]],CC$29&lt;ProposalToGnatt[[#This Row],[Start Date]]+ProposalToGnatt[[#This Row],[Days]]),$G$5,"")),"")</f>
        <v/>
      </c>
      <c r="CD60" s="37" t="str">
        <f ca="1">IFERROR(+IF(CD$29=ProposalToGnatt[[#This Row],[Start Date]],Milestone_Marker,IF(AND(CD$29&gt;ProposalToGnatt[[#This Row],[Start Date]],CD$29&lt;ProposalToGnatt[[#This Row],[Start Date]]+ProposalToGnatt[[#This Row],[Days]]),$G$5,"")),"")</f>
        <v/>
      </c>
      <c r="CE60" s="37" t="str">
        <f ca="1">IFERROR(+IF(CE$29=ProposalToGnatt[[#This Row],[Start Date]],Milestone_Marker,IF(AND(CE$29&gt;ProposalToGnatt[[#This Row],[Start Date]],CE$29&lt;ProposalToGnatt[[#This Row],[Start Date]]+ProposalToGnatt[[#This Row],[Days]]),$G$5,"")),"")</f>
        <v/>
      </c>
      <c r="CF60" s="37" t="str">
        <f ca="1">IFERROR(+IF(CF$29=ProposalToGnatt[[#This Row],[Start Date]],Milestone_Marker,IF(AND(CF$29&gt;ProposalToGnatt[[#This Row],[Start Date]],CF$29&lt;ProposalToGnatt[[#This Row],[Start Date]]+ProposalToGnatt[[#This Row],[Days]]),$G$5,"")),"")</f>
        <v/>
      </c>
      <c r="CG60" s="37" t="str">
        <f ca="1">IFERROR(+IF(CG$29=ProposalToGnatt[[#This Row],[Start Date]],Milestone_Marker,IF(AND(CG$29&gt;ProposalToGnatt[[#This Row],[Start Date]],CG$29&lt;ProposalToGnatt[[#This Row],[Start Date]]+ProposalToGnatt[[#This Row],[Days]]),$G$5,"")),"")</f>
        <v/>
      </c>
      <c r="CH60" s="37" t="str">
        <f ca="1">IFERROR(+IF(CH$29=ProposalToGnatt[[#This Row],[Start Date]],Milestone_Marker,IF(AND(CH$29&gt;ProposalToGnatt[[#This Row],[Start Date]],CH$29&lt;ProposalToGnatt[[#This Row],[Start Date]]+ProposalToGnatt[[#This Row],[Days]]),$G$5,"")),"")</f>
        <v/>
      </c>
      <c r="CI60" s="37" t="str">
        <f ca="1">IFERROR(+IF(CI$29=ProposalToGnatt[[#This Row],[Start Date]],Milestone_Marker,IF(AND(CI$29&gt;ProposalToGnatt[[#This Row],[Start Date]],CI$29&lt;ProposalToGnatt[[#This Row],[Start Date]]+ProposalToGnatt[[#This Row],[Days]]),$G$5,"")),"")</f>
        <v/>
      </c>
      <c r="CJ60" s="37" t="str">
        <f ca="1">IFERROR(+IF(CJ$29=ProposalToGnatt[[#This Row],[Start Date]],Milestone_Marker,IF(AND(CJ$29&gt;ProposalToGnatt[[#This Row],[Start Date]],CJ$29&lt;ProposalToGnatt[[#This Row],[Start Date]]+ProposalToGnatt[[#This Row],[Days]]),$G$5,"")),"")</f>
        <v/>
      </c>
      <c r="CK60" s="37" t="str">
        <f ca="1">IFERROR(+IF(CK$29=ProposalToGnatt[[#This Row],[Start Date]],Milestone_Marker,IF(AND(CK$29&gt;ProposalToGnatt[[#This Row],[Start Date]],CK$29&lt;ProposalToGnatt[[#This Row],[Start Date]]+ProposalToGnatt[[#This Row],[Days]]),$G$5,"")),"")</f>
        <v/>
      </c>
      <c r="CL60" s="37" t="str">
        <f ca="1">IFERROR(+IF(CL$29=ProposalToGnatt[[#This Row],[Start Date]],Milestone_Marker,IF(AND(CL$29&gt;ProposalToGnatt[[#This Row],[Start Date]],CL$29&lt;ProposalToGnatt[[#This Row],[Start Date]]+ProposalToGnatt[[#This Row],[Days]]),$G$5,"")),"")</f>
        <v/>
      </c>
      <c r="CM60" s="37" t="str">
        <f ca="1">IFERROR(+IF(CM$29=ProposalToGnatt[[#This Row],[Start Date]],Milestone_Marker,IF(AND(CM$29&gt;ProposalToGnatt[[#This Row],[Start Date]],CM$29&lt;ProposalToGnatt[[#This Row],[Start Date]]+ProposalToGnatt[[#This Row],[Days]]),$G$5,"")),"")</f>
        <v/>
      </c>
      <c r="CN60" s="37" t="str">
        <f ca="1">IFERROR(+IF(CN$29=ProposalToGnatt[[#This Row],[Start Date]],Milestone_Marker,IF(AND(CN$29&gt;ProposalToGnatt[[#This Row],[Start Date]],CN$29&lt;ProposalToGnatt[[#This Row],[Start Date]]+ProposalToGnatt[[#This Row],[Days]]),$G$5,"")),"")</f>
        <v/>
      </c>
      <c r="CO60" s="37" t="str">
        <f ca="1">IFERROR(+IF(CO$29=ProposalToGnatt[[#This Row],[Start Date]],Milestone_Marker,IF(AND(CO$29&gt;ProposalToGnatt[[#This Row],[Start Date]],CO$29&lt;ProposalToGnatt[[#This Row],[Start Date]]+ProposalToGnatt[[#This Row],[Days]]),$G$5,"")),"")</f>
        <v/>
      </c>
      <c r="CP60" s="37" t="str">
        <f ca="1">IFERROR(+IF(CP$29=ProposalToGnatt[[#This Row],[Start Date]],Milestone_Marker,IF(AND(CP$29&gt;ProposalToGnatt[[#This Row],[Start Date]],CP$29&lt;ProposalToGnatt[[#This Row],[Start Date]]+ProposalToGnatt[[#This Row],[Days]]),$G$5,"")),"")</f>
        <v/>
      </c>
      <c r="CQ60" s="37" t="str">
        <f ca="1">IFERROR(+IF(CQ$29=ProposalToGnatt[[#This Row],[Start Date]],Milestone_Marker,IF(AND(CQ$29&gt;ProposalToGnatt[[#This Row],[Start Date]],CQ$29&lt;ProposalToGnatt[[#This Row],[Start Date]]+ProposalToGnatt[[#This Row],[Days]]),$G$5,"")),"")</f>
        <v/>
      </c>
      <c r="CR60" s="37" t="str">
        <f ca="1">IFERROR(+IF(CR$29=ProposalToGnatt[[#This Row],[Start Date]],Milestone_Marker,IF(AND(CR$29&gt;ProposalToGnatt[[#This Row],[Start Date]],CR$29&lt;ProposalToGnatt[[#This Row],[Start Date]]+ProposalToGnatt[[#This Row],[Days]]),$G$5,"")),"")</f>
        <v/>
      </c>
      <c r="CS60" s="37" t="str">
        <f ca="1">IFERROR(+IF(CS$29=ProposalToGnatt[[#This Row],[Start Date]],Milestone_Marker,IF(AND(CS$29&gt;ProposalToGnatt[[#This Row],[Start Date]],CS$29&lt;ProposalToGnatt[[#This Row],[Start Date]]+ProposalToGnatt[[#This Row],[Days]]),$G$5,"")),"")</f>
        <v/>
      </c>
      <c r="CT60" s="37" t="str">
        <f ca="1">IFERROR(+IF(CT$29=ProposalToGnatt[[#This Row],[Start Date]],Milestone_Marker,IF(AND(CT$29&gt;ProposalToGnatt[[#This Row],[Start Date]],CT$29&lt;ProposalToGnatt[[#This Row],[Start Date]]+ProposalToGnatt[[#This Row],[Days]]),$G$5,"")),"")</f>
        <v/>
      </c>
      <c r="CU60" s="37" t="str">
        <f ca="1">IFERROR(+IF(CU$29=ProposalToGnatt[[#This Row],[Start Date]],Milestone_Marker,IF(AND(CU$29&gt;ProposalToGnatt[[#This Row],[Start Date]],CU$29&lt;ProposalToGnatt[[#This Row],[Start Date]]+ProposalToGnatt[[#This Row],[Days]]),$G$5,"")),"")</f>
        <v/>
      </c>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row>
    <row r="61" spans="1:125" s="42" customFormat="1" ht="15">
      <c r="A61" s="105"/>
      <c r="B61" s="106"/>
      <c r="C61" s="107"/>
      <c r="D61" s="105"/>
      <c r="E61" s="25"/>
      <c r="F61" s="36"/>
      <c r="G61" s="364"/>
      <c r="H61" s="365"/>
      <c r="I61"/>
      <c r="J61" s="36"/>
      <c r="K61" s="368"/>
      <c r="L61" s="36"/>
      <c r="M61" s="36"/>
      <c r="N61" s="36"/>
      <c r="O61" s="365"/>
      <c r="P61" s="37" t="str">
        <f ca="1">IFERROR(+IF(P$29=ProposalToGnatt[[#This Row],[Start Date]],Milestone_Marker,IF(AND(P$29&gt;ProposalToGnatt[[#This Row],[Start Date]],P$29&lt;ProposalToGnatt[[#This Row],[Start Date]]+ProposalToGnatt[[#This Row],[Days]]),$G$5,"")),"")</f>
        <v/>
      </c>
      <c r="Q61" s="37" t="str">
        <f ca="1">IFERROR(+IF(Q$29=ProposalToGnatt[[#This Row],[Start Date]],Milestone_Marker,IF(AND(Q$29&gt;ProposalToGnatt[[#This Row],[Start Date]],Q$29&lt;ProposalToGnatt[[#This Row],[Start Date]]+ProposalToGnatt[[#This Row],[Days]]),$G$5,"")),"")</f>
        <v/>
      </c>
      <c r="R61" s="37" t="str">
        <f ca="1">IFERROR(+IF(R$29=ProposalToGnatt[[#This Row],[Start Date]],Milestone_Marker,IF(AND(R$29&gt;ProposalToGnatt[[#This Row],[Start Date]],R$29&lt;ProposalToGnatt[[#This Row],[Start Date]]+ProposalToGnatt[[#This Row],[Days]]),$G$5,"")),"")</f>
        <v/>
      </c>
      <c r="S61" s="37" t="str">
        <f ca="1">IFERROR(+IF(S$29=ProposalToGnatt[[#This Row],[Start Date]],Milestone_Marker,IF(AND(S$29&gt;ProposalToGnatt[[#This Row],[Start Date]],S$29&lt;ProposalToGnatt[[#This Row],[Start Date]]+ProposalToGnatt[[#This Row],[Days]]),$G$5,"")),"")</f>
        <v/>
      </c>
      <c r="T61" s="37" t="str">
        <f ca="1">IFERROR(+IF(T$29=ProposalToGnatt[[#This Row],[Start Date]],Milestone_Marker,IF(AND(T$29&gt;ProposalToGnatt[[#This Row],[Start Date]],T$29&lt;ProposalToGnatt[[#This Row],[Start Date]]+ProposalToGnatt[[#This Row],[Days]]),$G$5,"")),"")</f>
        <v/>
      </c>
      <c r="U61" s="37" t="str">
        <f ca="1">IFERROR(+IF(U$29=ProposalToGnatt[[#This Row],[Start Date]],Milestone_Marker,IF(AND(U$29&gt;ProposalToGnatt[[#This Row],[Start Date]],U$29&lt;ProposalToGnatt[[#This Row],[Start Date]]+ProposalToGnatt[[#This Row],[Days]]),$G$5,"")),"")</f>
        <v/>
      </c>
      <c r="V61" s="37" t="str">
        <f ca="1">IFERROR(+IF(V$29=ProposalToGnatt[[#This Row],[Start Date]],Milestone_Marker,IF(AND(V$29&gt;ProposalToGnatt[[#This Row],[Start Date]],V$29&lt;ProposalToGnatt[[#This Row],[Start Date]]+ProposalToGnatt[[#This Row],[Days]]),$G$5,"")),"")</f>
        <v/>
      </c>
      <c r="W61" s="37" t="str">
        <f ca="1">IFERROR(+IF(W$29=ProposalToGnatt[[#This Row],[Start Date]],Milestone_Marker,IF(AND(W$29&gt;ProposalToGnatt[[#This Row],[Start Date]],W$29&lt;ProposalToGnatt[[#This Row],[Start Date]]+ProposalToGnatt[[#This Row],[Days]]),$G$5,"")),"")</f>
        <v/>
      </c>
      <c r="X61" s="37" t="str">
        <f ca="1">IFERROR(+IF(X$29=ProposalToGnatt[[#This Row],[Start Date]],Milestone_Marker,IF(AND(X$29&gt;ProposalToGnatt[[#This Row],[Start Date]],X$29&lt;ProposalToGnatt[[#This Row],[Start Date]]+ProposalToGnatt[[#This Row],[Days]]),$G$5,"")),"")</f>
        <v/>
      </c>
      <c r="Y61" s="37" t="str">
        <f ca="1">IFERROR(+IF(Y$29=ProposalToGnatt[[#This Row],[Start Date]],Milestone_Marker,IF(AND(Y$29&gt;ProposalToGnatt[[#This Row],[Start Date]],Y$29&lt;ProposalToGnatt[[#This Row],[Start Date]]+ProposalToGnatt[[#This Row],[Days]]),$G$5,"")),"")</f>
        <v/>
      </c>
      <c r="Z61" s="37" t="str">
        <f ca="1">IFERROR(+IF(Z$29=ProposalToGnatt[[#This Row],[Start Date]],Milestone_Marker,IF(AND(Z$29&gt;ProposalToGnatt[[#This Row],[Start Date]],Z$29&lt;ProposalToGnatt[[#This Row],[Start Date]]+ProposalToGnatt[[#This Row],[Days]]),$G$5,"")),"")</f>
        <v/>
      </c>
      <c r="AA61" s="37" t="str">
        <f ca="1">IFERROR(+IF(AA$29=ProposalToGnatt[[#This Row],[Start Date]],Milestone_Marker,IF(AND(AA$29&gt;ProposalToGnatt[[#This Row],[Start Date]],AA$29&lt;ProposalToGnatt[[#This Row],[Start Date]]+ProposalToGnatt[[#This Row],[Days]]),$G$5,"")),"")</f>
        <v/>
      </c>
      <c r="AB61" s="37" t="str">
        <f ca="1">IFERROR(+IF(AB$29=ProposalToGnatt[[#This Row],[Start Date]],Milestone_Marker,IF(AND(AB$29&gt;ProposalToGnatt[[#This Row],[Start Date]],AB$29&lt;ProposalToGnatt[[#This Row],[Start Date]]+ProposalToGnatt[[#This Row],[Days]]),$G$5,"")),"")</f>
        <v/>
      </c>
      <c r="AC61" s="37" t="str">
        <f ca="1">IFERROR(+IF(AC$29=ProposalToGnatt[[#This Row],[Start Date]],Milestone_Marker,IF(AND(AC$29&gt;ProposalToGnatt[[#This Row],[Start Date]],AC$29&lt;ProposalToGnatt[[#This Row],[Start Date]]+ProposalToGnatt[[#This Row],[Days]]),$G$5,"")),"")</f>
        <v/>
      </c>
      <c r="AD61" s="37" t="str">
        <f ca="1">IFERROR(+IF(AD$29=ProposalToGnatt[[#This Row],[Start Date]],Milestone_Marker,IF(AND(AD$29&gt;ProposalToGnatt[[#This Row],[Start Date]],AD$29&lt;ProposalToGnatt[[#This Row],[Start Date]]+ProposalToGnatt[[#This Row],[Days]]),$G$5,"")),"")</f>
        <v/>
      </c>
      <c r="AE61" s="37" t="str">
        <f ca="1">IFERROR(+IF(AE$29=ProposalToGnatt[[#This Row],[Start Date]],Milestone_Marker,IF(AND(AE$29&gt;ProposalToGnatt[[#This Row],[Start Date]],AE$29&lt;ProposalToGnatt[[#This Row],[Start Date]]+ProposalToGnatt[[#This Row],[Days]]),$G$5,"")),"")</f>
        <v/>
      </c>
      <c r="AF61" s="37" t="str">
        <f ca="1">IFERROR(+IF(AF$29=ProposalToGnatt[[#This Row],[Start Date]],Milestone_Marker,IF(AND(AF$29&gt;ProposalToGnatt[[#This Row],[Start Date]],AF$29&lt;ProposalToGnatt[[#This Row],[Start Date]]+ProposalToGnatt[[#This Row],[Days]]),$G$5,"")),"")</f>
        <v/>
      </c>
      <c r="AG61" s="37" t="str">
        <f ca="1">IFERROR(+IF(AG$29=ProposalToGnatt[[#This Row],[Start Date]],Milestone_Marker,IF(AND(AG$29&gt;ProposalToGnatt[[#This Row],[Start Date]],AG$29&lt;ProposalToGnatt[[#This Row],[Start Date]]+ProposalToGnatt[[#This Row],[Days]]),$G$5,"")),"")</f>
        <v/>
      </c>
      <c r="AH61" s="37" t="str">
        <f ca="1">IFERROR(+IF(AH$29=ProposalToGnatt[[#This Row],[Start Date]],Milestone_Marker,IF(AND(AH$29&gt;ProposalToGnatt[[#This Row],[Start Date]],AH$29&lt;ProposalToGnatt[[#This Row],[Start Date]]+ProposalToGnatt[[#This Row],[Days]]),$G$5,"")),"")</f>
        <v/>
      </c>
      <c r="AI61" s="37" t="str">
        <f ca="1">IFERROR(+IF(AI$29=ProposalToGnatt[[#This Row],[Start Date]],Milestone_Marker,IF(AND(AI$29&gt;ProposalToGnatt[[#This Row],[Start Date]],AI$29&lt;ProposalToGnatt[[#This Row],[Start Date]]+ProposalToGnatt[[#This Row],[Days]]),$G$5,"")),"")</f>
        <v/>
      </c>
      <c r="AJ61" s="37" t="str">
        <f ca="1">IFERROR(+IF(AJ$29=ProposalToGnatt[[#This Row],[Start Date]],Milestone_Marker,IF(AND(AJ$29&gt;ProposalToGnatt[[#This Row],[Start Date]],AJ$29&lt;ProposalToGnatt[[#This Row],[Start Date]]+ProposalToGnatt[[#This Row],[Days]]),$G$5,"")),"")</f>
        <v/>
      </c>
      <c r="AK61" s="37" t="str">
        <f ca="1">IFERROR(+IF(AK$29=ProposalToGnatt[[#This Row],[Start Date]],Milestone_Marker,IF(AND(AK$29&gt;ProposalToGnatt[[#This Row],[Start Date]],AK$29&lt;ProposalToGnatt[[#This Row],[Start Date]]+ProposalToGnatt[[#This Row],[Days]]),$G$5,"")),"")</f>
        <v/>
      </c>
      <c r="AL61" s="37" t="str">
        <f ca="1">IFERROR(+IF(AL$29=ProposalToGnatt[[#This Row],[Start Date]],Milestone_Marker,IF(AND(AL$29&gt;ProposalToGnatt[[#This Row],[Start Date]],AL$29&lt;ProposalToGnatt[[#This Row],[Start Date]]+ProposalToGnatt[[#This Row],[Days]]),$G$5,"")),"")</f>
        <v/>
      </c>
      <c r="AM61" s="37" t="str">
        <f ca="1">IFERROR(+IF(AM$29=ProposalToGnatt[[#This Row],[Start Date]],Milestone_Marker,IF(AND(AM$29&gt;ProposalToGnatt[[#This Row],[Start Date]],AM$29&lt;ProposalToGnatt[[#This Row],[Start Date]]+ProposalToGnatt[[#This Row],[Days]]),$G$5,"")),"")</f>
        <v/>
      </c>
      <c r="AN61" s="37" t="str">
        <f ca="1">IFERROR(+IF(AN$29=ProposalToGnatt[[#This Row],[Start Date]],Milestone_Marker,IF(AND(AN$29&gt;ProposalToGnatt[[#This Row],[Start Date]],AN$29&lt;ProposalToGnatt[[#This Row],[Start Date]]+ProposalToGnatt[[#This Row],[Days]]),$G$5,"")),"")</f>
        <v/>
      </c>
      <c r="AO61" s="37" t="str">
        <f ca="1">IFERROR(+IF(AO$29=ProposalToGnatt[[#This Row],[Start Date]],Milestone_Marker,IF(AND(AO$29&gt;ProposalToGnatt[[#This Row],[Start Date]],AO$29&lt;ProposalToGnatt[[#This Row],[Start Date]]+ProposalToGnatt[[#This Row],[Days]]),$G$5,"")),"")</f>
        <v/>
      </c>
      <c r="AP61" s="37" t="str">
        <f ca="1">IFERROR(+IF(AP$29=ProposalToGnatt[[#This Row],[Start Date]],Milestone_Marker,IF(AND(AP$29&gt;ProposalToGnatt[[#This Row],[Start Date]],AP$29&lt;ProposalToGnatt[[#This Row],[Start Date]]+ProposalToGnatt[[#This Row],[Days]]),$G$5,"")),"")</f>
        <v/>
      </c>
      <c r="AQ61" s="37" t="str">
        <f ca="1">IFERROR(+IF(AQ$29=ProposalToGnatt[[#This Row],[Start Date]],Milestone_Marker,IF(AND(AQ$29&gt;ProposalToGnatt[[#This Row],[Start Date]],AQ$29&lt;ProposalToGnatt[[#This Row],[Start Date]]+ProposalToGnatt[[#This Row],[Days]]),$G$5,"")),"")</f>
        <v/>
      </c>
      <c r="AR61" s="37" t="str">
        <f ca="1">IFERROR(+IF(AR$29=ProposalToGnatt[[#This Row],[Start Date]],Milestone_Marker,IF(AND(AR$29&gt;ProposalToGnatt[[#This Row],[Start Date]],AR$29&lt;ProposalToGnatt[[#This Row],[Start Date]]+ProposalToGnatt[[#This Row],[Days]]),$G$5,"")),"")</f>
        <v/>
      </c>
      <c r="AS61" s="37" t="str">
        <f ca="1">IFERROR(+IF(AS$29=ProposalToGnatt[[#This Row],[Start Date]],Milestone_Marker,IF(AND(AS$29&gt;ProposalToGnatt[[#This Row],[Start Date]],AS$29&lt;ProposalToGnatt[[#This Row],[Start Date]]+ProposalToGnatt[[#This Row],[Days]]),$G$5,"")),"")</f>
        <v/>
      </c>
      <c r="AT61" s="37" t="str">
        <f ca="1">IFERROR(+IF(AT$29=ProposalToGnatt[[#This Row],[Start Date]],Milestone_Marker,IF(AND(AT$29&gt;ProposalToGnatt[[#This Row],[Start Date]],AT$29&lt;ProposalToGnatt[[#This Row],[Start Date]]+ProposalToGnatt[[#This Row],[Days]]),$G$5,"")),"")</f>
        <v/>
      </c>
      <c r="AU61" s="37" t="str">
        <f ca="1">IFERROR(+IF(AU$29=ProposalToGnatt[[#This Row],[Start Date]],Milestone_Marker,IF(AND(AU$29&gt;ProposalToGnatt[[#This Row],[Start Date]],AU$29&lt;ProposalToGnatt[[#This Row],[Start Date]]+ProposalToGnatt[[#This Row],[Days]]),$G$5,"")),"")</f>
        <v/>
      </c>
      <c r="AV61" s="37" t="str">
        <f ca="1">IFERROR(+IF(AV$29=ProposalToGnatt[[#This Row],[Start Date]],Milestone_Marker,IF(AND(AV$29&gt;ProposalToGnatt[[#This Row],[Start Date]],AV$29&lt;ProposalToGnatt[[#This Row],[Start Date]]+ProposalToGnatt[[#This Row],[Days]]),$G$5,"")),"")</f>
        <v/>
      </c>
      <c r="AW61" s="37" t="str">
        <f ca="1">IFERROR(+IF(AW$29=ProposalToGnatt[[#This Row],[Start Date]],Milestone_Marker,IF(AND(AW$29&gt;ProposalToGnatt[[#This Row],[Start Date]],AW$29&lt;ProposalToGnatt[[#This Row],[Start Date]]+ProposalToGnatt[[#This Row],[Days]]),$G$5,"")),"")</f>
        <v/>
      </c>
      <c r="AX61" s="37" t="str">
        <f ca="1">IFERROR(+IF(AX$29=ProposalToGnatt[[#This Row],[Start Date]],Milestone_Marker,IF(AND(AX$29&gt;ProposalToGnatt[[#This Row],[Start Date]],AX$29&lt;ProposalToGnatt[[#This Row],[Start Date]]+ProposalToGnatt[[#This Row],[Days]]),$G$5,"")),"")</f>
        <v/>
      </c>
      <c r="AY61" s="37" t="str">
        <f ca="1">IFERROR(+IF(AY$29=ProposalToGnatt[[#This Row],[Start Date]],Milestone_Marker,IF(AND(AY$29&gt;ProposalToGnatt[[#This Row],[Start Date]],AY$29&lt;ProposalToGnatt[[#This Row],[Start Date]]+ProposalToGnatt[[#This Row],[Days]]),$G$5,"")),"")</f>
        <v/>
      </c>
      <c r="AZ61" s="37" t="str">
        <f ca="1">IFERROR(+IF(AZ$29=ProposalToGnatt[[#This Row],[Start Date]],Milestone_Marker,IF(AND(AZ$29&gt;ProposalToGnatt[[#This Row],[Start Date]],AZ$29&lt;ProposalToGnatt[[#This Row],[Start Date]]+ProposalToGnatt[[#This Row],[Days]]),$G$5,"")),"")</f>
        <v/>
      </c>
      <c r="BA61" s="37" t="str">
        <f ca="1">IFERROR(+IF(BA$29=ProposalToGnatt[[#This Row],[Start Date]],Milestone_Marker,IF(AND(BA$29&gt;ProposalToGnatt[[#This Row],[Start Date]],BA$29&lt;ProposalToGnatt[[#This Row],[Start Date]]+ProposalToGnatt[[#This Row],[Days]]),$G$5,"")),"")</f>
        <v/>
      </c>
      <c r="BB61" s="37" t="str">
        <f ca="1">IFERROR(+IF(BB$29=ProposalToGnatt[[#This Row],[Start Date]],Milestone_Marker,IF(AND(BB$29&gt;ProposalToGnatt[[#This Row],[Start Date]],BB$29&lt;ProposalToGnatt[[#This Row],[Start Date]]+ProposalToGnatt[[#This Row],[Days]]),$G$5,"")),"")</f>
        <v/>
      </c>
      <c r="BC61" s="37" t="str">
        <f ca="1">IFERROR(+IF(BC$29=ProposalToGnatt[[#This Row],[Start Date]],Milestone_Marker,IF(AND(BC$29&gt;ProposalToGnatt[[#This Row],[Start Date]],BC$29&lt;ProposalToGnatt[[#This Row],[Start Date]]+ProposalToGnatt[[#This Row],[Days]]),$G$5,"")),"")</f>
        <v/>
      </c>
      <c r="BD61" s="37" t="str">
        <f ca="1">IFERROR(+IF(BD$29=ProposalToGnatt[[#This Row],[Start Date]],Milestone_Marker,IF(AND(BD$29&gt;ProposalToGnatt[[#This Row],[Start Date]],BD$29&lt;ProposalToGnatt[[#This Row],[Start Date]]+ProposalToGnatt[[#This Row],[Days]]),$G$5,"")),"")</f>
        <v/>
      </c>
      <c r="BE61" s="37" t="str">
        <f ca="1">IFERROR(+IF(BE$29=ProposalToGnatt[[#This Row],[Start Date]],Milestone_Marker,IF(AND(BE$29&gt;ProposalToGnatt[[#This Row],[Start Date]],BE$29&lt;ProposalToGnatt[[#This Row],[Start Date]]+ProposalToGnatt[[#This Row],[Days]]),$G$5,"")),"")</f>
        <v/>
      </c>
      <c r="BF61" s="37" t="str">
        <f ca="1">IFERROR(+IF(BF$29=ProposalToGnatt[[#This Row],[Start Date]],Milestone_Marker,IF(AND(BF$29&gt;ProposalToGnatt[[#This Row],[Start Date]],BF$29&lt;ProposalToGnatt[[#This Row],[Start Date]]+ProposalToGnatt[[#This Row],[Days]]),$G$5,"")),"")</f>
        <v/>
      </c>
      <c r="BG61" s="37" t="str">
        <f ca="1">IFERROR(+IF(BG$29=ProposalToGnatt[[#This Row],[Start Date]],Milestone_Marker,IF(AND(BG$29&gt;ProposalToGnatt[[#This Row],[Start Date]],BG$29&lt;ProposalToGnatt[[#This Row],[Start Date]]+ProposalToGnatt[[#This Row],[Days]]),$G$5,"")),"")</f>
        <v/>
      </c>
      <c r="BH61" s="37" t="str">
        <f ca="1">IFERROR(+IF(BH$29=ProposalToGnatt[[#This Row],[Start Date]],Milestone_Marker,IF(AND(BH$29&gt;ProposalToGnatt[[#This Row],[Start Date]],BH$29&lt;ProposalToGnatt[[#This Row],[Start Date]]+ProposalToGnatt[[#This Row],[Days]]),$G$5,"")),"")</f>
        <v/>
      </c>
      <c r="BI61" s="37" t="str">
        <f ca="1">IFERROR(+IF(BI$29=ProposalToGnatt[[#This Row],[Start Date]],Milestone_Marker,IF(AND(BI$29&gt;ProposalToGnatt[[#This Row],[Start Date]],BI$29&lt;ProposalToGnatt[[#This Row],[Start Date]]+ProposalToGnatt[[#This Row],[Days]]),$G$5,"")),"")</f>
        <v/>
      </c>
      <c r="BJ61" s="37" t="str">
        <f ca="1">IFERROR(+IF(BJ$29=ProposalToGnatt[[#This Row],[Start Date]],Milestone_Marker,IF(AND(BJ$29&gt;ProposalToGnatt[[#This Row],[Start Date]],BJ$29&lt;ProposalToGnatt[[#This Row],[Start Date]]+ProposalToGnatt[[#This Row],[Days]]),$G$5,"")),"")</f>
        <v/>
      </c>
      <c r="BK61" s="37" t="str">
        <f ca="1">IFERROR(+IF(BK$29=ProposalToGnatt[[#This Row],[Start Date]],Milestone_Marker,IF(AND(BK$29&gt;ProposalToGnatt[[#This Row],[Start Date]],BK$29&lt;ProposalToGnatt[[#This Row],[Start Date]]+ProposalToGnatt[[#This Row],[Days]]),$G$5,"")),"")</f>
        <v/>
      </c>
      <c r="BL61" s="37" t="str">
        <f ca="1">IFERROR(+IF(BL$29=ProposalToGnatt[[#This Row],[Start Date]],Milestone_Marker,IF(AND(BL$29&gt;ProposalToGnatt[[#This Row],[Start Date]],BL$29&lt;ProposalToGnatt[[#This Row],[Start Date]]+ProposalToGnatt[[#This Row],[Days]]),$G$5,"")),"")</f>
        <v/>
      </c>
      <c r="BM61" s="37" t="str">
        <f ca="1">IFERROR(+IF(BM$29=ProposalToGnatt[[#This Row],[Start Date]],Milestone_Marker,IF(AND(BM$29&gt;ProposalToGnatt[[#This Row],[Start Date]],BM$29&lt;ProposalToGnatt[[#This Row],[Start Date]]+ProposalToGnatt[[#This Row],[Days]]),$G$5,"")),"")</f>
        <v/>
      </c>
      <c r="BN61" s="37" t="str">
        <f ca="1">IFERROR(+IF(BN$29=ProposalToGnatt[[#This Row],[Start Date]],Milestone_Marker,IF(AND(BN$29&gt;ProposalToGnatt[[#This Row],[Start Date]],BN$29&lt;ProposalToGnatt[[#This Row],[Start Date]]+ProposalToGnatt[[#This Row],[Days]]),$G$5,"")),"")</f>
        <v/>
      </c>
      <c r="BO61" s="37" t="str">
        <f ca="1">IFERROR(+IF(BO$29=ProposalToGnatt[[#This Row],[Start Date]],Milestone_Marker,IF(AND(BO$29&gt;ProposalToGnatt[[#This Row],[Start Date]],BO$29&lt;ProposalToGnatt[[#This Row],[Start Date]]+ProposalToGnatt[[#This Row],[Days]]),$G$5,"")),"")</f>
        <v/>
      </c>
      <c r="BP61" s="37" t="str">
        <f ca="1">IFERROR(+IF(BP$29=ProposalToGnatt[[#This Row],[Start Date]],Milestone_Marker,IF(AND(BP$29&gt;ProposalToGnatt[[#This Row],[Start Date]],BP$29&lt;ProposalToGnatt[[#This Row],[Start Date]]+ProposalToGnatt[[#This Row],[Days]]),$G$5,"")),"")</f>
        <v/>
      </c>
      <c r="BQ61" s="37" t="str">
        <f ca="1">IFERROR(+IF(BQ$29=ProposalToGnatt[[#This Row],[Start Date]],Milestone_Marker,IF(AND(BQ$29&gt;ProposalToGnatt[[#This Row],[Start Date]],BQ$29&lt;ProposalToGnatt[[#This Row],[Start Date]]+ProposalToGnatt[[#This Row],[Days]]),$G$5,"")),"")</f>
        <v/>
      </c>
      <c r="BR61" s="37" t="str">
        <f ca="1">IFERROR(+IF(BR$29=ProposalToGnatt[[#This Row],[Start Date]],Milestone_Marker,IF(AND(BR$29&gt;ProposalToGnatt[[#This Row],[Start Date]],BR$29&lt;ProposalToGnatt[[#This Row],[Start Date]]+ProposalToGnatt[[#This Row],[Days]]),$G$5,"")),"")</f>
        <v/>
      </c>
      <c r="BS61" s="37" t="str">
        <f ca="1">IFERROR(+IF(BS$29=ProposalToGnatt[[#This Row],[Start Date]],Milestone_Marker,IF(AND(BS$29&gt;ProposalToGnatt[[#This Row],[Start Date]],BS$29&lt;ProposalToGnatt[[#This Row],[Start Date]]+ProposalToGnatt[[#This Row],[Days]]),$G$5,"")),"")</f>
        <v/>
      </c>
      <c r="BT61" s="37" t="str">
        <f ca="1">IFERROR(+IF(BT$29=ProposalToGnatt[[#This Row],[Start Date]],Milestone_Marker,IF(AND(BT$29&gt;ProposalToGnatt[[#This Row],[Start Date]],BT$29&lt;ProposalToGnatt[[#This Row],[Start Date]]+ProposalToGnatt[[#This Row],[Days]]),$G$5,"")),"")</f>
        <v/>
      </c>
      <c r="BU61" s="37" t="str">
        <f ca="1">IFERROR(+IF(BU$29=ProposalToGnatt[[#This Row],[Start Date]],Milestone_Marker,IF(AND(BU$29&gt;ProposalToGnatt[[#This Row],[Start Date]],BU$29&lt;ProposalToGnatt[[#This Row],[Start Date]]+ProposalToGnatt[[#This Row],[Days]]),$G$5,"")),"")</f>
        <v/>
      </c>
      <c r="BV61" s="37" t="str">
        <f ca="1">IFERROR(+IF(BV$29=ProposalToGnatt[[#This Row],[Start Date]],Milestone_Marker,IF(AND(BV$29&gt;ProposalToGnatt[[#This Row],[Start Date]],BV$29&lt;ProposalToGnatt[[#This Row],[Start Date]]+ProposalToGnatt[[#This Row],[Days]]),$G$5,"")),"")</f>
        <v/>
      </c>
      <c r="BW61" s="37" t="str">
        <f ca="1">IFERROR(+IF(BW$29=ProposalToGnatt[[#This Row],[Start Date]],Milestone_Marker,IF(AND(BW$29&gt;ProposalToGnatt[[#This Row],[Start Date]],BW$29&lt;ProposalToGnatt[[#This Row],[Start Date]]+ProposalToGnatt[[#This Row],[Days]]),$G$5,"")),"")</f>
        <v/>
      </c>
      <c r="BX61" s="37" t="str">
        <f ca="1">IFERROR(+IF(BX$29=ProposalToGnatt[[#This Row],[Start Date]],Milestone_Marker,IF(AND(BX$29&gt;ProposalToGnatt[[#This Row],[Start Date]],BX$29&lt;ProposalToGnatt[[#This Row],[Start Date]]+ProposalToGnatt[[#This Row],[Days]]),$G$5,"")),"")</f>
        <v/>
      </c>
      <c r="BY61" s="37" t="str">
        <f ca="1">IFERROR(+IF(BY$29=ProposalToGnatt[[#This Row],[Start Date]],Milestone_Marker,IF(AND(BY$29&gt;ProposalToGnatt[[#This Row],[Start Date]],BY$29&lt;ProposalToGnatt[[#This Row],[Start Date]]+ProposalToGnatt[[#This Row],[Days]]),$G$5,"")),"")</f>
        <v/>
      </c>
      <c r="BZ61" s="37" t="str">
        <f ca="1">IFERROR(+IF(BZ$29=ProposalToGnatt[[#This Row],[Start Date]],Milestone_Marker,IF(AND(BZ$29&gt;ProposalToGnatt[[#This Row],[Start Date]],BZ$29&lt;ProposalToGnatt[[#This Row],[Start Date]]+ProposalToGnatt[[#This Row],[Days]]),$G$5,"")),"")</f>
        <v/>
      </c>
      <c r="CA61" s="37" t="str">
        <f ca="1">IFERROR(+IF(CA$29=ProposalToGnatt[[#This Row],[Start Date]],Milestone_Marker,IF(AND(CA$29&gt;ProposalToGnatt[[#This Row],[Start Date]],CA$29&lt;ProposalToGnatt[[#This Row],[Start Date]]+ProposalToGnatt[[#This Row],[Days]]),$G$5,"")),"")</f>
        <v/>
      </c>
      <c r="CB61" s="37" t="str">
        <f ca="1">IFERROR(+IF(CB$29=ProposalToGnatt[[#This Row],[Start Date]],Milestone_Marker,IF(AND(CB$29&gt;ProposalToGnatt[[#This Row],[Start Date]],CB$29&lt;ProposalToGnatt[[#This Row],[Start Date]]+ProposalToGnatt[[#This Row],[Days]]),$G$5,"")),"")</f>
        <v/>
      </c>
      <c r="CC61" s="37" t="str">
        <f ca="1">IFERROR(+IF(CC$29=ProposalToGnatt[[#This Row],[Start Date]],Milestone_Marker,IF(AND(CC$29&gt;ProposalToGnatt[[#This Row],[Start Date]],CC$29&lt;ProposalToGnatt[[#This Row],[Start Date]]+ProposalToGnatt[[#This Row],[Days]]),$G$5,"")),"")</f>
        <v/>
      </c>
      <c r="CD61" s="37" t="str">
        <f ca="1">IFERROR(+IF(CD$29=ProposalToGnatt[[#This Row],[Start Date]],Milestone_Marker,IF(AND(CD$29&gt;ProposalToGnatt[[#This Row],[Start Date]],CD$29&lt;ProposalToGnatt[[#This Row],[Start Date]]+ProposalToGnatt[[#This Row],[Days]]),$G$5,"")),"")</f>
        <v/>
      </c>
      <c r="CE61" s="37" t="str">
        <f ca="1">IFERROR(+IF(CE$29=ProposalToGnatt[[#This Row],[Start Date]],Milestone_Marker,IF(AND(CE$29&gt;ProposalToGnatt[[#This Row],[Start Date]],CE$29&lt;ProposalToGnatt[[#This Row],[Start Date]]+ProposalToGnatt[[#This Row],[Days]]),$G$5,"")),"")</f>
        <v/>
      </c>
      <c r="CF61" s="37" t="str">
        <f ca="1">IFERROR(+IF(CF$29=ProposalToGnatt[[#This Row],[Start Date]],Milestone_Marker,IF(AND(CF$29&gt;ProposalToGnatt[[#This Row],[Start Date]],CF$29&lt;ProposalToGnatt[[#This Row],[Start Date]]+ProposalToGnatt[[#This Row],[Days]]),$G$5,"")),"")</f>
        <v/>
      </c>
      <c r="CG61" s="37" t="str">
        <f ca="1">IFERROR(+IF(CG$29=ProposalToGnatt[[#This Row],[Start Date]],Milestone_Marker,IF(AND(CG$29&gt;ProposalToGnatt[[#This Row],[Start Date]],CG$29&lt;ProposalToGnatt[[#This Row],[Start Date]]+ProposalToGnatt[[#This Row],[Days]]),$G$5,"")),"")</f>
        <v/>
      </c>
      <c r="CH61" s="37" t="str">
        <f ca="1">IFERROR(+IF(CH$29=ProposalToGnatt[[#This Row],[Start Date]],Milestone_Marker,IF(AND(CH$29&gt;ProposalToGnatt[[#This Row],[Start Date]],CH$29&lt;ProposalToGnatt[[#This Row],[Start Date]]+ProposalToGnatt[[#This Row],[Days]]),$G$5,"")),"")</f>
        <v/>
      </c>
      <c r="CI61" s="37" t="str">
        <f ca="1">IFERROR(+IF(CI$29=ProposalToGnatt[[#This Row],[Start Date]],Milestone_Marker,IF(AND(CI$29&gt;ProposalToGnatt[[#This Row],[Start Date]],CI$29&lt;ProposalToGnatt[[#This Row],[Start Date]]+ProposalToGnatt[[#This Row],[Days]]),$G$5,"")),"")</f>
        <v/>
      </c>
      <c r="CJ61" s="37" t="str">
        <f ca="1">IFERROR(+IF(CJ$29=ProposalToGnatt[[#This Row],[Start Date]],Milestone_Marker,IF(AND(CJ$29&gt;ProposalToGnatt[[#This Row],[Start Date]],CJ$29&lt;ProposalToGnatt[[#This Row],[Start Date]]+ProposalToGnatt[[#This Row],[Days]]),$G$5,"")),"")</f>
        <v/>
      </c>
      <c r="CK61" s="37" t="str">
        <f ca="1">IFERROR(+IF(CK$29=ProposalToGnatt[[#This Row],[Start Date]],Milestone_Marker,IF(AND(CK$29&gt;ProposalToGnatt[[#This Row],[Start Date]],CK$29&lt;ProposalToGnatt[[#This Row],[Start Date]]+ProposalToGnatt[[#This Row],[Days]]),$G$5,"")),"")</f>
        <v/>
      </c>
      <c r="CL61" s="37" t="str">
        <f ca="1">IFERROR(+IF(CL$29=ProposalToGnatt[[#This Row],[Start Date]],Milestone_Marker,IF(AND(CL$29&gt;ProposalToGnatt[[#This Row],[Start Date]],CL$29&lt;ProposalToGnatt[[#This Row],[Start Date]]+ProposalToGnatt[[#This Row],[Days]]),$G$5,"")),"")</f>
        <v/>
      </c>
      <c r="CM61" s="37" t="str">
        <f ca="1">IFERROR(+IF(CM$29=ProposalToGnatt[[#This Row],[Start Date]],Milestone_Marker,IF(AND(CM$29&gt;ProposalToGnatt[[#This Row],[Start Date]],CM$29&lt;ProposalToGnatt[[#This Row],[Start Date]]+ProposalToGnatt[[#This Row],[Days]]),$G$5,"")),"")</f>
        <v/>
      </c>
      <c r="CN61" s="37" t="str">
        <f ca="1">IFERROR(+IF(CN$29=ProposalToGnatt[[#This Row],[Start Date]],Milestone_Marker,IF(AND(CN$29&gt;ProposalToGnatt[[#This Row],[Start Date]],CN$29&lt;ProposalToGnatt[[#This Row],[Start Date]]+ProposalToGnatt[[#This Row],[Days]]),$G$5,"")),"")</f>
        <v/>
      </c>
      <c r="CO61" s="37" t="str">
        <f ca="1">IFERROR(+IF(CO$29=ProposalToGnatt[[#This Row],[Start Date]],Milestone_Marker,IF(AND(CO$29&gt;ProposalToGnatt[[#This Row],[Start Date]],CO$29&lt;ProposalToGnatt[[#This Row],[Start Date]]+ProposalToGnatt[[#This Row],[Days]]),$G$5,"")),"")</f>
        <v/>
      </c>
      <c r="CP61" s="37" t="str">
        <f ca="1">IFERROR(+IF(CP$29=ProposalToGnatt[[#This Row],[Start Date]],Milestone_Marker,IF(AND(CP$29&gt;ProposalToGnatt[[#This Row],[Start Date]],CP$29&lt;ProposalToGnatt[[#This Row],[Start Date]]+ProposalToGnatt[[#This Row],[Days]]),$G$5,"")),"")</f>
        <v/>
      </c>
      <c r="CQ61" s="37" t="str">
        <f ca="1">IFERROR(+IF(CQ$29=ProposalToGnatt[[#This Row],[Start Date]],Milestone_Marker,IF(AND(CQ$29&gt;ProposalToGnatt[[#This Row],[Start Date]],CQ$29&lt;ProposalToGnatt[[#This Row],[Start Date]]+ProposalToGnatt[[#This Row],[Days]]),$G$5,"")),"")</f>
        <v/>
      </c>
      <c r="CR61" s="37" t="str">
        <f ca="1">IFERROR(+IF(CR$29=ProposalToGnatt[[#This Row],[Start Date]],Milestone_Marker,IF(AND(CR$29&gt;ProposalToGnatt[[#This Row],[Start Date]],CR$29&lt;ProposalToGnatt[[#This Row],[Start Date]]+ProposalToGnatt[[#This Row],[Days]]),$G$5,"")),"")</f>
        <v/>
      </c>
      <c r="CS61" s="37" t="str">
        <f ca="1">IFERROR(+IF(CS$29=ProposalToGnatt[[#This Row],[Start Date]],Milestone_Marker,IF(AND(CS$29&gt;ProposalToGnatt[[#This Row],[Start Date]],CS$29&lt;ProposalToGnatt[[#This Row],[Start Date]]+ProposalToGnatt[[#This Row],[Days]]),$G$5,"")),"")</f>
        <v/>
      </c>
      <c r="CT61" s="37" t="str">
        <f ca="1">IFERROR(+IF(CT$29=ProposalToGnatt[[#This Row],[Start Date]],Milestone_Marker,IF(AND(CT$29&gt;ProposalToGnatt[[#This Row],[Start Date]],CT$29&lt;ProposalToGnatt[[#This Row],[Start Date]]+ProposalToGnatt[[#This Row],[Days]]),$G$5,"")),"")</f>
        <v/>
      </c>
      <c r="CU61" s="37" t="str">
        <f ca="1">IFERROR(+IF(CU$29=ProposalToGnatt[[#This Row],[Start Date]],Milestone_Marker,IF(AND(CU$29&gt;ProposalToGnatt[[#This Row],[Start Date]],CU$29&lt;ProposalToGnatt[[#This Row],[Start Date]]+ProposalToGnatt[[#This Row],[Days]]),$G$5,"")),"")</f>
        <v/>
      </c>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row>
    <row r="62" spans="1:125" s="42" customFormat="1" ht="15">
      <c r="A62"/>
      <c r="B62"/>
      <c r="C62"/>
      <c r="D62"/>
      <c r="E62"/>
      <c r="F62"/>
      <c r="G62" s="11"/>
      <c r="H62" s="26"/>
      <c r="I62"/>
      <c r="J62"/>
      <c r="K62" s="363"/>
      <c r="L62"/>
      <c r="M62"/>
      <c r="N62"/>
      <c r="O62" s="26"/>
      <c r="P62" s="37" t="str">
        <f ca="1">IFERROR(+IF(P$29=ProposalToGnatt[[#This Row],[Start Date]],Milestone_Marker,IF(AND(P$29&gt;ProposalToGnatt[[#This Row],[Start Date]],P$29&lt;ProposalToGnatt[[#This Row],[Start Date]]+ProposalToGnatt[[#This Row],[Days]]),$G$5,"")),"")</f>
        <v/>
      </c>
      <c r="Q62" s="37" t="str">
        <f ca="1">IFERROR(+IF(Q$29=ProposalToGnatt[[#This Row],[Start Date]],Milestone_Marker,IF(AND(Q$29&gt;ProposalToGnatt[[#This Row],[Start Date]],Q$29&lt;ProposalToGnatt[[#This Row],[Start Date]]+ProposalToGnatt[[#This Row],[Days]]),$G$5,"")),"")</f>
        <v/>
      </c>
      <c r="R62" s="37" t="str">
        <f ca="1">IFERROR(+IF(R$29=ProposalToGnatt[[#This Row],[Start Date]],Milestone_Marker,IF(AND(R$29&gt;ProposalToGnatt[[#This Row],[Start Date]],R$29&lt;ProposalToGnatt[[#This Row],[Start Date]]+ProposalToGnatt[[#This Row],[Days]]),$G$5,"")),"")</f>
        <v/>
      </c>
      <c r="S62" s="37" t="str">
        <f ca="1">IFERROR(+IF(S$29=ProposalToGnatt[[#This Row],[Start Date]],Milestone_Marker,IF(AND(S$29&gt;ProposalToGnatt[[#This Row],[Start Date]],S$29&lt;ProposalToGnatt[[#This Row],[Start Date]]+ProposalToGnatt[[#This Row],[Days]]),$G$5,"")),"")</f>
        <v/>
      </c>
      <c r="T62" s="37" t="str">
        <f ca="1">IFERROR(+IF(T$29=ProposalToGnatt[[#This Row],[Start Date]],Milestone_Marker,IF(AND(T$29&gt;ProposalToGnatt[[#This Row],[Start Date]],T$29&lt;ProposalToGnatt[[#This Row],[Start Date]]+ProposalToGnatt[[#This Row],[Days]]),$G$5,"")),"")</f>
        <v/>
      </c>
      <c r="U62" s="37" t="str">
        <f ca="1">IFERROR(+IF(U$29=ProposalToGnatt[[#This Row],[Start Date]],Milestone_Marker,IF(AND(U$29&gt;ProposalToGnatt[[#This Row],[Start Date]],U$29&lt;ProposalToGnatt[[#This Row],[Start Date]]+ProposalToGnatt[[#This Row],[Days]]),$G$5,"")),"")</f>
        <v/>
      </c>
      <c r="V62" s="37" t="str">
        <f ca="1">IFERROR(+IF(V$29=ProposalToGnatt[[#This Row],[Start Date]],Milestone_Marker,IF(AND(V$29&gt;ProposalToGnatt[[#This Row],[Start Date]],V$29&lt;ProposalToGnatt[[#This Row],[Start Date]]+ProposalToGnatt[[#This Row],[Days]]),$G$5,"")),"")</f>
        <v/>
      </c>
      <c r="W62" s="37" t="str">
        <f ca="1">IFERROR(+IF(W$29=ProposalToGnatt[[#This Row],[Start Date]],Milestone_Marker,IF(AND(W$29&gt;ProposalToGnatt[[#This Row],[Start Date]],W$29&lt;ProposalToGnatt[[#This Row],[Start Date]]+ProposalToGnatt[[#This Row],[Days]]),$G$5,"")),"")</f>
        <v/>
      </c>
      <c r="X62" s="37" t="str">
        <f ca="1">IFERROR(+IF(X$29=ProposalToGnatt[[#This Row],[Start Date]],Milestone_Marker,IF(AND(X$29&gt;ProposalToGnatt[[#This Row],[Start Date]],X$29&lt;ProposalToGnatt[[#This Row],[Start Date]]+ProposalToGnatt[[#This Row],[Days]]),$G$5,"")),"")</f>
        <v/>
      </c>
      <c r="Y62" s="37" t="str">
        <f ca="1">IFERROR(+IF(Y$29=ProposalToGnatt[[#This Row],[Start Date]],Milestone_Marker,IF(AND(Y$29&gt;ProposalToGnatt[[#This Row],[Start Date]],Y$29&lt;ProposalToGnatt[[#This Row],[Start Date]]+ProposalToGnatt[[#This Row],[Days]]),$G$5,"")),"")</f>
        <v/>
      </c>
      <c r="Z62" s="37" t="str">
        <f ca="1">IFERROR(+IF(Z$29=ProposalToGnatt[[#This Row],[Start Date]],Milestone_Marker,IF(AND(Z$29&gt;ProposalToGnatt[[#This Row],[Start Date]],Z$29&lt;ProposalToGnatt[[#This Row],[Start Date]]+ProposalToGnatt[[#This Row],[Days]]),$G$5,"")),"")</f>
        <v/>
      </c>
      <c r="AA62" s="37" t="str">
        <f ca="1">IFERROR(+IF(AA$29=ProposalToGnatt[[#This Row],[Start Date]],Milestone_Marker,IF(AND(AA$29&gt;ProposalToGnatt[[#This Row],[Start Date]],AA$29&lt;ProposalToGnatt[[#This Row],[Start Date]]+ProposalToGnatt[[#This Row],[Days]]),$G$5,"")),"")</f>
        <v/>
      </c>
      <c r="AB62" s="37" t="str">
        <f ca="1">IFERROR(+IF(AB$29=ProposalToGnatt[[#This Row],[Start Date]],Milestone_Marker,IF(AND(AB$29&gt;ProposalToGnatt[[#This Row],[Start Date]],AB$29&lt;ProposalToGnatt[[#This Row],[Start Date]]+ProposalToGnatt[[#This Row],[Days]]),$G$5,"")),"")</f>
        <v/>
      </c>
      <c r="AC62" s="37" t="str">
        <f ca="1">IFERROR(+IF(AC$29=ProposalToGnatt[[#This Row],[Start Date]],Milestone_Marker,IF(AND(AC$29&gt;ProposalToGnatt[[#This Row],[Start Date]],AC$29&lt;ProposalToGnatt[[#This Row],[Start Date]]+ProposalToGnatt[[#This Row],[Days]]),$G$5,"")),"")</f>
        <v/>
      </c>
      <c r="AD62" s="37" t="str">
        <f ca="1">IFERROR(+IF(AD$29=ProposalToGnatt[[#This Row],[Start Date]],Milestone_Marker,IF(AND(AD$29&gt;ProposalToGnatt[[#This Row],[Start Date]],AD$29&lt;ProposalToGnatt[[#This Row],[Start Date]]+ProposalToGnatt[[#This Row],[Days]]),$G$5,"")),"")</f>
        <v/>
      </c>
      <c r="AE62" s="37" t="str">
        <f ca="1">IFERROR(+IF(AE$29=ProposalToGnatt[[#This Row],[Start Date]],Milestone_Marker,IF(AND(AE$29&gt;ProposalToGnatt[[#This Row],[Start Date]],AE$29&lt;ProposalToGnatt[[#This Row],[Start Date]]+ProposalToGnatt[[#This Row],[Days]]),$G$5,"")),"")</f>
        <v/>
      </c>
      <c r="AF62" s="37" t="str">
        <f ca="1">IFERROR(+IF(AF$29=ProposalToGnatt[[#This Row],[Start Date]],Milestone_Marker,IF(AND(AF$29&gt;ProposalToGnatt[[#This Row],[Start Date]],AF$29&lt;ProposalToGnatt[[#This Row],[Start Date]]+ProposalToGnatt[[#This Row],[Days]]),$G$5,"")),"")</f>
        <v/>
      </c>
      <c r="AG62" s="37" t="str">
        <f ca="1">IFERROR(+IF(AG$29=ProposalToGnatt[[#This Row],[Start Date]],Milestone_Marker,IF(AND(AG$29&gt;ProposalToGnatt[[#This Row],[Start Date]],AG$29&lt;ProposalToGnatt[[#This Row],[Start Date]]+ProposalToGnatt[[#This Row],[Days]]),$G$5,"")),"")</f>
        <v/>
      </c>
      <c r="AH62" s="37" t="str">
        <f ca="1">IFERROR(+IF(AH$29=ProposalToGnatt[[#This Row],[Start Date]],Milestone_Marker,IF(AND(AH$29&gt;ProposalToGnatt[[#This Row],[Start Date]],AH$29&lt;ProposalToGnatt[[#This Row],[Start Date]]+ProposalToGnatt[[#This Row],[Days]]),$G$5,"")),"")</f>
        <v/>
      </c>
      <c r="AI62" s="37" t="str">
        <f ca="1">IFERROR(+IF(AI$29=ProposalToGnatt[[#This Row],[Start Date]],Milestone_Marker,IF(AND(AI$29&gt;ProposalToGnatt[[#This Row],[Start Date]],AI$29&lt;ProposalToGnatt[[#This Row],[Start Date]]+ProposalToGnatt[[#This Row],[Days]]),$G$5,"")),"")</f>
        <v/>
      </c>
      <c r="AJ62" s="37" t="str">
        <f ca="1">IFERROR(+IF(AJ$29=ProposalToGnatt[[#This Row],[Start Date]],Milestone_Marker,IF(AND(AJ$29&gt;ProposalToGnatt[[#This Row],[Start Date]],AJ$29&lt;ProposalToGnatt[[#This Row],[Start Date]]+ProposalToGnatt[[#This Row],[Days]]),$G$5,"")),"")</f>
        <v/>
      </c>
      <c r="AK62" s="37" t="str">
        <f ca="1">IFERROR(+IF(AK$29=ProposalToGnatt[[#This Row],[Start Date]],Milestone_Marker,IF(AND(AK$29&gt;ProposalToGnatt[[#This Row],[Start Date]],AK$29&lt;ProposalToGnatt[[#This Row],[Start Date]]+ProposalToGnatt[[#This Row],[Days]]),$G$5,"")),"")</f>
        <v/>
      </c>
      <c r="AL62" s="37" t="str">
        <f ca="1">IFERROR(+IF(AL$29=ProposalToGnatt[[#This Row],[Start Date]],Milestone_Marker,IF(AND(AL$29&gt;ProposalToGnatt[[#This Row],[Start Date]],AL$29&lt;ProposalToGnatt[[#This Row],[Start Date]]+ProposalToGnatt[[#This Row],[Days]]),$G$5,"")),"")</f>
        <v/>
      </c>
      <c r="AM62" s="37" t="str">
        <f ca="1">IFERROR(+IF(AM$29=ProposalToGnatt[[#This Row],[Start Date]],Milestone_Marker,IF(AND(AM$29&gt;ProposalToGnatt[[#This Row],[Start Date]],AM$29&lt;ProposalToGnatt[[#This Row],[Start Date]]+ProposalToGnatt[[#This Row],[Days]]),$G$5,"")),"")</f>
        <v/>
      </c>
      <c r="AN62" s="37" t="str">
        <f ca="1">IFERROR(+IF(AN$29=ProposalToGnatt[[#This Row],[Start Date]],Milestone_Marker,IF(AND(AN$29&gt;ProposalToGnatt[[#This Row],[Start Date]],AN$29&lt;ProposalToGnatt[[#This Row],[Start Date]]+ProposalToGnatt[[#This Row],[Days]]),$G$5,"")),"")</f>
        <v/>
      </c>
      <c r="AO62" s="37" t="str">
        <f ca="1">IFERROR(+IF(AO$29=ProposalToGnatt[[#This Row],[Start Date]],Milestone_Marker,IF(AND(AO$29&gt;ProposalToGnatt[[#This Row],[Start Date]],AO$29&lt;ProposalToGnatt[[#This Row],[Start Date]]+ProposalToGnatt[[#This Row],[Days]]),$G$5,"")),"")</f>
        <v/>
      </c>
      <c r="AP62" s="37" t="str">
        <f ca="1">IFERROR(+IF(AP$29=ProposalToGnatt[[#This Row],[Start Date]],Milestone_Marker,IF(AND(AP$29&gt;ProposalToGnatt[[#This Row],[Start Date]],AP$29&lt;ProposalToGnatt[[#This Row],[Start Date]]+ProposalToGnatt[[#This Row],[Days]]),$G$5,"")),"")</f>
        <v/>
      </c>
      <c r="AQ62" s="37" t="str">
        <f ca="1">IFERROR(+IF(AQ$29=ProposalToGnatt[[#This Row],[Start Date]],Milestone_Marker,IF(AND(AQ$29&gt;ProposalToGnatt[[#This Row],[Start Date]],AQ$29&lt;ProposalToGnatt[[#This Row],[Start Date]]+ProposalToGnatt[[#This Row],[Days]]),$G$5,"")),"")</f>
        <v/>
      </c>
      <c r="AR62" s="37" t="str">
        <f ca="1">IFERROR(+IF(AR$29=ProposalToGnatt[[#This Row],[Start Date]],Milestone_Marker,IF(AND(AR$29&gt;ProposalToGnatt[[#This Row],[Start Date]],AR$29&lt;ProposalToGnatt[[#This Row],[Start Date]]+ProposalToGnatt[[#This Row],[Days]]),$G$5,"")),"")</f>
        <v/>
      </c>
      <c r="AS62" s="37" t="str">
        <f ca="1">IFERROR(+IF(AS$29=ProposalToGnatt[[#This Row],[Start Date]],Milestone_Marker,IF(AND(AS$29&gt;ProposalToGnatt[[#This Row],[Start Date]],AS$29&lt;ProposalToGnatt[[#This Row],[Start Date]]+ProposalToGnatt[[#This Row],[Days]]),$G$5,"")),"")</f>
        <v/>
      </c>
      <c r="AT62" s="37" t="str">
        <f ca="1">IFERROR(+IF(AT$29=ProposalToGnatt[[#This Row],[Start Date]],Milestone_Marker,IF(AND(AT$29&gt;ProposalToGnatt[[#This Row],[Start Date]],AT$29&lt;ProposalToGnatt[[#This Row],[Start Date]]+ProposalToGnatt[[#This Row],[Days]]),$G$5,"")),"")</f>
        <v/>
      </c>
      <c r="AU62" s="37" t="str">
        <f ca="1">IFERROR(+IF(AU$29=ProposalToGnatt[[#This Row],[Start Date]],Milestone_Marker,IF(AND(AU$29&gt;ProposalToGnatt[[#This Row],[Start Date]],AU$29&lt;ProposalToGnatt[[#This Row],[Start Date]]+ProposalToGnatt[[#This Row],[Days]]),$G$5,"")),"")</f>
        <v/>
      </c>
      <c r="AV62" s="37" t="str">
        <f ca="1">IFERROR(+IF(AV$29=ProposalToGnatt[[#This Row],[Start Date]],Milestone_Marker,IF(AND(AV$29&gt;ProposalToGnatt[[#This Row],[Start Date]],AV$29&lt;ProposalToGnatt[[#This Row],[Start Date]]+ProposalToGnatt[[#This Row],[Days]]),$G$5,"")),"")</f>
        <v/>
      </c>
      <c r="AW62" s="37" t="str">
        <f ca="1">IFERROR(+IF(AW$29=ProposalToGnatt[[#This Row],[Start Date]],Milestone_Marker,IF(AND(AW$29&gt;ProposalToGnatt[[#This Row],[Start Date]],AW$29&lt;ProposalToGnatt[[#This Row],[Start Date]]+ProposalToGnatt[[#This Row],[Days]]),$G$5,"")),"")</f>
        <v/>
      </c>
      <c r="AX62" s="37" t="str">
        <f ca="1">IFERROR(+IF(AX$29=ProposalToGnatt[[#This Row],[Start Date]],Milestone_Marker,IF(AND(AX$29&gt;ProposalToGnatt[[#This Row],[Start Date]],AX$29&lt;ProposalToGnatt[[#This Row],[Start Date]]+ProposalToGnatt[[#This Row],[Days]]),$G$5,"")),"")</f>
        <v/>
      </c>
      <c r="AY62" s="37" t="str">
        <f ca="1">IFERROR(+IF(AY$29=ProposalToGnatt[[#This Row],[Start Date]],Milestone_Marker,IF(AND(AY$29&gt;ProposalToGnatt[[#This Row],[Start Date]],AY$29&lt;ProposalToGnatt[[#This Row],[Start Date]]+ProposalToGnatt[[#This Row],[Days]]),$G$5,"")),"")</f>
        <v/>
      </c>
      <c r="AZ62" s="37" t="str">
        <f ca="1">IFERROR(+IF(AZ$29=ProposalToGnatt[[#This Row],[Start Date]],Milestone_Marker,IF(AND(AZ$29&gt;ProposalToGnatt[[#This Row],[Start Date]],AZ$29&lt;ProposalToGnatt[[#This Row],[Start Date]]+ProposalToGnatt[[#This Row],[Days]]),$G$5,"")),"")</f>
        <v/>
      </c>
      <c r="BA62" s="37" t="str">
        <f ca="1">IFERROR(+IF(BA$29=ProposalToGnatt[[#This Row],[Start Date]],Milestone_Marker,IF(AND(BA$29&gt;ProposalToGnatt[[#This Row],[Start Date]],BA$29&lt;ProposalToGnatt[[#This Row],[Start Date]]+ProposalToGnatt[[#This Row],[Days]]),$G$5,"")),"")</f>
        <v/>
      </c>
      <c r="BB62" s="37" t="str">
        <f ca="1">IFERROR(+IF(BB$29=ProposalToGnatt[[#This Row],[Start Date]],Milestone_Marker,IF(AND(BB$29&gt;ProposalToGnatt[[#This Row],[Start Date]],BB$29&lt;ProposalToGnatt[[#This Row],[Start Date]]+ProposalToGnatt[[#This Row],[Days]]),$G$5,"")),"")</f>
        <v/>
      </c>
      <c r="BC62" s="37" t="str">
        <f ca="1">IFERROR(+IF(BC$29=ProposalToGnatt[[#This Row],[Start Date]],Milestone_Marker,IF(AND(BC$29&gt;ProposalToGnatt[[#This Row],[Start Date]],BC$29&lt;ProposalToGnatt[[#This Row],[Start Date]]+ProposalToGnatt[[#This Row],[Days]]),$G$5,"")),"")</f>
        <v/>
      </c>
      <c r="BD62" s="37" t="str">
        <f ca="1">IFERROR(+IF(BD$29=ProposalToGnatt[[#This Row],[Start Date]],Milestone_Marker,IF(AND(BD$29&gt;ProposalToGnatt[[#This Row],[Start Date]],BD$29&lt;ProposalToGnatt[[#This Row],[Start Date]]+ProposalToGnatt[[#This Row],[Days]]),$G$5,"")),"")</f>
        <v/>
      </c>
      <c r="BE62" s="37" t="str">
        <f ca="1">IFERROR(+IF(BE$29=ProposalToGnatt[[#This Row],[Start Date]],Milestone_Marker,IF(AND(BE$29&gt;ProposalToGnatt[[#This Row],[Start Date]],BE$29&lt;ProposalToGnatt[[#This Row],[Start Date]]+ProposalToGnatt[[#This Row],[Days]]),$G$5,"")),"")</f>
        <v/>
      </c>
      <c r="BF62" s="37" t="str">
        <f ca="1">IFERROR(+IF(BF$29=ProposalToGnatt[[#This Row],[Start Date]],Milestone_Marker,IF(AND(BF$29&gt;ProposalToGnatt[[#This Row],[Start Date]],BF$29&lt;ProposalToGnatt[[#This Row],[Start Date]]+ProposalToGnatt[[#This Row],[Days]]),$G$5,"")),"")</f>
        <v/>
      </c>
      <c r="BG62" s="37" t="str">
        <f ca="1">IFERROR(+IF(BG$29=ProposalToGnatt[[#This Row],[Start Date]],Milestone_Marker,IF(AND(BG$29&gt;ProposalToGnatt[[#This Row],[Start Date]],BG$29&lt;ProposalToGnatt[[#This Row],[Start Date]]+ProposalToGnatt[[#This Row],[Days]]),$G$5,"")),"")</f>
        <v/>
      </c>
      <c r="BH62" s="37" t="str">
        <f ca="1">IFERROR(+IF(BH$29=ProposalToGnatt[[#This Row],[Start Date]],Milestone_Marker,IF(AND(BH$29&gt;ProposalToGnatt[[#This Row],[Start Date]],BH$29&lt;ProposalToGnatt[[#This Row],[Start Date]]+ProposalToGnatt[[#This Row],[Days]]),$G$5,"")),"")</f>
        <v/>
      </c>
      <c r="BI62" s="37" t="str">
        <f ca="1">IFERROR(+IF(BI$29=ProposalToGnatt[[#This Row],[Start Date]],Milestone_Marker,IF(AND(BI$29&gt;ProposalToGnatt[[#This Row],[Start Date]],BI$29&lt;ProposalToGnatt[[#This Row],[Start Date]]+ProposalToGnatt[[#This Row],[Days]]),$G$5,"")),"")</f>
        <v/>
      </c>
      <c r="BJ62" s="37" t="str">
        <f ca="1">IFERROR(+IF(BJ$29=ProposalToGnatt[[#This Row],[Start Date]],Milestone_Marker,IF(AND(BJ$29&gt;ProposalToGnatt[[#This Row],[Start Date]],BJ$29&lt;ProposalToGnatt[[#This Row],[Start Date]]+ProposalToGnatt[[#This Row],[Days]]),$G$5,"")),"")</f>
        <v/>
      </c>
      <c r="BK62" s="37" t="str">
        <f ca="1">IFERROR(+IF(BK$29=ProposalToGnatt[[#This Row],[Start Date]],Milestone_Marker,IF(AND(BK$29&gt;ProposalToGnatt[[#This Row],[Start Date]],BK$29&lt;ProposalToGnatt[[#This Row],[Start Date]]+ProposalToGnatt[[#This Row],[Days]]),$G$5,"")),"")</f>
        <v/>
      </c>
      <c r="BL62" s="37" t="str">
        <f ca="1">IFERROR(+IF(BL$29=ProposalToGnatt[[#This Row],[Start Date]],Milestone_Marker,IF(AND(BL$29&gt;ProposalToGnatt[[#This Row],[Start Date]],BL$29&lt;ProposalToGnatt[[#This Row],[Start Date]]+ProposalToGnatt[[#This Row],[Days]]),$G$5,"")),"")</f>
        <v/>
      </c>
      <c r="BM62" s="37" t="str">
        <f ca="1">IFERROR(+IF(BM$29=ProposalToGnatt[[#This Row],[Start Date]],Milestone_Marker,IF(AND(BM$29&gt;ProposalToGnatt[[#This Row],[Start Date]],BM$29&lt;ProposalToGnatt[[#This Row],[Start Date]]+ProposalToGnatt[[#This Row],[Days]]),$G$5,"")),"")</f>
        <v/>
      </c>
      <c r="BN62" s="37" t="str">
        <f ca="1">IFERROR(+IF(BN$29=ProposalToGnatt[[#This Row],[Start Date]],Milestone_Marker,IF(AND(BN$29&gt;ProposalToGnatt[[#This Row],[Start Date]],BN$29&lt;ProposalToGnatt[[#This Row],[Start Date]]+ProposalToGnatt[[#This Row],[Days]]),$G$5,"")),"")</f>
        <v/>
      </c>
      <c r="BO62" s="37" t="str">
        <f ca="1">IFERROR(+IF(BO$29=ProposalToGnatt[[#This Row],[Start Date]],Milestone_Marker,IF(AND(BO$29&gt;ProposalToGnatt[[#This Row],[Start Date]],BO$29&lt;ProposalToGnatt[[#This Row],[Start Date]]+ProposalToGnatt[[#This Row],[Days]]),$G$5,"")),"")</f>
        <v/>
      </c>
      <c r="BP62" s="37" t="str">
        <f ca="1">IFERROR(+IF(BP$29=ProposalToGnatt[[#This Row],[Start Date]],Milestone_Marker,IF(AND(BP$29&gt;ProposalToGnatt[[#This Row],[Start Date]],BP$29&lt;ProposalToGnatt[[#This Row],[Start Date]]+ProposalToGnatt[[#This Row],[Days]]),$G$5,"")),"")</f>
        <v/>
      </c>
      <c r="BQ62" s="37" t="str">
        <f ca="1">IFERROR(+IF(BQ$29=ProposalToGnatt[[#This Row],[Start Date]],Milestone_Marker,IF(AND(BQ$29&gt;ProposalToGnatt[[#This Row],[Start Date]],BQ$29&lt;ProposalToGnatt[[#This Row],[Start Date]]+ProposalToGnatt[[#This Row],[Days]]),$G$5,"")),"")</f>
        <v/>
      </c>
      <c r="BR62" s="37" t="str">
        <f ca="1">IFERROR(+IF(BR$29=ProposalToGnatt[[#This Row],[Start Date]],Milestone_Marker,IF(AND(BR$29&gt;ProposalToGnatt[[#This Row],[Start Date]],BR$29&lt;ProposalToGnatt[[#This Row],[Start Date]]+ProposalToGnatt[[#This Row],[Days]]),$G$5,"")),"")</f>
        <v/>
      </c>
      <c r="BS62" s="37" t="str">
        <f ca="1">IFERROR(+IF(BS$29=ProposalToGnatt[[#This Row],[Start Date]],Milestone_Marker,IF(AND(BS$29&gt;ProposalToGnatt[[#This Row],[Start Date]],BS$29&lt;ProposalToGnatt[[#This Row],[Start Date]]+ProposalToGnatt[[#This Row],[Days]]),$G$5,"")),"")</f>
        <v/>
      </c>
      <c r="BT62" s="37" t="str">
        <f ca="1">IFERROR(+IF(BT$29=ProposalToGnatt[[#This Row],[Start Date]],Milestone_Marker,IF(AND(BT$29&gt;ProposalToGnatt[[#This Row],[Start Date]],BT$29&lt;ProposalToGnatt[[#This Row],[Start Date]]+ProposalToGnatt[[#This Row],[Days]]),$G$5,"")),"")</f>
        <v/>
      </c>
      <c r="BU62" s="37" t="str">
        <f ca="1">IFERROR(+IF(BU$29=ProposalToGnatt[[#This Row],[Start Date]],Milestone_Marker,IF(AND(BU$29&gt;ProposalToGnatt[[#This Row],[Start Date]],BU$29&lt;ProposalToGnatt[[#This Row],[Start Date]]+ProposalToGnatt[[#This Row],[Days]]),$G$5,"")),"")</f>
        <v/>
      </c>
      <c r="BV62" s="37" t="str">
        <f ca="1">IFERROR(+IF(BV$29=ProposalToGnatt[[#This Row],[Start Date]],Milestone_Marker,IF(AND(BV$29&gt;ProposalToGnatt[[#This Row],[Start Date]],BV$29&lt;ProposalToGnatt[[#This Row],[Start Date]]+ProposalToGnatt[[#This Row],[Days]]),$G$5,"")),"")</f>
        <v/>
      </c>
      <c r="BW62" s="37" t="str">
        <f ca="1">IFERROR(+IF(BW$29=ProposalToGnatt[[#This Row],[Start Date]],Milestone_Marker,IF(AND(BW$29&gt;ProposalToGnatt[[#This Row],[Start Date]],BW$29&lt;ProposalToGnatt[[#This Row],[Start Date]]+ProposalToGnatt[[#This Row],[Days]]),$G$5,"")),"")</f>
        <v/>
      </c>
      <c r="BX62" s="37" t="str">
        <f ca="1">IFERROR(+IF(BX$29=ProposalToGnatt[[#This Row],[Start Date]],Milestone_Marker,IF(AND(BX$29&gt;ProposalToGnatt[[#This Row],[Start Date]],BX$29&lt;ProposalToGnatt[[#This Row],[Start Date]]+ProposalToGnatt[[#This Row],[Days]]),$G$5,"")),"")</f>
        <v/>
      </c>
      <c r="BY62" s="37" t="str">
        <f ca="1">IFERROR(+IF(BY$29=ProposalToGnatt[[#This Row],[Start Date]],Milestone_Marker,IF(AND(BY$29&gt;ProposalToGnatt[[#This Row],[Start Date]],BY$29&lt;ProposalToGnatt[[#This Row],[Start Date]]+ProposalToGnatt[[#This Row],[Days]]),$G$5,"")),"")</f>
        <v/>
      </c>
      <c r="BZ62" s="37" t="str">
        <f ca="1">IFERROR(+IF(BZ$29=ProposalToGnatt[[#This Row],[Start Date]],Milestone_Marker,IF(AND(BZ$29&gt;ProposalToGnatt[[#This Row],[Start Date]],BZ$29&lt;ProposalToGnatt[[#This Row],[Start Date]]+ProposalToGnatt[[#This Row],[Days]]),$G$5,"")),"")</f>
        <v/>
      </c>
      <c r="CA62" s="37" t="str">
        <f ca="1">IFERROR(+IF(CA$29=ProposalToGnatt[[#This Row],[Start Date]],Milestone_Marker,IF(AND(CA$29&gt;ProposalToGnatt[[#This Row],[Start Date]],CA$29&lt;ProposalToGnatt[[#This Row],[Start Date]]+ProposalToGnatt[[#This Row],[Days]]),$G$5,"")),"")</f>
        <v/>
      </c>
      <c r="CB62" s="37" t="str">
        <f ca="1">IFERROR(+IF(CB$29=ProposalToGnatt[[#This Row],[Start Date]],Milestone_Marker,IF(AND(CB$29&gt;ProposalToGnatt[[#This Row],[Start Date]],CB$29&lt;ProposalToGnatt[[#This Row],[Start Date]]+ProposalToGnatt[[#This Row],[Days]]),$G$5,"")),"")</f>
        <v/>
      </c>
      <c r="CC62" s="37" t="str">
        <f ca="1">IFERROR(+IF(CC$29=ProposalToGnatt[[#This Row],[Start Date]],Milestone_Marker,IF(AND(CC$29&gt;ProposalToGnatt[[#This Row],[Start Date]],CC$29&lt;ProposalToGnatt[[#This Row],[Start Date]]+ProposalToGnatt[[#This Row],[Days]]),$G$5,"")),"")</f>
        <v/>
      </c>
      <c r="CD62" s="37" t="str">
        <f ca="1">IFERROR(+IF(CD$29=ProposalToGnatt[[#This Row],[Start Date]],Milestone_Marker,IF(AND(CD$29&gt;ProposalToGnatt[[#This Row],[Start Date]],CD$29&lt;ProposalToGnatt[[#This Row],[Start Date]]+ProposalToGnatt[[#This Row],[Days]]),$G$5,"")),"")</f>
        <v/>
      </c>
      <c r="CE62" s="37" t="str">
        <f ca="1">IFERROR(+IF(CE$29=ProposalToGnatt[[#This Row],[Start Date]],Milestone_Marker,IF(AND(CE$29&gt;ProposalToGnatt[[#This Row],[Start Date]],CE$29&lt;ProposalToGnatt[[#This Row],[Start Date]]+ProposalToGnatt[[#This Row],[Days]]),$G$5,"")),"")</f>
        <v/>
      </c>
      <c r="CF62" s="37" t="str">
        <f ca="1">IFERROR(+IF(CF$29=ProposalToGnatt[[#This Row],[Start Date]],Milestone_Marker,IF(AND(CF$29&gt;ProposalToGnatt[[#This Row],[Start Date]],CF$29&lt;ProposalToGnatt[[#This Row],[Start Date]]+ProposalToGnatt[[#This Row],[Days]]),$G$5,"")),"")</f>
        <v/>
      </c>
      <c r="CG62" s="37" t="str">
        <f ca="1">IFERROR(+IF(CG$29=ProposalToGnatt[[#This Row],[Start Date]],Milestone_Marker,IF(AND(CG$29&gt;ProposalToGnatt[[#This Row],[Start Date]],CG$29&lt;ProposalToGnatt[[#This Row],[Start Date]]+ProposalToGnatt[[#This Row],[Days]]),$G$5,"")),"")</f>
        <v/>
      </c>
      <c r="CH62" s="37" t="str">
        <f ca="1">IFERROR(+IF(CH$29=ProposalToGnatt[[#This Row],[Start Date]],Milestone_Marker,IF(AND(CH$29&gt;ProposalToGnatt[[#This Row],[Start Date]],CH$29&lt;ProposalToGnatt[[#This Row],[Start Date]]+ProposalToGnatt[[#This Row],[Days]]),$G$5,"")),"")</f>
        <v/>
      </c>
      <c r="CI62" s="37" t="str">
        <f ca="1">IFERROR(+IF(CI$29=ProposalToGnatt[[#This Row],[Start Date]],Milestone_Marker,IF(AND(CI$29&gt;ProposalToGnatt[[#This Row],[Start Date]],CI$29&lt;ProposalToGnatt[[#This Row],[Start Date]]+ProposalToGnatt[[#This Row],[Days]]),$G$5,"")),"")</f>
        <v/>
      </c>
      <c r="CJ62" s="37" t="str">
        <f ca="1">IFERROR(+IF(CJ$29=ProposalToGnatt[[#This Row],[Start Date]],Milestone_Marker,IF(AND(CJ$29&gt;ProposalToGnatt[[#This Row],[Start Date]],CJ$29&lt;ProposalToGnatt[[#This Row],[Start Date]]+ProposalToGnatt[[#This Row],[Days]]),$G$5,"")),"")</f>
        <v/>
      </c>
      <c r="CK62" s="37" t="str">
        <f ca="1">IFERROR(+IF(CK$29=ProposalToGnatt[[#This Row],[Start Date]],Milestone_Marker,IF(AND(CK$29&gt;ProposalToGnatt[[#This Row],[Start Date]],CK$29&lt;ProposalToGnatt[[#This Row],[Start Date]]+ProposalToGnatt[[#This Row],[Days]]),$G$5,"")),"")</f>
        <v/>
      </c>
      <c r="CL62" s="37" t="str">
        <f ca="1">IFERROR(+IF(CL$29=ProposalToGnatt[[#This Row],[Start Date]],Milestone_Marker,IF(AND(CL$29&gt;ProposalToGnatt[[#This Row],[Start Date]],CL$29&lt;ProposalToGnatt[[#This Row],[Start Date]]+ProposalToGnatt[[#This Row],[Days]]),$G$5,"")),"")</f>
        <v/>
      </c>
      <c r="CM62" s="37" t="str">
        <f ca="1">IFERROR(+IF(CM$29=ProposalToGnatt[[#This Row],[Start Date]],Milestone_Marker,IF(AND(CM$29&gt;ProposalToGnatt[[#This Row],[Start Date]],CM$29&lt;ProposalToGnatt[[#This Row],[Start Date]]+ProposalToGnatt[[#This Row],[Days]]),$G$5,"")),"")</f>
        <v/>
      </c>
      <c r="CN62" s="37" t="str">
        <f ca="1">IFERROR(+IF(CN$29=ProposalToGnatt[[#This Row],[Start Date]],Milestone_Marker,IF(AND(CN$29&gt;ProposalToGnatt[[#This Row],[Start Date]],CN$29&lt;ProposalToGnatt[[#This Row],[Start Date]]+ProposalToGnatt[[#This Row],[Days]]),$G$5,"")),"")</f>
        <v/>
      </c>
      <c r="CO62" s="37" t="str">
        <f ca="1">IFERROR(+IF(CO$29=ProposalToGnatt[[#This Row],[Start Date]],Milestone_Marker,IF(AND(CO$29&gt;ProposalToGnatt[[#This Row],[Start Date]],CO$29&lt;ProposalToGnatt[[#This Row],[Start Date]]+ProposalToGnatt[[#This Row],[Days]]),$G$5,"")),"")</f>
        <v/>
      </c>
      <c r="CP62" s="37" t="str">
        <f ca="1">IFERROR(+IF(CP$29=ProposalToGnatt[[#This Row],[Start Date]],Milestone_Marker,IF(AND(CP$29&gt;ProposalToGnatt[[#This Row],[Start Date]],CP$29&lt;ProposalToGnatt[[#This Row],[Start Date]]+ProposalToGnatt[[#This Row],[Days]]),$G$5,"")),"")</f>
        <v/>
      </c>
      <c r="CQ62" s="37" t="str">
        <f ca="1">IFERROR(+IF(CQ$29=ProposalToGnatt[[#This Row],[Start Date]],Milestone_Marker,IF(AND(CQ$29&gt;ProposalToGnatt[[#This Row],[Start Date]],CQ$29&lt;ProposalToGnatt[[#This Row],[Start Date]]+ProposalToGnatt[[#This Row],[Days]]),$G$5,"")),"")</f>
        <v/>
      </c>
      <c r="CR62" s="37" t="str">
        <f ca="1">IFERROR(+IF(CR$29=ProposalToGnatt[[#This Row],[Start Date]],Milestone_Marker,IF(AND(CR$29&gt;ProposalToGnatt[[#This Row],[Start Date]],CR$29&lt;ProposalToGnatt[[#This Row],[Start Date]]+ProposalToGnatt[[#This Row],[Days]]),$G$5,"")),"")</f>
        <v/>
      </c>
      <c r="CS62" s="37" t="str">
        <f ca="1">IFERROR(+IF(CS$29=ProposalToGnatt[[#This Row],[Start Date]],Milestone_Marker,IF(AND(CS$29&gt;ProposalToGnatt[[#This Row],[Start Date]],CS$29&lt;ProposalToGnatt[[#This Row],[Start Date]]+ProposalToGnatt[[#This Row],[Days]]),$G$5,"")),"")</f>
        <v/>
      </c>
      <c r="CT62" s="37" t="str">
        <f ca="1">IFERROR(+IF(CT$29=ProposalToGnatt[[#This Row],[Start Date]],Milestone_Marker,IF(AND(CT$29&gt;ProposalToGnatt[[#This Row],[Start Date]],CT$29&lt;ProposalToGnatt[[#This Row],[Start Date]]+ProposalToGnatt[[#This Row],[Days]]),$G$5,"")),"")</f>
        <v/>
      </c>
      <c r="CU62" s="37" t="str">
        <f ca="1">IFERROR(+IF(CU$29=ProposalToGnatt[[#This Row],[Start Date]],Milestone_Marker,IF(AND(CU$29&gt;ProposalToGnatt[[#This Row],[Start Date]],CU$29&lt;ProposalToGnatt[[#This Row],[Start Date]]+ProposalToGnatt[[#This Row],[Days]]),$G$5,"")),"")</f>
        <v/>
      </c>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row>
    <row r="63" spans="1:125" s="42" customFormat="1" ht="15">
      <c r="A63"/>
      <c r="B63"/>
      <c r="C63"/>
      <c r="D63"/>
      <c r="E63"/>
      <c r="F63"/>
      <c r="G63" s="11"/>
      <c r="H63" s="26"/>
      <c r="I63"/>
      <c r="J63"/>
      <c r="K63" s="363"/>
      <c r="L63"/>
      <c r="M63"/>
      <c r="N63"/>
      <c r="O63" s="26"/>
      <c r="P63" s="37" t="str">
        <f ca="1">IFERROR(+IF(P$29=ProposalToGnatt[[#This Row],[Start Date]],Milestone_Marker,IF(AND(P$29&gt;ProposalToGnatt[[#This Row],[Start Date]],P$29&lt;ProposalToGnatt[[#This Row],[Start Date]]+ProposalToGnatt[[#This Row],[Days]]),$G$5,"")),"")</f>
        <v/>
      </c>
      <c r="Q63" s="37" t="str">
        <f ca="1">IFERROR(+IF(Q$29=ProposalToGnatt[[#This Row],[Start Date]],Milestone_Marker,IF(AND(Q$29&gt;ProposalToGnatt[[#This Row],[Start Date]],Q$29&lt;ProposalToGnatt[[#This Row],[Start Date]]+ProposalToGnatt[[#This Row],[Days]]),$G$5,"")),"")</f>
        <v/>
      </c>
      <c r="R63" s="37" t="str">
        <f ca="1">IFERROR(+IF(R$29=ProposalToGnatt[[#This Row],[Start Date]],Milestone_Marker,IF(AND(R$29&gt;ProposalToGnatt[[#This Row],[Start Date]],R$29&lt;ProposalToGnatt[[#This Row],[Start Date]]+ProposalToGnatt[[#This Row],[Days]]),$G$5,"")),"")</f>
        <v/>
      </c>
      <c r="S63" s="37" t="str">
        <f ca="1">IFERROR(+IF(S$29=ProposalToGnatt[[#This Row],[Start Date]],Milestone_Marker,IF(AND(S$29&gt;ProposalToGnatt[[#This Row],[Start Date]],S$29&lt;ProposalToGnatt[[#This Row],[Start Date]]+ProposalToGnatt[[#This Row],[Days]]),$G$5,"")),"")</f>
        <v/>
      </c>
      <c r="T63" s="37" t="str">
        <f ca="1">IFERROR(+IF(T$29=ProposalToGnatt[[#This Row],[Start Date]],Milestone_Marker,IF(AND(T$29&gt;ProposalToGnatt[[#This Row],[Start Date]],T$29&lt;ProposalToGnatt[[#This Row],[Start Date]]+ProposalToGnatt[[#This Row],[Days]]),$G$5,"")),"")</f>
        <v/>
      </c>
      <c r="U63" s="37" t="str">
        <f ca="1">IFERROR(+IF(U$29=ProposalToGnatt[[#This Row],[Start Date]],Milestone_Marker,IF(AND(U$29&gt;ProposalToGnatt[[#This Row],[Start Date]],U$29&lt;ProposalToGnatt[[#This Row],[Start Date]]+ProposalToGnatt[[#This Row],[Days]]),$G$5,"")),"")</f>
        <v/>
      </c>
      <c r="V63" s="37" t="str">
        <f ca="1">IFERROR(+IF(V$29=ProposalToGnatt[[#This Row],[Start Date]],Milestone_Marker,IF(AND(V$29&gt;ProposalToGnatt[[#This Row],[Start Date]],V$29&lt;ProposalToGnatt[[#This Row],[Start Date]]+ProposalToGnatt[[#This Row],[Days]]),$G$5,"")),"")</f>
        <v/>
      </c>
      <c r="W63" s="37" t="str">
        <f ca="1">IFERROR(+IF(W$29=ProposalToGnatt[[#This Row],[Start Date]],Milestone_Marker,IF(AND(W$29&gt;ProposalToGnatt[[#This Row],[Start Date]],W$29&lt;ProposalToGnatt[[#This Row],[Start Date]]+ProposalToGnatt[[#This Row],[Days]]),$G$5,"")),"")</f>
        <v/>
      </c>
      <c r="X63" s="37" t="str">
        <f ca="1">IFERROR(+IF(X$29=ProposalToGnatt[[#This Row],[Start Date]],Milestone_Marker,IF(AND(X$29&gt;ProposalToGnatt[[#This Row],[Start Date]],X$29&lt;ProposalToGnatt[[#This Row],[Start Date]]+ProposalToGnatt[[#This Row],[Days]]),$G$5,"")),"")</f>
        <v/>
      </c>
      <c r="Y63" s="37" t="str">
        <f ca="1">IFERROR(+IF(Y$29=ProposalToGnatt[[#This Row],[Start Date]],Milestone_Marker,IF(AND(Y$29&gt;ProposalToGnatt[[#This Row],[Start Date]],Y$29&lt;ProposalToGnatt[[#This Row],[Start Date]]+ProposalToGnatt[[#This Row],[Days]]),$G$5,"")),"")</f>
        <v/>
      </c>
      <c r="Z63" s="37" t="str">
        <f ca="1">IFERROR(+IF(Z$29=ProposalToGnatt[[#This Row],[Start Date]],Milestone_Marker,IF(AND(Z$29&gt;ProposalToGnatt[[#This Row],[Start Date]],Z$29&lt;ProposalToGnatt[[#This Row],[Start Date]]+ProposalToGnatt[[#This Row],[Days]]),$G$5,"")),"")</f>
        <v/>
      </c>
      <c r="AA63" s="37" t="str">
        <f ca="1">IFERROR(+IF(AA$29=ProposalToGnatt[[#This Row],[Start Date]],Milestone_Marker,IF(AND(AA$29&gt;ProposalToGnatt[[#This Row],[Start Date]],AA$29&lt;ProposalToGnatt[[#This Row],[Start Date]]+ProposalToGnatt[[#This Row],[Days]]),$G$5,"")),"")</f>
        <v/>
      </c>
      <c r="AB63" s="37" t="str">
        <f ca="1">IFERROR(+IF(AB$29=ProposalToGnatt[[#This Row],[Start Date]],Milestone_Marker,IF(AND(AB$29&gt;ProposalToGnatt[[#This Row],[Start Date]],AB$29&lt;ProposalToGnatt[[#This Row],[Start Date]]+ProposalToGnatt[[#This Row],[Days]]),$G$5,"")),"")</f>
        <v/>
      </c>
      <c r="AC63" s="37" t="str">
        <f ca="1">IFERROR(+IF(AC$29=ProposalToGnatt[[#This Row],[Start Date]],Milestone_Marker,IF(AND(AC$29&gt;ProposalToGnatt[[#This Row],[Start Date]],AC$29&lt;ProposalToGnatt[[#This Row],[Start Date]]+ProposalToGnatt[[#This Row],[Days]]),$G$5,"")),"")</f>
        <v/>
      </c>
      <c r="AD63" s="37" t="str">
        <f ca="1">IFERROR(+IF(AD$29=ProposalToGnatt[[#This Row],[Start Date]],Milestone_Marker,IF(AND(AD$29&gt;ProposalToGnatt[[#This Row],[Start Date]],AD$29&lt;ProposalToGnatt[[#This Row],[Start Date]]+ProposalToGnatt[[#This Row],[Days]]),$G$5,"")),"")</f>
        <v/>
      </c>
      <c r="AE63" s="37" t="str">
        <f ca="1">IFERROR(+IF(AE$29=ProposalToGnatt[[#This Row],[Start Date]],Milestone_Marker,IF(AND(AE$29&gt;ProposalToGnatt[[#This Row],[Start Date]],AE$29&lt;ProposalToGnatt[[#This Row],[Start Date]]+ProposalToGnatt[[#This Row],[Days]]),$G$5,"")),"")</f>
        <v/>
      </c>
      <c r="AF63" s="37" t="str">
        <f ca="1">IFERROR(+IF(AF$29=ProposalToGnatt[[#This Row],[Start Date]],Milestone_Marker,IF(AND(AF$29&gt;ProposalToGnatt[[#This Row],[Start Date]],AF$29&lt;ProposalToGnatt[[#This Row],[Start Date]]+ProposalToGnatt[[#This Row],[Days]]),$G$5,"")),"")</f>
        <v/>
      </c>
      <c r="AG63" s="37" t="str">
        <f ca="1">IFERROR(+IF(AG$29=ProposalToGnatt[[#This Row],[Start Date]],Milestone_Marker,IF(AND(AG$29&gt;ProposalToGnatt[[#This Row],[Start Date]],AG$29&lt;ProposalToGnatt[[#This Row],[Start Date]]+ProposalToGnatt[[#This Row],[Days]]),$G$5,"")),"")</f>
        <v/>
      </c>
      <c r="AH63" s="37" t="str">
        <f ca="1">IFERROR(+IF(AH$29=ProposalToGnatt[[#This Row],[Start Date]],Milestone_Marker,IF(AND(AH$29&gt;ProposalToGnatt[[#This Row],[Start Date]],AH$29&lt;ProposalToGnatt[[#This Row],[Start Date]]+ProposalToGnatt[[#This Row],[Days]]),$G$5,"")),"")</f>
        <v/>
      </c>
      <c r="AI63" s="37" t="str">
        <f ca="1">IFERROR(+IF(AI$29=ProposalToGnatt[[#This Row],[Start Date]],Milestone_Marker,IF(AND(AI$29&gt;ProposalToGnatt[[#This Row],[Start Date]],AI$29&lt;ProposalToGnatt[[#This Row],[Start Date]]+ProposalToGnatt[[#This Row],[Days]]),$G$5,"")),"")</f>
        <v/>
      </c>
      <c r="AJ63" s="37" t="str">
        <f ca="1">IFERROR(+IF(AJ$29=ProposalToGnatt[[#This Row],[Start Date]],Milestone_Marker,IF(AND(AJ$29&gt;ProposalToGnatt[[#This Row],[Start Date]],AJ$29&lt;ProposalToGnatt[[#This Row],[Start Date]]+ProposalToGnatt[[#This Row],[Days]]),$G$5,"")),"")</f>
        <v/>
      </c>
      <c r="AK63" s="37" t="str">
        <f ca="1">IFERROR(+IF(AK$29=ProposalToGnatt[[#This Row],[Start Date]],Milestone_Marker,IF(AND(AK$29&gt;ProposalToGnatt[[#This Row],[Start Date]],AK$29&lt;ProposalToGnatt[[#This Row],[Start Date]]+ProposalToGnatt[[#This Row],[Days]]),$G$5,"")),"")</f>
        <v/>
      </c>
      <c r="AL63" s="37" t="str">
        <f ca="1">IFERROR(+IF(AL$29=ProposalToGnatt[[#This Row],[Start Date]],Milestone_Marker,IF(AND(AL$29&gt;ProposalToGnatt[[#This Row],[Start Date]],AL$29&lt;ProposalToGnatt[[#This Row],[Start Date]]+ProposalToGnatt[[#This Row],[Days]]),$G$5,"")),"")</f>
        <v/>
      </c>
      <c r="AM63" s="37" t="str">
        <f ca="1">IFERROR(+IF(AM$29=ProposalToGnatt[[#This Row],[Start Date]],Milestone_Marker,IF(AND(AM$29&gt;ProposalToGnatt[[#This Row],[Start Date]],AM$29&lt;ProposalToGnatt[[#This Row],[Start Date]]+ProposalToGnatt[[#This Row],[Days]]),$G$5,"")),"")</f>
        <v/>
      </c>
      <c r="AN63" s="37" t="str">
        <f ca="1">IFERROR(+IF(AN$29=ProposalToGnatt[[#This Row],[Start Date]],Milestone_Marker,IF(AND(AN$29&gt;ProposalToGnatt[[#This Row],[Start Date]],AN$29&lt;ProposalToGnatt[[#This Row],[Start Date]]+ProposalToGnatt[[#This Row],[Days]]),$G$5,"")),"")</f>
        <v/>
      </c>
      <c r="AO63" s="37" t="str">
        <f ca="1">IFERROR(+IF(AO$29=ProposalToGnatt[[#This Row],[Start Date]],Milestone_Marker,IF(AND(AO$29&gt;ProposalToGnatt[[#This Row],[Start Date]],AO$29&lt;ProposalToGnatt[[#This Row],[Start Date]]+ProposalToGnatt[[#This Row],[Days]]),$G$5,"")),"")</f>
        <v/>
      </c>
      <c r="AP63" s="37" t="str">
        <f ca="1">IFERROR(+IF(AP$29=ProposalToGnatt[[#This Row],[Start Date]],Milestone_Marker,IF(AND(AP$29&gt;ProposalToGnatt[[#This Row],[Start Date]],AP$29&lt;ProposalToGnatt[[#This Row],[Start Date]]+ProposalToGnatt[[#This Row],[Days]]),$G$5,"")),"")</f>
        <v/>
      </c>
      <c r="AQ63" s="37" t="str">
        <f ca="1">IFERROR(+IF(AQ$29=ProposalToGnatt[[#This Row],[Start Date]],Milestone_Marker,IF(AND(AQ$29&gt;ProposalToGnatt[[#This Row],[Start Date]],AQ$29&lt;ProposalToGnatt[[#This Row],[Start Date]]+ProposalToGnatt[[#This Row],[Days]]),$G$5,"")),"")</f>
        <v/>
      </c>
      <c r="AR63" s="37" t="str">
        <f ca="1">IFERROR(+IF(AR$29=ProposalToGnatt[[#This Row],[Start Date]],Milestone_Marker,IF(AND(AR$29&gt;ProposalToGnatt[[#This Row],[Start Date]],AR$29&lt;ProposalToGnatt[[#This Row],[Start Date]]+ProposalToGnatt[[#This Row],[Days]]),$G$5,"")),"")</f>
        <v/>
      </c>
      <c r="AS63" s="37" t="str">
        <f ca="1">IFERROR(+IF(AS$29=ProposalToGnatt[[#This Row],[Start Date]],Milestone_Marker,IF(AND(AS$29&gt;ProposalToGnatt[[#This Row],[Start Date]],AS$29&lt;ProposalToGnatt[[#This Row],[Start Date]]+ProposalToGnatt[[#This Row],[Days]]),$G$5,"")),"")</f>
        <v/>
      </c>
      <c r="AT63" s="37" t="str">
        <f ca="1">IFERROR(+IF(AT$29=ProposalToGnatt[[#This Row],[Start Date]],Milestone_Marker,IF(AND(AT$29&gt;ProposalToGnatt[[#This Row],[Start Date]],AT$29&lt;ProposalToGnatt[[#This Row],[Start Date]]+ProposalToGnatt[[#This Row],[Days]]),$G$5,"")),"")</f>
        <v/>
      </c>
      <c r="AU63" s="37" t="str">
        <f ca="1">IFERROR(+IF(AU$29=ProposalToGnatt[[#This Row],[Start Date]],Milestone_Marker,IF(AND(AU$29&gt;ProposalToGnatt[[#This Row],[Start Date]],AU$29&lt;ProposalToGnatt[[#This Row],[Start Date]]+ProposalToGnatt[[#This Row],[Days]]),$G$5,"")),"")</f>
        <v/>
      </c>
      <c r="AV63" s="37" t="str">
        <f ca="1">IFERROR(+IF(AV$29=ProposalToGnatt[[#This Row],[Start Date]],Milestone_Marker,IF(AND(AV$29&gt;ProposalToGnatt[[#This Row],[Start Date]],AV$29&lt;ProposalToGnatt[[#This Row],[Start Date]]+ProposalToGnatt[[#This Row],[Days]]),$G$5,"")),"")</f>
        <v/>
      </c>
      <c r="AW63" s="37" t="str">
        <f ca="1">IFERROR(+IF(AW$29=ProposalToGnatt[[#This Row],[Start Date]],Milestone_Marker,IF(AND(AW$29&gt;ProposalToGnatt[[#This Row],[Start Date]],AW$29&lt;ProposalToGnatt[[#This Row],[Start Date]]+ProposalToGnatt[[#This Row],[Days]]),$G$5,"")),"")</f>
        <v/>
      </c>
      <c r="AX63" s="37" t="str">
        <f ca="1">IFERROR(+IF(AX$29=ProposalToGnatt[[#This Row],[Start Date]],Milestone_Marker,IF(AND(AX$29&gt;ProposalToGnatt[[#This Row],[Start Date]],AX$29&lt;ProposalToGnatt[[#This Row],[Start Date]]+ProposalToGnatt[[#This Row],[Days]]),$G$5,"")),"")</f>
        <v/>
      </c>
      <c r="AY63" s="37" t="str">
        <f ca="1">IFERROR(+IF(AY$29=ProposalToGnatt[[#This Row],[Start Date]],Milestone_Marker,IF(AND(AY$29&gt;ProposalToGnatt[[#This Row],[Start Date]],AY$29&lt;ProposalToGnatt[[#This Row],[Start Date]]+ProposalToGnatt[[#This Row],[Days]]),$G$5,"")),"")</f>
        <v/>
      </c>
      <c r="AZ63" s="37" t="str">
        <f ca="1">IFERROR(+IF(AZ$29=ProposalToGnatt[[#This Row],[Start Date]],Milestone_Marker,IF(AND(AZ$29&gt;ProposalToGnatt[[#This Row],[Start Date]],AZ$29&lt;ProposalToGnatt[[#This Row],[Start Date]]+ProposalToGnatt[[#This Row],[Days]]),$G$5,"")),"")</f>
        <v/>
      </c>
      <c r="BA63" s="37" t="str">
        <f ca="1">IFERROR(+IF(BA$29=ProposalToGnatt[[#This Row],[Start Date]],Milestone_Marker,IF(AND(BA$29&gt;ProposalToGnatt[[#This Row],[Start Date]],BA$29&lt;ProposalToGnatt[[#This Row],[Start Date]]+ProposalToGnatt[[#This Row],[Days]]),$G$5,"")),"")</f>
        <v/>
      </c>
      <c r="BB63" s="37" t="str">
        <f ca="1">IFERROR(+IF(BB$29=ProposalToGnatt[[#This Row],[Start Date]],Milestone_Marker,IF(AND(BB$29&gt;ProposalToGnatt[[#This Row],[Start Date]],BB$29&lt;ProposalToGnatt[[#This Row],[Start Date]]+ProposalToGnatt[[#This Row],[Days]]),$G$5,"")),"")</f>
        <v/>
      </c>
      <c r="BC63" s="37" t="str">
        <f ca="1">IFERROR(+IF(BC$29=ProposalToGnatt[[#This Row],[Start Date]],Milestone_Marker,IF(AND(BC$29&gt;ProposalToGnatt[[#This Row],[Start Date]],BC$29&lt;ProposalToGnatt[[#This Row],[Start Date]]+ProposalToGnatt[[#This Row],[Days]]),$G$5,"")),"")</f>
        <v/>
      </c>
      <c r="BD63" s="37" t="str">
        <f ca="1">IFERROR(+IF(BD$29=ProposalToGnatt[[#This Row],[Start Date]],Milestone_Marker,IF(AND(BD$29&gt;ProposalToGnatt[[#This Row],[Start Date]],BD$29&lt;ProposalToGnatt[[#This Row],[Start Date]]+ProposalToGnatt[[#This Row],[Days]]),$G$5,"")),"")</f>
        <v/>
      </c>
      <c r="BE63" s="37" t="str">
        <f ca="1">IFERROR(+IF(BE$29=ProposalToGnatt[[#This Row],[Start Date]],Milestone_Marker,IF(AND(BE$29&gt;ProposalToGnatt[[#This Row],[Start Date]],BE$29&lt;ProposalToGnatt[[#This Row],[Start Date]]+ProposalToGnatt[[#This Row],[Days]]),$G$5,"")),"")</f>
        <v/>
      </c>
      <c r="BF63" s="37" t="str">
        <f ca="1">IFERROR(+IF(BF$29=ProposalToGnatt[[#This Row],[Start Date]],Milestone_Marker,IF(AND(BF$29&gt;ProposalToGnatt[[#This Row],[Start Date]],BF$29&lt;ProposalToGnatt[[#This Row],[Start Date]]+ProposalToGnatt[[#This Row],[Days]]),$G$5,"")),"")</f>
        <v/>
      </c>
      <c r="BG63" s="37" t="str">
        <f ca="1">IFERROR(+IF(BG$29=ProposalToGnatt[[#This Row],[Start Date]],Milestone_Marker,IF(AND(BG$29&gt;ProposalToGnatt[[#This Row],[Start Date]],BG$29&lt;ProposalToGnatt[[#This Row],[Start Date]]+ProposalToGnatt[[#This Row],[Days]]),$G$5,"")),"")</f>
        <v/>
      </c>
      <c r="BH63" s="37" t="str">
        <f ca="1">IFERROR(+IF(BH$29=ProposalToGnatt[[#This Row],[Start Date]],Milestone_Marker,IF(AND(BH$29&gt;ProposalToGnatt[[#This Row],[Start Date]],BH$29&lt;ProposalToGnatt[[#This Row],[Start Date]]+ProposalToGnatt[[#This Row],[Days]]),$G$5,"")),"")</f>
        <v/>
      </c>
      <c r="BI63" s="37" t="str">
        <f ca="1">IFERROR(+IF(BI$29=ProposalToGnatt[[#This Row],[Start Date]],Milestone_Marker,IF(AND(BI$29&gt;ProposalToGnatt[[#This Row],[Start Date]],BI$29&lt;ProposalToGnatt[[#This Row],[Start Date]]+ProposalToGnatt[[#This Row],[Days]]),$G$5,"")),"")</f>
        <v/>
      </c>
      <c r="BJ63" s="37" t="str">
        <f ca="1">IFERROR(+IF(BJ$29=ProposalToGnatt[[#This Row],[Start Date]],Milestone_Marker,IF(AND(BJ$29&gt;ProposalToGnatt[[#This Row],[Start Date]],BJ$29&lt;ProposalToGnatt[[#This Row],[Start Date]]+ProposalToGnatt[[#This Row],[Days]]),$G$5,"")),"")</f>
        <v/>
      </c>
      <c r="BK63" s="37" t="str">
        <f ca="1">IFERROR(+IF(BK$29=ProposalToGnatt[[#This Row],[Start Date]],Milestone_Marker,IF(AND(BK$29&gt;ProposalToGnatt[[#This Row],[Start Date]],BK$29&lt;ProposalToGnatt[[#This Row],[Start Date]]+ProposalToGnatt[[#This Row],[Days]]),$G$5,"")),"")</f>
        <v/>
      </c>
      <c r="BL63" s="37" t="str">
        <f ca="1">IFERROR(+IF(BL$29=ProposalToGnatt[[#This Row],[Start Date]],Milestone_Marker,IF(AND(BL$29&gt;ProposalToGnatt[[#This Row],[Start Date]],BL$29&lt;ProposalToGnatt[[#This Row],[Start Date]]+ProposalToGnatt[[#This Row],[Days]]),$G$5,"")),"")</f>
        <v/>
      </c>
      <c r="BM63" s="37" t="str">
        <f ca="1">IFERROR(+IF(BM$29=ProposalToGnatt[[#This Row],[Start Date]],Milestone_Marker,IF(AND(BM$29&gt;ProposalToGnatt[[#This Row],[Start Date]],BM$29&lt;ProposalToGnatt[[#This Row],[Start Date]]+ProposalToGnatt[[#This Row],[Days]]),$G$5,"")),"")</f>
        <v/>
      </c>
      <c r="BN63" s="37" t="str">
        <f ca="1">IFERROR(+IF(BN$29=ProposalToGnatt[[#This Row],[Start Date]],Milestone_Marker,IF(AND(BN$29&gt;ProposalToGnatt[[#This Row],[Start Date]],BN$29&lt;ProposalToGnatt[[#This Row],[Start Date]]+ProposalToGnatt[[#This Row],[Days]]),$G$5,"")),"")</f>
        <v/>
      </c>
      <c r="BO63" s="37" t="str">
        <f ca="1">IFERROR(+IF(BO$29=ProposalToGnatt[[#This Row],[Start Date]],Milestone_Marker,IF(AND(BO$29&gt;ProposalToGnatt[[#This Row],[Start Date]],BO$29&lt;ProposalToGnatt[[#This Row],[Start Date]]+ProposalToGnatt[[#This Row],[Days]]),$G$5,"")),"")</f>
        <v/>
      </c>
      <c r="BP63" s="37" t="str">
        <f ca="1">IFERROR(+IF(BP$29=ProposalToGnatt[[#This Row],[Start Date]],Milestone_Marker,IF(AND(BP$29&gt;ProposalToGnatt[[#This Row],[Start Date]],BP$29&lt;ProposalToGnatt[[#This Row],[Start Date]]+ProposalToGnatt[[#This Row],[Days]]),$G$5,"")),"")</f>
        <v/>
      </c>
      <c r="BQ63" s="37" t="str">
        <f ca="1">IFERROR(+IF(BQ$29=ProposalToGnatt[[#This Row],[Start Date]],Milestone_Marker,IF(AND(BQ$29&gt;ProposalToGnatt[[#This Row],[Start Date]],BQ$29&lt;ProposalToGnatt[[#This Row],[Start Date]]+ProposalToGnatt[[#This Row],[Days]]),$G$5,"")),"")</f>
        <v/>
      </c>
      <c r="BR63" s="37" t="str">
        <f ca="1">IFERROR(+IF(BR$29=ProposalToGnatt[[#This Row],[Start Date]],Milestone_Marker,IF(AND(BR$29&gt;ProposalToGnatt[[#This Row],[Start Date]],BR$29&lt;ProposalToGnatt[[#This Row],[Start Date]]+ProposalToGnatt[[#This Row],[Days]]),$G$5,"")),"")</f>
        <v/>
      </c>
      <c r="BS63" s="37" t="str">
        <f ca="1">IFERROR(+IF(BS$29=ProposalToGnatt[[#This Row],[Start Date]],Milestone_Marker,IF(AND(BS$29&gt;ProposalToGnatt[[#This Row],[Start Date]],BS$29&lt;ProposalToGnatt[[#This Row],[Start Date]]+ProposalToGnatt[[#This Row],[Days]]),$G$5,"")),"")</f>
        <v/>
      </c>
      <c r="BT63" s="37" t="str">
        <f ca="1">IFERROR(+IF(BT$29=ProposalToGnatt[[#This Row],[Start Date]],Milestone_Marker,IF(AND(BT$29&gt;ProposalToGnatt[[#This Row],[Start Date]],BT$29&lt;ProposalToGnatt[[#This Row],[Start Date]]+ProposalToGnatt[[#This Row],[Days]]),$G$5,"")),"")</f>
        <v/>
      </c>
      <c r="BU63" s="37" t="str">
        <f ca="1">IFERROR(+IF(BU$29=ProposalToGnatt[[#This Row],[Start Date]],Milestone_Marker,IF(AND(BU$29&gt;ProposalToGnatt[[#This Row],[Start Date]],BU$29&lt;ProposalToGnatt[[#This Row],[Start Date]]+ProposalToGnatt[[#This Row],[Days]]),$G$5,"")),"")</f>
        <v/>
      </c>
      <c r="BV63" s="37" t="str">
        <f ca="1">IFERROR(+IF(BV$29=ProposalToGnatt[[#This Row],[Start Date]],Milestone_Marker,IF(AND(BV$29&gt;ProposalToGnatt[[#This Row],[Start Date]],BV$29&lt;ProposalToGnatt[[#This Row],[Start Date]]+ProposalToGnatt[[#This Row],[Days]]),$G$5,"")),"")</f>
        <v/>
      </c>
      <c r="BW63" s="37" t="str">
        <f ca="1">IFERROR(+IF(BW$29=ProposalToGnatt[[#This Row],[Start Date]],Milestone_Marker,IF(AND(BW$29&gt;ProposalToGnatt[[#This Row],[Start Date]],BW$29&lt;ProposalToGnatt[[#This Row],[Start Date]]+ProposalToGnatt[[#This Row],[Days]]),$G$5,"")),"")</f>
        <v/>
      </c>
      <c r="BX63" s="37" t="str">
        <f ca="1">IFERROR(+IF(BX$29=ProposalToGnatt[[#This Row],[Start Date]],Milestone_Marker,IF(AND(BX$29&gt;ProposalToGnatt[[#This Row],[Start Date]],BX$29&lt;ProposalToGnatt[[#This Row],[Start Date]]+ProposalToGnatt[[#This Row],[Days]]),$G$5,"")),"")</f>
        <v/>
      </c>
      <c r="BY63" s="37" t="str">
        <f ca="1">IFERROR(+IF(BY$29=ProposalToGnatt[[#This Row],[Start Date]],Milestone_Marker,IF(AND(BY$29&gt;ProposalToGnatt[[#This Row],[Start Date]],BY$29&lt;ProposalToGnatt[[#This Row],[Start Date]]+ProposalToGnatt[[#This Row],[Days]]),$G$5,"")),"")</f>
        <v/>
      </c>
      <c r="BZ63" s="37" t="str">
        <f ca="1">IFERROR(+IF(BZ$29=ProposalToGnatt[[#This Row],[Start Date]],Milestone_Marker,IF(AND(BZ$29&gt;ProposalToGnatt[[#This Row],[Start Date]],BZ$29&lt;ProposalToGnatt[[#This Row],[Start Date]]+ProposalToGnatt[[#This Row],[Days]]),$G$5,"")),"")</f>
        <v/>
      </c>
      <c r="CA63" s="37" t="str">
        <f ca="1">IFERROR(+IF(CA$29=ProposalToGnatt[[#This Row],[Start Date]],Milestone_Marker,IF(AND(CA$29&gt;ProposalToGnatt[[#This Row],[Start Date]],CA$29&lt;ProposalToGnatt[[#This Row],[Start Date]]+ProposalToGnatt[[#This Row],[Days]]),$G$5,"")),"")</f>
        <v/>
      </c>
      <c r="CB63" s="37" t="str">
        <f ca="1">IFERROR(+IF(CB$29=ProposalToGnatt[[#This Row],[Start Date]],Milestone_Marker,IF(AND(CB$29&gt;ProposalToGnatt[[#This Row],[Start Date]],CB$29&lt;ProposalToGnatt[[#This Row],[Start Date]]+ProposalToGnatt[[#This Row],[Days]]),$G$5,"")),"")</f>
        <v/>
      </c>
      <c r="CC63" s="37" t="str">
        <f ca="1">IFERROR(+IF(CC$29=ProposalToGnatt[[#This Row],[Start Date]],Milestone_Marker,IF(AND(CC$29&gt;ProposalToGnatt[[#This Row],[Start Date]],CC$29&lt;ProposalToGnatt[[#This Row],[Start Date]]+ProposalToGnatt[[#This Row],[Days]]),$G$5,"")),"")</f>
        <v/>
      </c>
      <c r="CD63" s="37" t="str">
        <f ca="1">IFERROR(+IF(CD$29=ProposalToGnatt[[#This Row],[Start Date]],Milestone_Marker,IF(AND(CD$29&gt;ProposalToGnatt[[#This Row],[Start Date]],CD$29&lt;ProposalToGnatt[[#This Row],[Start Date]]+ProposalToGnatt[[#This Row],[Days]]),$G$5,"")),"")</f>
        <v/>
      </c>
      <c r="CE63" s="37" t="str">
        <f ca="1">IFERROR(+IF(CE$29=ProposalToGnatt[[#This Row],[Start Date]],Milestone_Marker,IF(AND(CE$29&gt;ProposalToGnatt[[#This Row],[Start Date]],CE$29&lt;ProposalToGnatt[[#This Row],[Start Date]]+ProposalToGnatt[[#This Row],[Days]]),$G$5,"")),"")</f>
        <v/>
      </c>
      <c r="CF63" s="37" t="str">
        <f ca="1">IFERROR(+IF(CF$29=ProposalToGnatt[[#This Row],[Start Date]],Milestone_Marker,IF(AND(CF$29&gt;ProposalToGnatt[[#This Row],[Start Date]],CF$29&lt;ProposalToGnatt[[#This Row],[Start Date]]+ProposalToGnatt[[#This Row],[Days]]),$G$5,"")),"")</f>
        <v/>
      </c>
      <c r="CG63" s="37" t="str">
        <f ca="1">IFERROR(+IF(CG$29=ProposalToGnatt[[#This Row],[Start Date]],Milestone_Marker,IF(AND(CG$29&gt;ProposalToGnatt[[#This Row],[Start Date]],CG$29&lt;ProposalToGnatt[[#This Row],[Start Date]]+ProposalToGnatt[[#This Row],[Days]]),$G$5,"")),"")</f>
        <v/>
      </c>
      <c r="CH63" s="37" t="str">
        <f ca="1">IFERROR(+IF(CH$29=ProposalToGnatt[[#This Row],[Start Date]],Milestone_Marker,IF(AND(CH$29&gt;ProposalToGnatt[[#This Row],[Start Date]],CH$29&lt;ProposalToGnatt[[#This Row],[Start Date]]+ProposalToGnatt[[#This Row],[Days]]),$G$5,"")),"")</f>
        <v/>
      </c>
      <c r="CI63" s="37" t="str">
        <f ca="1">IFERROR(+IF(CI$29=ProposalToGnatt[[#This Row],[Start Date]],Milestone_Marker,IF(AND(CI$29&gt;ProposalToGnatt[[#This Row],[Start Date]],CI$29&lt;ProposalToGnatt[[#This Row],[Start Date]]+ProposalToGnatt[[#This Row],[Days]]),$G$5,"")),"")</f>
        <v/>
      </c>
      <c r="CJ63" s="37" t="str">
        <f ca="1">IFERROR(+IF(CJ$29=ProposalToGnatt[[#This Row],[Start Date]],Milestone_Marker,IF(AND(CJ$29&gt;ProposalToGnatt[[#This Row],[Start Date]],CJ$29&lt;ProposalToGnatt[[#This Row],[Start Date]]+ProposalToGnatt[[#This Row],[Days]]),$G$5,"")),"")</f>
        <v/>
      </c>
      <c r="CK63" s="37" t="str">
        <f ca="1">IFERROR(+IF(CK$29=ProposalToGnatt[[#This Row],[Start Date]],Milestone_Marker,IF(AND(CK$29&gt;ProposalToGnatt[[#This Row],[Start Date]],CK$29&lt;ProposalToGnatt[[#This Row],[Start Date]]+ProposalToGnatt[[#This Row],[Days]]),$G$5,"")),"")</f>
        <v/>
      </c>
      <c r="CL63" s="37" t="str">
        <f ca="1">IFERROR(+IF(CL$29=ProposalToGnatt[[#This Row],[Start Date]],Milestone_Marker,IF(AND(CL$29&gt;ProposalToGnatt[[#This Row],[Start Date]],CL$29&lt;ProposalToGnatt[[#This Row],[Start Date]]+ProposalToGnatt[[#This Row],[Days]]),$G$5,"")),"")</f>
        <v/>
      </c>
      <c r="CM63" s="37" t="str">
        <f ca="1">IFERROR(+IF(CM$29=ProposalToGnatt[[#This Row],[Start Date]],Milestone_Marker,IF(AND(CM$29&gt;ProposalToGnatt[[#This Row],[Start Date]],CM$29&lt;ProposalToGnatt[[#This Row],[Start Date]]+ProposalToGnatt[[#This Row],[Days]]),$G$5,"")),"")</f>
        <v/>
      </c>
      <c r="CN63" s="37" t="str">
        <f ca="1">IFERROR(+IF(CN$29=ProposalToGnatt[[#This Row],[Start Date]],Milestone_Marker,IF(AND(CN$29&gt;ProposalToGnatt[[#This Row],[Start Date]],CN$29&lt;ProposalToGnatt[[#This Row],[Start Date]]+ProposalToGnatt[[#This Row],[Days]]),$G$5,"")),"")</f>
        <v/>
      </c>
      <c r="CO63" s="37" t="str">
        <f ca="1">IFERROR(+IF(CO$29=ProposalToGnatt[[#This Row],[Start Date]],Milestone_Marker,IF(AND(CO$29&gt;ProposalToGnatt[[#This Row],[Start Date]],CO$29&lt;ProposalToGnatt[[#This Row],[Start Date]]+ProposalToGnatt[[#This Row],[Days]]),$G$5,"")),"")</f>
        <v/>
      </c>
      <c r="CP63" s="37" t="str">
        <f ca="1">IFERROR(+IF(CP$29=ProposalToGnatt[[#This Row],[Start Date]],Milestone_Marker,IF(AND(CP$29&gt;ProposalToGnatt[[#This Row],[Start Date]],CP$29&lt;ProposalToGnatt[[#This Row],[Start Date]]+ProposalToGnatt[[#This Row],[Days]]),$G$5,"")),"")</f>
        <v/>
      </c>
      <c r="CQ63" s="37" t="str">
        <f ca="1">IFERROR(+IF(CQ$29=ProposalToGnatt[[#This Row],[Start Date]],Milestone_Marker,IF(AND(CQ$29&gt;ProposalToGnatt[[#This Row],[Start Date]],CQ$29&lt;ProposalToGnatt[[#This Row],[Start Date]]+ProposalToGnatt[[#This Row],[Days]]),$G$5,"")),"")</f>
        <v/>
      </c>
      <c r="CR63" s="37" t="str">
        <f ca="1">IFERROR(+IF(CR$29=ProposalToGnatt[[#This Row],[Start Date]],Milestone_Marker,IF(AND(CR$29&gt;ProposalToGnatt[[#This Row],[Start Date]],CR$29&lt;ProposalToGnatt[[#This Row],[Start Date]]+ProposalToGnatt[[#This Row],[Days]]),$G$5,"")),"")</f>
        <v/>
      </c>
      <c r="CS63" s="37" t="str">
        <f ca="1">IFERROR(+IF(CS$29=ProposalToGnatt[[#This Row],[Start Date]],Milestone_Marker,IF(AND(CS$29&gt;ProposalToGnatt[[#This Row],[Start Date]],CS$29&lt;ProposalToGnatt[[#This Row],[Start Date]]+ProposalToGnatt[[#This Row],[Days]]),$G$5,"")),"")</f>
        <v/>
      </c>
      <c r="CT63" s="37" t="str">
        <f ca="1">IFERROR(+IF(CT$29=ProposalToGnatt[[#This Row],[Start Date]],Milestone_Marker,IF(AND(CT$29&gt;ProposalToGnatt[[#This Row],[Start Date]],CT$29&lt;ProposalToGnatt[[#This Row],[Start Date]]+ProposalToGnatt[[#This Row],[Days]]),$G$5,"")),"")</f>
        <v/>
      </c>
      <c r="CU63" s="37" t="str">
        <f ca="1">IFERROR(+IF(CU$29=ProposalToGnatt[[#This Row],[Start Date]],Milestone_Marker,IF(AND(CU$29&gt;ProposalToGnatt[[#This Row],[Start Date]],CU$29&lt;ProposalToGnatt[[#This Row],[Start Date]]+ProposalToGnatt[[#This Row],[Days]]),$G$5,"")),"")</f>
        <v/>
      </c>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7"/>
      <c r="DT63" s="37"/>
      <c r="DU63" s="37"/>
    </row>
    <row r="64" spans="1:125" s="42" customFormat="1" ht="15">
      <c r="A64"/>
      <c r="B64"/>
      <c r="C64"/>
      <c r="D64"/>
      <c r="E64"/>
      <c r="F64"/>
      <c r="G64" s="11"/>
      <c r="H64" s="26"/>
      <c r="I64"/>
      <c r="J64"/>
      <c r="K64" s="363"/>
      <c r="L64"/>
      <c r="M64"/>
      <c r="N64"/>
      <c r="O64" s="26"/>
      <c r="P64" s="37" t="str">
        <f ca="1">IFERROR(+IF(P$29=ProposalToGnatt[[#This Row],[Start Date]],Milestone_Marker,IF(AND(P$29&gt;ProposalToGnatt[[#This Row],[Start Date]],P$29&lt;ProposalToGnatt[[#This Row],[Start Date]]+ProposalToGnatt[[#This Row],[Days]]),$G$5,"")),"")</f>
        <v/>
      </c>
      <c r="Q64" s="37" t="str">
        <f ca="1">IFERROR(+IF(Q$29=ProposalToGnatt[[#This Row],[Start Date]],Milestone_Marker,IF(AND(Q$29&gt;ProposalToGnatt[[#This Row],[Start Date]],Q$29&lt;ProposalToGnatt[[#This Row],[Start Date]]+ProposalToGnatt[[#This Row],[Days]]),$G$5,"")),"")</f>
        <v/>
      </c>
      <c r="R64" s="37" t="str">
        <f ca="1">IFERROR(+IF(R$29=ProposalToGnatt[[#This Row],[Start Date]],Milestone_Marker,IF(AND(R$29&gt;ProposalToGnatt[[#This Row],[Start Date]],R$29&lt;ProposalToGnatt[[#This Row],[Start Date]]+ProposalToGnatt[[#This Row],[Days]]),$G$5,"")),"")</f>
        <v/>
      </c>
      <c r="S64" s="37" t="str">
        <f ca="1">IFERROR(+IF(S$29=ProposalToGnatt[[#This Row],[Start Date]],Milestone_Marker,IF(AND(S$29&gt;ProposalToGnatt[[#This Row],[Start Date]],S$29&lt;ProposalToGnatt[[#This Row],[Start Date]]+ProposalToGnatt[[#This Row],[Days]]),$G$5,"")),"")</f>
        <v/>
      </c>
      <c r="T64" s="37" t="str">
        <f ca="1">IFERROR(+IF(T$29=ProposalToGnatt[[#This Row],[Start Date]],Milestone_Marker,IF(AND(T$29&gt;ProposalToGnatt[[#This Row],[Start Date]],T$29&lt;ProposalToGnatt[[#This Row],[Start Date]]+ProposalToGnatt[[#This Row],[Days]]),$G$5,"")),"")</f>
        <v/>
      </c>
      <c r="U64" s="37" t="str">
        <f ca="1">IFERROR(+IF(U$29=ProposalToGnatt[[#This Row],[Start Date]],Milestone_Marker,IF(AND(U$29&gt;ProposalToGnatt[[#This Row],[Start Date]],U$29&lt;ProposalToGnatt[[#This Row],[Start Date]]+ProposalToGnatt[[#This Row],[Days]]),$G$5,"")),"")</f>
        <v/>
      </c>
      <c r="V64" s="37" t="str">
        <f ca="1">IFERROR(+IF(V$29=ProposalToGnatt[[#This Row],[Start Date]],Milestone_Marker,IF(AND(V$29&gt;ProposalToGnatt[[#This Row],[Start Date]],V$29&lt;ProposalToGnatt[[#This Row],[Start Date]]+ProposalToGnatt[[#This Row],[Days]]),$G$5,"")),"")</f>
        <v/>
      </c>
      <c r="W64" s="37" t="str">
        <f ca="1">IFERROR(+IF(W$29=ProposalToGnatt[[#This Row],[Start Date]],Milestone_Marker,IF(AND(W$29&gt;ProposalToGnatt[[#This Row],[Start Date]],W$29&lt;ProposalToGnatt[[#This Row],[Start Date]]+ProposalToGnatt[[#This Row],[Days]]),$G$5,"")),"")</f>
        <v/>
      </c>
      <c r="X64" s="37" t="str">
        <f ca="1">IFERROR(+IF(X$29=ProposalToGnatt[[#This Row],[Start Date]],Milestone_Marker,IF(AND(X$29&gt;ProposalToGnatt[[#This Row],[Start Date]],X$29&lt;ProposalToGnatt[[#This Row],[Start Date]]+ProposalToGnatt[[#This Row],[Days]]),$G$5,"")),"")</f>
        <v/>
      </c>
      <c r="Y64" s="37" t="str">
        <f ca="1">IFERROR(+IF(Y$29=ProposalToGnatt[[#This Row],[Start Date]],Milestone_Marker,IF(AND(Y$29&gt;ProposalToGnatt[[#This Row],[Start Date]],Y$29&lt;ProposalToGnatt[[#This Row],[Start Date]]+ProposalToGnatt[[#This Row],[Days]]),$G$5,"")),"")</f>
        <v/>
      </c>
      <c r="Z64" s="37" t="str">
        <f ca="1">IFERROR(+IF(Z$29=ProposalToGnatt[[#This Row],[Start Date]],Milestone_Marker,IF(AND(Z$29&gt;ProposalToGnatt[[#This Row],[Start Date]],Z$29&lt;ProposalToGnatt[[#This Row],[Start Date]]+ProposalToGnatt[[#This Row],[Days]]),$G$5,"")),"")</f>
        <v/>
      </c>
      <c r="AA64" s="37" t="str">
        <f ca="1">IFERROR(+IF(AA$29=ProposalToGnatt[[#This Row],[Start Date]],Milestone_Marker,IF(AND(AA$29&gt;ProposalToGnatt[[#This Row],[Start Date]],AA$29&lt;ProposalToGnatt[[#This Row],[Start Date]]+ProposalToGnatt[[#This Row],[Days]]),$G$5,"")),"")</f>
        <v/>
      </c>
      <c r="AB64" s="37" t="str">
        <f ca="1">IFERROR(+IF(AB$29=ProposalToGnatt[[#This Row],[Start Date]],Milestone_Marker,IF(AND(AB$29&gt;ProposalToGnatt[[#This Row],[Start Date]],AB$29&lt;ProposalToGnatt[[#This Row],[Start Date]]+ProposalToGnatt[[#This Row],[Days]]),$G$5,"")),"")</f>
        <v/>
      </c>
      <c r="AC64" s="37" t="str">
        <f ca="1">IFERROR(+IF(AC$29=ProposalToGnatt[[#This Row],[Start Date]],Milestone_Marker,IF(AND(AC$29&gt;ProposalToGnatt[[#This Row],[Start Date]],AC$29&lt;ProposalToGnatt[[#This Row],[Start Date]]+ProposalToGnatt[[#This Row],[Days]]),$G$5,"")),"")</f>
        <v/>
      </c>
      <c r="AD64" s="37" t="str">
        <f ca="1">IFERROR(+IF(AD$29=ProposalToGnatt[[#This Row],[Start Date]],Milestone_Marker,IF(AND(AD$29&gt;ProposalToGnatt[[#This Row],[Start Date]],AD$29&lt;ProposalToGnatt[[#This Row],[Start Date]]+ProposalToGnatt[[#This Row],[Days]]),$G$5,"")),"")</f>
        <v/>
      </c>
      <c r="AE64" s="37" t="str">
        <f ca="1">IFERROR(+IF(AE$29=ProposalToGnatt[[#This Row],[Start Date]],Milestone_Marker,IF(AND(AE$29&gt;ProposalToGnatt[[#This Row],[Start Date]],AE$29&lt;ProposalToGnatt[[#This Row],[Start Date]]+ProposalToGnatt[[#This Row],[Days]]),$G$5,"")),"")</f>
        <v/>
      </c>
      <c r="AF64" s="37" t="str">
        <f ca="1">IFERROR(+IF(AF$29=ProposalToGnatt[[#This Row],[Start Date]],Milestone_Marker,IF(AND(AF$29&gt;ProposalToGnatt[[#This Row],[Start Date]],AF$29&lt;ProposalToGnatt[[#This Row],[Start Date]]+ProposalToGnatt[[#This Row],[Days]]),$G$5,"")),"")</f>
        <v/>
      </c>
      <c r="AG64" s="37" t="str">
        <f ca="1">IFERROR(+IF(AG$29=ProposalToGnatt[[#This Row],[Start Date]],Milestone_Marker,IF(AND(AG$29&gt;ProposalToGnatt[[#This Row],[Start Date]],AG$29&lt;ProposalToGnatt[[#This Row],[Start Date]]+ProposalToGnatt[[#This Row],[Days]]),$G$5,"")),"")</f>
        <v/>
      </c>
      <c r="AH64" s="37" t="str">
        <f ca="1">IFERROR(+IF(AH$29=ProposalToGnatt[[#This Row],[Start Date]],Milestone_Marker,IF(AND(AH$29&gt;ProposalToGnatt[[#This Row],[Start Date]],AH$29&lt;ProposalToGnatt[[#This Row],[Start Date]]+ProposalToGnatt[[#This Row],[Days]]),$G$5,"")),"")</f>
        <v/>
      </c>
      <c r="AI64" s="37" t="str">
        <f ca="1">IFERROR(+IF(AI$29=ProposalToGnatt[[#This Row],[Start Date]],Milestone_Marker,IF(AND(AI$29&gt;ProposalToGnatt[[#This Row],[Start Date]],AI$29&lt;ProposalToGnatt[[#This Row],[Start Date]]+ProposalToGnatt[[#This Row],[Days]]),$G$5,"")),"")</f>
        <v/>
      </c>
      <c r="AJ64" s="37" t="str">
        <f ca="1">IFERROR(+IF(AJ$29=ProposalToGnatt[[#This Row],[Start Date]],Milestone_Marker,IF(AND(AJ$29&gt;ProposalToGnatt[[#This Row],[Start Date]],AJ$29&lt;ProposalToGnatt[[#This Row],[Start Date]]+ProposalToGnatt[[#This Row],[Days]]),$G$5,"")),"")</f>
        <v/>
      </c>
      <c r="AK64" s="37" t="str">
        <f ca="1">IFERROR(+IF(AK$29=ProposalToGnatt[[#This Row],[Start Date]],Milestone_Marker,IF(AND(AK$29&gt;ProposalToGnatt[[#This Row],[Start Date]],AK$29&lt;ProposalToGnatt[[#This Row],[Start Date]]+ProposalToGnatt[[#This Row],[Days]]),$G$5,"")),"")</f>
        <v/>
      </c>
      <c r="AL64" s="37" t="str">
        <f ca="1">IFERROR(+IF(AL$29=ProposalToGnatt[[#This Row],[Start Date]],Milestone_Marker,IF(AND(AL$29&gt;ProposalToGnatt[[#This Row],[Start Date]],AL$29&lt;ProposalToGnatt[[#This Row],[Start Date]]+ProposalToGnatt[[#This Row],[Days]]),$G$5,"")),"")</f>
        <v/>
      </c>
      <c r="AM64" s="37" t="str">
        <f ca="1">IFERROR(+IF(AM$29=ProposalToGnatt[[#This Row],[Start Date]],Milestone_Marker,IF(AND(AM$29&gt;ProposalToGnatt[[#This Row],[Start Date]],AM$29&lt;ProposalToGnatt[[#This Row],[Start Date]]+ProposalToGnatt[[#This Row],[Days]]),$G$5,"")),"")</f>
        <v/>
      </c>
      <c r="AN64" s="37" t="str">
        <f ca="1">IFERROR(+IF(AN$29=ProposalToGnatt[[#This Row],[Start Date]],Milestone_Marker,IF(AND(AN$29&gt;ProposalToGnatt[[#This Row],[Start Date]],AN$29&lt;ProposalToGnatt[[#This Row],[Start Date]]+ProposalToGnatt[[#This Row],[Days]]),$G$5,"")),"")</f>
        <v/>
      </c>
      <c r="AO64" s="37" t="str">
        <f ca="1">IFERROR(+IF(AO$29=ProposalToGnatt[[#This Row],[Start Date]],Milestone_Marker,IF(AND(AO$29&gt;ProposalToGnatt[[#This Row],[Start Date]],AO$29&lt;ProposalToGnatt[[#This Row],[Start Date]]+ProposalToGnatt[[#This Row],[Days]]),$G$5,"")),"")</f>
        <v/>
      </c>
      <c r="AP64" s="37" t="str">
        <f ca="1">IFERROR(+IF(AP$29=ProposalToGnatt[[#This Row],[Start Date]],Milestone_Marker,IF(AND(AP$29&gt;ProposalToGnatt[[#This Row],[Start Date]],AP$29&lt;ProposalToGnatt[[#This Row],[Start Date]]+ProposalToGnatt[[#This Row],[Days]]),$G$5,"")),"")</f>
        <v/>
      </c>
      <c r="AQ64" s="37" t="str">
        <f ca="1">IFERROR(+IF(AQ$29=ProposalToGnatt[[#This Row],[Start Date]],Milestone_Marker,IF(AND(AQ$29&gt;ProposalToGnatt[[#This Row],[Start Date]],AQ$29&lt;ProposalToGnatt[[#This Row],[Start Date]]+ProposalToGnatt[[#This Row],[Days]]),$G$5,"")),"")</f>
        <v/>
      </c>
      <c r="AR64" s="37" t="str">
        <f ca="1">IFERROR(+IF(AR$29=ProposalToGnatt[[#This Row],[Start Date]],Milestone_Marker,IF(AND(AR$29&gt;ProposalToGnatt[[#This Row],[Start Date]],AR$29&lt;ProposalToGnatt[[#This Row],[Start Date]]+ProposalToGnatt[[#This Row],[Days]]),$G$5,"")),"")</f>
        <v/>
      </c>
      <c r="AS64" s="37" t="str">
        <f ca="1">IFERROR(+IF(AS$29=ProposalToGnatt[[#This Row],[Start Date]],Milestone_Marker,IF(AND(AS$29&gt;ProposalToGnatt[[#This Row],[Start Date]],AS$29&lt;ProposalToGnatt[[#This Row],[Start Date]]+ProposalToGnatt[[#This Row],[Days]]),$G$5,"")),"")</f>
        <v/>
      </c>
      <c r="AT64" s="37" t="str">
        <f ca="1">IFERROR(+IF(AT$29=ProposalToGnatt[[#This Row],[Start Date]],Milestone_Marker,IF(AND(AT$29&gt;ProposalToGnatt[[#This Row],[Start Date]],AT$29&lt;ProposalToGnatt[[#This Row],[Start Date]]+ProposalToGnatt[[#This Row],[Days]]),$G$5,"")),"")</f>
        <v/>
      </c>
      <c r="AU64" s="37" t="str">
        <f ca="1">IFERROR(+IF(AU$29=ProposalToGnatt[[#This Row],[Start Date]],Milestone_Marker,IF(AND(AU$29&gt;ProposalToGnatt[[#This Row],[Start Date]],AU$29&lt;ProposalToGnatt[[#This Row],[Start Date]]+ProposalToGnatt[[#This Row],[Days]]),$G$5,"")),"")</f>
        <v/>
      </c>
      <c r="AV64" s="37" t="str">
        <f ca="1">IFERROR(+IF(AV$29=ProposalToGnatt[[#This Row],[Start Date]],Milestone_Marker,IF(AND(AV$29&gt;ProposalToGnatt[[#This Row],[Start Date]],AV$29&lt;ProposalToGnatt[[#This Row],[Start Date]]+ProposalToGnatt[[#This Row],[Days]]),$G$5,"")),"")</f>
        <v/>
      </c>
      <c r="AW64" s="37" t="str">
        <f ca="1">IFERROR(+IF(AW$29=ProposalToGnatt[[#This Row],[Start Date]],Milestone_Marker,IF(AND(AW$29&gt;ProposalToGnatt[[#This Row],[Start Date]],AW$29&lt;ProposalToGnatt[[#This Row],[Start Date]]+ProposalToGnatt[[#This Row],[Days]]),$G$5,"")),"")</f>
        <v/>
      </c>
      <c r="AX64" s="37" t="str">
        <f ca="1">IFERROR(+IF(AX$29=ProposalToGnatt[[#This Row],[Start Date]],Milestone_Marker,IF(AND(AX$29&gt;ProposalToGnatt[[#This Row],[Start Date]],AX$29&lt;ProposalToGnatt[[#This Row],[Start Date]]+ProposalToGnatt[[#This Row],[Days]]),$G$5,"")),"")</f>
        <v/>
      </c>
      <c r="AY64" s="37" t="str">
        <f ca="1">IFERROR(+IF(AY$29=ProposalToGnatt[[#This Row],[Start Date]],Milestone_Marker,IF(AND(AY$29&gt;ProposalToGnatt[[#This Row],[Start Date]],AY$29&lt;ProposalToGnatt[[#This Row],[Start Date]]+ProposalToGnatt[[#This Row],[Days]]),$G$5,"")),"")</f>
        <v/>
      </c>
      <c r="AZ64" s="37" t="str">
        <f ca="1">IFERROR(+IF(AZ$29=ProposalToGnatt[[#This Row],[Start Date]],Milestone_Marker,IF(AND(AZ$29&gt;ProposalToGnatt[[#This Row],[Start Date]],AZ$29&lt;ProposalToGnatt[[#This Row],[Start Date]]+ProposalToGnatt[[#This Row],[Days]]),$G$5,"")),"")</f>
        <v/>
      </c>
      <c r="BA64" s="37" t="str">
        <f ca="1">IFERROR(+IF(BA$29=ProposalToGnatt[[#This Row],[Start Date]],Milestone_Marker,IF(AND(BA$29&gt;ProposalToGnatt[[#This Row],[Start Date]],BA$29&lt;ProposalToGnatt[[#This Row],[Start Date]]+ProposalToGnatt[[#This Row],[Days]]),$G$5,"")),"")</f>
        <v/>
      </c>
      <c r="BB64" s="37" t="str">
        <f ca="1">IFERROR(+IF(BB$29=ProposalToGnatt[[#This Row],[Start Date]],Milestone_Marker,IF(AND(BB$29&gt;ProposalToGnatt[[#This Row],[Start Date]],BB$29&lt;ProposalToGnatt[[#This Row],[Start Date]]+ProposalToGnatt[[#This Row],[Days]]),$G$5,"")),"")</f>
        <v/>
      </c>
      <c r="BC64" s="37" t="str">
        <f ca="1">IFERROR(+IF(BC$29=ProposalToGnatt[[#This Row],[Start Date]],Milestone_Marker,IF(AND(BC$29&gt;ProposalToGnatt[[#This Row],[Start Date]],BC$29&lt;ProposalToGnatt[[#This Row],[Start Date]]+ProposalToGnatt[[#This Row],[Days]]),$G$5,"")),"")</f>
        <v/>
      </c>
      <c r="BD64" s="37" t="str">
        <f ca="1">IFERROR(+IF(BD$29=ProposalToGnatt[[#This Row],[Start Date]],Milestone_Marker,IF(AND(BD$29&gt;ProposalToGnatt[[#This Row],[Start Date]],BD$29&lt;ProposalToGnatt[[#This Row],[Start Date]]+ProposalToGnatt[[#This Row],[Days]]),$G$5,"")),"")</f>
        <v/>
      </c>
      <c r="BE64" s="37" t="str">
        <f ca="1">IFERROR(+IF(BE$29=ProposalToGnatt[[#This Row],[Start Date]],Milestone_Marker,IF(AND(BE$29&gt;ProposalToGnatt[[#This Row],[Start Date]],BE$29&lt;ProposalToGnatt[[#This Row],[Start Date]]+ProposalToGnatt[[#This Row],[Days]]),$G$5,"")),"")</f>
        <v/>
      </c>
      <c r="BF64" s="37" t="str">
        <f ca="1">IFERROR(+IF(BF$29=ProposalToGnatt[[#This Row],[Start Date]],Milestone_Marker,IF(AND(BF$29&gt;ProposalToGnatt[[#This Row],[Start Date]],BF$29&lt;ProposalToGnatt[[#This Row],[Start Date]]+ProposalToGnatt[[#This Row],[Days]]),$G$5,"")),"")</f>
        <v/>
      </c>
      <c r="BG64" s="37" t="str">
        <f ca="1">IFERROR(+IF(BG$29=ProposalToGnatt[[#This Row],[Start Date]],Milestone_Marker,IF(AND(BG$29&gt;ProposalToGnatt[[#This Row],[Start Date]],BG$29&lt;ProposalToGnatt[[#This Row],[Start Date]]+ProposalToGnatt[[#This Row],[Days]]),$G$5,"")),"")</f>
        <v/>
      </c>
      <c r="BH64" s="37" t="str">
        <f ca="1">IFERROR(+IF(BH$29=ProposalToGnatt[[#This Row],[Start Date]],Milestone_Marker,IF(AND(BH$29&gt;ProposalToGnatt[[#This Row],[Start Date]],BH$29&lt;ProposalToGnatt[[#This Row],[Start Date]]+ProposalToGnatt[[#This Row],[Days]]),$G$5,"")),"")</f>
        <v/>
      </c>
      <c r="BI64" s="37" t="str">
        <f ca="1">IFERROR(+IF(BI$29=ProposalToGnatt[[#This Row],[Start Date]],Milestone_Marker,IF(AND(BI$29&gt;ProposalToGnatt[[#This Row],[Start Date]],BI$29&lt;ProposalToGnatt[[#This Row],[Start Date]]+ProposalToGnatt[[#This Row],[Days]]),$G$5,"")),"")</f>
        <v/>
      </c>
      <c r="BJ64" s="37" t="str">
        <f ca="1">IFERROR(+IF(BJ$29=ProposalToGnatt[[#This Row],[Start Date]],Milestone_Marker,IF(AND(BJ$29&gt;ProposalToGnatt[[#This Row],[Start Date]],BJ$29&lt;ProposalToGnatt[[#This Row],[Start Date]]+ProposalToGnatt[[#This Row],[Days]]),$G$5,"")),"")</f>
        <v/>
      </c>
      <c r="BK64" s="37" t="str">
        <f ca="1">IFERROR(+IF(BK$29=ProposalToGnatt[[#This Row],[Start Date]],Milestone_Marker,IF(AND(BK$29&gt;ProposalToGnatt[[#This Row],[Start Date]],BK$29&lt;ProposalToGnatt[[#This Row],[Start Date]]+ProposalToGnatt[[#This Row],[Days]]),$G$5,"")),"")</f>
        <v/>
      </c>
      <c r="BL64" s="37" t="str">
        <f ca="1">IFERROR(+IF(BL$29=ProposalToGnatt[[#This Row],[Start Date]],Milestone_Marker,IF(AND(BL$29&gt;ProposalToGnatt[[#This Row],[Start Date]],BL$29&lt;ProposalToGnatt[[#This Row],[Start Date]]+ProposalToGnatt[[#This Row],[Days]]),$G$5,"")),"")</f>
        <v/>
      </c>
      <c r="BM64" s="37" t="str">
        <f ca="1">IFERROR(+IF(BM$29=ProposalToGnatt[[#This Row],[Start Date]],Milestone_Marker,IF(AND(BM$29&gt;ProposalToGnatt[[#This Row],[Start Date]],BM$29&lt;ProposalToGnatt[[#This Row],[Start Date]]+ProposalToGnatt[[#This Row],[Days]]),$G$5,"")),"")</f>
        <v/>
      </c>
      <c r="BN64" s="37" t="str">
        <f ca="1">IFERROR(+IF(BN$29=ProposalToGnatt[[#This Row],[Start Date]],Milestone_Marker,IF(AND(BN$29&gt;ProposalToGnatt[[#This Row],[Start Date]],BN$29&lt;ProposalToGnatt[[#This Row],[Start Date]]+ProposalToGnatt[[#This Row],[Days]]),$G$5,"")),"")</f>
        <v/>
      </c>
      <c r="BO64" s="37" t="str">
        <f ca="1">IFERROR(+IF(BO$29=ProposalToGnatt[[#This Row],[Start Date]],Milestone_Marker,IF(AND(BO$29&gt;ProposalToGnatt[[#This Row],[Start Date]],BO$29&lt;ProposalToGnatt[[#This Row],[Start Date]]+ProposalToGnatt[[#This Row],[Days]]),$G$5,"")),"")</f>
        <v/>
      </c>
      <c r="BP64" s="37" t="str">
        <f ca="1">IFERROR(+IF(BP$29=ProposalToGnatt[[#This Row],[Start Date]],Milestone_Marker,IF(AND(BP$29&gt;ProposalToGnatt[[#This Row],[Start Date]],BP$29&lt;ProposalToGnatt[[#This Row],[Start Date]]+ProposalToGnatt[[#This Row],[Days]]),$G$5,"")),"")</f>
        <v/>
      </c>
      <c r="BQ64" s="37" t="str">
        <f ca="1">IFERROR(+IF(BQ$29=ProposalToGnatt[[#This Row],[Start Date]],Milestone_Marker,IF(AND(BQ$29&gt;ProposalToGnatt[[#This Row],[Start Date]],BQ$29&lt;ProposalToGnatt[[#This Row],[Start Date]]+ProposalToGnatt[[#This Row],[Days]]),$G$5,"")),"")</f>
        <v/>
      </c>
      <c r="BR64" s="37" t="str">
        <f ca="1">IFERROR(+IF(BR$29=ProposalToGnatt[[#This Row],[Start Date]],Milestone_Marker,IF(AND(BR$29&gt;ProposalToGnatt[[#This Row],[Start Date]],BR$29&lt;ProposalToGnatt[[#This Row],[Start Date]]+ProposalToGnatt[[#This Row],[Days]]),$G$5,"")),"")</f>
        <v/>
      </c>
      <c r="BS64" s="37" t="str">
        <f ca="1">IFERROR(+IF(BS$29=ProposalToGnatt[[#This Row],[Start Date]],Milestone_Marker,IF(AND(BS$29&gt;ProposalToGnatt[[#This Row],[Start Date]],BS$29&lt;ProposalToGnatt[[#This Row],[Start Date]]+ProposalToGnatt[[#This Row],[Days]]),$G$5,"")),"")</f>
        <v/>
      </c>
      <c r="BT64" s="37" t="str">
        <f ca="1">IFERROR(+IF(BT$29=ProposalToGnatt[[#This Row],[Start Date]],Milestone_Marker,IF(AND(BT$29&gt;ProposalToGnatt[[#This Row],[Start Date]],BT$29&lt;ProposalToGnatt[[#This Row],[Start Date]]+ProposalToGnatt[[#This Row],[Days]]),$G$5,"")),"")</f>
        <v/>
      </c>
      <c r="BU64" s="37" t="str">
        <f ca="1">IFERROR(+IF(BU$29=ProposalToGnatt[[#This Row],[Start Date]],Milestone_Marker,IF(AND(BU$29&gt;ProposalToGnatt[[#This Row],[Start Date]],BU$29&lt;ProposalToGnatt[[#This Row],[Start Date]]+ProposalToGnatt[[#This Row],[Days]]),$G$5,"")),"")</f>
        <v/>
      </c>
      <c r="BV64" s="37" t="str">
        <f ca="1">IFERROR(+IF(BV$29=ProposalToGnatt[[#This Row],[Start Date]],Milestone_Marker,IF(AND(BV$29&gt;ProposalToGnatt[[#This Row],[Start Date]],BV$29&lt;ProposalToGnatt[[#This Row],[Start Date]]+ProposalToGnatt[[#This Row],[Days]]),$G$5,"")),"")</f>
        <v/>
      </c>
      <c r="BW64" s="37" t="str">
        <f ca="1">IFERROR(+IF(BW$29=ProposalToGnatt[[#This Row],[Start Date]],Milestone_Marker,IF(AND(BW$29&gt;ProposalToGnatt[[#This Row],[Start Date]],BW$29&lt;ProposalToGnatt[[#This Row],[Start Date]]+ProposalToGnatt[[#This Row],[Days]]),$G$5,"")),"")</f>
        <v/>
      </c>
      <c r="BX64" s="37" t="str">
        <f ca="1">IFERROR(+IF(BX$29=ProposalToGnatt[[#This Row],[Start Date]],Milestone_Marker,IF(AND(BX$29&gt;ProposalToGnatt[[#This Row],[Start Date]],BX$29&lt;ProposalToGnatt[[#This Row],[Start Date]]+ProposalToGnatt[[#This Row],[Days]]),$G$5,"")),"")</f>
        <v/>
      </c>
      <c r="BY64" s="37" t="str">
        <f ca="1">IFERROR(+IF(BY$29=ProposalToGnatt[[#This Row],[Start Date]],Milestone_Marker,IF(AND(BY$29&gt;ProposalToGnatt[[#This Row],[Start Date]],BY$29&lt;ProposalToGnatt[[#This Row],[Start Date]]+ProposalToGnatt[[#This Row],[Days]]),$G$5,"")),"")</f>
        <v/>
      </c>
      <c r="BZ64" s="37" t="str">
        <f ca="1">IFERROR(+IF(BZ$29=ProposalToGnatt[[#This Row],[Start Date]],Milestone_Marker,IF(AND(BZ$29&gt;ProposalToGnatt[[#This Row],[Start Date]],BZ$29&lt;ProposalToGnatt[[#This Row],[Start Date]]+ProposalToGnatt[[#This Row],[Days]]),$G$5,"")),"")</f>
        <v/>
      </c>
      <c r="CA64" s="37" t="str">
        <f ca="1">IFERROR(+IF(CA$29=ProposalToGnatt[[#This Row],[Start Date]],Milestone_Marker,IF(AND(CA$29&gt;ProposalToGnatt[[#This Row],[Start Date]],CA$29&lt;ProposalToGnatt[[#This Row],[Start Date]]+ProposalToGnatt[[#This Row],[Days]]),$G$5,"")),"")</f>
        <v/>
      </c>
      <c r="CB64" s="37" t="str">
        <f ca="1">IFERROR(+IF(CB$29=ProposalToGnatt[[#This Row],[Start Date]],Milestone_Marker,IF(AND(CB$29&gt;ProposalToGnatt[[#This Row],[Start Date]],CB$29&lt;ProposalToGnatt[[#This Row],[Start Date]]+ProposalToGnatt[[#This Row],[Days]]),$G$5,"")),"")</f>
        <v/>
      </c>
      <c r="CC64" s="37" t="str">
        <f ca="1">IFERROR(+IF(CC$29=ProposalToGnatt[[#This Row],[Start Date]],Milestone_Marker,IF(AND(CC$29&gt;ProposalToGnatt[[#This Row],[Start Date]],CC$29&lt;ProposalToGnatt[[#This Row],[Start Date]]+ProposalToGnatt[[#This Row],[Days]]),$G$5,"")),"")</f>
        <v/>
      </c>
      <c r="CD64" s="37" t="str">
        <f ca="1">IFERROR(+IF(CD$29=ProposalToGnatt[[#This Row],[Start Date]],Milestone_Marker,IF(AND(CD$29&gt;ProposalToGnatt[[#This Row],[Start Date]],CD$29&lt;ProposalToGnatt[[#This Row],[Start Date]]+ProposalToGnatt[[#This Row],[Days]]),$G$5,"")),"")</f>
        <v/>
      </c>
      <c r="CE64" s="37" t="str">
        <f ca="1">IFERROR(+IF(CE$29=ProposalToGnatt[[#This Row],[Start Date]],Milestone_Marker,IF(AND(CE$29&gt;ProposalToGnatt[[#This Row],[Start Date]],CE$29&lt;ProposalToGnatt[[#This Row],[Start Date]]+ProposalToGnatt[[#This Row],[Days]]),$G$5,"")),"")</f>
        <v/>
      </c>
      <c r="CF64" s="37" t="str">
        <f ca="1">IFERROR(+IF(CF$29=ProposalToGnatt[[#This Row],[Start Date]],Milestone_Marker,IF(AND(CF$29&gt;ProposalToGnatt[[#This Row],[Start Date]],CF$29&lt;ProposalToGnatt[[#This Row],[Start Date]]+ProposalToGnatt[[#This Row],[Days]]),$G$5,"")),"")</f>
        <v/>
      </c>
      <c r="CG64" s="37" t="str">
        <f ca="1">IFERROR(+IF(CG$29=ProposalToGnatt[[#This Row],[Start Date]],Milestone_Marker,IF(AND(CG$29&gt;ProposalToGnatt[[#This Row],[Start Date]],CG$29&lt;ProposalToGnatt[[#This Row],[Start Date]]+ProposalToGnatt[[#This Row],[Days]]),$G$5,"")),"")</f>
        <v/>
      </c>
      <c r="CH64" s="37" t="str">
        <f ca="1">IFERROR(+IF(CH$29=ProposalToGnatt[[#This Row],[Start Date]],Milestone_Marker,IF(AND(CH$29&gt;ProposalToGnatt[[#This Row],[Start Date]],CH$29&lt;ProposalToGnatt[[#This Row],[Start Date]]+ProposalToGnatt[[#This Row],[Days]]),$G$5,"")),"")</f>
        <v/>
      </c>
      <c r="CI64" s="37" t="str">
        <f ca="1">IFERROR(+IF(CI$29=ProposalToGnatt[[#This Row],[Start Date]],Milestone_Marker,IF(AND(CI$29&gt;ProposalToGnatt[[#This Row],[Start Date]],CI$29&lt;ProposalToGnatt[[#This Row],[Start Date]]+ProposalToGnatt[[#This Row],[Days]]),$G$5,"")),"")</f>
        <v/>
      </c>
      <c r="CJ64" s="37" t="str">
        <f ca="1">IFERROR(+IF(CJ$29=ProposalToGnatt[[#This Row],[Start Date]],Milestone_Marker,IF(AND(CJ$29&gt;ProposalToGnatt[[#This Row],[Start Date]],CJ$29&lt;ProposalToGnatt[[#This Row],[Start Date]]+ProposalToGnatt[[#This Row],[Days]]),$G$5,"")),"")</f>
        <v/>
      </c>
      <c r="CK64" s="37" t="str">
        <f ca="1">IFERROR(+IF(CK$29=ProposalToGnatt[[#This Row],[Start Date]],Milestone_Marker,IF(AND(CK$29&gt;ProposalToGnatt[[#This Row],[Start Date]],CK$29&lt;ProposalToGnatt[[#This Row],[Start Date]]+ProposalToGnatt[[#This Row],[Days]]),$G$5,"")),"")</f>
        <v/>
      </c>
      <c r="CL64" s="37" t="str">
        <f ca="1">IFERROR(+IF(CL$29=ProposalToGnatt[[#This Row],[Start Date]],Milestone_Marker,IF(AND(CL$29&gt;ProposalToGnatt[[#This Row],[Start Date]],CL$29&lt;ProposalToGnatt[[#This Row],[Start Date]]+ProposalToGnatt[[#This Row],[Days]]),$G$5,"")),"")</f>
        <v/>
      </c>
      <c r="CM64" s="37" t="str">
        <f ca="1">IFERROR(+IF(CM$29=ProposalToGnatt[[#This Row],[Start Date]],Milestone_Marker,IF(AND(CM$29&gt;ProposalToGnatt[[#This Row],[Start Date]],CM$29&lt;ProposalToGnatt[[#This Row],[Start Date]]+ProposalToGnatt[[#This Row],[Days]]),$G$5,"")),"")</f>
        <v/>
      </c>
      <c r="CN64" s="37" t="str">
        <f ca="1">IFERROR(+IF(CN$29=ProposalToGnatt[[#This Row],[Start Date]],Milestone_Marker,IF(AND(CN$29&gt;ProposalToGnatt[[#This Row],[Start Date]],CN$29&lt;ProposalToGnatt[[#This Row],[Start Date]]+ProposalToGnatt[[#This Row],[Days]]),$G$5,"")),"")</f>
        <v/>
      </c>
      <c r="CO64" s="37" t="str">
        <f ca="1">IFERROR(+IF(CO$29=ProposalToGnatt[[#This Row],[Start Date]],Milestone_Marker,IF(AND(CO$29&gt;ProposalToGnatt[[#This Row],[Start Date]],CO$29&lt;ProposalToGnatt[[#This Row],[Start Date]]+ProposalToGnatt[[#This Row],[Days]]),$G$5,"")),"")</f>
        <v/>
      </c>
      <c r="CP64" s="37" t="str">
        <f ca="1">IFERROR(+IF(CP$29=ProposalToGnatt[[#This Row],[Start Date]],Milestone_Marker,IF(AND(CP$29&gt;ProposalToGnatt[[#This Row],[Start Date]],CP$29&lt;ProposalToGnatt[[#This Row],[Start Date]]+ProposalToGnatt[[#This Row],[Days]]),$G$5,"")),"")</f>
        <v/>
      </c>
      <c r="CQ64" s="37" t="str">
        <f ca="1">IFERROR(+IF(CQ$29=ProposalToGnatt[[#This Row],[Start Date]],Milestone_Marker,IF(AND(CQ$29&gt;ProposalToGnatt[[#This Row],[Start Date]],CQ$29&lt;ProposalToGnatt[[#This Row],[Start Date]]+ProposalToGnatt[[#This Row],[Days]]),$G$5,"")),"")</f>
        <v/>
      </c>
      <c r="CR64" s="37" t="str">
        <f ca="1">IFERROR(+IF(CR$29=ProposalToGnatt[[#This Row],[Start Date]],Milestone_Marker,IF(AND(CR$29&gt;ProposalToGnatt[[#This Row],[Start Date]],CR$29&lt;ProposalToGnatt[[#This Row],[Start Date]]+ProposalToGnatt[[#This Row],[Days]]),$G$5,"")),"")</f>
        <v/>
      </c>
      <c r="CS64" s="37" t="str">
        <f ca="1">IFERROR(+IF(CS$29=ProposalToGnatt[[#This Row],[Start Date]],Milestone_Marker,IF(AND(CS$29&gt;ProposalToGnatt[[#This Row],[Start Date]],CS$29&lt;ProposalToGnatt[[#This Row],[Start Date]]+ProposalToGnatt[[#This Row],[Days]]),$G$5,"")),"")</f>
        <v/>
      </c>
      <c r="CT64" s="37" t="str">
        <f ca="1">IFERROR(+IF(CT$29=ProposalToGnatt[[#This Row],[Start Date]],Milestone_Marker,IF(AND(CT$29&gt;ProposalToGnatt[[#This Row],[Start Date]],CT$29&lt;ProposalToGnatt[[#This Row],[Start Date]]+ProposalToGnatt[[#This Row],[Days]]),$G$5,"")),"")</f>
        <v/>
      </c>
      <c r="CU64" s="37" t="str">
        <f ca="1">IFERROR(+IF(CU$29=ProposalToGnatt[[#This Row],[Start Date]],Milestone_Marker,IF(AND(CU$29&gt;ProposalToGnatt[[#This Row],[Start Date]],CU$29&lt;ProposalToGnatt[[#This Row],[Start Date]]+ProposalToGnatt[[#This Row],[Days]]),$G$5,"")),"")</f>
        <v/>
      </c>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row>
    <row r="65" spans="1:125" s="42" customFormat="1" ht="15">
      <c r="A65"/>
      <c r="B65"/>
      <c r="C65"/>
      <c r="D65"/>
      <c r="E65"/>
      <c r="F65"/>
      <c r="G65" s="11"/>
      <c r="H65" s="26"/>
      <c r="I65"/>
      <c r="J65"/>
      <c r="K65" s="363"/>
      <c r="L65"/>
      <c r="M65"/>
      <c r="N65"/>
      <c r="O65" s="26"/>
      <c r="P65" s="37" t="str">
        <f ca="1">IFERROR(+IF(P$29=ProposalToGnatt[[#This Row],[Start Date]],Milestone_Marker,IF(AND(P$29&gt;ProposalToGnatt[[#This Row],[Start Date]],P$29&lt;ProposalToGnatt[[#This Row],[Start Date]]+ProposalToGnatt[[#This Row],[Days]]),$G$5,"")),"")</f>
        <v/>
      </c>
      <c r="Q65" s="37" t="str">
        <f ca="1">IFERROR(+IF(Q$29=ProposalToGnatt[[#This Row],[Start Date]],Milestone_Marker,IF(AND(Q$29&gt;ProposalToGnatt[[#This Row],[Start Date]],Q$29&lt;ProposalToGnatt[[#This Row],[Start Date]]+ProposalToGnatt[[#This Row],[Days]]),$G$5,"")),"")</f>
        <v/>
      </c>
      <c r="R65" s="37" t="str">
        <f ca="1">IFERROR(+IF(R$29=ProposalToGnatt[[#This Row],[Start Date]],Milestone_Marker,IF(AND(R$29&gt;ProposalToGnatt[[#This Row],[Start Date]],R$29&lt;ProposalToGnatt[[#This Row],[Start Date]]+ProposalToGnatt[[#This Row],[Days]]),$G$5,"")),"")</f>
        <v/>
      </c>
      <c r="S65" s="37" t="str">
        <f ca="1">IFERROR(+IF(S$29=ProposalToGnatt[[#This Row],[Start Date]],Milestone_Marker,IF(AND(S$29&gt;ProposalToGnatt[[#This Row],[Start Date]],S$29&lt;ProposalToGnatt[[#This Row],[Start Date]]+ProposalToGnatt[[#This Row],[Days]]),$G$5,"")),"")</f>
        <v/>
      </c>
      <c r="T65" s="37" t="str">
        <f ca="1">IFERROR(+IF(T$29=ProposalToGnatt[[#This Row],[Start Date]],Milestone_Marker,IF(AND(T$29&gt;ProposalToGnatt[[#This Row],[Start Date]],T$29&lt;ProposalToGnatt[[#This Row],[Start Date]]+ProposalToGnatt[[#This Row],[Days]]),$G$5,"")),"")</f>
        <v/>
      </c>
      <c r="U65" s="37" t="str">
        <f ca="1">IFERROR(+IF(U$29=ProposalToGnatt[[#This Row],[Start Date]],Milestone_Marker,IF(AND(U$29&gt;ProposalToGnatt[[#This Row],[Start Date]],U$29&lt;ProposalToGnatt[[#This Row],[Start Date]]+ProposalToGnatt[[#This Row],[Days]]),$G$5,"")),"")</f>
        <v/>
      </c>
      <c r="V65" s="37" t="str">
        <f ca="1">IFERROR(+IF(V$29=ProposalToGnatt[[#This Row],[Start Date]],Milestone_Marker,IF(AND(V$29&gt;ProposalToGnatt[[#This Row],[Start Date]],V$29&lt;ProposalToGnatt[[#This Row],[Start Date]]+ProposalToGnatt[[#This Row],[Days]]),$G$5,"")),"")</f>
        <v/>
      </c>
      <c r="W65" s="37" t="str">
        <f ca="1">IFERROR(+IF(W$29=ProposalToGnatt[[#This Row],[Start Date]],Milestone_Marker,IF(AND(W$29&gt;ProposalToGnatt[[#This Row],[Start Date]],W$29&lt;ProposalToGnatt[[#This Row],[Start Date]]+ProposalToGnatt[[#This Row],[Days]]),$G$5,"")),"")</f>
        <v/>
      </c>
      <c r="X65" s="37" t="str">
        <f ca="1">IFERROR(+IF(X$29=ProposalToGnatt[[#This Row],[Start Date]],Milestone_Marker,IF(AND(X$29&gt;ProposalToGnatt[[#This Row],[Start Date]],X$29&lt;ProposalToGnatt[[#This Row],[Start Date]]+ProposalToGnatt[[#This Row],[Days]]),$G$5,"")),"")</f>
        <v/>
      </c>
      <c r="Y65" s="37" t="str">
        <f ca="1">IFERROR(+IF(Y$29=ProposalToGnatt[[#This Row],[Start Date]],Milestone_Marker,IF(AND(Y$29&gt;ProposalToGnatt[[#This Row],[Start Date]],Y$29&lt;ProposalToGnatt[[#This Row],[Start Date]]+ProposalToGnatt[[#This Row],[Days]]),$G$5,"")),"")</f>
        <v/>
      </c>
      <c r="Z65" s="37" t="str">
        <f ca="1">IFERROR(+IF(Z$29=ProposalToGnatt[[#This Row],[Start Date]],Milestone_Marker,IF(AND(Z$29&gt;ProposalToGnatt[[#This Row],[Start Date]],Z$29&lt;ProposalToGnatt[[#This Row],[Start Date]]+ProposalToGnatt[[#This Row],[Days]]),$G$5,"")),"")</f>
        <v/>
      </c>
      <c r="AA65" s="37" t="str">
        <f ca="1">IFERROR(+IF(AA$29=ProposalToGnatt[[#This Row],[Start Date]],Milestone_Marker,IF(AND(AA$29&gt;ProposalToGnatt[[#This Row],[Start Date]],AA$29&lt;ProposalToGnatt[[#This Row],[Start Date]]+ProposalToGnatt[[#This Row],[Days]]),$G$5,"")),"")</f>
        <v/>
      </c>
      <c r="AB65" s="37" t="str">
        <f ca="1">IFERROR(+IF(AB$29=ProposalToGnatt[[#This Row],[Start Date]],Milestone_Marker,IF(AND(AB$29&gt;ProposalToGnatt[[#This Row],[Start Date]],AB$29&lt;ProposalToGnatt[[#This Row],[Start Date]]+ProposalToGnatt[[#This Row],[Days]]),$G$5,"")),"")</f>
        <v/>
      </c>
      <c r="AC65" s="37" t="str">
        <f ca="1">IFERROR(+IF(AC$29=ProposalToGnatt[[#This Row],[Start Date]],Milestone_Marker,IF(AND(AC$29&gt;ProposalToGnatt[[#This Row],[Start Date]],AC$29&lt;ProposalToGnatt[[#This Row],[Start Date]]+ProposalToGnatt[[#This Row],[Days]]),$G$5,"")),"")</f>
        <v/>
      </c>
      <c r="AD65" s="37" t="str">
        <f ca="1">IFERROR(+IF(AD$29=ProposalToGnatt[[#This Row],[Start Date]],Milestone_Marker,IF(AND(AD$29&gt;ProposalToGnatt[[#This Row],[Start Date]],AD$29&lt;ProposalToGnatt[[#This Row],[Start Date]]+ProposalToGnatt[[#This Row],[Days]]),$G$5,"")),"")</f>
        <v/>
      </c>
      <c r="AE65" s="37" t="str">
        <f ca="1">IFERROR(+IF(AE$29=ProposalToGnatt[[#This Row],[Start Date]],Milestone_Marker,IF(AND(AE$29&gt;ProposalToGnatt[[#This Row],[Start Date]],AE$29&lt;ProposalToGnatt[[#This Row],[Start Date]]+ProposalToGnatt[[#This Row],[Days]]),$G$5,"")),"")</f>
        <v/>
      </c>
      <c r="AF65" s="37" t="str">
        <f ca="1">IFERROR(+IF(AF$29=ProposalToGnatt[[#This Row],[Start Date]],Milestone_Marker,IF(AND(AF$29&gt;ProposalToGnatt[[#This Row],[Start Date]],AF$29&lt;ProposalToGnatt[[#This Row],[Start Date]]+ProposalToGnatt[[#This Row],[Days]]),$G$5,"")),"")</f>
        <v/>
      </c>
      <c r="AG65" s="37" t="str">
        <f ca="1">IFERROR(+IF(AG$29=ProposalToGnatt[[#This Row],[Start Date]],Milestone_Marker,IF(AND(AG$29&gt;ProposalToGnatt[[#This Row],[Start Date]],AG$29&lt;ProposalToGnatt[[#This Row],[Start Date]]+ProposalToGnatt[[#This Row],[Days]]),$G$5,"")),"")</f>
        <v/>
      </c>
      <c r="AH65" s="37" t="str">
        <f ca="1">IFERROR(+IF(AH$29=ProposalToGnatt[[#This Row],[Start Date]],Milestone_Marker,IF(AND(AH$29&gt;ProposalToGnatt[[#This Row],[Start Date]],AH$29&lt;ProposalToGnatt[[#This Row],[Start Date]]+ProposalToGnatt[[#This Row],[Days]]),$G$5,"")),"")</f>
        <v/>
      </c>
      <c r="AI65" s="37" t="str">
        <f ca="1">IFERROR(+IF(AI$29=ProposalToGnatt[[#This Row],[Start Date]],Milestone_Marker,IF(AND(AI$29&gt;ProposalToGnatt[[#This Row],[Start Date]],AI$29&lt;ProposalToGnatt[[#This Row],[Start Date]]+ProposalToGnatt[[#This Row],[Days]]),$G$5,"")),"")</f>
        <v/>
      </c>
      <c r="AJ65" s="37" t="str">
        <f ca="1">IFERROR(+IF(AJ$29=ProposalToGnatt[[#This Row],[Start Date]],Milestone_Marker,IF(AND(AJ$29&gt;ProposalToGnatt[[#This Row],[Start Date]],AJ$29&lt;ProposalToGnatt[[#This Row],[Start Date]]+ProposalToGnatt[[#This Row],[Days]]),$G$5,"")),"")</f>
        <v/>
      </c>
      <c r="AK65" s="37" t="str">
        <f ca="1">IFERROR(+IF(AK$29=ProposalToGnatt[[#This Row],[Start Date]],Milestone_Marker,IF(AND(AK$29&gt;ProposalToGnatt[[#This Row],[Start Date]],AK$29&lt;ProposalToGnatt[[#This Row],[Start Date]]+ProposalToGnatt[[#This Row],[Days]]),$G$5,"")),"")</f>
        <v/>
      </c>
      <c r="AL65" s="37" t="str">
        <f ca="1">IFERROR(+IF(AL$29=ProposalToGnatt[[#This Row],[Start Date]],Milestone_Marker,IF(AND(AL$29&gt;ProposalToGnatt[[#This Row],[Start Date]],AL$29&lt;ProposalToGnatt[[#This Row],[Start Date]]+ProposalToGnatt[[#This Row],[Days]]),$G$5,"")),"")</f>
        <v/>
      </c>
      <c r="AM65" s="37" t="str">
        <f ca="1">IFERROR(+IF(AM$29=ProposalToGnatt[[#This Row],[Start Date]],Milestone_Marker,IF(AND(AM$29&gt;ProposalToGnatt[[#This Row],[Start Date]],AM$29&lt;ProposalToGnatt[[#This Row],[Start Date]]+ProposalToGnatt[[#This Row],[Days]]),$G$5,"")),"")</f>
        <v/>
      </c>
      <c r="AN65" s="37" t="str">
        <f ca="1">IFERROR(+IF(AN$29=ProposalToGnatt[[#This Row],[Start Date]],Milestone_Marker,IF(AND(AN$29&gt;ProposalToGnatt[[#This Row],[Start Date]],AN$29&lt;ProposalToGnatt[[#This Row],[Start Date]]+ProposalToGnatt[[#This Row],[Days]]),$G$5,"")),"")</f>
        <v/>
      </c>
      <c r="AO65" s="37" t="str">
        <f ca="1">IFERROR(+IF(AO$29=ProposalToGnatt[[#This Row],[Start Date]],Milestone_Marker,IF(AND(AO$29&gt;ProposalToGnatt[[#This Row],[Start Date]],AO$29&lt;ProposalToGnatt[[#This Row],[Start Date]]+ProposalToGnatt[[#This Row],[Days]]),$G$5,"")),"")</f>
        <v/>
      </c>
      <c r="AP65" s="37" t="str">
        <f ca="1">IFERROR(+IF(AP$29=ProposalToGnatt[[#This Row],[Start Date]],Milestone_Marker,IF(AND(AP$29&gt;ProposalToGnatt[[#This Row],[Start Date]],AP$29&lt;ProposalToGnatt[[#This Row],[Start Date]]+ProposalToGnatt[[#This Row],[Days]]),$G$5,"")),"")</f>
        <v/>
      </c>
      <c r="AQ65" s="37" t="str">
        <f ca="1">IFERROR(+IF(AQ$29=ProposalToGnatt[[#This Row],[Start Date]],Milestone_Marker,IF(AND(AQ$29&gt;ProposalToGnatt[[#This Row],[Start Date]],AQ$29&lt;ProposalToGnatt[[#This Row],[Start Date]]+ProposalToGnatt[[#This Row],[Days]]),$G$5,"")),"")</f>
        <v/>
      </c>
      <c r="AR65" s="37" t="str">
        <f ca="1">IFERROR(+IF(AR$29=ProposalToGnatt[[#This Row],[Start Date]],Milestone_Marker,IF(AND(AR$29&gt;ProposalToGnatt[[#This Row],[Start Date]],AR$29&lt;ProposalToGnatt[[#This Row],[Start Date]]+ProposalToGnatt[[#This Row],[Days]]),$G$5,"")),"")</f>
        <v/>
      </c>
      <c r="AS65" s="37" t="str">
        <f ca="1">IFERROR(+IF(AS$29=ProposalToGnatt[[#This Row],[Start Date]],Milestone_Marker,IF(AND(AS$29&gt;ProposalToGnatt[[#This Row],[Start Date]],AS$29&lt;ProposalToGnatt[[#This Row],[Start Date]]+ProposalToGnatt[[#This Row],[Days]]),$G$5,"")),"")</f>
        <v/>
      </c>
      <c r="AT65" s="37" t="str">
        <f ca="1">IFERROR(+IF(AT$29=ProposalToGnatt[[#This Row],[Start Date]],Milestone_Marker,IF(AND(AT$29&gt;ProposalToGnatt[[#This Row],[Start Date]],AT$29&lt;ProposalToGnatt[[#This Row],[Start Date]]+ProposalToGnatt[[#This Row],[Days]]),$G$5,"")),"")</f>
        <v/>
      </c>
      <c r="AU65" s="37" t="str">
        <f ca="1">IFERROR(+IF(AU$29=ProposalToGnatt[[#This Row],[Start Date]],Milestone_Marker,IF(AND(AU$29&gt;ProposalToGnatt[[#This Row],[Start Date]],AU$29&lt;ProposalToGnatt[[#This Row],[Start Date]]+ProposalToGnatt[[#This Row],[Days]]),$G$5,"")),"")</f>
        <v/>
      </c>
      <c r="AV65" s="37" t="str">
        <f ca="1">IFERROR(+IF(AV$29=ProposalToGnatt[[#This Row],[Start Date]],Milestone_Marker,IF(AND(AV$29&gt;ProposalToGnatt[[#This Row],[Start Date]],AV$29&lt;ProposalToGnatt[[#This Row],[Start Date]]+ProposalToGnatt[[#This Row],[Days]]),$G$5,"")),"")</f>
        <v/>
      </c>
      <c r="AW65" s="37" t="str">
        <f ca="1">IFERROR(+IF(AW$29=ProposalToGnatt[[#This Row],[Start Date]],Milestone_Marker,IF(AND(AW$29&gt;ProposalToGnatt[[#This Row],[Start Date]],AW$29&lt;ProposalToGnatt[[#This Row],[Start Date]]+ProposalToGnatt[[#This Row],[Days]]),$G$5,"")),"")</f>
        <v/>
      </c>
      <c r="AX65" s="37" t="str">
        <f ca="1">IFERROR(+IF(AX$29=ProposalToGnatt[[#This Row],[Start Date]],Milestone_Marker,IF(AND(AX$29&gt;ProposalToGnatt[[#This Row],[Start Date]],AX$29&lt;ProposalToGnatt[[#This Row],[Start Date]]+ProposalToGnatt[[#This Row],[Days]]),$G$5,"")),"")</f>
        <v/>
      </c>
      <c r="AY65" s="37" t="str">
        <f ca="1">IFERROR(+IF(AY$29=ProposalToGnatt[[#This Row],[Start Date]],Milestone_Marker,IF(AND(AY$29&gt;ProposalToGnatt[[#This Row],[Start Date]],AY$29&lt;ProposalToGnatt[[#This Row],[Start Date]]+ProposalToGnatt[[#This Row],[Days]]),$G$5,"")),"")</f>
        <v/>
      </c>
      <c r="AZ65" s="37" t="str">
        <f ca="1">IFERROR(+IF(AZ$29=ProposalToGnatt[[#This Row],[Start Date]],Milestone_Marker,IF(AND(AZ$29&gt;ProposalToGnatt[[#This Row],[Start Date]],AZ$29&lt;ProposalToGnatt[[#This Row],[Start Date]]+ProposalToGnatt[[#This Row],[Days]]),$G$5,"")),"")</f>
        <v/>
      </c>
      <c r="BA65" s="37" t="str">
        <f ca="1">IFERROR(+IF(BA$29=ProposalToGnatt[[#This Row],[Start Date]],Milestone_Marker,IF(AND(BA$29&gt;ProposalToGnatt[[#This Row],[Start Date]],BA$29&lt;ProposalToGnatt[[#This Row],[Start Date]]+ProposalToGnatt[[#This Row],[Days]]),$G$5,"")),"")</f>
        <v/>
      </c>
      <c r="BB65" s="37" t="str">
        <f ca="1">IFERROR(+IF(BB$29=ProposalToGnatt[[#This Row],[Start Date]],Milestone_Marker,IF(AND(BB$29&gt;ProposalToGnatt[[#This Row],[Start Date]],BB$29&lt;ProposalToGnatt[[#This Row],[Start Date]]+ProposalToGnatt[[#This Row],[Days]]),$G$5,"")),"")</f>
        <v/>
      </c>
      <c r="BC65" s="37" t="str">
        <f ca="1">IFERROR(+IF(BC$29=ProposalToGnatt[[#This Row],[Start Date]],Milestone_Marker,IF(AND(BC$29&gt;ProposalToGnatt[[#This Row],[Start Date]],BC$29&lt;ProposalToGnatt[[#This Row],[Start Date]]+ProposalToGnatt[[#This Row],[Days]]),$G$5,"")),"")</f>
        <v/>
      </c>
      <c r="BD65" s="37" t="str">
        <f ca="1">IFERROR(+IF(BD$29=ProposalToGnatt[[#This Row],[Start Date]],Milestone_Marker,IF(AND(BD$29&gt;ProposalToGnatt[[#This Row],[Start Date]],BD$29&lt;ProposalToGnatt[[#This Row],[Start Date]]+ProposalToGnatt[[#This Row],[Days]]),$G$5,"")),"")</f>
        <v/>
      </c>
      <c r="BE65" s="37" t="str">
        <f ca="1">IFERROR(+IF(BE$29=ProposalToGnatt[[#This Row],[Start Date]],Milestone_Marker,IF(AND(BE$29&gt;ProposalToGnatt[[#This Row],[Start Date]],BE$29&lt;ProposalToGnatt[[#This Row],[Start Date]]+ProposalToGnatt[[#This Row],[Days]]),$G$5,"")),"")</f>
        <v/>
      </c>
      <c r="BF65" s="37" t="str">
        <f ca="1">IFERROR(+IF(BF$29=ProposalToGnatt[[#This Row],[Start Date]],Milestone_Marker,IF(AND(BF$29&gt;ProposalToGnatt[[#This Row],[Start Date]],BF$29&lt;ProposalToGnatt[[#This Row],[Start Date]]+ProposalToGnatt[[#This Row],[Days]]),$G$5,"")),"")</f>
        <v/>
      </c>
      <c r="BG65" s="37" t="str">
        <f ca="1">IFERROR(+IF(BG$29=ProposalToGnatt[[#This Row],[Start Date]],Milestone_Marker,IF(AND(BG$29&gt;ProposalToGnatt[[#This Row],[Start Date]],BG$29&lt;ProposalToGnatt[[#This Row],[Start Date]]+ProposalToGnatt[[#This Row],[Days]]),$G$5,"")),"")</f>
        <v/>
      </c>
      <c r="BH65" s="37" t="str">
        <f ca="1">IFERROR(+IF(BH$29=ProposalToGnatt[[#This Row],[Start Date]],Milestone_Marker,IF(AND(BH$29&gt;ProposalToGnatt[[#This Row],[Start Date]],BH$29&lt;ProposalToGnatt[[#This Row],[Start Date]]+ProposalToGnatt[[#This Row],[Days]]),$G$5,"")),"")</f>
        <v/>
      </c>
      <c r="BI65" s="37" t="str">
        <f ca="1">IFERROR(+IF(BI$29=ProposalToGnatt[[#This Row],[Start Date]],Milestone_Marker,IF(AND(BI$29&gt;ProposalToGnatt[[#This Row],[Start Date]],BI$29&lt;ProposalToGnatt[[#This Row],[Start Date]]+ProposalToGnatt[[#This Row],[Days]]),$G$5,"")),"")</f>
        <v/>
      </c>
      <c r="BJ65" s="37" t="str">
        <f ca="1">IFERROR(+IF(BJ$29=ProposalToGnatt[[#This Row],[Start Date]],Milestone_Marker,IF(AND(BJ$29&gt;ProposalToGnatt[[#This Row],[Start Date]],BJ$29&lt;ProposalToGnatt[[#This Row],[Start Date]]+ProposalToGnatt[[#This Row],[Days]]),$G$5,"")),"")</f>
        <v/>
      </c>
      <c r="BK65" s="37" t="str">
        <f ca="1">IFERROR(+IF(BK$29=ProposalToGnatt[[#This Row],[Start Date]],Milestone_Marker,IF(AND(BK$29&gt;ProposalToGnatt[[#This Row],[Start Date]],BK$29&lt;ProposalToGnatt[[#This Row],[Start Date]]+ProposalToGnatt[[#This Row],[Days]]),$G$5,"")),"")</f>
        <v/>
      </c>
      <c r="BL65" s="37" t="str">
        <f ca="1">IFERROR(+IF(BL$29=ProposalToGnatt[[#This Row],[Start Date]],Milestone_Marker,IF(AND(BL$29&gt;ProposalToGnatt[[#This Row],[Start Date]],BL$29&lt;ProposalToGnatt[[#This Row],[Start Date]]+ProposalToGnatt[[#This Row],[Days]]),$G$5,"")),"")</f>
        <v/>
      </c>
      <c r="BM65" s="37" t="str">
        <f ca="1">IFERROR(+IF(BM$29=ProposalToGnatt[[#This Row],[Start Date]],Milestone_Marker,IF(AND(BM$29&gt;ProposalToGnatt[[#This Row],[Start Date]],BM$29&lt;ProposalToGnatt[[#This Row],[Start Date]]+ProposalToGnatt[[#This Row],[Days]]),$G$5,"")),"")</f>
        <v/>
      </c>
      <c r="BN65" s="37" t="str">
        <f ca="1">IFERROR(+IF(BN$29=ProposalToGnatt[[#This Row],[Start Date]],Milestone_Marker,IF(AND(BN$29&gt;ProposalToGnatt[[#This Row],[Start Date]],BN$29&lt;ProposalToGnatt[[#This Row],[Start Date]]+ProposalToGnatt[[#This Row],[Days]]),$G$5,"")),"")</f>
        <v/>
      </c>
      <c r="BO65" s="37" t="str">
        <f ca="1">IFERROR(+IF(BO$29=ProposalToGnatt[[#This Row],[Start Date]],Milestone_Marker,IF(AND(BO$29&gt;ProposalToGnatt[[#This Row],[Start Date]],BO$29&lt;ProposalToGnatt[[#This Row],[Start Date]]+ProposalToGnatt[[#This Row],[Days]]),$G$5,"")),"")</f>
        <v/>
      </c>
      <c r="BP65" s="37" t="str">
        <f ca="1">IFERROR(+IF(BP$29=ProposalToGnatt[[#This Row],[Start Date]],Milestone_Marker,IF(AND(BP$29&gt;ProposalToGnatt[[#This Row],[Start Date]],BP$29&lt;ProposalToGnatt[[#This Row],[Start Date]]+ProposalToGnatt[[#This Row],[Days]]),$G$5,"")),"")</f>
        <v/>
      </c>
      <c r="BQ65" s="37" t="str">
        <f ca="1">IFERROR(+IF(BQ$29=ProposalToGnatt[[#This Row],[Start Date]],Milestone_Marker,IF(AND(BQ$29&gt;ProposalToGnatt[[#This Row],[Start Date]],BQ$29&lt;ProposalToGnatt[[#This Row],[Start Date]]+ProposalToGnatt[[#This Row],[Days]]),$G$5,"")),"")</f>
        <v/>
      </c>
      <c r="BR65" s="37" t="str">
        <f ca="1">IFERROR(+IF(BR$29=ProposalToGnatt[[#This Row],[Start Date]],Milestone_Marker,IF(AND(BR$29&gt;ProposalToGnatt[[#This Row],[Start Date]],BR$29&lt;ProposalToGnatt[[#This Row],[Start Date]]+ProposalToGnatt[[#This Row],[Days]]),$G$5,"")),"")</f>
        <v/>
      </c>
      <c r="BS65" s="37" t="str">
        <f ca="1">IFERROR(+IF(BS$29=ProposalToGnatt[[#This Row],[Start Date]],Milestone_Marker,IF(AND(BS$29&gt;ProposalToGnatt[[#This Row],[Start Date]],BS$29&lt;ProposalToGnatt[[#This Row],[Start Date]]+ProposalToGnatt[[#This Row],[Days]]),$G$5,"")),"")</f>
        <v/>
      </c>
      <c r="BT65" s="37" t="str">
        <f ca="1">IFERROR(+IF(BT$29=ProposalToGnatt[[#This Row],[Start Date]],Milestone_Marker,IF(AND(BT$29&gt;ProposalToGnatt[[#This Row],[Start Date]],BT$29&lt;ProposalToGnatt[[#This Row],[Start Date]]+ProposalToGnatt[[#This Row],[Days]]),$G$5,"")),"")</f>
        <v/>
      </c>
      <c r="BU65" s="37" t="str">
        <f ca="1">IFERROR(+IF(BU$29=ProposalToGnatt[[#This Row],[Start Date]],Milestone_Marker,IF(AND(BU$29&gt;ProposalToGnatt[[#This Row],[Start Date]],BU$29&lt;ProposalToGnatt[[#This Row],[Start Date]]+ProposalToGnatt[[#This Row],[Days]]),$G$5,"")),"")</f>
        <v/>
      </c>
      <c r="BV65" s="37" t="str">
        <f ca="1">IFERROR(+IF(BV$29=ProposalToGnatt[[#This Row],[Start Date]],Milestone_Marker,IF(AND(BV$29&gt;ProposalToGnatt[[#This Row],[Start Date]],BV$29&lt;ProposalToGnatt[[#This Row],[Start Date]]+ProposalToGnatt[[#This Row],[Days]]),$G$5,"")),"")</f>
        <v/>
      </c>
      <c r="BW65" s="37" t="str">
        <f ca="1">IFERROR(+IF(BW$29=ProposalToGnatt[[#This Row],[Start Date]],Milestone_Marker,IF(AND(BW$29&gt;ProposalToGnatt[[#This Row],[Start Date]],BW$29&lt;ProposalToGnatt[[#This Row],[Start Date]]+ProposalToGnatt[[#This Row],[Days]]),$G$5,"")),"")</f>
        <v/>
      </c>
      <c r="BX65" s="37" t="str">
        <f ca="1">IFERROR(+IF(BX$29=ProposalToGnatt[[#This Row],[Start Date]],Milestone_Marker,IF(AND(BX$29&gt;ProposalToGnatt[[#This Row],[Start Date]],BX$29&lt;ProposalToGnatt[[#This Row],[Start Date]]+ProposalToGnatt[[#This Row],[Days]]),$G$5,"")),"")</f>
        <v/>
      </c>
      <c r="BY65" s="37" t="str">
        <f ca="1">IFERROR(+IF(BY$29=ProposalToGnatt[[#This Row],[Start Date]],Milestone_Marker,IF(AND(BY$29&gt;ProposalToGnatt[[#This Row],[Start Date]],BY$29&lt;ProposalToGnatt[[#This Row],[Start Date]]+ProposalToGnatt[[#This Row],[Days]]),$G$5,"")),"")</f>
        <v/>
      </c>
      <c r="BZ65" s="37" t="str">
        <f ca="1">IFERROR(+IF(BZ$29=ProposalToGnatt[[#This Row],[Start Date]],Milestone_Marker,IF(AND(BZ$29&gt;ProposalToGnatt[[#This Row],[Start Date]],BZ$29&lt;ProposalToGnatt[[#This Row],[Start Date]]+ProposalToGnatt[[#This Row],[Days]]),$G$5,"")),"")</f>
        <v/>
      </c>
      <c r="CA65" s="37" t="str">
        <f ca="1">IFERROR(+IF(CA$29=ProposalToGnatt[[#This Row],[Start Date]],Milestone_Marker,IF(AND(CA$29&gt;ProposalToGnatt[[#This Row],[Start Date]],CA$29&lt;ProposalToGnatt[[#This Row],[Start Date]]+ProposalToGnatt[[#This Row],[Days]]),$G$5,"")),"")</f>
        <v/>
      </c>
      <c r="CB65" s="37" t="str">
        <f ca="1">IFERROR(+IF(CB$29=ProposalToGnatt[[#This Row],[Start Date]],Milestone_Marker,IF(AND(CB$29&gt;ProposalToGnatt[[#This Row],[Start Date]],CB$29&lt;ProposalToGnatt[[#This Row],[Start Date]]+ProposalToGnatt[[#This Row],[Days]]),$G$5,"")),"")</f>
        <v/>
      </c>
      <c r="CC65" s="37" t="str">
        <f ca="1">IFERROR(+IF(CC$29=ProposalToGnatt[[#This Row],[Start Date]],Milestone_Marker,IF(AND(CC$29&gt;ProposalToGnatt[[#This Row],[Start Date]],CC$29&lt;ProposalToGnatt[[#This Row],[Start Date]]+ProposalToGnatt[[#This Row],[Days]]),$G$5,"")),"")</f>
        <v/>
      </c>
      <c r="CD65" s="37" t="str">
        <f ca="1">IFERROR(+IF(CD$29=ProposalToGnatt[[#This Row],[Start Date]],Milestone_Marker,IF(AND(CD$29&gt;ProposalToGnatt[[#This Row],[Start Date]],CD$29&lt;ProposalToGnatt[[#This Row],[Start Date]]+ProposalToGnatt[[#This Row],[Days]]),$G$5,"")),"")</f>
        <v/>
      </c>
      <c r="CE65" s="37" t="str">
        <f ca="1">IFERROR(+IF(CE$29=ProposalToGnatt[[#This Row],[Start Date]],Milestone_Marker,IF(AND(CE$29&gt;ProposalToGnatt[[#This Row],[Start Date]],CE$29&lt;ProposalToGnatt[[#This Row],[Start Date]]+ProposalToGnatt[[#This Row],[Days]]),$G$5,"")),"")</f>
        <v/>
      </c>
      <c r="CF65" s="37" t="str">
        <f ca="1">IFERROR(+IF(CF$29=ProposalToGnatt[[#This Row],[Start Date]],Milestone_Marker,IF(AND(CF$29&gt;ProposalToGnatt[[#This Row],[Start Date]],CF$29&lt;ProposalToGnatt[[#This Row],[Start Date]]+ProposalToGnatt[[#This Row],[Days]]),$G$5,"")),"")</f>
        <v/>
      </c>
      <c r="CG65" s="37" t="str">
        <f ca="1">IFERROR(+IF(CG$29=ProposalToGnatt[[#This Row],[Start Date]],Milestone_Marker,IF(AND(CG$29&gt;ProposalToGnatt[[#This Row],[Start Date]],CG$29&lt;ProposalToGnatt[[#This Row],[Start Date]]+ProposalToGnatt[[#This Row],[Days]]),$G$5,"")),"")</f>
        <v/>
      </c>
      <c r="CH65" s="37" t="str">
        <f ca="1">IFERROR(+IF(CH$29=ProposalToGnatt[[#This Row],[Start Date]],Milestone_Marker,IF(AND(CH$29&gt;ProposalToGnatt[[#This Row],[Start Date]],CH$29&lt;ProposalToGnatt[[#This Row],[Start Date]]+ProposalToGnatt[[#This Row],[Days]]),$G$5,"")),"")</f>
        <v/>
      </c>
      <c r="CI65" s="37" t="str">
        <f ca="1">IFERROR(+IF(CI$29=ProposalToGnatt[[#This Row],[Start Date]],Milestone_Marker,IF(AND(CI$29&gt;ProposalToGnatt[[#This Row],[Start Date]],CI$29&lt;ProposalToGnatt[[#This Row],[Start Date]]+ProposalToGnatt[[#This Row],[Days]]),$G$5,"")),"")</f>
        <v/>
      </c>
      <c r="CJ65" s="37" t="str">
        <f ca="1">IFERROR(+IF(CJ$29=ProposalToGnatt[[#This Row],[Start Date]],Milestone_Marker,IF(AND(CJ$29&gt;ProposalToGnatt[[#This Row],[Start Date]],CJ$29&lt;ProposalToGnatt[[#This Row],[Start Date]]+ProposalToGnatt[[#This Row],[Days]]),$G$5,"")),"")</f>
        <v/>
      </c>
      <c r="CK65" s="37" t="str">
        <f ca="1">IFERROR(+IF(CK$29=ProposalToGnatt[[#This Row],[Start Date]],Milestone_Marker,IF(AND(CK$29&gt;ProposalToGnatt[[#This Row],[Start Date]],CK$29&lt;ProposalToGnatt[[#This Row],[Start Date]]+ProposalToGnatt[[#This Row],[Days]]),$G$5,"")),"")</f>
        <v/>
      </c>
      <c r="CL65" s="37" t="str">
        <f ca="1">IFERROR(+IF(CL$29=ProposalToGnatt[[#This Row],[Start Date]],Milestone_Marker,IF(AND(CL$29&gt;ProposalToGnatt[[#This Row],[Start Date]],CL$29&lt;ProposalToGnatt[[#This Row],[Start Date]]+ProposalToGnatt[[#This Row],[Days]]),$G$5,"")),"")</f>
        <v/>
      </c>
      <c r="CM65" s="37" t="str">
        <f ca="1">IFERROR(+IF(CM$29=ProposalToGnatt[[#This Row],[Start Date]],Milestone_Marker,IF(AND(CM$29&gt;ProposalToGnatt[[#This Row],[Start Date]],CM$29&lt;ProposalToGnatt[[#This Row],[Start Date]]+ProposalToGnatt[[#This Row],[Days]]),$G$5,"")),"")</f>
        <v/>
      </c>
      <c r="CN65" s="37" t="str">
        <f ca="1">IFERROR(+IF(CN$29=ProposalToGnatt[[#This Row],[Start Date]],Milestone_Marker,IF(AND(CN$29&gt;ProposalToGnatt[[#This Row],[Start Date]],CN$29&lt;ProposalToGnatt[[#This Row],[Start Date]]+ProposalToGnatt[[#This Row],[Days]]),$G$5,"")),"")</f>
        <v/>
      </c>
      <c r="CO65" s="37" t="str">
        <f ca="1">IFERROR(+IF(CO$29=ProposalToGnatt[[#This Row],[Start Date]],Milestone_Marker,IF(AND(CO$29&gt;ProposalToGnatt[[#This Row],[Start Date]],CO$29&lt;ProposalToGnatt[[#This Row],[Start Date]]+ProposalToGnatt[[#This Row],[Days]]),$G$5,"")),"")</f>
        <v/>
      </c>
      <c r="CP65" s="37" t="str">
        <f ca="1">IFERROR(+IF(CP$29=ProposalToGnatt[[#This Row],[Start Date]],Milestone_Marker,IF(AND(CP$29&gt;ProposalToGnatt[[#This Row],[Start Date]],CP$29&lt;ProposalToGnatt[[#This Row],[Start Date]]+ProposalToGnatt[[#This Row],[Days]]),$G$5,"")),"")</f>
        <v/>
      </c>
      <c r="CQ65" s="37" t="str">
        <f ca="1">IFERROR(+IF(CQ$29=ProposalToGnatt[[#This Row],[Start Date]],Milestone_Marker,IF(AND(CQ$29&gt;ProposalToGnatt[[#This Row],[Start Date]],CQ$29&lt;ProposalToGnatt[[#This Row],[Start Date]]+ProposalToGnatt[[#This Row],[Days]]),$G$5,"")),"")</f>
        <v/>
      </c>
      <c r="CR65" s="37" t="str">
        <f ca="1">IFERROR(+IF(CR$29=ProposalToGnatt[[#This Row],[Start Date]],Milestone_Marker,IF(AND(CR$29&gt;ProposalToGnatt[[#This Row],[Start Date]],CR$29&lt;ProposalToGnatt[[#This Row],[Start Date]]+ProposalToGnatt[[#This Row],[Days]]),$G$5,"")),"")</f>
        <v/>
      </c>
      <c r="CS65" s="37" t="str">
        <f ca="1">IFERROR(+IF(CS$29=ProposalToGnatt[[#This Row],[Start Date]],Milestone_Marker,IF(AND(CS$29&gt;ProposalToGnatt[[#This Row],[Start Date]],CS$29&lt;ProposalToGnatt[[#This Row],[Start Date]]+ProposalToGnatt[[#This Row],[Days]]),$G$5,"")),"")</f>
        <v/>
      </c>
      <c r="CT65" s="37" t="str">
        <f ca="1">IFERROR(+IF(CT$29=ProposalToGnatt[[#This Row],[Start Date]],Milestone_Marker,IF(AND(CT$29&gt;ProposalToGnatt[[#This Row],[Start Date]],CT$29&lt;ProposalToGnatt[[#This Row],[Start Date]]+ProposalToGnatt[[#This Row],[Days]]),$G$5,"")),"")</f>
        <v/>
      </c>
      <c r="CU65" s="37" t="str">
        <f ca="1">IFERROR(+IF(CU$29=ProposalToGnatt[[#This Row],[Start Date]],Milestone_Marker,IF(AND(CU$29&gt;ProposalToGnatt[[#This Row],[Start Date]],CU$29&lt;ProposalToGnatt[[#This Row],[Start Date]]+ProposalToGnatt[[#This Row],[Days]]),$G$5,"")),"")</f>
        <v/>
      </c>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row>
    <row r="66" spans="1:125" s="42" customFormat="1" ht="15">
      <c r="A66"/>
      <c r="B66"/>
      <c r="C66"/>
      <c r="D66"/>
      <c r="E66"/>
      <c r="F66"/>
      <c r="G66" s="11"/>
      <c r="H66" s="26"/>
      <c r="I66"/>
      <c r="J66"/>
      <c r="K66" s="363"/>
      <c r="L66"/>
      <c r="M66"/>
      <c r="N66"/>
      <c r="O66" s="26"/>
      <c r="P66" s="37" t="str">
        <f ca="1">IFERROR(+IF(P$29=ProposalToGnatt[[#This Row],[Start Date]],Milestone_Marker,IF(AND(P$29&gt;ProposalToGnatt[[#This Row],[Start Date]],P$29&lt;ProposalToGnatt[[#This Row],[Start Date]]+ProposalToGnatt[[#This Row],[Days]]),$G$5,"")),"")</f>
        <v/>
      </c>
      <c r="Q66" s="37" t="str">
        <f ca="1">IFERROR(+IF(Q$29=ProposalToGnatt[[#This Row],[Start Date]],Milestone_Marker,IF(AND(Q$29&gt;ProposalToGnatt[[#This Row],[Start Date]],Q$29&lt;ProposalToGnatt[[#This Row],[Start Date]]+ProposalToGnatt[[#This Row],[Days]]),$G$5,"")),"")</f>
        <v/>
      </c>
      <c r="R66" s="37" t="str">
        <f ca="1">IFERROR(+IF(R$29=ProposalToGnatt[[#This Row],[Start Date]],Milestone_Marker,IF(AND(R$29&gt;ProposalToGnatt[[#This Row],[Start Date]],R$29&lt;ProposalToGnatt[[#This Row],[Start Date]]+ProposalToGnatt[[#This Row],[Days]]),$G$5,"")),"")</f>
        <v/>
      </c>
      <c r="S66" s="37" t="str">
        <f ca="1">IFERROR(+IF(S$29=ProposalToGnatt[[#This Row],[Start Date]],Milestone_Marker,IF(AND(S$29&gt;ProposalToGnatt[[#This Row],[Start Date]],S$29&lt;ProposalToGnatt[[#This Row],[Start Date]]+ProposalToGnatt[[#This Row],[Days]]),$G$5,"")),"")</f>
        <v/>
      </c>
      <c r="T66" s="37" t="str">
        <f ca="1">IFERROR(+IF(T$29=ProposalToGnatt[[#This Row],[Start Date]],Milestone_Marker,IF(AND(T$29&gt;ProposalToGnatt[[#This Row],[Start Date]],T$29&lt;ProposalToGnatt[[#This Row],[Start Date]]+ProposalToGnatt[[#This Row],[Days]]),$G$5,"")),"")</f>
        <v/>
      </c>
      <c r="U66" s="37" t="str">
        <f ca="1">IFERROR(+IF(U$29=ProposalToGnatt[[#This Row],[Start Date]],Milestone_Marker,IF(AND(U$29&gt;ProposalToGnatt[[#This Row],[Start Date]],U$29&lt;ProposalToGnatt[[#This Row],[Start Date]]+ProposalToGnatt[[#This Row],[Days]]),$G$5,"")),"")</f>
        <v/>
      </c>
      <c r="V66" s="37" t="str">
        <f ca="1">IFERROR(+IF(V$29=ProposalToGnatt[[#This Row],[Start Date]],Milestone_Marker,IF(AND(V$29&gt;ProposalToGnatt[[#This Row],[Start Date]],V$29&lt;ProposalToGnatt[[#This Row],[Start Date]]+ProposalToGnatt[[#This Row],[Days]]),$G$5,"")),"")</f>
        <v/>
      </c>
      <c r="W66" s="37" t="str">
        <f ca="1">IFERROR(+IF(W$29=ProposalToGnatt[[#This Row],[Start Date]],Milestone_Marker,IF(AND(W$29&gt;ProposalToGnatt[[#This Row],[Start Date]],W$29&lt;ProposalToGnatt[[#This Row],[Start Date]]+ProposalToGnatt[[#This Row],[Days]]),$G$5,"")),"")</f>
        <v/>
      </c>
      <c r="X66" s="37" t="str">
        <f ca="1">IFERROR(+IF(X$29=ProposalToGnatt[[#This Row],[Start Date]],Milestone_Marker,IF(AND(X$29&gt;ProposalToGnatt[[#This Row],[Start Date]],X$29&lt;ProposalToGnatt[[#This Row],[Start Date]]+ProposalToGnatt[[#This Row],[Days]]),$G$5,"")),"")</f>
        <v/>
      </c>
      <c r="Y66" s="37" t="str">
        <f ca="1">IFERROR(+IF(Y$29=ProposalToGnatt[[#This Row],[Start Date]],Milestone_Marker,IF(AND(Y$29&gt;ProposalToGnatt[[#This Row],[Start Date]],Y$29&lt;ProposalToGnatt[[#This Row],[Start Date]]+ProposalToGnatt[[#This Row],[Days]]),$G$5,"")),"")</f>
        <v/>
      </c>
      <c r="Z66" s="37" t="str">
        <f ca="1">IFERROR(+IF(Z$29=ProposalToGnatt[[#This Row],[Start Date]],Milestone_Marker,IF(AND(Z$29&gt;ProposalToGnatt[[#This Row],[Start Date]],Z$29&lt;ProposalToGnatt[[#This Row],[Start Date]]+ProposalToGnatt[[#This Row],[Days]]),$G$5,"")),"")</f>
        <v/>
      </c>
      <c r="AA66" s="37" t="str">
        <f ca="1">IFERROR(+IF(AA$29=ProposalToGnatt[[#This Row],[Start Date]],Milestone_Marker,IF(AND(AA$29&gt;ProposalToGnatt[[#This Row],[Start Date]],AA$29&lt;ProposalToGnatt[[#This Row],[Start Date]]+ProposalToGnatt[[#This Row],[Days]]),$G$5,"")),"")</f>
        <v/>
      </c>
      <c r="AB66" s="37" t="str">
        <f ca="1">IFERROR(+IF(AB$29=ProposalToGnatt[[#This Row],[Start Date]],Milestone_Marker,IF(AND(AB$29&gt;ProposalToGnatt[[#This Row],[Start Date]],AB$29&lt;ProposalToGnatt[[#This Row],[Start Date]]+ProposalToGnatt[[#This Row],[Days]]),$G$5,"")),"")</f>
        <v/>
      </c>
      <c r="AC66" s="37" t="str">
        <f ca="1">IFERROR(+IF(AC$29=ProposalToGnatt[[#This Row],[Start Date]],Milestone_Marker,IF(AND(AC$29&gt;ProposalToGnatt[[#This Row],[Start Date]],AC$29&lt;ProposalToGnatt[[#This Row],[Start Date]]+ProposalToGnatt[[#This Row],[Days]]),$G$5,"")),"")</f>
        <v/>
      </c>
      <c r="AD66" s="37" t="str">
        <f ca="1">IFERROR(+IF(AD$29=ProposalToGnatt[[#This Row],[Start Date]],Milestone_Marker,IF(AND(AD$29&gt;ProposalToGnatt[[#This Row],[Start Date]],AD$29&lt;ProposalToGnatt[[#This Row],[Start Date]]+ProposalToGnatt[[#This Row],[Days]]),$G$5,"")),"")</f>
        <v/>
      </c>
      <c r="AE66" s="37" t="str">
        <f ca="1">IFERROR(+IF(AE$29=ProposalToGnatt[[#This Row],[Start Date]],Milestone_Marker,IF(AND(AE$29&gt;ProposalToGnatt[[#This Row],[Start Date]],AE$29&lt;ProposalToGnatt[[#This Row],[Start Date]]+ProposalToGnatt[[#This Row],[Days]]),$G$5,"")),"")</f>
        <v/>
      </c>
      <c r="AF66" s="37" t="str">
        <f ca="1">IFERROR(+IF(AF$29=ProposalToGnatt[[#This Row],[Start Date]],Milestone_Marker,IF(AND(AF$29&gt;ProposalToGnatt[[#This Row],[Start Date]],AF$29&lt;ProposalToGnatt[[#This Row],[Start Date]]+ProposalToGnatt[[#This Row],[Days]]),$G$5,"")),"")</f>
        <v/>
      </c>
      <c r="AG66" s="37" t="str">
        <f ca="1">IFERROR(+IF(AG$29=ProposalToGnatt[[#This Row],[Start Date]],Milestone_Marker,IF(AND(AG$29&gt;ProposalToGnatt[[#This Row],[Start Date]],AG$29&lt;ProposalToGnatt[[#This Row],[Start Date]]+ProposalToGnatt[[#This Row],[Days]]),$G$5,"")),"")</f>
        <v/>
      </c>
      <c r="AH66" s="37" t="str">
        <f ca="1">IFERROR(+IF(AH$29=ProposalToGnatt[[#This Row],[Start Date]],Milestone_Marker,IF(AND(AH$29&gt;ProposalToGnatt[[#This Row],[Start Date]],AH$29&lt;ProposalToGnatt[[#This Row],[Start Date]]+ProposalToGnatt[[#This Row],[Days]]),$G$5,"")),"")</f>
        <v/>
      </c>
      <c r="AI66" s="37" t="str">
        <f ca="1">IFERROR(+IF(AI$29=ProposalToGnatt[[#This Row],[Start Date]],Milestone_Marker,IF(AND(AI$29&gt;ProposalToGnatt[[#This Row],[Start Date]],AI$29&lt;ProposalToGnatt[[#This Row],[Start Date]]+ProposalToGnatt[[#This Row],[Days]]),$G$5,"")),"")</f>
        <v/>
      </c>
      <c r="AJ66" s="37" t="str">
        <f ca="1">IFERROR(+IF(AJ$29=ProposalToGnatt[[#This Row],[Start Date]],Milestone_Marker,IF(AND(AJ$29&gt;ProposalToGnatt[[#This Row],[Start Date]],AJ$29&lt;ProposalToGnatt[[#This Row],[Start Date]]+ProposalToGnatt[[#This Row],[Days]]),$G$5,"")),"")</f>
        <v/>
      </c>
      <c r="AK66" s="37" t="str">
        <f ca="1">IFERROR(+IF(AK$29=ProposalToGnatt[[#This Row],[Start Date]],Milestone_Marker,IF(AND(AK$29&gt;ProposalToGnatt[[#This Row],[Start Date]],AK$29&lt;ProposalToGnatt[[#This Row],[Start Date]]+ProposalToGnatt[[#This Row],[Days]]),$G$5,"")),"")</f>
        <v/>
      </c>
      <c r="AL66" s="37" t="str">
        <f ca="1">IFERROR(+IF(AL$29=ProposalToGnatt[[#This Row],[Start Date]],Milestone_Marker,IF(AND(AL$29&gt;ProposalToGnatt[[#This Row],[Start Date]],AL$29&lt;ProposalToGnatt[[#This Row],[Start Date]]+ProposalToGnatt[[#This Row],[Days]]),$G$5,"")),"")</f>
        <v/>
      </c>
      <c r="AM66" s="37" t="str">
        <f ca="1">IFERROR(+IF(AM$29=ProposalToGnatt[[#This Row],[Start Date]],Milestone_Marker,IF(AND(AM$29&gt;ProposalToGnatt[[#This Row],[Start Date]],AM$29&lt;ProposalToGnatt[[#This Row],[Start Date]]+ProposalToGnatt[[#This Row],[Days]]),$G$5,"")),"")</f>
        <v/>
      </c>
      <c r="AN66" s="37" t="str">
        <f ca="1">IFERROR(+IF(AN$29=ProposalToGnatt[[#This Row],[Start Date]],Milestone_Marker,IF(AND(AN$29&gt;ProposalToGnatt[[#This Row],[Start Date]],AN$29&lt;ProposalToGnatt[[#This Row],[Start Date]]+ProposalToGnatt[[#This Row],[Days]]),$G$5,"")),"")</f>
        <v/>
      </c>
      <c r="AO66" s="37" t="str">
        <f ca="1">IFERROR(+IF(AO$29=ProposalToGnatt[[#This Row],[Start Date]],Milestone_Marker,IF(AND(AO$29&gt;ProposalToGnatt[[#This Row],[Start Date]],AO$29&lt;ProposalToGnatt[[#This Row],[Start Date]]+ProposalToGnatt[[#This Row],[Days]]),$G$5,"")),"")</f>
        <v/>
      </c>
      <c r="AP66" s="37" t="str">
        <f ca="1">IFERROR(+IF(AP$29=ProposalToGnatt[[#This Row],[Start Date]],Milestone_Marker,IF(AND(AP$29&gt;ProposalToGnatt[[#This Row],[Start Date]],AP$29&lt;ProposalToGnatt[[#This Row],[Start Date]]+ProposalToGnatt[[#This Row],[Days]]),$G$5,"")),"")</f>
        <v/>
      </c>
      <c r="AQ66" s="37" t="str">
        <f ca="1">IFERROR(+IF(AQ$29=ProposalToGnatt[[#This Row],[Start Date]],Milestone_Marker,IF(AND(AQ$29&gt;ProposalToGnatt[[#This Row],[Start Date]],AQ$29&lt;ProposalToGnatt[[#This Row],[Start Date]]+ProposalToGnatt[[#This Row],[Days]]),$G$5,"")),"")</f>
        <v/>
      </c>
      <c r="AR66" s="37" t="str">
        <f ca="1">IFERROR(+IF(AR$29=ProposalToGnatt[[#This Row],[Start Date]],Milestone_Marker,IF(AND(AR$29&gt;ProposalToGnatt[[#This Row],[Start Date]],AR$29&lt;ProposalToGnatt[[#This Row],[Start Date]]+ProposalToGnatt[[#This Row],[Days]]),$G$5,"")),"")</f>
        <v/>
      </c>
      <c r="AS66" s="37" t="str">
        <f ca="1">IFERROR(+IF(AS$29=ProposalToGnatt[[#This Row],[Start Date]],Milestone_Marker,IF(AND(AS$29&gt;ProposalToGnatt[[#This Row],[Start Date]],AS$29&lt;ProposalToGnatt[[#This Row],[Start Date]]+ProposalToGnatt[[#This Row],[Days]]),$G$5,"")),"")</f>
        <v/>
      </c>
      <c r="AT66" s="37" t="str">
        <f ca="1">IFERROR(+IF(AT$29=ProposalToGnatt[[#This Row],[Start Date]],Milestone_Marker,IF(AND(AT$29&gt;ProposalToGnatt[[#This Row],[Start Date]],AT$29&lt;ProposalToGnatt[[#This Row],[Start Date]]+ProposalToGnatt[[#This Row],[Days]]),$G$5,"")),"")</f>
        <v/>
      </c>
      <c r="AU66" s="37" t="str">
        <f ca="1">IFERROR(+IF(AU$29=ProposalToGnatt[[#This Row],[Start Date]],Milestone_Marker,IF(AND(AU$29&gt;ProposalToGnatt[[#This Row],[Start Date]],AU$29&lt;ProposalToGnatt[[#This Row],[Start Date]]+ProposalToGnatt[[#This Row],[Days]]),$G$5,"")),"")</f>
        <v/>
      </c>
      <c r="AV66" s="37" t="str">
        <f ca="1">IFERROR(+IF(AV$29=ProposalToGnatt[[#This Row],[Start Date]],Milestone_Marker,IF(AND(AV$29&gt;ProposalToGnatt[[#This Row],[Start Date]],AV$29&lt;ProposalToGnatt[[#This Row],[Start Date]]+ProposalToGnatt[[#This Row],[Days]]),$G$5,"")),"")</f>
        <v/>
      </c>
      <c r="AW66" s="37" t="str">
        <f ca="1">IFERROR(+IF(AW$29=ProposalToGnatt[[#This Row],[Start Date]],Milestone_Marker,IF(AND(AW$29&gt;ProposalToGnatt[[#This Row],[Start Date]],AW$29&lt;ProposalToGnatt[[#This Row],[Start Date]]+ProposalToGnatt[[#This Row],[Days]]),$G$5,"")),"")</f>
        <v/>
      </c>
      <c r="AX66" s="37" t="str">
        <f ca="1">IFERROR(+IF(AX$29=ProposalToGnatt[[#This Row],[Start Date]],Milestone_Marker,IF(AND(AX$29&gt;ProposalToGnatt[[#This Row],[Start Date]],AX$29&lt;ProposalToGnatt[[#This Row],[Start Date]]+ProposalToGnatt[[#This Row],[Days]]),$G$5,"")),"")</f>
        <v/>
      </c>
      <c r="AY66" s="37" t="str">
        <f ca="1">IFERROR(+IF(AY$29=ProposalToGnatt[[#This Row],[Start Date]],Milestone_Marker,IF(AND(AY$29&gt;ProposalToGnatt[[#This Row],[Start Date]],AY$29&lt;ProposalToGnatt[[#This Row],[Start Date]]+ProposalToGnatt[[#This Row],[Days]]),$G$5,"")),"")</f>
        <v/>
      </c>
      <c r="AZ66" s="37" t="str">
        <f ca="1">IFERROR(+IF(AZ$29=ProposalToGnatt[[#This Row],[Start Date]],Milestone_Marker,IF(AND(AZ$29&gt;ProposalToGnatt[[#This Row],[Start Date]],AZ$29&lt;ProposalToGnatt[[#This Row],[Start Date]]+ProposalToGnatt[[#This Row],[Days]]),$G$5,"")),"")</f>
        <v/>
      </c>
      <c r="BA66" s="37" t="str">
        <f ca="1">IFERROR(+IF(BA$29=ProposalToGnatt[[#This Row],[Start Date]],Milestone_Marker,IF(AND(BA$29&gt;ProposalToGnatt[[#This Row],[Start Date]],BA$29&lt;ProposalToGnatt[[#This Row],[Start Date]]+ProposalToGnatt[[#This Row],[Days]]),$G$5,"")),"")</f>
        <v/>
      </c>
      <c r="BB66" s="37" t="str">
        <f ca="1">IFERROR(+IF(BB$29=ProposalToGnatt[[#This Row],[Start Date]],Milestone_Marker,IF(AND(BB$29&gt;ProposalToGnatt[[#This Row],[Start Date]],BB$29&lt;ProposalToGnatt[[#This Row],[Start Date]]+ProposalToGnatt[[#This Row],[Days]]),$G$5,"")),"")</f>
        <v/>
      </c>
      <c r="BC66" s="37" t="str">
        <f ca="1">IFERROR(+IF(BC$29=ProposalToGnatt[[#This Row],[Start Date]],Milestone_Marker,IF(AND(BC$29&gt;ProposalToGnatt[[#This Row],[Start Date]],BC$29&lt;ProposalToGnatt[[#This Row],[Start Date]]+ProposalToGnatt[[#This Row],[Days]]),$G$5,"")),"")</f>
        <v/>
      </c>
      <c r="BD66" s="37" t="str">
        <f ca="1">IFERROR(+IF(BD$29=ProposalToGnatt[[#This Row],[Start Date]],Milestone_Marker,IF(AND(BD$29&gt;ProposalToGnatt[[#This Row],[Start Date]],BD$29&lt;ProposalToGnatt[[#This Row],[Start Date]]+ProposalToGnatt[[#This Row],[Days]]),$G$5,"")),"")</f>
        <v/>
      </c>
      <c r="BE66" s="37" t="str">
        <f ca="1">IFERROR(+IF(BE$29=ProposalToGnatt[[#This Row],[Start Date]],Milestone_Marker,IF(AND(BE$29&gt;ProposalToGnatt[[#This Row],[Start Date]],BE$29&lt;ProposalToGnatt[[#This Row],[Start Date]]+ProposalToGnatt[[#This Row],[Days]]),$G$5,"")),"")</f>
        <v/>
      </c>
      <c r="BF66" s="37" t="str">
        <f ca="1">IFERROR(+IF(BF$29=ProposalToGnatt[[#This Row],[Start Date]],Milestone_Marker,IF(AND(BF$29&gt;ProposalToGnatt[[#This Row],[Start Date]],BF$29&lt;ProposalToGnatt[[#This Row],[Start Date]]+ProposalToGnatt[[#This Row],[Days]]),$G$5,"")),"")</f>
        <v/>
      </c>
      <c r="BG66" s="37" t="str">
        <f ca="1">IFERROR(+IF(BG$29=ProposalToGnatt[[#This Row],[Start Date]],Milestone_Marker,IF(AND(BG$29&gt;ProposalToGnatt[[#This Row],[Start Date]],BG$29&lt;ProposalToGnatt[[#This Row],[Start Date]]+ProposalToGnatt[[#This Row],[Days]]),$G$5,"")),"")</f>
        <v/>
      </c>
      <c r="BH66" s="37" t="str">
        <f ca="1">IFERROR(+IF(BH$29=ProposalToGnatt[[#This Row],[Start Date]],Milestone_Marker,IF(AND(BH$29&gt;ProposalToGnatt[[#This Row],[Start Date]],BH$29&lt;ProposalToGnatt[[#This Row],[Start Date]]+ProposalToGnatt[[#This Row],[Days]]),$G$5,"")),"")</f>
        <v/>
      </c>
      <c r="BI66" s="37" t="str">
        <f ca="1">IFERROR(+IF(BI$29=ProposalToGnatt[[#This Row],[Start Date]],Milestone_Marker,IF(AND(BI$29&gt;ProposalToGnatt[[#This Row],[Start Date]],BI$29&lt;ProposalToGnatt[[#This Row],[Start Date]]+ProposalToGnatt[[#This Row],[Days]]),$G$5,"")),"")</f>
        <v/>
      </c>
      <c r="BJ66" s="37" t="str">
        <f ca="1">IFERROR(+IF(BJ$29=ProposalToGnatt[[#This Row],[Start Date]],Milestone_Marker,IF(AND(BJ$29&gt;ProposalToGnatt[[#This Row],[Start Date]],BJ$29&lt;ProposalToGnatt[[#This Row],[Start Date]]+ProposalToGnatt[[#This Row],[Days]]),$G$5,"")),"")</f>
        <v/>
      </c>
      <c r="BK66" s="37" t="str">
        <f ca="1">IFERROR(+IF(BK$29=ProposalToGnatt[[#This Row],[Start Date]],Milestone_Marker,IF(AND(BK$29&gt;ProposalToGnatt[[#This Row],[Start Date]],BK$29&lt;ProposalToGnatt[[#This Row],[Start Date]]+ProposalToGnatt[[#This Row],[Days]]),$G$5,"")),"")</f>
        <v/>
      </c>
      <c r="BL66" s="37" t="str">
        <f ca="1">IFERROR(+IF(BL$29=ProposalToGnatt[[#This Row],[Start Date]],Milestone_Marker,IF(AND(BL$29&gt;ProposalToGnatt[[#This Row],[Start Date]],BL$29&lt;ProposalToGnatt[[#This Row],[Start Date]]+ProposalToGnatt[[#This Row],[Days]]),$G$5,"")),"")</f>
        <v/>
      </c>
      <c r="BM66" s="37" t="str">
        <f ca="1">IFERROR(+IF(BM$29=ProposalToGnatt[[#This Row],[Start Date]],Milestone_Marker,IF(AND(BM$29&gt;ProposalToGnatt[[#This Row],[Start Date]],BM$29&lt;ProposalToGnatt[[#This Row],[Start Date]]+ProposalToGnatt[[#This Row],[Days]]),$G$5,"")),"")</f>
        <v/>
      </c>
      <c r="BN66" s="37" t="str">
        <f ca="1">IFERROR(+IF(BN$29=ProposalToGnatt[[#This Row],[Start Date]],Milestone_Marker,IF(AND(BN$29&gt;ProposalToGnatt[[#This Row],[Start Date]],BN$29&lt;ProposalToGnatt[[#This Row],[Start Date]]+ProposalToGnatt[[#This Row],[Days]]),$G$5,"")),"")</f>
        <v/>
      </c>
      <c r="BO66" s="37" t="str">
        <f ca="1">IFERROR(+IF(BO$29=ProposalToGnatt[[#This Row],[Start Date]],Milestone_Marker,IF(AND(BO$29&gt;ProposalToGnatt[[#This Row],[Start Date]],BO$29&lt;ProposalToGnatt[[#This Row],[Start Date]]+ProposalToGnatt[[#This Row],[Days]]),$G$5,"")),"")</f>
        <v/>
      </c>
      <c r="BP66" s="37" t="str">
        <f ca="1">IFERROR(+IF(BP$29=ProposalToGnatt[[#This Row],[Start Date]],Milestone_Marker,IF(AND(BP$29&gt;ProposalToGnatt[[#This Row],[Start Date]],BP$29&lt;ProposalToGnatt[[#This Row],[Start Date]]+ProposalToGnatt[[#This Row],[Days]]),$G$5,"")),"")</f>
        <v/>
      </c>
      <c r="BQ66" s="37" t="str">
        <f ca="1">IFERROR(+IF(BQ$29=ProposalToGnatt[[#This Row],[Start Date]],Milestone_Marker,IF(AND(BQ$29&gt;ProposalToGnatt[[#This Row],[Start Date]],BQ$29&lt;ProposalToGnatt[[#This Row],[Start Date]]+ProposalToGnatt[[#This Row],[Days]]),$G$5,"")),"")</f>
        <v/>
      </c>
      <c r="BR66" s="37" t="str">
        <f ca="1">IFERROR(+IF(BR$29=ProposalToGnatt[[#This Row],[Start Date]],Milestone_Marker,IF(AND(BR$29&gt;ProposalToGnatt[[#This Row],[Start Date]],BR$29&lt;ProposalToGnatt[[#This Row],[Start Date]]+ProposalToGnatt[[#This Row],[Days]]),$G$5,"")),"")</f>
        <v/>
      </c>
      <c r="BS66" s="37" t="str">
        <f ca="1">IFERROR(+IF(BS$29=ProposalToGnatt[[#This Row],[Start Date]],Milestone_Marker,IF(AND(BS$29&gt;ProposalToGnatt[[#This Row],[Start Date]],BS$29&lt;ProposalToGnatt[[#This Row],[Start Date]]+ProposalToGnatt[[#This Row],[Days]]),$G$5,"")),"")</f>
        <v/>
      </c>
      <c r="BT66" s="37" t="str">
        <f ca="1">IFERROR(+IF(BT$29=ProposalToGnatt[[#This Row],[Start Date]],Milestone_Marker,IF(AND(BT$29&gt;ProposalToGnatt[[#This Row],[Start Date]],BT$29&lt;ProposalToGnatt[[#This Row],[Start Date]]+ProposalToGnatt[[#This Row],[Days]]),$G$5,"")),"")</f>
        <v/>
      </c>
      <c r="BU66" s="37" t="str">
        <f ca="1">IFERROR(+IF(BU$29=ProposalToGnatt[[#This Row],[Start Date]],Milestone_Marker,IF(AND(BU$29&gt;ProposalToGnatt[[#This Row],[Start Date]],BU$29&lt;ProposalToGnatt[[#This Row],[Start Date]]+ProposalToGnatt[[#This Row],[Days]]),$G$5,"")),"")</f>
        <v/>
      </c>
      <c r="BV66" s="37" t="str">
        <f ca="1">IFERROR(+IF(BV$29=ProposalToGnatt[[#This Row],[Start Date]],Milestone_Marker,IF(AND(BV$29&gt;ProposalToGnatt[[#This Row],[Start Date]],BV$29&lt;ProposalToGnatt[[#This Row],[Start Date]]+ProposalToGnatt[[#This Row],[Days]]),$G$5,"")),"")</f>
        <v/>
      </c>
      <c r="BW66" s="37" t="str">
        <f ca="1">IFERROR(+IF(BW$29=ProposalToGnatt[[#This Row],[Start Date]],Milestone_Marker,IF(AND(BW$29&gt;ProposalToGnatt[[#This Row],[Start Date]],BW$29&lt;ProposalToGnatt[[#This Row],[Start Date]]+ProposalToGnatt[[#This Row],[Days]]),$G$5,"")),"")</f>
        <v/>
      </c>
      <c r="BX66" s="37" t="str">
        <f ca="1">IFERROR(+IF(BX$29=ProposalToGnatt[[#This Row],[Start Date]],Milestone_Marker,IF(AND(BX$29&gt;ProposalToGnatt[[#This Row],[Start Date]],BX$29&lt;ProposalToGnatt[[#This Row],[Start Date]]+ProposalToGnatt[[#This Row],[Days]]),$G$5,"")),"")</f>
        <v/>
      </c>
      <c r="BY66" s="37" t="str">
        <f ca="1">IFERROR(+IF(BY$29=ProposalToGnatt[[#This Row],[Start Date]],Milestone_Marker,IF(AND(BY$29&gt;ProposalToGnatt[[#This Row],[Start Date]],BY$29&lt;ProposalToGnatt[[#This Row],[Start Date]]+ProposalToGnatt[[#This Row],[Days]]),$G$5,"")),"")</f>
        <v/>
      </c>
      <c r="BZ66" s="37" t="str">
        <f ca="1">IFERROR(+IF(BZ$29=ProposalToGnatt[[#This Row],[Start Date]],Milestone_Marker,IF(AND(BZ$29&gt;ProposalToGnatt[[#This Row],[Start Date]],BZ$29&lt;ProposalToGnatt[[#This Row],[Start Date]]+ProposalToGnatt[[#This Row],[Days]]),$G$5,"")),"")</f>
        <v/>
      </c>
      <c r="CA66" s="37" t="str">
        <f ca="1">IFERROR(+IF(CA$29=ProposalToGnatt[[#This Row],[Start Date]],Milestone_Marker,IF(AND(CA$29&gt;ProposalToGnatt[[#This Row],[Start Date]],CA$29&lt;ProposalToGnatt[[#This Row],[Start Date]]+ProposalToGnatt[[#This Row],[Days]]),$G$5,"")),"")</f>
        <v/>
      </c>
      <c r="CB66" s="37" t="str">
        <f ca="1">IFERROR(+IF(CB$29=ProposalToGnatt[[#This Row],[Start Date]],Milestone_Marker,IF(AND(CB$29&gt;ProposalToGnatt[[#This Row],[Start Date]],CB$29&lt;ProposalToGnatt[[#This Row],[Start Date]]+ProposalToGnatt[[#This Row],[Days]]),$G$5,"")),"")</f>
        <v/>
      </c>
      <c r="CC66" s="37" t="str">
        <f ca="1">IFERROR(+IF(CC$29=ProposalToGnatt[[#This Row],[Start Date]],Milestone_Marker,IF(AND(CC$29&gt;ProposalToGnatt[[#This Row],[Start Date]],CC$29&lt;ProposalToGnatt[[#This Row],[Start Date]]+ProposalToGnatt[[#This Row],[Days]]),$G$5,"")),"")</f>
        <v/>
      </c>
      <c r="CD66" s="37" t="str">
        <f ca="1">IFERROR(+IF(CD$29=ProposalToGnatt[[#This Row],[Start Date]],Milestone_Marker,IF(AND(CD$29&gt;ProposalToGnatt[[#This Row],[Start Date]],CD$29&lt;ProposalToGnatt[[#This Row],[Start Date]]+ProposalToGnatt[[#This Row],[Days]]),$G$5,"")),"")</f>
        <v/>
      </c>
      <c r="CE66" s="37" t="str">
        <f ca="1">IFERROR(+IF(CE$29=ProposalToGnatt[[#This Row],[Start Date]],Milestone_Marker,IF(AND(CE$29&gt;ProposalToGnatt[[#This Row],[Start Date]],CE$29&lt;ProposalToGnatt[[#This Row],[Start Date]]+ProposalToGnatt[[#This Row],[Days]]),$G$5,"")),"")</f>
        <v/>
      </c>
      <c r="CF66" s="37" t="str">
        <f ca="1">IFERROR(+IF(CF$29=ProposalToGnatt[[#This Row],[Start Date]],Milestone_Marker,IF(AND(CF$29&gt;ProposalToGnatt[[#This Row],[Start Date]],CF$29&lt;ProposalToGnatt[[#This Row],[Start Date]]+ProposalToGnatt[[#This Row],[Days]]),$G$5,"")),"")</f>
        <v/>
      </c>
      <c r="CG66" s="37" t="str">
        <f ca="1">IFERROR(+IF(CG$29=ProposalToGnatt[[#This Row],[Start Date]],Milestone_Marker,IF(AND(CG$29&gt;ProposalToGnatt[[#This Row],[Start Date]],CG$29&lt;ProposalToGnatt[[#This Row],[Start Date]]+ProposalToGnatt[[#This Row],[Days]]),$G$5,"")),"")</f>
        <v/>
      </c>
      <c r="CH66" s="37" t="str">
        <f ca="1">IFERROR(+IF(CH$29=ProposalToGnatt[[#This Row],[Start Date]],Milestone_Marker,IF(AND(CH$29&gt;ProposalToGnatt[[#This Row],[Start Date]],CH$29&lt;ProposalToGnatt[[#This Row],[Start Date]]+ProposalToGnatt[[#This Row],[Days]]),$G$5,"")),"")</f>
        <v/>
      </c>
      <c r="CI66" s="37" t="str">
        <f ca="1">IFERROR(+IF(CI$29=ProposalToGnatt[[#This Row],[Start Date]],Milestone_Marker,IF(AND(CI$29&gt;ProposalToGnatt[[#This Row],[Start Date]],CI$29&lt;ProposalToGnatt[[#This Row],[Start Date]]+ProposalToGnatt[[#This Row],[Days]]),$G$5,"")),"")</f>
        <v/>
      </c>
      <c r="CJ66" s="37" t="str">
        <f ca="1">IFERROR(+IF(CJ$29=ProposalToGnatt[[#This Row],[Start Date]],Milestone_Marker,IF(AND(CJ$29&gt;ProposalToGnatt[[#This Row],[Start Date]],CJ$29&lt;ProposalToGnatt[[#This Row],[Start Date]]+ProposalToGnatt[[#This Row],[Days]]),$G$5,"")),"")</f>
        <v/>
      </c>
      <c r="CK66" s="37" t="str">
        <f ca="1">IFERROR(+IF(CK$29=ProposalToGnatt[[#This Row],[Start Date]],Milestone_Marker,IF(AND(CK$29&gt;ProposalToGnatt[[#This Row],[Start Date]],CK$29&lt;ProposalToGnatt[[#This Row],[Start Date]]+ProposalToGnatt[[#This Row],[Days]]),$G$5,"")),"")</f>
        <v/>
      </c>
      <c r="CL66" s="37" t="str">
        <f ca="1">IFERROR(+IF(CL$29=ProposalToGnatt[[#This Row],[Start Date]],Milestone_Marker,IF(AND(CL$29&gt;ProposalToGnatt[[#This Row],[Start Date]],CL$29&lt;ProposalToGnatt[[#This Row],[Start Date]]+ProposalToGnatt[[#This Row],[Days]]),$G$5,"")),"")</f>
        <v/>
      </c>
      <c r="CM66" s="37" t="str">
        <f ca="1">IFERROR(+IF(CM$29=ProposalToGnatt[[#This Row],[Start Date]],Milestone_Marker,IF(AND(CM$29&gt;ProposalToGnatt[[#This Row],[Start Date]],CM$29&lt;ProposalToGnatt[[#This Row],[Start Date]]+ProposalToGnatt[[#This Row],[Days]]),$G$5,"")),"")</f>
        <v/>
      </c>
      <c r="CN66" s="37" t="str">
        <f ca="1">IFERROR(+IF(CN$29=ProposalToGnatt[[#This Row],[Start Date]],Milestone_Marker,IF(AND(CN$29&gt;ProposalToGnatt[[#This Row],[Start Date]],CN$29&lt;ProposalToGnatt[[#This Row],[Start Date]]+ProposalToGnatt[[#This Row],[Days]]),$G$5,"")),"")</f>
        <v/>
      </c>
      <c r="CO66" s="37" t="str">
        <f ca="1">IFERROR(+IF(CO$29=ProposalToGnatt[[#This Row],[Start Date]],Milestone_Marker,IF(AND(CO$29&gt;ProposalToGnatt[[#This Row],[Start Date]],CO$29&lt;ProposalToGnatt[[#This Row],[Start Date]]+ProposalToGnatt[[#This Row],[Days]]),$G$5,"")),"")</f>
        <v/>
      </c>
      <c r="CP66" s="37" t="str">
        <f ca="1">IFERROR(+IF(CP$29=ProposalToGnatt[[#This Row],[Start Date]],Milestone_Marker,IF(AND(CP$29&gt;ProposalToGnatt[[#This Row],[Start Date]],CP$29&lt;ProposalToGnatt[[#This Row],[Start Date]]+ProposalToGnatt[[#This Row],[Days]]),$G$5,"")),"")</f>
        <v/>
      </c>
      <c r="CQ66" s="37" t="str">
        <f ca="1">IFERROR(+IF(CQ$29=ProposalToGnatt[[#This Row],[Start Date]],Milestone_Marker,IF(AND(CQ$29&gt;ProposalToGnatt[[#This Row],[Start Date]],CQ$29&lt;ProposalToGnatt[[#This Row],[Start Date]]+ProposalToGnatt[[#This Row],[Days]]),$G$5,"")),"")</f>
        <v/>
      </c>
      <c r="CR66" s="37" t="str">
        <f ca="1">IFERROR(+IF(CR$29=ProposalToGnatt[[#This Row],[Start Date]],Milestone_Marker,IF(AND(CR$29&gt;ProposalToGnatt[[#This Row],[Start Date]],CR$29&lt;ProposalToGnatt[[#This Row],[Start Date]]+ProposalToGnatt[[#This Row],[Days]]),$G$5,"")),"")</f>
        <v/>
      </c>
      <c r="CS66" s="37" t="str">
        <f ca="1">IFERROR(+IF(CS$29=ProposalToGnatt[[#This Row],[Start Date]],Milestone_Marker,IF(AND(CS$29&gt;ProposalToGnatt[[#This Row],[Start Date]],CS$29&lt;ProposalToGnatt[[#This Row],[Start Date]]+ProposalToGnatt[[#This Row],[Days]]),$G$5,"")),"")</f>
        <v/>
      </c>
      <c r="CT66" s="37" t="str">
        <f ca="1">IFERROR(+IF(CT$29=ProposalToGnatt[[#This Row],[Start Date]],Milestone_Marker,IF(AND(CT$29&gt;ProposalToGnatt[[#This Row],[Start Date]],CT$29&lt;ProposalToGnatt[[#This Row],[Start Date]]+ProposalToGnatt[[#This Row],[Days]]),$G$5,"")),"")</f>
        <v/>
      </c>
      <c r="CU66" s="37" t="str">
        <f ca="1">IFERROR(+IF(CU$29=ProposalToGnatt[[#This Row],[Start Date]],Milestone_Marker,IF(AND(CU$29&gt;ProposalToGnatt[[#This Row],[Start Date]],CU$29&lt;ProposalToGnatt[[#This Row],[Start Date]]+ProposalToGnatt[[#This Row],[Days]]),$G$5,"")),"")</f>
        <v/>
      </c>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row>
    <row r="67" spans="1:125" s="42" customFormat="1" ht="15" customHeight="1">
      <c r="A67"/>
      <c r="B67"/>
      <c r="C67"/>
      <c r="D67"/>
      <c r="E67"/>
      <c r="F67"/>
      <c r="G67" s="11"/>
      <c r="H67" s="26"/>
      <c r="I67"/>
      <c r="J67"/>
      <c r="K67" s="363"/>
      <c r="L67"/>
      <c r="M67"/>
      <c r="N67"/>
      <c r="O67" s="26"/>
      <c r="P67" s="37" t="str">
        <f ca="1">IFERROR(+IF(P$29=ProposalToGnatt[[#This Row],[Start Date]],Milestone_Marker,IF(AND(P$29&gt;ProposalToGnatt[[#This Row],[Start Date]],P$29&lt;ProposalToGnatt[[#This Row],[Start Date]]+ProposalToGnatt[[#This Row],[Days]]),$G$5,"")),"")</f>
        <v/>
      </c>
      <c r="Q67" s="37" t="str">
        <f ca="1">IFERROR(+IF(Q$29=ProposalToGnatt[[#This Row],[Start Date]],Milestone_Marker,IF(AND(Q$29&gt;ProposalToGnatt[[#This Row],[Start Date]],Q$29&lt;ProposalToGnatt[[#This Row],[Start Date]]+ProposalToGnatt[[#This Row],[Days]]),$G$5,"")),"")</f>
        <v/>
      </c>
      <c r="R67" s="37" t="str">
        <f ca="1">IFERROR(+IF(R$29=ProposalToGnatt[[#This Row],[Start Date]],Milestone_Marker,IF(AND(R$29&gt;ProposalToGnatt[[#This Row],[Start Date]],R$29&lt;ProposalToGnatt[[#This Row],[Start Date]]+ProposalToGnatt[[#This Row],[Days]]),$G$5,"")),"")</f>
        <v/>
      </c>
      <c r="S67" s="37" t="str">
        <f ca="1">IFERROR(+IF(S$29=ProposalToGnatt[[#This Row],[Start Date]],Milestone_Marker,IF(AND(S$29&gt;ProposalToGnatt[[#This Row],[Start Date]],S$29&lt;ProposalToGnatt[[#This Row],[Start Date]]+ProposalToGnatt[[#This Row],[Days]]),$G$5,"")),"")</f>
        <v/>
      </c>
      <c r="T67" s="37" t="str">
        <f ca="1">IFERROR(+IF(T$29=ProposalToGnatt[[#This Row],[Start Date]],Milestone_Marker,IF(AND(T$29&gt;ProposalToGnatt[[#This Row],[Start Date]],T$29&lt;ProposalToGnatt[[#This Row],[Start Date]]+ProposalToGnatt[[#This Row],[Days]]),$G$5,"")),"")</f>
        <v/>
      </c>
      <c r="U67" s="37" t="str">
        <f ca="1">IFERROR(+IF(U$29=ProposalToGnatt[[#This Row],[Start Date]],Milestone_Marker,IF(AND(U$29&gt;ProposalToGnatt[[#This Row],[Start Date]],U$29&lt;ProposalToGnatt[[#This Row],[Start Date]]+ProposalToGnatt[[#This Row],[Days]]),$G$5,"")),"")</f>
        <v/>
      </c>
      <c r="V67" s="37" t="str">
        <f ca="1">IFERROR(+IF(V$29=ProposalToGnatt[[#This Row],[Start Date]],Milestone_Marker,IF(AND(V$29&gt;ProposalToGnatt[[#This Row],[Start Date]],V$29&lt;ProposalToGnatt[[#This Row],[Start Date]]+ProposalToGnatt[[#This Row],[Days]]),$G$5,"")),"")</f>
        <v/>
      </c>
      <c r="W67" s="37" t="str">
        <f ca="1">IFERROR(+IF(W$29=ProposalToGnatt[[#This Row],[Start Date]],Milestone_Marker,IF(AND(W$29&gt;ProposalToGnatt[[#This Row],[Start Date]],W$29&lt;ProposalToGnatt[[#This Row],[Start Date]]+ProposalToGnatt[[#This Row],[Days]]),$G$5,"")),"")</f>
        <v/>
      </c>
      <c r="X67" s="37" t="str">
        <f ca="1">IFERROR(+IF(X$29=ProposalToGnatt[[#This Row],[Start Date]],Milestone_Marker,IF(AND(X$29&gt;ProposalToGnatt[[#This Row],[Start Date]],X$29&lt;ProposalToGnatt[[#This Row],[Start Date]]+ProposalToGnatt[[#This Row],[Days]]),$G$5,"")),"")</f>
        <v/>
      </c>
      <c r="Y67" s="37" t="str">
        <f ca="1">IFERROR(+IF(Y$29=ProposalToGnatt[[#This Row],[Start Date]],Milestone_Marker,IF(AND(Y$29&gt;ProposalToGnatt[[#This Row],[Start Date]],Y$29&lt;ProposalToGnatt[[#This Row],[Start Date]]+ProposalToGnatt[[#This Row],[Days]]),$G$5,"")),"")</f>
        <v/>
      </c>
      <c r="Z67" s="37" t="str">
        <f ca="1">IFERROR(+IF(Z$29=ProposalToGnatt[[#This Row],[Start Date]],Milestone_Marker,IF(AND(Z$29&gt;ProposalToGnatt[[#This Row],[Start Date]],Z$29&lt;ProposalToGnatt[[#This Row],[Start Date]]+ProposalToGnatt[[#This Row],[Days]]),$G$5,"")),"")</f>
        <v/>
      </c>
      <c r="AA67" s="37" t="str">
        <f ca="1">IFERROR(+IF(AA$29=ProposalToGnatt[[#This Row],[Start Date]],Milestone_Marker,IF(AND(AA$29&gt;ProposalToGnatt[[#This Row],[Start Date]],AA$29&lt;ProposalToGnatt[[#This Row],[Start Date]]+ProposalToGnatt[[#This Row],[Days]]),$G$5,"")),"")</f>
        <v/>
      </c>
      <c r="AB67" s="37" t="str">
        <f ca="1">IFERROR(+IF(AB$29=ProposalToGnatt[[#This Row],[Start Date]],Milestone_Marker,IF(AND(AB$29&gt;ProposalToGnatt[[#This Row],[Start Date]],AB$29&lt;ProposalToGnatt[[#This Row],[Start Date]]+ProposalToGnatt[[#This Row],[Days]]),$G$5,"")),"")</f>
        <v/>
      </c>
      <c r="AC67" s="37" t="str">
        <f ca="1">IFERROR(+IF(AC$29=ProposalToGnatt[[#This Row],[Start Date]],Milestone_Marker,IF(AND(AC$29&gt;ProposalToGnatt[[#This Row],[Start Date]],AC$29&lt;ProposalToGnatt[[#This Row],[Start Date]]+ProposalToGnatt[[#This Row],[Days]]),$G$5,"")),"")</f>
        <v/>
      </c>
      <c r="AD67" s="37" t="str">
        <f ca="1">IFERROR(+IF(AD$29=ProposalToGnatt[[#This Row],[Start Date]],Milestone_Marker,IF(AND(AD$29&gt;ProposalToGnatt[[#This Row],[Start Date]],AD$29&lt;ProposalToGnatt[[#This Row],[Start Date]]+ProposalToGnatt[[#This Row],[Days]]),$G$5,"")),"")</f>
        <v/>
      </c>
      <c r="AE67" s="37" t="str">
        <f ca="1">IFERROR(+IF(AE$29=ProposalToGnatt[[#This Row],[Start Date]],Milestone_Marker,IF(AND(AE$29&gt;ProposalToGnatt[[#This Row],[Start Date]],AE$29&lt;ProposalToGnatt[[#This Row],[Start Date]]+ProposalToGnatt[[#This Row],[Days]]),$G$5,"")),"")</f>
        <v/>
      </c>
      <c r="AF67" s="37" t="str">
        <f ca="1">IFERROR(+IF(AF$29=ProposalToGnatt[[#This Row],[Start Date]],Milestone_Marker,IF(AND(AF$29&gt;ProposalToGnatt[[#This Row],[Start Date]],AF$29&lt;ProposalToGnatt[[#This Row],[Start Date]]+ProposalToGnatt[[#This Row],[Days]]),$G$5,"")),"")</f>
        <v/>
      </c>
      <c r="AG67" s="37" t="str">
        <f ca="1">IFERROR(+IF(AG$29=ProposalToGnatt[[#This Row],[Start Date]],Milestone_Marker,IF(AND(AG$29&gt;ProposalToGnatt[[#This Row],[Start Date]],AG$29&lt;ProposalToGnatt[[#This Row],[Start Date]]+ProposalToGnatt[[#This Row],[Days]]),$G$5,"")),"")</f>
        <v/>
      </c>
      <c r="AH67" s="37" t="str">
        <f ca="1">IFERROR(+IF(AH$29=ProposalToGnatt[[#This Row],[Start Date]],Milestone_Marker,IF(AND(AH$29&gt;ProposalToGnatt[[#This Row],[Start Date]],AH$29&lt;ProposalToGnatt[[#This Row],[Start Date]]+ProposalToGnatt[[#This Row],[Days]]),$G$5,"")),"")</f>
        <v/>
      </c>
      <c r="AI67" s="37" t="str">
        <f ca="1">IFERROR(+IF(AI$29=ProposalToGnatt[[#This Row],[Start Date]],Milestone_Marker,IF(AND(AI$29&gt;ProposalToGnatt[[#This Row],[Start Date]],AI$29&lt;ProposalToGnatt[[#This Row],[Start Date]]+ProposalToGnatt[[#This Row],[Days]]),$G$5,"")),"")</f>
        <v/>
      </c>
      <c r="AJ67" s="37" t="str">
        <f ca="1">IFERROR(+IF(AJ$29=ProposalToGnatt[[#This Row],[Start Date]],Milestone_Marker,IF(AND(AJ$29&gt;ProposalToGnatt[[#This Row],[Start Date]],AJ$29&lt;ProposalToGnatt[[#This Row],[Start Date]]+ProposalToGnatt[[#This Row],[Days]]),$G$5,"")),"")</f>
        <v/>
      </c>
      <c r="AK67" s="37" t="str">
        <f ca="1">IFERROR(+IF(AK$29=ProposalToGnatt[[#This Row],[Start Date]],Milestone_Marker,IF(AND(AK$29&gt;ProposalToGnatt[[#This Row],[Start Date]],AK$29&lt;ProposalToGnatt[[#This Row],[Start Date]]+ProposalToGnatt[[#This Row],[Days]]),$G$5,"")),"")</f>
        <v/>
      </c>
      <c r="AL67" s="37" t="str">
        <f ca="1">IFERROR(+IF(AL$29=ProposalToGnatt[[#This Row],[Start Date]],Milestone_Marker,IF(AND(AL$29&gt;ProposalToGnatt[[#This Row],[Start Date]],AL$29&lt;ProposalToGnatt[[#This Row],[Start Date]]+ProposalToGnatt[[#This Row],[Days]]),$G$5,"")),"")</f>
        <v/>
      </c>
      <c r="AM67" s="37" t="str">
        <f ca="1">IFERROR(+IF(AM$29=ProposalToGnatt[[#This Row],[Start Date]],Milestone_Marker,IF(AND(AM$29&gt;ProposalToGnatt[[#This Row],[Start Date]],AM$29&lt;ProposalToGnatt[[#This Row],[Start Date]]+ProposalToGnatt[[#This Row],[Days]]),$G$5,"")),"")</f>
        <v/>
      </c>
      <c r="AN67" s="37" t="str">
        <f ca="1">IFERROR(+IF(AN$29=ProposalToGnatt[[#This Row],[Start Date]],Milestone_Marker,IF(AND(AN$29&gt;ProposalToGnatt[[#This Row],[Start Date]],AN$29&lt;ProposalToGnatt[[#This Row],[Start Date]]+ProposalToGnatt[[#This Row],[Days]]),$G$5,"")),"")</f>
        <v/>
      </c>
      <c r="AO67" s="37" t="str">
        <f ca="1">IFERROR(+IF(AO$29=ProposalToGnatt[[#This Row],[Start Date]],Milestone_Marker,IF(AND(AO$29&gt;ProposalToGnatt[[#This Row],[Start Date]],AO$29&lt;ProposalToGnatt[[#This Row],[Start Date]]+ProposalToGnatt[[#This Row],[Days]]),$G$5,"")),"")</f>
        <v/>
      </c>
      <c r="AP67" s="37" t="str">
        <f ca="1">IFERROR(+IF(AP$29=ProposalToGnatt[[#This Row],[Start Date]],Milestone_Marker,IF(AND(AP$29&gt;ProposalToGnatt[[#This Row],[Start Date]],AP$29&lt;ProposalToGnatt[[#This Row],[Start Date]]+ProposalToGnatt[[#This Row],[Days]]),$G$5,"")),"")</f>
        <v/>
      </c>
      <c r="AQ67" s="37" t="str">
        <f ca="1">IFERROR(+IF(AQ$29=ProposalToGnatt[[#This Row],[Start Date]],Milestone_Marker,IF(AND(AQ$29&gt;ProposalToGnatt[[#This Row],[Start Date]],AQ$29&lt;ProposalToGnatt[[#This Row],[Start Date]]+ProposalToGnatt[[#This Row],[Days]]),$G$5,"")),"")</f>
        <v/>
      </c>
      <c r="AR67" s="37" t="str">
        <f ca="1">IFERROR(+IF(AR$29=ProposalToGnatt[[#This Row],[Start Date]],Milestone_Marker,IF(AND(AR$29&gt;ProposalToGnatt[[#This Row],[Start Date]],AR$29&lt;ProposalToGnatt[[#This Row],[Start Date]]+ProposalToGnatt[[#This Row],[Days]]),$G$5,"")),"")</f>
        <v/>
      </c>
      <c r="AS67" s="37" t="str">
        <f ca="1">IFERROR(+IF(AS$29=ProposalToGnatt[[#This Row],[Start Date]],Milestone_Marker,IF(AND(AS$29&gt;ProposalToGnatt[[#This Row],[Start Date]],AS$29&lt;ProposalToGnatt[[#This Row],[Start Date]]+ProposalToGnatt[[#This Row],[Days]]),$G$5,"")),"")</f>
        <v/>
      </c>
      <c r="AT67" s="37" t="str">
        <f ca="1">IFERROR(+IF(AT$29=ProposalToGnatt[[#This Row],[Start Date]],Milestone_Marker,IF(AND(AT$29&gt;ProposalToGnatt[[#This Row],[Start Date]],AT$29&lt;ProposalToGnatt[[#This Row],[Start Date]]+ProposalToGnatt[[#This Row],[Days]]),$G$5,"")),"")</f>
        <v/>
      </c>
      <c r="AU67" s="37" t="str">
        <f ca="1">IFERROR(+IF(AU$29=ProposalToGnatt[[#This Row],[Start Date]],Milestone_Marker,IF(AND(AU$29&gt;ProposalToGnatt[[#This Row],[Start Date]],AU$29&lt;ProposalToGnatt[[#This Row],[Start Date]]+ProposalToGnatt[[#This Row],[Days]]),$G$5,"")),"")</f>
        <v/>
      </c>
      <c r="AV67" s="37" t="str">
        <f ca="1">IFERROR(+IF(AV$29=ProposalToGnatt[[#This Row],[Start Date]],Milestone_Marker,IF(AND(AV$29&gt;ProposalToGnatt[[#This Row],[Start Date]],AV$29&lt;ProposalToGnatt[[#This Row],[Start Date]]+ProposalToGnatt[[#This Row],[Days]]),$G$5,"")),"")</f>
        <v/>
      </c>
      <c r="AW67" s="37" t="str">
        <f ca="1">IFERROR(+IF(AW$29=ProposalToGnatt[[#This Row],[Start Date]],Milestone_Marker,IF(AND(AW$29&gt;ProposalToGnatt[[#This Row],[Start Date]],AW$29&lt;ProposalToGnatt[[#This Row],[Start Date]]+ProposalToGnatt[[#This Row],[Days]]),$G$5,"")),"")</f>
        <v/>
      </c>
      <c r="AX67" s="37" t="str">
        <f ca="1">IFERROR(+IF(AX$29=ProposalToGnatt[[#This Row],[Start Date]],Milestone_Marker,IF(AND(AX$29&gt;ProposalToGnatt[[#This Row],[Start Date]],AX$29&lt;ProposalToGnatt[[#This Row],[Start Date]]+ProposalToGnatt[[#This Row],[Days]]),$G$5,"")),"")</f>
        <v/>
      </c>
      <c r="AY67" s="37" t="str">
        <f ca="1">IFERROR(+IF(AY$29=ProposalToGnatt[[#This Row],[Start Date]],Milestone_Marker,IF(AND(AY$29&gt;ProposalToGnatt[[#This Row],[Start Date]],AY$29&lt;ProposalToGnatt[[#This Row],[Start Date]]+ProposalToGnatt[[#This Row],[Days]]),$G$5,"")),"")</f>
        <v/>
      </c>
      <c r="AZ67" s="37" t="str">
        <f ca="1">IFERROR(+IF(AZ$29=ProposalToGnatt[[#This Row],[Start Date]],Milestone_Marker,IF(AND(AZ$29&gt;ProposalToGnatt[[#This Row],[Start Date]],AZ$29&lt;ProposalToGnatt[[#This Row],[Start Date]]+ProposalToGnatt[[#This Row],[Days]]),$G$5,"")),"")</f>
        <v/>
      </c>
      <c r="BA67" s="37" t="str">
        <f ca="1">IFERROR(+IF(BA$29=ProposalToGnatt[[#This Row],[Start Date]],Milestone_Marker,IF(AND(BA$29&gt;ProposalToGnatt[[#This Row],[Start Date]],BA$29&lt;ProposalToGnatt[[#This Row],[Start Date]]+ProposalToGnatt[[#This Row],[Days]]),$G$5,"")),"")</f>
        <v/>
      </c>
      <c r="BB67" s="37" t="str">
        <f ca="1">IFERROR(+IF(BB$29=ProposalToGnatt[[#This Row],[Start Date]],Milestone_Marker,IF(AND(BB$29&gt;ProposalToGnatt[[#This Row],[Start Date]],BB$29&lt;ProposalToGnatt[[#This Row],[Start Date]]+ProposalToGnatt[[#This Row],[Days]]),$G$5,"")),"")</f>
        <v/>
      </c>
      <c r="BC67" s="37" t="str">
        <f ca="1">IFERROR(+IF(BC$29=ProposalToGnatt[[#This Row],[Start Date]],Milestone_Marker,IF(AND(BC$29&gt;ProposalToGnatt[[#This Row],[Start Date]],BC$29&lt;ProposalToGnatt[[#This Row],[Start Date]]+ProposalToGnatt[[#This Row],[Days]]),$G$5,"")),"")</f>
        <v/>
      </c>
      <c r="BD67" s="37" t="str">
        <f ca="1">IFERROR(+IF(BD$29=ProposalToGnatt[[#This Row],[Start Date]],Milestone_Marker,IF(AND(BD$29&gt;ProposalToGnatt[[#This Row],[Start Date]],BD$29&lt;ProposalToGnatt[[#This Row],[Start Date]]+ProposalToGnatt[[#This Row],[Days]]),$G$5,"")),"")</f>
        <v/>
      </c>
      <c r="BE67" s="37" t="str">
        <f ca="1">IFERROR(+IF(BE$29=ProposalToGnatt[[#This Row],[Start Date]],Milestone_Marker,IF(AND(BE$29&gt;ProposalToGnatt[[#This Row],[Start Date]],BE$29&lt;ProposalToGnatt[[#This Row],[Start Date]]+ProposalToGnatt[[#This Row],[Days]]),$G$5,"")),"")</f>
        <v/>
      </c>
      <c r="BF67" s="37" t="str">
        <f ca="1">IFERROR(+IF(BF$29=ProposalToGnatt[[#This Row],[Start Date]],Milestone_Marker,IF(AND(BF$29&gt;ProposalToGnatt[[#This Row],[Start Date]],BF$29&lt;ProposalToGnatt[[#This Row],[Start Date]]+ProposalToGnatt[[#This Row],[Days]]),$G$5,"")),"")</f>
        <v/>
      </c>
      <c r="BG67" s="37" t="str">
        <f ca="1">IFERROR(+IF(BG$29=ProposalToGnatt[[#This Row],[Start Date]],Milestone_Marker,IF(AND(BG$29&gt;ProposalToGnatt[[#This Row],[Start Date]],BG$29&lt;ProposalToGnatt[[#This Row],[Start Date]]+ProposalToGnatt[[#This Row],[Days]]),$G$5,"")),"")</f>
        <v/>
      </c>
      <c r="BH67" s="37" t="str">
        <f ca="1">IFERROR(+IF(BH$29=ProposalToGnatt[[#This Row],[Start Date]],Milestone_Marker,IF(AND(BH$29&gt;ProposalToGnatt[[#This Row],[Start Date]],BH$29&lt;ProposalToGnatt[[#This Row],[Start Date]]+ProposalToGnatt[[#This Row],[Days]]),$G$5,"")),"")</f>
        <v/>
      </c>
      <c r="BI67" s="37" t="str">
        <f ca="1">IFERROR(+IF(BI$29=ProposalToGnatt[[#This Row],[Start Date]],Milestone_Marker,IF(AND(BI$29&gt;ProposalToGnatt[[#This Row],[Start Date]],BI$29&lt;ProposalToGnatt[[#This Row],[Start Date]]+ProposalToGnatt[[#This Row],[Days]]),$G$5,"")),"")</f>
        <v/>
      </c>
      <c r="BJ67" s="37" t="str">
        <f ca="1">IFERROR(+IF(BJ$29=ProposalToGnatt[[#This Row],[Start Date]],Milestone_Marker,IF(AND(BJ$29&gt;ProposalToGnatt[[#This Row],[Start Date]],BJ$29&lt;ProposalToGnatt[[#This Row],[Start Date]]+ProposalToGnatt[[#This Row],[Days]]),$G$5,"")),"")</f>
        <v/>
      </c>
      <c r="BK67" s="37" t="str">
        <f ca="1">IFERROR(+IF(BK$29=ProposalToGnatt[[#This Row],[Start Date]],Milestone_Marker,IF(AND(BK$29&gt;ProposalToGnatt[[#This Row],[Start Date]],BK$29&lt;ProposalToGnatt[[#This Row],[Start Date]]+ProposalToGnatt[[#This Row],[Days]]),$G$5,"")),"")</f>
        <v/>
      </c>
      <c r="BL67" s="37" t="str">
        <f ca="1">IFERROR(+IF(BL$29=ProposalToGnatt[[#This Row],[Start Date]],Milestone_Marker,IF(AND(BL$29&gt;ProposalToGnatt[[#This Row],[Start Date]],BL$29&lt;ProposalToGnatt[[#This Row],[Start Date]]+ProposalToGnatt[[#This Row],[Days]]),$G$5,"")),"")</f>
        <v/>
      </c>
      <c r="BM67" s="37" t="str">
        <f ca="1">IFERROR(+IF(BM$29=ProposalToGnatt[[#This Row],[Start Date]],Milestone_Marker,IF(AND(BM$29&gt;ProposalToGnatt[[#This Row],[Start Date]],BM$29&lt;ProposalToGnatt[[#This Row],[Start Date]]+ProposalToGnatt[[#This Row],[Days]]),$G$5,"")),"")</f>
        <v/>
      </c>
      <c r="BN67" s="37" t="str">
        <f ca="1">IFERROR(+IF(BN$29=ProposalToGnatt[[#This Row],[Start Date]],Milestone_Marker,IF(AND(BN$29&gt;ProposalToGnatt[[#This Row],[Start Date]],BN$29&lt;ProposalToGnatt[[#This Row],[Start Date]]+ProposalToGnatt[[#This Row],[Days]]),$G$5,"")),"")</f>
        <v/>
      </c>
      <c r="BO67" s="37" t="str">
        <f ca="1">IFERROR(+IF(BO$29=ProposalToGnatt[[#This Row],[Start Date]],Milestone_Marker,IF(AND(BO$29&gt;ProposalToGnatt[[#This Row],[Start Date]],BO$29&lt;ProposalToGnatt[[#This Row],[Start Date]]+ProposalToGnatt[[#This Row],[Days]]),$G$5,"")),"")</f>
        <v/>
      </c>
      <c r="BP67" s="37" t="str">
        <f ca="1">IFERROR(+IF(BP$29=ProposalToGnatt[[#This Row],[Start Date]],Milestone_Marker,IF(AND(BP$29&gt;ProposalToGnatt[[#This Row],[Start Date]],BP$29&lt;ProposalToGnatt[[#This Row],[Start Date]]+ProposalToGnatt[[#This Row],[Days]]),$G$5,"")),"")</f>
        <v/>
      </c>
      <c r="BQ67" s="37" t="str">
        <f ca="1">IFERROR(+IF(BQ$29=ProposalToGnatt[[#This Row],[Start Date]],Milestone_Marker,IF(AND(BQ$29&gt;ProposalToGnatt[[#This Row],[Start Date]],BQ$29&lt;ProposalToGnatt[[#This Row],[Start Date]]+ProposalToGnatt[[#This Row],[Days]]),$G$5,"")),"")</f>
        <v/>
      </c>
      <c r="BR67" s="37" t="str">
        <f ca="1">IFERROR(+IF(BR$29=ProposalToGnatt[[#This Row],[Start Date]],Milestone_Marker,IF(AND(BR$29&gt;ProposalToGnatt[[#This Row],[Start Date]],BR$29&lt;ProposalToGnatt[[#This Row],[Start Date]]+ProposalToGnatt[[#This Row],[Days]]),$G$5,"")),"")</f>
        <v/>
      </c>
      <c r="BS67" s="37" t="str">
        <f ca="1">IFERROR(+IF(BS$29=ProposalToGnatt[[#This Row],[Start Date]],Milestone_Marker,IF(AND(BS$29&gt;ProposalToGnatt[[#This Row],[Start Date]],BS$29&lt;ProposalToGnatt[[#This Row],[Start Date]]+ProposalToGnatt[[#This Row],[Days]]),$G$5,"")),"")</f>
        <v/>
      </c>
      <c r="BT67" s="37" t="str">
        <f ca="1">IFERROR(+IF(BT$29=ProposalToGnatt[[#This Row],[Start Date]],Milestone_Marker,IF(AND(BT$29&gt;ProposalToGnatt[[#This Row],[Start Date]],BT$29&lt;ProposalToGnatt[[#This Row],[Start Date]]+ProposalToGnatt[[#This Row],[Days]]),$G$5,"")),"")</f>
        <v/>
      </c>
      <c r="BU67" s="37" t="str">
        <f ca="1">IFERROR(+IF(BU$29=ProposalToGnatt[[#This Row],[Start Date]],Milestone_Marker,IF(AND(BU$29&gt;ProposalToGnatt[[#This Row],[Start Date]],BU$29&lt;ProposalToGnatt[[#This Row],[Start Date]]+ProposalToGnatt[[#This Row],[Days]]),$G$5,"")),"")</f>
        <v/>
      </c>
      <c r="BV67" s="37" t="str">
        <f ca="1">IFERROR(+IF(BV$29=ProposalToGnatt[[#This Row],[Start Date]],Milestone_Marker,IF(AND(BV$29&gt;ProposalToGnatt[[#This Row],[Start Date]],BV$29&lt;ProposalToGnatt[[#This Row],[Start Date]]+ProposalToGnatt[[#This Row],[Days]]),$G$5,"")),"")</f>
        <v/>
      </c>
      <c r="BW67" s="37" t="str">
        <f ca="1">IFERROR(+IF(BW$29=ProposalToGnatt[[#This Row],[Start Date]],Milestone_Marker,IF(AND(BW$29&gt;ProposalToGnatt[[#This Row],[Start Date]],BW$29&lt;ProposalToGnatt[[#This Row],[Start Date]]+ProposalToGnatt[[#This Row],[Days]]),$G$5,"")),"")</f>
        <v/>
      </c>
      <c r="BX67" s="37" t="str">
        <f ca="1">IFERROR(+IF(BX$29=ProposalToGnatt[[#This Row],[Start Date]],Milestone_Marker,IF(AND(BX$29&gt;ProposalToGnatt[[#This Row],[Start Date]],BX$29&lt;ProposalToGnatt[[#This Row],[Start Date]]+ProposalToGnatt[[#This Row],[Days]]),$G$5,"")),"")</f>
        <v/>
      </c>
      <c r="BY67" s="37" t="str">
        <f ca="1">IFERROR(+IF(BY$29=ProposalToGnatt[[#This Row],[Start Date]],Milestone_Marker,IF(AND(BY$29&gt;ProposalToGnatt[[#This Row],[Start Date]],BY$29&lt;ProposalToGnatt[[#This Row],[Start Date]]+ProposalToGnatt[[#This Row],[Days]]),$G$5,"")),"")</f>
        <v/>
      </c>
      <c r="BZ67" s="37" t="str">
        <f ca="1">IFERROR(+IF(BZ$29=ProposalToGnatt[[#This Row],[Start Date]],Milestone_Marker,IF(AND(BZ$29&gt;ProposalToGnatt[[#This Row],[Start Date]],BZ$29&lt;ProposalToGnatt[[#This Row],[Start Date]]+ProposalToGnatt[[#This Row],[Days]]),$G$5,"")),"")</f>
        <v/>
      </c>
      <c r="CA67" s="37" t="str">
        <f ca="1">IFERROR(+IF(CA$29=ProposalToGnatt[[#This Row],[Start Date]],Milestone_Marker,IF(AND(CA$29&gt;ProposalToGnatt[[#This Row],[Start Date]],CA$29&lt;ProposalToGnatt[[#This Row],[Start Date]]+ProposalToGnatt[[#This Row],[Days]]),$G$5,"")),"")</f>
        <v/>
      </c>
      <c r="CB67" s="37" t="str">
        <f ca="1">IFERROR(+IF(CB$29=ProposalToGnatt[[#This Row],[Start Date]],Milestone_Marker,IF(AND(CB$29&gt;ProposalToGnatt[[#This Row],[Start Date]],CB$29&lt;ProposalToGnatt[[#This Row],[Start Date]]+ProposalToGnatt[[#This Row],[Days]]),$G$5,"")),"")</f>
        <v/>
      </c>
      <c r="CC67" s="37" t="str">
        <f ca="1">IFERROR(+IF(CC$29=ProposalToGnatt[[#This Row],[Start Date]],Milestone_Marker,IF(AND(CC$29&gt;ProposalToGnatt[[#This Row],[Start Date]],CC$29&lt;ProposalToGnatt[[#This Row],[Start Date]]+ProposalToGnatt[[#This Row],[Days]]),$G$5,"")),"")</f>
        <v/>
      </c>
      <c r="CD67" s="37" t="str">
        <f ca="1">IFERROR(+IF(CD$29=ProposalToGnatt[[#This Row],[Start Date]],Milestone_Marker,IF(AND(CD$29&gt;ProposalToGnatt[[#This Row],[Start Date]],CD$29&lt;ProposalToGnatt[[#This Row],[Start Date]]+ProposalToGnatt[[#This Row],[Days]]),$G$5,"")),"")</f>
        <v/>
      </c>
      <c r="CE67" s="37" t="str">
        <f ca="1">IFERROR(+IF(CE$29=ProposalToGnatt[[#This Row],[Start Date]],Milestone_Marker,IF(AND(CE$29&gt;ProposalToGnatt[[#This Row],[Start Date]],CE$29&lt;ProposalToGnatt[[#This Row],[Start Date]]+ProposalToGnatt[[#This Row],[Days]]),$G$5,"")),"")</f>
        <v/>
      </c>
      <c r="CF67" s="37" t="str">
        <f ca="1">IFERROR(+IF(CF$29=ProposalToGnatt[[#This Row],[Start Date]],Milestone_Marker,IF(AND(CF$29&gt;ProposalToGnatt[[#This Row],[Start Date]],CF$29&lt;ProposalToGnatt[[#This Row],[Start Date]]+ProposalToGnatt[[#This Row],[Days]]),$G$5,"")),"")</f>
        <v/>
      </c>
      <c r="CG67" s="37" t="str">
        <f ca="1">IFERROR(+IF(CG$29=ProposalToGnatt[[#This Row],[Start Date]],Milestone_Marker,IF(AND(CG$29&gt;ProposalToGnatt[[#This Row],[Start Date]],CG$29&lt;ProposalToGnatt[[#This Row],[Start Date]]+ProposalToGnatt[[#This Row],[Days]]),$G$5,"")),"")</f>
        <v/>
      </c>
      <c r="CH67" s="37" t="str">
        <f ca="1">IFERROR(+IF(CH$29=ProposalToGnatt[[#This Row],[Start Date]],Milestone_Marker,IF(AND(CH$29&gt;ProposalToGnatt[[#This Row],[Start Date]],CH$29&lt;ProposalToGnatt[[#This Row],[Start Date]]+ProposalToGnatt[[#This Row],[Days]]),$G$5,"")),"")</f>
        <v/>
      </c>
      <c r="CI67" s="37" t="str">
        <f ca="1">IFERROR(+IF(CI$29=ProposalToGnatt[[#This Row],[Start Date]],Milestone_Marker,IF(AND(CI$29&gt;ProposalToGnatt[[#This Row],[Start Date]],CI$29&lt;ProposalToGnatt[[#This Row],[Start Date]]+ProposalToGnatt[[#This Row],[Days]]),$G$5,"")),"")</f>
        <v/>
      </c>
      <c r="CJ67" s="37" t="str">
        <f ca="1">IFERROR(+IF(CJ$29=ProposalToGnatt[[#This Row],[Start Date]],Milestone_Marker,IF(AND(CJ$29&gt;ProposalToGnatt[[#This Row],[Start Date]],CJ$29&lt;ProposalToGnatt[[#This Row],[Start Date]]+ProposalToGnatt[[#This Row],[Days]]),$G$5,"")),"")</f>
        <v/>
      </c>
      <c r="CK67" s="37" t="str">
        <f ca="1">IFERROR(+IF(CK$29=ProposalToGnatt[[#This Row],[Start Date]],Milestone_Marker,IF(AND(CK$29&gt;ProposalToGnatt[[#This Row],[Start Date]],CK$29&lt;ProposalToGnatt[[#This Row],[Start Date]]+ProposalToGnatt[[#This Row],[Days]]),$G$5,"")),"")</f>
        <v/>
      </c>
      <c r="CL67" s="37" t="str">
        <f ca="1">IFERROR(+IF(CL$29=ProposalToGnatt[[#This Row],[Start Date]],Milestone_Marker,IF(AND(CL$29&gt;ProposalToGnatt[[#This Row],[Start Date]],CL$29&lt;ProposalToGnatt[[#This Row],[Start Date]]+ProposalToGnatt[[#This Row],[Days]]),$G$5,"")),"")</f>
        <v/>
      </c>
      <c r="CM67" s="37" t="str">
        <f ca="1">IFERROR(+IF(CM$29=ProposalToGnatt[[#This Row],[Start Date]],Milestone_Marker,IF(AND(CM$29&gt;ProposalToGnatt[[#This Row],[Start Date]],CM$29&lt;ProposalToGnatt[[#This Row],[Start Date]]+ProposalToGnatt[[#This Row],[Days]]),$G$5,"")),"")</f>
        <v/>
      </c>
      <c r="CN67" s="37" t="str">
        <f ca="1">IFERROR(+IF(CN$29=ProposalToGnatt[[#This Row],[Start Date]],Milestone_Marker,IF(AND(CN$29&gt;ProposalToGnatt[[#This Row],[Start Date]],CN$29&lt;ProposalToGnatt[[#This Row],[Start Date]]+ProposalToGnatt[[#This Row],[Days]]),$G$5,"")),"")</f>
        <v/>
      </c>
      <c r="CO67" s="37" t="str">
        <f ca="1">IFERROR(+IF(CO$29=ProposalToGnatt[[#This Row],[Start Date]],Milestone_Marker,IF(AND(CO$29&gt;ProposalToGnatt[[#This Row],[Start Date]],CO$29&lt;ProposalToGnatt[[#This Row],[Start Date]]+ProposalToGnatt[[#This Row],[Days]]),$G$5,"")),"")</f>
        <v/>
      </c>
      <c r="CP67" s="37" t="str">
        <f ca="1">IFERROR(+IF(CP$29=ProposalToGnatt[[#This Row],[Start Date]],Milestone_Marker,IF(AND(CP$29&gt;ProposalToGnatt[[#This Row],[Start Date]],CP$29&lt;ProposalToGnatt[[#This Row],[Start Date]]+ProposalToGnatt[[#This Row],[Days]]),$G$5,"")),"")</f>
        <v/>
      </c>
      <c r="CQ67" s="37" t="str">
        <f ca="1">IFERROR(+IF(CQ$29=ProposalToGnatt[[#This Row],[Start Date]],Milestone_Marker,IF(AND(CQ$29&gt;ProposalToGnatt[[#This Row],[Start Date]],CQ$29&lt;ProposalToGnatt[[#This Row],[Start Date]]+ProposalToGnatt[[#This Row],[Days]]),$G$5,"")),"")</f>
        <v/>
      </c>
      <c r="CR67" s="37" t="str">
        <f ca="1">IFERROR(+IF(CR$29=ProposalToGnatt[[#This Row],[Start Date]],Milestone_Marker,IF(AND(CR$29&gt;ProposalToGnatt[[#This Row],[Start Date]],CR$29&lt;ProposalToGnatt[[#This Row],[Start Date]]+ProposalToGnatt[[#This Row],[Days]]),$G$5,"")),"")</f>
        <v/>
      </c>
      <c r="CS67" s="37" t="str">
        <f ca="1">IFERROR(+IF(CS$29=ProposalToGnatt[[#This Row],[Start Date]],Milestone_Marker,IF(AND(CS$29&gt;ProposalToGnatt[[#This Row],[Start Date]],CS$29&lt;ProposalToGnatt[[#This Row],[Start Date]]+ProposalToGnatt[[#This Row],[Days]]),$G$5,"")),"")</f>
        <v/>
      </c>
      <c r="CT67" s="37" t="str">
        <f ca="1">IFERROR(+IF(CT$29=ProposalToGnatt[[#This Row],[Start Date]],Milestone_Marker,IF(AND(CT$29&gt;ProposalToGnatt[[#This Row],[Start Date]],CT$29&lt;ProposalToGnatt[[#This Row],[Start Date]]+ProposalToGnatt[[#This Row],[Days]]),$G$5,"")),"")</f>
        <v/>
      </c>
      <c r="CU67" s="37" t="str">
        <f ca="1">IFERROR(+IF(CU$29=ProposalToGnatt[[#This Row],[Start Date]],Milestone_Marker,IF(AND(CU$29&gt;ProposalToGnatt[[#This Row],[Start Date]],CU$29&lt;ProposalToGnatt[[#This Row],[Start Date]]+ProposalToGnatt[[#This Row],[Days]]),$G$5,"")),"")</f>
        <v/>
      </c>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row>
    <row r="68" spans="1:125" s="42" customFormat="1" ht="15">
      <c r="A68"/>
      <c r="B68"/>
      <c r="C68"/>
      <c r="D68"/>
      <c r="E68"/>
      <c r="F68"/>
      <c r="G68" s="11"/>
      <c r="H68" s="26"/>
      <c r="I68"/>
      <c r="J68"/>
      <c r="K68" s="363"/>
      <c r="L68"/>
      <c r="M68"/>
      <c r="N68"/>
      <c r="O68" s="26"/>
      <c r="P68" s="37" t="str">
        <f ca="1">IFERROR(+IF(P$29=ProposalToGnatt[[#This Row],[Start Date]],Milestone_Marker,IF(AND(P$29&gt;ProposalToGnatt[[#This Row],[Start Date]],P$29&lt;ProposalToGnatt[[#This Row],[Start Date]]+ProposalToGnatt[[#This Row],[Days]]),$G$5,"")),"")</f>
        <v/>
      </c>
      <c r="Q68" s="37" t="str">
        <f ca="1">IFERROR(+IF(Q$29=ProposalToGnatt[[#This Row],[Start Date]],Milestone_Marker,IF(AND(Q$29&gt;ProposalToGnatt[[#This Row],[Start Date]],Q$29&lt;ProposalToGnatt[[#This Row],[Start Date]]+ProposalToGnatt[[#This Row],[Days]]),$G$5,"")),"")</f>
        <v/>
      </c>
      <c r="R68" s="37" t="str">
        <f ca="1">IFERROR(+IF(R$29=ProposalToGnatt[[#This Row],[Start Date]],Milestone_Marker,IF(AND(R$29&gt;ProposalToGnatt[[#This Row],[Start Date]],R$29&lt;ProposalToGnatt[[#This Row],[Start Date]]+ProposalToGnatt[[#This Row],[Days]]),$G$5,"")),"")</f>
        <v/>
      </c>
      <c r="S68" s="37" t="str">
        <f ca="1">IFERROR(+IF(S$29=ProposalToGnatt[[#This Row],[Start Date]],Milestone_Marker,IF(AND(S$29&gt;ProposalToGnatt[[#This Row],[Start Date]],S$29&lt;ProposalToGnatt[[#This Row],[Start Date]]+ProposalToGnatt[[#This Row],[Days]]),$G$5,"")),"")</f>
        <v/>
      </c>
      <c r="T68" s="37" t="str">
        <f ca="1">IFERROR(+IF(T$29=ProposalToGnatt[[#This Row],[Start Date]],Milestone_Marker,IF(AND(T$29&gt;ProposalToGnatt[[#This Row],[Start Date]],T$29&lt;ProposalToGnatt[[#This Row],[Start Date]]+ProposalToGnatt[[#This Row],[Days]]),$G$5,"")),"")</f>
        <v/>
      </c>
      <c r="U68" s="37" t="str">
        <f ca="1">IFERROR(+IF(U$29=ProposalToGnatt[[#This Row],[Start Date]],Milestone_Marker,IF(AND(U$29&gt;ProposalToGnatt[[#This Row],[Start Date]],U$29&lt;ProposalToGnatt[[#This Row],[Start Date]]+ProposalToGnatt[[#This Row],[Days]]),$G$5,"")),"")</f>
        <v/>
      </c>
      <c r="V68" s="37" t="str">
        <f ca="1">IFERROR(+IF(V$29=ProposalToGnatt[[#This Row],[Start Date]],Milestone_Marker,IF(AND(V$29&gt;ProposalToGnatt[[#This Row],[Start Date]],V$29&lt;ProposalToGnatt[[#This Row],[Start Date]]+ProposalToGnatt[[#This Row],[Days]]),$G$5,"")),"")</f>
        <v/>
      </c>
      <c r="W68" s="37" t="str">
        <f ca="1">IFERROR(+IF(W$29=ProposalToGnatt[[#This Row],[Start Date]],Milestone_Marker,IF(AND(W$29&gt;ProposalToGnatt[[#This Row],[Start Date]],W$29&lt;ProposalToGnatt[[#This Row],[Start Date]]+ProposalToGnatt[[#This Row],[Days]]),$G$5,"")),"")</f>
        <v/>
      </c>
      <c r="X68" s="37" t="str">
        <f ca="1">IFERROR(+IF(X$29=ProposalToGnatt[[#This Row],[Start Date]],Milestone_Marker,IF(AND(X$29&gt;ProposalToGnatt[[#This Row],[Start Date]],X$29&lt;ProposalToGnatt[[#This Row],[Start Date]]+ProposalToGnatt[[#This Row],[Days]]),$G$5,"")),"")</f>
        <v/>
      </c>
      <c r="Y68" s="37" t="str">
        <f ca="1">IFERROR(+IF(Y$29=ProposalToGnatt[[#This Row],[Start Date]],Milestone_Marker,IF(AND(Y$29&gt;ProposalToGnatt[[#This Row],[Start Date]],Y$29&lt;ProposalToGnatt[[#This Row],[Start Date]]+ProposalToGnatt[[#This Row],[Days]]),$G$5,"")),"")</f>
        <v/>
      </c>
      <c r="Z68" s="37" t="str">
        <f ca="1">IFERROR(+IF(Z$29=ProposalToGnatt[[#This Row],[Start Date]],Milestone_Marker,IF(AND(Z$29&gt;ProposalToGnatt[[#This Row],[Start Date]],Z$29&lt;ProposalToGnatt[[#This Row],[Start Date]]+ProposalToGnatt[[#This Row],[Days]]),$G$5,"")),"")</f>
        <v/>
      </c>
      <c r="AA68" s="37" t="str">
        <f ca="1">IFERROR(+IF(AA$29=ProposalToGnatt[[#This Row],[Start Date]],Milestone_Marker,IF(AND(AA$29&gt;ProposalToGnatt[[#This Row],[Start Date]],AA$29&lt;ProposalToGnatt[[#This Row],[Start Date]]+ProposalToGnatt[[#This Row],[Days]]),$G$5,"")),"")</f>
        <v/>
      </c>
      <c r="AB68" s="37" t="str">
        <f ca="1">IFERROR(+IF(AB$29=ProposalToGnatt[[#This Row],[Start Date]],Milestone_Marker,IF(AND(AB$29&gt;ProposalToGnatt[[#This Row],[Start Date]],AB$29&lt;ProposalToGnatt[[#This Row],[Start Date]]+ProposalToGnatt[[#This Row],[Days]]),$G$5,"")),"")</f>
        <v/>
      </c>
      <c r="AC68" s="37" t="str">
        <f ca="1">IFERROR(+IF(AC$29=ProposalToGnatt[[#This Row],[Start Date]],Milestone_Marker,IF(AND(AC$29&gt;ProposalToGnatt[[#This Row],[Start Date]],AC$29&lt;ProposalToGnatt[[#This Row],[Start Date]]+ProposalToGnatt[[#This Row],[Days]]),$G$5,"")),"")</f>
        <v/>
      </c>
      <c r="AD68" s="37" t="str">
        <f ca="1">IFERROR(+IF(AD$29=ProposalToGnatt[[#This Row],[Start Date]],Milestone_Marker,IF(AND(AD$29&gt;ProposalToGnatt[[#This Row],[Start Date]],AD$29&lt;ProposalToGnatt[[#This Row],[Start Date]]+ProposalToGnatt[[#This Row],[Days]]),$G$5,"")),"")</f>
        <v/>
      </c>
      <c r="AE68" s="37" t="str">
        <f ca="1">IFERROR(+IF(AE$29=ProposalToGnatt[[#This Row],[Start Date]],Milestone_Marker,IF(AND(AE$29&gt;ProposalToGnatt[[#This Row],[Start Date]],AE$29&lt;ProposalToGnatt[[#This Row],[Start Date]]+ProposalToGnatt[[#This Row],[Days]]),$G$5,"")),"")</f>
        <v/>
      </c>
      <c r="AF68" s="37" t="str">
        <f ca="1">IFERROR(+IF(AF$29=ProposalToGnatt[[#This Row],[Start Date]],Milestone_Marker,IF(AND(AF$29&gt;ProposalToGnatt[[#This Row],[Start Date]],AF$29&lt;ProposalToGnatt[[#This Row],[Start Date]]+ProposalToGnatt[[#This Row],[Days]]),$G$5,"")),"")</f>
        <v/>
      </c>
      <c r="AG68" s="37" t="str">
        <f ca="1">IFERROR(+IF(AG$29=ProposalToGnatt[[#This Row],[Start Date]],Milestone_Marker,IF(AND(AG$29&gt;ProposalToGnatt[[#This Row],[Start Date]],AG$29&lt;ProposalToGnatt[[#This Row],[Start Date]]+ProposalToGnatt[[#This Row],[Days]]),$G$5,"")),"")</f>
        <v/>
      </c>
      <c r="AH68" s="37" t="str">
        <f ca="1">IFERROR(+IF(AH$29=ProposalToGnatt[[#This Row],[Start Date]],Milestone_Marker,IF(AND(AH$29&gt;ProposalToGnatt[[#This Row],[Start Date]],AH$29&lt;ProposalToGnatt[[#This Row],[Start Date]]+ProposalToGnatt[[#This Row],[Days]]),$G$5,"")),"")</f>
        <v/>
      </c>
      <c r="AI68" s="37" t="str">
        <f ca="1">IFERROR(+IF(AI$29=ProposalToGnatt[[#This Row],[Start Date]],Milestone_Marker,IF(AND(AI$29&gt;ProposalToGnatt[[#This Row],[Start Date]],AI$29&lt;ProposalToGnatt[[#This Row],[Start Date]]+ProposalToGnatt[[#This Row],[Days]]),$G$5,"")),"")</f>
        <v/>
      </c>
      <c r="AJ68" s="37" t="str">
        <f ca="1">IFERROR(+IF(AJ$29=ProposalToGnatt[[#This Row],[Start Date]],Milestone_Marker,IF(AND(AJ$29&gt;ProposalToGnatt[[#This Row],[Start Date]],AJ$29&lt;ProposalToGnatt[[#This Row],[Start Date]]+ProposalToGnatt[[#This Row],[Days]]),$G$5,"")),"")</f>
        <v/>
      </c>
      <c r="AK68" s="37" t="str">
        <f ca="1">IFERROR(+IF(AK$29=ProposalToGnatt[[#This Row],[Start Date]],Milestone_Marker,IF(AND(AK$29&gt;ProposalToGnatt[[#This Row],[Start Date]],AK$29&lt;ProposalToGnatt[[#This Row],[Start Date]]+ProposalToGnatt[[#This Row],[Days]]),$G$5,"")),"")</f>
        <v/>
      </c>
      <c r="AL68" s="37" t="str">
        <f ca="1">IFERROR(+IF(AL$29=ProposalToGnatt[[#This Row],[Start Date]],Milestone_Marker,IF(AND(AL$29&gt;ProposalToGnatt[[#This Row],[Start Date]],AL$29&lt;ProposalToGnatt[[#This Row],[Start Date]]+ProposalToGnatt[[#This Row],[Days]]),$G$5,"")),"")</f>
        <v/>
      </c>
      <c r="AM68" s="37" t="str">
        <f ca="1">IFERROR(+IF(AM$29=ProposalToGnatt[[#This Row],[Start Date]],Milestone_Marker,IF(AND(AM$29&gt;ProposalToGnatt[[#This Row],[Start Date]],AM$29&lt;ProposalToGnatt[[#This Row],[Start Date]]+ProposalToGnatt[[#This Row],[Days]]),$G$5,"")),"")</f>
        <v/>
      </c>
      <c r="AN68" s="37" t="str">
        <f ca="1">IFERROR(+IF(AN$29=ProposalToGnatt[[#This Row],[Start Date]],Milestone_Marker,IF(AND(AN$29&gt;ProposalToGnatt[[#This Row],[Start Date]],AN$29&lt;ProposalToGnatt[[#This Row],[Start Date]]+ProposalToGnatt[[#This Row],[Days]]),$G$5,"")),"")</f>
        <v/>
      </c>
      <c r="AO68" s="37" t="str">
        <f ca="1">IFERROR(+IF(AO$29=ProposalToGnatt[[#This Row],[Start Date]],Milestone_Marker,IF(AND(AO$29&gt;ProposalToGnatt[[#This Row],[Start Date]],AO$29&lt;ProposalToGnatt[[#This Row],[Start Date]]+ProposalToGnatt[[#This Row],[Days]]),$G$5,"")),"")</f>
        <v/>
      </c>
      <c r="AP68" s="37" t="str">
        <f ca="1">IFERROR(+IF(AP$29=ProposalToGnatt[[#This Row],[Start Date]],Milestone_Marker,IF(AND(AP$29&gt;ProposalToGnatt[[#This Row],[Start Date]],AP$29&lt;ProposalToGnatt[[#This Row],[Start Date]]+ProposalToGnatt[[#This Row],[Days]]),$G$5,"")),"")</f>
        <v/>
      </c>
      <c r="AQ68" s="37" t="str">
        <f ca="1">IFERROR(+IF(AQ$29=ProposalToGnatt[[#This Row],[Start Date]],Milestone_Marker,IF(AND(AQ$29&gt;ProposalToGnatt[[#This Row],[Start Date]],AQ$29&lt;ProposalToGnatt[[#This Row],[Start Date]]+ProposalToGnatt[[#This Row],[Days]]),$G$5,"")),"")</f>
        <v/>
      </c>
      <c r="AR68" s="37" t="str">
        <f ca="1">IFERROR(+IF(AR$29=ProposalToGnatt[[#This Row],[Start Date]],Milestone_Marker,IF(AND(AR$29&gt;ProposalToGnatt[[#This Row],[Start Date]],AR$29&lt;ProposalToGnatt[[#This Row],[Start Date]]+ProposalToGnatt[[#This Row],[Days]]),$G$5,"")),"")</f>
        <v/>
      </c>
      <c r="AS68" s="37" t="str">
        <f ca="1">IFERROR(+IF(AS$29=ProposalToGnatt[[#This Row],[Start Date]],Milestone_Marker,IF(AND(AS$29&gt;ProposalToGnatt[[#This Row],[Start Date]],AS$29&lt;ProposalToGnatt[[#This Row],[Start Date]]+ProposalToGnatt[[#This Row],[Days]]),$G$5,"")),"")</f>
        <v/>
      </c>
      <c r="AT68" s="37" t="str">
        <f ca="1">IFERROR(+IF(AT$29=ProposalToGnatt[[#This Row],[Start Date]],Milestone_Marker,IF(AND(AT$29&gt;ProposalToGnatt[[#This Row],[Start Date]],AT$29&lt;ProposalToGnatt[[#This Row],[Start Date]]+ProposalToGnatt[[#This Row],[Days]]),$G$5,"")),"")</f>
        <v/>
      </c>
      <c r="AU68" s="37" t="str">
        <f ca="1">IFERROR(+IF(AU$29=ProposalToGnatt[[#This Row],[Start Date]],Milestone_Marker,IF(AND(AU$29&gt;ProposalToGnatt[[#This Row],[Start Date]],AU$29&lt;ProposalToGnatt[[#This Row],[Start Date]]+ProposalToGnatt[[#This Row],[Days]]),$G$5,"")),"")</f>
        <v/>
      </c>
      <c r="AV68" s="37" t="str">
        <f ca="1">IFERROR(+IF(AV$29=ProposalToGnatt[[#This Row],[Start Date]],Milestone_Marker,IF(AND(AV$29&gt;ProposalToGnatt[[#This Row],[Start Date]],AV$29&lt;ProposalToGnatt[[#This Row],[Start Date]]+ProposalToGnatt[[#This Row],[Days]]),$G$5,"")),"")</f>
        <v/>
      </c>
      <c r="AW68" s="37" t="str">
        <f ca="1">IFERROR(+IF(AW$29=ProposalToGnatt[[#This Row],[Start Date]],Milestone_Marker,IF(AND(AW$29&gt;ProposalToGnatt[[#This Row],[Start Date]],AW$29&lt;ProposalToGnatt[[#This Row],[Start Date]]+ProposalToGnatt[[#This Row],[Days]]),$G$5,"")),"")</f>
        <v/>
      </c>
      <c r="AX68" s="37" t="str">
        <f ca="1">IFERROR(+IF(AX$29=ProposalToGnatt[[#This Row],[Start Date]],Milestone_Marker,IF(AND(AX$29&gt;ProposalToGnatt[[#This Row],[Start Date]],AX$29&lt;ProposalToGnatt[[#This Row],[Start Date]]+ProposalToGnatt[[#This Row],[Days]]),$G$5,"")),"")</f>
        <v/>
      </c>
      <c r="AY68" s="37" t="str">
        <f ca="1">IFERROR(+IF(AY$29=ProposalToGnatt[[#This Row],[Start Date]],Milestone_Marker,IF(AND(AY$29&gt;ProposalToGnatt[[#This Row],[Start Date]],AY$29&lt;ProposalToGnatt[[#This Row],[Start Date]]+ProposalToGnatt[[#This Row],[Days]]),$G$5,"")),"")</f>
        <v/>
      </c>
      <c r="AZ68" s="37" t="str">
        <f ca="1">IFERROR(+IF(AZ$29=ProposalToGnatt[[#This Row],[Start Date]],Milestone_Marker,IF(AND(AZ$29&gt;ProposalToGnatt[[#This Row],[Start Date]],AZ$29&lt;ProposalToGnatt[[#This Row],[Start Date]]+ProposalToGnatt[[#This Row],[Days]]),$G$5,"")),"")</f>
        <v/>
      </c>
      <c r="BA68" s="37" t="str">
        <f ca="1">IFERROR(+IF(BA$29=ProposalToGnatt[[#This Row],[Start Date]],Milestone_Marker,IF(AND(BA$29&gt;ProposalToGnatt[[#This Row],[Start Date]],BA$29&lt;ProposalToGnatt[[#This Row],[Start Date]]+ProposalToGnatt[[#This Row],[Days]]),$G$5,"")),"")</f>
        <v/>
      </c>
      <c r="BB68" s="37" t="str">
        <f ca="1">IFERROR(+IF(BB$29=ProposalToGnatt[[#This Row],[Start Date]],Milestone_Marker,IF(AND(BB$29&gt;ProposalToGnatt[[#This Row],[Start Date]],BB$29&lt;ProposalToGnatt[[#This Row],[Start Date]]+ProposalToGnatt[[#This Row],[Days]]),$G$5,"")),"")</f>
        <v/>
      </c>
      <c r="BC68" s="37" t="str">
        <f ca="1">IFERROR(+IF(BC$29=ProposalToGnatt[[#This Row],[Start Date]],Milestone_Marker,IF(AND(BC$29&gt;ProposalToGnatt[[#This Row],[Start Date]],BC$29&lt;ProposalToGnatt[[#This Row],[Start Date]]+ProposalToGnatt[[#This Row],[Days]]),$G$5,"")),"")</f>
        <v/>
      </c>
      <c r="BD68" s="37" t="str">
        <f ca="1">IFERROR(+IF(BD$29=ProposalToGnatt[[#This Row],[Start Date]],Milestone_Marker,IF(AND(BD$29&gt;ProposalToGnatt[[#This Row],[Start Date]],BD$29&lt;ProposalToGnatt[[#This Row],[Start Date]]+ProposalToGnatt[[#This Row],[Days]]),$G$5,"")),"")</f>
        <v/>
      </c>
      <c r="BE68" s="37" t="str">
        <f ca="1">IFERROR(+IF(BE$29=ProposalToGnatt[[#This Row],[Start Date]],Milestone_Marker,IF(AND(BE$29&gt;ProposalToGnatt[[#This Row],[Start Date]],BE$29&lt;ProposalToGnatt[[#This Row],[Start Date]]+ProposalToGnatt[[#This Row],[Days]]),$G$5,"")),"")</f>
        <v/>
      </c>
      <c r="BF68" s="37" t="str">
        <f ca="1">IFERROR(+IF(BF$29=ProposalToGnatt[[#This Row],[Start Date]],Milestone_Marker,IF(AND(BF$29&gt;ProposalToGnatt[[#This Row],[Start Date]],BF$29&lt;ProposalToGnatt[[#This Row],[Start Date]]+ProposalToGnatt[[#This Row],[Days]]),$G$5,"")),"")</f>
        <v/>
      </c>
      <c r="BG68" s="37" t="str">
        <f ca="1">IFERROR(+IF(BG$29=ProposalToGnatt[[#This Row],[Start Date]],Milestone_Marker,IF(AND(BG$29&gt;ProposalToGnatt[[#This Row],[Start Date]],BG$29&lt;ProposalToGnatt[[#This Row],[Start Date]]+ProposalToGnatt[[#This Row],[Days]]),$G$5,"")),"")</f>
        <v/>
      </c>
      <c r="BH68" s="37" t="str">
        <f ca="1">IFERROR(+IF(BH$29=ProposalToGnatt[[#This Row],[Start Date]],Milestone_Marker,IF(AND(BH$29&gt;ProposalToGnatt[[#This Row],[Start Date]],BH$29&lt;ProposalToGnatt[[#This Row],[Start Date]]+ProposalToGnatt[[#This Row],[Days]]),$G$5,"")),"")</f>
        <v/>
      </c>
      <c r="BI68" s="37" t="str">
        <f ca="1">IFERROR(+IF(BI$29=ProposalToGnatt[[#This Row],[Start Date]],Milestone_Marker,IF(AND(BI$29&gt;ProposalToGnatt[[#This Row],[Start Date]],BI$29&lt;ProposalToGnatt[[#This Row],[Start Date]]+ProposalToGnatt[[#This Row],[Days]]),$G$5,"")),"")</f>
        <v/>
      </c>
      <c r="BJ68" s="37" t="str">
        <f ca="1">IFERROR(+IF(BJ$29=ProposalToGnatt[[#This Row],[Start Date]],Milestone_Marker,IF(AND(BJ$29&gt;ProposalToGnatt[[#This Row],[Start Date]],BJ$29&lt;ProposalToGnatt[[#This Row],[Start Date]]+ProposalToGnatt[[#This Row],[Days]]),$G$5,"")),"")</f>
        <v/>
      </c>
      <c r="BK68" s="37" t="str">
        <f ca="1">IFERROR(+IF(BK$29=ProposalToGnatt[[#This Row],[Start Date]],Milestone_Marker,IF(AND(BK$29&gt;ProposalToGnatt[[#This Row],[Start Date]],BK$29&lt;ProposalToGnatt[[#This Row],[Start Date]]+ProposalToGnatt[[#This Row],[Days]]),$G$5,"")),"")</f>
        <v/>
      </c>
      <c r="BL68" s="37" t="str">
        <f ca="1">IFERROR(+IF(BL$29=ProposalToGnatt[[#This Row],[Start Date]],Milestone_Marker,IF(AND(BL$29&gt;ProposalToGnatt[[#This Row],[Start Date]],BL$29&lt;ProposalToGnatt[[#This Row],[Start Date]]+ProposalToGnatt[[#This Row],[Days]]),$G$5,"")),"")</f>
        <v/>
      </c>
      <c r="BM68" s="37" t="str">
        <f ca="1">IFERROR(+IF(BM$29=ProposalToGnatt[[#This Row],[Start Date]],Milestone_Marker,IF(AND(BM$29&gt;ProposalToGnatt[[#This Row],[Start Date]],BM$29&lt;ProposalToGnatt[[#This Row],[Start Date]]+ProposalToGnatt[[#This Row],[Days]]),$G$5,"")),"")</f>
        <v/>
      </c>
      <c r="BN68" s="37" t="str">
        <f ca="1">IFERROR(+IF(BN$29=ProposalToGnatt[[#This Row],[Start Date]],Milestone_Marker,IF(AND(BN$29&gt;ProposalToGnatt[[#This Row],[Start Date]],BN$29&lt;ProposalToGnatt[[#This Row],[Start Date]]+ProposalToGnatt[[#This Row],[Days]]),$G$5,"")),"")</f>
        <v/>
      </c>
      <c r="BO68" s="37" t="str">
        <f ca="1">IFERROR(+IF(BO$29=ProposalToGnatt[[#This Row],[Start Date]],Milestone_Marker,IF(AND(BO$29&gt;ProposalToGnatt[[#This Row],[Start Date]],BO$29&lt;ProposalToGnatt[[#This Row],[Start Date]]+ProposalToGnatt[[#This Row],[Days]]),$G$5,"")),"")</f>
        <v/>
      </c>
      <c r="BP68" s="37" t="str">
        <f ca="1">IFERROR(+IF(BP$29=ProposalToGnatt[[#This Row],[Start Date]],Milestone_Marker,IF(AND(BP$29&gt;ProposalToGnatt[[#This Row],[Start Date]],BP$29&lt;ProposalToGnatt[[#This Row],[Start Date]]+ProposalToGnatt[[#This Row],[Days]]),$G$5,"")),"")</f>
        <v/>
      </c>
      <c r="BQ68" s="37" t="str">
        <f ca="1">IFERROR(+IF(BQ$29=ProposalToGnatt[[#This Row],[Start Date]],Milestone_Marker,IF(AND(BQ$29&gt;ProposalToGnatt[[#This Row],[Start Date]],BQ$29&lt;ProposalToGnatt[[#This Row],[Start Date]]+ProposalToGnatt[[#This Row],[Days]]),$G$5,"")),"")</f>
        <v/>
      </c>
      <c r="BR68" s="37" t="str">
        <f ca="1">IFERROR(+IF(BR$29=ProposalToGnatt[[#This Row],[Start Date]],Milestone_Marker,IF(AND(BR$29&gt;ProposalToGnatt[[#This Row],[Start Date]],BR$29&lt;ProposalToGnatt[[#This Row],[Start Date]]+ProposalToGnatt[[#This Row],[Days]]),$G$5,"")),"")</f>
        <v/>
      </c>
      <c r="BS68" s="37" t="str">
        <f ca="1">IFERROR(+IF(BS$29=ProposalToGnatt[[#This Row],[Start Date]],Milestone_Marker,IF(AND(BS$29&gt;ProposalToGnatt[[#This Row],[Start Date]],BS$29&lt;ProposalToGnatt[[#This Row],[Start Date]]+ProposalToGnatt[[#This Row],[Days]]),$G$5,"")),"")</f>
        <v/>
      </c>
      <c r="BT68" s="37" t="str">
        <f ca="1">IFERROR(+IF(BT$29=ProposalToGnatt[[#This Row],[Start Date]],Milestone_Marker,IF(AND(BT$29&gt;ProposalToGnatt[[#This Row],[Start Date]],BT$29&lt;ProposalToGnatt[[#This Row],[Start Date]]+ProposalToGnatt[[#This Row],[Days]]),$G$5,"")),"")</f>
        <v/>
      </c>
      <c r="BU68" s="37" t="str">
        <f ca="1">IFERROR(+IF(BU$29=ProposalToGnatt[[#This Row],[Start Date]],Milestone_Marker,IF(AND(BU$29&gt;ProposalToGnatt[[#This Row],[Start Date]],BU$29&lt;ProposalToGnatt[[#This Row],[Start Date]]+ProposalToGnatt[[#This Row],[Days]]),$G$5,"")),"")</f>
        <v/>
      </c>
      <c r="BV68" s="37" t="str">
        <f ca="1">IFERROR(+IF(BV$29=ProposalToGnatt[[#This Row],[Start Date]],Milestone_Marker,IF(AND(BV$29&gt;ProposalToGnatt[[#This Row],[Start Date]],BV$29&lt;ProposalToGnatt[[#This Row],[Start Date]]+ProposalToGnatt[[#This Row],[Days]]),$G$5,"")),"")</f>
        <v/>
      </c>
      <c r="BW68" s="37" t="str">
        <f ca="1">IFERROR(+IF(BW$29=ProposalToGnatt[[#This Row],[Start Date]],Milestone_Marker,IF(AND(BW$29&gt;ProposalToGnatt[[#This Row],[Start Date]],BW$29&lt;ProposalToGnatt[[#This Row],[Start Date]]+ProposalToGnatt[[#This Row],[Days]]),$G$5,"")),"")</f>
        <v/>
      </c>
      <c r="BX68" s="37" t="str">
        <f ca="1">IFERROR(+IF(BX$29=ProposalToGnatt[[#This Row],[Start Date]],Milestone_Marker,IF(AND(BX$29&gt;ProposalToGnatt[[#This Row],[Start Date]],BX$29&lt;ProposalToGnatt[[#This Row],[Start Date]]+ProposalToGnatt[[#This Row],[Days]]),$G$5,"")),"")</f>
        <v/>
      </c>
      <c r="BY68" s="37" t="str">
        <f ca="1">IFERROR(+IF(BY$29=ProposalToGnatt[[#This Row],[Start Date]],Milestone_Marker,IF(AND(BY$29&gt;ProposalToGnatt[[#This Row],[Start Date]],BY$29&lt;ProposalToGnatt[[#This Row],[Start Date]]+ProposalToGnatt[[#This Row],[Days]]),$G$5,"")),"")</f>
        <v/>
      </c>
      <c r="BZ68" s="37" t="str">
        <f ca="1">IFERROR(+IF(BZ$29=ProposalToGnatt[[#This Row],[Start Date]],Milestone_Marker,IF(AND(BZ$29&gt;ProposalToGnatt[[#This Row],[Start Date]],BZ$29&lt;ProposalToGnatt[[#This Row],[Start Date]]+ProposalToGnatt[[#This Row],[Days]]),$G$5,"")),"")</f>
        <v/>
      </c>
      <c r="CA68" s="37" t="str">
        <f ca="1">IFERROR(+IF(CA$29=ProposalToGnatt[[#This Row],[Start Date]],Milestone_Marker,IF(AND(CA$29&gt;ProposalToGnatt[[#This Row],[Start Date]],CA$29&lt;ProposalToGnatt[[#This Row],[Start Date]]+ProposalToGnatt[[#This Row],[Days]]),$G$5,"")),"")</f>
        <v/>
      </c>
      <c r="CB68" s="37" t="str">
        <f ca="1">IFERROR(+IF(CB$29=ProposalToGnatt[[#This Row],[Start Date]],Milestone_Marker,IF(AND(CB$29&gt;ProposalToGnatt[[#This Row],[Start Date]],CB$29&lt;ProposalToGnatt[[#This Row],[Start Date]]+ProposalToGnatt[[#This Row],[Days]]),$G$5,"")),"")</f>
        <v/>
      </c>
      <c r="CC68" s="37" t="str">
        <f ca="1">IFERROR(+IF(CC$29=ProposalToGnatt[[#This Row],[Start Date]],Milestone_Marker,IF(AND(CC$29&gt;ProposalToGnatt[[#This Row],[Start Date]],CC$29&lt;ProposalToGnatt[[#This Row],[Start Date]]+ProposalToGnatt[[#This Row],[Days]]),$G$5,"")),"")</f>
        <v/>
      </c>
      <c r="CD68" s="37" t="str">
        <f ca="1">IFERROR(+IF(CD$29=ProposalToGnatt[[#This Row],[Start Date]],Milestone_Marker,IF(AND(CD$29&gt;ProposalToGnatt[[#This Row],[Start Date]],CD$29&lt;ProposalToGnatt[[#This Row],[Start Date]]+ProposalToGnatt[[#This Row],[Days]]),$G$5,"")),"")</f>
        <v/>
      </c>
      <c r="CE68" s="37" t="str">
        <f ca="1">IFERROR(+IF(CE$29=ProposalToGnatt[[#This Row],[Start Date]],Milestone_Marker,IF(AND(CE$29&gt;ProposalToGnatt[[#This Row],[Start Date]],CE$29&lt;ProposalToGnatt[[#This Row],[Start Date]]+ProposalToGnatt[[#This Row],[Days]]),$G$5,"")),"")</f>
        <v/>
      </c>
      <c r="CF68" s="37" t="str">
        <f ca="1">IFERROR(+IF(CF$29=ProposalToGnatt[[#This Row],[Start Date]],Milestone_Marker,IF(AND(CF$29&gt;ProposalToGnatt[[#This Row],[Start Date]],CF$29&lt;ProposalToGnatt[[#This Row],[Start Date]]+ProposalToGnatt[[#This Row],[Days]]),$G$5,"")),"")</f>
        <v/>
      </c>
      <c r="CG68" s="37" t="str">
        <f ca="1">IFERROR(+IF(CG$29=ProposalToGnatt[[#This Row],[Start Date]],Milestone_Marker,IF(AND(CG$29&gt;ProposalToGnatt[[#This Row],[Start Date]],CG$29&lt;ProposalToGnatt[[#This Row],[Start Date]]+ProposalToGnatt[[#This Row],[Days]]),$G$5,"")),"")</f>
        <v/>
      </c>
      <c r="CH68" s="37" t="str">
        <f ca="1">IFERROR(+IF(CH$29=ProposalToGnatt[[#This Row],[Start Date]],Milestone_Marker,IF(AND(CH$29&gt;ProposalToGnatt[[#This Row],[Start Date]],CH$29&lt;ProposalToGnatt[[#This Row],[Start Date]]+ProposalToGnatt[[#This Row],[Days]]),$G$5,"")),"")</f>
        <v/>
      </c>
      <c r="CI68" s="37" t="str">
        <f ca="1">IFERROR(+IF(CI$29=ProposalToGnatt[[#This Row],[Start Date]],Milestone_Marker,IF(AND(CI$29&gt;ProposalToGnatt[[#This Row],[Start Date]],CI$29&lt;ProposalToGnatt[[#This Row],[Start Date]]+ProposalToGnatt[[#This Row],[Days]]),$G$5,"")),"")</f>
        <v/>
      </c>
      <c r="CJ68" s="37" t="str">
        <f ca="1">IFERROR(+IF(CJ$29=ProposalToGnatt[[#This Row],[Start Date]],Milestone_Marker,IF(AND(CJ$29&gt;ProposalToGnatt[[#This Row],[Start Date]],CJ$29&lt;ProposalToGnatt[[#This Row],[Start Date]]+ProposalToGnatt[[#This Row],[Days]]),$G$5,"")),"")</f>
        <v/>
      </c>
      <c r="CK68" s="37" t="str">
        <f ca="1">IFERROR(+IF(CK$29=ProposalToGnatt[[#This Row],[Start Date]],Milestone_Marker,IF(AND(CK$29&gt;ProposalToGnatt[[#This Row],[Start Date]],CK$29&lt;ProposalToGnatt[[#This Row],[Start Date]]+ProposalToGnatt[[#This Row],[Days]]),$G$5,"")),"")</f>
        <v/>
      </c>
      <c r="CL68" s="37" t="str">
        <f ca="1">IFERROR(+IF(CL$29=ProposalToGnatt[[#This Row],[Start Date]],Milestone_Marker,IF(AND(CL$29&gt;ProposalToGnatt[[#This Row],[Start Date]],CL$29&lt;ProposalToGnatt[[#This Row],[Start Date]]+ProposalToGnatt[[#This Row],[Days]]),$G$5,"")),"")</f>
        <v/>
      </c>
      <c r="CM68" s="37" t="str">
        <f ca="1">IFERROR(+IF(CM$29=ProposalToGnatt[[#This Row],[Start Date]],Milestone_Marker,IF(AND(CM$29&gt;ProposalToGnatt[[#This Row],[Start Date]],CM$29&lt;ProposalToGnatt[[#This Row],[Start Date]]+ProposalToGnatt[[#This Row],[Days]]),$G$5,"")),"")</f>
        <v/>
      </c>
      <c r="CN68" s="37" t="str">
        <f ca="1">IFERROR(+IF(CN$29=ProposalToGnatt[[#This Row],[Start Date]],Milestone_Marker,IF(AND(CN$29&gt;ProposalToGnatt[[#This Row],[Start Date]],CN$29&lt;ProposalToGnatt[[#This Row],[Start Date]]+ProposalToGnatt[[#This Row],[Days]]),$G$5,"")),"")</f>
        <v/>
      </c>
      <c r="CO68" s="37" t="str">
        <f ca="1">IFERROR(+IF(CO$29=ProposalToGnatt[[#This Row],[Start Date]],Milestone_Marker,IF(AND(CO$29&gt;ProposalToGnatt[[#This Row],[Start Date]],CO$29&lt;ProposalToGnatt[[#This Row],[Start Date]]+ProposalToGnatt[[#This Row],[Days]]),$G$5,"")),"")</f>
        <v/>
      </c>
      <c r="CP68" s="37" t="str">
        <f ca="1">IFERROR(+IF(CP$29=ProposalToGnatt[[#This Row],[Start Date]],Milestone_Marker,IF(AND(CP$29&gt;ProposalToGnatt[[#This Row],[Start Date]],CP$29&lt;ProposalToGnatt[[#This Row],[Start Date]]+ProposalToGnatt[[#This Row],[Days]]),$G$5,"")),"")</f>
        <v/>
      </c>
      <c r="CQ68" s="37" t="str">
        <f ca="1">IFERROR(+IF(CQ$29=ProposalToGnatt[[#This Row],[Start Date]],Milestone_Marker,IF(AND(CQ$29&gt;ProposalToGnatt[[#This Row],[Start Date]],CQ$29&lt;ProposalToGnatt[[#This Row],[Start Date]]+ProposalToGnatt[[#This Row],[Days]]),$G$5,"")),"")</f>
        <v/>
      </c>
      <c r="CR68" s="37" t="str">
        <f ca="1">IFERROR(+IF(CR$29=ProposalToGnatt[[#This Row],[Start Date]],Milestone_Marker,IF(AND(CR$29&gt;ProposalToGnatt[[#This Row],[Start Date]],CR$29&lt;ProposalToGnatt[[#This Row],[Start Date]]+ProposalToGnatt[[#This Row],[Days]]),$G$5,"")),"")</f>
        <v/>
      </c>
      <c r="CS68" s="37" t="str">
        <f ca="1">IFERROR(+IF(CS$29=ProposalToGnatt[[#This Row],[Start Date]],Milestone_Marker,IF(AND(CS$29&gt;ProposalToGnatt[[#This Row],[Start Date]],CS$29&lt;ProposalToGnatt[[#This Row],[Start Date]]+ProposalToGnatt[[#This Row],[Days]]),$G$5,"")),"")</f>
        <v/>
      </c>
      <c r="CT68" s="37" t="str">
        <f ca="1">IFERROR(+IF(CT$29=ProposalToGnatt[[#This Row],[Start Date]],Milestone_Marker,IF(AND(CT$29&gt;ProposalToGnatt[[#This Row],[Start Date]],CT$29&lt;ProposalToGnatt[[#This Row],[Start Date]]+ProposalToGnatt[[#This Row],[Days]]),$G$5,"")),"")</f>
        <v/>
      </c>
      <c r="CU68" s="37" t="str">
        <f ca="1">IFERROR(+IF(CU$29=ProposalToGnatt[[#This Row],[Start Date]],Milestone_Marker,IF(AND(CU$29&gt;ProposalToGnatt[[#This Row],[Start Date]],CU$29&lt;ProposalToGnatt[[#This Row],[Start Date]]+ProposalToGnatt[[#This Row],[Days]]),$G$5,"")),"")</f>
        <v/>
      </c>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row>
    <row r="69" spans="1:125" s="42" customFormat="1" ht="15">
      <c r="A69"/>
      <c r="B69"/>
      <c r="C69"/>
      <c r="D69"/>
      <c r="E69"/>
      <c r="F69"/>
      <c r="G69" s="11"/>
      <c r="H69" s="26"/>
      <c r="I69"/>
      <c r="J69"/>
      <c r="K69" s="363"/>
      <c r="L69"/>
      <c r="M69"/>
      <c r="N69"/>
      <c r="O69" s="26"/>
      <c r="P69" s="37" t="str">
        <f ca="1">IFERROR(+IF(P$29=ProposalToGnatt[[#This Row],[Start Date]],Milestone_Marker,IF(AND(P$29&gt;ProposalToGnatt[[#This Row],[Start Date]],P$29&lt;ProposalToGnatt[[#This Row],[Start Date]]+ProposalToGnatt[[#This Row],[Days]]),$G$5,"")),"")</f>
        <v/>
      </c>
      <c r="Q69" s="37" t="str">
        <f ca="1">IFERROR(+IF(Q$29=ProposalToGnatt[[#This Row],[Start Date]],Milestone_Marker,IF(AND(Q$29&gt;ProposalToGnatt[[#This Row],[Start Date]],Q$29&lt;ProposalToGnatt[[#This Row],[Start Date]]+ProposalToGnatt[[#This Row],[Days]]),$G$5,"")),"")</f>
        <v/>
      </c>
      <c r="R69" s="37" t="str">
        <f ca="1">IFERROR(+IF(R$29=ProposalToGnatt[[#This Row],[Start Date]],Milestone_Marker,IF(AND(R$29&gt;ProposalToGnatt[[#This Row],[Start Date]],R$29&lt;ProposalToGnatt[[#This Row],[Start Date]]+ProposalToGnatt[[#This Row],[Days]]),$G$5,"")),"")</f>
        <v/>
      </c>
      <c r="S69" s="37" t="str">
        <f ca="1">IFERROR(+IF(S$29=ProposalToGnatt[[#This Row],[Start Date]],Milestone_Marker,IF(AND(S$29&gt;ProposalToGnatt[[#This Row],[Start Date]],S$29&lt;ProposalToGnatt[[#This Row],[Start Date]]+ProposalToGnatt[[#This Row],[Days]]),$G$5,"")),"")</f>
        <v/>
      </c>
      <c r="T69" s="37" t="str">
        <f ca="1">IFERROR(+IF(T$29=ProposalToGnatt[[#This Row],[Start Date]],Milestone_Marker,IF(AND(T$29&gt;ProposalToGnatt[[#This Row],[Start Date]],T$29&lt;ProposalToGnatt[[#This Row],[Start Date]]+ProposalToGnatt[[#This Row],[Days]]),$G$5,"")),"")</f>
        <v/>
      </c>
      <c r="U69" s="37" t="str">
        <f ca="1">IFERROR(+IF(U$29=ProposalToGnatt[[#This Row],[Start Date]],Milestone_Marker,IF(AND(U$29&gt;ProposalToGnatt[[#This Row],[Start Date]],U$29&lt;ProposalToGnatt[[#This Row],[Start Date]]+ProposalToGnatt[[#This Row],[Days]]),$G$5,"")),"")</f>
        <v/>
      </c>
      <c r="V69" s="37" t="str">
        <f ca="1">IFERROR(+IF(V$29=ProposalToGnatt[[#This Row],[Start Date]],Milestone_Marker,IF(AND(V$29&gt;ProposalToGnatt[[#This Row],[Start Date]],V$29&lt;ProposalToGnatt[[#This Row],[Start Date]]+ProposalToGnatt[[#This Row],[Days]]),$G$5,"")),"")</f>
        <v/>
      </c>
      <c r="W69" s="37" t="str">
        <f ca="1">IFERROR(+IF(W$29=ProposalToGnatt[[#This Row],[Start Date]],Milestone_Marker,IF(AND(W$29&gt;ProposalToGnatt[[#This Row],[Start Date]],W$29&lt;ProposalToGnatt[[#This Row],[Start Date]]+ProposalToGnatt[[#This Row],[Days]]),$G$5,"")),"")</f>
        <v/>
      </c>
      <c r="X69" s="37" t="str">
        <f ca="1">IFERROR(+IF(X$29=ProposalToGnatt[[#This Row],[Start Date]],Milestone_Marker,IF(AND(X$29&gt;ProposalToGnatt[[#This Row],[Start Date]],X$29&lt;ProposalToGnatt[[#This Row],[Start Date]]+ProposalToGnatt[[#This Row],[Days]]),$G$5,"")),"")</f>
        <v/>
      </c>
      <c r="Y69" s="37" t="str">
        <f ca="1">IFERROR(+IF(Y$29=ProposalToGnatt[[#This Row],[Start Date]],Milestone_Marker,IF(AND(Y$29&gt;ProposalToGnatt[[#This Row],[Start Date]],Y$29&lt;ProposalToGnatt[[#This Row],[Start Date]]+ProposalToGnatt[[#This Row],[Days]]),$G$5,"")),"")</f>
        <v/>
      </c>
      <c r="Z69" s="37" t="str">
        <f ca="1">IFERROR(+IF(Z$29=ProposalToGnatt[[#This Row],[Start Date]],Milestone_Marker,IF(AND(Z$29&gt;ProposalToGnatt[[#This Row],[Start Date]],Z$29&lt;ProposalToGnatt[[#This Row],[Start Date]]+ProposalToGnatt[[#This Row],[Days]]),$G$5,"")),"")</f>
        <v/>
      </c>
      <c r="AA69" s="37" t="str">
        <f ca="1">IFERROR(+IF(AA$29=ProposalToGnatt[[#This Row],[Start Date]],Milestone_Marker,IF(AND(AA$29&gt;ProposalToGnatt[[#This Row],[Start Date]],AA$29&lt;ProposalToGnatt[[#This Row],[Start Date]]+ProposalToGnatt[[#This Row],[Days]]),$G$5,"")),"")</f>
        <v/>
      </c>
      <c r="AB69" s="37" t="str">
        <f ca="1">IFERROR(+IF(AB$29=ProposalToGnatt[[#This Row],[Start Date]],Milestone_Marker,IF(AND(AB$29&gt;ProposalToGnatt[[#This Row],[Start Date]],AB$29&lt;ProposalToGnatt[[#This Row],[Start Date]]+ProposalToGnatt[[#This Row],[Days]]),$G$5,"")),"")</f>
        <v/>
      </c>
      <c r="AC69" s="37" t="str">
        <f ca="1">IFERROR(+IF(AC$29=ProposalToGnatt[[#This Row],[Start Date]],Milestone_Marker,IF(AND(AC$29&gt;ProposalToGnatt[[#This Row],[Start Date]],AC$29&lt;ProposalToGnatt[[#This Row],[Start Date]]+ProposalToGnatt[[#This Row],[Days]]),$G$5,"")),"")</f>
        <v/>
      </c>
      <c r="AD69" s="37" t="str">
        <f ca="1">IFERROR(+IF(AD$29=ProposalToGnatt[[#This Row],[Start Date]],Milestone_Marker,IF(AND(AD$29&gt;ProposalToGnatt[[#This Row],[Start Date]],AD$29&lt;ProposalToGnatt[[#This Row],[Start Date]]+ProposalToGnatt[[#This Row],[Days]]),$G$5,"")),"")</f>
        <v/>
      </c>
      <c r="AE69" s="37" t="str">
        <f ca="1">IFERROR(+IF(AE$29=ProposalToGnatt[[#This Row],[Start Date]],Milestone_Marker,IF(AND(AE$29&gt;ProposalToGnatt[[#This Row],[Start Date]],AE$29&lt;ProposalToGnatt[[#This Row],[Start Date]]+ProposalToGnatt[[#This Row],[Days]]),$G$5,"")),"")</f>
        <v/>
      </c>
      <c r="AF69" s="37" t="str">
        <f ca="1">IFERROR(+IF(AF$29=ProposalToGnatt[[#This Row],[Start Date]],Milestone_Marker,IF(AND(AF$29&gt;ProposalToGnatt[[#This Row],[Start Date]],AF$29&lt;ProposalToGnatt[[#This Row],[Start Date]]+ProposalToGnatt[[#This Row],[Days]]),$G$5,"")),"")</f>
        <v/>
      </c>
      <c r="AG69" s="37" t="str">
        <f ca="1">IFERROR(+IF(AG$29=ProposalToGnatt[[#This Row],[Start Date]],Milestone_Marker,IF(AND(AG$29&gt;ProposalToGnatt[[#This Row],[Start Date]],AG$29&lt;ProposalToGnatt[[#This Row],[Start Date]]+ProposalToGnatt[[#This Row],[Days]]),$G$5,"")),"")</f>
        <v/>
      </c>
      <c r="AH69" s="37" t="str">
        <f ca="1">IFERROR(+IF(AH$29=ProposalToGnatt[[#This Row],[Start Date]],Milestone_Marker,IF(AND(AH$29&gt;ProposalToGnatt[[#This Row],[Start Date]],AH$29&lt;ProposalToGnatt[[#This Row],[Start Date]]+ProposalToGnatt[[#This Row],[Days]]),$G$5,"")),"")</f>
        <v/>
      </c>
      <c r="AI69" s="37" t="str">
        <f ca="1">IFERROR(+IF(AI$29=ProposalToGnatt[[#This Row],[Start Date]],Milestone_Marker,IF(AND(AI$29&gt;ProposalToGnatt[[#This Row],[Start Date]],AI$29&lt;ProposalToGnatt[[#This Row],[Start Date]]+ProposalToGnatt[[#This Row],[Days]]),$G$5,"")),"")</f>
        <v/>
      </c>
      <c r="AJ69" s="37" t="str">
        <f ca="1">IFERROR(+IF(AJ$29=ProposalToGnatt[[#This Row],[Start Date]],Milestone_Marker,IF(AND(AJ$29&gt;ProposalToGnatt[[#This Row],[Start Date]],AJ$29&lt;ProposalToGnatt[[#This Row],[Start Date]]+ProposalToGnatt[[#This Row],[Days]]),$G$5,"")),"")</f>
        <v/>
      </c>
      <c r="AK69" s="37" t="str">
        <f ca="1">IFERROR(+IF(AK$29=ProposalToGnatt[[#This Row],[Start Date]],Milestone_Marker,IF(AND(AK$29&gt;ProposalToGnatt[[#This Row],[Start Date]],AK$29&lt;ProposalToGnatt[[#This Row],[Start Date]]+ProposalToGnatt[[#This Row],[Days]]),$G$5,"")),"")</f>
        <v/>
      </c>
      <c r="AL69" s="37" t="str">
        <f ca="1">IFERROR(+IF(AL$29=ProposalToGnatt[[#This Row],[Start Date]],Milestone_Marker,IF(AND(AL$29&gt;ProposalToGnatt[[#This Row],[Start Date]],AL$29&lt;ProposalToGnatt[[#This Row],[Start Date]]+ProposalToGnatt[[#This Row],[Days]]),$G$5,"")),"")</f>
        <v/>
      </c>
      <c r="AM69" s="37" t="str">
        <f ca="1">IFERROR(+IF(AM$29=ProposalToGnatt[[#This Row],[Start Date]],Milestone_Marker,IF(AND(AM$29&gt;ProposalToGnatt[[#This Row],[Start Date]],AM$29&lt;ProposalToGnatt[[#This Row],[Start Date]]+ProposalToGnatt[[#This Row],[Days]]),$G$5,"")),"")</f>
        <v/>
      </c>
      <c r="AN69" s="37" t="str">
        <f ca="1">IFERROR(+IF(AN$29=ProposalToGnatt[[#This Row],[Start Date]],Milestone_Marker,IF(AND(AN$29&gt;ProposalToGnatt[[#This Row],[Start Date]],AN$29&lt;ProposalToGnatt[[#This Row],[Start Date]]+ProposalToGnatt[[#This Row],[Days]]),$G$5,"")),"")</f>
        <v/>
      </c>
      <c r="AO69" s="37" t="str">
        <f ca="1">IFERROR(+IF(AO$29=ProposalToGnatt[[#This Row],[Start Date]],Milestone_Marker,IF(AND(AO$29&gt;ProposalToGnatt[[#This Row],[Start Date]],AO$29&lt;ProposalToGnatt[[#This Row],[Start Date]]+ProposalToGnatt[[#This Row],[Days]]),$G$5,"")),"")</f>
        <v/>
      </c>
      <c r="AP69" s="37" t="str">
        <f ca="1">IFERROR(+IF(AP$29=ProposalToGnatt[[#This Row],[Start Date]],Milestone_Marker,IF(AND(AP$29&gt;ProposalToGnatt[[#This Row],[Start Date]],AP$29&lt;ProposalToGnatt[[#This Row],[Start Date]]+ProposalToGnatt[[#This Row],[Days]]),$G$5,"")),"")</f>
        <v/>
      </c>
      <c r="AQ69" s="37" t="str">
        <f ca="1">IFERROR(+IF(AQ$29=ProposalToGnatt[[#This Row],[Start Date]],Milestone_Marker,IF(AND(AQ$29&gt;ProposalToGnatt[[#This Row],[Start Date]],AQ$29&lt;ProposalToGnatt[[#This Row],[Start Date]]+ProposalToGnatt[[#This Row],[Days]]),$G$5,"")),"")</f>
        <v/>
      </c>
      <c r="AR69" s="37" t="str">
        <f ca="1">IFERROR(+IF(AR$29=ProposalToGnatt[[#This Row],[Start Date]],Milestone_Marker,IF(AND(AR$29&gt;ProposalToGnatt[[#This Row],[Start Date]],AR$29&lt;ProposalToGnatt[[#This Row],[Start Date]]+ProposalToGnatt[[#This Row],[Days]]),$G$5,"")),"")</f>
        <v/>
      </c>
      <c r="AS69" s="37" t="str">
        <f ca="1">IFERROR(+IF(AS$29=ProposalToGnatt[[#This Row],[Start Date]],Milestone_Marker,IF(AND(AS$29&gt;ProposalToGnatt[[#This Row],[Start Date]],AS$29&lt;ProposalToGnatt[[#This Row],[Start Date]]+ProposalToGnatt[[#This Row],[Days]]),$G$5,"")),"")</f>
        <v/>
      </c>
      <c r="AT69" s="37" t="str">
        <f ca="1">IFERROR(+IF(AT$29=ProposalToGnatt[[#This Row],[Start Date]],Milestone_Marker,IF(AND(AT$29&gt;ProposalToGnatt[[#This Row],[Start Date]],AT$29&lt;ProposalToGnatt[[#This Row],[Start Date]]+ProposalToGnatt[[#This Row],[Days]]),$G$5,"")),"")</f>
        <v/>
      </c>
      <c r="AU69" s="37" t="str">
        <f ca="1">IFERROR(+IF(AU$29=ProposalToGnatt[[#This Row],[Start Date]],Milestone_Marker,IF(AND(AU$29&gt;ProposalToGnatt[[#This Row],[Start Date]],AU$29&lt;ProposalToGnatt[[#This Row],[Start Date]]+ProposalToGnatt[[#This Row],[Days]]),$G$5,"")),"")</f>
        <v/>
      </c>
      <c r="AV69" s="37" t="str">
        <f ca="1">IFERROR(+IF(AV$29=ProposalToGnatt[[#This Row],[Start Date]],Milestone_Marker,IF(AND(AV$29&gt;ProposalToGnatt[[#This Row],[Start Date]],AV$29&lt;ProposalToGnatt[[#This Row],[Start Date]]+ProposalToGnatt[[#This Row],[Days]]),$G$5,"")),"")</f>
        <v/>
      </c>
      <c r="AW69" s="37" t="str">
        <f ca="1">IFERROR(+IF(AW$29=ProposalToGnatt[[#This Row],[Start Date]],Milestone_Marker,IF(AND(AW$29&gt;ProposalToGnatt[[#This Row],[Start Date]],AW$29&lt;ProposalToGnatt[[#This Row],[Start Date]]+ProposalToGnatt[[#This Row],[Days]]),$G$5,"")),"")</f>
        <v/>
      </c>
      <c r="AX69" s="37" t="str">
        <f ca="1">IFERROR(+IF(AX$29=ProposalToGnatt[[#This Row],[Start Date]],Milestone_Marker,IF(AND(AX$29&gt;ProposalToGnatt[[#This Row],[Start Date]],AX$29&lt;ProposalToGnatt[[#This Row],[Start Date]]+ProposalToGnatt[[#This Row],[Days]]),$G$5,"")),"")</f>
        <v/>
      </c>
      <c r="AY69" s="37" t="str">
        <f ca="1">IFERROR(+IF(AY$29=ProposalToGnatt[[#This Row],[Start Date]],Milestone_Marker,IF(AND(AY$29&gt;ProposalToGnatt[[#This Row],[Start Date]],AY$29&lt;ProposalToGnatt[[#This Row],[Start Date]]+ProposalToGnatt[[#This Row],[Days]]),$G$5,"")),"")</f>
        <v/>
      </c>
      <c r="AZ69" s="37" t="str">
        <f ca="1">IFERROR(+IF(AZ$29=ProposalToGnatt[[#This Row],[Start Date]],Milestone_Marker,IF(AND(AZ$29&gt;ProposalToGnatt[[#This Row],[Start Date]],AZ$29&lt;ProposalToGnatt[[#This Row],[Start Date]]+ProposalToGnatt[[#This Row],[Days]]),$G$5,"")),"")</f>
        <v/>
      </c>
      <c r="BA69" s="37" t="str">
        <f ca="1">IFERROR(+IF(BA$29=ProposalToGnatt[[#This Row],[Start Date]],Milestone_Marker,IF(AND(BA$29&gt;ProposalToGnatt[[#This Row],[Start Date]],BA$29&lt;ProposalToGnatt[[#This Row],[Start Date]]+ProposalToGnatt[[#This Row],[Days]]),$G$5,"")),"")</f>
        <v/>
      </c>
      <c r="BB69" s="37" t="str">
        <f ca="1">IFERROR(+IF(BB$29=ProposalToGnatt[[#This Row],[Start Date]],Milestone_Marker,IF(AND(BB$29&gt;ProposalToGnatt[[#This Row],[Start Date]],BB$29&lt;ProposalToGnatt[[#This Row],[Start Date]]+ProposalToGnatt[[#This Row],[Days]]),$G$5,"")),"")</f>
        <v/>
      </c>
      <c r="BC69" s="37" t="str">
        <f ca="1">IFERROR(+IF(BC$29=ProposalToGnatt[[#This Row],[Start Date]],Milestone_Marker,IF(AND(BC$29&gt;ProposalToGnatt[[#This Row],[Start Date]],BC$29&lt;ProposalToGnatt[[#This Row],[Start Date]]+ProposalToGnatt[[#This Row],[Days]]),$G$5,"")),"")</f>
        <v/>
      </c>
      <c r="BD69" s="37" t="str">
        <f ca="1">IFERROR(+IF(BD$29=ProposalToGnatt[[#This Row],[Start Date]],Milestone_Marker,IF(AND(BD$29&gt;ProposalToGnatt[[#This Row],[Start Date]],BD$29&lt;ProposalToGnatt[[#This Row],[Start Date]]+ProposalToGnatt[[#This Row],[Days]]),$G$5,"")),"")</f>
        <v/>
      </c>
      <c r="BE69" s="37" t="str">
        <f ca="1">IFERROR(+IF(BE$29=ProposalToGnatt[[#This Row],[Start Date]],Milestone_Marker,IF(AND(BE$29&gt;ProposalToGnatt[[#This Row],[Start Date]],BE$29&lt;ProposalToGnatt[[#This Row],[Start Date]]+ProposalToGnatt[[#This Row],[Days]]),$G$5,"")),"")</f>
        <v/>
      </c>
      <c r="BF69" s="37" t="str">
        <f ca="1">IFERROR(+IF(BF$29=ProposalToGnatt[[#This Row],[Start Date]],Milestone_Marker,IF(AND(BF$29&gt;ProposalToGnatt[[#This Row],[Start Date]],BF$29&lt;ProposalToGnatt[[#This Row],[Start Date]]+ProposalToGnatt[[#This Row],[Days]]),$G$5,"")),"")</f>
        <v/>
      </c>
      <c r="BG69" s="37" t="str">
        <f ca="1">IFERROR(+IF(BG$29=ProposalToGnatt[[#This Row],[Start Date]],Milestone_Marker,IF(AND(BG$29&gt;ProposalToGnatt[[#This Row],[Start Date]],BG$29&lt;ProposalToGnatt[[#This Row],[Start Date]]+ProposalToGnatt[[#This Row],[Days]]),$G$5,"")),"")</f>
        <v/>
      </c>
      <c r="BH69" s="37" t="str">
        <f ca="1">IFERROR(+IF(BH$29=ProposalToGnatt[[#This Row],[Start Date]],Milestone_Marker,IF(AND(BH$29&gt;ProposalToGnatt[[#This Row],[Start Date]],BH$29&lt;ProposalToGnatt[[#This Row],[Start Date]]+ProposalToGnatt[[#This Row],[Days]]),$G$5,"")),"")</f>
        <v/>
      </c>
      <c r="BI69" s="37" t="str">
        <f ca="1">IFERROR(+IF(BI$29=ProposalToGnatt[[#This Row],[Start Date]],Milestone_Marker,IF(AND(BI$29&gt;ProposalToGnatt[[#This Row],[Start Date]],BI$29&lt;ProposalToGnatt[[#This Row],[Start Date]]+ProposalToGnatt[[#This Row],[Days]]),$G$5,"")),"")</f>
        <v/>
      </c>
      <c r="BJ69" s="37" t="str">
        <f ca="1">IFERROR(+IF(BJ$29=ProposalToGnatt[[#This Row],[Start Date]],Milestone_Marker,IF(AND(BJ$29&gt;ProposalToGnatt[[#This Row],[Start Date]],BJ$29&lt;ProposalToGnatt[[#This Row],[Start Date]]+ProposalToGnatt[[#This Row],[Days]]),$G$5,"")),"")</f>
        <v/>
      </c>
      <c r="BK69" s="37" t="str">
        <f ca="1">IFERROR(+IF(BK$29=ProposalToGnatt[[#This Row],[Start Date]],Milestone_Marker,IF(AND(BK$29&gt;ProposalToGnatt[[#This Row],[Start Date]],BK$29&lt;ProposalToGnatt[[#This Row],[Start Date]]+ProposalToGnatt[[#This Row],[Days]]),$G$5,"")),"")</f>
        <v/>
      </c>
      <c r="BL69" s="37" t="str">
        <f ca="1">IFERROR(+IF(BL$29=ProposalToGnatt[[#This Row],[Start Date]],Milestone_Marker,IF(AND(BL$29&gt;ProposalToGnatt[[#This Row],[Start Date]],BL$29&lt;ProposalToGnatt[[#This Row],[Start Date]]+ProposalToGnatt[[#This Row],[Days]]),$G$5,"")),"")</f>
        <v/>
      </c>
      <c r="BM69" s="37" t="str">
        <f ca="1">IFERROR(+IF(BM$29=ProposalToGnatt[[#This Row],[Start Date]],Milestone_Marker,IF(AND(BM$29&gt;ProposalToGnatt[[#This Row],[Start Date]],BM$29&lt;ProposalToGnatt[[#This Row],[Start Date]]+ProposalToGnatt[[#This Row],[Days]]),$G$5,"")),"")</f>
        <v/>
      </c>
      <c r="BN69" s="37" t="str">
        <f ca="1">IFERROR(+IF(BN$29=ProposalToGnatt[[#This Row],[Start Date]],Milestone_Marker,IF(AND(BN$29&gt;ProposalToGnatt[[#This Row],[Start Date]],BN$29&lt;ProposalToGnatt[[#This Row],[Start Date]]+ProposalToGnatt[[#This Row],[Days]]),$G$5,"")),"")</f>
        <v/>
      </c>
      <c r="BO69" s="37" t="str">
        <f ca="1">IFERROR(+IF(BO$29=ProposalToGnatt[[#This Row],[Start Date]],Milestone_Marker,IF(AND(BO$29&gt;ProposalToGnatt[[#This Row],[Start Date]],BO$29&lt;ProposalToGnatt[[#This Row],[Start Date]]+ProposalToGnatt[[#This Row],[Days]]),$G$5,"")),"")</f>
        <v/>
      </c>
      <c r="BP69" s="37" t="str">
        <f ca="1">IFERROR(+IF(BP$29=ProposalToGnatt[[#This Row],[Start Date]],Milestone_Marker,IF(AND(BP$29&gt;ProposalToGnatt[[#This Row],[Start Date]],BP$29&lt;ProposalToGnatt[[#This Row],[Start Date]]+ProposalToGnatt[[#This Row],[Days]]),$G$5,"")),"")</f>
        <v/>
      </c>
      <c r="BQ69" s="37" t="str">
        <f ca="1">IFERROR(+IF(BQ$29=ProposalToGnatt[[#This Row],[Start Date]],Milestone_Marker,IF(AND(BQ$29&gt;ProposalToGnatt[[#This Row],[Start Date]],BQ$29&lt;ProposalToGnatt[[#This Row],[Start Date]]+ProposalToGnatt[[#This Row],[Days]]),$G$5,"")),"")</f>
        <v/>
      </c>
      <c r="BR69" s="37" t="str">
        <f ca="1">IFERROR(+IF(BR$29=ProposalToGnatt[[#This Row],[Start Date]],Milestone_Marker,IF(AND(BR$29&gt;ProposalToGnatt[[#This Row],[Start Date]],BR$29&lt;ProposalToGnatt[[#This Row],[Start Date]]+ProposalToGnatt[[#This Row],[Days]]),$G$5,"")),"")</f>
        <v/>
      </c>
      <c r="BS69" s="37" t="str">
        <f ca="1">IFERROR(+IF(BS$29=ProposalToGnatt[[#This Row],[Start Date]],Milestone_Marker,IF(AND(BS$29&gt;ProposalToGnatt[[#This Row],[Start Date]],BS$29&lt;ProposalToGnatt[[#This Row],[Start Date]]+ProposalToGnatt[[#This Row],[Days]]),$G$5,"")),"")</f>
        <v/>
      </c>
      <c r="BT69" s="37" t="str">
        <f ca="1">IFERROR(+IF(BT$29=ProposalToGnatt[[#This Row],[Start Date]],Milestone_Marker,IF(AND(BT$29&gt;ProposalToGnatt[[#This Row],[Start Date]],BT$29&lt;ProposalToGnatt[[#This Row],[Start Date]]+ProposalToGnatt[[#This Row],[Days]]),$G$5,"")),"")</f>
        <v/>
      </c>
      <c r="BU69" s="37" t="str">
        <f ca="1">IFERROR(+IF(BU$29=ProposalToGnatt[[#This Row],[Start Date]],Milestone_Marker,IF(AND(BU$29&gt;ProposalToGnatt[[#This Row],[Start Date]],BU$29&lt;ProposalToGnatt[[#This Row],[Start Date]]+ProposalToGnatt[[#This Row],[Days]]),$G$5,"")),"")</f>
        <v/>
      </c>
      <c r="BV69" s="37" t="str">
        <f ca="1">IFERROR(+IF(BV$29=ProposalToGnatt[[#This Row],[Start Date]],Milestone_Marker,IF(AND(BV$29&gt;ProposalToGnatt[[#This Row],[Start Date]],BV$29&lt;ProposalToGnatt[[#This Row],[Start Date]]+ProposalToGnatt[[#This Row],[Days]]),$G$5,"")),"")</f>
        <v/>
      </c>
      <c r="BW69" s="37" t="str">
        <f ca="1">IFERROR(+IF(BW$29=ProposalToGnatt[[#This Row],[Start Date]],Milestone_Marker,IF(AND(BW$29&gt;ProposalToGnatt[[#This Row],[Start Date]],BW$29&lt;ProposalToGnatt[[#This Row],[Start Date]]+ProposalToGnatt[[#This Row],[Days]]),$G$5,"")),"")</f>
        <v/>
      </c>
      <c r="BX69" s="37" t="str">
        <f ca="1">IFERROR(+IF(BX$29=ProposalToGnatt[[#This Row],[Start Date]],Milestone_Marker,IF(AND(BX$29&gt;ProposalToGnatt[[#This Row],[Start Date]],BX$29&lt;ProposalToGnatt[[#This Row],[Start Date]]+ProposalToGnatt[[#This Row],[Days]]),$G$5,"")),"")</f>
        <v/>
      </c>
      <c r="BY69" s="37" t="str">
        <f ca="1">IFERROR(+IF(BY$29=ProposalToGnatt[[#This Row],[Start Date]],Milestone_Marker,IF(AND(BY$29&gt;ProposalToGnatt[[#This Row],[Start Date]],BY$29&lt;ProposalToGnatt[[#This Row],[Start Date]]+ProposalToGnatt[[#This Row],[Days]]),$G$5,"")),"")</f>
        <v/>
      </c>
      <c r="BZ69" s="37" t="str">
        <f ca="1">IFERROR(+IF(BZ$29=ProposalToGnatt[[#This Row],[Start Date]],Milestone_Marker,IF(AND(BZ$29&gt;ProposalToGnatt[[#This Row],[Start Date]],BZ$29&lt;ProposalToGnatt[[#This Row],[Start Date]]+ProposalToGnatt[[#This Row],[Days]]),$G$5,"")),"")</f>
        <v/>
      </c>
      <c r="CA69" s="37" t="str">
        <f ca="1">IFERROR(+IF(CA$29=ProposalToGnatt[[#This Row],[Start Date]],Milestone_Marker,IF(AND(CA$29&gt;ProposalToGnatt[[#This Row],[Start Date]],CA$29&lt;ProposalToGnatt[[#This Row],[Start Date]]+ProposalToGnatt[[#This Row],[Days]]),$G$5,"")),"")</f>
        <v/>
      </c>
      <c r="CB69" s="37" t="str">
        <f ca="1">IFERROR(+IF(CB$29=ProposalToGnatt[[#This Row],[Start Date]],Milestone_Marker,IF(AND(CB$29&gt;ProposalToGnatt[[#This Row],[Start Date]],CB$29&lt;ProposalToGnatt[[#This Row],[Start Date]]+ProposalToGnatt[[#This Row],[Days]]),$G$5,"")),"")</f>
        <v/>
      </c>
      <c r="CC69" s="37" t="str">
        <f ca="1">IFERROR(+IF(CC$29=ProposalToGnatt[[#This Row],[Start Date]],Milestone_Marker,IF(AND(CC$29&gt;ProposalToGnatt[[#This Row],[Start Date]],CC$29&lt;ProposalToGnatt[[#This Row],[Start Date]]+ProposalToGnatt[[#This Row],[Days]]),$G$5,"")),"")</f>
        <v/>
      </c>
      <c r="CD69" s="37" t="str">
        <f ca="1">IFERROR(+IF(CD$29=ProposalToGnatt[[#This Row],[Start Date]],Milestone_Marker,IF(AND(CD$29&gt;ProposalToGnatt[[#This Row],[Start Date]],CD$29&lt;ProposalToGnatt[[#This Row],[Start Date]]+ProposalToGnatt[[#This Row],[Days]]),$G$5,"")),"")</f>
        <v/>
      </c>
      <c r="CE69" s="37" t="str">
        <f ca="1">IFERROR(+IF(CE$29=ProposalToGnatt[[#This Row],[Start Date]],Milestone_Marker,IF(AND(CE$29&gt;ProposalToGnatt[[#This Row],[Start Date]],CE$29&lt;ProposalToGnatt[[#This Row],[Start Date]]+ProposalToGnatt[[#This Row],[Days]]),$G$5,"")),"")</f>
        <v/>
      </c>
      <c r="CF69" s="37" t="str">
        <f ca="1">IFERROR(+IF(CF$29=ProposalToGnatt[[#This Row],[Start Date]],Milestone_Marker,IF(AND(CF$29&gt;ProposalToGnatt[[#This Row],[Start Date]],CF$29&lt;ProposalToGnatt[[#This Row],[Start Date]]+ProposalToGnatt[[#This Row],[Days]]),$G$5,"")),"")</f>
        <v/>
      </c>
      <c r="CG69" s="37" t="str">
        <f ca="1">IFERROR(+IF(CG$29=ProposalToGnatt[[#This Row],[Start Date]],Milestone_Marker,IF(AND(CG$29&gt;ProposalToGnatt[[#This Row],[Start Date]],CG$29&lt;ProposalToGnatt[[#This Row],[Start Date]]+ProposalToGnatt[[#This Row],[Days]]),$G$5,"")),"")</f>
        <v/>
      </c>
      <c r="CH69" s="37" t="str">
        <f ca="1">IFERROR(+IF(CH$29=ProposalToGnatt[[#This Row],[Start Date]],Milestone_Marker,IF(AND(CH$29&gt;ProposalToGnatt[[#This Row],[Start Date]],CH$29&lt;ProposalToGnatt[[#This Row],[Start Date]]+ProposalToGnatt[[#This Row],[Days]]),$G$5,"")),"")</f>
        <v/>
      </c>
      <c r="CI69" s="37" t="str">
        <f ca="1">IFERROR(+IF(CI$29=ProposalToGnatt[[#This Row],[Start Date]],Milestone_Marker,IF(AND(CI$29&gt;ProposalToGnatt[[#This Row],[Start Date]],CI$29&lt;ProposalToGnatt[[#This Row],[Start Date]]+ProposalToGnatt[[#This Row],[Days]]),$G$5,"")),"")</f>
        <v/>
      </c>
      <c r="CJ69" s="37" t="str">
        <f ca="1">IFERROR(+IF(CJ$29=ProposalToGnatt[[#This Row],[Start Date]],Milestone_Marker,IF(AND(CJ$29&gt;ProposalToGnatt[[#This Row],[Start Date]],CJ$29&lt;ProposalToGnatt[[#This Row],[Start Date]]+ProposalToGnatt[[#This Row],[Days]]),$G$5,"")),"")</f>
        <v/>
      </c>
      <c r="CK69" s="37" t="str">
        <f ca="1">IFERROR(+IF(CK$29=ProposalToGnatt[[#This Row],[Start Date]],Milestone_Marker,IF(AND(CK$29&gt;ProposalToGnatt[[#This Row],[Start Date]],CK$29&lt;ProposalToGnatt[[#This Row],[Start Date]]+ProposalToGnatt[[#This Row],[Days]]),$G$5,"")),"")</f>
        <v/>
      </c>
      <c r="CL69" s="37" t="str">
        <f ca="1">IFERROR(+IF(CL$29=ProposalToGnatt[[#This Row],[Start Date]],Milestone_Marker,IF(AND(CL$29&gt;ProposalToGnatt[[#This Row],[Start Date]],CL$29&lt;ProposalToGnatt[[#This Row],[Start Date]]+ProposalToGnatt[[#This Row],[Days]]),$G$5,"")),"")</f>
        <v/>
      </c>
      <c r="CM69" s="37" t="str">
        <f ca="1">IFERROR(+IF(CM$29=ProposalToGnatt[[#This Row],[Start Date]],Milestone_Marker,IF(AND(CM$29&gt;ProposalToGnatt[[#This Row],[Start Date]],CM$29&lt;ProposalToGnatt[[#This Row],[Start Date]]+ProposalToGnatt[[#This Row],[Days]]),$G$5,"")),"")</f>
        <v/>
      </c>
      <c r="CN69" s="37" t="str">
        <f ca="1">IFERROR(+IF(CN$29=ProposalToGnatt[[#This Row],[Start Date]],Milestone_Marker,IF(AND(CN$29&gt;ProposalToGnatt[[#This Row],[Start Date]],CN$29&lt;ProposalToGnatt[[#This Row],[Start Date]]+ProposalToGnatt[[#This Row],[Days]]),$G$5,"")),"")</f>
        <v/>
      </c>
      <c r="CO69" s="37" t="str">
        <f ca="1">IFERROR(+IF(CO$29=ProposalToGnatt[[#This Row],[Start Date]],Milestone_Marker,IF(AND(CO$29&gt;ProposalToGnatt[[#This Row],[Start Date]],CO$29&lt;ProposalToGnatt[[#This Row],[Start Date]]+ProposalToGnatt[[#This Row],[Days]]),$G$5,"")),"")</f>
        <v/>
      </c>
      <c r="CP69" s="37" t="str">
        <f ca="1">IFERROR(+IF(CP$29=ProposalToGnatt[[#This Row],[Start Date]],Milestone_Marker,IF(AND(CP$29&gt;ProposalToGnatt[[#This Row],[Start Date]],CP$29&lt;ProposalToGnatt[[#This Row],[Start Date]]+ProposalToGnatt[[#This Row],[Days]]),$G$5,"")),"")</f>
        <v/>
      </c>
      <c r="CQ69" s="37" t="str">
        <f ca="1">IFERROR(+IF(CQ$29=ProposalToGnatt[[#This Row],[Start Date]],Milestone_Marker,IF(AND(CQ$29&gt;ProposalToGnatt[[#This Row],[Start Date]],CQ$29&lt;ProposalToGnatt[[#This Row],[Start Date]]+ProposalToGnatt[[#This Row],[Days]]),$G$5,"")),"")</f>
        <v/>
      </c>
      <c r="CR69" s="37" t="str">
        <f ca="1">IFERROR(+IF(CR$29=ProposalToGnatt[[#This Row],[Start Date]],Milestone_Marker,IF(AND(CR$29&gt;ProposalToGnatt[[#This Row],[Start Date]],CR$29&lt;ProposalToGnatt[[#This Row],[Start Date]]+ProposalToGnatt[[#This Row],[Days]]),$G$5,"")),"")</f>
        <v/>
      </c>
      <c r="CS69" s="37" t="str">
        <f ca="1">IFERROR(+IF(CS$29=ProposalToGnatt[[#This Row],[Start Date]],Milestone_Marker,IF(AND(CS$29&gt;ProposalToGnatt[[#This Row],[Start Date]],CS$29&lt;ProposalToGnatt[[#This Row],[Start Date]]+ProposalToGnatt[[#This Row],[Days]]),$G$5,"")),"")</f>
        <v/>
      </c>
      <c r="CT69" s="37" t="str">
        <f ca="1">IFERROR(+IF(CT$29=ProposalToGnatt[[#This Row],[Start Date]],Milestone_Marker,IF(AND(CT$29&gt;ProposalToGnatt[[#This Row],[Start Date]],CT$29&lt;ProposalToGnatt[[#This Row],[Start Date]]+ProposalToGnatt[[#This Row],[Days]]),$G$5,"")),"")</f>
        <v/>
      </c>
      <c r="CU69" s="37" t="str">
        <f ca="1">IFERROR(+IF(CU$29=ProposalToGnatt[[#This Row],[Start Date]],Milestone_Marker,IF(AND(CU$29&gt;ProposalToGnatt[[#This Row],[Start Date]],CU$29&lt;ProposalToGnatt[[#This Row],[Start Date]]+ProposalToGnatt[[#This Row],[Days]]),$G$5,"")),"")</f>
        <v/>
      </c>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row>
    <row r="70" spans="1:125" s="42" customFormat="1" ht="15" customHeight="1">
      <c r="A70"/>
      <c r="B70"/>
      <c r="C70"/>
      <c r="D70"/>
      <c r="E70"/>
      <c r="F70"/>
      <c r="G70" s="11"/>
      <c r="H70" s="26"/>
      <c r="I70"/>
      <c r="J70"/>
      <c r="K70" s="363"/>
      <c r="L70"/>
      <c r="M70"/>
      <c r="N70"/>
      <c r="O70" s="26"/>
      <c r="P70" s="37" t="str">
        <f ca="1">IFERROR(+IF(P$29=ProposalToGnatt[[#This Row],[Start Date]],Milestone_Marker,IF(AND(P$29&gt;ProposalToGnatt[[#This Row],[Start Date]],P$29&lt;ProposalToGnatt[[#This Row],[Start Date]]+ProposalToGnatt[[#This Row],[Days]]),$G$5,"")),"")</f>
        <v/>
      </c>
      <c r="Q70" s="37" t="str">
        <f ca="1">IFERROR(+IF(Q$29=ProposalToGnatt[[#This Row],[Start Date]],Milestone_Marker,IF(AND(Q$29&gt;ProposalToGnatt[[#This Row],[Start Date]],Q$29&lt;ProposalToGnatt[[#This Row],[Start Date]]+ProposalToGnatt[[#This Row],[Days]]),$G$5,"")),"")</f>
        <v/>
      </c>
      <c r="R70" s="37" t="str">
        <f ca="1">IFERROR(+IF(R$29=ProposalToGnatt[[#This Row],[Start Date]],Milestone_Marker,IF(AND(R$29&gt;ProposalToGnatt[[#This Row],[Start Date]],R$29&lt;ProposalToGnatt[[#This Row],[Start Date]]+ProposalToGnatt[[#This Row],[Days]]),$G$5,"")),"")</f>
        <v/>
      </c>
      <c r="S70" s="37" t="str">
        <f ca="1">IFERROR(+IF(S$29=ProposalToGnatt[[#This Row],[Start Date]],Milestone_Marker,IF(AND(S$29&gt;ProposalToGnatt[[#This Row],[Start Date]],S$29&lt;ProposalToGnatt[[#This Row],[Start Date]]+ProposalToGnatt[[#This Row],[Days]]),$G$5,"")),"")</f>
        <v/>
      </c>
      <c r="T70" s="37" t="str">
        <f ca="1">IFERROR(+IF(T$29=ProposalToGnatt[[#This Row],[Start Date]],Milestone_Marker,IF(AND(T$29&gt;ProposalToGnatt[[#This Row],[Start Date]],T$29&lt;ProposalToGnatt[[#This Row],[Start Date]]+ProposalToGnatt[[#This Row],[Days]]),$G$5,"")),"")</f>
        <v/>
      </c>
      <c r="U70" s="37" t="str">
        <f ca="1">IFERROR(+IF(U$29=ProposalToGnatt[[#This Row],[Start Date]],Milestone_Marker,IF(AND(U$29&gt;ProposalToGnatt[[#This Row],[Start Date]],U$29&lt;ProposalToGnatt[[#This Row],[Start Date]]+ProposalToGnatt[[#This Row],[Days]]),$G$5,"")),"")</f>
        <v/>
      </c>
      <c r="V70" s="37" t="str">
        <f ca="1">IFERROR(+IF(V$29=ProposalToGnatt[[#This Row],[Start Date]],Milestone_Marker,IF(AND(V$29&gt;ProposalToGnatt[[#This Row],[Start Date]],V$29&lt;ProposalToGnatt[[#This Row],[Start Date]]+ProposalToGnatt[[#This Row],[Days]]),$G$5,"")),"")</f>
        <v/>
      </c>
      <c r="W70" s="37" t="str">
        <f ca="1">IFERROR(+IF(W$29=ProposalToGnatt[[#This Row],[Start Date]],Milestone_Marker,IF(AND(W$29&gt;ProposalToGnatt[[#This Row],[Start Date]],W$29&lt;ProposalToGnatt[[#This Row],[Start Date]]+ProposalToGnatt[[#This Row],[Days]]),$G$5,"")),"")</f>
        <v/>
      </c>
      <c r="X70" s="37" t="str">
        <f ca="1">IFERROR(+IF(X$29=ProposalToGnatt[[#This Row],[Start Date]],Milestone_Marker,IF(AND(X$29&gt;ProposalToGnatt[[#This Row],[Start Date]],X$29&lt;ProposalToGnatt[[#This Row],[Start Date]]+ProposalToGnatt[[#This Row],[Days]]),$G$5,"")),"")</f>
        <v/>
      </c>
      <c r="Y70" s="37" t="str">
        <f ca="1">IFERROR(+IF(Y$29=ProposalToGnatt[[#This Row],[Start Date]],Milestone_Marker,IF(AND(Y$29&gt;ProposalToGnatt[[#This Row],[Start Date]],Y$29&lt;ProposalToGnatt[[#This Row],[Start Date]]+ProposalToGnatt[[#This Row],[Days]]),$G$5,"")),"")</f>
        <v/>
      </c>
      <c r="Z70" s="37" t="str">
        <f ca="1">IFERROR(+IF(Z$29=ProposalToGnatt[[#This Row],[Start Date]],Milestone_Marker,IF(AND(Z$29&gt;ProposalToGnatt[[#This Row],[Start Date]],Z$29&lt;ProposalToGnatt[[#This Row],[Start Date]]+ProposalToGnatt[[#This Row],[Days]]),$G$5,"")),"")</f>
        <v/>
      </c>
      <c r="AA70" s="37" t="str">
        <f ca="1">IFERROR(+IF(AA$29=ProposalToGnatt[[#This Row],[Start Date]],Milestone_Marker,IF(AND(AA$29&gt;ProposalToGnatt[[#This Row],[Start Date]],AA$29&lt;ProposalToGnatt[[#This Row],[Start Date]]+ProposalToGnatt[[#This Row],[Days]]),$G$5,"")),"")</f>
        <v/>
      </c>
      <c r="AB70" s="37" t="str">
        <f ca="1">IFERROR(+IF(AB$29=ProposalToGnatt[[#This Row],[Start Date]],Milestone_Marker,IF(AND(AB$29&gt;ProposalToGnatt[[#This Row],[Start Date]],AB$29&lt;ProposalToGnatt[[#This Row],[Start Date]]+ProposalToGnatt[[#This Row],[Days]]),$G$5,"")),"")</f>
        <v/>
      </c>
      <c r="AC70" s="37" t="str">
        <f ca="1">IFERROR(+IF(AC$29=ProposalToGnatt[[#This Row],[Start Date]],Milestone_Marker,IF(AND(AC$29&gt;ProposalToGnatt[[#This Row],[Start Date]],AC$29&lt;ProposalToGnatt[[#This Row],[Start Date]]+ProposalToGnatt[[#This Row],[Days]]),$G$5,"")),"")</f>
        <v/>
      </c>
      <c r="AD70" s="37" t="str">
        <f ca="1">IFERROR(+IF(AD$29=ProposalToGnatt[[#This Row],[Start Date]],Milestone_Marker,IF(AND(AD$29&gt;ProposalToGnatt[[#This Row],[Start Date]],AD$29&lt;ProposalToGnatt[[#This Row],[Start Date]]+ProposalToGnatt[[#This Row],[Days]]),$G$5,"")),"")</f>
        <v/>
      </c>
      <c r="AE70" s="37" t="str">
        <f ca="1">IFERROR(+IF(AE$29=ProposalToGnatt[[#This Row],[Start Date]],Milestone_Marker,IF(AND(AE$29&gt;ProposalToGnatt[[#This Row],[Start Date]],AE$29&lt;ProposalToGnatt[[#This Row],[Start Date]]+ProposalToGnatt[[#This Row],[Days]]),$G$5,"")),"")</f>
        <v/>
      </c>
      <c r="AF70" s="37" t="str">
        <f ca="1">IFERROR(+IF(AF$29=ProposalToGnatt[[#This Row],[Start Date]],Milestone_Marker,IF(AND(AF$29&gt;ProposalToGnatt[[#This Row],[Start Date]],AF$29&lt;ProposalToGnatt[[#This Row],[Start Date]]+ProposalToGnatt[[#This Row],[Days]]),$G$5,"")),"")</f>
        <v/>
      </c>
      <c r="AG70" s="37" t="str">
        <f ca="1">IFERROR(+IF(AG$29=ProposalToGnatt[[#This Row],[Start Date]],Milestone_Marker,IF(AND(AG$29&gt;ProposalToGnatt[[#This Row],[Start Date]],AG$29&lt;ProposalToGnatt[[#This Row],[Start Date]]+ProposalToGnatt[[#This Row],[Days]]),$G$5,"")),"")</f>
        <v/>
      </c>
      <c r="AH70" s="37" t="str">
        <f ca="1">IFERROR(+IF(AH$29=ProposalToGnatt[[#This Row],[Start Date]],Milestone_Marker,IF(AND(AH$29&gt;ProposalToGnatt[[#This Row],[Start Date]],AH$29&lt;ProposalToGnatt[[#This Row],[Start Date]]+ProposalToGnatt[[#This Row],[Days]]),$G$5,"")),"")</f>
        <v/>
      </c>
      <c r="AI70" s="37" t="str">
        <f ca="1">IFERROR(+IF(AI$29=ProposalToGnatt[[#This Row],[Start Date]],Milestone_Marker,IF(AND(AI$29&gt;ProposalToGnatt[[#This Row],[Start Date]],AI$29&lt;ProposalToGnatt[[#This Row],[Start Date]]+ProposalToGnatt[[#This Row],[Days]]),$G$5,"")),"")</f>
        <v/>
      </c>
      <c r="AJ70" s="37" t="str">
        <f ca="1">IFERROR(+IF(AJ$29=ProposalToGnatt[[#This Row],[Start Date]],Milestone_Marker,IF(AND(AJ$29&gt;ProposalToGnatt[[#This Row],[Start Date]],AJ$29&lt;ProposalToGnatt[[#This Row],[Start Date]]+ProposalToGnatt[[#This Row],[Days]]),$G$5,"")),"")</f>
        <v/>
      </c>
      <c r="AK70" s="37" t="str">
        <f ca="1">IFERROR(+IF(AK$29=ProposalToGnatt[[#This Row],[Start Date]],Milestone_Marker,IF(AND(AK$29&gt;ProposalToGnatt[[#This Row],[Start Date]],AK$29&lt;ProposalToGnatt[[#This Row],[Start Date]]+ProposalToGnatt[[#This Row],[Days]]),$G$5,"")),"")</f>
        <v/>
      </c>
      <c r="AL70" s="37" t="str">
        <f ca="1">IFERROR(+IF(AL$29=ProposalToGnatt[[#This Row],[Start Date]],Milestone_Marker,IF(AND(AL$29&gt;ProposalToGnatt[[#This Row],[Start Date]],AL$29&lt;ProposalToGnatt[[#This Row],[Start Date]]+ProposalToGnatt[[#This Row],[Days]]),$G$5,"")),"")</f>
        <v/>
      </c>
      <c r="AM70" s="37" t="str">
        <f ca="1">IFERROR(+IF(AM$29=ProposalToGnatt[[#This Row],[Start Date]],Milestone_Marker,IF(AND(AM$29&gt;ProposalToGnatt[[#This Row],[Start Date]],AM$29&lt;ProposalToGnatt[[#This Row],[Start Date]]+ProposalToGnatt[[#This Row],[Days]]),$G$5,"")),"")</f>
        <v/>
      </c>
      <c r="AN70" s="37" t="str">
        <f ca="1">IFERROR(+IF(AN$29=ProposalToGnatt[[#This Row],[Start Date]],Milestone_Marker,IF(AND(AN$29&gt;ProposalToGnatt[[#This Row],[Start Date]],AN$29&lt;ProposalToGnatt[[#This Row],[Start Date]]+ProposalToGnatt[[#This Row],[Days]]),$G$5,"")),"")</f>
        <v/>
      </c>
      <c r="AO70" s="37" t="str">
        <f ca="1">IFERROR(+IF(AO$29=ProposalToGnatt[[#This Row],[Start Date]],Milestone_Marker,IF(AND(AO$29&gt;ProposalToGnatt[[#This Row],[Start Date]],AO$29&lt;ProposalToGnatt[[#This Row],[Start Date]]+ProposalToGnatt[[#This Row],[Days]]),$G$5,"")),"")</f>
        <v/>
      </c>
      <c r="AP70" s="37" t="str">
        <f ca="1">IFERROR(+IF(AP$29=ProposalToGnatt[[#This Row],[Start Date]],Milestone_Marker,IF(AND(AP$29&gt;ProposalToGnatt[[#This Row],[Start Date]],AP$29&lt;ProposalToGnatt[[#This Row],[Start Date]]+ProposalToGnatt[[#This Row],[Days]]),$G$5,"")),"")</f>
        <v/>
      </c>
      <c r="AQ70" s="37" t="str">
        <f ca="1">IFERROR(+IF(AQ$29=ProposalToGnatt[[#This Row],[Start Date]],Milestone_Marker,IF(AND(AQ$29&gt;ProposalToGnatt[[#This Row],[Start Date]],AQ$29&lt;ProposalToGnatt[[#This Row],[Start Date]]+ProposalToGnatt[[#This Row],[Days]]),$G$5,"")),"")</f>
        <v/>
      </c>
      <c r="AR70" s="37" t="str">
        <f ca="1">IFERROR(+IF(AR$29=ProposalToGnatt[[#This Row],[Start Date]],Milestone_Marker,IF(AND(AR$29&gt;ProposalToGnatt[[#This Row],[Start Date]],AR$29&lt;ProposalToGnatt[[#This Row],[Start Date]]+ProposalToGnatt[[#This Row],[Days]]),$G$5,"")),"")</f>
        <v/>
      </c>
      <c r="AS70" s="37" t="str">
        <f ca="1">IFERROR(+IF(AS$29=ProposalToGnatt[[#This Row],[Start Date]],Milestone_Marker,IF(AND(AS$29&gt;ProposalToGnatt[[#This Row],[Start Date]],AS$29&lt;ProposalToGnatt[[#This Row],[Start Date]]+ProposalToGnatt[[#This Row],[Days]]),$G$5,"")),"")</f>
        <v/>
      </c>
      <c r="AT70" s="37" t="str">
        <f ca="1">IFERROR(+IF(AT$29=ProposalToGnatt[[#This Row],[Start Date]],Milestone_Marker,IF(AND(AT$29&gt;ProposalToGnatt[[#This Row],[Start Date]],AT$29&lt;ProposalToGnatt[[#This Row],[Start Date]]+ProposalToGnatt[[#This Row],[Days]]),$G$5,"")),"")</f>
        <v/>
      </c>
      <c r="AU70" s="37" t="str">
        <f ca="1">IFERROR(+IF(AU$29=ProposalToGnatt[[#This Row],[Start Date]],Milestone_Marker,IF(AND(AU$29&gt;ProposalToGnatt[[#This Row],[Start Date]],AU$29&lt;ProposalToGnatt[[#This Row],[Start Date]]+ProposalToGnatt[[#This Row],[Days]]),$G$5,"")),"")</f>
        <v/>
      </c>
      <c r="AV70" s="37" t="str">
        <f ca="1">IFERROR(+IF(AV$29=ProposalToGnatt[[#This Row],[Start Date]],Milestone_Marker,IF(AND(AV$29&gt;ProposalToGnatt[[#This Row],[Start Date]],AV$29&lt;ProposalToGnatt[[#This Row],[Start Date]]+ProposalToGnatt[[#This Row],[Days]]),$G$5,"")),"")</f>
        <v/>
      </c>
      <c r="AW70" s="37" t="str">
        <f ca="1">IFERROR(+IF(AW$29=ProposalToGnatt[[#This Row],[Start Date]],Milestone_Marker,IF(AND(AW$29&gt;ProposalToGnatt[[#This Row],[Start Date]],AW$29&lt;ProposalToGnatt[[#This Row],[Start Date]]+ProposalToGnatt[[#This Row],[Days]]),$G$5,"")),"")</f>
        <v/>
      </c>
      <c r="AX70" s="37" t="str">
        <f ca="1">IFERROR(+IF(AX$29=ProposalToGnatt[[#This Row],[Start Date]],Milestone_Marker,IF(AND(AX$29&gt;ProposalToGnatt[[#This Row],[Start Date]],AX$29&lt;ProposalToGnatt[[#This Row],[Start Date]]+ProposalToGnatt[[#This Row],[Days]]),$G$5,"")),"")</f>
        <v/>
      </c>
      <c r="AY70" s="37" t="str">
        <f ca="1">IFERROR(+IF(AY$29=ProposalToGnatt[[#This Row],[Start Date]],Milestone_Marker,IF(AND(AY$29&gt;ProposalToGnatt[[#This Row],[Start Date]],AY$29&lt;ProposalToGnatt[[#This Row],[Start Date]]+ProposalToGnatt[[#This Row],[Days]]),$G$5,"")),"")</f>
        <v/>
      </c>
      <c r="AZ70" s="37" t="str">
        <f ca="1">IFERROR(+IF(AZ$29=ProposalToGnatt[[#This Row],[Start Date]],Milestone_Marker,IF(AND(AZ$29&gt;ProposalToGnatt[[#This Row],[Start Date]],AZ$29&lt;ProposalToGnatt[[#This Row],[Start Date]]+ProposalToGnatt[[#This Row],[Days]]),$G$5,"")),"")</f>
        <v/>
      </c>
      <c r="BA70" s="37" t="str">
        <f ca="1">IFERROR(+IF(BA$29=ProposalToGnatt[[#This Row],[Start Date]],Milestone_Marker,IF(AND(BA$29&gt;ProposalToGnatt[[#This Row],[Start Date]],BA$29&lt;ProposalToGnatt[[#This Row],[Start Date]]+ProposalToGnatt[[#This Row],[Days]]),$G$5,"")),"")</f>
        <v/>
      </c>
      <c r="BB70" s="37" t="str">
        <f ca="1">IFERROR(+IF(BB$29=ProposalToGnatt[[#This Row],[Start Date]],Milestone_Marker,IF(AND(BB$29&gt;ProposalToGnatt[[#This Row],[Start Date]],BB$29&lt;ProposalToGnatt[[#This Row],[Start Date]]+ProposalToGnatt[[#This Row],[Days]]),$G$5,"")),"")</f>
        <v/>
      </c>
      <c r="BC70" s="37" t="str">
        <f ca="1">IFERROR(+IF(BC$29=ProposalToGnatt[[#This Row],[Start Date]],Milestone_Marker,IF(AND(BC$29&gt;ProposalToGnatt[[#This Row],[Start Date]],BC$29&lt;ProposalToGnatt[[#This Row],[Start Date]]+ProposalToGnatt[[#This Row],[Days]]),$G$5,"")),"")</f>
        <v/>
      </c>
      <c r="BD70" s="37" t="str">
        <f ca="1">IFERROR(+IF(BD$29=ProposalToGnatt[[#This Row],[Start Date]],Milestone_Marker,IF(AND(BD$29&gt;ProposalToGnatt[[#This Row],[Start Date]],BD$29&lt;ProposalToGnatt[[#This Row],[Start Date]]+ProposalToGnatt[[#This Row],[Days]]),$G$5,"")),"")</f>
        <v/>
      </c>
      <c r="BE70" s="37" t="str">
        <f ca="1">IFERROR(+IF(BE$29=ProposalToGnatt[[#This Row],[Start Date]],Milestone_Marker,IF(AND(BE$29&gt;ProposalToGnatt[[#This Row],[Start Date]],BE$29&lt;ProposalToGnatt[[#This Row],[Start Date]]+ProposalToGnatt[[#This Row],[Days]]),$G$5,"")),"")</f>
        <v/>
      </c>
      <c r="BF70" s="37" t="str">
        <f ca="1">IFERROR(+IF(BF$29=ProposalToGnatt[[#This Row],[Start Date]],Milestone_Marker,IF(AND(BF$29&gt;ProposalToGnatt[[#This Row],[Start Date]],BF$29&lt;ProposalToGnatt[[#This Row],[Start Date]]+ProposalToGnatt[[#This Row],[Days]]),$G$5,"")),"")</f>
        <v/>
      </c>
      <c r="BG70" s="37" t="str">
        <f ca="1">IFERROR(+IF(BG$29=ProposalToGnatt[[#This Row],[Start Date]],Milestone_Marker,IF(AND(BG$29&gt;ProposalToGnatt[[#This Row],[Start Date]],BG$29&lt;ProposalToGnatt[[#This Row],[Start Date]]+ProposalToGnatt[[#This Row],[Days]]),$G$5,"")),"")</f>
        <v/>
      </c>
      <c r="BH70" s="37" t="str">
        <f ca="1">IFERROR(+IF(BH$29=ProposalToGnatt[[#This Row],[Start Date]],Milestone_Marker,IF(AND(BH$29&gt;ProposalToGnatt[[#This Row],[Start Date]],BH$29&lt;ProposalToGnatt[[#This Row],[Start Date]]+ProposalToGnatt[[#This Row],[Days]]),$G$5,"")),"")</f>
        <v/>
      </c>
      <c r="BI70" s="37" t="str">
        <f ca="1">IFERROR(+IF(BI$29=ProposalToGnatt[[#This Row],[Start Date]],Milestone_Marker,IF(AND(BI$29&gt;ProposalToGnatt[[#This Row],[Start Date]],BI$29&lt;ProposalToGnatt[[#This Row],[Start Date]]+ProposalToGnatt[[#This Row],[Days]]),$G$5,"")),"")</f>
        <v/>
      </c>
      <c r="BJ70" s="37" t="str">
        <f ca="1">IFERROR(+IF(BJ$29=ProposalToGnatt[[#This Row],[Start Date]],Milestone_Marker,IF(AND(BJ$29&gt;ProposalToGnatt[[#This Row],[Start Date]],BJ$29&lt;ProposalToGnatt[[#This Row],[Start Date]]+ProposalToGnatt[[#This Row],[Days]]),$G$5,"")),"")</f>
        <v/>
      </c>
      <c r="BK70" s="37" t="str">
        <f ca="1">IFERROR(+IF(BK$29=ProposalToGnatt[[#This Row],[Start Date]],Milestone_Marker,IF(AND(BK$29&gt;ProposalToGnatt[[#This Row],[Start Date]],BK$29&lt;ProposalToGnatt[[#This Row],[Start Date]]+ProposalToGnatt[[#This Row],[Days]]),$G$5,"")),"")</f>
        <v/>
      </c>
      <c r="BL70" s="37" t="str">
        <f ca="1">IFERROR(+IF(BL$29=ProposalToGnatt[[#This Row],[Start Date]],Milestone_Marker,IF(AND(BL$29&gt;ProposalToGnatt[[#This Row],[Start Date]],BL$29&lt;ProposalToGnatt[[#This Row],[Start Date]]+ProposalToGnatt[[#This Row],[Days]]),$G$5,"")),"")</f>
        <v/>
      </c>
      <c r="BM70" s="37" t="str">
        <f ca="1">IFERROR(+IF(BM$29=ProposalToGnatt[[#This Row],[Start Date]],Milestone_Marker,IF(AND(BM$29&gt;ProposalToGnatt[[#This Row],[Start Date]],BM$29&lt;ProposalToGnatt[[#This Row],[Start Date]]+ProposalToGnatt[[#This Row],[Days]]),$G$5,"")),"")</f>
        <v/>
      </c>
      <c r="BN70" s="37" t="str">
        <f ca="1">IFERROR(+IF(BN$29=ProposalToGnatt[[#This Row],[Start Date]],Milestone_Marker,IF(AND(BN$29&gt;ProposalToGnatt[[#This Row],[Start Date]],BN$29&lt;ProposalToGnatt[[#This Row],[Start Date]]+ProposalToGnatt[[#This Row],[Days]]),$G$5,"")),"")</f>
        <v/>
      </c>
      <c r="BO70" s="37" t="str">
        <f ca="1">IFERROR(+IF(BO$29=ProposalToGnatt[[#This Row],[Start Date]],Milestone_Marker,IF(AND(BO$29&gt;ProposalToGnatt[[#This Row],[Start Date]],BO$29&lt;ProposalToGnatt[[#This Row],[Start Date]]+ProposalToGnatt[[#This Row],[Days]]),$G$5,"")),"")</f>
        <v/>
      </c>
      <c r="BP70" s="37" t="str">
        <f ca="1">IFERROR(+IF(BP$29=ProposalToGnatt[[#This Row],[Start Date]],Milestone_Marker,IF(AND(BP$29&gt;ProposalToGnatt[[#This Row],[Start Date]],BP$29&lt;ProposalToGnatt[[#This Row],[Start Date]]+ProposalToGnatt[[#This Row],[Days]]),$G$5,"")),"")</f>
        <v/>
      </c>
      <c r="BQ70" s="37" t="str">
        <f ca="1">IFERROR(+IF(BQ$29=ProposalToGnatt[[#This Row],[Start Date]],Milestone_Marker,IF(AND(BQ$29&gt;ProposalToGnatt[[#This Row],[Start Date]],BQ$29&lt;ProposalToGnatt[[#This Row],[Start Date]]+ProposalToGnatt[[#This Row],[Days]]),$G$5,"")),"")</f>
        <v/>
      </c>
      <c r="BR70" s="37" t="str">
        <f ca="1">IFERROR(+IF(BR$29=ProposalToGnatt[[#This Row],[Start Date]],Milestone_Marker,IF(AND(BR$29&gt;ProposalToGnatt[[#This Row],[Start Date]],BR$29&lt;ProposalToGnatt[[#This Row],[Start Date]]+ProposalToGnatt[[#This Row],[Days]]),$G$5,"")),"")</f>
        <v/>
      </c>
      <c r="BS70" s="37" t="str">
        <f ca="1">IFERROR(+IF(BS$29=ProposalToGnatt[[#This Row],[Start Date]],Milestone_Marker,IF(AND(BS$29&gt;ProposalToGnatt[[#This Row],[Start Date]],BS$29&lt;ProposalToGnatt[[#This Row],[Start Date]]+ProposalToGnatt[[#This Row],[Days]]),$G$5,"")),"")</f>
        <v/>
      </c>
      <c r="BT70" s="37" t="str">
        <f ca="1">IFERROR(+IF(BT$29=ProposalToGnatt[[#This Row],[Start Date]],Milestone_Marker,IF(AND(BT$29&gt;ProposalToGnatt[[#This Row],[Start Date]],BT$29&lt;ProposalToGnatt[[#This Row],[Start Date]]+ProposalToGnatt[[#This Row],[Days]]),$G$5,"")),"")</f>
        <v/>
      </c>
      <c r="BU70" s="37" t="str">
        <f ca="1">IFERROR(+IF(BU$29=ProposalToGnatt[[#This Row],[Start Date]],Milestone_Marker,IF(AND(BU$29&gt;ProposalToGnatt[[#This Row],[Start Date]],BU$29&lt;ProposalToGnatt[[#This Row],[Start Date]]+ProposalToGnatt[[#This Row],[Days]]),$G$5,"")),"")</f>
        <v/>
      </c>
      <c r="BV70" s="37" t="str">
        <f ca="1">IFERROR(+IF(BV$29=ProposalToGnatt[[#This Row],[Start Date]],Milestone_Marker,IF(AND(BV$29&gt;ProposalToGnatt[[#This Row],[Start Date]],BV$29&lt;ProposalToGnatt[[#This Row],[Start Date]]+ProposalToGnatt[[#This Row],[Days]]),$G$5,"")),"")</f>
        <v/>
      </c>
      <c r="BW70" s="37" t="str">
        <f ca="1">IFERROR(+IF(BW$29=ProposalToGnatt[[#This Row],[Start Date]],Milestone_Marker,IF(AND(BW$29&gt;ProposalToGnatt[[#This Row],[Start Date]],BW$29&lt;ProposalToGnatt[[#This Row],[Start Date]]+ProposalToGnatt[[#This Row],[Days]]),$G$5,"")),"")</f>
        <v/>
      </c>
      <c r="BX70" s="37" t="str">
        <f ca="1">IFERROR(+IF(BX$29=ProposalToGnatt[[#This Row],[Start Date]],Milestone_Marker,IF(AND(BX$29&gt;ProposalToGnatt[[#This Row],[Start Date]],BX$29&lt;ProposalToGnatt[[#This Row],[Start Date]]+ProposalToGnatt[[#This Row],[Days]]),$G$5,"")),"")</f>
        <v/>
      </c>
      <c r="BY70" s="37" t="str">
        <f ca="1">IFERROR(+IF(BY$29=ProposalToGnatt[[#This Row],[Start Date]],Milestone_Marker,IF(AND(BY$29&gt;ProposalToGnatt[[#This Row],[Start Date]],BY$29&lt;ProposalToGnatt[[#This Row],[Start Date]]+ProposalToGnatt[[#This Row],[Days]]),$G$5,"")),"")</f>
        <v/>
      </c>
      <c r="BZ70" s="37" t="str">
        <f ca="1">IFERROR(+IF(BZ$29=ProposalToGnatt[[#This Row],[Start Date]],Milestone_Marker,IF(AND(BZ$29&gt;ProposalToGnatt[[#This Row],[Start Date]],BZ$29&lt;ProposalToGnatt[[#This Row],[Start Date]]+ProposalToGnatt[[#This Row],[Days]]),$G$5,"")),"")</f>
        <v/>
      </c>
      <c r="CA70" s="37" t="str">
        <f ca="1">IFERROR(+IF(CA$29=ProposalToGnatt[[#This Row],[Start Date]],Milestone_Marker,IF(AND(CA$29&gt;ProposalToGnatt[[#This Row],[Start Date]],CA$29&lt;ProposalToGnatt[[#This Row],[Start Date]]+ProposalToGnatt[[#This Row],[Days]]),$G$5,"")),"")</f>
        <v/>
      </c>
      <c r="CB70" s="37" t="str">
        <f ca="1">IFERROR(+IF(CB$29=ProposalToGnatt[[#This Row],[Start Date]],Milestone_Marker,IF(AND(CB$29&gt;ProposalToGnatt[[#This Row],[Start Date]],CB$29&lt;ProposalToGnatt[[#This Row],[Start Date]]+ProposalToGnatt[[#This Row],[Days]]),$G$5,"")),"")</f>
        <v/>
      </c>
      <c r="CC70" s="37" t="str">
        <f ca="1">IFERROR(+IF(CC$29=ProposalToGnatt[[#This Row],[Start Date]],Milestone_Marker,IF(AND(CC$29&gt;ProposalToGnatt[[#This Row],[Start Date]],CC$29&lt;ProposalToGnatt[[#This Row],[Start Date]]+ProposalToGnatt[[#This Row],[Days]]),$G$5,"")),"")</f>
        <v/>
      </c>
      <c r="CD70" s="37" t="str">
        <f ca="1">IFERROR(+IF(CD$29=ProposalToGnatt[[#This Row],[Start Date]],Milestone_Marker,IF(AND(CD$29&gt;ProposalToGnatt[[#This Row],[Start Date]],CD$29&lt;ProposalToGnatt[[#This Row],[Start Date]]+ProposalToGnatt[[#This Row],[Days]]),$G$5,"")),"")</f>
        <v/>
      </c>
      <c r="CE70" s="37" t="str">
        <f ca="1">IFERROR(+IF(CE$29=ProposalToGnatt[[#This Row],[Start Date]],Milestone_Marker,IF(AND(CE$29&gt;ProposalToGnatt[[#This Row],[Start Date]],CE$29&lt;ProposalToGnatt[[#This Row],[Start Date]]+ProposalToGnatt[[#This Row],[Days]]),$G$5,"")),"")</f>
        <v/>
      </c>
      <c r="CF70" s="37" t="str">
        <f ca="1">IFERROR(+IF(CF$29=ProposalToGnatt[[#This Row],[Start Date]],Milestone_Marker,IF(AND(CF$29&gt;ProposalToGnatt[[#This Row],[Start Date]],CF$29&lt;ProposalToGnatt[[#This Row],[Start Date]]+ProposalToGnatt[[#This Row],[Days]]),$G$5,"")),"")</f>
        <v/>
      </c>
      <c r="CG70" s="37" t="str">
        <f ca="1">IFERROR(+IF(CG$29=ProposalToGnatt[[#This Row],[Start Date]],Milestone_Marker,IF(AND(CG$29&gt;ProposalToGnatt[[#This Row],[Start Date]],CG$29&lt;ProposalToGnatt[[#This Row],[Start Date]]+ProposalToGnatt[[#This Row],[Days]]),$G$5,"")),"")</f>
        <v/>
      </c>
      <c r="CH70" s="37" t="str">
        <f ca="1">IFERROR(+IF(CH$29=ProposalToGnatt[[#This Row],[Start Date]],Milestone_Marker,IF(AND(CH$29&gt;ProposalToGnatt[[#This Row],[Start Date]],CH$29&lt;ProposalToGnatt[[#This Row],[Start Date]]+ProposalToGnatt[[#This Row],[Days]]),$G$5,"")),"")</f>
        <v/>
      </c>
      <c r="CI70" s="37" t="str">
        <f ca="1">IFERROR(+IF(CI$29=ProposalToGnatt[[#This Row],[Start Date]],Milestone_Marker,IF(AND(CI$29&gt;ProposalToGnatt[[#This Row],[Start Date]],CI$29&lt;ProposalToGnatt[[#This Row],[Start Date]]+ProposalToGnatt[[#This Row],[Days]]),$G$5,"")),"")</f>
        <v/>
      </c>
      <c r="CJ70" s="37" t="str">
        <f ca="1">IFERROR(+IF(CJ$29=ProposalToGnatt[[#This Row],[Start Date]],Milestone_Marker,IF(AND(CJ$29&gt;ProposalToGnatt[[#This Row],[Start Date]],CJ$29&lt;ProposalToGnatt[[#This Row],[Start Date]]+ProposalToGnatt[[#This Row],[Days]]),$G$5,"")),"")</f>
        <v/>
      </c>
      <c r="CK70" s="37" t="str">
        <f ca="1">IFERROR(+IF(CK$29=ProposalToGnatt[[#This Row],[Start Date]],Milestone_Marker,IF(AND(CK$29&gt;ProposalToGnatt[[#This Row],[Start Date]],CK$29&lt;ProposalToGnatt[[#This Row],[Start Date]]+ProposalToGnatt[[#This Row],[Days]]),$G$5,"")),"")</f>
        <v/>
      </c>
      <c r="CL70" s="37" t="str">
        <f ca="1">IFERROR(+IF(CL$29=ProposalToGnatt[[#This Row],[Start Date]],Milestone_Marker,IF(AND(CL$29&gt;ProposalToGnatt[[#This Row],[Start Date]],CL$29&lt;ProposalToGnatt[[#This Row],[Start Date]]+ProposalToGnatt[[#This Row],[Days]]),$G$5,"")),"")</f>
        <v/>
      </c>
      <c r="CM70" s="37" t="str">
        <f ca="1">IFERROR(+IF(CM$29=ProposalToGnatt[[#This Row],[Start Date]],Milestone_Marker,IF(AND(CM$29&gt;ProposalToGnatt[[#This Row],[Start Date]],CM$29&lt;ProposalToGnatt[[#This Row],[Start Date]]+ProposalToGnatt[[#This Row],[Days]]),$G$5,"")),"")</f>
        <v/>
      </c>
      <c r="CN70" s="37" t="str">
        <f ca="1">IFERROR(+IF(CN$29=ProposalToGnatt[[#This Row],[Start Date]],Milestone_Marker,IF(AND(CN$29&gt;ProposalToGnatt[[#This Row],[Start Date]],CN$29&lt;ProposalToGnatt[[#This Row],[Start Date]]+ProposalToGnatt[[#This Row],[Days]]),$G$5,"")),"")</f>
        <v/>
      </c>
      <c r="CO70" s="37" t="str">
        <f ca="1">IFERROR(+IF(CO$29=ProposalToGnatt[[#This Row],[Start Date]],Milestone_Marker,IF(AND(CO$29&gt;ProposalToGnatt[[#This Row],[Start Date]],CO$29&lt;ProposalToGnatt[[#This Row],[Start Date]]+ProposalToGnatt[[#This Row],[Days]]),$G$5,"")),"")</f>
        <v/>
      </c>
      <c r="CP70" s="37" t="str">
        <f ca="1">IFERROR(+IF(CP$29=ProposalToGnatt[[#This Row],[Start Date]],Milestone_Marker,IF(AND(CP$29&gt;ProposalToGnatt[[#This Row],[Start Date]],CP$29&lt;ProposalToGnatt[[#This Row],[Start Date]]+ProposalToGnatt[[#This Row],[Days]]),$G$5,"")),"")</f>
        <v/>
      </c>
      <c r="CQ70" s="37" t="str">
        <f ca="1">IFERROR(+IF(CQ$29=ProposalToGnatt[[#This Row],[Start Date]],Milestone_Marker,IF(AND(CQ$29&gt;ProposalToGnatt[[#This Row],[Start Date]],CQ$29&lt;ProposalToGnatt[[#This Row],[Start Date]]+ProposalToGnatt[[#This Row],[Days]]),$G$5,"")),"")</f>
        <v/>
      </c>
      <c r="CR70" s="37" t="str">
        <f ca="1">IFERROR(+IF(CR$29=ProposalToGnatt[[#This Row],[Start Date]],Milestone_Marker,IF(AND(CR$29&gt;ProposalToGnatt[[#This Row],[Start Date]],CR$29&lt;ProposalToGnatt[[#This Row],[Start Date]]+ProposalToGnatt[[#This Row],[Days]]),$G$5,"")),"")</f>
        <v/>
      </c>
      <c r="CS70" s="37" t="str">
        <f ca="1">IFERROR(+IF(CS$29=ProposalToGnatt[[#This Row],[Start Date]],Milestone_Marker,IF(AND(CS$29&gt;ProposalToGnatt[[#This Row],[Start Date]],CS$29&lt;ProposalToGnatt[[#This Row],[Start Date]]+ProposalToGnatt[[#This Row],[Days]]),$G$5,"")),"")</f>
        <v/>
      </c>
      <c r="CT70" s="37" t="str">
        <f ca="1">IFERROR(+IF(CT$29=ProposalToGnatt[[#This Row],[Start Date]],Milestone_Marker,IF(AND(CT$29&gt;ProposalToGnatt[[#This Row],[Start Date]],CT$29&lt;ProposalToGnatt[[#This Row],[Start Date]]+ProposalToGnatt[[#This Row],[Days]]),$G$5,"")),"")</f>
        <v/>
      </c>
      <c r="CU70" s="37" t="str">
        <f ca="1">IFERROR(+IF(CU$29=ProposalToGnatt[[#This Row],[Start Date]],Milestone_Marker,IF(AND(CU$29&gt;ProposalToGnatt[[#This Row],[Start Date]],CU$29&lt;ProposalToGnatt[[#This Row],[Start Date]]+ProposalToGnatt[[#This Row],[Days]]),$G$5,"")),"")</f>
        <v/>
      </c>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row>
    <row r="71" spans="1:125" s="42" customFormat="1" ht="15">
      <c r="A71"/>
      <c r="B71"/>
      <c r="C71"/>
      <c r="D71"/>
      <c r="E71"/>
      <c r="F71"/>
      <c r="G71" s="11"/>
      <c r="H71" s="26"/>
      <c r="I71"/>
      <c r="J71"/>
      <c r="K71" s="363"/>
      <c r="L71"/>
      <c r="M71"/>
      <c r="N71"/>
      <c r="O71" s="26"/>
      <c r="P71" s="37" t="str">
        <f ca="1">IFERROR(+IF(P$29=ProposalToGnatt[[#This Row],[Start Date]],Milestone_Marker,IF(AND(P$29&gt;ProposalToGnatt[[#This Row],[Start Date]],P$29&lt;ProposalToGnatt[[#This Row],[Start Date]]+ProposalToGnatt[[#This Row],[Days]]),$G$5,"")),"")</f>
        <v/>
      </c>
      <c r="Q71" s="37" t="str">
        <f ca="1">IFERROR(+IF(Q$29=ProposalToGnatt[[#This Row],[Start Date]],Milestone_Marker,IF(AND(Q$29&gt;ProposalToGnatt[[#This Row],[Start Date]],Q$29&lt;ProposalToGnatt[[#This Row],[Start Date]]+ProposalToGnatt[[#This Row],[Days]]),$G$5,"")),"")</f>
        <v/>
      </c>
      <c r="R71" s="37" t="str">
        <f ca="1">IFERROR(+IF(R$29=ProposalToGnatt[[#This Row],[Start Date]],Milestone_Marker,IF(AND(R$29&gt;ProposalToGnatt[[#This Row],[Start Date]],R$29&lt;ProposalToGnatt[[#This Row],[Start Date]]+ProposalToGnatt[[#This Row],[Days]]),$G$5,"")),"")</f>
        <v/>
      </c>
      <c r="S71" s="37" t="str">
        <f ca="1">IFERROR(+IF(S$29=ProposalToGnatt[[#This Row],[Start Date]],Milestone_Marker,IF(AND(S$29&gt;ProposalToGnatt[[#This Row],[Start Date]],S$29&lt;ProposalToGnatt[[#This Row],[Start Date]]+ProposalToGnatt[[#This Row],[Days]]),$G$5,"")),"")</f>
        <v/>
      </c>
      <c r="T71" s="37" t="str">
        <f ca="1">IFERROR(+IF(T$29=ProposalToGnatt[[#This Row],[Start Date]],Milestone_Marker,IF(AND(T$29&gt;ProposalToGnatt[[#This Row],[Start Date]],T$29&lt;ProposalToGnatt[[#This Row],[Start Date]]+ProposalToGnatt[[#This Row],[Days]]),$G$5,"")),"")</f>
        <v/>
      </c>
      <c r="U71" s="37" t="str">
        <f ca="1">IFERROR(+IF(U$29=ProposalToGnatt[[#This Row],[Start Date]],Milestone_Marker,IF(AND(U$29&gt;ProposalToGnatt[[#This Row],[Start Date]],U$29&lt;ProposalToGnatt[[#This Row],[Start Date]]+ProposalToGnatt[[#This Row],[Days]]),$G$5,"")),"")</f>
        <v/>
      </c>
      <c r="V71" s="37" t="str">
        <f ca="1">IFERROR(+IF(V$29=ProposalToGnatt[[#This Row],[Start Date]],Milestone_Marker,IF(AND(V$29&gt;ProposalToGnatt[[#This Row],[Start Date]],V$29&lt;ProposalToGnatt[[#This Row],[Start Date]]+ProposalToGnatt[[#This Row],[Days]]),$G$5,"")),"")</f>
        <v/>
      </c>
      <c r="W71" s="37" t="str">
        <f ca="1">IFERROR(+IF(W$29=ProposalToGnatt[[#This Row],[Start Date]],Milestone_Marker,IF(AND(W$29&gt;ProposalToGnatt[[#This Row],[Start Date]],W$29&lt;ProposalToGnatt[[#This Row],[Start Date]]+ProposalToGnatt[[#This Row],[Days]]),$G$5,"")),"")</f>
        <v/>
      </c>
      <c r="X71" s="37" t="str">
        <f ca="1">IFERROR(+IF(X$29=ProposalToGnatt[[#This Row],[Start Date]],Milestone_Marker,IF(AND(X$29&gt;ProposalToGnatt[[#This Row],[Start Date]],X$29&lt;ProposalToGnatt[[#This Row],[Start Date]]+ProposalToGnatt[[#This Row],[Days]]),$G$5,"")),"")</f>
        <v/>
      </c>
      <c r="Y71" s="37" t="str">
        <f ca="1">IFERROR(+IF(Y$29=ProposalToGnatt[[#This Row],[Start Date]],Milestone_Marker,IF(AND(Y$29&gt;ProposalToGnatt[[#This Row],[Start Date]],Y$29&lt;ProposalToGnatt[[#This Row],[Start Date]]+ProposalToGnatt[[#This Row],[Days]]),$G$5,"")),"")</f>
        <v/>
      </c>
      <c r="Z71" s="37" t="str">
        <f ca="1">IFERROR(+IF(Z$29=ProposalToGnatt[[#This Row],[Start Date]],Milestone_Marker,IF(AND(Z$29&gt;ProposalToGnatt[[#This Row],[Start Date]],Z$29&lt;ProposalToGnatt[[#This Row],[Start Date]]+ProposalToGnatt[[#This Row],[Days]]),$G$5,"")),"")</f>
        <v/>
      </c>
      <c r="AA71" s="37" t="str">
        <f ca="1">IFERROR(+IF(AA$29=ProposalToGnatt[[#This Row],[Start Date]],Milestone_Marker,IF(AND(AA$29&gt;ProposalToGnatt[[#This Row],[Start Date]],AA$29&lt;ProposalToGnatt[[#This Row],[Start Date]]+ProposalToGnatt[[#This Row],[Days]]),$G$5,"")),"")</f>
        <v/>
      </c>
      <c r="AB71" s="37" t="str">
        <f ca="1">IFERROR(+IF(AB$29=ProposalToGnatt[[#This Row],[Start Date]],Milestone_Marker,IF(AND(AB$29&gt;ProposalToGnatt[[#This Row],[Start Date]],AB$29&lt;ProposalToGnatt[[#This Row],[Start Date]]+ProposalToGnatt[[#This Row],[Days]]),$G$5,"")),"")</f>
        <v/>
      </c>
      <c r="AC71" s="37" t="str">
        <f ca="1">IFERROR(+IF(AC$29=ProposalToGnatt[[#This Row],[Start Date]],Milestone_Marker,IF(AND(AC$29&gt;ProposalToGnatt[[#This Row],[Start Date]],AC$29&lt;ProposalToGnatt[[#This Row],[Start Date]]+ProposalToGnatt[[#This Row],[Days]]),$G$5,"")),"")</f>
        <v/>
      </c>
      <c r="AD71" s="37" t="str">
        <f ca="1">IFERROR(+IF(AD$29=ProposalToGnatt[[#This Row],[Start Date]],Milestone_Marker,IF(AND(AD$29&gt;ProposalToGnatt[[#This Row],[Start Date]],AD$29&lt;ProposalToGnatt[[#This Row],[Start Date]]+ProposalToGnatt[[#This Row],[Days]]),$G$5,"")),"")</f>
        <v/>
      </c>
      <c r="AE71" s="37" t="str">
        <f ca="1">IFERROR(+IF(AE$29=ProposalToGnatt[[#This Row],[Start Date]],Milestone_Marker,IF(AND(AE$29&gt;ProposalToGnatt[[#This Row],[Start Date]],AE$29&lt;ProposalToGnatt[[#This Row],[Start Date]]+ProposalToGnatt[[#This Row],[Days]]),$G$5,"")),"")</f>
        <v/>
      </c>
      <c r="AF71" s="37" t="str">
        <f ca="1">IFERROR(+IF(AF$29=ProposalToGnatt[[#This Row],[Start Date]],Milestone_Marker,IF(AND(AF$29&gt;ProposalToGnatt[[#This Row],[Start Date]],AF$29&lt;ProposalToGnatt[[#This Row],[Start Date]]+ProposalToGnatt[[#This Row],[Days]]),$G$5,"")),"")</f>
        <v/>
      </c>
      <c r="AG71" s="37" t="str">
        <f ca="1">IFERROR(+IF(AG$29=ProposalToGnatt[[#This Row],[Start Date]],Milestone_Marker,IF(AND(AG$29&gt;ProposalToGnatt[[#This Row],[Start Date]],AG$29&lt;ProposalToGnatt[[#This Row],[Start Date]]+ProposalToGnatt[[#This Row],[Days]]),$G$5,"")),"")</f>
        <v/>
      </c>
      <c r="AH71" s="37" t="str">
        <f ca="1">IFERROR(+IF(AH$29=ProposalToGnatt[[#This Row],[Start Date]],Milestone_Marker,IF(AND(AH$29&gt;ProposalToGnatt[[#This Row],[Start Date]],AH$29&lt;ProposalToGnatt[[#This Row],[Start Date]]+ProposalToGnatt[[#This Row],[Days]]),$G$5,"")),"")</f>
        <v/>
      </c>
      <c r="AI71" s="37" t="str">
        <f ca="1">IFERROR(+IF(AI$29=ProposalToGnatt[[#This Row],[Start Date]],Milestone_Marker,IF(AND(AI$29&gt;ProposalToGnatt[[#This Row],[Start Date]],AI$29&lt;ProposalToGnatt[[#This Row],[Start Date]]+ProposalToGnatt[[#This Row],[Days]]),$G$5,"")),"")</f>
        <v/>
      </c>
      <c r="AJ71" s="37" t="str">
        <f ca="1">IFERROR(+IF(AJ$29=ProposalToGnatt[[#This Row],[Start Date]],Milestone_Marker,IF(AND(AJ$29&gt;ProposalToGnatt[[#This Row],[Start Date]],AJ$29&lt;ProposalToGnatt[[#This Row],[Start Date]]+ProposalToGnatt[[#This Row],[Days]]),$G$5,"")),"")</f>
        <v/>
      </c>
      <c r="AK71" s="37" t="str">
        <f ca="1">IFERROR(+IF(AK$29=ProposalToGnatt[[#This Row],[Start Date]],Milestone_Marker,IF(AND(AK$29&gt;ProposalToGnatt[[#This Row],[Start Date]],AK$29&lt;ProposalToGnatt[[#This Row],[Start Date]]+ProposalToGnatt[[#This Row],[Days]]),$G$5,"")),"")</f>
        <v/>
      </c>
      <c r="AL71" s="37" t="str">
        <f ca="1">IFERROR(+IF(AL$29=ProposalToGnatt[[#This Row],[Start Date]],Milestone_Marker,IF(AND(AL$29&gt;ProposalToGnatt[[#This Row],[Start Date]],AL$29&lt;ProposalToGnatt[[#This Row],[Start Date]]+ProposalToGnatt[[#This Row],[Days]]),$G$5,"")),"")</f>
        <v/>
      </c>
      <c r="AM71" s="37" t="str">
        <f ca="1">IFERROR(+IF(AM$29=ProposalToGnatt[[#This Row],[Start Date]],Milestone_Marker,IF(AND(AM$29&gt;ProposalToGnatt[[#This Row],[Start Date]],AM$29&lt;ProposalToGnatt[[#This Row],[Start Date]]+ProposalToGnatt[[#This Row],[Days]]),$G$5,"")),"")</f>
        <v/>
      </c>
      <c r="AN71" s="37" t="str">
        <f ca="1">IFERROR(+IF(AN$29=ProposalToGnatt[[#This Row],[Start Date]],Milestone_Marker,IF(AND(AN$29&gt;ProposalToGnatt[[#This Row],[Start Date]],AN$29&lt;ProposalToGnatt[[#This Row],[Start Date]]+ProposalToGnatt[[#This Row],[Days]]),$G$5,"")),"")</f>
        <v/>
      </c>
      <c r="AO71" s="37" t="str">
        <f ca="1">IFERROR(+IF(AO$29=ProposalToGnatt[[#This Row],[Start Date]],Milestone_Marker,IF(AND(AO$29&gt;ProposalToGnatt[[#This Row],[Start Date]],AO$29&lt;ProposalToGnatt[[#This Row],[Start Date]]+ProposalToGnatt[[#This Row],[Days]]),$G$5,"")),"")</f>
        <v/>
      </c>
      <c r="AP71" s="37" t="str">
        <f ca="1">IFERROR(+IF(AP$29=ProposalToGnatt[[#This Row],[Start Date]],Milestone_Marker,IF(AND(AP$29&gt;ProposalToGnatt[[#This Row],[Start Date]],AP$29&lt;ProposalToGnatt[[#This Row],[Start Date]]+ProposalToGnatt[[#This Row],[Days]]),$G$5,"")),"")</f>
        <v/>
      </c>
      <c r="AQ71" s="37" t="str">
        <f ca="1">IFERROR(+IF(AQ$29=ProposalToGnatt[[#This Row],[Start Date]],Milestone_Marker,IF(AND(AQ$29&gt;ProposalToGnatt[[#This Row],[Start Date]],AQ$29&lt;ProposalToGnatt[[#This Row],[Start Date]]+ProposalToGnatt[[#This Row],[Days]]),$G$5,"")),"")</f>
        <v/>
      </c>
      <c r="AR71" s="37" t="str">
        <f ca="1">IFERROR(+IF(AR$29=ProposalToGnatt[[#This Row],[Start Date]],Milestone_Marker,IF(AND(AR$29&gt;ProposalToGnatt[[#This Row],[Start Date]],AR$29&lt;ProposalToGnatt[[#This Row],[Start Date]]+ProposalToGnatt[[#This Row],[Days]]),$G$5,"")),"")</f>
        <v/>
      </c>
      <c r="AS71" s="37" t="str">
        <f ca="1">IFERROR(+IF(AS$29=ProposalToGnatt[[#This Row],[Start Date]],Milestone_Marker,IF(AND(AS$29&gt;ProposalToGnatt[[#This Row],[Start Date]],AS$29&lt;ProposalToGnatt[[#This Row],[Start Date]]+ProposalToGnatt[[#This Row],[Days]]),$G$5,"")),"")</f>
        <v/>
      </c>
      <c r="AT71" s="37" t="str">
        <f ca="1">IFERROR(+IF(AT$29=ProposalToGnatt[[#This Row],[Start Date]],Milestone_Marker,IF(AND(AT$29&gt;ProposalToGnatt[[#This Row],[Start Date]],AT$29&lt;ProposalToGnatt[[#This Row],[Start Date]]+ProposalToGnatt[[#This Row],[Days]]),$G$5,"")),"")</f>
        <v/>
      </c>
      <c r="AU71" s="37" t="str">
        <f ca="1">IFERROR(+IF(AU$29=ProposalToGnatt[[#This Row],[Start Date]],Milestone_Marker,IF(AND(AU$29&gt;ProposalToGnatt[[#This Row],[Start Date]],AU$29&lt;ProposalToGnatt[[#This Row],[Start Date]]+ProposalToGnatt[[#This Row],[Days]]),$G$5,"")),"")</f>
        <v/>
      </c>
      <c r="AV71" s="37" t="str">
        <f ca="1">IFERROR(+IF(AV$29=ProposalToGnatt[[#This Row],[Start Date]],Milestone_Marker,IF(AND(AV$29&gt;ProposalToGnatt[[#This Row],[Start Date]],AV$29&lt;ProposalToGnatt[[#This Row],[Start Date]]+ProposalToGnatt[[#This Row],[Days]]),$G$5,"")),"")</f>
        <v/>
      </c>
      <c r="AW71" s="37" t="str">
        <f ca="1">IFERROR(+IF(AW$29=ProposalToGnatt[[#This Row],[Start Date]],Milestone_Marker,IF(AND(AW$29&gt;ProposalToGnatt[[#This Row],[Start Date]],AW$29&lt;ProposalToGnatt[[#This Row],[Start Date]]+ProposalToGnatt[[#This Row],[Days]]),$G$5,"")),"")</f>
        <v/>
      </c>
      <c r="AX71" s="37" t="str">
        <f ca="1">IFERROR(+IF(AX$29=ProposalToGnatt[[#This Row],[Start Date]],Milestone_Marker,IF(AND(AX$29&gt;ProposalToGnatt[[#This Row],[Start Date]],AX$29&lt;ProposalToGnatt[[#This Row],[Start Date]]+ProposalToGnatt[[#This Row],[Days]]),$G$5,"")),"")</f>
        <v/>
      </c>
      <c r="AY71" s="37" t="str">
        <f ca="1">IFERROR(+IF(AY$29=ProposalToGnatt[[#This Row],[Start Date]],Milestone_Marker,IF(AND(AY$29&gt;ProposalToGnatt[[#This Row],[Start Date]],AY$29&lt;ProposalToGnatt[[#This Row],[Start Date]]+ProposalToGnatt[[#This Row],[Days]]),$G$5,"")),"")</f>
        <v/>
      </c>
      <c r="AZ71" s="37" t="str">
        <f ca="1">IFERROR(+IF(AZ$29=ProposalToGnatt[[#This Row],[Start Date]],Milestone_Marker,IF(AND(AZ$29&gt;ProposalToGnatt[[#This Row],[Start Date]],AZ$29&lt;ProposalToGnatt[[#This Row],[Start Date]]+ProposalToGnatt[[#This Row],[Days]]),$G$5,"")),"")</f>
        <v/>
      </c>
      <c r="BA71" s="37" t="str">
        <f ca="1">IFERROR(+IF(BA$29=ProposalToGnatt[[#This Row],[Start Date]],Milestone_Marker,IF(AND(BA$29&gt;ProposalToGnatt[[#This Row],[Start Date]],BA$29&lt;ProposalToGnatt[[#This Row],[Start Date]]+ProposalToGnatt[[#This Row],[Days]]),$G$5,"")),"")</f>
        <v/>
      </c>
      <c r="BB71" s="37" t="str">
        <f ca="1">IFERROR(+IF(BB$29=ProposalToGnatt[[#This Row],[Start Date]],Milestone_Marker,IF(AND(BB$29&gt;ProposalToGnatt[[#This Row],[Start Date]],BB$29&lt;ProposalToGnatt[[#This Row],[Start Date]]+ProposalToGnatt[[#This Row],[Days]]),$G$5,"")),"")</f>
        <v/>
      </c>
      <c r="BC71" s="37" t="str">
        <f ca="1">IFERROR(+IF(BC$29=ProposalToGnatt[[#This Row],[Start Date]],Milestone_Marker,IF(AND(BC$29&gt;ProposalToGnatt[[#This Row],[Start Date]],BC$29&lt;ProposalToGnatt[[#This Row],[Start Date]]+ProposalToGnatt[[#This Row],[Days]]),$G$5,"")),"")</f>
        <v/>
      </c>
      <c r="BD71" s="37" t="str">
        <f ca="1">IFERROR(+IF(BD$29=ProposalToGnatt[[#This Row],[Start Date]],Milestone_Marker,IF(AND(BD$29&gt;ProposalToGnatt[[#This Row],[Start Date]],BD$29&lt;ProposalToGnatt[[#This Row],[Start Date]]+ProposalToGnatt[[#This Row],[Days]]),$G$5,"")),"")</f>
        <v/>
      </c>
      <c r="BE71" s="37" t="str">
        <f ca="1">IFERROR(+IF(BE$29=ProposalToGnatt[[#This Row],[Start Date]],Milestone_Marker,IF(AND(BE$29&gt;ProposalToGnatt[[#This Row],[Start Date]],BE$29&lt;ProposalToGnatt[[#This Row],[Start Date]]+ProposalToGnatt[[#This Row],[Days]]),$G$5,"")),"")</f>
        <v/>
      </c>
      <c r="BF71" s="37" t="str">
        <f ca="1">IFERROR(+IF(BF$29=ProposalToGnatt[[#This Row],[Start Date]],Milestone_Marker,IF(AND(BF$29&gt;ProposalToGnatt[[#This Row],[Start Date]],BF$29&lt;ProposalToGnatt[[#This Row],[Start Date]]+ProposalToGnatt[[#This Row],[Days]]),$G$5,"")),"")</f>
        <v/>
      </c>
      <c r="BG71" s="37" t="str">
        <f ca="1">IFERROR(+IF(BG$29=ProposalToGnatt[[#This Row],[Start Date]],Milestone_Marker,IF(AND(BG$29&gt;ProposalToGnatt[[#This Row],[Start Date]],BG$29&lt;ProposalToGnatt[[#This Row],[Start Date]]+ProposalToGnatt[[#This Row],[Days]]),$G$5,"")),"")</f>
        <v/>
      </c>
      <c r="BH71" s="37" t="str">
        <f ca="1">IFERROR(+IF(BH$29=ProposalToGnatt[[#This Row],[Start Date]],Milestone_Marker,IF(AND(BH$29&gt;ProposalToGnatt[[#This Row],[Start Date]],BH$29&lt;ProposalToGnatt[[#This Row],[Start Date]]+ProposalToGnatt[[#This Row],[Days]]),$G$5,"")),"")</f>
        <v/>
      </c>
      <c r="BI71" s="37" t="str">
        <f ca="1">IFERROR(+IF(BI$29=ProposalToGnatt[[#This Row],[Start Date]],Milestone_Marker,IF(AND(BI$29&gt;ProposalToGnatt[[#This Row],[Start Date]],BI$29&lt;ProposalToGnatt[[#This Row],[Start Date]]+ProposalToGnatt[[#This Row],[Days]]),$G$5,"")),"")</f>
        <v/>
      </c>
      <c r="BJ71" s="37" t="str">
        <f ca="1">IFERROR(+IF(BJ$29=ProposalToGnatt[[#This Row],[Start Date]],Milestone_Marker,IF(AND(BJ$29&gt;ProposalToGnatt[[#This Row],[Start Date]],BJ$29&lt;ProposalToGnatt[[#This Row],[Start Date]]+ProposalToGnatt[[#This Row],[Days]]),$G$5,"")),"")</f>
        <v/>
      </c>
      <c r="BK71" s="37" t="str">
        <f ca="1">IFERROR(+IF(BK$29=ProposalToGnatt[[#This Row],[Start Date]],Milestone_Marker,IF(AND(BK$29&gt;ProposalToGnatt[[#This Row],[Start Date]],BK$29&lt;ProposalToGnatt[[#This Row],[Start Date]]+ProposalToGnatt[[#This Row],[Days]]),$G$5,"")),"")</f>
        <v/>
      </c>
      <c r="BL71" s="37" t="str">
        <f ca="1">IFERROR(+IF(BL$29=ProposalToGnatt[[#This Row],[Start Date]],Milestone_Marker,IF(AND(BL$29&gt;ProposalToGnatt[[#This Row],[Start Date]],BL$29&lt;ProposalToGnatt[[#This Row],[Start Date]]+ProposalToGnatt[[#This Row],[Days]]),$G$5,"")),"")</f>
        <v/>
      </c>
      <c r="BM71" s="37" t="str">
        <f ca="1">IFERROR(+IF(BM$29=ProposalToGnatt[[#This Row],[Start Date]],Milestone_Marker,IF(AND(BM$29&gt;ProposalToGnatt[[#This Row],[Start Date]],BM$29&lt;ProposalToGnatt[[#This Row],[Start Date]]+ProposalToGnatt[[#This Row],[Days]]),$G$5,"")),"")</f>
        <v/>
      </c>
      <c r="BN71" s="37" t="str">
        <f ca="1">IFERROR(+IF(BN$29=ProposalToGnatt[[#This Row],[Start Date]],Milestone_Marker,IF(AND(BN$29&gt;ProposalToGnatt[[#This Row],[Start Date]],BN$29&lt;ProposalToGnatt[[#This Row],[Start Date]]+ProposalToGnatt[[#This Row],[Days]]),$G$5,"")),"")</f>
        <v/>
      </c>
      <c r="BO71" s="37" t="str">
        <f ca="1">IFERROR(+IF(BO$29=ProposalToGnatt[[#This Row],[Start Date]],Milestone_Marker,IF(AND(BO$29&gt;ProposalToGnatt[[#This Row],[Start Date]],BO$29&lt;ProposalToGnatt[[#This Row],[Start Date]]+ProposalToGnatt[[#This Row],[Days]]),$G$5,"")),"")</f>
        <v/>
      </c>
      <c r="BP71" s="37" t="str">
        <f ca="1">IFERROR(+IF(BP$29=ProposalToGnatt[[#This Row],[Start Date]],Milestone_Marker,IF(AND(BP$29&gt;ProposalToGnatt[[#This Row],[Start Date]],BP$29&lt;ProposalToGnatt[[#This Row],[Start Date]]+ProposalToGnatt[[#This Row],[Days]]),$G$5,"")),"")</f>
        <v/>
      </c>
      <c r="BQ71" s="37" t="str">
        <f ca="1">IFERROR(+IF(BQ$29=ProposalToGnatt[[#This Row],[Start Date]],Milestone_Marker,IF(AND(BQ$29&gt;ProposalToGnatt[[#This Row],[Start Date]],BQ$29&lt;ProposalToGnatt[[#This Row],[Start Date]]+ProposalToGnatt[[#This Row],[Days]]),$G$5,"")),"")</f>
        <v/>
      </c>
      <c r="BR71" s="37" t="str">
        <f ca="1">IFERROR(+IF(BR$29=ProposalToGnatt[[#This Row],[Start Date]],Milestone_Marker,IF(AND(BR$29&gt;ProposalToGnatt[[#This Row],[Start Date]],BR$29&lt;ProposalToGnatt[[#This Row],[Start Date]]+ProposalToGnatt[[#This Row],[Days]]),$G$5,"")),"")</f>
        <v/>
      </c>
      <c r="BS71" s="37" t="str">
        <f ca="1">IFERROR(+IF(BS$29=ProposalToGnatt[[#This Row],[Start Date]],Milestone_Marker,IF(AND(BS$29&gt;ProposalToGnatt[[#This Row],[Start Date]],BS$29&lt;ProposalToGnatt[[#This Row],[Start Date]]+ProposalToGnatt[[#This Row],[Days]]),$G$5,"")),"")</f>
        <v/>
      </c>
      <c r="BT71" s="37" t="str">
        <f ca="1">IFERROR(+IF(BT$29=ProposalToGnatt[[#This Row],[Start Date]],Milestone_Marker,IF(AND(BT$29&gt;ProposalToGnatt[[#This Row],[Start Date]],BT$29&lt;ProposalToGnatt[[#This Row],[Start Date]]+ProposalToGnatt[[#This Row],[Days]]),$G$5,"")),"")</f>
        <v/>
      </c>
      <c r="BU71" s="37" t="str">
        <f ca="1">IFERROR(+IF(BU$29=ProposalToGnatt[[#This Row],[Start Date]],Milestone_Marker,IF(AND(BU$29&gt;ProposalToGnatt[[#This Row],[Start Date]],BU$29&lt;ProposalToGnatt[[#This Row],[Start Date]]+ProposalToGnatt[[#This Row],[Days]]),$G$5,"")),"")</f>
        <v/>
      </c>
      <c r="BV71" s="37" t="str">
        <f ca="1">IFERROR(+IF(BV$29=ProposalToGnatt[[#This Row],[Start Date]],Milestone_Marker,IF(AND(BV$29&gt;ProposalToGnatt[[#This Row],[Start Date]],BV$29&lt;ProposalToGnatt[[#This Row],[Start Date]]+ProposalToGnatt[[#This Row],[Days]]),$G$5,"")),"")</f>
        <v/>
      </c>
      <c r="BW71" s="37" t="str">
        <f ca="1">IFERROR(+IF(BW$29=ProposalToGnatt[[#This Row],[Start Date]],Milestone_Marker,IF(AND(BW$29&gt;ProposalToGnatt[[#This Row],[Start Date]],BW$29&lt;ProposalToGnatt[[#This Row],[Start Date]]+ProposalToGnatt[[#This Row],[Days]]),$G$5,"")),"")</f>
        <v/>
      </c>
      <c r="BX71" s="37" t="str">
        <f ca="1">IFERROR(+IF(BX$29=ProposalToGnatt[[#This Row],[Start Date]],Milestone_Marker,IF(AND(BX$29&gt;ProposalToGnatt[[#This Row],[Start Date]],BX$29&lt;ProposalToGnatt[[#This Row],[Start Date]]+ProposalToGnatt[[#This Row],[Days]]),$G$5,"")),"")</f>
        <v/>
      </c>
      <c r="BY71" s="37" t="str">
        <f ca="1">IFERROR(+IF(BY$29=ProposalToGnatt[[#This Row],[Start Date]],Milestone_Marker,IF(AND(BY$29&gt;ProposalToGnatt[[#This Row],[Start Date]],BY$29&lt;ProposalToGnatt[[#This Row],[Start Date]]+ProposalToGnatt[[#This Row],[Days]]),$G$5,"")),"")</f>
        <v/>
      </c>
      <c r="BZ71" s="37" t="str">
        <f ca="1">IFERROR(+IF(BZ$29=ProposalToGnatt[[#This Row],[Start Date]],Milestone_Marker,IF(AND(BZ$29&gt;ProposalToGnatt[[#This Row],[Start Date]],BZ$29&lt;ProposalToGnatt[[#This Row],[Start Date]]+ProposalToGnatt[[#This Row],[Days]]),$G$5,"")),"")</f>
        <v/>
      </c>
      <c r="CA71" s="37" t="str">
        <f ca="1">IFERROR(+IF(CA$29=ProposalToGnatt[[#This Row],[Start Date]],Milestone_Marker,IF(AND(CA$29&gt;ProposalToGnatt[[#This Row],[Start Date]],CA$29&lt;ProposalToGnatt[[#This Row],[Start Date]]+ProposalToGnatt[[#This Row],[Days]]),$G$5,"")),"")</f>
        <v/>
      </c>
      <c r="CB71" s="37" t="str">
        <f ca="1">IFERROR(+IF(CB$29=ProposalToGnatt[[#This Row],[Start Date]],Milestone_Marker,IF(AND(CB$29&gt;ProposalToGnatt[[#This Row],[Start Date]],CB$29&lt;ProposalToGnatt[[#This Row],[Start Date]]+ProposalToGnatt[[#This Row],[Days]]),$G$5,"")),"")</f>
        <v/>
      </c>
      <c r="CC71" s="37" t="str">
        <f ca="1">IFERROR(+IF(CC$29=ProposalToGnatt[[#This Row],[Start Date]],Milestone_Marker,IF(AND(CC$29&gt;ProposalToGnatt[[#This Row],[Start Date]],CC$29&lt;ProposalToGnatt[[#This Row],[Start Date]]+ProposalToGnatt[[#This Row],[Days]]),$G$5,"")),"")</f>
        <v/>
      </c>
      <c r="CD71" s="37" t="str">
        <f ca="1">IFERROR(+IF(CD$29=ProposalToGnatt[[#This Row],[Start Date]],Milestone_Marker,IF(AND(CD$29&gt;ProposalToGnatt[[#This Row],[Start Date]],CD$29&lt;ProposalToGnatt[[#This Row],[Start Date]]+ProposalToGnatt[[#This Row],[Days]]),$G$5,"")),"")</f>
        <v/>
      </c>
      <c r="CE71" s="37" t="str">
        <f ca="1">IFERROR(+IF(CE$29=ProposalToGnatt[[#This Row],[Start Date]],Milestone_Marker,IF(AND(CE$29&gt;ProposalToGnatt[[#This Row],[Start Date]],CE$29&lt;ProposalToGnatt[[#This Row],[Start Date]]+ProposalToGnatt[[#This Row],[Days]]),$G$5,"")),"")</f>
        <v/>
      </c>
      <c r="CF71" s="37" t="str">
        <f ca="1">IFERROR(+IF(CF$29=ProposalToGnatt[[#This Row],[Start Date]],Milestone_Marker,IF(AND(CF$29&gt;ProposalToGnatt[[#This Row],[Start Date]],CF$29&lt;ProposalToGnatt[[#This Row],[Start Date]]+ProposalToGnatt[[#This Row],[Days]]),$G$5,"")),"")</f>
        <v/>
      </c>
      <c r="CG71" s="37" t="str">
        <f ca="1">IFERROR(+IF(CG$29=ProposalToGnatt[[#This Row],[Start Date]],Milestone_Marker,IF(AND(CG$29&gt;ProposalToGnatt[[#This Row],[Start Date]],CG$29&lt;ProposalToGnatt[[#This Row],[Start Date]]+ProposalToGnatt[[#This Row],[Days]]),$G$5,"")),"")</f>
        <v/>
      </c>
      <c r="CH71" s="37" t="str">
        <f ca="1">IFERROR(+IF(CH$29=ProposalToGnatt[[#This Row],[Start Date]],Milestone_Marker,IF(AND(CH$29&gt;ProposalToGnatt[[#This Row],[Start Date]],CH$29&lt;ProposalToGnatt[[#This Row],[Start Date]]+ProposalToGnatt[[#This Row],[Days]]),$G$5,"")),"")</f>
        <v/>
      </c>
      <c r="CI71" s="37" t="str">
        <f ca="1">IFERROR(+IF(CI$29=ProposalToGnatt[[#This Row],[Start Date]],Milestone_Marker,IF(AND(CI$29&gt;ProposalToGnatt[[#This Row],[Start Date]],CI$29&lt;ProposalToGnatt[[#This Row],[Start Date]]+ProposalToGnatt[[#This Row],[Days]]),$G$5,"")),"")</f>
        <v/>
      </c>
      <c r="CJ71" s="37" t="str">
        <f ca="1">IFERROR(+IF(CJ$29=ProposalToGnatt[[#This Row],[Start Date]],Milestone_Marker,IF(AND(CJ$29&gt;ProposalToGnatt[[#This Row],[Start Date]],CJ$29&lt;ProposalToGnatt[[#This Row],[Start Date]]+ProposalToGnatt[[#This Row],[Days]]),$G$5,"")),"")</f>
        <v/>
      </c>
      <c r="CK71" s="37" t="str">
        <f ca="1">IFERROR(+IF(CK$29=ProposalToGnatt[[#This Row],[Start Date]],Milestone_Marker,IF(AND(CK$29&gt;ProposalToGnatt[[#This Row],[Start Date]],CK$29&lt;ProposalToGnatt[[#This Row],[Start Date]]+ProposalToGnatt[[#This Row],[Days]]),$G$5,"")),"")</f>
        <v/>
      </c>
      <c r="CL71" s="37" t="str">
        <f ca="1">IFERROR(+IF(CL$29=ProposalToGnatt[[#This Row],[Start Date]],Milestone_Marker,IF(AND(CL$29&gt;ProposalToGnatt[[#This Row],[Start Date]],CL$29&lt;ProposalToGnatt[[#This Row],[Start Date]]+ProposalToGnatt[[#This Row],[Days]]),$G$5,"")),"")</f>
        <v/>
      </c>
      <c r="CM71" s="37" t="str">
        <f ca="1">IFERROR(+IF(CM$29=ProposalToGnatt[[#This Row],[Start Date]],Milestone_Marker,IF(AND(CM$29&gt;ProposalToGnatt[[#This Row],[Start Date]],CM$29&lt;ProposalToGnatt[[#This Row],[Start Date]]+ProposalToGnatt[[#This Row],[Days]]),$G$5,"")),"")</f>
        <v/>
      </c>
      <c r="CN71" s="37" t="str">
        <f ca="1">IFERROR(+IF(CN$29=ProposalToGnatt[[#This Row],[Start Date]],Milestone_Marker,IF(AND(CN$29&gt;ProposalToGnatt[[#This Row],[Start Date]],CN$29&lt;ProposalToGnatt[[#This Row],[Start Date]]+ProposalToGnatt[[#This Row],[Days]]),$G$5,"")),"")</f>
        <v/>
      </c>
      <c r="CO71" s="37" t="str">
        <f ca="1">IFERROR(+IF(CO$29=ProposalToGnatt[[#This Row],[Start Date]],Milestone_Marker,IF(AND(CO$29&gt;ProposalToGnatt[[#This Row],[Start Date]],CO$29&lt;ProposalToGnatt[[#This Row],[Start Date]]+ProposalToGnatt[[#This Row],[Days]]),$G$5,"")),"")</f>
        <v/>
      </c>
      <c r="CP71" s="37" t="str">
        <f ca="1">IFERROR(+IF(CP$29=ProposalToGnatt[[#This Row],[Start Date]],Milestone_Marker,IF(AND(CP$29&gt;ProposalToGnatt[[#This Row],[Start Date]],CP$29&lt;ProposalToGnatt[[#This Row],[Start Date]]+ProposalToGnatt[[#This Row],[Days]]),$G$5,"")),"")</f>
        <v/>
      </c>
      <c r="CQ71" s="37" t="str">
        <f ca="1">IFERROR(+IF(CQ$29=ProposalToGnatt[[#This Row],[Start Date]],Milestone_Marker,IF(AND(CQ$29&gt;ProposalToGnatt[[#This Row],[Start Date]],CQ$29&lt;ProposalToGnatt[[#This Row],[Start Date]]+ProposalToGnatt[[#This Row],[Days]]),$G$5,"")),"")</f>
        <v/>
      </c>
      <c r="CR71" s="37" t="str">
        <f ca="1">IFERROR(+IF(CR$29=ProposalToGnatt[[#This Row],[Start Date]],Milestone_Marker,IF(AND(CR$29&gt;ProposalToGnatt[[#This Row],[Start Date]],CR$29&lt;ProposalToGnatt[[#This Row],[Start Date]]+ProposalToGnatt[[#This Row],[Days]]),$G$5,"")),"")</f>
        <v/>
      </c>
      <c r="CS71" s="37" t="str">
        <f ca="1">IFERROR(+IF(CS$29=ProposalToGnatt[[#This Row],[Start Date]],Milestone_Marker,IF(AND(CS$29&gt;ProposalToGnatt[[#This Row],[Start Date]],CS$29&lt;ProposalToGnatt[[#This Row],[Start Date]]+ProposalToGnatt[[#This Row],[Days]]),$G$5,"")),"")</f>
        <v/>
      </c>
      <c r="CT71" s="37" t="str">
        <f ca="1">IFERROR(+IF(CT$29=ProposalToGnatt[[#This Row],[Start Date]],Milestone_Marker,IF(AND(CT$29&gt;ProposalToGnatt[[#This Row],[Start Date]],CT$29&lt;ProposalToGnatt[[#This Row],[Start Date]]+ProposalToGnatt[[#This Row],[Days]]),$G$5,"")),"")</f>
        <v/>
      </c>
      <c r="CU71" s="37" t="str">
        <f ca="1">IFERROR(+IF(CU$29=ProposalToGnatt[[#This Row],[Start Date]],Milestone_Marker,IF(AND(CU$29&gt;ProposalToGnatt[[#This Row],[Start Date]],CU$29&lt;ProposalToGnatt[[#This Row],[Start Date]]+ProposalToGnatt[[#This Row],[Days]]),$G$5,"")),"")</f>
        <v/>
      </c>
      <c r="CV71" s="37"/>
      <c r="CW71" s="37"/>
      <c r="CX71" s="37"/>
      <c r="CY71" s="37"/>
      <c r="CZ71" s="37"/>
      <c r="DA71" s="37"/>
      <c r="DB71" s="37"/>
      <c r="DC71" s="37"/>
      <c r="DD71" s="37"/>
      <c r="DE71" s="37"/>
      <c r="DF71" s="37"/>
      <c r="DG71" s="37"/>
      <c r="DH71" s="37"/>
      <c r="DI71" s="37"/>
      <c r="DJ71" s="37"/>
      <c r="DK71" s="37"/>
      <c r="DL71" s="37"/>
      <c r="DM71" s="37"/>
      <c r="DN71" s="37"/>
      <c r="DO71" s="37"/>
      <c r="DP71" s="37"/>
      <c r="DQ71" s="37"/>
      <c r="DR71" s="37"/>
      <c r="DS71" s="37"/>
      <c r="DT71" s="37"/>
      <c r="DU71" s="37"/>
    </row>
    <row r="72" spans="1:125" s="42" customFormat="1" ht="15">
      <c r="A72"/>
      <c r="B72"/>
      <c r="C72"/>
      <c r="D72"/>
      <c r="E72"/>
      <c r="F72"/>
      <c r="G72" s="11"/>
      <c r="H72" s="26"/>
      <c r="I72"/>
      <c r="J72"/>
      <c r="K72" s="363"/>
      <c r="L72"/>
      <c r="M72"/>
      <c r="N72"/>
      <c r="O72" s="26"/>
      <c r="P72" s="37" t="str">
        <f ca="1">IFERROR(+IF(P$29=ProposalToGnatt[[#This Row],[Start Date]],Milestone_Marker,IF(AND(P$29&gt;ProposalToGnatt[[#This Row],[Start Date]],P$29&lt;ProposalToGnatt[[#This Row],[Start Date]]+ProposalToGnatt[[#This Row],[Days]]),$G$5,"")),"")</f>
        <v/>
      </c>
      <c r="Q72" s="37" t="str">
        <f ca="1">IFERROR(+IF(Q$29=ProposalToGnatt[[#This Row],[Start Date]],Milestone_Marker,IF(AND(Q$29&gt;ProposalToGnatt[[#This Row],[Start Date]],Q$29&lt;ProposalToGnatt[[#This Row],[Start Date]]+ProposalToGnatt[[#This Row],[Days]]),$G$5,"")),"")</f>
        <v/>
      </c>
      <c r="R72" s="37" t="str">
        <f ca="1">IFERROR(+IF(R$29=ProposalToGnatt[[#This Row],[Start Date]],Milestone_Marker,IF(AND(R$29&gt;ProposalToGnatt[[#This Row],[Start Date]],R$29&lt;ProposalToGnatt[[#This Row],[Start Date]]+ProposalToGnatt[[#This Row],[Days]]),$G$5,"")),"")</f>
        <v/>
      </c>
      <c r="S72" s="37" t="str">
        <f ca="1">IFERROR(+IF(S$29=ProposalToGnatt[[#This Row],[Start Date]],Milestone_Marker,IF(AND(S$29&gt;ProposalToGnatt[[#This Row],[Start Date]],S$29&lt;ProposalToGnatt[[#This Row],[Start Date]]+ProposalToGnatt[[#This Row],[Days]]),$G$5,"")),"")</f>
        <v/>
      </c>
      <c r="T72" s="37" t="str">
        <f ca="1">IFERROR(+IF(T$29=ProposalToGnatt[[#This Row],[Start Date]],Milestone_Marker,IF(AND(T$29&gt;ProposalToGnatt[[#This Row],[Start Date]],T$29&lt;ProposalToGnatt[[#This Row],[Start Date]]+ProposalToGnatt[[#This Row],[Days]]),$G$5,"")),"")</f>
        <v/>
      </c>
      <c r="U72" s="37" t="str">
        <f ca="1">IFERROR(+IF(U$29=ProposalToGnatt[[#This Row],[Start Date]],Milestone_Marker,IF(AND(U$29&gt;ProposalToGnatt[[#This Row],[Start Date]],U$29&lt;ProposalToGnatt[[#This Row],[Start Date]]+ProposalToGnatt[[#This Row],[Days]]),$G$5,"")),"")</f>
        <v/>
      </c>
      <c r="V72" s="37" t="str">
        <f ca="1">IFERROR(+IF(V$29=ProposalToGnatt[[#This Row],[Start Date]],Milestone_Marker,IF(AND(V$29&gt;ProposalToGnatt[[#This Row],[Start Date]],V$29&lt;ProposalToGnatt[[#This Row],[Start Date]]+ProposalToGnatt[[#This Row],[Days]]),$G$5,"")),"")</f>
        <v/>
      </c>
      <c r="W72" s="37" t="str">
        <f ca="1">IFERROR(+IF(W$29=ProposalToGnatt[[#This Row],[Start Date]],Milestone_Marker,IF(AND(W$29&gt;ProposalToGnatt[[#This Row],[Start Date]],W$29&lt;ProposalToGnatt[[#This Row],[Start Date]]+ProposalToGnatt[[#This Row],[Days]]),$G$5,"")),"")</f>
        <v/>
      </c>
      <c r="X72" s="37" t="str">
        <f ca="1">IFERROR(+IF(X$29=ProposalToGnatt[[#This Row],[Start Date]],Milestone_Marker,IF(AND(X$29&gt;ProposalToGnatt[[#This Row],[Start Date]],X$29&lt;ProposalToGnatt[[#This Row],[Start Date]]+ProposalToGnatt[[#This Row],[Days]]),$G$5,"")),"")</f>
        <v/>
      </c>
      <c r="Y72" s="37" t="str">
        <f ca="1">IFERROR(+IF(Y$29=ProposalToGnatt[[#This Row],[Start Date]],Milestone_Marker,IF(AND(Y$29&gt;ProposalToGnatt[[#This Row],[Start Date]],Y$29&lt;ProposalToGnatt[[#This Row],[Start Date]]+ProposalToGnatt[[#This Row],[Days]]),$G$5,"")),"")</f>
        <v/>
      </c>
      <c r="Z72" s="37" t="str">
        <f ca="1">IFERROR(+IF(Z$29=ProposalToGnatt[[#This Row],[Start Date]],Milestone_Marker,IF(AND(Z$29&gt;ProposalToGnatt[[#This Row],[Start Date]],Z$29&lt;ProposalToGnatt[[#This Row],[Start Date]]+ProposalToGnatt[[#This Row],[Days]]),$G$5,"")),"")</f>
        <v/>
      </c>
      <c r="AA72" s="37" t="str">
        <f ca="1">IFERROR(+IF(AA$29=ProposalToGnatt[[#This Row],[Start Date]],Milestone_Marker,IF(AND(AA$29&gt;ProposalToGnatt[[#This Row],[Start Date]],AA$29&lt;ProposalToGnatt[[#This Row],[Start Date]]+ProposalToGnatt[[#This Row],[Days]]),$G$5,"")),"")</f>
        <v/>
      </c>
      <c r="AB72" s="37" t="str">
        <f ca="1">IFERROR(+IF(AB$29=ProposalToGnatt[[#This Row],[Start Date]],Milestone_Marker,IF(AND(AB$29&gt;ProposalToGnatt[[#This Row],[Start Date]],AB$29&lt;ProposalToGnatt[[#This Row],[Start Date]]+ProposalToGnatt[[#This Row],[Days]]),$G$5,"")),"")</f>
        <v/>
      </c>
      <c r="AC72" s="37" t="str">
        <f ca="1">IFERROR(+IF(AC$29=ProposalToGnatt[[#This Row],[Start Date]],Milestone_Marker,IF(AND(AC$29&gt;ProposalToGnatt[[#This Row],[Start Date]],AC$29&lt;ProposalToGnatt[[#This Row],[Start Date]]+ProposalToGnatt[[#This Row],[Days]]),$G$5,"")),"")</f>
        <v/>
      </c>
      <c r="AD72" s="37" t="str">
        <f ca="1">IFERROR(+IF(AD$29=ProposalToGnatt[[#This Row],[Start Date]],Milestone_Marker,IF(AND(AD$29&gt;ProposalToGnatt[[#This Row],[Start Date]],AD$29&lt;ProposalToGnatt[[#This Row],[Start Date]]+ProposalToGnatt[[#This Row],[Days]]),$G$5,"")),"")</f>
        <v/>
      </c>
      <c r="AE72" s="37" t="str">
        <f ca="1">IFERROR(+IF(AE$29=ProposalToGnatt[[#This Row],[Start Date]],Milestone_Marker,IF(AND(AE$29&gt;ProposalToGnatt[[#This Row],[Start Date]],AE$29&lt;ProposalToGnatt[[#This Row],[Start Date]]+ProposalToGnatt[[#This Row],[Days]]),$G$5,"")),"")</f>
        <v/>
      </c>
      <c r="AF72" s="37" t="str">
        <f ca="1">IFERROR(+IF(AF$29=ProposalToGnatt[[#This Row],[Start Date]],Milestone_Marker,IF(AND(AF$29&gt;ProposalToGnatt[[#This Row],[Start Date]],AF$29&lt;ProposalToGnatt[[#This Row],[Start Date]]+ProposalToGnatt[[#This Row],[Days]]),$G$5,"")),"")</f>
        <v/>
      </c>
      <c r="AG72" s="37" t="str">
        <f ca="1">IFERROR(+IF(AG$29=ProposalToGnatt[[#This Row],[Start Date]],Milestone_Marker,IF(AND(AG$29&gt;ProposalToGnatt[[#This Row],[Start Date]],AG$29&lt;ProposalToGnatt[[#This Row],[Start Date]]+ProposalToGnatt[[#This Row],[Days]]),$G$5,"")),"")</f>
        <v/>
      </c>
      <c r="AH72" s="37" t="str">
        <f ca="1">IFERROR(+IF(AH$29=ProposalToGnatt[[#This Row],[Start Date]],Milestone_Marker,IF(AND(AH$29&gt;ProposalToGnatt[[#This Row],[Start Date]],AH$29&lt;ProposalToGnatt[[#This Row],[Start Date]]+ProposalToGnatt[[#This Row],[Days]]),$G$5,"")),"")</f>
        <v/>
      </c>
      <c r="AI72" s="37" t="str">
        <f ca="1">IFERROR(+IF(AI$29=ProposalToGnatt[[#This Row],[Start Date]],Milestone_Marker,IF(AND(AI$29&gt;ProposalToGnatt[[#This Row],[Start Date]],AI$29&lt;ProposalToGnatt[[#This Row],[Start Date]]+ProposalToGnatt[[#This Row],[Days]]),$G$5,"")),"")</f>
        <v/>
      </c>
      <c r="AJ72" s="37" t="str">
        <f ca="1">IFERROR(+IF(AJ$29=ProposalToGnatt[[#This Row],[Start Date]],Milestone_Marker,IF(AND(AJ$29&gt;ProposalToGnatt[[#This Row],[Start Date]],AJ$29&lt;ProposalToGnatt[[#This Row],[Start Date]]+ProposalToGnatt[[#This Row],[Days]]),$G$5,"")),"")</f>
        <v/>
      </c>
      <c r="AK72" s="37" t="str">
        <f ca="1">IFERROR(+IF(AK$29=ProposalToGnatt[[#This Row],[Start Date]],Milestone_Marker,IF(AND(AK$29&gt;ProposalToGnatt[[#This Row],[Start Date]],AK$29&lt;ProposalToGnatt[[#This Row],[Start Date]]+ProposalToGnatt[[#This Row],[Days]]),$G$5,"")),"")</f>
        <v/>
      </c>
      <c r="AL72" s="37" t="str">
        <f ca="1">IFERROR(+IF(AL$29=ProposalToGnatt[[#This Row],[Start Date]],Milestone_Marker,IF(AND(AL$29&gt;ProposalToGnatt[[#This Row],[Start Date]],AL$29&lt;ProposalToGnatt[[#This Row],[Start Date]]+ProposalToGnatt[[#This Row],[Days]]),$G$5,"")),"")</f>
        <v/>
      </c>
      <c r="AM72" s="37" t="str">
        <f ca="1">IFERROR(+IF(AM$29=ProposalToGnatt[[#This Row],[Start Date]],Milestone_Marker,IF(AND(AM$29&gt;ProposalToGnatt[[#This Row],[Start Date]],AM$29&lt;ProposalToGnatt[[#This Row],[Start Date]]+ProposalToGnatt[[#This Row],[Days]]),$G$5,"")),"")</f>
        <v/>
      </c>
      <c r="AN72" s="37" t="str">
        <f ca="1">IFERROR(+IF(AN$29=ProposalToGnatt[[#This Row],[Start Date]],Milestone_Marker,IF(AND(AN$29&gt;ProposalToGnatt[[#This Row],[Start Date]],AN$29&lt;ProposalToGnatt[[#This Row],[Start Date]]+ProposalToGnatt[[#This Row],[Days]]),$G$5,"")),"")</f>
        <v/>
      </c>
      <c r="AO72" s="37" t="str">
        <f ca="1">IFERROR(+IF(AO$29=ProposalToGnatt[[#This Row],[Start Date]],Milestone_Marker,IF(AND(AO$29&gt;ProposalToGnatt[[#This Row],[Start Date]],AO$29&lt;ProposalToGnatt[[#This Row],[Start Date]]+ProposalToGnatt[[#This Row],[Days]]),$G$5,"")),"")</f>
        <v/>
      </c>
      <c r="AP72" s="37" t="str">
        <f ca="1">IFERROR(+IF(AP$29=ProposalToGnatt[[#This Row],[Start Date]],Milestone_Marker,IF(AND(AP$29&gt;ProposalToGnatt[[#This Row],[Start Date]],AP$29&lt;ProposalToGnatt[[#This Row],[Start Date]]+ProposalToGnatt[[#This Row],[Days]]),$G$5,"")),"")</f>
        <v/>
      </c>
      <c r="AQ72" s="37" t="str">
        <f ca="1">IFERROR(+IF(AQ$29=ProposalToGnatt[[#This Row],[Start Date]],Milestone_Marker,IF(AND(AQ$29&gt;ProposalToGnatt[[#This Row],[Start Date]],AQ$29&lt;ProposalToGnatt[[#This Row],[Start Date]]+ProposalToGnatt[[#This Row],[Days]]),$G$5,"")),"")</f>
        <v/>
      </c>
      <c r="AR72" s="37" t="str">
        <f ca="1">IFERROR(+IF(AR$29=ProposalToGnatt[[#This Row],[Start Date]],Milestone_Marker,IF(AND(AR$29&gt;ProposalToGnatt[[#This Row],[Start Date]],AR$29&lt;ProposalToGnatt[[#This Row],[Start Date]]+ProposalToGnatt[[#This Row],[Days]]),$G$5,"")),"")</f>
        <v/>
      </c>
      <c r="AS72" s="37" t="str">
        <f ca="1">IFERROR(+IF(AS$29=ProposalToGnatt[[#This Row],[Start Date]],Milestone_Marker,IF(AND(AS$29&gt;ProposalToGnatt[[#This Row],[Start Date]],AS$29&lt;ProposalToGnatt[[#This Row],[Start Date]]+ProposalToGnatt[[#This Row],[Days]]),$G$5,"")),"")</f>
        <v/>
      </c>
      <c r="AT72" s="37" t="str">
        <f ca="1">IFERROR(+IF(AT$29=ProposalToGnatt[[#This Row],[Start Date]],Milestone_Marker,IF(AND(AT$29&gt;ProposalToGnatt[[#This Row],[Start Date]],AT$29&lt;ProposalToGnatt[[#This Row],[Start Date]]+ProposalToGnatt[[#This Row],[Days]]),$G$5,"")),"")</f>
        <v/>
      </c>
      <c r="AU72" s="37" t="str">
        <f ca="1">IFERROR(+IF(AU$29=ProposalToGnatt[[#This Row],[Start Date]],Milestone_Marker,IF(AND(AU$29&gt;ProposalToGnatt[[#This Row],[Start Date]],AU$29&lt;ProposalToGnatt[[#This Row],[Start Date]]+ProposalToGnatt[[#This Row],[Days]]),$G$5,"")),"")</f>
        <v/>
      </c>
      <c r="AV72" s="37" t="str">
        <f ca="1">IFERROR(+IF(AV$29=ProposalToGnatt[[#This Row],[Start Date]],Milestone_Marker,IF(AND(AV$29&gt;ProposalToGnatt[[#This Row],[Start Date]],AV$29&lt;ProposalToGnatt[[#This Row],[Start Date]]+ProposalToGnatt[[#This Row],[Days]]),$G$5,"")),"")</f>
        <v/>
      </c>
      <c r="AW72" s="37" t="str">
        <f ca="1">IFERROR(+IF(AW$29=ProposalToGnatt[[#This Row],[Start Date]],Milestone_Marker,IF(AND(AW$29&gt;ProposalToGnatt[[#This Row],[Start Date]],AW$29&lt;ProposalToGnatt[[#This Row],[Start Date]]+ProposalToGnatt[[#This Row],[Days]]),$G$5,"")),"")</f>
        <v/>
      </c>
      <c r="AX72" s="37" t="str">
        <f ca="1">IFERROR(+IF(AX$29=ProposalToGnatt[[#This Row],[Start Date]],Milestone_Marker,IF(AND(AX$29&gt;ProposalToGnatt[[#This Row],[Start Date]],AX$29&lt;ProposalToGnatt[[#This Row],[Start Date]]+ProposalToGnatt[[#This Row],[Days]]),$G$5,"")),"")</f>
        <v/>
      </c>
      <c r="AY72" s="37" t="str">
        <f ca="1">IFERROR(+IF(AY$29=ProposalToGnatt[[#This Row],[Start Date]],Milestone_Marker,IF(AND(AY$29&gt;ProposalToGnatt[[#This Row],[Start Date]],AY$29&lt;ProposalToGnatt[[#This Row],[Start Date]]+ProposalToGnatt[[#This Row],[Days]]),$G$5,"")),"")</f>
        <v/>
      </c>
      <c r="AZ72" s="37" t="str">
        <f ca="1">IFERROR(+IF(AZ$29=ProposalToGnatt[[#This Row],[Start Date]],Milestone_Marker,IF(AND(AZ$29&gt;ProposalToGnatt[[#This Row],[Start Date]],AZ$29&lt;ProposalToGnatt[[#This Row],[Start Date]]+ProposalToGnatt[[#This Row],[Days]]),$G$5,"")),"")</f>
        <v/>
      </c>
      <c r="BA72" s="37" t="str">
        <f ca="1">IFERROR(+IF(BA$29=ProposalToGnatt[[#This Row],[Start Date]],Milestone_Marker,IF(AND(BA$29&gt;ProposalToGnatt[[#This Row],[Start Date]],BA$29&lt;ProposalToGnatt[[#This Row],[Start Date]]+ProposalToGnatt[[#This Row],[Days]]),$G$5,"")),"")</f>
        <v/>
      </c>
      <c r="BB72" s="37" t="str">
        <f ca="1">IFERROR(+IF(BB$29=ProposalToGnatt[[#This Row],[Start Date]],Milestone_Marker,IF(AND(BB$29&gt;ProposalToGnatt[[#This Row],[Start Date]],BB$29&lt;ProposalToGnatt[[#This Row],[Start Date]]+ProposalToGnatt[[#This Row],[Days]]),$G$5,"")),"")</f>
        <v/>
      </c>
      <c r="BC72" s="37" t="str">
        <f ca="1">IFERROR(+IF(BC$29=ProposalToGnatt[[#This Row],[Start Date]],Milestone_Marker,IF(AND(BC$29&gt;ProposalToGnatt[[#This Row],[Start Date]],BC$29&lt;ProposalToGnatt[[#This Row],[Start Date]]+ProposalToGnatt[[#This Row],[Days]]),$G$5,"")),"")</f>
        <v/>
      </c>
      <c r="BD72" s="37" t="str">
        <f ca="1">IFERROR(+IF(BD$29=ProposalToGnatt[[#This Row],[Start Date]],Milestone_Marker,IF(AND(BD$29&gt;ProposalToGnatt[[#This Row],[Start Date]],BD$29&lt;ProposalToGnatt[[#This Row],[Start Date]]+ProposalToGnatt[[#This Row],[Days]]),$G$5,"")),"")</f>
        <v/>
      </c>
      <c r="BE72" s="37" t="str">
        <f ca="1">IFERROR(+IF(BE$29=ProposalToGnatt[[#This Row],[Start Date]],Milestone_Marker,IF(AND(BE$29&gt;ProposalToGnatt[[#This Row],[Start Date]],BE$29&lt;ProposalToGnatt[[#This Row],[Start Date]]+ProposalToGnatt[[#This Row],[Days]]),$G$5,"")),"")</f>
        <v/>
      </c>
      <c r="BF72" s="37" t="str">
        <f ca="1">IFERROR(+IF(BF$29=ProposalToGnatt[[#This Row],[Start Date]],Milestone_Marker,IF(AND(BF$29&gt;ProposalToGnatt[[#This Row],[Start Date]],BF$29&lt;ProposalToGnatt[[#This Row],[Start Date]]+ProposalToGnatt[[#This Row],[Days]]),$G$5,"")),"")</f>
        <v/>
      </c>
      <c r="BG72" s="37" t="str">
        <f ca="1">IFERROR(+IF(BG$29=ProposalToGnatt[[#This Row],[Start Date]],Milestone_Marker,IF(AND(BG$29&gt;ProposalToGnatt[[#This Row],[Start Date]],BG$29&lt;ProposalToGnatt[[#This Row],[Start Date]]+ProposalToGnatt[[#This Row],[Days]]),$G$5,"")),"")</f>
        <v/>
      </c>
      <c r="BH72" s="37" t="str">
        <f ca="1">IFERROR(+IF(BH$29=ProposalToGnatt[[#This Row],[Start Date]],Milestone_Marker,IF(AND(BH$29&gt;ProposalToGnatt[[#This Row],[Start Date]],BH$29&lt;ProposalToGnatt[[#This Row],[Start Date]]+ProposalToGnatt[[#This Row],[Days]]),$G$5,"")),"")</f>
        <v/>
      </c>
      <c r="BI72" s="37" t="str">
        <f ca="1">IFERROR(+IF(BI$29=ProposalToGnatt[[#This Row],[Start Date]],Milestone_Marker,IF(AND(BI$29&gt;ProposalToGnatt[[#This Row],[Start Date]],BI$29&lt;ProposalToGnatt[[#This Row],[Start Date]]+ProposalToGnatt[[#This Row],[Days]]),$G$5,"")),"")</f>
        <v/>
      </c>
      <c r="BJ72" s="37" t="str">
        <f ca="1">IFERROR(+IF(BJ$29=ProposalToGnatt[[#This Row],[Start Date]],Milestone_Marker,IF(AND(BJ$29&gt;ProposalToGnatt[[#This Row],[Start Date]],BJ$29&lt;ProposalToGnatt[[#This Row],[Start Date]]+ProposalToGnatt[[#This Row],[Days]]),$G$5,"")),"")</f>
        <v/>
      </c>
      <c r="BK72" s="37" t="str">
        <f ca="1">IFERROR(+IF(BK$29=ProposalToGnatt[[#This Row],[Start Date]],Milestone_Marker,IF(AND(BK$29&gt;ProposalToGnatt[[#This Row],[Start Date]],BK$29&lt;ProposalToGnatt[[#This Row],[Start Date]]+ProposalToGnatt[[#This Row],[Days]]),$G$5,"")),"")</f>
        <v/>
      </c>
      <c r="BL72" s="37" t="str">
        <f ca="1">IFERROR(+IF(BL$29=ProposalToGnatt[[#This Row],[Start Date]],Milestone_Marker,IF(AND(BL$29&gt;ProposalToGnatt[[#This Row],[Start Date]],BL$29&lt;ProposalToGnatt[[#This Row],[Start Date]]+ProposalToGnatt[[#This Row],[Days]]),$G$5,"")),"")</f>
        <v/>
      </c>
      <c r="BM72" s="37" t="str">
        <f ca="1">IFERROR(+IF(BM$29=ProposalToGnatt[[#This Row],[Start Date]],Milestone_Marker,IF(AND(BM$29&gt;ProposalToGnatt[[#This Row],[Start Date]],BM$29&lt;ProposalToGnatt[[#This Row],[Start Date]]+ProposalToGnatt[[#This Row],[Days]]),$G$5,"")),"")</f>
        <v/>
      </c>
      <c r="BN72" s="37" t="str">
        <f ca="1">IFERROR(+IF(BN$29=ProposalToGnatt[[#This Row],[Start Date]],Milestone_Marker,IF(AND(BN$29&gt;ProposalToGnatt[[#This Row],[Start Date]],BN$29&lt;ProposalToGnatt[[#This Row],[Start Date]]+ProposalToGnatt[[#This Row],[Days]]),$G$5,"")),"")</f>
        <v/>
      </c>
      <c r="BO72" s="37" t="str">
        <f ca="1">IFERROR(+IF(BO$29=ProposalToGnatt[[#This Row],[Start Date]],Milestone_Marker,IF(AND(BO$29&gt;ProposalToGnatt[[#This Row],[Start Date]],BO$29&lt;ProposalToGnatt[[#This Row],[Start Date]]+ProposalToGnatt[[#This Row],[Days]]),$G$5,"")),"")</f>
        <v/>
      </c>
      <c r="BP72" s="37" t="str">
        <f ca="1">IFERROR(+IF(BP$29=ProposalToGnatt[[#This Row],[Start Date]],Milestone_Marker,IF(AND(BP$29&gt;ProposalToGnatt[[#This Row],[Start Date]],BP$29&lt;ProposalToGnatt[[#This Row],[Start Date]]+ProposalToGnatt[[#This Row],[Days]]),$G$5,"")),"")</f>
        <v/>
      </c>
      <c r="BQ72" s="37" t="str">
        <f ca="1">IFERROR(+IF(BQ$29=ProposalToGnatt[[#This Row],[Start Date]],Milestone_Marker,IF(AND(BQ$29&gt;ProposalToGnatt[[#This Row],[Start Date]],BQ$29&lt;ProposalToGnatt[[#This Row],[Start Date]]+ProposalToGnatt[[#This Row],[Days]]),$G$5,"")),"")</f>
        <v/>
      </c>
      <c r="BR72" s="37" t="str">
        <f ca="1">IFERROR(+IF(BR$29=ProposalToGnatt[[#This Row],[Start Date]],Milestone_Marker,IF(AND(BR$29&gt;ProposalToGnatt[[#This Row],[Start Date]],BR$29&lt;ProposalToGnatt[[#This Row],[Start Date]]+ProposalToGnatt[[#This Row],[Days]]),$G$5,"")),"")</f>
        <v/>
      </c>
      <c r="BS72" s="37" t="str">
        <f ca="1">IFERROR(+IF(BS$29=ProposalToGnatt[[#This Row],[Start Date]],Milestone_Marker,IF(AND(BS$29&gt;ProposalToGnatt[[#This Row],[Start Date]],BS$29&lt;ProposalToGnatt[[#This Row],[Start Date]]+ProposalToGnatt[[#This Row],[Days]]),$G$5,"")),"")</f>
        <v/>
      </c>
      <c r="BT72" s="37" t="str">
        <f ca="1">IFERROR(+IF(BT$29=ProposalToGnatt[[#This Row],[Start Date]],Milestone_Marker,IF(AND(BT$29&gt;ProposalToGnatt[[#This Row],[Start Date]],BT$29&lt;ProposalToGnatt[[#This Row],[Start Date]]+ProposalToGnatt[[#This Row],[Days]]),$G$5,"")),"")</f>
        <v/>
      </c>
      <c r="BU72" s="37" t="str">
        <f ca="1">IFERROR(+IF(BU$29=ProposalToGnatt[[#This Row],[Start Date]],Milestone_Marker,IF(AND(BU$29&gt;ProposalToGnatt[[#This Row],[Start Date]],BU$29&lt;ProposalToGnatt[[#This Row],[Start Date]]+ProposalToGnatt[[#This Row],[Days]]),$G$5,"")),"")</f>
        <v/>
      </c>
      <c r="BV72" s="37" t="str">
        <f ca="1">IFERROR(+IF(BV$29=ProposalToGnatt[[#This Row],[Start Date]],Milestone_Marker,IF(AND(BV$29&gt;ProposalToGnatt[[#This Row],[Start Date]],BV$29&lt;ProposalToGnatt[[#This Row],[Start Date]]+ProposalToGnatt[[#This Row],[Days]]),$G$5,"")),"")</f>
        <v/>
      </c>
      <c r="BW72" s="37" t="str">
        <f ca="1">IFERROR(+IF(BW$29=ProposalToGnatt[[#This Row],[Start Date]],Milestone_Marker,IF(AND(BW$29&gt;ProposalToGnatt[[#This Row],[Start Date]],BW$29&lt;ProposalToGnatt[[#This Row],[Start Date]]+ProposalToGnatt[[#This Row],[Days]]),$G$5,"")),"")</f>
        <v/>
      </c>
      <c r="BX72" s="37" t="str">
        <f ca="1">IFERROR(+IF(BX$29=ProposalToGnatt[[#This Row],[Start Date]],Milestone_Marker,IF(AND(BX$29&gt;ProposalToGnatt[[#This Row],[Start Date]],BX$29&lt;ProposalToGnatt[[#This Row],[Start Date]]+ProposalToGnatt[[#This Row],[Days]]),$G$5,"")),"")</f>
        <v/>
      </c>
      <c r="BY72" s="37" t="str">
        <f ca="1">IFERROR(+IF(BY$29=ProposalToGnatt[[#This Row],[Start Date]],Milestone_Marker,IF(AND(BY$29&gt;ProposalToGnatt[[#This Row],[Start Date]],BY$29&lt;ProposalToGnatt[[#This Row],[Start Date]]+ProposalToGnatt[[#This Row],[Days]]),$G$5,"")),"")</f>
        <v/>
      </c>
      <c r="BZ72" s="37" t="str">
        <f ca="1">IFERROR(+IF(BZ$29=ProposalToGnatt[[#This Row],[Start Date]],Milestone_Marker,IF(AND(BZ$29&gt;ProposalToGnatt[[#This Row],[Start Date]],BZ$29&lt;ProposalToGnatt[[#This Row],[Start Date]]+ProposalToGnatt[[#This Row],[Days]]),$G$5,"")),"")</f>
        <v/>
      </c>
      <c r="CA72" s="37" t="str">
        <f ca="1">IFERROR(+IF(CA$29=ProposalToGnatt[[#This Row],[Start Date]],Milestone_Marker,IF(AND(CA$29&gt;ProposalToGnatt[[#This Row],[Start Date]],CA$29&lt;ProposalToGnatt[[#This Row],[Start Date]]+ProposalToGnatt[[#This Row],[Days]]),$G$5,"")),"")</f>
        <v/>
      </c>
      <c r="CB72" s="37" t="str">
        <f ca="1">IFERROR(+IF(CB$29=ProposalToGnatt[[#This Row],[Start Date]],Milestone_Marker,IF(AND(CB$29&gt;ProposalToGnatt[[#This Row],[Start Date]],CB$29&lt;ProposalToGnatt[[#This Row],[Start Date]]+ProposalToGnatt[[#This Row],[Days]]),$G$5,"")),"")</f>
        <v/>
      </c>
      <c r="CC72" s="37" t="str">
        <f ca="1">IFERROR(+IF(CC$29=ProposalToGnatt[[#This Row],[Start Date]],Milestone_Marker,IF(AND(CC$29&gt;ProposalToGnatt[[#This Row],[Start Date]],CC$29&lt;ProposalToGnatt[[#This Row],[Start Date]]+ProposalToGnatt[[#This Row],[Days]]),$G$5,"")),"")</f>
        <v/>
      </c>
      <c r="CD72" s="37" t="str">
        <f ca="1">IFERROR(+IF(CD$29=ProposalToGnatt[[#This Row],[Start Date]],Milestone_Marker,IF(AND(CD$29&gt;ProposalToGnatt[[#This Row],[Start Date]],CD$29&lt;ProposalToGnatt[[#This Row],[Start Date]]+ProposalToGnatt[[#This Row],[Days]]),$G$5,"")),"")</f>
        <v/>
      </c>
      <c r="CE72" s="37" t="str">
        <f ca="1">IFERROR(+IF(CE$29=ProposalToGnatt[[#This Row],[Start Date]],Milestone_Marker,IF(AND(CE$29&gt;ProposalToGnatt[[#This Row],[Start Date]],CE$29&lt;ProposalToGnatt[[#This Row],[Start Date]]+ProposalToGnatt[[#This Row],[Days]]),$G$5,"")),"")</f>
        <v/>
      </c>
      <c r="CF72" s="37" t="str">
        <f ca="1">IFERROR(+IF(CF$29=ProposalToGnatt[[#This Row],[Start Date]],Milestone_Marker,IF(AND(CF$29&gt;ProposalToGnatt[[#This Row],[Start Date]],CF$29&lt;ProposalToGnatt[[#This Row],[Start Date]]+ProposalToGnatt[[#This Row],[Days]]),$G$5,"")),"")</f>
        <v/>
      </c>
      <c r="CG72" s="37" t="str">
        <f ca="1">IFERROR(+IF(CG$29=ProposalToGnatt[[#This Row],[Start Date]],Milestone_Marker,IF(AND(CG$29&gt;ProposalToGnatt[[#This Row],[Start Date]],CG$29&lt;ProposalToGnatt[[#This Row],[Start Date]]+ProposalToGnatt[[#This Row],[Days]]),$G$5,"")),"")</f>
        <v/>
      </c>
      <c r="CH72" s="37" t="str">
        <f ca="1">IFERROR(+IF(CH$29=ProposalToGnatt[[#This Row],[Start Date]],Milestone_Marker,IF(AND(CH$29&gt;ProposalToGnatt[[#This Row],[Start Date]],CH$29&lt;ProposalToGnatt[[#This Row],[Start Date]]+ProposalToGnatt[[#This Row],[Days]]),$G$5,"")),"")</f>
        <v/>
      </c>
      <c r="CI72" s="37" t="str">
        <f ca="1">IFERROR(+IF(CI$29=ProposalToGnatt[[#This Row],[Start Date]],Milestone_Marker,IF(AND(CI$29&gt;ProposalToGnatt[[#This Row],[Start Date]],CI$29&lt;ProposalToGnatt[[#This Row],[Start Date]]+ProposalToGnatt[[#This Row],[Days]]),$G$5,"")),"")</f>
        <v/>
      </c>
      <c r="CJ72" s="37" t="str">
        <f ca="1">IFERROR(+IF(CJ$29=ProposalToGnatt[[#This Row],[Start Date]],Milestone_Marker,IF(AND(CJ$29&gt;ProposalToGnatt[[#This Row],[Start Date]],CJ$29&lt;ProposalToGnatt[[#This Row],[Start Date]]+ProposalToGnatt[[#This Row],[Days]]),$G$5,"")),"")</f>
        <v/>
      </c>
      <c r="CK72" s="37" t="str">
        <f ca="1">IFERROR(+IF(CK$29=ProposalToGnatt[[#This Row],[Start Date]],Milestone_Marker,IF(AND(CK$29&gt;ProposalToGnatt[[#This Row],[Start Date]],CK$29&lt;ProposalToGnatt[[#This Row],[Start Date]]+ProposalToGnatt[[#This Row],[Days]]),$G$5,"")),"")</f>
        <v/>
      </c>
      <c r="CL72" s="37" t="str">
        <f ca="1">IFERROR(+IF(CL$29=ProposalToGnatt[[#This Row],[Start Date]],Milestone_Marker,IF(AND(CL$29&gt;ProposalToGnatt[[#This Row],[Start Date]],CL$29&lt;ProposalToGnatt[[#This Row],[Start Date]]+ProposalToGnatt[[#This Row],[Days]]),$G$5,"")),"")</f>
        <v/>
      </c>
      <c r="CM72" s="37" t="str">
        <f ca="1">IFERROR(+IF(CM$29=ProposalToGnatt[[#This Row],[Start Date]],Milestone_Marker,IF(AND(CM$29&gt;ProposalToGnatt[[#This Row],[Start Date]],CM$29&lt;ProposalToGnatt[[#This Row],[Start Date]]+ProposalToGnatt[[#This Row],[Days]]),$G$5,"")),"")</f>
        <v/>
      </c>
      <c r="CN72" s="37" t="str">
        <f ca="1">IFERROR(+IF(CN$29=ProposalToGnatt[[#This Row],[Start Date]],Milestone_Marker,IF(AND(CN$29&gt;ProposalToGnatt[[#This Row],[Start Date]],CN$29&lt;ProposalToGnatt[[#This Row],[Start Date]]+ProposalToGnatt[[#This Row],[Days]]),$G$5,"")),"")</f>
        <v/>
      </c>
      <c r="CO72" s="37" t="str">
        <f ca="1">IFERROR(+IF(CO$29=ProposalToGnatt[[#This Row],[Start Date]],Milestone_Marker,IF(AND(CO$29&gt;ProposalToGnatt[[#This Row],[Start Date]],CO$29&lt;ProposalToGnatt[[#This Row],[Start Date]]+ProposalToGnatt[[#This Row],[Days]]),$G$5,"")),"")</f>
        <v/>
      </c>
      <c r="CP72" s="37" t="str">
        <f ca="1">IFERROR(+IF(CP$29=ProposalToGnatt[[#This Row],[Start Date]],Milestone_Marker,IF(AND(CP$29&gt;ProposalToGnatt[[#This Row],[Start Date]],CP$29&lt;ProposalToGnatt[[#This Row],[Start Date]]+ProposalToGnatt[[#This Row],[Days]]),$G$5,"")),"")</f>
        <v/>
      </c>
      <c r="CQ72" s="37" t="str">
        <f ca="1">IFERROR(+IF(CQ$29=ProposalToGnatt[[#This Row],[Start Date]],Milestone_Marker,IF(AND(CQ$29&gt;ProposalToGnatt[[#This Row],[Start Date]],CQ$29&lt;ProposalToGnatt[[#This Row],[Start Date]]+ProposalToGnatt[[#This Row],[Days]]),$G$5,"")),"")</f>
        <v/>
      </c>
      <c r="CR72" s="37" t="str">
        <f ca="1">IFERROR(+IF(CR$29=ProposalToGnatt[[#This Row],[Start Date]],Milestone_Marker,IF(AND(CR$29&gt;ProposalToGnatt[[#This Row],[Start Date]],CR$29&lt;ProposalToGnatt[[#This Row],[Start Date]]+ProposalToGnatt[[#This Row],[Days]]),$G$5,"")),"")</f>
        <v/>
      </c>
      <c r="CS72" s="37" t="str">
        <f ca="1">IFERROR(+IF(CS$29=ProposalToGnatt[[#This Row],[Start Date]],Milestone_Marker,IF(AND(CS$29&gt;ProposalToGnatt[[#This Row],[Start Date]],CS$29&lt;ProposalToGnatt[[#This Row],[Start Date]]+ProposalToGnatt[[#This Row],[Days]]),$G$5,"")),"")</f>
        <v/>
      </c>
      <c r="CT72" s="37" t="str">
        <f ca="1">IFERROR(+IF(CT$29=ProposalToGnatt[[#This Row],[Start Date]],Milestone_Marker,IF(AND(CT$29&gt;ProposalToGnatt[[#This Row],[Start Date]],CT$29&lt;ProposalToGnatt[[#This Row],[Start Date]]+ProposalToGnatt[[#This Row],[Days]]),$G$5,"")),"")</f>
        <v/>
      </c>
      <c r="CU72" s="37" t="str">
        <f ca="1">IFERROR(+IF(CU$29=ProposalToGnatt[[#This Row],[Start Date]],Milestone_Marker,IF(AND(CU$29&gt;ProposalToGnatt[[#This Row],[Start Date]],CU$29&lt;ProposalToGnatt[[#This Row],[Start Date]]+ProposalToGnatt[[#This Row],[Days]]),$G$5,"")),"")</f>
        <v/>
      </c>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row>
    <row r="73" spans="1:125" s="42" customFormat="1" ht="15">
      <c r="A73"/>
      <c r="B73"/>
      <c r="C73"/>
      <c r="D73"/>
      <c r="E73"/>
      <c r="F73"/>
      <c r="G73" s="11"/>
      <c r="H73" s="26"/>
      <c r="I73"/>
      <c r="J73"/>
      <c r="K73" s="363"/>
      <c r="L73"/>
      <c r="M73"/>
      <c r="N73"/>
      <c r="O73" s="26"/>
      <c r="P73" s="37" t="str">
        <f ca="1">IFERROR(+IF(P$29=ProposalToGnatt[[#This Row],[Start Date]],Milestone_Marker,IF(AND(P$29&gt;ProposalToGnatt[[#This Row],[Start Date]],P$29&lt;ProposalToGnatt[[#This Row],[Start Date]]+ProposalToGnatt[[#This Row],[Days]]),$G$5,"")),"")</f>
        <v/>
      </c>
      <c r="Q73" s="37" t="str">
        <f ca="1">IFERROR(+IF(Q$29=ProposalToGnatt[[#This Row],[Start Date]],Milestone_Marker,IF(AND(Q$29&gt;ProposalToGnatt[[#This Row],[Start Date]],Q$29&lt;ProposalToGnatt[[#This Row],[Start Date]]+ProposalToGnatt[[#This Row],[Days]]),$G$5,"")),"")</f>
        <v/>
      </c>
      <c r="R73" s="37" t="str">
        <f ca="1">IFERROR(+IF(R$29=ProposalToGnatt[[#This Row],[Start Date]],Milestone_Marker,IF(AND(R$29&gt;ProposalToGnatt[[#This Row],[Start Date]],R$29&lt;ProposalToGnatt[[#This Row],[Start Date]]+ProposalToGnatt[[#This Row],[Days]]),$G$5,"")),"")</f>
        <v/>
      </c>
      <c r="S73" s="37" t="str">
        <f ca="1">IFERROR(+IF(S$29=ProposalToGnatt[[#This Row],[Start Date]],Milestone_Marker,IF(AND(S$29&gt;ProposalToGnatt[[#This Row],[Start Date]],S$29&lt;ProposalToGnatt[[#This Row],[Start Date]]+ProposalToGnatt[[#This Row],[Days]]),$G$5,"")),"")</f>
        <v/>
      </c>
      <c r="T73" s="37" t="str">
        <f ca="1">IFERROR(+IF(T$29=ProposalToGnatt[[#This Row],[Start Date]],Milestone_Marker,IF(AND(T$29&gt;ProposalToGnatt[[#This Row],[Start Date]],T$29&lt;ProposalToGnatt[[#This Row],[Start Date]]+ProposalToGnatt[[#This Row],[Days]]),$G$5,"")),"")</f>
        <v/>
      </c>
      <c r="U73" s="37" t="str">
        <f ca="1">IFERROR(+IF(U$29=ProposalToGnatt[[#This Row],[Start Date]],Milestone_Marker,IF(AND(U$29&gt;ProposalToGnatt[[#This Row],[Start Date]],U$29&lt;ProposalToGnatt[[#This Row],[Start Date]]+ProposalToGnatt[[#This Row],[Days]]),$G$5,"")),"")</f>
        <v/>
      </c>
      <c r="V73" s="37" t="str">
        <f ca="1">IFERROR(+IF(V$29=ProposalToGnatt[[#This Row],[Start Date]],Milestone_Marker,IF(AND(V$29&gt;ProposalToGnatt[[#This Row],[Start Date]],V$29&lt;ProposalToGnatt[[#This Row],[Start Date]]+ProposalToGnatt[[#This Row],[Days]]),$G$5,"")),"")</f>
        <v/>
      </c>
      <c r="W73" s="37" t="str">
        <f ca="1">IFERROR(+IF(W$29=ProposalToGnatt[[#This Row],[Start Date]],Milestone_Marker,IF(AND(W$29&gt;ProposalToGnatt[[#This Row],[Start Date]],W$29&lt;ProposalToGnatt[[#This Row],[Start Date]]+ProposalToGnatt[[#This Row],[Days]]),$G$5,"")),"")</f>
        <v/>
      </c>
      <c r="X73" s="37" t="str">
        <f ca="1">IFERROR(+IF(X$29=ProposalToGnatt[[#This Row],[Start Date]],Milestone_Marker,IF(AND(X$29&gt;ProposalToGnatt[[#This Row],[Start Date]],X$29&lt;ProposalToGnatt[[#This Row],[Start Date]]+ProposalToGnatt[[#This Row],[Days]]),$G$5,"")),"")</f>
        <v/>
      </c>
      <c r="Y73" s="37" t="str">
        <f ca="1">IFERROR(+IF(Y$29=ProposalToGnatt[[#This Row],[Start Date]],Milestone_Marker,IF(AND(Y$29&gt;ProposalToGnatt[[#This Row],[Start Date]],Y$29&lt;ProposalToGnatt[[#This Row],[Start Date]]+ProposalToGnatt[[#This Row],[Days]]),$G$5,"")),"")</f>
        <v/>
      </c>
      <c r="Z73" s="37" t="str">
        <f ca="1">IFERROR(+IF(Z$29=ProposalToGnatt[[#This Row],[Start Date]],Milestone_Marker,IF(AND(Z$29&gt;ProposalToGnatt[[#This Row],[Start Date]],Z$29&lt;ProposalToGnatt[[#This Row],[Start Date]]+ProposalToGnatt[[#This Row],[Days]]),$G$5,"")),"")</f>
        <v/>
      </c>
      <c r="AA73" s="37" t="str">
        <f ca="1">IFERROR(+IF(AA$29=ProposalToGnatt[[#This Row],[Start Date]],Milestone_Marker,IF(AND(AA$29&gt;ProposalToGnatt[[#This Row],[Start Date]],AA$29&lt;ProposalToGnatt[[#This Row],[Start Date]]+ProposalToGnatt[[#This Row],[Days]]),$G$5,"")),"")</f>
        <v/>
      </c>
      <c r="AB73" s="37" t="str">
        <f ca="1">IFERROR(+IF(AB$29=ProposalToGnatt[[#This Row],[Start Date]],Milestone_Marker,IF(AND(AB$29&gt;ProposalToGnatt[[#This Row],[Start Date]],AB$29&lt;ProposalToGnatt[[#This Row],[Start Date]]+ProposalToGnatt[[#This Row],[Days]]),$G$5,"")),"")</f>
        <v/>
      </c>
      <c r="AC73" s="37" t="str">
        <f ca="1">IFERROR(+IF(AC$29=ProposalToGnatt[[#This Row],[Start Date]],Milestone_Marker,IF(AND(AC$29&gt;ProposalToGnatt[[#This Row],[Start Date]],AC$29&lt;ProposalToGnatt[[#This Row],[Start Date]]+ProposalToGnatt[[#This Row],[Days]]),$G$5,"")),"")</f>
        <v/>
      </c>
      <c r="AD73" s="37" t="str">
        <f ca="1">IFERROR(+IF(AD$29=ProposalToGnatt[[#This Row],[Start Date]],Milestone_Marker,IF(AND(AD$29&gt;ProposalToGnatt[[#This Row],[Start Date]],AD$29&lt;ProposalToGnatt[[#This Row],[Start Date]]+ProposalToGnatt[[#This Row],[Days]]),$G$5,"")),"")</f>
        <v/>
      </c>
      <c r="AE73" s="37" t="str">
        <f ca="1">IFERROR(+IF(AE$29=ProposalToGnatt[[#This Row],[Start Date]],Milestone_Marker,IF(AND(AE$29&gt;ProposalToGnatt[[#This Row],[Start Date]],AE$29&lt;ProposalToGnatt[[#This Row],[Start Date]]+ProposalToGnatt[[#This Row],[Days]]),$G$5,"")),"")</f>
        <v/>
      </c>
      <c r="AF73" s="37" t="str">
        <f ca="1">IFERROR(+IF(AF$29=ProposalToGnatt[[#This Row],[Start Date]],Milestone_Marker,IF(AND(AF$29&gt;ProposalToGnatt[[#This Row],[Start Date]],AF$29&lt;ProposalToGnatt[[#This Row],[Start Date]]+ProposalToGnatt[[#This Row],[Days]]),$G$5,"")),"")</f>
        <v/>
      </c>
      <c r="AG73" s="37" t="str">
        <f ca="1">IFERROR(+IF(AG$29=ProposalToGnatt[[#This Row],[Start Date]],Milestone_Marker,IF(AND(AG$29&gt;ProposalToGnatt[[#This Row],[Start Date]],AG$29&lt;ProposalToGnatt[[#This Row],[Start Date]]+ProposalToGnatt[[#This Row],[Days]]),$G$5,"")),"")</f>
        <v/>
      </c>
      <c r="AH73" s="37" t="str">
        <f ca="1">IFERROR(+IF(AH$29=ProposalToGnatt[[#This Row],[Start Date]],Milestone_Marker,IF(AND(AH$29&gt;ProposalToGnatt[[#This Row],[Start Date]],AH$29&lt;ProposalToGnatt[[#This Row],[Start Date]]+ProposalToGnatt[[#This Row],[Days]]),$G$5,"")),"")</f>
        <v/>
      </c>
      <c r="AI73" s="37" t="str">
        <f ca="1">IFERROR(+IF(AI$29=ProposalToGnatt[[#This Row],[Start Date]],Milestone_Marker,IF(AND(AI$29&gt;ProposalToGnatt[[#This Row],[Start Date]],AI$29&lt;ProposalToGnatt[[#This Row],[Start Date]]+ProposalToGnatt[[#This Row],[Days]]),$G$5,"")),"")</f>
        <v/>
      </c>
      <c r="AJ73" s="37" t="str">
        <f ca="1">IFERROR(+IF(AJ$29=ProposalToGnatt[[#This Row],[Start Date]],Milestone_Marker,IF(AND(AJ$29&gt;ProposalToGnatt[[#This Row],[Start Date]],AJ$29&lt;ProposalToGnatt[[#This Row],[Start Date]]+ProposalToGnatt[[#This Row],[Days]]),$G$5,"")),"")</f>
        <v/>
      </c>
      <c r="AK73" s="37" t="str">
        <f ca="1">IFERROR(+IF(AK$29=ProposalToGnatt[[#This Row],[Start Date]],Milestone_Marker,IF(AND(AK$29&gt;ProposalToGnatt[[#This Row],[Start Date]],AK$29&lt;ProposalToGnatt[[#This Row],[Start Date]]+ProposalToGnatt[[#This Row],[Days]]),$G$5,"")),"")</f>
        <v/>
      </c>
      <c r="AL73" s="37" t="str">
        <f ca="1">IFERROR(+IF(AL$29=ProposalToGnatt[[#This Row],[Start Date]],Milestone_Marker,IF(AND(AL$29&gt;ProposalToGnatt[[#This Row],[Start Date]],AL$29&lt;ProposalToGnatt[[#This Row],[Start Date]]+ProposalToGnatt[[#This Row],[Days]]),$G$5,"")),"")</f>
        <v/>
      </c>
      <c r="AM73" s="37" t="str">
        <f ca="1">IFERROR(+IF(AM$29=ProposalToGnatt[[#This Row],[Start Date]],Milestone_Marker,IF(AND(AM$29&gt;ProposalToGnatt[[#This Row],[Start Date]],AM$29&lt;ProposalToGnatt[[#This Row],[Start Date]]+ProposalToGnatt[[#This Row],[Days]]),$G$5,"")),"")</f>
        <v/>
      </c>
      <c r="AN73" s="37" t="str">
        <f ca="1">IFERROR(+IF(AN$29=ProposalToGnatt[[#This Row],[Start Date]],Milestone_Marker,IF(AND(AN$29&gt;ProposalToGnatt[[#This Row],[Start Date]],AN$29&lt;ProposalToGnatt[[#This Row],[Start Date]]+ProposalToGnatt[[#This Row],[Days]]),$G$5,"")),"")</f>
        <v/>
      </c>
      <c r="AO73" s="37" t="str">
        <f ca="1">IFERROR(+IF(AO$29=ProposalToGnatt[[#This Row],[Start Date]],Milestone_Marker,IF(AND(AO$29&gt;ProposalToGnatt[[#This Row],[Start Date]],AO$29&lt;ProposalToGnatt[[#This Row],[Start Date]]+ProposalToGnatt[[#This Row],[Days]]),$G$5,"")),"")</f>
        <v/>
      </c>
      <c r="AP73" s="37" t="str">
        <f ca="1">IFERROR(+IF(AP$29=ProposalToGnatt[[#This Row],[Start Date]],Milestone_Marker,IF(AND(AP$29&gt;ProposalToGnatt[[#This Row],[Start Date]],AP$29&lt;ProposalToGnatt[[#This Row],[Start Date]]+ProposalToGnatt[[#This Row],[Days]]),$G$5,"")),"")</f>
        <v/>
      </c>
      <c r="AQ73" s="37" t="str">
        <f ca="1">IFERROR(+IF(AQ$29=ProposalToGnatt[[#This Row],[Start Date]],Milestone_Marker,IF(AND(AQ$29&gt;ProposalToGnatt[[#This Row],[Start Date]],AQ$29&lt;ProposalToGnatt[[#This Row],[Start Date]]+ProposalToGnatt[[#This Row],[Days]]),$G$5,"")),"")</f>
        <v/>
      </c>
      <c r="AR73" s="37" t="str">
        <f ca="1">IFERROR(+IF(AR$29=ProposalToGnatt[[#This Row],[Start Date]],Milestone_Marker,IF(AND(AR$29&gt;ProposalToGnatt[[#This Row],[Start Date]],AR$29&lt;ProposalToGnatt[[#This Row],[Start Date]]+ProposalToGnatt[[#This Row],[Days]]),$G$5,"")),"")</f>
        <v/>
      </c>
      <c r="AS73" s="37" t="str">
        <f ca="1">IFERROR(+IF(AS$29=ProposalToGnatt[[#This Row],[Start Date]],Milestone_Marker,IF(AND(AS$29&gt;ProposalToGnatt[[#This Row],[Start Date]],AS$29&lt;ProposalToGnatt[[#This Row],[Start Date]]+ProposalToGnatt[[#This Row],[Days]]),$G$5,"")),"")</f>
        <v/>
      </c>
      <c r="AT73" s="37" t="str">
        <f ca="1">IFERROR(+IF(AT$29=ProposalToGnatt[[#This Row],[Start Date]],Milestone_Marker,IF(AND(AT$29&gt;ProposalToGnatt[[#This Row],[Start Date]],AT$29&lt;ProposalToGnatt[[#This Row],[Start Date]]+ProposalToGnatt[[#This Row],[Days]]),$G$5,"")),"")</f>
        <v/>
      </c>
      <c r="AU73" s="37" t="str">
        <f ca="1">IFERROR(+IF(AU$29=ProposalToGnatt[[#This Row],[Start Date]],Milestone_Marker,IF(AND(AU$29&gt;ProposalToGnatt[[#This Row],[Start Date]],AU$29&lt;ProposalToGnatt[[#This Row],[Start Date]]+ProposalToGnatt[[#This Row],[Days]]),$G$5,"")),"")</f>
        <v/>
      </c>
      <c r="AV73" s="37" t="str">
        <f ca="1">IFERROR(+IF(AV$29=ProposalToGnatt[[#This Row],[Start Date]],Milestone_Marker,IF(AND(AV$29&gt;ProposalToGnatt[[#This Row],[Start Date]],AV$29&lt;ProposalToGnatt[[#This Row],[Start Date]]+ProposalToGnatt[[#This Row],[Days]]),$G$5,"")),"")</f>
        <v/>
      </c>
      <c r="AW73" s="37" t="str">
        <f ca="1">IFERROR(+IF(AW$29=ProposalToGnatt[[#This Row],[Start Date]],Milestone_Marker,IF(AND(AW$29&gt;ProposalToGnatt[[#This Row],[Start Date]],AW$29&lt;ProposalToGnatt[[#This Row],[Start Date]]+ProposalToGnatt[[#This Row],[Days]]),$G$5,"")),"")</f>
        <v/>
      </c>
      <c r="AX73" s="37" t="str">
        <f ca="1">IFERROR(+IF(AX$29=ProposalToGnatt[[#This Row],[Start Date]],Milestone_Marker,IF(AND(AX$29&gt;ProposalToGnatt[[#This Row],[Start Date]],AX$29&lt;ProposalToGnatt[[#This Row],[Start Date]]+ProposalToGnatt[[#This Row],[Days]]),$G$5,"")),"")</f>
        <v/>
      </c>
      <c r="AY73" s="37" t="str">
        <f ca="1">IFERROR(+IF(AY$29=ProposalToGnatt[[#This Row],[Start Date]],Milestone_Marker,IF(AND(AY$29&gt;ProposalToGnatt[[#This Row],[Start Date]],AY$29&lt;ProposalToGnatt[[#This Row],[Start Date]]+ProposalToGnatt[[#This Row],[Days]]),$G$5,"")),"")</f>
        <v/>
      </c>
      <c r="AZ73" s="37" t="str">
        <f ca="1">IFERROR(+IF(AZ$29=ProposalToGnatt[[#This Row],[Start Date]],Milestone_Marker,IF(AND(AZ$29&gt;ProposalToGnatt[[#This Row],[Start Date]],AZ$29&lt;ProposalToGnatt[[#This Row],[Start Date]]+ProposalToGnatt[[#This Row],[Days]]),$G$5,"")),"")</f>
        <v/>
      </c>
      <c r="BA73" s="37" t="str">
        <f ca="1">IFERROR(+IF(BA$29=ProposalToGnatt[[#This Row],[Start Date]],Milestone_Marker,IF(AND(BA$29&gt;ProposalToGnatt[[#This Row],[Start Date]],BA$29&lt;ProposalToGnatt[[#This Row],[Start Date]]+ProposalToGnatt[[#This Row],[Days]]),$G$5,"")),"")</f>
        <v/>
      </c>
      <c r="BB73" s="37" t="str">
        <f ca="1">IFERROR(+IF(BB$29=ProposalToGnatt[[#This Row],[Start Date]],Milestone_Marker,IF(AND(BB$29&gt;ProposalToGnatt[[#This Row],[Start Date]],BB$29&lt;ProposalToGnatt[[#This Row],[Start Date]]+ProposalToGnatt[[#This Row],[Days]]),$G$5,"")),"")</f>
        <v/>
      </c>
      <c r="BC73" s="37" t="str">
        <f ca="1">IFERROR(+IF(BC$29=ProposalToGnatt[[#This Row],[Start Date]],Milestone_Marker,IF(AND(BC$29&gt;ProposalToGnatt[[#This Row],[Start Date]],BC$29&lt;ProposalToGnatt[[#This Row],[Start Date]]+ProposalToGnatt[[#This Row],[Days]]),$G$5,"")),"")</f>
        <v/>
      </c>
      <c r="BD73" s="37" t="str">
        <f ca="1">IFERROR(+IF(BD$29=ProposalToGnatt[[#This Row],[Start Date]],Milestone_Marker,IF(AND(BD$29&gt;ProposalToGnatt[[#This Row],[Start Date]],BD$29&lt;ProposalToGnatt[[#This Row],[Start Date]]+ProposalToGnatt[[#This Row],[Days]]),$G$5,"")),"")</f>
        <v/>
      </c>
      <c r="BE73" s="37" t="str">
        <f ca="1">IFERROR(+IF(BE$29=ProposalToGnatt[[#This Row],[Start Date]],Milestone_Marker,IF(AND(BE$29&gt;ProposalToGnatt[[#This Row],[Start Date]],BE$29&lt;ProposalToGnatt[[#This Row],[Start Date]]+ProposalToGnatt[[#This Row],[Days]]),$G$5,"")),"")</f>
        <v/>
      </c>
      <c r="BF73" s="37" t="str">
        <f ca="1">IFERROR(+IF(BF$29=ProposalToGnatt[[#This Row],[Start Date]],Milestone_Marker,IF(AND(BF$29&gt;ProposalToGnatt[[#This Row],[Start Date]],BF$29&lt;ProposalToGnatt[[#This Row],[Start Date]]+ProposalToGnatt[[#This Row],[Days]]),$G$5,"")),"")</f>
        <v/>
      </c>
      <c r="BG73" s="37" t="str">
        <f ca="1">IFERROR(+IF(BG$29=ProposalToGnatt[[#This Row],[Start Date]],Milestone_Marker,IF(AND(BG$29&gt;ProposalToGnatt[[#This Row],[Start Date]],BG$29&lt;ProposalToGnatt[[#This Row],[Start Date]]+ProposalToGnatt[[#This Row],[Days]]),$G$5,"")),"")</f>
        <v/>
      </c>
      <c r="BH73" s="37" t="str">
        <f ca="1">IFERROR(+IF(BH$29=ProposalToGnatt[[#This Row],[Start Date]],Milestone_Marker,IF(AND(BH$29&gt;ProposalToGnatt[[#This Row],[Start Date]],BH$29&lt;ProposalToGnatt[[#This Row],[Start Date]]+ProposalToGnatt[[#This Row],[Days]]),$G$5,"")),"")</f>
        <v/>
      </c>
      <c r="BI73" s="37" t="str">
        <f ca="1">IFERROR(+IF(BI$29=ProposalToGnatt[[#This Row],[Start Date]],Milestone_Marker,IF(AND(BI$29&gt;ProposalToGnatt[[#This Row],[Start Date]],BI$29&lt;ProposalToGnatt[[#This Row],[Start Date]]+ProposalToGnatt[[#This Row],[Days]]),$G$5,"")),"")</f>
        <v/>
      </c>
      <c r="BJ73" s="37" t="str">
        <f ca="1">IFERROR(+IF(BJ$29=ProposalToGnatt[[#This Row],[Start Date]],Milestone_Marker,IF(AND(BJ$29&gt;ProposalToGnatt[[#This Row],[Start Date]],BJ$29&lt;ProposalToGnatt[[#This Row],[Start Date]]+ProposalToGnatt[[#This Row],[Days]]),$G$5,"")),"")</f>
        <v/>
      </c>
      <c r="BK73" s="37" t="str">
        <f ca="1">IFERROR(+IF(BK$29=ProposalToGnatt[[#This Row],[Start Date]],Milestone_Marker,IF(AND(BK$29&gt;ProposalToGnatt[[#This Row],[Start Date]],BK$29&lt;ProposalToGnatt[[#This Row],[Start Date]]+ProposalToGnatt[[#This Row],[Days]]),$G$5,"")),"")</f>
        <v/>
      </c>
      <c r="BL73" s="37" t="str">
        <f ca="1">IFERROR(+IF(BL$29=ProposalToGnatt[[#This Row],[Start Date]],Milestone_Marker,IF(AND(BL$29&gt;ProposalToGnatt[[#This Row],[Start Date]],BL$29&lt;ProposalToGnatt[[#This Row],[Start Date]]+ProposalToGnatt[[#This Row],[Days]]),$G$5,"")),"")</f>
        <v/>
      </c>
      <c r="BM73" s="37" t="str">
        <f ca="1">IFERROR(+IF(BM$29=ProposalToGnatt[[#This Row],[Start Date]],Milestone_Marker,IF(AND(BM$29&gt;ProposalToGnatt[[#This Row],[Start Date]],BM$29&lt;ProposalToGnatt[[#This Row],[Start Date]]+ProposalToGnatt[[#This Row],[Days]]),$G$5,"")),"")</f>
        <v/>
      </c>
      <c r="BN73" s="37" t="str">
        <f ca="1">IFERROR(+IF(BN$29=ProposalToGnatt[[#This Row],[Start Date]],Milestone_Marker,IF(AND(BN$29&gt;ProposalToGnatt[[#This Row],[Start Date]],BN$29&lt;ProposalToGnatt[[#This Row],[Start Date]]+ProposalToGnatt[[#This Row],[Days]]),$G$5,"")),"")</f>
        <v/>
      </c>
      <c r="BO73" s="37" t="str">
        <f ca="1">IFERROR(+IF(BO$29=ProposalToGnatt[[#This Row],[Start Date]],Milestone_Marker,IF(AND(BO$29&gt;ProposalToGnatt[[#This Row],[Start Date]],BO$29&lt;ProposalToGnatt[[#This Row],[Start Date]]+ProposalToGnatt[[#This Row],[Days]]),$G$5,"")),"")</f>
        <v/>
      </c>
      <c r="BP73" s="37" t="str">
        <f ca="1">IFERROR(+IF(BP$29=ProposalToGnatt[[#This Row],[Start Date]],Milestone_Marker,IF(AND(BP$29&gt;ProposalToGnatt[[#This Row],[Start Date]],BP$29&lt;ProposalToGnatt[[#This Row],[Start Date]]+ProposalToGnatt[[#This Row],[Days]]),$G$5,"")),"")</f>
        <v/>
      </c>
      <c r="BQ73" s="37" t="str">
        <f ca="1">IFERROR(+IF(BQ$29=ProposalToGnatt[[#This Row],[Start Date]],Milestone_Marker,IF(AND(BQ$29&gt;ProposalToGnatt[[#This Row],[Start Date]],BQ$29&lt;ProposalToGnatt[[#This Row],[Start Date]]+ProposalToGnatt[[#This Row],[Days]]),$G$5,"")),"")</f>
        <v/>
      </c>
      <c r="BR73" s="37" t="str">
        <f ca="1">IFERROR(+IF(BR$29=ProposalToGnatt[[#This Row],[Start Date]],Milestone_Marker,IF(AND(BR$29&gt;ProposalToGnatt[[#This Row],[Start Date]],BR$29&lt;ProposalToGnatt[[#This Row],[Start Date]]+ProposalToGnatt[[#This Row],[Days]]),$G$5,"")),"")</f>
        <v/>
      </c>
      <c r="BS73" s="37" t="str">
        <f ca="1">IFERROR(+IF(BS$29=ProposalToGnatt[[#This Row],[Start Date]],Milestone_Marker,IF(AND(BS$29&gt;ProposalToGnatt[[#This Row],[Start Date]],BS$29&lt;ProposalToGnatt[[#This Row],[Start Date]]+ProposalToGnatt[[#This Row],[Days]]),$G$5,"")),"")</f>
        <v/>
      </c>
      <c r="BT73" s="37" t="str">
        <f ca="1">IFERROR(+IF(BT$29=ProposalToGnatt[[#This Row],[Start Date]],Milestone_Marker,IF(AND(BT$29&gt;ProposalToGnatt[[#This Row],[Start Date]],BT$29&lt;ProposalToGnatt[[#This Row],[Start Date]]+ProposalToGnatt[[#This Row],[Days]]),$G$5,"")),"")</f>
        <v/>
      </c>
      <c r="BU73" s="37" t="str">
        <f ca="1">IFERROR(+IF(BU$29=ProposalToGnatt[[#This Row],[Start Date]],Milestone_Marker,IF(AND(BU$29&gt;ProposalToGnatt[[#This Row],[Start Date]],BU$29&lt;ProposalToGnatt[[#This Row],[Start Date]]+ProposalToGnatt[[#This Row],[Days]]),$G$5,"")),"")</f>
        <v/>
      </c>
      <c r="BV73" s="37" t="str">
        <f ca="1">IFERROR(+IF(BV$29=ProposalToGnatt[[#This Row],[Start Date]],Milestone_Marker,IF(AND(BV$29&gt;ProposalToGnatt[[#This Row],[Start Date]],BV$29&lt;ProposalToGnatt[[#This Row],[Start Date]]+ProposalToGnatt[[#This Row],[Days]]),$G$5,"")),"")</f>
        <v/>
      </c>
      <c r="BW73" s="37" t="str">
        <f ca="1">IFERROR(+IF(BW$29=ProposalToGnatt[[#This Row],[Start Date]],Milestone_Marker,IF(AND(BW$29&gt;ProposalToGnatt[[#This Row],[Start Date]],BW$29&lt;ProposalToGnatt[[#This Row],[Start Date]]+ProposalToGnatt[[#This Row],[Days]]),$G$5,"")),"")</f>
        <v/>
      </c>
      <c r="BX73" s="37" t="str">
        <f ca="1">IFERROR(+IF(BX$29=ProposalToGnatt[[#This Row],[Start Date]],Milestone_Marker,IF(AND(BX$29&gt;ProposalToGnatt[[#This Row],[Start Date]],BX$29&lt;ProposalToGnatt[[#This Row],[Start Date]]+ProposalToGnatt[[#This Row],[Days]]),$G$5,"")),"")</f>
        <v/>
      </c>
      <c r="BY73" s="37" t="str">
        <f ca="1">IFERROR(+IF(BY$29=ProposalToGnatt[[#This Row],[Start Date]],Milestone_Marker,IF(AND(BY$29&gt;ProposalToGnatt[[#This Row],[Start Date]],BY$29&lt;ProposalToGnatt[[#This Row],[Start Date]]+ProposalToGnatt[[#This Row],[Days]]),$G$5,"")),"")</f>
        <v/>
      </c>
      <c r="BZ73" s="37" t="str">
        <f ca="1">IFERROR(+IF(BZ$29=ProposalToGnatt[[#This Row],[Start Date]],Milestone_Marker,IF(AND(BZ$29&gt;ProposalToGnatt[[#This Row],[Start Date]],BZ$29&lt;ProposalToGnatt[[#This Row],[Start Date]]+ProposalToGnatt[[#This Row],[Days]]),$G$5,"")),"")</f>
        <v/>
      </c>
      <c r="CA73" s="37" t="str">
        <f ca="1">IFERROR(+IF(CA$29=ProposalToGnatt[[#This Row],[Start Date]],Milestone_Marker,IF(AND(CA$29&gt;ProposalToGnatt[[#This Row],[Start Date]],CA$29&lt;ProposalToGnatt[[#This Row],[Start Date]]+ProposalToGnatt[[#This Row],[Days]]),$G$5,"")),"")</f>
        <v/>
      </c>
      <c r="CB73" s="37" t="str">
        <f ca="1">IFERROR(+IF(CB$29=ProposalToGnatt[[#This Row],[Start Date]],Milestone_Marker,IF(AND(CB$29&gt;ProposalToGnatt[[#This Row],[Start Date]],CB$29&lt;ProposalToGnatt[[#This Row],[Start Date]]+ProposalToGnatt[[#This Row],[Days]]),$G$5,"")),"")</f>
        <v/>
      </c>
      <c r="CC73" s="37" t="str">
        <f ca="1">IFERROR(+IF(CC$29=ProposalToGnatt[[#This Row],[Start Date]],Milestone_Marker,IF(AND(CC$29&gt;ProposalToGnatt[[#This Row],[Start Date]],CC$29&lt;ProposalToGnatt[[#This Row],[Start Date]]+ProposalToGnatt[[#This Row],[Days]]),$G$5,"")),"")</f>
        <v/>
      </c>
      <c r="CD73" s="37" t="str">
        <f ca="1">IFERROR(+IF(CD$29=ProposalToGnatt[[#This Row],[Start Date]],Milestone_Marker,IF(AND(CD$29&gt;ProposalToGnatt[[#This Row],[Start Date]],CD$29&lt;ProposalToGnatt[[#This Row],[Start Date]]+ProposalToGnatt[[#This Row],[Days]]),$G$5,"")),"")</f>
        <v/>
      </c>
      <c r="CE73" s="37" t="str">
        <f ca="1">IFERROR(+IF(CE$29=ProposalToGnatt[[#This Row],[Start Date]],Milestone_Marker,IF(AND(CE$29&gt;ProposalToGnatt[[#This Row],[Start Date]],CE$29&lt;ProposalToGnatt[[#This Row],[Start Date]]+ProposalToGnatt[[#This Row],[Days]]),$G$5,"")),"")</f>
        <v/>
      </c>
      <c r="CF73" s="37" t="str">
        <f ca="1">IFERROR(+IF(CF$29=ProposalToGnatt[[#This Row],[Start Date]],Milestone_Marker,IF(AND(CF$29&gt;ProposalToGnatt[[#This Row],[Start Date]],CF$29&lt;ProposalToGnatt[[#This Row],[Start Date]]+ProposalToGnatt[[#This Row],[Days]]),$G$5,"")),"")</f>
        <v/>
      </c>
      <c r="CG73" s="37" t="str">
        <f ca="1">IFERROR(+IF(CG$29=ProposalToGnatt[[#This Row],[Start Date]],Milestone_Marker,IF(AND(CG$29&gt;ProposalToGnatt[[#This Row],[Start Date]],CG$29&lt;ProposalToGnatt[[#This Row],[Start Date]]+ProposalToGnatt[[#This Row],[Days]]),$G$5,"")),"")</f>
        <v/>
      </c>
      <c r="CH73" s="37" t="str">
        <f ca="1">IFERROR(+IF(CH$29=ProposalToGnatt[[#This Row],[Start Date]],Milestone_Marker,IF(AND(CH$29&gt;ProposalToGnatt[[#This Row],[Start Date]],CH$29&lt;ProposalToGnatt[[#This Row],[Start Date]]+ProposalToGnatt[[#This Row],[Days]]),$G$5,"")),"")</f>
        <v/>
      </c>
      <c r="CI73" s="37" t="str">
        <f ca="1">IFERROR(+IF(CI$29=ProposalToGnatt[[#This Row],[Start Date]],Milestone_Marker,IF(AND(CI$29&gt;ProposalToGnatt[[#This Row],[Start Date]],CI$29&lt;ProposalToGnatt[[#This Row],[Start Date]]+ProposalToGnatt[[#This Row],[Days]]),$G$5,"")),"")</f>
        <v/>
      </c>
      <c r="CJ73" s="37" t="str">
        <f ca="1">IFERROR(+IF(CJ$29=ProposalToGnatt[[#This Row],[Start Date]],Milestone_Marker,IF(AND(CJ$29&gt;ProposalToGnatt[[#This Row],[Start Date]],CJ$29&lt;ProposalToGnatt[[#This Row],[Start Date]]+ProposalToGnatt[[#This Row],[Days]]),$G$5,"")),"")</f>
        <v/>
      </c>
      <c r="CK73" s="37" t="str">
        <f ca="1">IFERROR(+IF(CK$29=ProposalToGnatt[[#This Row],[Start Date]],Milestone_Marker,IF(AND(CK$29&gt;ProposalToGnatt[[#This Row],[Start Date]],CK$29&lt;ProposalToGnatt[[#This Row],[Start Date]]+ProposalToGnatt[[#This Row],[Days]]),$G$5,"")),"")</f>
        <v/>
      </c>
      <c r="CL73" s="37" t="str">
        <f ca="1">IFERROR(+IF(CL$29=ProposalToGnatt[[#This Row],[Start Date]],Milestone_Marker,IF(AND(CL$29&gt;ProposalToGnatt[[#This Row],[Start Date]],CL$29&lt;ProposalToGnatt[[#This Row],[Start Date]]+ProposalToGnatt[[#This Row],[Days]]),$G$5,"")),"")</f>
        <v/>
      </c>
      <c r="CM73" s="37" t="str">
        <f ca="1">IFERROR(+IF(CM$29=ProposalToGnatt[[#This Row],[Start Date]],Milestone_Marker,IF(AND(CM$29&gt;ProposalToGnatt[[#This Row],[Start Date]],CM$29&lt;ProposalToGnatt[[#This Row],[Start Date]]+ProposalToGnatt[[#This Row],[Days]]),$G$5,"")),"")</f>
        <v/>
      </c>
      <c r="CN73" s="37" t="str">
        <f ca="1">IFERROR(+IF(CN$29=ProposalToGnatt[[#This Row],[Start Date]],Milestone_Marker,IF(AND(CN$29&gt;ProposalToGnatt[[#This Row],[Start Date]],CN$29&lt;ProposalToGnatt[[#This Row],[Start Date]]+ProposalToGnatt[[#This Row],[Days]]),$G$5,"")),"")</f>
        <v/>
      </c>
      <c r="CO73" s="37" t="str">
        <f ca="1">IFERROR(+IF(CO$29=ProposalToGnatt[[#This Row],[Start Date]],Milestone_Marker,IF(AND(CO$29&gt;ProposalToGnatt[[#This Row],[Start Date]],CO$29&lt;ProposalToGnatt[[#This Row],[Start Date]]+ProposalToGnatt[[#This Row],[Days]]),$G$5,"")),"")</f>
        <v/>
      </c>
      <c r="CP73" s="37" t="str">
        <f ca="1">IFERROR(+IF(CP$29=ProposalToGnatt[[#This Row],[Start Date]],Milestone_Marker,IF(AND(CP$29&gt;ProposalToGnatt[[#This Row],[Start Date]],CP$29&lt;ProposalToGnatt[[#This Row],[Start Date]]+ProposalToGnatt[[#This Row],[Days]]),$G$5,"")),"")</f>
        <v/>
      </c>
      <c r="CQ73" s="37" t="str">
        <f ca="1">IFERROR(+IF(CQ$29=ProposalToGnatt[[#This Row],[Start Date]],Milestone_Marker,IF(AND(CQ$29&gt;ProposalToGnatt[[#This Row],[Start Date]],CQ$29&lt;ProposalToGnatt[[#This Row],[Start Date]]+ProposalToGnatt[[#This Row],[Days]]),$G$5,"")),"")</f>
        <v/>
      </c>
      <c r="CR73" s="37" t="str">
        <f ca="1">IFERROR(+IF(CR$29=ProposalToGnatt[[#This Row],[Start Date]],Milestone_Marker,IF(AND(CR$29&gt;ProposalToGnatt[[#This Row],[Start Date]],CR$29&lt;ProposalToGnatt[[#This Row],[Start Date]]+ProposalToGnatt[[#This Row],[Days]]),$G$5,"")),"")</f>
        <v/>
      </c>
      <c r="CS73" s="37" t="str">
        <f ca="1">IFERROR(+IF(CS$29=ProposalToGnatt[[#This Row],[Start Date]],Milestone_Marker,IF(AND(CS$29&gt;ProposalToGnatt[[#This Row],[Start Date]],CS$29&lt;ProposalToGnatt[[#This Row],[Start Date]]+ProposalToGnatt[[#This Row],[Days]]),$G$5,"")),"")</f>
        <v/>
      </c>
      <c r="CT73" s="37" t="str">
        <f ca="1">IFERROR(+IF(CT$29=ProposalToGnatt[[#This Row],[Start Date]],Milestone_Marker,IF(AND(CT$29&gt;ProposalToGnatt[[#This Row],[Start Date]],CT$29&lt;ProposalToGnatt[[#This Row],[Start Date]]+ProposalToGnatt[[#This Row],[Days]]),$G$5,"")),"")</f>
        <v/>
      </c>
      <c r="CU73" s="37" t="str">
        <f ca="1">IFERROR(+IF(CU$29=ProposalToGnatt[[#This Row],[Start Date]],Milestone_Marker,IF(AND(CU$29&gt;ProposalToGnatt[[#This Row],[Start Date]],CU$29&lt;ProposalToGnatt[[#This Row],[Start Date]]+ProposalToGnatt[[#This Row],[Days]]),$G$5,"")),"")</f>
        <v/>
      </c>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row>
    <row r="74" spans="1:125" ht="15">
      <c r="A74"/>
      <c r="B74"/>
      <c r="C74"/>
      <c r="D74"/>
      <c r="E74"/>
      <c r="F74"/>
      <c r="G74" s="11"/>
      <c r="H74" s="26"/>
      <c r="I74"/>
      <c r="J74"/>
      <c r="K74" s="363"/>
      <c r="L74"/>
      <c r="M74"/>
      <c r="N74"/>
      <c r="O74" s="26"/>
      <c r="P74" s="37" t="str">
        <f ca="1">IFERROR(+IF(P$29=ProposalToGnatt[[#This Row],[Start Date]],Milestone_Marker,IF(AND(P$29&gt;ProposalToGnatt[[#This Row],[Start Date]],P$29&lt;ProposalToGnatt[[#This Row],[Start Date]]+ProposalToGnatt[[#This Row],[Days]]),$G$5,"")),"")</f>
        <v/>
      </c>
      <c r="Q74" s="37" t="str">
        <f ca="1">IFERROR(+IF(Q$29=ProposalToGnatt[[#This Row],[Start Date]],Milestone_Marker,IF(AND(Q$29&gt;ProposalToGnatt[[#This Row],[Start Date]],Q$29&lt;ProposalToGnatt[[#This Row],[Start Date]]+ProposalToGnatt[[#This Row],[Days]]),$G$5,"")),"")</f>
        <v/>
      </c>
      <c r="R74" s="37" t="str">
        <f ca="1">IFERROR(+IF(R$29=ProposalToGnatt[[#This Row],[Start Date]],Milestone_Marker,IF(AND(R$29&gt;ProposalToGnatt[[#This Row],[Start Date]],R$29&lt;ProposalToGnatt[[#This Row],[Start Date]]+ProposalToGnatt[[#This Row],[Days]]),$G$5,"")),"")</f>
        <v/>
      </c>
      <c r="S74" s="37" t="str">
        <f ca="1">IFERROR(+IF(S$29=ProposalToGnatt[[#This Row],[Start Date]],Milestone_Marker,IF(AND(S$29&gt;ProposalToGnatt[[#This Row],[Start Date]],S$29&lt;ProposalToGnatt[[#This Row],[Start Date]]+ProposalToGnatt[[#This Row],[Days]]),$G$5,"")),"")</f>
        <v/>
      </c>
      <c r="T74" s="37" t="str">
        <f ca="1">IFERROR(+IF(T$29=ProposalToGnatt[[#This Row],[Start Date]],Milestone_Marker,IF(AND(T$29&gt;ProposalToGnatt[[#This Row],[Start Date]],T$29&lt;ProposalToGnatt[[#This Row],[Start Date]]+ProposalToGnatt[[#This Row],[Days]]),$G$5,"")),"")</f>
        <v/>
      </c>
      <c r="U74" s="37" t="str">
        <f ca="1">IFERROR(+IF(U$29=ProposalToGnatt[[#This Row],[Start Date]],Milestone_Marker,IF(AND(U$29&gt;ProposalToGnatt[[#This Row],[Start Date]],U$29&lt;ProposalToGnatt[[#This Row],[Start Date]]+ProposalToGnatt[[#This Row],[Days]]),$G$5,"")),"")</f>
        <v/>
      </c>
      <c r="V74" s="37" t="str">
        <f ca="1">IFERROR(+IF(V$29=ProposalToGnatt[[#This Row],[Start Date]],Milestone_Marker,IF(AND(V$29&gt;ProposalToGnatt[[#This Row],[Start Date]],V$29&lt;ProposalToGnatt[[#This Row],[Start Date]]+ProposalToGnatt[[#This Row],[Days]]),$G$5,"")),"")</f>
        <v/>
      </c>
      <c r="W74" s="37" t="str">
        <f ca="1">IFERROR(+IF(W$29=ProposalToGnatt[[#This Row],[Start Date]],Milestone_Marker,IF(AND(W$29&gt;ProposalToGnatt[[#This Row],[Start Date]],W$29&lt;ProposalToGnatt[[#This Row],[Start Date]]+ProposalToGnatt[[#This Row],[Days]]),$G$5,"")),"")</f>
        <v/>
      </c>
      <c r="X74" s="37" t="str">
        <f ca="1">IFERROR(+IF(X$29=ProposalToGnatt[[#This Row],[Start Date]],Milestone_Marker,IF(AND(X$29&gt;ProposalToGnatt[[#This Row],[Start Date]],X$29&lt;ProposalToGnatt[[#This Row],[Start Date]]+ProposalToGnatt[[#This Row],[Days]]),$G$5,"")),"")</f>
        <v/>
      </c>
      <c r="Y74" s="37" t="str">
        <f ca="1">IFERROR(+IF(Y$29=ProposalToGnatt[[#This Row],[Start Date]],Milestone_Marker,IF(AND(Y$29&gt;ProposalToGnatt[[#This Row],[Start Date]],Y$29&lt;ProposalToGnatt[[#This Row],[Start Date]]+ProposalToGnatt[[#This Row],[Days]]),$G$5,"")),"")</f>
        <v/>
      </c>
      <c r="Z74" s="37" t="str">
        <f ca="1">IFERROR(+IF(Z$29=ProposalToGnatt[[#This Row],[Start Date]],Milestone_Marker,IF(AND(Z$29&gt;ProposalToGnatt[[#This Row],[Start Date]],Z$29&lt;ProposalToGnatt[[#This Row],[Start Date]]+ProposalToGnatt[[#This Row],[Days]]),$G$5,"")),"")</f>
        <v/>
      </c>
      <c r="AA74" s="37" t="str">
        <f ca="1">IFERROR(+IF(AA$29=ProposalToGnatt[[#This Row],[Start Date]],Milestone_Marker,IF(AND(AA$29&gt;ProposalToGnatt[[#This Row],[Start Date]],AA$29&lt;ProposalToGnatt[[#This Row],[Start Date]]+ProposalToGnatt[[#This Row],[Days]]),$G$5,"")),"")</f>
        <v/>
      </c>
      <c r="AB74" s="37" t="str">
        <f ca="1">IFERROR(+IF(AB$29=ProposalToGnatt[[#This Row],[Start Date]],Milestone_Marker,IF(AND(AB$29&gt;ProposalToGnatt[[#This Row],[Start Date]],AB$29&lt;ProposalToGnatt[[#This Row],[Start Date]]+ProposalToGnatt[[#This Row],[Days]]),$G$5,"")),"")</f>
        <v/>
      </c>
      <c r="AC74" s="37" t="str">
        <f ca="1">IFERROR(+IF(AC$29=ProposalToGnatt[[#This Row],[Start Date]],Milestone_Marker,IF(AND(AC$29&gt;ProposalToGnatt[[#This Row],[Start Date]],AC$29&lt;ProposalToGnatt[[#This Row],[Start Date]]+ProposalToGnatt[[#This Row],[Days]]),$G$5,"")),"")</f>
        <v/>
      </c>
      <c r="AD74" s="37" t="str">
        <f ca="1">IFERROR(+IF(AD$29=ProposalToGnatt[[#This Row],[Start Date]],Milestone_Marker,IF(AND(AD$29&gt;ProposalToGnatt[[#This Row],[Start Date]],AD$29&lt;ProposalToGnatt[[#This Row],[Start Date]]+ProposalToGnatt[[#This Row],[Days]]),$G$5,"")),"")</f>
        <v/>
      </c>
      <c r="AE74" s="37" t="str">
        <f ca="1">IFERROR(+IF(AE$29=ProposalToGnatt[[#This Row],[Start Date]],Milestone_Marker,IF(AND(AE$29&gt;ProposalToGnatt[[#This Row],[Start Date]],AE$29&lt;ProposalToGnatt[[#This Row],[Start Date]]+ProposalToGnatt[[#This Row],[Days]]),$G$5,"")),"")</f>
        <v/>
      </c>
      <c r="AF74" s="37" t="str">
        <f ca="1">IFERROR(+IF(AF$29=ProposalToGnatt[[#This Row],[Start Date]],Milestone_Marker,IF(AND(AF$29&gt;ProposalToGnatt[[#This Row],[Start Date]],AF$29&lt;ProposalToGnatt[[#This Row],[Start Date]]+ProposalToGnatt[[#This Row],[Days]]),$G$5,"")),"")</f>
        <v/>
      </c>
      <c r="AG74" s="37" t="str">
        <f ca="1">IFERROR(+IF(AG$29=ProposalToGnatt[[#This Row],[Start Date]],Milestone_Marker,IF(AND(AG$29&gt;ProposalToGnatt[[#This Row],[Start Date]],AG$29&lt;ProposalToGnatt[[#This Row],[Start Date]]+ProposalToGnatt[[#This Row],[Days]]),$G$5,"")),"")</f>
        <v/>
      </c>
      <c r="AH74" s="37" t="str">
        <f ca="1">IFERROR(+IF(AH$29=ProposalToGnatt[[#This Row],[Start Date]],Milestone_Marker,IF(AND(AH$29&gt;ProposalToGnatt[[#This Row],[Start Date]],AH$29&lt;ProposalToGnatt[[#This Row],[Start Date]]+ProposalToGnatt[[#This Row],[Days]]),$G$5,"")),"")</f>
        <v/>
      </c>
      <c r="AI74" s="37" t="str">
        <f ca="1">IFERROR(+IF(AI$29=ProposalToGnatt[[#This Row],[Start Date]],Milestone_Marker,IF(AND(AI$29&gt;ProposalToGnatt[[#This Row],[Start Date]],AI$29&lt;ProposalToGnatt[[#This Row],[Start Date]]+ProposalToGnatt[[#This Row],[Days]]),$G$5,"")),"")</f>
        <v/>
      </c>
      <c r="AJ74" s="37" t="str">
        <f ca="1">IFERROR(+IF(AJ$29=ProposalToGnatt[[#This Row],[Start Date]],Milestone_Marker,IF(AND(AJ$29&gt;ProposalToGnatt[[#This Row],[Start Date]],AJ$29&lt;ProposalToGnatt[[#This Row],[Start Date]]+ProposalToGnatt[[#This Row],[Days]]),$G$5,"")),"")</f>
        <v/>
      </c>
      <c r="AK74" s="37" t="str">
        <f ca="1">IFERROR(+IF(AK$29=ProposalToGnatt[[#This Row],[Start Date]],Milestone_Marker,IF(AND(AK$29&gt;ProposalToGnatt[[#This Row],[Start Date]],AK$29&lt;ProposalToGnatt[[#This Row],[Start Date]]+ProposalToGnatt[[#This Row],[Days]]),$G$5,"")),"")</f>
        <v/>
      </c>
      <c r="AL74" s="37" t="str">
        <f ca="1">IFERROR(+IF(AL$29=ProposalToGnatt[[#This Row],[Start Date]],Milestone_Marker,IF(AND(AL$29&gt;ProposalToGnatt[[#This Row],[Start Date]],AL$29&lt;ProposalToGnatt[[#This Row],[Start Date]]+ProposalToGnatt[[#This Row],[Days]]),$G$5,"")),"")</f>
        <v/>
      </c>
      <c r="AM74" s="37" t="str">
        <f ca="1">IFERROR(+IF(AM$29=ProposalToGnatt[[#This Row],[Start Date]],Milestone_Marker,IF(AND(AM$29&gt;ProposalToGnatt[[#This Row],[Start Date]],AM$29&lt;ProposalToGnatt[[#This Row],[Start Date]]+ProposalToGnatt[[#This Row],[Days]]),$G$5,"")),"")</f>
        <v/>
      </c>
      <c r="AN74" s="37" t="str">
        <f ca="1">IFERROR(+IF(AN$29=ProposalToGnatt[[#This Row],[Start Date]],Milestone_Marker,IF(AND(AN$29&gt;ProposalToGnatt[[#This Row],[Start Date]],AN$29&lt;ProposalToGnatt[[#This Row],[Start Date]]+ProposalToGnatt[[#This Row],[Days]]),$G$5,"")),"")</f>
        <v/>
      </c>
      <c r="AO74" s="37" t="str">
        <f ca="1">IFERROR(+IF(AO$29=ProposalToGnatt[[#This Row],[Start Date]],Milestone_Marker,IF(AND(AO$29&gt;ProposalToGnatt[[#This Row],[Start Date]],AO$29&lt;ProposalToGnatt[[#This Row],[Start Date]]+ProposalToGnatt[[#This Row],[Days]]),$G$5,"")),"")</f>
        <v/>
      </c>
      <c r="AP74" s="37" t="str">
        <f ca="1">IFERROR(+IF(AP$29=ProposalToGnatt[[#This Row],[Start Date]],Milestone_Marker,IF(AND(AP$29&gt;ProposalToGnatt[[#This Row],[Start Date]],AP$29&lt;ProposalToGnatt[[#This Row],[Start Date]]+ProposalToGnatt[[#This Row],[Days]]),$G$5,"")),"")</f>
        <v/>
      </c>
      <c r="AQ74" s="37" t="str">
        <f ca="1">IFERROR(+IF(AQ$29=ProposalToGnatt[[#This Row],[Start Date]],Milestone_Marker,IF(AND(AQ$29&gt;ProposalToGnatt[[#This Row],[Start Date]],AQ$29&lt;ProposalToGnatt[[#This Row],[Start Date]]+ProposalToGnatt[[#This Row],[Days]]),$G$5,"")),"")</f>
        <v/>
      </c>
      <c r="AR74" s="37" t="str">
        <f ca="1">IFERROR(+IF(AR$29=ProposalToGnatt[[#This Row],[Start Date]],Milestone_Marker,IF(AND(AR$29&gt;ProposalToGnatt[[#This Row],[Start Date]],AR$29&lt;ProposalToGnatt[[#This Row],[Start Date]]+ProposalToGnatt[[#This Row],[Days]]),$G$5,"")),"")</f>
        <v/>
      </c>
      <c r="AS74" s="37" t="str">
        <f ca="1">IFERROR(+IF(AS$29=ProposalToGnatt[[#This Row],[Start Date]],Milestone_Marker,IF(AND(AS$29&gt;ProposalToGnatt[[#This Row],[Start Date]],AS$29&lt;ProposalToGnatt[[#This Row],[Start Date]]+ProposalToGnatt[[#This Row],[Days]]),$G$5,"")),"")</f>
        <v/>
      </c>
      <c r="AT74" s="37" t="str">
        <f ca="1">IFERROR(+IF(AT$29=ProposalToGnatt[[#This Row],[Start Date]],Milestone_Marker,IF(AND(AT$29&gt;ProposalToGnatt[[#This Row],[Start Date]],AT$29&lt;ProposalToGnatt[[#This Row],[Start Date]]+ProposalToGnatt[[#This Row],[Days]]),$G$5,"")),"")</f>
        <v/>
      </c>
      <c r="AU74" s="37" t="str">
        <f ca="1">IFERROR(+IF(AU$29=ProposalToGnatt[[#This Row],[Start Date]],Milestone_Marker,IF(AND(AU$29&gt;ProposalToGnatt[[#This Row],[Start Date]],AU$29&lt;ProposalToGnatt[[#This Row],[Start Date]]+ProposalToGnatt[[#This Row],[Days]]),$G$5,"")),"")</f>
        <v/>
      </c>
      <c r="AV74" s="37" t="str">
        <f ca="1">IFERROR(+IF(AV$29=ProposalToGnatt[[#This Row],[Start Date]],Milestone_Marker,IF(AND(AV$29&gt;ProposalToGnatt[[#This Row],[Start Date]],AV$29&lt;ProposalToGnatt[[#This Row],[Start Date]]+ProposalToGnatt[[#This Row],[Days]]),$G$5,"")),"")</f>
        <v/>
      </c>
      <c r="AW74" s="37" t="str">
        <f ca="1">IFERROR(+IF(AW$29=ProposalToGnatt[[#This Row],[Start Date]],Milestone_Marker,IF(AND(AW$29&gt;ProposalToGnatt[[#This Row],[Start Date]],AW$29&lt;ProposalToGnatt[[#This Row],[Start Date]]+ProposalToGnatt[[#This Row],[Days]]),$G$5,"")),"")</f>
        <v/>
      </c>
      <c r="AX74" s="37" t="str">
        <f ca="1">IFERROR(+IF(AX$29=ProposalToGnatt[[#This Row],[Start Date]],Milestone_Marker,IF(AND(AX$29&gt;ProposalToGnatt[[#This Row],[Start Date]],AX$29&lt;ProposalToGnatt[[#This Row],[Start Date]]+ProposalToGnatt[[#This Row],[Days]]),$G$5,"")),"")</f>
        <v/>
      </c>
      <c r="AY74" s="37" t="str">
        <f ca="1">IFERROR(+IF(AY$29=ProposalToGnatt[[#This Row],[Start Date]],Milestone_Marker,IF(AND(AY$29&gt;ProposalToGnatt[[#This Row],[Start Date]],AY$29&lt;ProposalToGnatt[[#This Row],[Start Date]]+ProposalToGnatt[[#This Row],[Days]]),$G$5,"")),"")</f>
        <v/>
      </c>
      <c r="AZ74" s="37" t="str">
        <f ca="1">IFERROR(+IF(AZ$29=ProposalToGnatt[[#This Row],[Start Date]],Milestone_Marker,IF(AND(AZ$29&gt;ProposalToGnatt[[#This Row],[Start Date]],AZ$29&lt;ProposalToGnatt[[#This Row],[Start Date]]+ProposalToGnatt[[#This Row],[Days]]),$G$5,"")),"")</f>
        <v/>
      </c>
      <c r="BA74" s="37" t="str">
        <f ca="1">IFERROR(+IF(BA$29=ProposalToGnatt[[#This Row],[Start Date]],Milestone_Marker,IF(AND(BA$29&gt;ProposalToGnatt[[#This Row],[Start Date]],BA$29&lt;ProposalToGnatt[[#This Row],[Start Date]]+ProposalToGnatt[[#This Row],[Days]]),$G$5,"")),"")</f>
        <v/>
      </c>
      <c r="BB74" s="37" t="str">
        <f ca="1">IFERROR(+IF(BB$29=ProposalToGnatt[[#This Row],[Start Date]],Milestone_Marker,IF(AND(BB$29&gt;ProposalToGnatt[[#This Row],[Start Date]],BB$29&lt;ProposalToGnatt[[#This Row],[Start Date]]+ProposalToGnatt[[#This Row],[Days]]),$G$5,"")),"")</f>
        <v/>
      </c>
      <c r="BC74" s="37" t="str">
        <f ca="1">IFERROR(+IF(BC$29=ProposalToGnatt[[#This Row],[Start Date]],Milestone_Marker,IF(AND(BC$29&gt;ProposalToGnatt[[#This Row],[Start Date]],BC$29&lt;ProposalToGnatt[[#This Row],[Start Date]]+ProposalToGnatt[[#This Row],[Days]]),$G$5,"")),"")</f>
        <v/>
      </c>
      <c r="BD74" s="37" t="str">
        <f ca="1">IFERROR(+IF(BD$29=ProposalToGnatt[[#This Row],[Start Date]],Milestone_Marker,IF(AND(BD$29&gt;ProposalToGnatt[[#This Row],[Start Date]],BD$29&lt;ProposalToGnatt[[#This Row],[Start Date]]+ProposalToGnatt[[#This Row],[Days]]),$G$5,"")),"")</f>
        <v/>
      </c>
      <c r="BE74" s="37" t="str">
        <f ca="1">IFERROR(+IF(BE$29=ProposalToGnatt[[#This Row],[Start Date]],Milestone_Marker,IF(AND(BE$29&gt;ProposalToGnatt[[#This Row],[Start Date]],BE$29&lt;ProposalToGnatt[[#This Row],[Start Date]]+ProposalToGnatt[[#This Row],[Days]]),$G$5,"")),"")</f>
        <v/>
      </c>
      <c r="BF74" s="37" t="str">
        <f ca="1">IFERROR(+IF(BF$29=ProposalToGnatt[[#This Row],[Start Date]],Milestone_Marker,IF(AND(BF$29&gt;ProposalToGnatt[[#This Row],[Start Date]],BF$29&lt;ProposalToGnatt[[#This Row],[Start Date]]+ProposalToGnatt[[#This Row],[Days]]),$G$5,"")),"")</f>
        <v/>
      </c>
      <c r="BG74" s="37" t="str">
        <f ca="1">IFERROR(+IF(BG$29=ProposalToGnatt[[#This Row],[Start Date]],Milestone_Marker,IF(AND(BG$29&gt;ProposalToGnatt[[#This Row],[Start Date]],BG$29&lt;ProposalToGnatt[[#This Row],[Start Date]]+ProposalToGnatt[[#This Row],[Days]]),$G$5,"")),"")</f>
        <v/>
      </c>
      <c r="BH74" s="37" t="str">
        <f ca="1">IFERROR(+IF(BH$29=ProposalToGnatt[[#This Row],[Start Date]],Milestone_Marker,IF(AND(BH$29&gt;ProposalToGnatt[[#This Row],[Start Date]],BH$29&lt;ProposalToGnatt[[#This Row],[Start Date]]+ProposalToGnatt[[#This Row],[Days]]),$G$5,"")),"")</f>
        <v/>
      </c>
      <c r="BI74" s="37" t="str">
        <f ca="1">IFERROR(+IF(BI$29=ProposalToGnatt[[#This Row],[Start Date]],Milestone_Marker,IF(AND(BI$29&gt;ProposalToGnatt[[#This Row],[Start Date]],BI$29&lt;ProposalToGnatt[[#This Row],[Start Date]]+ProposalToGnatt[[#This Row],[Days]]),$G$5,"")),"")</f>
        <v/>
      </c>
      <c r="BJ74" s="37" t="str">
        <f ca="1">IFERROR(+IF(BJ$29=ProposalToGnatt[[#This Row],[Start Date]],Milestone_Marker,IF(AND(BJ$29&gt;ProposalToGnatt[[#This Row],[Start Date]],BJ$29&lt;ProposalToGnatt[[#This Row],[Start Date]]+ProposalToGnatt[[#This Row],[Days]]),$G$5,"")),"")</f>
        <v/>
      </c>
      <c r="BK74" s="37" t="str">
        <f ca="1">IFERROR(+IF(BK$29=ProposalToGnatt[[#This Row],[Start Date]],Milestone_Marker,IF(AND(BK$29&gt;ProposalToGnatt[[#This Row],[Start Date]],BK$29&lt;ProposalToGnatt[[#This Row],[Start Date]]+ProposalToGnatt[[#This Row],[Days]]),$G$5,"")),"")</f>
        <v/>
      </c>
      <c r="BL74" s="37" t="str">
        <f ca="1">IFERROR(+IF(BL$29=ProposalToGnatt[[#This Row],[Start Date]],Milestone_Marker,IF(AND(BL$29&gt;ProposalToGnatt[[#This Row],[Start Date]],BL$29&lt;ProposalToGnatt[[#This Row],[Start Date]]+ProposalToGnatt[[#This Row],[Days]]),$G$5,"")),"")</f>
        <v/>
      </c>
      <c r="BM74" s="37" t="str">
        <f ca="1">IFERROR(+IF(BM$29=ProposalToGnatt[[#This Row],[Start Date]],Milestone_Marker,IF(AND(BM$29&gt;ProposalToGnatt[[#This Row],[Start Date]],BM$29&lt;ProposalToGnatt[[#This Row],[Start Date]]+ProposalToGnatt[[#This Row],[Days]]),$G$5,"")),"")</f>
        <v/>
      </c>
      <c r="BN74" s="37" t="str">
        <f ca="1">IFERROR(+IF(BN$29=ProposalToGnatt[[#This Row],[Start Date]],Milestone_Marker,IF(AND(BN$29&gt;ProposalToGnatt[[#This Row],[Start Date]],BN$29&lt;ProposalToGnatt[[#This Row],[Start Date]]+ProposalToGnatt[[#This Row],[Days]]),$G$5,"")),"")</f>
        <v/>
      </c>
      <c r="BO74" s="37" t="str">
        <f ca="1">IFERROR(+IF(BO$29=ProposalToGnatt[[#This Row],[Start Date]],Milestone_Marker,IF(AND(BO$29&gt;ProposalToGnatt[[#This Row],[Start Date]],BO$29&lt;ProposalToGnatt[[#This Row],[Start Date]]+ProposalToGnatt[[#This Row],[Days]]),$G$5,"")),"")</f>
        <v/>
      </c>
      <c r="BP74" s="37" t="str">
        <f ca="1">IFERROR(+IF(BP$29=ProposalToGnatt[[#This Row],[Start Date]],Milestone_Marker,IF(AND(BP$29&gt;ProposalToGnatt[[#This Row],[Start Date]],BP$29&lt;ProposalToGnatt[[#This Row],[Start Date]]+ProposalToGnatt[[#This Row],[Days]]),$G$5,"")),"")</f>
        <v/>
      </c>
      <c r="BQ74" s="37" t="str">
        <f ca="1">IFERROR(+IF(BQ$29=ProposalToGnatt[[#This Row],[Start Date]],Milestone_Marker,IF(AND(BQ$29&gt;ProposalToGnatt[[#This Row],[Start Date]],BQ$29&lt;ProposalToGnatt[[#This Row],[Start Date]]+ProposalToGnatt[[#This Row],[Days]]),$G$5,"")),"")</f>
        <v/>
      </c>
      <c r="BR74" s="37" t="str">
        <f ca="1">IFERROR(+IF(BR$29=ProposalToGnatt[[#This Row],[Start Date]],Milestone_Marker,IF(AND(BR$29&gt;ProposalToGnatt[[#This Row],[Start Date]],BR$29&lt;ProposalToGnatt[[#This Row],[Start Date]]+ProposalToGnatt[[#This Row],[Days]]),$G$5,"")),"")</f>
        <v/>
      </c>
      <c r="BS74" s="37" t="str">
        <f ca="1">IFERROR(+IF(BS$29=ProposalToGnatt[[#This Row],[Start Date]],Milestone_Marker,IF(AND(BS$29&gt;ProposalToGnatt[[#This Row],[Start Date]],BS$29&lt;ProposalToGnatt[[#This Row],[Start Date]]+ProposalToGnatt[[#This Row],[Days]]),$G$5,"")),"")</f>
        <v/>
      </c>
      <c r="BT74" s="37" t="str">
        <f ca="1">IFERROR(+IF(BT$29=ProposalToGnatt[[#This Row],[Start Date]],Milestone_Marker,IF(AND(BT$29&gt;ProposalToGnatt[[#This Row],[Start Date]],BT$29&lt;ProposalToGnatt[[#This Row],[Start Date]]+ProposalToGnatt[[#This Row],[Days]]),$G$5,"")),"")</f>
        <v/>
      </c>
      <c r="BU74" s="37" t="str">
        <f ca="1">IFERROR(+IF(BU$29=ProposalToGnatt[[#This Row],[Start Date]],Milestone_Marker,IF(AND(BU$29&gt;ProposalToGnatt[[#This Row],[Start Date]],BU$29&lt;ProposalToGnatt[[#This Row],[Start Date]]+ProposalToGnatt[[#This Row],[Days]]),$G$5,"")),"")</f>
        <v/>
      </c>
      <c r="BV74" s="37" t="str">
        <f ca="1">IFERROR(+IF(BV$29=ProposalToGnatt[[#This Row],[Start Date]],Milestone_Marker,IF(AND(BV$29&gt;ProposalToGnatt[[#This Row],[Start Date]],BV$29&lt;ProposalToGnatt[[#This Row],[Start Date]]+ProposalToGnatt[[#This Row],[Days]]),$G$5,"")),"")</f>
        <v/>
      </c>
      <c r="BW74" s="37" t="str">
        <f ca="1">IFERROR(+IF(BW$29=ProposalToGnatt[[#This Row],[Start Date]],Milestone_Marker,IF(AND(BW$29&gt;ProposalToGnatt[[#This Row],[Start Date]],BW$29&lt;ProposalToGnatt[[#This Row],[Start Date]]+ProposalToGnatt[[#This Row],[Days]]),$G$5,"")),"")</f>
        <v/>
      </c>
      <c r="BX74" s="37" t="str">
        <f ca="1">IFERROR(+IF(BX$29=ProposalToGnatt[[#This Row],[Start Date]],Milestone_Marker,IF(AND(BX$29&gt;ProposalToGnatt[[#This Row],[Start Date]],BX$29&lt;ProposalToGnatt[[#This Row],[Start Date]]+ProposalToGnatt[[#This Row],[Days]]),$G$5,"")),"")</f>
        <v/>
      </c>
      <c r="BY74" s="37" t="str">
        <f ca="1">IFERROR(+IF(BY$29=ProposalToGnatt[[#This Row],[Start Date]],Milestone_Marker,IF(AND(BY$29&gt;ProposalToGnatt[[#This Row],[Start Date]],BY$29&lt;ProposalToGnatt[[#This Row],[Start Date]]+ProposalToGnatt[[#This Row],[Days]]),$G$5,"")),"")</f>
        <v/>
      </c>
      <c r="BZ74" s="37" t="str">
        <f ca="1">IFERROR(+IF(BZ$29=ProposalToGnatt[[#This Row],[Start Date]],Milestone_Marker,IF(AND(BZ$29&gt;ProposalToGnatt[[#This Row],[Start Date]],BZ$29&lt;ProposalToGnatt[[#This Row],[Start Date]]+ProposalToGnatt[[#This Row],[Days]]),$G$5,"")),"")</f>
        <v/>
      </c>
      <c r="CA74" s="37" t="str">
        <f ca="1">IFERROR(+IF(CA$29=ProposalToGnatt[[#This Row],[Start Date]],Milestone_Marker,IF(AND(CA$29&gt;ProposalToGnatt[[#This Row],[Start Date]],CA$29&lt;ProposalToGnatt[[#This Row],[Start Date]]+ProposalToGnatt[[#This Row],[Days]]),$G$5,"")),"")</f>
        <v/>
      </c>
      <c r="CB74" s="37" t="str">
        <f ca="1">IFERROR(+IF(CB$29=ProposalToGnatt[[#This Row],[Start Date]],Milestone_Marker,IF(AND(CB$29&gt;ProposalToGnatt[[#This Row],[Start Date]],CB$29&lt;ProposalToGnatt[[#This Row],[Start Date]]+ProposalToGnatt[[#This Row],[Days]]),$G$5,"")),"")</f>
        <v/>
      </c>
      <c r="CC74" s="37" t="str">
        <f ca="1">IFERROR(+IF(CC$29=ProposalToGnatt[[#This Row],[Start Date]],Milestone_Marker,IF(AND(CC$29&gt;ProposalToGnatt[[#This Row],[Start Date]],CC$29&lt;ProposalToGnatt[[#This Row],[Start Date]]+ProposalToGnatt[[#This Row],[Days]]),$G$5,"")),"")</f>
        <v/>
      </c>
      <c r="CD74" s="37" t="str">
        <f ca="1">IFERROR(+IF(CD$29=ProposalToGnatt[[#This Row],[Start Date]],Milestone_Marker,IF(AND(CD$29&gt;ProposalToGnatt[[#This Row],[Start Date]],CD$29&lt;ProposalToGnatt[[#This Row],[Start Date]]+ProposalToGnatt[[#This Row],[Days]]),$G$5,"")),"")</f>
        <v/>
      </c>
      <c r="CE74" s="37" t="str">
        <f ca="1">IFERROR(+IF(CE$29=ProposalToGnatt[[#This Row],[Start Date]],Milestone_Marker,IF(AND(CE$29&gt;ProposalToGnatt[[#This Row],[Start Date]],CE$29&lt;ProposalToGnatt[[#This Row],[Start Date]]+ProposalToGnatt[[#This Row],[Days]]),$G$5,"")),"")</f>
        <v/>
      </c>
      <c r="CF74" s="37" t="str">
        <f ca="1">IFERROR(+IF(CF$29=ProposalToGnatt[[#This Row],[Start Date]],Milestone_Marker,IF(AND(CF$29&gt;ProposalToGnatt[[#This Row],[Start Date]],CF$29&lt;ProposalToGnatt[[#This Row],[Start Date]]+ProposalToGnatt[[#This Row],[Days]]),$G$5,"")),"")</f>
        <v/>
      </c>
      <c r="CG74" s="37" t="str">
        <f ca="1">IFERROR(+IF(CG$29=ProposalToGnatt[[#This Row],[Start Date]],Milestone_Marker,IF(AND(CG$29&gt;ProposalToGnatt[[#This Row],[Start Date]],CG$29&lt;ProposalToGnatt[[#This Row],[Start Date]]+ProposalToGnatt[[#This Row],[Days]]),$G$5,"")),"")</f>
        <v/>
      </c>
      <c r="CH74" s="37" t="str">
        <f ca="1">IFERROR(+IF(CH$29=ProposalToGnatt[[#This Row],[Start Date]],Milestone_Marker,IF(AND(CH$29&gt;ProposalToGnatt[[#This Row],[Start Date]],CH$29&lt;ProposalToGnatt[[#This Row],[Start Date]]+ProposalToGnatt[[#This Row],[Days]]),$G$5,"")),"")</f>
        <v/>
      </c>
      <c r="CI74" s="37" t="str">
        <f ca="1">IFERROR(+IF(CI$29=ProposalToGnatt[[#This Row],[Start Date]],Milestone_Marker,IF(AND(CI$29&gt;ProposalToGnatt[[#This Row],[Start Date]],CI$29&lt;ProposalToGnatt[[#This Row],[Start Date]]+ProposalToGnatt[[#This Row],[Days]]),$G$5,"")),"")</f>
        <v/>
      </c>
      <c r="CJ74" s="37" t="str">
        <f ca="1">IFERROR(+IF(CJ$29=ProposalToGnatt[[#This Row],[Start Date]],Milestone_Marker,IF(AND(CJ$29&gt;ProposalToGnatt[[#This Row],[Start Date]],CJ$29&lt;ProposalToGnatt[[#This Row],[Start Date]]+ProposalToGnatt[[#This Row],[Days]]),$G$5,"")),"")</f>
        <v/>
      </c>
      <c r="CK74" s="37" t="str">
        <f ca="1">IFERROR(+IF(CK$29=ProposalToGnatt[[#This Row],[Start Date]],Milestone_Marker,IF(AND(CK$29&gt;ProposalToGnatt[[#This Row],[Start Date]],CK$29&lt;ProposalToGnatt[[#This Row],[Start Date]]+ProposalToGnatt[[#This Row],[Days]]),$G$5,"")),"")</f>
        <v/>
      </c>
      <c r="CL74" s="37" t="str">
        <f ca="1">IFERROR(+IF(CL$29=ProposalToGnatt[[#This Row],[Start Date]],Milestone_Marker,IF(AND(CL$29&gt;ProposalToGnatt[[#This Row],[Start Date]],CL$29&lt;ProposalToGnatt[[#This Row],[Start Date]]+ProposalToGnatt[[#This Row],[Days]]),$G$5,"")),"")</f>
        <v/>
      </c>
      <c r="CM74" s="37" t="str">
        <f ca="1">IFERROR(+IF(CM$29=ProposalToGnatt[[#This Row],[Start Date]],Milestone_Marker,IF(AND(CM$29&gt;ProposalToGnatt[[#This Row],[Start Date]],CM$29&lt;ProposalToGnatt[[#This Row],[Start Date]]+ProposalToGnatt[[#This Row],[Days]]),$G$5,"")),"")</f>
        <v/>
      </c>
      <c r="CN74" s="37" t="str">
        <f ca="1">IFERROR(+IF(CN$29=ProposalToGnatt[[#This Row],[Start Date]],Milestone_Marker,IF(AND(CN$29&gt;ProposalToGnatt[[#This Row],[Start Date]],CN$29&lt;ProposalToGnatt[[#This Row],[Start Date]]+ProposalToGnatt[[#This Row],[Days]]),$G$5,"")),"")</f>
        <v/>
      </c>
      <c r="CO74" s="37" t="str">
        <f ca="1">IFERROR(+IF(CO$29=ProposalToGnatt[[#This Row],[Start Date]],Milestone_Marker,IF(AND(CO$29&gt;ProposalToGnatt[[#This Row],[Start Date]],CO$29&lt;ProposalToGnatt[[#This Row],[Start Date]]+ProposalToGnatt[[#This Row],[Days]]),$G$5,"")),"")</f>
        <v/>
      </c>
      <c r="CP74" s="37" t="str">
        <f ca="1">IFERROR(+IF(CP$29=ProposalToGnatt[[#This Row],[Start Date]],Milestone_Marker,IF(AND(CP$29&gt;ProposalToGnatt[[#This Row],[Start Date]],CP$29&lt;ProposalToGnatt[[#This Row],[Start Date]]+ProposalToGnatt[[#This Row],[Days]]),$G$5,"")),"")</f>
        <v/>
      </c>
      <c r="CQ74" s="37" t="str">
        <f ca="1">IFERROR(+IF(CQ$29=ProposalToGnatt[[#This Row],[Start Date]],Milestone_Marker,IF(AND(CQ$29&gt;ProposalToGnatt[[#This Row],[Start Date]],CQ$29&lt;ProposalToGnatt[[#This Row],[Start Date]]+ProposalToGnatt[[#This Row],[Days]]),$G$5,"")),"")</f>
        <v/>
      </c>
      <c r="CR74" s="37" t="str">
        <f ca="1">IFERROR(+IF(CR$29=ProposalToGnatt[[#This Row],[Start Date]],Milestone_Marker,IF(AND(CR$29&gt;ProposalToGnatt[[#This Row],[Start Date]],CR$29&lt;ProposalToGnatt[[#This Row],[Start Date]]+ProposalToGnatt[[#This Row],[Days]]),$G$5,"")),"")</f>
        <v/>
      </c>
      <c r="CS74" s="37" t="str">
        <f ca="1">IFERROR(+IF(CS$29=ProposalToGnatt[[#This Row],[Start Date]],Milestone_Marker,IF(AND(CS$29&gt;ProposalToGnatt[[#This Row],[Start Date]],CS$29&lt;ProposalToGnatt[[#This Row],[Start Date]]+ProposalToGnatt[[#This Row],[Days]]),$G$5,"")),"")</f>
        <v/>
      </c>
      <c r="CT74" s="37" t="str">
        <f ca="1">IFERROR(+IF(CT$29=ProposalToGnatt[[#This Row],[Start Date]],Milestone_Marker,IF(AND(CT$29&gt;ProposalToGnatt[[#This Row],[Start Date]],CT$29&lt;ProposalToGnatt[[#This Row],[Start Date]]+ProposalToGnatt[[#This Row],[Days]]),$G$5,"")),"")</f>
        <v/>
      </c>
      <c r="CU74" s="37" t="str">
        <f ca="1">IFERROR(+IF(CU$29=ProposalToGnatt[[#This Row],[Start Date]],Milestone_Marker,IF(AND(CU$29&gt;ProposalToGnatt[[#This Row],[Start Date]],CU$29&lt;ProposalToGnatt[[#This Row],[Start Date]]+ProposalToGnatt[[#This Row],[Days]]),$G$5,"")),"")</f>
        <v/>
      </c>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row>
    <row r="75" spans="1:125" ht="15">
      <c r="A75"/>
      <c r="B75"/>
      <c r="C75"/>
      <c r="D75"/>
      <c r="E75"/>
      <c r="F75"/>
      <c r="G75" s="11"/>
      <c r="H75" s="26"/>
      <c r="I75"/>
      <c r="J75"/>
      <c r="K75" s="363"/>
      <c r="L75"/>
      <c r="M75"/>
      <c r="N75"/>
      <c r="O75" s="26"/>
      <c r="P75" s="37" t="str">
        <f ca="1">IFERROR(+IF(P$29=ProposalToGnatt[[#This Row],[Start Date]],Milestone_Marker,IF(AND(P$29&gt;ProposalToGnatt[[#This Row],[Start Date]],P$29&lt;ProposalToGnatt[[#This Row],[Start Date]]+ProposalToGnatt[[#This Row],[Days]]),$G$5,"")),"")</f>
        <v/>
      </c>
      <c r="Q75" s="37" t="str">
        <f ca="1">IFERROR(+IF(Q$29=ProposalToGnatt[[#This Row],[Start Date]],Milestone_Marker,IF(AND(Q$29&gt;ProposalToGnatt[[#This Row],[Start Date]],Q$29&lt;ProposalToGnatt[[#This Row],[Start Date]]+ProposalToGnatt[[#This Row],[Days]]),$G$5,"")),"")</f>
        <v/>
      </c>
      <c r="R75" s="37" t="str">
        <f ca="1">IFERROR(+IF(R$29=ProposalToGnatt[[#This Row],[Start Date]],Milestone_Marker,IF(AND(R$29&gt;ProposalToGnatt[[#This Row],[Start Date]],R$29&lt;ProposalToGnatt[[#This Row],[Start Date]]+ProposalToGnatt[[#This Row],[Days]]),$G$5,"")),"")</f>
        <v/>
      </c>
      <c r="S75" s="37" t="str">
        <f ca="1">IFERROR(+IF(S$29=ProposalToGnatt[[#This Row],[Start Date]],Milestone_Marker,IF(AND(S$29&gt;ProposalToGnatt[[#This Row],[Start Date]],S$29&lt;ProposalToGnatt[[#This Row],[Start Date]]+ProposalToGnatt[[#This Row],[Days]]),$G$5,"")),"")</f>
        <v/>
      </c>
      <c r="T75" s="37" t="str">
        <f ca="1">IFERROR(+IF(T$29=ProposalToGnatt[[#This Row],[Start Date]],Milestone_Marker,IF(AND(T$29&gt;ProposalToGnatt[[#This Row],[Start Date]],T$29&lt;ProposalToGnatt[[#This Row],[Start Date]]+ProposalToGnatt[[#This Row],[Days]]),$G$5,"")),"")</f>
        <v/>
      </c>
      <c r="U75" s="37" t="str">
        <f ca="1">IFERROR(+IF(U$29=ProposalToGnatt[[#This Row],[Start Date]],Milestone_Marker,IF(AND(U$29&gt;ProposalToGnatt[[#This Row],[Start Date]],U$29&lt;ProposalToGnatt[[#This Row],[Start Date]]+ProposalToGnatt[[#This Row],[Days]]),$G$5,"")),"")</f>
        <v/>
      </c>
      <c r="V75" s="37" t="str">
        <f ca="1">IFERROR(+IF(V$29=ProposalToGnatt[[#This Row],[Start Date]],Milestone_Marker,IF(AND(V$29&gt;ProposalToGnatt[[#This Row],[Start Date]],V$29&lt;ProposalToGnatt[[#This Row],[Start Date]]+ProposalToGnatt[[#This Row],[Days]]),$G$5,"")),"")</f>
        <v/>
      </c>
      <c r="W75" s="37" t="str">
        <f ca="1">IFERROR(+IF(W$29=ProposalToGnatt[[#This Row],[Start Date]],Milestone_Marker,IF(AND(W$29&gt;ProposalToGnatt[[#This Row],[Start Date]],W$29&lt;ProposalToGnatt[[#This Row],[Start Date]]+ProposalToGnatt[[#This Row],[Days]]),$G$5,"")),"")</f>
        <v/>
      </c>
      <c r="X75" s="37" t="str">
        <f ca="1">IFERROR(+IF(X$29=ProposalToGnatt[[#This Row],[Start Date]],Milestone_Marker,IF(AND(X$29&gt;ProposalToGnatt[[#This Row],[Start Date]],X$29&lt;ProposalToGnatt[[#This Row],[Start Date]]+ProposalToGnatt[[#This Row],[Days]]),$G$5,"")),"")</f>
        <v/>
      </c>
      <c r="Y75" s="37" t="str">
        <f ca="1">IFERROR(+IF(Y$29=ProposalToGnatt[[#This Row],[Start Date]],Milestone_Marker,IF(AND(Y$29&gt;ProposalToGnatt[[#This Row],[Start Date]],Y$29&lt;ProposalToGnatt[[#This Row],[Start Date]]+ProposalToGnatt[[#This Row],[Days]]),$G$5,"")),"")</f>
        <v/>
      </c>
      <c r="Z75" s="37" t="str">
        <f ca="1">IFERROR(+IF(Z$29=ProposalToGnatt[[#This Row],[Start Date]],Milestone_Marker,IF(AND(Z$29&gt;ProposalToGnatt[[#This Row],[Start Date]],Z$29&lt;ProposalToGnatt[[#This Row],[Start Date]]+ProposalToGnatt[[#This Row],[Days]]),$G$5,"")),"")</f>
        <v/>
      </c>
      <c r="AA75" s="37" t="str">
        <f ca="1">IFERROR(+IF(AA$29=ProposalToGnatt[[#This Row],[Start Date]],Milestone_Marker,IF(AND(AA$29&gt;ProposalToGnatt[[#This Row],[Start Date]],AA$29&lt;ProposalToGnatt[[#This Row],[Start Date]]+ProposalToGnatt[[#This Row],[Days]]),$G$5,"")),"")</f>
        <v/>
      </c>
      <c r="AB75" s="37" t="str">
        <f ca="1">IFERROR(+IF(AB$29=ProposalToGnatt[[#This Row],[Start Date]],Milestone_Marker,IF(AND(AB$29&gt;ProposalToGnatt[[#This Row],[Start Date]],AB$29&lt;ProposalToGnatt[[#This Row],[Start Date]]+ProposalToGnatt[[#This Row],[Days]]),$G$5,"")),"")</f>
        <v/>
      </c>
      <c r="AC75" s="37" t="str">
        <f ca="1">IFERROR(+IF(AC$29=ProposalToGnatt[[#This Row],[Start Date]],Milestone_Marker,IF(AND(AC$29&gt;ProposalToGnatt[[#This Row],[Start Date]],AC$29&lt;ProposalToGnatt[[#This Row],[Start Date]]+ProposalToGnatt[[#This Row],[Days]]),$G$5,"")),"")</f>
        <v/>
      </c>
      <c r="AD75" s="37" t="str">
        <f ca="1">IFERROR(+IF(AD$29=ProposalToGnatt[[#This Row],[Start Date]],Milestone_Marker,IF(AND(AD$29&gt;ProposalToGnatt[[#This Row],[Start Date]],AD$29&lt;ProposalToGnatt[[#This Row],[Start Date]]+ProposalToGnatt[[#This Row],[Days]]),$G$5,"")),"")</f>
        <v/>
      </c>
      <c r="AE75" s="37" t="str">
        <f ca="1">IFERROR(+IF(AE$29=ProposalToGnatt[[#This Row],[Start Date]],Milestone_Marker,IF(AND(AE$29&gt;ProposalToGnatt[[#This Row],[Start Date]],AE$29&lt;ProposalToGnatt[[#This Row],[Start Date]]+ProposalToGnatt[[#This Row],[Days]]),$G$5,"")),"")</f>
        <v/>
      </c>
      <c r="AF75" s="37" t="str">
        <f ca="1">IFERROR(+IF(AF$29=ProposalToGnatt[[#This Row],[Start Date]],Milestone_Marker,IF(AND(AF$29&gt;ProposalToGnatt[[#This Row],[Start Date]],AF$29&lt;ProposalToGnatt[[#This Row],[Start Date]]+ProposalToGnatt[[#This Row],[Days]]),$G$5,"")),"")</f>
        <v/>
      </c>
      <c r="AG75" s="37" t="str">
        <f ca="1">IFERROR(+IF(AG$29=ProposalToGnatt[[#This Row],[Start Date]],Milestone_Marker,IF(AND(AG$29&gt;ProposalToGnatt[[#This Row],[Start Date]],AG$29&lt;ProposalToGnatt[[#This Row],[Start Date]]+ProposalToGnatt[[#This Row],[Days]]),$G$5,"")),"")</f>
        <v/>
      </c>
      <c r="AH75" s="37" t="str">
        <f ca="1">IFERROR(+IF(AH$29=ProposalToGnatt[[#This Row],[Start Date]],Milestone_Marker,IF(AND(AH$29&gt;ProposalToGnatt[[#This Row],[Start Date]],AH$29&lt;ProposalToGnatt[[#This Row],[Start Date]]+ProposalToGnatt[[#This Row],[Days]]),$G$5,"")),"")</f>
        <v/>
      </c>
      <c r="AI75" s="37" t="str">
        <f ca="1">IFERROR(+IF(AI$29=ProposalToGnatt[[#This Row],[Start Date]],Milestone_Marker,IF(AND(AI$29&gt;ProposalToGnatt[[#This Row],[Start Date]],AI$29&lt;ProposalToGnatt[[#This Row],[Start Date]]+ProposalToGnatt[[#This Row],[Days]]),$G$5,"")),"")</f>
        <v/>
      </c>
      <c r="AJ75" s="37" t="str">
        <f ca="1">IFERROR(+IF(AJ$29=ProposalToGnatt[[#This Row],[Start Date]],Milestone_Marker,IF(AND(AJ$29&gt;ProposalToGnatt[[#This Row],[Start Date]],AJ$29&lt;ProposalToGnatt[[#This Row],[Start Date]]+ProposalToGnatt[[#This Row],[Days]]),$G$5,"")),"")</f>
        <v/>
      </c>
      <c r="AK75" s="37" t="str">
        <f ca="1">IFERROR(+IF(AK$29=ProposalToGnatt[[#This Row],[Start Date]],Milestone_Marker,IF(AND(AK$29&gt;ProposalToGnatt[[#This Row],[Start Date]],AK$29&lt;ProposalToGnatt[[#This Row],[Start Date]]+ProposalToGnatt[[#This Row],[Days]]),$G$5,"")),"")</f>
        <v/>
      </c>
      <c r="AL75" s="37" t="str">
        <f ca="1">IFERROR(+IF(AL$29=ProposalToGnatt[[#This Row],[Start Date]],Milestone_Marker,IF(AND(AL$29&gt;ProposalToGnatt[[#This Row],[Start Date]],AL$29&lt;ProposalToGnatt[[#This Row],[Start Date]]+ProposalToGnatt[[#This Row],[Days]]),$G$5,"")),"")</f>
        <v/>
      </c>
      <c r="AM75" s="37" t="str">
        <f ca="1">IFERROR(+IF(AM$29=ProposalToGnatt[[#This Row],[Start Date]],Milestone_Marker,IF(AND(AM$29&gt;ProposalToGnatt[[#This Row],[Start Date]],AM$29&lt;ProposalToGnatt[[#This Row],[Start Date]]+ProposalToGnatt[[#This Row],[Days]]),$G$5,"")),"")</f>
        <v/>
      </c>
      <c r="AN75" s="37" t="str">
        <f ca="1">IFERROR(+IF(AN$29=ProposalToGnatt[[#This Row],[Start Date]],Milestone_Marker,IF(AND(AN$29&gt;ProposalToGnatt[[#This Row],[Start Date]],AN$29&lt;ProposalToGnatt[[#This Row],[Start Date]]+ProposalToGnatt[[#This Row],[Days]]),$G$5,"")),"")</f>
        <v/>
      </c>
      <c r="AO75" s="37" t="str">
        <f ca="1">IFERROR(+IF(AO$29=ProposalToGnatt[[#This Row],[Start Date]],Milestone_Marker,IF(AND(AO$29&gt;ProposalToGnatt[[#This Row],[Start Date]],AO$29&lt;ProposalToGnatt[[#This Row],[Start Date]]+ProposalToGnatt[[#This Row],[Days]]),$G$5,"")),"")</f>
        <v/>
      </c>
      <c r="AP75" s="37" t="str">
        <f ca="1">IFERROR(+IF(AP$29=ProposalToGnatt[[#This Row],[Start Date]],Milestone_Marker,IF(AND(AP$29&gt;ProposalToGnatt[[#This Row],[Start Date]],AP$29&lt;ProposalToGnatt[[#This Row],[Start Date]]+ProposalToGnatt[[#This Row],[Days]]),$G$5,"")),"")</f>
        <v/>
      </c>
      <c r="AQ75" s="37" t="str">
        <f ca="1">IFERROR(+IF(AQ$29=ProposalToGnatt[[#This Row],[Start Date]],Milestone_Marker,IF(AND(AQ$29&gt;ProposalToGnatt[[#This Row],[Start Date]],AQ$29&lt;ProposalToGnatt[[#This Row],[Start Date]]+ProposalToGnatt[[#This Row],[Days]]),$G$5,"")),"")</f>
        <v/>
      </c>
      <c r="AR75" s="37" t="str">
        <f ca="1">IFERROR(+IF(AR$29=ProposalToGnatt[[#This Row],[Start Date]],Milestone_Marker,IF(AND(AR$29&gt;ProposalToGnatt[[#This Row],[Start Date]],AR$29&lt;ProposalToGnatt[[#This Row],[Start Date]]+ProposalToGnatt[[#This Row],[Days]]),$G$5,"")),"")</f>
        <v/>
      </c>
      <c r="AS75" s="37" t="str">
        <f ca="1">IFERROR(+IF(AS$29=ProposalToGnatt[[#This Row],[Start Date]],Milestone_Marker,IF(AND(AS$29&gt;ProposalToGnatt[[#This Row],[Start Date]],AS$29&lt;ProposalToGnatt[[#This Row],[Start Date]]+ProposalToGnatt[[#This Row],[Days]]),$G$5,"")),"")</f>
        <v/>
      </c>
      <c r="AT75" s="37" t="str">
        <f ca="1">IFERROR(+IF(AT$29=ProposalToGnatt[[#This Row],[Start Date]],Milestone_Marker,IF(AND(AT$29&gt;ProposalToGnatt[[#This Row],[Start Date]],AT$29&lt;ProposalToGnatt[[#This Row],[Start Date]]+ProposalToGnatt[[#This Row],[Days]]),$G$5,"")),"")</f>
        <v/>
      </c>
      <c r="AU75" s="37" t="str">
        <f ca="1">IFERROR(+IF(AU$29=ProposalToGnatt[[#This Row],[Start Date]],Milestone_Marker,IF(AND(AU$29&gt;ProposalToGnatt[[#This Row],[Start Date]],AU$29&lt;ProposalToGnatt[[#This Row],[Start Date]]+ProposalToGnatt[[#This Row],[Days]]),$G$5,"")),"")</f>
        <v/>
      </c>
      <c r="AV75" s="37" t="str">
        <f ca="1">IFERROR(+IF(AV$29=ProposalToGnatt[[#This Row],[Start Date]],Milestone_Marker,IF(AND(AV$29&gt;ProposalToGnatt[[#This Row],[Start Date]],AV$29&lt;ProposalToGnatt[[#This Row],[Start Date]]+ProposalToGnatt[[#This Row],[Days]]),$G$5,"")),"")</f>
        <v/>
      </c>
      <c r="AW75" s="37" t="str">
        <f ca="1">IFERROR(+IF(AW$29=ProposalToGnatt[[#This Row],[Start Date]],Milestone_Marker,IF(AND(AW$29&gt;ProposalToGnatt[[#This Row],[Start Date]],AW$29&lt;ProposalToGnatt[[#This Row],[Start Date]]+ProposalToGnatt[[#This Row],[Days]]),$G$5,"")),"")</f>
        <v/>
      </c>
      <c r="AX75" s="37" t="str">
        <f ca="1">IFERROR(+IF(AX$29=ProposalToGnatt[[#This Row],[Start Date]],Milestone_Marker,IF(AND(AX$29&gt;ProposalToGnatt[[#This Row],[Start Date]],AX$29&lt;ProposalToGnatt[[#This Row],[Start Date]]+ProposalToGnatt[[#This Row],[Days]]),$G$5,"")),"")</f>
        <v/>
      </c>
      <c r="AY75" s="37" t="str">
        <f ca="1">IFERROR(+IF(AY$29=ProposalToGnatt[[#This Row],[Start Date]],Milestone_Marker,IF(AND(AY$29&gt;ProposalToGnatt[[#This Row],[Start Date]],AY$29&lt;ProposalToGnatt[[#This Row],[Start Date]]+ProposalToGnatt[[#This Row],[Days]]),$G$5,"")),"")</f>
        <v/>
      </c>
      <c r="AZ75" s="37" t="str">
        <f ca="1">IFERROR(+IF(AZ$29=ProposalToGnatt[[#This Row],[Start Date]],Milestone_Marker,IF(AND(AZ$29&gt;ProposalToGnatt[[#This Row],[Start Date]],AZ$29&lt;ProposalToGnatt[[#This Row],[Start Date]]+ProposalToGnatt[[#This Row],[Days]]),$G$5,"")),"")</f>
        <v/>
      </c>
      <c r="BA75" s="37" t="str">
        <f ca="1">IFERROR(+IF(BA$29=ProposalToGnatt[[#This Row],[Start Date]],Milestone_Marker,IF(AND(BA$29&gt;ProposalToGnatt[[#This Row],[Start Date]],BA$29&lt;ProposalToGnatt[[#This Row],[Start Date]]+ProposalToGnatt[[#This Row],[Days]]),$G$5,"")),"")</f>
        <v/>
      </c>
      <c r="BB75" s="37" t="str">
        <f ca="1">IFERROR(+IF(BB$29=ProposalToGnatt[[#This Row],[Start Date]],Milestone_Marker,IF(AND(BB$29&gt;ProposalToGnatt[[#This Row],[Start Date]],BB$29&lt;ProposalToGnatt[[#This Row],[Start Date]]+ProposalToGnatt[[#This Row],[Days]]),$G$5,"")),"")</f>
        <v/>
      </c>
      <c r="BC75" s="37" t="str">
        <f ca="1">IFERROR(+IF(BC$29=ProposalToGnatt[[#This Row],[Start Date]],Milestone_Marker,IF(AND(BC$29&gt;ProposalToGnatt[[#This Row],[Start Date]],BC$29&lt;ProposalToGnatt[[#This Row],[Start Date]]+ProposalToGnatt[[#This Row],[Days]]),$G$5,"")),"")</f>
        <v/>
      </c>
      <c r="BD75" s="37" t="str">
        <f ca="1">IFERROR(+IF(BD$29=ProposalToGnatt[[#This Row],[Start Date]],Milestone_Marker,IF(AND(BD$29&gt;ProposalToGnatt[[#This Row],[Start Date]],BD$29&lt;ProposalToGnatt[[#This Row],[Start Date]]+ProposalToGnatt[[#This Row],[Days]]),$G$5,"")),"")</f>
        <v/>
      </c>
      <c r="BE75" s="37" t="str">
        <f ca="1">IFERROR(+IF(BE$29=ProposalToGnatt[[#This Row],[Start Date]],Milestone_Marker,IF(AND(BE$29&gt;ProposalToGnatt[[#This Row],[Start Date]],BE$29&lt;ProposalToGnatt[[#This Row],[Start Date]]+ProposalToGnatt[[#This Row],[Days]]),$G$5,"")),"")</f>
        <v/>
      </c>
      <c r="BF75" s="37" t="str">
        <f ca="1">IFERROR(+IF(BF$29=ProposalToGnatt[[#This Row],[Start Date]],Milestone_Marker,IF(AND(BF$29&gt;ProposalToGnatt[[#This Row],[Start Date]],BF$29&lt;ProposalToGnatt[[#This Row],[Start Date]]+ProposalToGnatt[[#This Row],[Days]]),$G$5,"")),"")</f>
        <v/>
      </c>
      <c r="BG75" s="37" t="str">
        <f ca="1">IFERROR(+IF(BG$29=ProposalToGnatt[[#This Row],[Start Date]],Milestone_Marker,IF(AND(BG$29&gt;ProposalToGnatt[[#This Row],[Start Date]],BG$29&lt;ProposalToGnatt[[#This Row],[Start Date]]+ProposalToGnatt[[#This Row],[Days]]),$G$5,"")),"")</f>
        <v/>
      </c>
      <c r="BH75" s="37" t="str">
        <f ca="1">IFERROR(+IF(BH$29=ProposalToGnatt[[#This Row],[Start Date]],Milestone_Marker,IF(AND(BH$29&gt;ProposalToGnatt[[#This Row],[Start Date]],BH$29&lt;ProposalToGnatt[[#This Row],[Start Date]]+ProposalToGnatt[[#This Row],[Days]]),$G$5,"")),"")</f>
        <v/>
      </c>
      <c r="BI75" s="37" t="str">
        <f ca="1">IFERROR(+IF(BI$29=ProposalToGnatt[[#This Row],[Start Date]],Milestone_Marker,IF(AND(BI$29&gt;ProposalToGnatt[[#This Row],[Start Date]],BI$29&lt;ProposalToGnatt[[#This Row],[Start Date]]+ProposalToGnatt[[#This Row],[Days]]),$G$5,"")),"")</f>
        <v/>
      </c>
      <c r="BJ75" s="37" t="str">
        <f ca="1">IFERROR(+IF(BJ$29=ProposalToGnatt[[#This Row],[Start Date]],Milestone_Marker,IF(AND(BJ$29&gt;ProposalToGnatt[[#This Row],[Start Date]],BJ$29&lt;ProposalToGnatt[[#This Row],[Start Date]]+ProposalToGnatt[[#This Row],[Days]]),$G$5,"")),"")</f>
        <v/>
      </c>
      <c r="BK75" s="37" t="str">
        <f ca="1">IFERROR(+IF(BK$29=ProposalToGnatt[[#This Row],[Start Date]],Milestone_Marker,IF(AND(BK$29&gt;ProposalToGnatt[[#This Row],[Start Date]],BK$29&lt;ProposalToGnatt[[#This Row],[Start Date]]+ProposalToGnatt[[#This Row],[Days]]),$G$5,"")),"")</f>
        <v/>
      </c>
      <c r="BL75" s="37" t="str">
        <f ca="1">IFERROR(+IF(BL$29=ProposalToGnatt[[#This Row],[Start Date]],Milestone_Marker,IF(AND(BL$29&gt;ProposalToGnatt[[#This Row],[Start Date]],BL$29&lt;ProposalToGnatt[[#This Row],[Start Date]]+ProposalToGnatt[[#This Row],[Days]]),$G$5,"")),"")</f>
        <v/>
      </c>
      <c r="BM75" s="37" t="str">
        <f ca="1">IFERROR(+IF(BM$29=ProposalToGnatt[[#This Row],[Start Date]],Milestone_Marker,IF(AND(BM$29&gt;ProposalToGnatt[[#This Row],[Start Date]],BM$29&lt;ProposalToGnatt[[#This Row],[Start Date]]+ProposalToGnatt[[#This Row],[Days]]),$G$5,"")),"")</f>
        <v/>
      </c>
      <c r="BN75" s="37" t="str">
        <f ca="1">IFERROR(+IF(BN$29=ProposalToGnatt[[#This Row],[Start Date]],Milestone_Marker,IF(AND(BN$29&gt;ProposalToGnatt[[#This Row],[Start Date]],BN$29&lt;ProposalToGnatt[[#This Row],[Start Date]]+ProposalToGnatt[[#This Row],[Days]]),$G$5,"")),"")</f>
        <v/>
      </c>
      <c r="BO75" s="37" t="str">
        <f ca="1">IFERROR(+IF(BO$29=ProposalToGnatt[[#This Row],[Start Date]],Milestone_Marker,IF(AND(BO$29&gt;ProposalToGnatt[[#This Row],[Start Date]],BO$29&lt;ProposalToGnatt[[#This Row],[Start Date]]+ProposalToGnatt[[#This Row],[Days]]),$G$5,"")),"")</f>
        <v/>
      </c>
      <c r="BP75" s="37" t="str">
        <f ca="1">IFERROR(+IF(BP$29=ProposalToGnatt[[#This Row],[Start Date]],Milestone_Marker,IF(AND(BP$29&gt;ProposalToGnatt[[#This Row],[Start Date]],BP$29&lt;ProposalToGnatt[[#This Row],[Start Date]]+ProposalToGnatt[[#This Row],[Days]]),$G$5,"")),"")</f>
        <v/>
      </c>
      <c r="BQ75" s="37" t="str">
        <f ca="1">IFERROR(+IF(BQ$29=ProposalToGnatt[[#This Row],[Start Date]],Milestone_Marker,IF(AND(BQ$29&gt;ProposalToGnatt[[#This Row],[Start Date]],BQ$29&lt;ProposalToGnatt[[#This Row],[Start Date]]+ProposalToGnatt[[#This Row],[Days]]),$G$5,"")),"")</f>
        <v/>
      </c>
      <c r="BR75" s="37" t="str">
        <f ca="1">IFERROR(+IF(BR$29=ProposalToGnatt[[#This Row],[Start Date]],Milestone_Marker,IF(AND(BR$29&gt;ProposalToGnatt[[#This Row],[Start Date]],BR$29&lt;ProposalToGnatt[[#This Row],[Start Date]]+ProposalToGnatt[[#This Row],[Days]]),$G$5,"")),"")</f>
        <v/>
      </c>
      <c r="BS75" s="37" t="str">
        <f ca="1">IFERROR(+IF(BS$29=ProposalToGnatt[[#This Row],[Start Date]],Milestone_Marker,IF(AND(BS$29&gt;ProposalToGnatt[[#This Row],[Start Date]],BS$29&lt;ProposalToGnatt[[#This Row],[Start Date]]+ProposalToGnatt[[#This Row],[Days]]),$G$5,"")),"")</f>
        <v/>
      </c>
      <c r="BT75" s="37" t="str">
        <f ca="1">IFERROR(+IF(BT$29=ProposalToGnatt[[#This Row],[Start Date]],Milestone_Marker,IF(AND(BT$29&gt;ProposalToGnatt[[#This Row],[Start Date]],BT$29&lt;ProposalToGnatt[[#This Row],[Start Date]]+ProposalToGnatt[[#This Row],[Days]]),$G$5,"")),"")</f>
        <v/>
      </c>
      <c r="BU75" s="37" t="str">
        <f ca="1">IFERROR(+IF(BU$29=ProposalToGnatt[[#This Row],[Start Date]],Milestone_Marker,IF(AND(BU$29&gt;ProposalToGnatt[[#This Row],[Start Date]],BU$29&lt;ProposalToGnatt[[#This Row],[Start Date]]+ProposalToGnatt[[#This Row],[Days]]),$G$5,"")),"")</f>
        <v/>
      </c>
      <c r="BV75" s="37" t="str">
        <f ca="1">IFERROR(+IF(BV$29=ProposalToGnatt[[#This Row],[Start Date]],Milestone_Marker,IF(AND(BV$29&gt;ProposalToGnatt[[#This Row],[Start Date]],BV$29&lt;ProposalToGnatt[[#This Row],[Start Date]]+ProposalToGnatt[[#This Row],[Days]]),$G$5,"")),"")</f>
        <v/>
      </c>
      <c r="BW75" s="37" t="str">
        <f ca="1">IFERROR(+IF(BW$29=ProposalToGnatt[[#This Row],[Start Date]],Milestone_Marker,IF(AND(BW$29&gt;ProposalToGnatt[[#This Row],[Start Date]],BW$29&lt;ProposalToGnatt[[#This Row],[Start Date]]+ProposalToGnatt[[#This Row],[Days]]),$G$5,"")),"")</f>
        <v/>
      </c>
      <c r="BX75" s="37" t="str">
        <f ca="1">IFERROR(+IF(BX$29=ProposalToGnatt[[#This Row],[Start Date]],Milestone_Marker,IF(AND(BX$29&gt;ProposalToGnatt[[#This Row],[Start Date]],BX$29&lt;ProposalToGnatt[[#This Row],[Start Date]]+ProposalToGnatt[[#This Row],[Days]]),$G$5,"")),"")</f>
        <v/>
      </c>
      <c r="BY75" s="37" t="str">
        <f ca="1">IFERROR(+IF(BY$29=ProposalToGnatt[[#This Row],[Start Date]],Milestone_Marker,IF(AND(BY$29&gt;ProposalToGnatt[[#This Row],[Start Date]],BY$29&lt;ProposalToGnatt[[#This Row],[Start Date]]+ProposalToGnatt[[#This Row],[Days]]),$G$5,"")),"")</f>
        <v/>
      </c>
      <c r="BZ75" s="37" t="str">
        <f ca="1">IFERROR(+IF(BZ$29=ProposalToGnatt[[#This Row],[Start Date]],Milestone_Marker,IF(AND(BZ$29&gt;ProposalToGnatt[[#This Row],[Start Date]],BZ$29&lt;ProposalToGnatt[[#This Row],[Start Date]]+ProposalToGnatt[[#This Row],[Days]]),$G$5,"")),"")</f>
        <v/>
      </c>
      <c r="CA75" s="37" t="str">
        <f ca="1">IFERROR(+IF(CA$29=ProposalToGnatt[[#This Row],[Start Date]],Milestone_Marker,IF(AND(CA$29&gt;ProposalToGnatt[[#This Row],[Start Date]],CA$29&lt;ProposalToGnatt[[#This Row],[Start Date]]+ProposalToGnatt[[#This Row],[Days]]),$G$5,"")),"")</f>
        <v/>
      </c>
      <c r="CB75" s="37" t="str">
        <f ca="1">IFERROR(+IF(CB$29=ProposalToGnatt[[#This Row],[Start Date]],Milestone_Marker,IF(AND(CB$29&gt;ProposalToGnatt[[#This Row],[Start Date]],CB$29&lt;ProposalToGnatt[[#This Row],[Start Date]]+ProposalToGnatt[[#This Row],[Days]]),$G$5,"")),"")</f>
        <v/>
      </c>
      <c r="CC75" s="37" t="str">
        <f ca="1">IFERROR(+IF(CC$29=ProposalToGnatt[[#This Row],[Start Date]],Milestone_Marker,IF(AND(CC$29&gt;ProposalToGnatt[[#This Row],[Start Date]],CC$29&lt;ProposalToGnatt[[#This Row],[Start Date]]+ProposalToGnatt[[#This Row],[Days]]),$G$5,"")),"")</f>
        <v/>
      </c>
      <c r="CD75" s="37" t="str">
        <f ca="1">IFERROR(+IF(CD$29=ProposalToGnatt[[#This Row],[Start Date]],Milestone_Marker,IF(AND(CD$29&gt;ProposalToGnatt[[#This Row],[Start Date]],CD$29&lt;ProposalToGnatt[[#This Row],[Start Date]]+ProposalToGnatt[[#This Row],[Days]]),$G$5,"")),"")</f>
        <v/>
      </c>
      <c r="CE75" s="37" t="str">
        <f ca="1">IFERROR(+IF(CE$29=ProposalToGnatt[[#This Row],[Start Date]],Milestone_Marker,IF(AND(CE$29&gt;ProposalToGnatt[[#This Row],[Start Date]],CE$29&lt;ProposalToGnatt[[#This Row],[Start Date]]+ProposalToGnatt[[#This Row],[Days]]),$G$5,"")),"")</f>
        <v/>
      </c>
      <c r="CF75" s="37" t="str">
        <f ca="1">IFERROR(+IF(CF$29=ProposalToGnatt[[#This Row],[Start Date]],Milestone_Marker,IF(AND(CF$29&gt;ProposalToGnatt[[#This Row],[Start Date]],CF$29&lt;ProposalToGnatt[[#This Row],[Start Date]]+ProposalToGnatt[[#This Row],[Days]]),$G$5,"")),"")</f>
        <v/>
      </c>
      <c r="CG75" s="37" t="str">
        <f ca="1">IFERROR(+IF(CG$29=ProposalToGnatt[[#This Row],[Start Date]],Milestone_Marker,IF(AND(CG$29&gt;ProposalToGnatt[[#This Row],[Start Date]],CG$29&lt;ProposalToGnatt[[#This Row],[Start Date]]+ProposalToGnatt[[#This Row],[Days]]),$G$5,"")),"")</f>
        <v/>
      </c>
      <c r="CH75" s="37" t="str">
        <f ca="1">IFERROR(+IF(CH$29=ProposalToGnatt[[#This Row],[Start Date]],Milestone_Marker,IF(AND(CH$29&gt;ProposalToGnatt[[#This Row],[Start Date]],CH$29&lt;ProposalToGnatt[[#This Row],[Start Date]]+ProposalToGnatt[[#This Row],[Days]]),$G$5,"")),"")</f>
        <v/>
      </c>
      <c r="CI75" s="37" t="str">
        <f ca="1">IFERROR(+IF(CI$29=ProposalToGnatt[[#This Row],[Start Date]],Milestone_Marker,IF(AND(CI$29&gt;ProposalToGnatt[[#This Row],[Start Date]],CI$29&lt;ProposalToGnatt[[#This Row],[Start Date]]+ProposalToGnatt[[#This Row],[Days]]),$G$5,"")),"")</f>
        <v/>
      </c>
      <c r="CJ75" s="37" t="str">
        <f ca="1">IFERROR(+IF(CJ$29=ProposalToGnatt[[#This Row],[Start Date]],Milestone_Marker,IF(AND(CJ$29&gt;ProposalToGnatt[[#This Row],[Start Date]],CJ$29&lt;ProposalToGnatt[[#This Row],[Start Date]]+ProposalToGnatt[[#This Row],[Days]]),$G$5,"")),"")</f>
        <v/>
      </c>
      <c r="CK75" s="37" t="str">
        <f ca="1">IFERROR(+IF(CK$29=ProposalToGnatt[[#This Row],[Start Date]],Milestone_Marker,IF(AND(CK$29&gt;ProposalToGnatt[[#This Row],[Start Date]],CK$29&lt;ProposalToGnatt[[#This Row],[Start Date]]+ProposalToGnatt[[#This Row],[Days]]),$G$5,"")),"")</f>
        <v/>
      </c>
      <c r="CL75" s="37" t="str">
        <f ca="1">IFERROR(+IF(CL$29=ProposalToGnatt[[#This Row],[Start Date]],Milestone_Marker,IF(AND(CL$29&gt;ProposalToGnatt[[#This Row],[Start Date]],CL$29&lt;ProposalToGnatt[[#This Row],[Start Date]]+ProposalToGnatt[[#This Row],[Days]]),$G$5,"")),"")</f>
        <v/>
      </c>
      <c r="CM75" s="37" t="str">
        <f ca="1">IFERROR(+IF(CM$29=ProposalToGnatt[[#This Row],[Start Date]],Milestone_Marker,IF(AND(CM$29&gt;ProposalToGnatt[[#This Row],[Start Date]],CM$29&lt;ProposalToGnatt[[#This Row],[Start Date]]+ProposalToGnatt[[#This Row],[Days]]),$G$5,"")),"")</f>
        <v/>
      </c>
      <c r="CN75" s="37" t="str">
        <f ca="1">IFERROR(+IF(CN$29=ProposalToGnatt[[#This Row],[Start Date]],Milestone_Marker,IF(AND(CN$29&gt;ProposalToGnatt[[#This Row],[Start Date]],CN$29&lt;ProposalToGnatt[[#This Row],[Start Date]]+ProposalToGnatt[[#This Row],[Days]]),$G$5,"")),"")</f>
        <v/>
      </c>
      <c r="CO75" s="37" t="str">
        <f ca="1">IFERROR(+IF(CO$29=ProposalToGnatt[[#This Row],[Start Date]],Milestone_Marker,IF(AND(CO$29&gt;ProposalToGnatt[[#This Row],[Start Date]],CO$29&lt;ProposalToGnatt[[#This Row],[Start Date]]+ProposalToGnatt[[#This Row],[Days]]),$G$5,"")),"")</f>
        <v/>
      </c>
      <c r="CP75" s="37" t="str">
        <f ca="1">IFERROR(+IF(CP$29=ProposalToGnatt[[#This Row],[Start Date]],Milestone_Marker,IF(AND(CP$29&gt;ProposalToGnatt[[#This Row],[Start Date]],CP$29&lt;ProposalToGnatt[[#This Row],[Start Date]]+ProposalToGnatt[[#This Row],[Days]]),$G$5,"")),"")</f>
        <v/>
      </c>
      <c r="CQ75" s="37" t="str">
        <f ca="1">IFERROR(+IF(CQ$29=ProposalToGnatt[[#This Row],[Start Date]],Milestone_Marker,IF(AND(CQ$29&gt;ProposalToGnatt[[#This Row],[Start Date]],CQ$29&lt;ProposalToGnatt[[#This Row],[Start Date]]+ProposalToGnatt[[#This Row],[Days]]),$G$5,"")),"")</f>
        <v/>
      </c>
      <c r="CR75" s="37" t="str">
        <f ca="1">IFERROR(+IF(CR$29=ProposalToGnatt[[#This Row],[Start Date]],Milestone_Marker,IF(AND(CR$29&gt;ProposalToGnatt[[#This Row],[Start Date]],CR$29&lt;ProposalToGnatt[[#This Row],[Start Date]]+ProposalToGnatt[[#This Row],[Days]]),$G$5,"")),"")</f>
        <v/>
      </c>
      <c r="CS75" s="37" t="str">
        <f ca="1">IFERROR(+IF(CS$29=ProposalToGnatt[[#This Row],[Start Date]],Milestone_Marker,IF(AND(CS$29&gt;ProposalToGnatt[[#This Row],[Start Date]],CS$29&lt;ProposalToGnatt[[#This Row],[Start Date]]+ProposalToGnatt[[#This Row],[Days]]),$G$5,"")),"")</f>
        <v/>
      </c>
      <c r="CT75" s="37" t="str">
        <f ca="1">IFERROR(+IF(CT$29=ProposalToGnatt[[#This Row],[Start Date]],Milestone_Marker,IF(AND(CT$29&gt;ProposalToGnatt[[#This Row],[Start Date]],CT$29&lt;ProposalToGnatt[[#This Row],[Start Date]]+ProposalToGnatt[[#This Row],[Days]]),$G$5,"")),"")</f>
        <v/>
      </c>
      <c r="CU75" s="37" t="str">
        <f ca="1">IFERROR(+IF(CU$29=ProposalToGnatt[[#This Row],[Start Date]],Milestone_Marker,IF(AND(CU$29&gt;ProposalToGnatt[[#This Row],[Start Date]],CU$29&lt;ProposalToGnatt[[#This Row],[Start Date]]+ProposalToGnatt[[#This Row],[Days]]),$G$5,"")),"")</f>
        <v/>
      </c>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row>
    <row r="76" spans="1:125" ht="15">
      <c r="A76"/>
      <c r="B76"/>
      <c r="C76"/>
      <c r="D76"/>
      <c r="E76"/>
      <c r="F76"/>
      <c r="G76" s="11"/>
      <c r="H76" s="26"/>
      <c r="I76"/>
      <c r="J76"/>
      <c r="K76" s="363"/>
      <c r="L76"/>
      <c r="M76"/>
      <c r="N76"/>
      <c r="O76" s="26"/>
      <c r="P76" s="37" t="str">
        <f ca="1">IFERROR(+IF(P$29=ProposalToGnatt[[#This Row],[Start Date]],Milestone_Marker,IF(AND(P$29&gt;ProposalToGnatt[[#This Row],[Start Date]],P$29&lt;ProposalToGnatt[[#This Row],[Start Date]]+ProposalToGnatt[[#This Row],[Days]]),$G$5,"")),"")</f>
        <v/>
      </c>
      <c r="Q76" s="37" t="str">
        <f ca="1">IFERROR(+IF(Q$29=ProposalToGnatt[[#This Row],[Start Date]],Milestone_Marker,IF(AND(Q$29&gt;ProposalToGnatt[[#This Row],[Start Date]],Q$29&lt;ProposalToGnatt[[#This Row],[Start Date]]+ProposalToGnatt[[#This Row],[Days]]),$G$5,"")),"")</f>
        <v/>
      </c>
      <c r="R76" s="37" t="str">
        <f ca="1">IFERROR(+IF(R$29=ProposalToGnatt[[#This Row],[Start Date]],Milestone_Marker,IF(AND(R$29&gt;ProposalToGnatt[[#This Row],[Start Date]],R$29&lt;ProposalToGnatt[[#This Row],[Start Date]]+ProposalToGnatt[[#This Row],[Days]]),$G$5,"")),"")</f>
        <v/>
      </c>
      <c r="S76" s="37" t="str">
        <f ca="1">IFERROR(+IF(S$29=ProposalToGnatt[[#This Row],[Start Date]],Milestone_Marker,IF(AND(S$29&gt;ProposalToGnatt[[#This Row],[Start Date]],S$29&lt;ProposalToGnatt[[#This Row],[Start Date]]+ProposalToGnatt[[#This Row],[Days]]),$G$5,"")),"")</f>
        <v/>
      </c>
      <c r="T76" s="37" t="str">
        <f ca="1">IFERROR(+IF(T$29=ProposalToGnatt[[#This Row],[Start Date]],Milestone_Marker,IF(AND(T$29&gt;ProposalToGnatt[[#This Row],[Start Date]],T$29&lt;ProposalToGnatt[[#This Row],[Start Date]]+ProposalToGnatt[[#This Row],[Days]]),$G$5,"")),"")</f>
        <v/>
      </c>
      <c r="U76" s="37" t="str">
        <f ca="1">IFERROR(+IF(U$29=ProposalToGnatt[[#This Row],[Start Date]],Milestone_Marker,IF(AND(U$29&gt;ProposalToGnatt[[#This Row],[Start Date]],U$29&lt;ProposalToGnatt[[#This Row],[Start Date]]+ProposalToGnatt[[#This Row],[Days]]),$G$5,"")),"")</f>
        <v/>
      </c>
      <c r="V76" s="37" t="str">
        <f ca="1">IFERROR(+IF(V$29=ProposalToGnatt[[#This Row],[Start Date]],Milestone_Marker,IF(AND(V$29&gt;ProposalToGnatt[[#This Row],[Start Date]],V$29&lt;ProposalToGnatt[[#This Row],[Start Date]]+ProposalToGnatt[[#This Row],[Days]]),$G$5,"")),"")</f>
        <v/>
      </c>
      <c r="W76" s="37" t="str">
        <f ca="1">IFERROR(+IF(W$29=ProposalToGnatt[[#This Row],[Start Date]],Milestone_Marker,IF(AND(W$29&gt;ProposalToGnatt[[#This Row],[Start Date]],W$29&lt;ProposalToGnatt[[#This Row],[Start Date]]+ProposalToGnatt[[#This Row],[Days]]),$G$5,"")),"")</f>
        <v/>
      </c>
      <c r="X76" s="37" t="str">
        <f ca="1">IFERROR(+IF(X$29=ProposalToGnatt[[#This Row],[Start Date]],Milestone_Marker,IF(AND(X$29&gt;ProposalToGnatt[[#This Row],[Start Date]],X$29&lt;ProposalToGnatt[[#This Row],[Start Date]]+ProposalToGnatt[[#This Row],[Days]]),$G$5,"")),"")</f>
        <v/>
      </c>
      <c r="Y76" s="37" t="str">
        <f ca="1">IFERROR(+IF(Y$29=ProposalToGnatt[[#This Row],[Start Date]],Milestone_Marker,IF(AND(Y$29&gt;ProposalToGnatt[[#This Row],[Start Date]],Y$29&lt;ProposalToGnatt[[#This Row],[Start Date]]+ProposalToGnatt[[#This Row],[Days]]),$G$5,"")),"")</f>
        <v/>
      </c>
      <c r="Z76" s="37" t="str">
        <f ca="1">IFERROR(+IF(Z$29=ProposalToGnatt[[#This Row],[Start Date]],Milestone_Marker,IF(AND(Z$29&gt;ProposalToGnatt[[#This Row],[Start Date]],Z$29&lt;ProposalToGnatt[[#This Row],[Start Date]]+ProposalToGnatt[[#This Row],[Days]]),$G$5,"")),"")</f>
        <v/>
      </c>
      <c r="AA76" s="37" t="str">
        <f ca="1">IFERROR(+IF(AA$29=ProposalToGnatt[[#This Row],[Start Date]],Milestone_Marker,IF(AND(AA$29&gt;ProposalToGnatt[[#This Row],[Start Date]],AA$29&lt;ProposalToGnatt[[#This Row],[Start Date]]+ProposalToGnatt[[#This Row],[Days]]),$G$5,"")),"")</f>
        <v/>
      </c>
      <c r="AB76" s="37" t="str">
        <f ca="1">IFERROR(+IF(AB$29=ProposalToGnatt[[#This Row],[Start Date]],Milestone_Marker,IF(AND(AB$29&gt;ProposalToGnatt[[#This Row],[Start Date]],AB$29&lt;ProposalToGnatt[[#This Row],[Start Date]]+ProposalToGnatt[[#This Row],[Days]]),$G$5,"")),"")</f>
        <v/>
      </c>
      <c r="AC76" s="37" t="str">
        <f ca="1">IFERROR(+IF(AC$29=ProposalToGnatt[[#This Row],[Start Date]],Milestone_Marker,IF(AND(AC$29&gt;ProposalToGnatt[[#This Row],[Start Date]],AC$29&lt;ProposalToGnatt[[#This Row],[Start Date]]+ProposalToGnatt[[#This Row],[Days]]),$G$5,"")),"")</f>
        <v/>
      </c>
      <c r="AD76" s="37" t="str">
        <f ca="1">IFERROR(+IF(AD$29=ProposalToGnatt[[#This Row],[Start Date]],Milestone_Marker,IF(AND(AD$29&gt;ProposalToGnatt[[#This Row],[Start Date]],AD$29&lt;ProposalToGnatt[[#This Row],[Start Date]]+ProposalToGnatt[[#This Row],[Days]]),$G$5,"")),"")</f>
        <v/>
      </c>
      <c r="AE76" s="37" t="str">
        <f ca="1">IFERROR(+IF(AE$29=ProposalToGnatt[[#This Row],[Start Date]],Milestone_Marker,IF(AND(AE$29&gt;ProposalToGnatt[[#This Row],[Start Date]],AE$29&lt;ProposalToGnatt[[#This Row],[Start Date]]+ProposalToGnatt[[#This Row],[Days]]),$G$5,"")),"")</f>
        <v/>
      </c>
      <c r="AF76" s="37" t="str">
        <f ca="1">IFERROR(+IF(AF$29=ProposalToGnatt[[#This Row],[Start Date]],Milestone_Marker,IF(AND(AF$29&gt;ProposalToGnatt[[#This Row],[Start Date]],AF$29&lt;ProposalToGnatt[[#This Row],[Start Date]]+ProposalToGnatt[[#This Row],[Days]]),$G$5,"")),"")</f>
        <v/>
      </c>
      <c r="AG76" s="37" t="str">
        <f ca="1">IFERROR(+IF(AG$29=ProposalToGnatt[[#This Row],[Start Date]],Milestone_Marker,IF(AND(AG$29&gt;ProposalToGnatt[[#This Row],[Start Date]],AG$29&lt;ProposalToGnatt[[#This Row],[Start Date]]+ProposalToGnatt[[#This Row],[Days]]),$G$5,"")),"")</f>
        <v/>
      </c>
      <c r="AH76" s="37" t="str">
        <f ca="1">IFERROR(+IF(AH$29=ProposalToGnatt[[#This Row],[Start Date]],Milestone_Marker,IF(AND(AH$29&gt;ProposalToGnatt[[#This Row],[Start Date]],AH$29&lt;ProposalToGnatt[[#This Row],[Start Date]]+ProposalToGnatt[[#This Row],[Days]]),$G$5,"")),"")</f>
        <v/>
      </c>
      <c r="AI76" s="37" t="str">
        <f ca="1">IFERROR(+IF(AI$29=ProposalToGnatt[[#This Row],[Start Date]],Milestone_Marker,IF(AND(AI$29&gt;ProposalToGnatt[[#This Row],[Start Date]],AI$29&lt;ProposalToGnatt[[#This Row],[Start Date]]+ProposalToGnatt[[#This Row],[Days]]),$G$5,"")),"")</f>
        <v/>
      </c>
      <c r="AJ76" s="37" t="str">
        <f ca="1">IFERROR(+IF(AJ$29=ProposalToGnatt[[#This Row],[Start Date]],Milestone_Marker,IF(AND(AJ$29&gt;ProposalToGnatt[[#This Row],[Start Date]],AJ$29&lt;ProposalToGnatt[[#This Row],[Start Date]]+ProposalToGnatt[[#This Row],[Days]]),$G$5,"")),"")</f>
        <v/>
      </c>
      <c r="AK76" s="37" t="str">
        <f ca="1">IFERROR(+IF(AK$29=ProposalToGnatt[[#This Row],[Start Date]],Milestone_Marker,IF(AND(AK$29&gt;ProposalToGnatt[[#This Row],[Start Date]],AK$29&lt;ProposalToGnatt[[#This Row],[Start Date]]+ProposalToGnatt[[#This Row],[Days]]),$G$5,"")),"")</f>
        <v/>
      </c>
      <c r="AL76" s="37" t="str">
        <f ca="1">IFERROR(+IF(AL$29=ProposalToGnatt[[#This Row],[Start Date]],Milestone_Marker,IF(AND(AL$29&gt;ProposalToGnatt[[#This Row],[Start Date]],AL$29&lt;ProposalToGnatt[[#This Row],[Start Date]]+ProposalToGnatt[[#This Row],[Days]]),$G$5,"")),"")</f>
        <v/>
      </c>
      <c r="AM76" s="37" t="str">
        <f ca="1">IFERROR(+IF(AM$29=ProposalToGnatt[[#This Row],[Start Date]],Milestone_Marker,IF(AND(AM$29&gt;ProposalToGnatt[[#This Row],[Start Date]],AM$29&lt;ProposalToGnatt[[#This Row],[Start Date]]+ProposalToGnatt[[#This Row],[Days]]),$G$5,"")),"")</f>
        <v/>
      </c>
      <c r="AN76" s="37" t="str">
        <f ca="1">IFERROR(+IF(AN$29=ProposalToGnatt[[#This Row],[Start Date]],Milestone_Marker,IF(AND(AN$29&gt;ProposalToGnatt[[#This Row],[Start Date]],AN$29&lt;ProposalToGnatt[[#This Row],[Start Date]]+ProposalToGnatt[[#This Row],[Days]]),$G$5,"")),"")</f>
        <v/>
      </c>
      <c r="AO76" s="37" t="str">
        <f ca="1">IFERROR(+IF(AO$29=ProposalToGnatt[[#This Row],[Start Date]],Milestone_Marker,IF(AND(AO$29&gt;ProposalToGnatt[[#This Row],[Start Date]],AO$29&lt;ProposalToGnatt[[#This Row],[Start Date]]+ProposalToGnatt[[#This Row],[Days]]),$G$5,"")),"")</f>
        <v/>
      </c>
      <c r="AP76" s="37" t="str">
        <f ca="1">IFERROR(+IF(AP$29=ProposalToGnatt[[#This Row],[Start Date]],Milestone_Marker,IF(AND(AP$29&gt;ProposalToGnatt[[#This Row],[Start Date]],AP$29&lt;ProposalToGnatt[[#This Row],[Start Date]]+ProposalToGnatt[[#This Row],[Days]]),$G$5,"")),"")</f>
        <v/>
      </c>
      <c r="AQ76" s="37" t="str">
        <f ca="1">IFERROR(+IF(AQ$29=ProposalToGnatt[[#This Row],[Start Date]],Milestone_Marker,IF(AND(AQ$29&gt;ProposalToGnatt[[#This Row],[Start Date]],AQ$29&lt;ProposalToGnatt[[#This Row],[Start Date]]+ProposalToGnatt[[#This Row],[Days]]),$G$5,"")),"")</f>
        <v/>
      </c>
      <c r="AR76" s="37" t="str">
        <f ca="1">IFERROR(+IF(AR$29=ProposalToGnatt[[#This Row],[Start Date]],Milestone_Marker,IF(AND(AR$29&gt;ProposalToGnatt[[#This Row],[Start Date]],AR$29&lt;ProposalToGnatt[[#This Row],[Start Date]]+ProposalToGnatt[[#This Row],[Days]]),$G$5,"")),"")</f>
        <v/>
      </c>
      <c r="AS76" s="37" t="str">
        <f ca="1">IFERROR(+IF(AS$29=ProposalToGnatt[[#This Row],[Start Date]],Milestone_Marker,IF(AND(AS$29&gt;ProposalToGnatt[[#This Row],[Start Date]],AS$29&lt;ProposalToGnatt[[#This Row],[Start Date]]+ProposalToGnatt[[#This Row],[Days]]),$G$5,"")),"")</f>
        <v/>
      </c>
      <c r="AT76" s="37" t="str">
        <f ca="1">IFERROR(+IF(AT$29=ProposalToGnatt[[#This Row],[Start Date]],Milestone_Marker,IF(AND(AT$29&gt;ProposalToGnatt[[#This Row],[Start Date]],AT$29&lt;ProposalToGnatt[[#This Row],[Start Date]]+ProposalToGnatt[[#This Row],[Days]]),$G$5,"")),"")</f>
        <v/>
      </c>
      <c r="AU76" s="37" t="str">
        <f ca="1">IFERROR(+IF(AU$29=ProposalToGnatt[[#This Row],[Start Date]],Milestone_Marker,IF(AND(AU$29&gt;ProposalToGnatt[[#This Row],[Start Date]],AU$29&lt;ProposalToGnatt[[#This Row],[Start Date]]+ProposalToGnatt[[#This Row],[Days]]),$G$5,"")),"")</f>
        <v/>
      </c>
      <c r="AV76" s="37" t="str">
        <f ca="1">IFERROR(+IF(AV$29=ProposalToGnatt[[#This Row],[Start Date]],Milestone_Marker,IF(AND(AV$29&gt;ProposalToGnatt[[#This Row],[Start Date]],AV$29&lt;ProposalToGnatt[[#This Row],[Start Date]]+ProposalToGnatt[[#This Row],[Days]]),$G$5,"")),"")</f>
        <v/>
      </c>
      <c r="AW76" s="37" t="str">
        <f ca="1">IFERROR(+IF(AW$29=ProposalToGnatt[[#This Row],[Start Date]],Milestone_Marker,IF(AND(AW$29&gt;ProposalToGnatt[[#This Row],[Start Date]],AW$29&lt;ProposalToGnatt[[#This Row],[Start Date]]+ProposalToGnatt[[#This Row],[Days]]),$G$5,"")),"")</f>
        <v/>
      </c>
      <c r="AX76" s="37" t="str">
        <f ca="1">IFERROR(+IF(AX$29=ProposalToGnatt[[#This Row],[Start Date]],Milestone_Marker,IF(AND(AX$29&gt;ProposalToGnatt[[#This Row],[Start Date]],AX$29&lt;ProposalToGnatt[[#This Row],[Start Date]]+ProposalToGnatt[[#This Row],[Days]]),$G$5,"")),"")</f>
        <v/>
      </c>
      <c r="AY76" s="37" t="str">
        <f ca="1">IFERROR(+IF(AY$29=ProposalToGnatt[[#This Row],[Start Date]],Milestone_Marker,IF(AND(AY$29&gt;ProposalToGnatt[[#This Row],[Start Date]],AY$29&lt;ProposalToGnatt[[#This Row],[Start Date]]+ProposalToGnatt[[#This Row],[Days]]),$G$5,"")),"")</f>
        <v/>
      </c>
      <c r="AZ76" s="37" t="str">
        <f ca="1">IFERROR(+IF(AZ$29=ProposalToGnatt[[#This Row],[Start Date]],Milestone_Marker,IF(AND(AZ$29&gt;ProposalToGnatt[[#This Row],[Start Date]],AZ$29&lt;ProposalToGnatt[[#This Row],[Start Date]]+ProposalToGnatt[[#This Row],[Days]]),$G$5,"")),"")</f>
        <v/>
      </c>
      <c r="BA76" s="37" t="str">
        <f ca="1">IFERROR(+IF(BA$29=ProposalToGnatt[[#This Row],[Start Date]],Milestone_Marker,IF(AND(BA$29&gt;ProposalToGnatt[[#This Row],[Start Date]],BA$29&lt;ProposalToGnatt[[#This Row],[Start Date]]+ProposalToGnatt[[#This Row],[Days]]),$G$5,"")),"")</f>
        <v/>
      </c>
      <c r="BB76" s="37" t="str">
        <f ca="1">IFERROR(+IF(BB$29=ProposalToGnatt[[#This Row],[Start Date]],Milestone_Marker,IF(AND(BB$29&gt;ProposalToGnatt[[#This Row],[Start Date]],BB$29&lt;ProposalToGnatt[[#This Row],[Start Date]]+ProposalToGnatt[[#This Row],[Days]]),$G$5,"")),"")</f>
        <v/>
      </c>
      <c r="BC76" s="37" t="str">
        <f ca="1">IFERROR(+IF(BC$29=ProposalToGnatt[[#This Row],[Start Date]],Milestone_Marker,IF(AND(BC$29&gt;ProposalToGnatt[[#This Row],[Start Date]],BC$29&lt;ProposalToGnatt[[#This Row],[Start Date]]+ProposalToGnatt[[#This Row],[Days]]),$G$5,"")),"")</f>
        <v/>
      </c>
      <c r="BD76" s="37" t="str">
        <f ca="1">IFERROR(+IF(BD$29=ProposalToGnatt[[#This Row],[Start Date]],Milestone_Marker,IF(AND(BD$29&gt;ProposalToGnatt[[#This Row],[Start Date]],BD$29&lt;ProposalToGnatt[[#This Row],[Start Date]]+ProposalToGnatt[[#This Row],[Days]]),$G$5,"")),"")</f>
        <v/>
      </c>
      <c r="BE76" s="37" t="str">
        <f ca="1">IFERROR(+IF(BE$29=ProposalToGnatt[[#This Row],[Start Date]],Milestone_Marker,IF(AND(BE$29&gt;ProposalToGnatt[[#This Row],[Start Date]],BE$29&lt;ProposalToGnatt[[#This Row],[Start Date]]+ProposalToGnatt[[#This Row],[Days]]),$G$5,"")),"")</f>
        <v/>
      </c>
      <c r="BF76" s="37" t="str">
        <f ca="1">IFERROR(+IF(BF$29=ProposalToGnatt[[#This Row],[Start Date]],Milestone_Marker,IF(AND(BF$29&gt;ProposalToGnatt[[#This Row],[Start Date]],BF$29&lt;ProposalToGnatt[[#This Row],[Start Date]]+ProposalToGnatt[[#This Row],[Days]]),$G$5,"")),"")</f>
        <v/>
      </c>
      <c r="BG76" s="37" t="str">
        <f ca="1">IFERROR(+IF(BG$29=ProposalToGnatt[[#This Row],[Start Date]],Milestone_Marker,IF(AND(BG$29&gt;ProposalToGnatt[[#This Row],[Start Date]],BG$29&lt;ProposalToGnatt[[#This Row],[Start Date]]+ProposalToGnatt[[#This Row],[Days]]),$G$5,"")),"")</f>
        <v/>
      </c>
      <c r="BH76" s="37" t="str">
        <f ca="1">IFERROR(+IF(BH$29=ProposalToGnatt[[#This Row],[Start Date]],Milestone_Marker,IF(AND(BH$29&gt;ProposalToGnatt[[#This Row],[Start Date]],BH$29&lt;ProposalToGnatt[[#This Row],[Start Date]]+ProposalToGnatt[[#This Row],[Days]]),$G$5,"")),"")</f>
        <v/>
      </c>
      <c r="BI76" s="37" t="str">
        <f ca="1">IFERROR(+IF(BI$29=ProposalToGnatt[[#This Row],[Start Date]],Milestone_Marker,IF(AND(BI$29&gt;ProposalToGnatt[[#This Row],[Start Date]],BI$29&lt;ProposalToGnatt[[#This Row],[Start Date]]+ProposalToGnatt[[#This Row],[Days]]),$G$5,"")),"")</f>
        <v/>
      </c>
      <c r="BJ76" s="37" t="str">
        <f ca="1">IFERROR(+IF(BJ$29=ProposalToGnatt[[#This Row],[Start Date]],Milestone_Marker,IF(AND(BJ$29&gt;ProposalToGnatt[[#This Row],[Start Date]],BJ$29&lt;ProposalToGnatt[[#This Row],[Start Date]]+ProposalToGnatt[[#This Row],[Days]]),$G$5,"")),"")</f>
        <v/>
      </c>
      <c r="BK76" s="37" t="str">
        <f ca="1">IFERROR(+IF(BK$29=ProposalToGnatt[[#This Row],[Start Date]],Milestone_Marker,IF(AND(BK$29&gt;ProposalToGnatt[[#This Row],[Start Date]],BK$29&lt;ProposalToGnatt[[#This Row],[Start Date]]+ProposalToGnatt[[#This Row],[Days]]),$G$5,"")),"")</f>
        <v/>
      </c>
      <c r="BL76" s="37" t="str">
        <f ca="1">IFERROR(+IF(BL$29=ProposalToGnatt[[#This Row],[Start Date]],Milestone_Marker,IF(AND(BL$29&gt;ProposalToGnatt[[#This Row],[Start Date]],BL$29&lt;ProposalToGnatt[[#This Row],[Start Date]]+ProposalToGnatt[[#This Row],[Days]]),$G$5,"")),"")</f>
        <v/>
      </c>
      <c r="BM76" s="37" t="str">
        <f ca="1">IFERROR(+IF(BM$29=ProposalToGnatt[[#This Row],[Start Date]],Milestone_Marker,IF(AND(BM$29&gt;ProposalToGnatt[[#This Row],[Start Date]],BM$29&lt;ProposalToGnatt[[#This Row],[Start Date]]+ProposalToGnatt[[#This Row],[Days]]),$G$5,"")),"")</f>
        <v/>
      </c>
      <c r="BN76" s="37" t="str">
        <f ca="1">IFERROR(+IF(BN$29=ProposalToGnatt[[#This Row],[Start Date]],Milestone_Marker,IF(AND(BN$29&gt;ProposalToGnatt[[#This Row],[Start Date]],BN$29&lt;ProposalToGnatt[[#This Row],[Start Date]]+ProposalToGnatt[[#This Row],[Days]]),$G$5,"")),"")</f>
        <v/>
      </c>
      <c r="BO76" s="37" t="str">
        <f ca="1">IFERROR(+IF(BO$29=ProposalToGnatt[[#This Row],[Start Date]],Milestone_Marker,IF(AND(BO$29&gt;ProposalToGnatt[[#This Row],[Start Date]],BO$29&lt;ProposalToGnatt[[#This Row],[Start Date]]+ProposalToGnatt[[#This Row],[Days]]),$G$5,"")),"")</f>
        <v/>
      </c>
      <c r="BP76" s="37" t="str">
        <f ca="1">IFERROR(+IF(BP$29=ProposalToGnatt[[#This Row],[Start Date]],Milestone_Marker,IF(AND(BP$29&gt;ProposalToGnatt[[#This Row],[Start Date]],BP$29&lt;ProposalToGnatt[[#This Row],[Start Date]]+ProposalToGnatt[[#This Row],[Days]]),$G$5,"")),"")</f>
        <v/>
      </c>
      <c r="BQ76" s="37" t="str">
        <f ca="1">IFERROR(+IF(BQ$29=ProposalToGnatt[[#This Row],[Start Date]],Milestone_Marker,IF(AND(BQ$29&gt;ProposalToGnatt[[#This Row],[Start Date]],BQ$29&lt;ProposalToGnatt[[#This Row],[Start Date]]+ProposalToGnatt[[#This Row],[Days]]),$G$5,"")),"")</f>
        <v/>
      </c>
      <c r="BR76" s="37" t="str">
        <f ca="1">IFERROR(+IF(BR$29=ProposalToGnatt[[#This Row],[Start Date]],Milestone_Marker,IF(AND(BR$29&gt;ProposalToGnatt[[#This Row],[Start Date]],BR$29&lt;ProposalToGnatt[[#This Row],[Start Date]]+ProposalToGnatt[[#This Row],[Days]]),$G$5,"")),"")</f>
        <v/>
      </c>
      <c r="BS76" s="37" t="str">
        <f ca="1">IFERROR(+IF(BS$29=ProposalToGnatt[[#This Row],[Start Date]],Milestone_Marker,IF(AND(BS$29&gt;ProposalToGnatt[[#This Row],[Start Date]],BS$29&lt;ProposalToGnatt[[#This Row],[Start Date]]+ProposalToGnatt[[#This Row],[Days]]),$G$5,"")),"")</f>
        <v/>
      </c>
      <c r="BT76" s="37" t="str">
        <f ca="1">IFERROR(+IF(BT$29=ProposalToGnatt[[#This Row],[Start Date]],Milestone_Marker,IF(AND(BT$29&gt;ProposalToGnatt[[#This Row],[Start Date]],BT$29&lt;ProposalToGnatt[[#This Row],[Start Date]]+ProposalToGnatt[[#This Row],[Days]]),$G$5,"")),"")</f>
        <v/>
      </c>
      <c r="BU76" s="37" t="str">
        <f ca="1">IFERROR(+IF(BU$29=ProposalToGnatt[[#This Row],[Start Date]],Milestone_Marker,IF(AND(BU$29&gt;ProposalToGnatt[[#This Row],[Start Date]],BU$29&lt;ProposalToGnatt[[#This Row],[Start Date]]+ProposalToGnatt[[#This Row],[Days]]),$G$5,"")),"")</f>
        <v/>
      </c>
      <c r="BV76" s="37" t="str">
        <f ca="1">IFERROR(+IF(BV$29=ProposalToGnatt[[#This Row],[Start Date]],Milestone_Marker,IF(AND(BV$29&gt;ProposalToGnatt[[#This Row],[Start Date]],BV$29&lt;ProposalToGnatt[[#This Row],[Start Date]]+ProposalToGnatt[[#This Row],[Days]]),$G$5,"")),"")</f>
        <v/>
      </c>
      <c r="BW76" s="37" t="str">
        <f ca="1">IFERROR(+IF(BW$29=ProposalToGnatt[[#This Row],[Start Date]],Milestone_Marker,IF(AND(BW$29&gt;ProposalToGnatt[[#This Row],[Start Date]],BW$29&lt;ProposalToGnatt[[#This Row],[Start Date]]+ProposalToGnatt[[#This Row],[Days]]),$G$5,"")),"")</f>
        <v/>
      </c>
      <c r="BX76" s="37" t="str">
        <f ca="1">IFERROR(+IF(BX$29=ProposalToGnatt[[#This Row],[Start Date]],Milestone_Marker,IF(AND(BX$29&gt;ProposalToGnatt[[#This Row],[Start Date]],BX$29&lt;ProposalToGnatt[[#This Row],[Start Date]]+ProposalToGnatt[[#This Row],[Days]]),$G$5,"")),"")</f>
        <v/>
      </c>
      <c r="BY76" s="37" t="str">
        <f ca="1">IFERROR(+IF(BY$29=ProposalToGnatt[[#This Row],[Start Date]],Milestone_Marker,IF(AND(BY$29&gt;ProposalToGnatt[[#This Row],[Start Date]],BY$29&lt;ProposalToGnatt[[#This Row],[Start Date]]+ProposalToGnatt[[#This Row],[Days]]),$G$5,"")),"")</f>
        <v/>
      </c>
      <c r="BZ76" s="37" t="str">
        <f ca="1">IFERROR(+IF(BZ$29=ProposalToGnatt[[#This Row],[Start Date]],Milestone_Marker,IF(AND(BZ$29&gt;ProposalToGnatt[[#This Row],[Start Date]],BZ$29&lt;ProposalToGnatt[[#This Row],[Start Date]]+ProposalToGnatt[[#This Row],[Days]]),$G$5,"")),"")</f>
        <v/>
      </c>
      <c r="CA76" s="37" t="str">
        <f ca="1">IFERROR(+IF(CA$29=ProposalToGnatt[[#This Row],[Start Date]],Milestone_Marker,IF(AND(CA$29&gt;ProposalToGnatt[[#This Row],[Start Date]],CA$29&lt;ProposalToGnatt[[#This Row],[Start Date]]+ProposalToGnatt[[#This Row],[Days]]),$G$5,"")),"")</f>
        <v/>
      </c>
      <c r="CB76" s="37" t="str">
        <f ca="1">IFERROR(+IF(CB$29=ProposalToGnatt[[#This Row],[Start Date]],Milestone_Marker,IF(AND(CB$29&gt;ProposalToGnatt[[#This Row],[Start Date]],CB$29&lt;ProposalToGnatt[[#This Row],[Start Date]]+ProposalToGnatt[[#This Row],[Days]]),$G$5,"")),"")</f>
        <v/>
      </c>
      <c r="CC76" s="37" t="str">
        <f ca="1">IFERROR(+IF(CC$29=ProposalToGnatt[[#This Row],[Start Date]],Milestone_Marker,IF(AND(CC$29&gt;ProposalToGnatt[[#This Row],[Start Date]],CC$29&lt;ProposalToGnatt[[#This Row],[Start Date]]+ProposalToGnatt[[#This Row],[Days]]),$G$5,"")),"")</f>
        <v/>
      </c>
      <c r="CD76" s="37" t="str">
        <f ca="1">IFERROR(+IF(CD$29=ProposalToGnatt[[#This Row],[Start Date]],Milestone_Marker,IF(AND(CD$29&gt;ProposalToGnatt[[#This Row],[Start Date]],CD$29&lt;ProposalToGnatt[[#This Row],[Start Date]]+ProposalToGnatt[[#This Row],[Days]]),$G$5,"")),"")</f>
        <v/>
      </c>
      <c r="CE76" s="37" t="str">
        <f ca="1">IFERROR(+IF(CE$29=ProposalToGnatt[[#This Row],[Start Date]],Milestone_Marker,IF(AND(CE$29&gt;ProposalToGnatt[[#This Row],[Start Date]],CE$29&lt;ProposalToGnatt[[#This Row],[Start Date]]+ProposalToGnatt[[#This Row],[Days]]),$G$5,"")),"")</f>
        <v/>
      </c>
      <c r="CF76" s="37" t="str">
        <f ca="1">IFERROR(+IF(CF$29=ProposalToGnatt[[#This Row],[Start Date]],Milestone_Marker,IF(AND(CF$29&gt;ProposalToGnatt[[#This Row],[Start Date]],CF$29&lt;ProposalToGnatt[[#This Row],[Start Date]]+ProposalToGnatt[[#This Row],[Days]]),$G$5,"")),"")</f>
        <v/>
      </c>
      <c r="CG76" s="37" t="str">
        <f ca="1">IFERROR(+IF(CG$29=ProposalToGnatt[[#This Row],[Start Date]],Milestone_Marker,IF(AND(CG$29&gt;ProposalToGnatt[[#This Row],[Start Date]],CG$29&lt;ProposalToGnatt[[#This Row],[Start Date]]+ProposalToGnatt[[#This Row],[Days]]),$G$5,"")),"")</f>
        <v/>
      </c>
      <c r="CH76" s="37" t="str">
        <f ca="1">IFERROR(+IF(CH$29=ProposalToGnatt[[#This Row],[Start Date]],Milestone_Marker,IF(AND(CH$29&gt;ProposalToGnatt[[#This Row],[Start Date]],CH$29&lt;ProposalToGnatt[[#This Row],[Start Date]]+ProposalToGnatt[[#This Row],[Days]]),$G$5,"")),"")</f>
        <v/>
      </c>
      <c r="CI76" s="37" t="str">
        <f ca="1">IFERROR(+IF(CI$29=ProposalToGnatt[[#This Row],[Start Date]],Milestone_Marker,IF(AND(CI$29&gt;ProposalToGnatt[[#This Row],[Start Date]],CI$29&lt;ProposalToGnatt[[#This Row],[Start Date]]+ProposalToGnatt[[#This Row],[Days]]),$G$5,"")),"")</f>
        <v/>
      </c>
      <c r="CJ76" s="37" t="str">
        <f ca="1">IFERROR(+IF(CJ$29=ProposalToGnatt[[#This Row],[Start Date]],Milestone_Marker,IF(AND(CJ$29&gt;ProposalToGnatt[[#This Row],[Start Date]],CJ$29&lt;ProposalToGnatt[[#This Row],[Start Date]]+ProposalToGnatt[[#This Row],[Days]]),$G$5,"")),"")</f>
        <v/>
      </c>
      <c r="CK76" s="37" t="str">
        <f ca="1">IFERROR(+IF(CK$29=ProposalToGnatt[[#This Row],[Start Date]],Milestone_Marker,IF(AND(CK$29&gt;ProposalToGnatt[[#This Row],[Start Date]],CK$29&lt;ProposalToGnatt[[#This Row],[Start Date]]+ProposalToGnatt[[#This Row],[Days]]),$G$5,"")),"")</f>
        <v/>
      </c>
      <c r="CL76" s="37" t="str">
        <f ca="1">IFERROR(+IF(CL$29=ProposalToGnatt[[#This Row],[Start Date]],Milestone_Marker,IF(AND(CL$29&gt;ProposalToGnatt[[#This Row],[Start Date]],CL$29&lt;ProposalToGnatt[[#This Row],[Start Date]]+ProposalToGnatt[[#This Row],[Days]]),$G$5,"")),"")</f>
        <v/>
      </c>
      <c r="CM76" s="37" t="str">
        <f ca="1">IFERROR(+IF(CM$29=ProposalToGnatt[[#This Row],[Start Date]],Milestone_Marker,IF(AND(CM$29&gt;ProposalToGnatt[[#This Row],[Start Date]],CM$29&lt;ProposalToGnatt[[#This Row],[Start Date]]+ProposalToGnatt[[#This Row],[Days]]),$G$5,"")),"")</f>
        <v/>
      </c>
      <c r="CN76" s="37" t="str">
        <f ca="1">IFERROR(+IF(CN$29=ProposalToGnatt[[#This Row],[Start Date]],Milestone_Marker,IF(AND(CN$29&gt;ProposalToGnatt[[#This Row],[Start Date]],CN$29&lt;ProposalToGnatt[[#This Row],[Start Date]]+ProposalToGnatt[[#This Row],[Days]]),$G$5,"")),"")</f>
        <v/>
      </c>
      <c r="CO76" s="37" t="str">
        <f ca="1">IFERROR(+IF(CO$29=ProposalToGnatt[[#This Row],[Start Date]],Milestone_Marker,IF(AND(CO$29&gt;ProposalToGnatt[[#This Row],[Start Date]],CO$29&lt;ProposalToGnatt[[#This Row],[Start Date]]+ProposalToGnatt[[#This Row],[Days]]),$G$5,"")),"")</f>
        <v/>
      </c>
      <c r="CP76" s="37" t="str">
        <f ca="1">IFERROR(+IF(CP$29=ProposalToGnatt[[#This Row],[Start Date]],Milestone_Marker,IF(AND(CP$29&gt;ProposalToGnatt[[#This Row],[Start Date]],CP$29&lt;ProposalToGnatt[[#This Row],[Start Date]]+ProposalToGnatt[[#This Row],[Days]]),$G$5,"")),"")</f>
        <v/>
      </c>
      <c r="CQ76" s="37" t="str">
        <f ca="1">IFERROR(+IF(CQ$29=ProposalToGnatt[[#This Row],[Start Date]],Milestone_Marker,IF(AND(CQ$29&gt;ProposalToGnatt[[#This Row],[Start Date]],CQ$29&lt;ProposalToGnatt[[#This Row],[Start Date]]+ProposalToGnatt[[#This Row],[Days]]),$G$5,"")),"")</f>
        <v/>
      </c>
      <c r="CR76" s="37" t="str">
        <f ca="1">IFERROR(+IF(CR$29=ProposalToGnatt[[#This Row],[Start Date]],Milestone_Marker,IF(AND(CR$29&gt;ProposalToGnatt[[#This Row],[Start Date]],CR$29&lt;ProposalToGnatt[[#This Row],[Start Date]]+ProposalToGnatt[[#This Row],[Days]]),$G$5,"")),"")</f>
        <v/>
      </c>
      <c r="CS76" s="37" t="str">
        <f ca="1">IFERROR(+IF(CS$29=ProposalToGnatt[[#This Row],[Start Date]],Milestone_Marker,IF(AND(CS$29&gt;ProposalToGnatt[[#This Row],[Start Date]],CS$29&lt;ProposalToGnatt[[#This Row],[Start Date]]+ProposalToGnatt[[#This Row],[Days]]),$G$5,"")),"")</f>
        <v/>
      </c>
      <c r="CT76" s="37" t="str">
        <f ca="1">IFERROR(+IF(CT$29=ProposalToGnatt[[#This Row],[Start Date]],Milestone_Marker,IF(AND(CT$29&gt;ProposalToGnatt[[#This Row],[Start Date]],CT$29&lt;ProposalToGnatt[[#This Row],[Start Date]]+ProposalToGnatt[[#This Row],[Days]]),$G$5,"")),"")</f>
        <v/>
      </c>
      <c r="CU76" s="37" t="str">
        <f ca="1">IFERROR(+IF(CU$29=ProposalToGnatt[[#This Row],[Start Date]],Milestone_Marker,IF(AND(CU$29&gt;ProposalToGnatt[[#This Row],[Start Date]],CU$29&lt;ProposalToGnatt[[#This Row],[Start Date]]+ProposalToGnatt[[#This Row],[Days]]),$G$5,"")),"")</f>
        <v/>
      </c>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row>
    <row r="77" spans="1:125" ht="15">
      <c r="A77"/>
      <c r="B77"/>
      <c r="C77"/>
      <c r="D77"/>
      <c r="E77"/>
      <c r="F77"/>
      <c r="G77" s="11"/>
      <c r="H77" s="26"/>
      <c r="I77"/>
      <c r="J77"/>
      <c r="K77" s="363"/>
      <c r="L77"/>
      <c r="M77"/>
      <c r="N77"/>
      <c r="O77" s="26"/>
      <c r="P77" s="37" t="str">
        <f ca="1">IFERROR(+IF(P$29=ProposalToGnatt[[#This Row],[Start Date]],Milestone_Marker,IF(AND(P$29&gt;ProposalToGnatt[[#This Row],[Start Date]],P$29&lt;ProposalToGnatt[[#This Row],[Start Date]]+ProposalToGnatt[[#This Row],[Days]]),$G$5,"")),"")</f>
        <v/>
      </c>
      <c r="Q77" s="37" t="str">
        <f ca="1">IFERROR(+IF(Q$29=ProposalToGnatt[[#This Row],[Start Date]],Milestone_Marker,IF(AND(Q$29&gt;ProposalToGnatt[[#This Row],[Start Date]],Q$29&lt;ProposalToGnatt[[#This Row],[Start Date]]+ProposalToGnatt[[#This Row],[Days]]),$G$5,"")),"")</f>
        <v/>
      </c>
      <c r="R77" s="37" t="str">
        <f ca="1">IFERROR(+IF(R$29=ProposalToGnatt[[#This Row],[Start Date]],Milestone_Marker,IF(AND(R$29&gt;ProposalToGnatt[[#This Row],[Start Date]],R$29&lt;ProposalToGnatt[[#This Row],[Start Date]]+ProposalToGnatt[[#This Row],[Days]]),$G$5,"")),"")</f>
        <v/>
      </c>
      <c r="S77" s="37" t="str">
        <f ca="1">IFERROR(+IF(S$29=ProposalToGnatt[[#This Row],[Start Date]],Milestone_Marker,IF(AND(S$29&gt;ProposalToGnatt[[#This Row],[Start Date]],S$29&lt;ProposalToGnatt[[#This Row],[Start Date]]+ProposalToGnatt[[#This Row],[Days]]),$G$5,"")),"")</f>
        <v/>
      </c>
      <c r="T77" s="37" t="str">
        <f ca="1">IFERROR(+IF(T$29=ProposalToGnatt[[#This Row],[Start Date]],Milestone_Marker,IF(AND(T$29&gt;ProposalToGnatt[[#This Row],[Start Date]],T$29&lt;ProposalToGnatt[[#This Row],[Start Date]]+ProposalToGnatt[[#This Row],[Days]]),$G$5,"")),"")</f>
        <v/>
      </c>
      <c r="U77" s="37" t="str">
        <f ca="1">IFERROR(+IF(U$29=ProposalToGnatt[[#This Row],[Start Date]],Milestone_Marker,IF(AND(U$29&gt;ProposalToGnatt[[#This Row],[Start Date]],U$29&lt;ProposalToGnatt[[#This Row],[Start Date]]+ProposalToGnatt[[#This Row],[Days]]),$G$5,"")),"")</f>
        <v/>
      </c>
      <c r="V77" s="37" t="str">
        <f ca="1">IFERROR(+IF(V$29=ProposalToGnatt[[#This Row],[Start Date]],Milestone_Marker,IF(AND(V$29&gt;ProposalToGnatt[[#This Row],[Start Date]],V$29&lt;ProposalToGnatt[[#This Row],[Start Date]]+ProposalToGnatt[[#This Row],[Days]]),$G$5,"")),"")</f>
        <v/>
      </c>
      <c r="W77" s="37" t="str">
        <f ca="1">IFERROR(+IF(W$29=ProposalToGnatt[[#This Row],[Start Date]],Milestone_Marker,IF(AND(W$29&gt;ProposalToGnatt[[#This Row],[Start Date]],W$29&lt;ProposalToGnatt[[#This Row],[Start Date]]+ProposalToGnatt[[#This Row],[Days]]),$G$5,"")),"")</f>
        <v/>
      </c>
      <c r="X77" s="37" t="str">
        <f ca="1">IFERROR(+IF(X$29=ProposalToGnatt[[#This Row],[Start Date]],Milestone_Marker,IF(AND(X$29&gt;ProposalToGnatt[[#This Row],[Start Date]],X$29&lt;ProposalToGnatt[[#This Row],[Start Date]]+ProposalToGnatt[[#This Row],[Days]]),$G$5,"")),"")</f>
        <v/>
      </c>
      <c r="Y77" s="37" t="str">
        <f ca="1">IFERROR(+IF(Y$29=ProposalToGnatt[[#This Row],[Start Date]],Milestone_Marker,IF(AND(Y$29&gt;ProposalToGnatt[[#This Row],[Start Date]],Y$29&lt;ProposalToGnatt[[#This Row],[Start Date]]+ProposalToGnatt[[#This Row],[Days]]),$G$5,"")),"")</f>
        <v/>
      </c>
      <c r="Z77" s="37" t="str">
        <f ca="1">IFERROR(+IF(Z$29=ProposalToGnatt[[#This Row],[Start Date]],Milestone_Marker,IF(AND(Z$29&gt;ProposalToGnatt[[#This Row],[Start Date]],Z$29&lt;ProposalToGnatt[[#This Row],[Start Date]]+ProposalToGnatt[[#This Row],[Days]]),$G$5,"")),"")</f>
        <v/>
      </c>
      <c r="AA77" s="37" t="str">
        <f ca="1">IFERROR(+IF(AA$29=ProposalToGnatt[[#This Row],[Start Date]],Milestone_Marker,IF(AND(AA$29&gt;ProposalToGnatt[[#This Row],[Start Date]],AA$29&lt;ProposalToGnatt[[#This Row],[Start Date]]+ProposalToGnatt[[#This Row],[Days]]),$G$5,"")),"")</f>
        <v/>
      </c>
      <c r="AB77" s="37" t="str">
        <f ca="1">IFERROR(+IF(AB$29=ProposalToGnatt[[#This Row],[Start Date]],Milestone_Marker,IF(AND(AB$29&gt;ProposalToGnatt[[#This Row],[Start Date]],AB$29&lt;ProposalToGnatt[[#This Row],[Start Date]]+ProposalToGnatt[[#This Row],[Days]]),$G$5,"")),"")</f>
        <v/>
      </c>
      <c r="AC77" s="37" t="str">
        <f ca="1">IFERROR(+IF(AC$29=ProposalToGnatt[[#This Row],[Start Date]],Milestone_Marker,IF(AND(AC$29&gt;ProposalToGnatt[[#This Row],[Start Date]],AC$29&lt;ProposalToGnatt[[#This Row],[Start Date]]+ProposalToGnatt[[#This Row],[Days]]),$G$5,"")),"")</f>
        <v/>
      </c>
      <c r="AD77" s="37" t="str">
        <f ca="1">IFERROR(+IF(AD$29=ProposalToGnatt[[#This Row],[Start Date]],Milestone_Marker,IF(AND(AD$29&gt;ProposalToGnatt[[#This Row],[Start Date]],AD$29&lt;ProposalToGnatt[[#This Row],[Start Date]]+ProposalToGnatt[[#This Row],[Days]]),$G$5,"")),"")</f>
        <v/>
      </c>
      <c r="AE77" s="37" t="str">
        <f ca="1">IFERROR(+IF(AE$29=ProposalToGnatt[[#This Row],[Start Date]],Milestone_Marker,IF(AND(AE$29&gt;ProposalToGnatt[[#This Row],[Start Date]],AE$29&lt;ProposalToGnatt[[#This Row],[Start Date]]+ProposalToGnatt[[#This Row],[Days]]),$G$5,"")),"")</f>
        <v/>
      </c>
      <c r="AF77" s="37" t="str">
        <f ca="1">IFERROR(+IF(AF$29=ProposalToGnatt[[#This Row],[Start Date]],Milestone_Marker,IF(AND(AF$29&gt;ProposalToGnatt[[#This Row],[Start Date]],AF$29&lt;ProposalToGnatt[[#This Row],[Start Date]]+ProposalToGnatt[[#This Row],[Days]]),$G$5,"")),"")</f>
        <v/>
      </c>
      <c r="AG77" s="37" t="str">
        <f ca="1">IFERROR(+IF(AG$29=ProposalToGnatt[[#This Row],[Start Date]],Milestone_Marker,IF(AND(AG$29&gt;ProposalToGnatt[[#This Row],[Start Date]],AG$29&lt;ProposalToGnatt[[#This Row],[Start Date]]+ProposalToGnatt[[#This Row],[Days]]),$G$5,"")),"")</f>
        <v/>
      </c>
      <c r="AH77" s="37" t="str">
        <f ca="1">IFERROR(+IF(AH$29=ProposalToGnatt[[#This Row],[Start Date]],Milestone_Marker,IF(AND(AH$29&gt;ProposalToGnatt[[#This Row],[Start Date]],AH$29&lt;ProposalToGnatt[[#This Row],[Start Date]]+ProposalToGnatt[[#This Row],[Days]]),$G$5,"")),"")</f>
        <v/>
      </c>
      <c r="AI77" s="37" t="str">
        <f ca="1">IFERROR(+IF(AI$29=ProposalToGnatt[[#This Row],[Start Date]],Milestone_Marker,IF(AND(AI$29&gt;ProposalToGnatt[[#This Row],[Start Date]],AI$29&lt;ProposalToGnatt[[#This Row],[Start Date]]+ProposalToGnatt[[#This Row],[Days]]),$G$5,"")),"")</f>
        <v/>
      </c>
      <c r="AJ77" s="37" t="str">
        <f ca="1">IFERROR(+IF(AJ$29=ProposalToGnatt[[#This Row],[Start Date]],Milestone_Marker,IF(AND(AJ$29&gt;ProposalToGnatt[[#This Row],[Start Date]],AJ$29&lt;ProposalToGnatt[[#This Row],[Start Date]]+ProposalToGnatt[[#This Row],[Days]]),$G$5,"")),"")</f>
        <v/>
      </c>
      <c r="AK77" s="37" t="str">
        <f ca="1">IFERROR(+IF(AK$29=ProposalToGnatt[[#This Row],[Start Date]],Milestone_Marker,IF(AND(AK$29&gt;ProposalToGnatt[[#This Row],[Start Date]],AK$29&lt;ProposalToGnatt[[#This Row],[Start Date]]+ProposalToGnatt[[#This Row],[Days]]),$G$5,"")),"")</f>
        <v/>
      </c>
      <c r="AL77" s="37" t="str">
        <f ca="1">IFERROR(+IF(AL$29=ProposalToGnatt[[#This Row],[Start Date]],Milestone_Marker,IF(AND(AL$29&gt;ProposalToGnatt[[#This Row],[Start Date]],AL$29&lt;ProposalToGnatt[[#This Row],[Start Date]]+ProposalToGnatt[[#This Row],[Days]]),$G$5,"")),"")</f>
        <v/>
      </c>
      <c r="AM77" s="37" t="str">
        <f ca="1">IFERROR(+IF(AM$29=ProposalToGnatt[[#This Row],[Start Date]],Milestone_Marker,IF(AND(AM$29&gt;ProposalToGnatt[[#This Row],[Start Date]],AM$29&lt;ProposalToGnatt[[#This Row],[Start Date]]+ProposalToGnatt[[#This Row],[Days]]),$G$5,"")),"")</f>
        <v/>
      </c>
      <c r="AN77" s="37" t="str">
        <f ca="1">IFERROR(+IF(AN$29=ProposalToGnatt[[#This Row],[Start Date]],Milestone_Marker,IF(AND(AN$29&gt;ProposalToGnatt[[#This Row],[Start Date]],AN$29&lt;ProposalToGnatt[[#This Row],[Start Date]]+ProposalToGnatt[[#This Row],[Days]]),$G$5,"")),"")</f>
        <v/>
      </c>
      <c r="AO77" s="37" t="str">
        <f ca="1">IFERROR(+IF(AO$29=ProposalToGnatt[[#This Row],[Start Date]],Milestone_Marker,IF(AND(AO$29&gt;ProposalToGnatt[[#This Row],[Start Date]],AO$29&lt;ProposalToGnatt[[#This Row],[Start Date]]+ProposalToGnatt[[#This Row],[Days]]),$G$5,"")),"")</f>
        <v/>
      </c>
      <c r="AP77" s="37" t="str">
        <f ca="1">IFERROR(+IF(AP$29=ProposalToGnatt[[#This Row],[Start Date]],Milestone_Marker,IF(AND(AP$29&gt;ProposalToGnatt[[#This Row],[Start Date]],AP$29&lt;ProposalToGnatt[[#This Row],[Start Date]]+ProposalToGnatt[[#This Row],[Days]]),$G$5,"")),"")</f>
        <v/>
      </c>
      <c r="AQ77" s="37" t="str">
        <f ca="1">IFERROR(+IF(AQ$29=ProposalToGnatt[[#This Row],[Start Date]],Milestone_Marker,IF(AND(AQ$29&gt;ProposalToGnatt[[#This Row],[Start Date]],AQ$29&lt;ProposalToGnatt[[#This Row],[Start Date]]+ProposalToGnatt[[#This Row],[Days]]),$G$5,"")),"")</f>
        <v/>
      </c>
      <c r="AR77" s="37" t="str">
        <f ca="1">IFERROR(+IF(AR$29=ProposalToGnatt[[#This Row],[Start Date]],Milestone_Marker,IF(AND(AR$29&gt;ProposalToGnatt[[#This Row],[Start Date]],AR$29&lt;ProposalToGnatt[[#This Row],[Start Date]]+ProposalToGnatt[[#This Row],[Days]]),$G$5,"")),"")</f>
        <v/>
      </c>
      <c r="AS77" s="37" t="str">
        <f ca="1">IFERROR(+IF(AS$29=ProposalToGnatt[[#This Row],[Start Date]],Milestone_Marker,IF(AND(AS$29&gt;ProposalToGnatt[[#This Row],[Start Date]],AS$29&lt;ProposalToGnatt[[#This Row],[Start Date]]+ProposalToGnatt[[#This Row],[Days]]),$G$5,"")),"")</f>
        <v/>
      </c>
      <c r="AT77" s="37" t="str">
        <f ca="1">IFERROR(+IF(AT$29=ProposalToGnatt[[#This Row],[Start Date]],Milestone_Marker,IF(AND(AT$29&gt;ProposalToGnatt[[#This Row],[Start Date]],AT$29&lt;ProposalToGnatt[[#This Row],[Start Date]]+ProposalToGnatt[[#This Row],[Days]]),$G$5,"")),"")</f>
        <v/>
      </c>
      <c r="AU77" s="37" t="str">
        <f ca="1">IFERROR(+IF(AU$29=ProposalToGnatt[[#This Row],[Start Date]],Milestone_Marker,IF(AND(AU$29&gt;ProposalToGnatt[[#This Row],[Start Date]],AU$29&lt;ProposalToGnatt[[#This Row],[Start Date]]+ProposalToGnatt[[#This Row],[Days]]),$G$5,"")),"")</f>
        <v/>
      </c>
      <c r="AV77" s="37" t="str">
        <f ca="1">IFERROR(+IF(AV$29=ProposalToGnatt[[#This Row],[Start Date]],Milestone_Marker,IF(AND(AV$29&gt;ProposalToGnatt[[#This Row],[Start Date]],AV$29&lt;ProposalToGnatt[[#This Row],[Start Date]]+ProposalToGnatt[[#This Row],[Days]]),$G$5,"")),"")</f>
        <v/>
      </c>
      <c r="AW77" s="37" t="str">
        <f ca="1">IFERROR(+IF(AW$29=ProposalToGnatt[[#This Row],[Start Date]],Milestone_Marker,IF(AND(AW$29&gt;ProposalToGnatt[[#This Row],[Start Date]],AW$29&lt;ProposalToGnatt[[#This Row],[Start Date]]+ProposalToGnatt[[#This Row],[Days]]),$G$5,"")),"")</f>
        <v/>
      </c>
      <c r="AX77" s="37" t="str">
        <f ca="1">IFERROR(+IF(AX$29=ProposalToGnatt[[#This Row],[Start Date]],Milestone_Marker,IF(AND(AX$29&gt;ProposalToGnatt[[#This Row],[Start Date]],AX$29&lt;ProposalToGnatt[[#This Row],[Start Date]]+ProposalToGnatt[[#This Row],[Days]]),$G$5,"")),"")</f>
        <v/>
      </c>
      <c r="AY77" s="37" t="str">
        <f ca="1">IFERROR(+IF(AY$29=ProposalToGnatt[[#This Row],[Start Date]],Milestone_Marker,IF(AND(AY$29&gt;ProposalToGnatt[[#This Row],[Start Date]],AY$29&lt;ProposalToGnatt[[#This Row],[Start Date]]+ProposalToGnatt[[#This Row],[Days]]),$G$5,"")),"")</f>
        <v/>
      </c>
      <c r="AZ77" s="37" t="str">
        <f ca="1">IFERROR(+IF(AZ$29=ProposalToGnatt[[#This Row],[Start Date]],Milestone_Marker,IF(AND(AZ$29&gt;ProposalToGnatt[[#This Row],[Start Date]],AZ$29&lt;ProposalToGnatt[[#This Row],[Start Date]]+ProposalToGnatt[[#This Row],[Days]]),$G$5,"")),"")</f>
        <v/>
      </c>
      <c r="BA77" s="37" t="str">
        <f ca="1">IFERROR(+IF(BA$29=ProposalToGnatt[[#This Row],[Start Date]],Milestone_Marker,IF(AND(BA$29&gt;ProposalToGnatt[[#This Row],[Start Date]],BA$29&lt;ProposalToGnatt[[#This Row],[Start Date]]+ProposalToGnatt[[#This Row],[Days]]),$G$5,"")),"")</f>
        <v/>
      </c>
      <c r="BB77" s="37" t="str">
        <f ca="1">IFERROR(+IF(BB$29=ProposalToGnatt[[#This Row],[Start Date]],Milestone_Marker,IF(AND(BB$29&gt;ProposalToGnatt[[#This Row],[Start Date]],BB$29&lt;ProposalToGnatt[[#This Row],[Start Date]]+ProposalToGnatt[[#This Row],[Days]]),$G$5,"")),"")</f>
        <v/>
      </c>
      <c r="BC77" s="37" t="str">
        <f ca="1">IFERROR(+IF(BC$29=ProposalToGnatt[[#This Row],[Start Date]],Milestone_Marker,IF(AND(BC$29&gt;ProposalToGnatt[[#This Row],[Start Date]],BC$29&lt;ProposalToGnatt[[#This Row],[Start Date]]+ProposalToGnatt[[#This Row],[Days]]),$G$5,"")),"")</f>
        <v/>
      </c>
      <c r="BD77" s="37" t="str">
        <f ca="1">IFERROR(+IF(BD$29=ProposalToGnatt[[#This Row],[Start Date]],Milestone_Marker,IF(AND(BD$29&gt;ProposalToGnatt[[#This Row],[Start Date]],BD$29&lt;ProposalToGnatt[[#This Row],[Start Date]]+ProposalToGnatt[[#This Row],[Days]]),$G$5,"")),"")</f>
        <v/>
      </c>
      <c r="BE77" s="37" t="str">
        <f ca="1">IFERROR(+IF(BE$29=ProposalToGnatt[[#This Row],[Start Date]],Milestone_Marker,IF(AND(BE$29&gt;ProposalToGnatt[[#This Row],[Start Date]],BE$29&lt;ProposalToGnatt[[#This Row],[Start Date]]+ProposalToGnatt[[#This Row],[Days]]),$G$5,"")),"")</f>
        <v/>
      </c>
      <c r="BF77" s="37" t="str">
        <f ca="1">IFERROR(+IF(BF$29=ProposalToGnatt[[#This Row],[Start Date]],Milestone_Marker,IF(AND(BF$29&gt;ProposalToGnatt[[#This Row],[Start Date]],BF$29&lt;ProposalToGnatt[[#This Row],[Start Date]]+ProposalToGnatt[[#This Row],[Days]]),$G$5,"")),"")</f>
        <v/>
      </c>
      <c r="BG77" s="37" t="str">
        <f ca="1">IFERROR(+IF(BG$29=ProposalToGnatt[[#This Row],[Start Date]],Milestone_Marker,IF(AND(BG$29&gt;ProposalToGnatt[[#This Row],[Start Date]],BG$29&lt;ProposalToGnatt[[#This Row],[Start Date]]+ProposalToGnatt[[#This Row],[Days]]),$G$5,"")),"")</f>
        <v/>
      </c>
      <c r="BH77" s="37" t="str">
        <f ca="1">IFERROR(+IF(BH$29=ProposalToGnatt[[#This Row],[Start Date]],Milestone_Marker,IF(AND(BH$29&gt;ProposalToGnatt[[#This Row],[Start Date]],BH$29&lt;ProposalToGnatt[[#This Row],[Start Date]]+ProposalToGnatt[[#This Row],[Days]]),$G$5,"")),"")</f>
        <v/>
      </c>
      <c r="BI77" s="37" t="str">
        <f ca="1">IFERROR(+IF(BI$29=ProposalToGnatt[[#This Row],[Start Date]],Milestone_Marker,IF(AND(BI$29&gt;ProposalToGnatt[[#This Row],[Start Date]],BI$29&lt;ProposalToGnatt[[#This Row],[Start Date]]+ProposalToGnatt[[#This Row],[Days]]),$G$5,"")),"")</f>
        <v/>
      </c>
      <c r="BJ77" s="37" t="str">
        <f ca="1">IFERROR(+IF(BJ$29=ProposalToGnatt[[#This Row],[Start Date]],Milestone_Marker,IF(AND(BJ$29&gt;ProposalToGnatt[[#This Row],[Start Date]],BJ$29&lt;ProposalToGnatt[[#This Row],[Start Date]]+ProposalToGnatt[[#This Row],[Days]]),$G$5,"")),"")</f>
        <v/>
      </c>
      <c r="BK77" s="37" t="str">
        <f ca="1">IFERROR(+IF(BK$29=ProposalToGnatt[[#This Row],[Start Date]],Milestone_Marker,IF(AND(BK$29&gt;ProposalToGnatt[[#This Row],[Start Date]],BK$29&lt;ProposalToGnatt[[#This Row],[Start Date]]+ProposalToGnatt[[#This Row],[Days]]),$G$5,"")),"")</f>
        <v/>
      </c>
      <c r="BL77" s="37" t="str">
        <f ca="1">IFERROR(+IF(BL$29=ProposalToGnatt[[#This Row],[Start Date]],Milestone_Marker,IF(AND(BL$29&gt;ProposalToGnatt[[#This Row],[Start Date]],BL$29&lt;ProposalToGnatt[[#This Row],[Start Date]]+ProposalToGnatt[[#This Row],[Days]]),$G$5,"")),"")</f>
        <v/>
      </c>
      <c r="BM77" s="37" t="str">
        <f ca="1">IFERROR(+IF(BM$29=ProposalToGnatt[[#This Row],[Start Date]],Milestone_Marker,IF(AND(BM$29&gt;ProposalToGnatt[[#This Row],[Start Date]],BM$29&lt;ProposalToGnatt[[#This Row],[Start Date]]+ProposalToGnatt[[#This Row],[Days]]),$G$5,"")),"")</f>
        <v/>
      </c>
      <c r="BN77" s="37" t="str">
        <f ca="1">IFERROR(+IF(BN$29=ProposalToGnatt[[#This Row],[Start Date]],Milestone_Marker,IF(AND(BN$29&gt;ProposalToGnatt[[#This Row],[Start Date]],BN$29&lt;ProposalToGnatt[[#This Row],[Start Date]]+ProposalToGnatt[[#This Row],[Days]]),$G$5,"")),"")</f>
        <v/>
      </c>
      <c r="BO77" s="37" t="str">
        <f ca="1">IFERROR(+IF(BO$29=ProposalToGnatt[[#This Row],[Start Date]],Milestone_Marker,IF(AND(BO$29&gt;ProposalToGnatt[[#This Row],[Start Date]],BO$29&lt;ProposalToGnatt[[#This Row],[Start Date]]+ProposalToGnatt[[#This Row],[Days]]),$G$5,"")),"")</f>
        <v/>
      </c>
      <c r="BP77" s="37" t="str">
        <f ca="1">IFERROR(+IF(BP$29=ProposalToGnatt[[#This Row],[Start Date]],Milestone_Marker,IF(AND(BP$29&gt;ProposalToGnatt[[#This Row],[Start Date]],BP$29&lt;ProposalToGnatt[[#This Row],[Start Date]]+ProposalToGnatt[[#This Row],[Days]]),$G$5,"")),"")</f>
        <v/>
      </c>
      <c r="BQ77" s="37" t="str">
        <f ca="1">IFERROR(+IF(BQ$29=ProposalToGnatt[[#This Row],[Start Date]],Milestone_Marker,IF(AND(BQ$29&gt;ProposalToGnatt[[#This Row],[Start Date]],BQ$29&lt;ProposalToGnatt[[#This Row],[Start Date]]+ProposalToGnatt[[#This Row],[Days]]),$G$5,"")),"")</f>
        <v/>
      </c>
      <c r="BR77" s="37" t="str">
        <f ca="1">IFERROR(+IF(BR$29=ProposalToGnatt[[#This Row],[Start Date]],Milestone_Marker,IF(AND(BR$29&gt;ProposalToGnatt[[#This Row],[Start Date]],BR$29&lt;ProposalToGnatt[[#This Row],[Start Date]]+ProposalToGnatt[[#This Row],[Days]]),$G$5,"")),"")</f>
        <v/>
      </c>
      <c r="BS77" s="37" t="str">
        <f ca="1">IFERROR(+IF(BS$29=ProposalToGnatt[[#This Row],[Start Date]],Milestone_Marker,IF(AND(BS$29&gt;ProposalToGnatt[[#This Row],[Start Date]],BS$29&lt;ProposalToGnatt[[#This Row],[Start Date]]+ProposalToGnatt[[#This Row],[Days]]),$G$5,"")),"")</f>
        <v/>
      </c>
      <c r="BT77" s="37" t="str">
        <f ca="1">IFERROR(+IF(BT$29=ProposalToGnatt[[#This Row],[Start Date]],Milestone_Marker,IF(AND(BT$29&gt;ProposalToGnatt[[#This Row],[Start Date]],BT$29&lt;ProposalToGnatt[[#This Row],[Start Date]]+ProposalToGnatt[[#This Row],[Days]]),$G$5,"")),"")</f>
        <v/>
      </c>
      <c r="BU77" s="37" t="str">
        <f ca="1">IFERROR(+IF(BU$29=ProposalToGnatt[[#This Row],[Start Date]],Milestone_Marker,IF(AND(BU$29&gt;ProposalToGnatt[[#This Row],[Start Date]],BU$29&lt;ProposalToGnatt[[#This Row],[Start Date]]+ProposalToGnatt[[#This Row],[Days]]),$G$5,"")),"")</f>
        <v/>
      </c>
      <c r="BV77" s="37" t="str">
        <f ca="1">IFERROR(+IF(BV$29=ProposalToGnatt[[#This Row],[Start Date]],Milestone_Marker,IF(AND(BV$29&gt;ProposalToGnatt[[#This Row],[Start Date]],BV$29&lt;ProposalToGnatt[[#This Row],[Start Date]]+ProposalToGnatt[[#This Row],[Days]]),$G$5,"")),"")</f>
        <v/>
      </c>
      <c r="BW77" s="37" t="str">
        <f ca="1">IFERROR(+IF(BW$29=ProposalToGnatt[[#This Row],[Start Date]],Milestone_Marker,IF(AND(BW$29&gt;ProposalToGnatt[[#This Row],[Start Date]],BW$29&lt;ProposalToGnatt[[#This Row],[Start Date]]+ProposalToGnatt[[#This Row],[Days]]),$G$5,"")),"")</f>
        <v/>
      </c>
      <c r="BX77" s="37" t="str">
        <f ca="1">IFERROR(+IF(BX$29=ProposalToGnatt[[#This Row],[Start Date]],Milestone_Marker,IF(AND(BX$29&gt;ProposalToGnatt[[#This Row],[Start Date]],BX$29&lt;ProposalToGnatt[[#This Row],[Start Date]]+ProposalToGnatt[[#This Row],[Days]]),$G$5,"")),"")</f>
        <v/>
      </c>
      <c r="BY77" s="37" t="str">
        <f ca="1">IFERROR(+IF(BY$29=ProposalToGnatt[[#This Row],[Start Date]],Milestone_Marker,IF(AND(BY$29&gt;ProposalToGnatt[[#This Row],[Start Date]],BY$29&lt;ProposalToGnatt[[#This Row],[Start Date]]+ProposalToGnatt[[#This Row],[Days]]),$G$5,"")),"")</f>
        <v/>
      </c>
      <c r="BZ77" s="37" t="str">
        <f ca="1">IFERROR(+IF(BZ$29=ProposalToGnatt[[#This Row],[Start Date]],Milestone_Marker,IF(AND(BZ$29&gt;ProposalToGnatt[[#This Row],[Start Date]],BZ$29&lt;ProposalToGnatt[[#This Row],[Start Date]]+ProposalToGnatt[[#This Row],[Days]]),$G$5,"")),"")</f>
        <v/>
      </c>
      <c r="CA77" s="37" t="str">
        <f ca="1">IFERROR(+IF(CA$29=ProposalToGnatt[[#This Row],[Start Date]],Milestone_Marker,IF(AND(CA$29&gt;ProposalToGnatt[[#This Row],[Start Date]],CA$29&lt;ProposalToGnatt[[#This Row],[Start Date]]+ProposalToGnatt[[#This Row],[Days]]),$G$5,"")),"")</f>
        <v/>
      </c>
      <c r="CB77" s="37" t="str">
        <f ca="1">IFERROR(+IF(CB$29=ProposalToGnatt[[#This Row],[Start Date]],Milestone_Marker,IF(AND(CB$29&gt;ProposalToGnatt[[#This Row],[Start Date]],CB$29&lt;ProposalToGnatt[[#This Row],[Start Date]]+ProposalToGnatt[[#This Row],[Days]]),$G$5,"")),"")</f>
        <v/>
      </c>
      <c r="CC77" s="37" t="str">
        <f ca="1">IFERROR(+IF(CC$29=ProposalToGnatt[[#This Row],[Start Date]],Milestone_Marker,IF(AND(CC$29&gt;ProposalToGnatt[[#This Row],[Start Date]],CC$29&lt;ProposalToGnatt[[#This Row],[Start Date]]+ProposalToGnatt[[#This Row],[Days]]),$G$5,"")),"")</f>
        <v/>
      </c>
      <c r="CD77" s="37" t="str">
        <f ca="1">IFERROR(+IF(CD$29=ProposalToGnatt[[#This Row],[Start Date]],Milestone_Marker,IF(AND(CD$29&gt;ProposalToGnatt[[#This Row],[Start Date]],CD$29&lt;ProposalToGnatt[[#This Row],[Start Date]]+ProposalToGnatt[[#This Row],[Days]]),$G$5,"")),"")</f>
        <v/>
      </c>
      <c r="CE77" s="37" t="str">
        <f ca="1">IFERROR(+IF(CE$29=ProposalToGnatt[[#This Row],[Start Date]],Milestone_Marker,IF(AND(CE$29&gt;ProposalToGnatt[[#This Row],[Start Date]],CE$29&lt;ProposalToGnatt[[#This Row],[Start Date]]+ProposalToGnatt[[#This Row],[Days]]),$G$5,"")),"")</f>
        <v/>
      </c>
      <c r="CF77" s="37" t="str">
        <f ca="1">IFERROR(+IF(CF$29=ProposalToGnatt[[#This Row],[Start Date]],Milestone_Marker,IF(AND(CF$29&gt;ProposalToGnatt[[#This Row],[Start Date]],CF$29&lt;ProposalToGnatt[[#This Row],[Start Date]]+ProposalToGnatt[[#This Row],[Days]]),$G$5,"")),"")</f>
        <v/>
      </c>
      <c r="CG77" s="37" t="str">
        <f ca="1">IFERROR(+IF(CG$29=ProposalToGnatt[[#This Row],[Start Date]],Milestone_Marker,IF(AND(CG$29&gt;ProposalToGnatt[[#This Row],[Start Date]],CG$29&lt;ProposalToGnatt[[#This Row],[Start Date]]+ProposalToGnatt[[#This Row],[Days]]),$G$5,"")),"")</f>
        <v/>
      </c>
      <c r="CH77" s="37" t="str">
        <f ca="1">IFERROR(+IF(CH$29=ProposalToGnatt[[#This Row],[Start Date]],Milestone_Marker,IF(AND(CH$29&gt;ProposalToGnatt[[#This Row],[Start Date]],CH$29&lt;ProposalToGnatt[[#This Row],[Start Date]]+ProposalToGnatt[[#This Row],[Days]]),$G$5,"")),"")</f>
        <v/>
      </c>
      <c r="CI77" s="37" t="str">
        <f ca="1">IFERROR(+IF(CI$29=ProposalToGnatt[[#This Row],[Start Date]],Milestone_Marker,IF(AND(CI$29&gt;ProposalToGnatt[[#This Row],[Start Date]],CI$29&lt;ProposalToGnatt[[#This Row],[Start Date]]+ProposalToGnatt[[#This Row],[Days]]),$G$5,"")),"")</f>
        <v/>
      </c>
      <c r="CJ77" s="37" t="str">
        <f ca="1">IFERROR(+IF(CJ$29=ProposalToGnatt[[#This Row],[Start Date]],Milestone_Marker,IF(AND(CJ$29&gt;ProposalToGnatt[[#This Row],[Start Date]],CJ$29&lt;ProposalToGnatt[[#This Row],[Start Date]]+ProposalToGnatt[[#This Row],[Days]]),$G$5,"")),"")</f>
        <v/>
      </c>
      <c r="CK77" s="37" t="str">
        <f ca="1">IFERROR(+IF(CK$29=ProposalToGnatt[[#This Row],[Start Date]],Milestone_Marker,IF(AND(CK$29&gt;ProposalToGnatt[[#This Row],[Start Date]],CK$29&lt;ProposalToGnatt[[#This Row],[Start Date]]+ProposalToGnatt[[#This Row],[Days]]),$G$5,"")),"")</f>
        <v/>
      </c>
      <c r="CL77" s="37" t="str">
        <f ca="1">IFERROR(+IF(CL$29=ProposalToGnatt[[#This Row],[Start Date]],Milestone_Marker,IF(AND(CL$29&gt;ProposalToGnatt[[#This Row],[Start Date]],CL$29&lt;ProposalToGnatt[[#This Row],[Start Date]]+ProposalToGnatt[[#This Row],[Days]]),$G$5,"")),"")</f>
        <v/>
      </c>
      <c r="CM77" s="37" t="str">
        <f ca="1">IFERROR(+IF(CM$29=ProposalToGnatt[[#This Row],[Start Date]],Milestone_Marker,IF(AND(CM$29&gt;ProposalToGnatt[[#This Row],[Start Date]],CM$29&lt;ProposalToGnatt[[#This Row],[Start Date]]+ProposalToGnatt[[#This Row],[Days]]),$G$5,"")),"")</f>
        <v/>
      </c>
      <c r="CN77" s="37" t="str">
        <f ca="1">IFERROR(+IF(CN$29=ProposalToGnatt[[#This Row],[Start Date]],Milestone_Marker,IF(AND(CN$29&gt;ProposalToGnatt[[#This Row],[Start Date]],CN$29&lt;ProposalToGnatt[[#This Row],[Start Date]]+ProposalToGnatt[[#This Row],[Days]]),$G$5,"")),"")</f>
        <v/>
      </c>
      <c r="CO77" s="37" t="str">
        <f ca="1">IFERROR(+IF(CO$29=ProposalToGnatt[[#This Row],[Start Date]],Milestone_Marker,IF(AND(CO$29&gt;ProposalToGnatt[[#This Row],[Start Date]],CO$29&lt;ProposalToGnatt[[#This Row],[Start Date]]+ProposalToGnatt[[#This Row],[Days]]),$G$5,"")),"")</f>
        <v/>
      </c>
      <c r="CP77" s="37" t="str">
        <f ca="1">IFERROR(+IF(CP$29=ProposalToGnatt[[#This Row],[Start Date]],Milestone_Marker,IF(AND(CP$29&gt;ProposalToGnatt[[#This Row],[Start Date]],CP$29&lt;ProposalToGnatt[[#This Row],[Start Date]]+ProposalToGnatt[[#This Row],[Days]]),$G$5,"")),"")</f>
        <v/>
      </c>
      <c r="CQ77" s="37" t="str">
        <f ca="1">IFERROR(+IF(CQ$29=ProposalToGnatt[[#This Row],[Start Date]],Milestone_Marker,IF(AND(CQ$29&gt;ProposalToGnatt[[#This Row],[Start Date]],CQ$29&lt;ProposalToGnatt[[#This Row],[Start Date]]+ProposalToGnatt[[#This Row],[Days]]),$G$5,"")),"")</f>
        <v/>
      </c>
      <c r="CR77" s="37" t="str">
        <f ca="1">IFERROR(+IF(CR$29=ProposalToGnatt[[#This Row],[Start Date]],Milestone_Marker,IF(AND(CR$29&gt;ProposalToGnatt[[#This Row],[Start Date]],CR$29&lt;ProposalToGnatt[[#This Row],[Start Date]]+ProposalToGnatt[[#This Row],[Days]]),$G$5,"")),"")</f>
        <v/>
      </c>
      <c r="CS77" s="37" t="str">
        <f ca="1">IFERROR(+IF(CS$29=ProposalToGnatt[[#This Row],[Start Date]],Milestone_Marker,IF(AND(CS$29&gt;ProposalToGnatt[[#This Row],[Start Date]],CS$29&lt;ProposalToGnatt[[#This Row],[Start Date]]+ProposalToGnatt[[#This Row],[Days]]),$G$5,"")),"")</f>
        <v/>
      </c>
      <c r="CT77" s="37" t="str">
        <f ca="1">IFERROR(+IF(CT$29=ProposalToGnatt[[#This Row],[Start Date]],Milestone_Marker,IF(AND(CT$29&gt;ProposalToGnatt[[#This Row],[Start Date]],CT$29&lt;ProposalToGnatt[[#This Row],[Start Date]]+ProposalToGnatt[[#This Row],[Days]]),$G$5,"")),"")</f>
        <v/>
      </c>
      <c r="CU77" s="37" t="str">
        <f ca="1">IFERROR(+IF(CU$29=ProposalToGnatt[[#This Row],[Start Date]],Milestone_Marker,IF(AND(CU$29&gt;ProposalToGnatt[[#This Row],[Start Date]],CU$29&lt;ProposalToGnatt[[#This Row],[Start Date]]+ProposalToGnatt[[#This Row],[Days]]),$G$5,"")),"")</f>
        <v/>
      </c>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row>
    <row r="78" spans="1:125" ht="15">
      <c r="A78"/>
      <c r="B78"/>
      <c r="C78"/>
      <c r="D78"/>
      <c r="E78"/>
      <c r="F78"/>
      <c r="G78" s="11"/>
      <c r="H78" s="26"/>
      <c r="I78"/>
      <c r="J78"/>
      <c r="K78" s="363"/>
      <c r="L78"/>
      <c r="M78"/>
      <c r="N78"/>
      <c r="O78" s="26"/>
      <c r="P78" s="37" t="str">
        <f ca="1">IFERROR(+IF(P$29=ProposalToGnatt[[#This Row],[Start Date]],Milestone_Marker,IF(AND(P$29&gt;ProposalToGnatt[[#This Row],[Start Date]],P$29&lt;ProposalToGnatt[[#This Row],[Start Date]]+ProposalToGnatt[[#This Row],[Days]]),$G$5,"")),"")</f>
        <v/>
      </c>
      <c r="Q78" s="37" t="str">
        <f ca="1">IFERROR(+IF(Q$29=ProposalToGnatt[[#This Row],[Start Date]],Milestone_Marker,IF(AND(Q$29&gt;ProposalToGnatt[[#This Row],[Start Date]],Q$29&lt;ProposalToGnatt[[#This Row],[Start Date]]+ProposalToGnatt[[#This Row],[Days]]),$G$5,"")),"")</f>
        <v/>
      </c>
      <c r="R78" s="37" t="str">
        <f ca="1">IFERROR(+IF(R$29=ProposalToGnatt[[#This Row],[Start Date]],Milestone_Marker,IF(AND(R$29&gt;ProposalToGnatt[[#This Row],[Start Date]],R$29&lt;ProposalToGnatt[[#This Row],[Start Date]]+ProposalToGnatt[[#This Row],[Days]]),$G$5,"")),"")</f>
        <v/>
      </c>
      <c r="S78" s="37" t="str">
        <f ca="1">IFERROR(+IF(S$29=ProposalToGnatt[[#This Row],[Start Date]],Milestone_Marker,IF(AND(S$29&gt;ProposalToGnatt[[#This Row],[Start Date]],S$29&lt;ProposalToGnatt[[#This Row],[Start Date]]+ProposalToGnatt[[#This Row],[Days]]),$G$5,"")),"")</f>
        <v/>
      </c>
      <c r="T78" s="37" t="str">
        <f ca="1">IFERROR(+IF(T$29=ProposalToGnatt[[#This Row],[Start Date]],Milestone_Marker,IF(AND(T$29&gt;ProposalToGnatt[[#This Row],[Start Date]],T$29&lt;ProposalToGnatt[[#This Row],[Start Date]]+ProposalToGnatt[[#This Row],[Days]]),$G$5,"")),"")</f>
        <v/>
      </c>
      <c r="U78" s="37" t="str">
        <f ca="1">IFERROR(+IF(U$29=ProposalToGnatt[[#This Row],[Start Date]],Milestone_Marker,IF(AND(U$29&gt;ProposalToGnatt[[#This Row],[Start Date]],U$29&lt;ProposalToGnatt[[#This Row],[Start Date]]+ProposalToGnatt[[#This Row],[Days]]),$G$5,"")),"")</f>
        <v/>
      </c>
      <c r="V78" s="37" t="str">
        <f ca="1">IFERROR(+IF(V$29=ProposalToGnatt[[#This Row],[Start Date]],Milestone_Marker,IF(AND(V$29&gt;ProposalToGnatt[[#This Row],[Start Date]],V$29&lt;ProposalToGnatt[[#This Row],[Start Date]]+ProposalToGnatt[[#This Row],[Days]]),$G$5,"")),"")</f>
        <v/>
      </c>
      <c r="W78" s="37" t="str">
        <f ca="1">IFERROR(+IF(W$29=ProposalToGnatt[[#This Row],[Start Date]],Milestone_Marker,IF(AND(W$29&gt;ProposalToGnatt[[#This Row],[Start Date]],W$29&lt;ProposalToGnatt[[#This Row],[Start Date]]+ProposalToGnatt[[#This Row],[Days]]),$G$5,"")),"")</f>
        <v/>
      </c>
      <c r="X78" s="37" t="str">
        <f ca="1">IFERROR(+IF(X$29=ProposalToGnatt[[#This Row],[Start Date]],Milestone_Marker,IF(AND(X$29&gt;ProposalToGnatt[[#This Row],[Start Date]],X$29&lt;ProposalToGnatt[[#This Row],[Start Date]]+ProposalToGnatt[[#This Row],[Days]]),$G$5,"")),"")</f>
        <v/>
      </c>
      <c r="Y78" s="37" t="str">
        <f ca="1">IFERROR(+IF(Y$29=ProposalToGnatt[[#This Row],[Start Date]],Milestone_Marker,IF(AND(Y$29&gt;ProposalToGnatt[[#This Row],[Start Date]],Y$29&lt;ProposalToGnatt[[#This Row],[Start Date]]+ProposalToGnatt[[#This Row],[Days]]),$G$5,"")),"")</f>
        <v/>
      </c>
      <c r="Z78" s="37" t="str">
        <f ca="1">IFERROR(+IF(Z$29=ProposalToGnatt[[#This Row],[Start Date]],Milestone_Marker,IF(AND(Z$29&gt;ProposalToGnatt[[#This Row],[Start Date]],Z$29&lt;ProposalToGnatt[[#This Row],[Start Date]]+ProposalToGnatt[[#This Row],[Days]]),$G$5,"")),"")</f>
        <v/>
      </c>
      <c r="AA78" s="37" t="str">
        <f ca="1">IFERROR(+IF(AA$29=ProposalToGnatt[[#This Row],[Start Date]],Milestone_Marker,IF(AND(AA$29&gt;ProposalToGnatt[[#This Row],[Start Date]],AA$29&lt;ProposalToGnatt[[#This Row],[Start Date]]+ProposalToGnatt[[#This Row],[Days]]),$G$5,"")),"")</f>
        <v/>
      </c>
      <c r="AB78" s="37" t="str">
        <f ca="1">IFERROR(+IF(AB$29=ProposalToGnatt[[#This Row],[Start Date]],Milestone_Marker,IF(AND(AB$29&gt;ProposalToGnatt[[#This Row],[Start Date]],AB$29&lt;ProposalToGnatt[[#This Row],[Start Date]]+ProposalToGnatt[[#This Row],[Days]]),$G$5,"")),"")</f>
        <v/>
      </c>
      <c r="AC78" s="37" t="str">
        <f ca="1">IFERROR(+IF(AC$29=ProposalToGnatt[[#This Row],[Start Date]],Milestone_Marker,IF(AND(AC$29&gt;ProposalToGnatt[[#This Row],[Start Date]],AC$29&lt;ProposalToGnatt[[#This Row],[Start Date]]+ProposalToGnatt[[#This Row],[Days]]),$G$5,"")),"")</f>
        <v/>
      </c>
      <c r="AD78" s="37" t="str">
        <f ca="1">IFERROR(+IF(AD$29=ProposalToGnatt[[#This Row],[Start Date]],Milestone_Marker,IF(AND(AD$29&gt;ProposalToGnatt[[#This Row],[Start Date]],AD$29&lt;ProposalToGnatt[[#This Row],[Start Date]]+ProposalToGnatt[[#This Row],[Days]]),$G$5,"")),"")</f>
        <v/>
      </c>
      <c r="AE78" s="37" t="str">
        <f ca="1">IFERROR(+IF(AE$29=ProposalToGnatt[[#This Row],[Start Date]],Milestone_Marker,IF(AND(AE$29&gt;ProposalToGnatt[[#This Row],[Start Date]],AE$29&lt;ProposalToGnatt[[#This Row],[Start Date]]+ProposalToGnatt[[#This Row],[Days]]),$G$5,"")),"")</f>
        <v/>
      </c>
      <c r="AF78" s="37" t="str">
        <f ca="1">IFERROR(+IF(AF$29=ProposalToGnatt[[#This Row],[Start Date]],Milestone_Marker,IF(AND(AF$29&gt;ProposalToGnatt[[#This Row],[Start Date]],AF$29&lt;ProposalToGnatt[[#This Row],[Start Date]]+ProposalToGnatt[[#This Row],[Days]]),$G$5,"")),"")</f>
        <v/>
      </c>
      <c r="AG78" s="37" t="str">
        <f ca="1">IFERROR(+IF(AG$29=ProposalToGnatt[[#This Row],[Start Date]],Milestone_Marker,IF(AND(AG$29&gt;ProposalToGnatt[[#This Row],[Start Date]],AG$29&lt;ProposalToGnatt[[#This Row],[Start Date]]+ProposalToGnatt[[#This Row],[Days]]),$G$5,"")),"")</f>
        <v/>
      </c>
      <c r="AH78" s="37" t="str">
        <f ca="1">IFERROR(+IF(AH$29=ProposalToGnatt[[#This Row],[Start Date]],Milestone_Marker,IF(AND(AH$29&gt;ProposalToGnatt[[#This Row],[Start Date]],AH$29&lt;ProposalToGnatt[[#This Row],[Start Date]]+ProposalToGnatt[[#This Row],[Days]]),$G$5,"")),"")</f>
        <v/>
      </c>
      <c r="AI78" s="37" t="str">
        <f ca="1">IFERROR(+IF(AI$29=ProposalToGnatt[[#This Row],[Start Date]],Milestone_Marker,IF(AND(AI$29&gt;ProposalToGnatt[[#This Row],[Start Date]],AI$29&lt;ProposalToGnatt[[#This Row],[Start Date]]+ProposalToGnatt[[#This Row],[Days]]),$G$5,"")),"")</f>
        <v/>
      </c>
      <c r="AJ78" s="37" t="str">
        <f ca="1">IFERROR(+IF(AJ$29=ProposalToGnatt[[#This Row],[Start Date]],Milestone_Marker,IF(AND(AJ$29&gt;ProposalToGnatt[[#This Row],[Start Date]],AJ$29&lt;ProposalToGnatt[[#This Row],[Start Date]]+ProposalToGnatt[[#This Row],[Days]]),$G$5,"")),"")</f>
        <v/>
      </c>
      <c r="AK78" s="37" t="str">
        <f ca="1">IFERROR(+IF(AK$29=ProposalToGnatt[[#This Row],[Start Date]],Milestone_Marker,IF(AND(AK$29&gt;ProposalToGnatt[[#This Row],[Start Date]],AK$29&lt;ProposalToGnatt[[#This Row],[Start Date]]+ProposalToGnatt[[#This Row],[Days]]),$G$5,"")),"")</f>
        <v/>
      </c>
      <c r="AL78" s="37" t="str">
        <f ca="1">IFERROR(+IF(AL$29=ProposalToGnatt[[#This Row],[Start Date]],Milestone_Marker,IF(AND(AL$29&gt;ProposalToGnatt[[#This Row],[Start Date]],AL$29&lt;ProposalToGnatt[[#This Row],[Start Date]]+ProposalToGnatt[[#This Row],[Days]]),$G$5,"")),"")</f>
        <v/>
      </c>
      <c r="AM78" s="37" t="str">
        <f ca="1">IFERROR(+IF(AM$29=ProposalToGnatt[[#This Row],[Start Date]],Milestone_Marker,IF(AND(AM$29&gt;ProposalToGnatt[[#This Row],[Start Date]],AM$29&lt;ProposalToGnatt[[#This Row],[Start Date]]+ProposalToGnatt[[#This Row],[Days]]),$G$5,"")),"")</f>
        <v/>
      </c>
      <c r="AN78" s="37" t="str">
        <f ca="1">IFERROR(+IF(AN$29=ProposalToGnatt[[#This Row],[Start Date]],Milestone_Marker,IF(AND(AN$29&gt;ProposalToGnatt[[#This Row],[Start Date]],AN$29&lt;ProposalToGnatt[[#This Row],[Start Date]]+ProposalToGnatt[[#This Row],[Days]]),$G$5,"")),"")</f>
        <v/>
      </c>
      <c r="AO78" s="37" t="str">
        <f ca="1">IFERROR(+IF(AO$29=ProposalToGnatt[[#This Row],[Start Date]],Milestone_Marker,IF(AND(AO$29&gt;ProposalToGnatt[[#This Row],[Start Date]],AO$29&lt;ProposalToGnatt[[#This Row],[Start Date]]+ProposalToGnatt[[#This Row],[Days]]),$G$5,"")),"")</f>
        <v/>
      </c>
      <c r="AP78" s="37" t="str">
        <f ca="1">IFERROR(+IF(AP$29=ProposalToGnatt[[#This Row],[Start Date]],Milestone_Marker,IF(AND(AP$29&gt;ProposalToGnatt[[#This Row],[Start Date]],AP$29&lt;ProposalToGnatt[[#This Row],[Start Date]]+ProposalToGnatt[[#This Row],[Days]]),$G$5,"")),"")</f>
        <v/>
      </c>
      <c r="AQ78" s="37" t="str">
        <f ca="1">IFERROR(+IF(AQ$29=ProposalToGnatt[[#This Row],[Start Date]],Milestone_Marker,IF(AND(AQ$29&gt;ProposalToGnatt[[#This Row],[Start Date]],AQ$29&lt;ProposalToGnatt[[#This Row],[Start Date]]+ProposalToGnatt[[#This Row],[Days]]),$G$5,"")),"")</f>
        <v/>
      </c>
      <c r="AR78" s="37" t="str">
        <f ca="1">IFERROR(+IF(AR$29=ProposalToGnatt[[#This Row],[Start Date]],Milestone_Marker,IF(AND(AR$29&gt;ProposalToGnatt[[#This Row],[Start Date]],AR$29&lt;ProposalToGnatt[[#This Row],[Start Date]]+ProposalToGnatt[[#This Row],[Days]]),$G$5,"")),"")</f>
        <v/>
      </c>
      <c r="AS78" s="37" t="str">
        <f ca="1">IFERROR(+IF(AS$29=ProposalToGnatt[[#This Row],[Start Date]],Milestone_Marker,IF(AND(AS$29&gt;ProposalToGnatt[[#This Row],[Start Date]],AS$29&lt;ProposalToGnatt[[#This Row],[Start Date]]+ProposalToGnatt[[#This Row],[Days]]),$G$5,"")),"")</f>
        <v/>
      </c>
      <c r="AT78" s="37" t="str">
        <f ca="1">IFERROR(+IF(AT$29=ProposalToGnatt[[#This Row],[Start Date]],Milestone_Marker,IF(AND(AT$29&gt;ProposalToGnatt[[#This Row],[Start Date]],AT$29&lt;ProposalToGnatt[[#This Row],[Start Date]]+ProposalToGnatt[[#This Row],[Days]]),$G$5,"")),"")</f>
        <v/>
      </c>
      <c r="AU78" s="37" t="str">
        <f ca="1">IFERROR(+IF(AU$29=ProposalToGnatt[[#This Row],[Start Date]],Milestone_Marker,IF(AND(AU$29&gt;ProposalToGnatt[[#This Row],[Start Date]],AU$29&lt;ProposalToGnatt[[#This Row],[Start Date]]+ProposalToGnatt[[#This Row],[Days]]),$G$5,"")),"")</f>
        <v/>
      </c>
      <c r="AV78" s="37" t="str">
        <f ca="1">IFERROR(+IF(AV$29=ProposalToGnatt[[#This Row],[Start Date]],Milestone_Marker,IF(AND(AV$29&gt;ProposalToGnatt[[#This Row],[Start Date]],AV$29&lt;ProposalToGnatt[[#This Row],[Start Date]]+ProposalToGnatt[[#This Row],[Days]]),$G$5,"")),"")</f>
        <v/>
      </c>
      <c r="AW78" s="37" t="str">
        <f ca="1">IFERROR(+IF(AW$29=ProposalToGnatt[[#This Row],[Start Date]],Milestone_Marker,IF(AND(AW$29&gt;ProposalToGnatt[[#This Row],[Start Date]],AW$29&lt;ProposalToGnatt[[#This Row],[Start Date]]+ProposalToGnatt[[#This Row],[Days]]),$G$5,"")),"")</f>
        <v/>
      </c>
      <c r="AX78" s="37" t="str">
        <f ca="1">IFERROR(+IF(AX$29=ProposalToGnatt[[#This Row],[Start Date]],Milestone_Marker,IF(AND(AX$29&gt;ProposalToGnatt[[#This Row],[Start Date]],AX$29&lt;ProposalToGnatt[[#This Row],[Start Date]]+ProposalToGnatt[[#This Row],[Days]]),$G$5,"")),"")</f>
        <v/>
      </c>
      <c r="AY78" s="37" t="str">
        <f ca="1">IFERROR(+IF(AY$29=ProposalToGnatt[[#This Row],[Start Date]],Milestone_Marker,IF(AND(AY$29&gt;ProposalToGnatt[[#This Row],[Start Date]],AY$29&lt;ProposalToGnatt[[#This Row],[Start Date]]+ProposalToGnatt[[#This Row],[Days]]),$G$5,"")),"")</f>
        <v/>
      </c>
      <c r="AZ78" s="37" t="str">
        <f ca="1">IFERROR(+IF(AZ$29=ProposalToGnatt[[#This Row],[Start Date]],Milestone_Marker,IF(AND(AZ$29&gt;ProposalToGnatt[[#This Row],[Start Date]],AZ$29&lt;ProposalToGnatt[[#This Row],[Start Date]]+ProposalToGnatt[[#This Row],[Days]]),$G$5,"")),"")</f>
        <v/>
      </c>
      <c r="BA78" s="37" t="str">
        <f ca="1">IFERROR(+IF(BA$29=ProposalToGnatt[[#This Row],[Start Date]],Milestone_Marker,IF(AND(BA$29&gt;ProposalToGnatt[[#This Row],[Start Date]],BA$29&lt;ProposalToGnatt[[#This Row],[Start Date]]+ProposalToGnatt[[#This Row],[Days]]),$G$5,"")),"")</f>
        <v/>
      </c>
      <c r="BB78" s="37" t="str">
        <f ca="1">IFERROR(+IF(BB$29=ProposalToGnatt[[#This Row],[Start Date]],Milestone_Marker,IF(AND(BB$29&gt;ProposalToGnatt[[#This Row],[Start Date]],BB$29&lt;ProposalToGnatt[[#This Row],[Start Date]]+ProposalToGnatt[[#This Row],[Days]]),$G$5,"")),"")</f>
        <v/>
      </c>
      <c r="BC78" s="37" t="str">
        <f ca="1">IFERROR(+IF(BC$29=ProposalToGnatt[[#This Row],[Start Date]],Milestone_Marker,IF(AND(BC$29&gt;ProposalToGnatt[[#This Row],[Start Date]],BC$29&lt;ProposalToGnatt[[#This Row],[Start Date]]+ProposalToGnatt[[#This Row],[Days]]),$G$5,"")),"")</f>
        <v/>
      </c>
      <c r="BD78" s="37" t="str">
        <f ca="1">IFERROR(+IF(BD$29=ProposalToGnatt[[#This Row],[Start Date]],Milestone_Marker,IF(AND(BD$29&gt;ProposalToGnatt[[#This Row],[Start Date]],BD$29&lt;ProposalToGnatt[[#This Row],[Start Date]]+ProposalToGnatt[[#This Row],[Days]]),$G$5,"")),"")</f>
        <v/>
      </c>
      <c r="BE78" s="37" t="str">
        <f ca="1">IFERROR(+IF(BE$29=ProposalToGnatt[[#This Row],[Start Date]],Milestone_Marker,IF(AND(BE$29&gt;ProposalToGnatt[[#This Row],[Start Date]],BE$29&lt;ProposalToGnatt[[#This Row],[Start Date]]+ProposalToGnatt[[#This Row],[Days]]),$G$5,"")),"")</f>
        <v/>
      </c>
      <c r="BF78" s="37" t="str">
        <f ca="1">IFERROR(+IF(BF$29=ProposalToGnatt[[#This Row],[Start Date]],Milestone_Marker,IF(AND(BF$29&gt;ProposalToGnatt[[#This Row],[Start Date]],BF$29&lt;ProposalToGnatt[[#This Row],[Start Date]]+ProposalToGnatt[[#This Row],[Days]]),$G$5,"")),"")</f>
        <v/>
      </c>
      <c r="BG78" s="37" t="str">
        <f ca="1">IFERROR(+IF(BG$29=ProposalToGnatt[[#This Row],[Start Date]],Milestone_Marker,IF(AND(BG$29&gt;ProposalToGnatt[[#This Row],[Start Date]],BG$29&lt;ProposalToGnatt[[#This Row],[Start Date]]+ProposalToGnatt[[#This Row],[Days]]),$G$5,"")),"")</f>
        <v/>
      </c>
      <c r="BH78" s="37" t="str">
        <f ca="1">IFERROR(+IF(BH$29=ProposalToGnatt[[#This Row],[Start Date]],Milestone_Marker,IF(AND(BH$29&gt;ProposalToGnatt[[#This Row],[Start Date]],BH$29&lt;ProposalToGnatt[[#This Row],[Start Date]]+ProposalToGnatt[[#This Row],[Days]]),$G$5,"")),"")</f>
        <v/>
      </c>
      <c r="BI78" s="37" t="str">
        <f ca="1">IFERROR(+IF(BI$29=ProposalToGnatt[[#This Row],[Start Date]],Milestone_Marker,IF(AND(BI$29&gt;ProposalToGnatt[[#This Row],[Start Date]],BI$29&lt;ProposalToGnatt[[#This Row],[Start Date]]+ProposalToGnatt[[#This Row],[Days]]),$G$5,"")),"")</f>
        <v/>
      </c>
      <c r="BJ78" s="37" t="str">
        <f ca="1">IFERROR(+IF(BJ$29=ProposalToGnatt[[#This Row],[Start Date]],Milestone_Marker,IF(AND(BJ$29&gt;ProposalToGnatt[[#This Row],[Start Date]],BJ$29&lt;ProposalToGnatt[[#This Row],[Start Date]]+ProposalToGnatt[[#This Row],[Days]]),$G$5,"")),"")</f>
        <v/>
      </c>
      <c r="BK78" s="37" t="str">
        <f ca="1">IFERROR(+IF(BK$29=ProposalToGnatt[[#This Row],[Start Date]],Milestone_Marker,IF(AND(BK$29&gt;ProposalToGnatt[[#This Row],[Start Date]],BK$29&lt;ProposalToGnatt[[#This Row],[Start Date]]+ProposalToGnatt[[#This Row],[Days]]),$G$5,"")),"")</f>
        <v/>
      </c>
      <c r="BL78" s="37" t="str">
        <f ca="1">IFERROR(+IF(BL$29=ProposalToGnatt[[#This Row],[Start Date]],Milestone_Marker,IF(AND(BL$29&gt;ProposalToGnatt[[#This Row],[Start Date]],BL$29&lt;ProposalToGnatt[[#This Row],[Start Date]]+ProposalToGnatt[[#This Row],[Days]]),$G$5,"")),"")</f>
        <v/>
      </c>
      <c r="BM78" s="37" t="str">
        <f ca="1">IFERROR(+IF(BM$29=ProposalToGnatt[[#This Row],[Start Date]],Milestone_Marker,IF(AND(BM$29&gt;ProposalToGnatt[[#This Row],[Start Date]],BM$29&lt;ProposalToGnatt[[#This Row],[Start Date]]+ProposalToGnatt[[#This Row],[Days]]),$G$5,"")),"")</f>
        <v/>
      </c>
      <c r="BN78" s="37" t="str">
        <f ca="1">IFERROR(+IF(BN$29=ProposalToGnatt[[#This Row],[Start Date]],Milestone_Marker,IF(AND(BN$29&gt;ProposalToGnatt[[#This Row],[Start Date]],BN$29&lt;ProposalToGnatt[[#This Row],[Start Date]]+ProposalToGnatt[[#This Row],[Days]]),$G$5,"")),"")</f>
        <v/>
      </c>
      <c r="BO78" s="37" t="str">
        <f ca="1">IFERROR(+IF(BO$29=ProposalToGnatt[[#This Row],[Start Date]],Milestone_Marker,IF(AND(BO$29&gt;ProposalToGnatt[[#This Row],[Start Date]],BO$29&lt;ProposalToGnatt[[#This Row],[Start Date]]+ProposalToGnatt[[#This Row],[Days]]),$G$5,"")),"")</f>
        <v/>
      </c>
      <c r="BP78" s="37" t="str">
        <f ca="1">IFERROR(+IF(BP$29=ProposalToGnatt[[#This Row],[Start Date]],Milestone_Marker,IF(AND(BP$29&gt;ProposalToGnatt[[#This Row],[Start Date]],BP$29&lt;ProposalToGnatt[[#This Row],[Start Date]]+ProposalToGnatt[[#This Row],[Days]]),$G$5,"")),"")</f>
        <v/>
      </c>
      <c r="BQ78" s="37" t="str">
        <f ca="1">IFERROR(+IF(BQ$29=ProposalToGnatt[[#This Row],[Start Date]],Milestone_Marker,IF(AND(BQ$29&gt;ProposalToGnatt[[#This Row],[Start Date]],BQ$29&lt;ProposalToGnatt[[#This Row],[Start Date]]+ProposalToGnatt[[#This Row],[Days]]),$G$5,"")),"")</f>
        <v/>
      </c>
      <c r="BR78" s="37" t="str">
        <f ca="1">IFERROR(+IF(BR$29=ProposalToGnatt[[#This Row],[Start Date]],Milestone_Marker,IF(AND(BR$29&gt;ProposalToGnatt[[#This Row],[Start Date]],BR$29&lt;ProposalToGnatt[[#This Row],[Start Date]]+ProposalToGnatt[[#This Row],[Days]]),$G$5,"")),"")</f>
        <v/>
      </c>
      <c r="BS78" s="37" t="str">
        <f ca="1">IFERROR(+IF(BS$29=ProposalToGnatt[[#This Row],[Start Date]],Milestone_Marker,IF(AND(BS$29&gt;ProposalToGnatt[[#This Row],[Start Date]],BS$29&lt;ProposalToGnatt[[#This Row],[Start Date]]+ProposalToGnatt[[#This Row],[Days]]),$G$5,"")),"")</f>
        <v/>
      </c>
      <c r="BT78" s="37" t="str">
        <f ca="1">IFERROR(+IF(BT$29=ProposalToGnatt[[#This Row],[Start Date]],Milestone_Marker,IF(AND(BT$29&gt;ProposalToGnatt[[#This Row],[Start Date]],BT$29&lt;ProposalToGnatt[[#This Row],[Start Date]]+ProposalToGnatt[[#This Row],[Days]]),$G$5,"")),"")</f>
        <v/>
      </c>
      <c r="BU78" s="37" t="str">
        <f ca="1">IFERROR(+IF(BU$29=ProposalToGnatt[[#This Row],[Start Date]],Milestone_Marker,IF(AND(BU$29&gt;ProposalToGnatt[[#This Row],[Start Date]],BU$29&lt;ProposalToGnatt[[#This Row],[Start Date]]+ProposalToGnatt[[#This Row],[Days]]),$G$5,"")),"")</f>
        <v/>
      </c>
      <c r="BV78" s="37" t="str">
        <f ca="1">IFERROR(+IF(BV$29=ProposalToGnatt[[#This Row],[Start Date]],Milestone_Marker,IF(AND(BV$29&gt;ProposalToGnatt[[#This Row],[Start Date]],BV$29&lt;ProposalToGnatt[[#This Row],[Start Date]]+ProposalToGnatt[[#This Row],[Days]]),$G$5,"")),"")</f>
        <v/>
      </c>
      <c r="BW78" s="37" t="str">
        <f ca="1">IFERROR(+IF(BW$29=ProposalToGnatt[[#This Row],[Start Date]],Milestone_Marker,IF(AND(BW$29&gt;ProposalToGnatt[[#This Row],[Start Date]],BW$29&lt;ProposalToGnatt[[#This Row],[Start Date]]+ProposalToGnatt[[#This Row],[Days]]),$G$5,"")),"")</f>
        <v/>
      </c>
      <c r="BX78" s="37" t="str">
        <f ca="1">IFERROR(+IF(BX$29=ProposalToGnatt[[#This Row],[Start Date]],Milestone_Marker,IF(AND(BX$29&gt;ProposalToGnatt[[#This Row],[Start Date]],BX$29&lt;ProposalToGnatt[[#This Row],[Start Date]]+ProposalToGnatt[[#This Row],[Days]]),$G$5,"")),"")</f>
        <v/>
      </c>
      <c r="BY78" s="37" t="str">
        <f ca="1">IFERROR(+IF(BY$29=ProposalToGnatt[[#This Row],[Start Date]],Milestone_Marker,IF(AND(BY$29&gt;ProposalToGnatt[[#This Row],[Start Date]],BY$29&lt;ProposalToGnatt[[#This Row],[Start Date]]+ProposalToGnatt[[#This Row],[Days]]),$G$5,"")),"")</f>
        <v/>
      </c>
      <c r="BZ78" s="37" t="str">
        <f ca="1">IFERROR(+IF(BZ$29=ProposalToGnatt[[#This Row],[Start Date]],Milestone_Marker,IF(AND(BZ$29&gt;ProposalToGnatt[[#This Row],[Start Date]],BZ$29&lt;ProposalToGnatt[[#This Row],[Start Date]]+ProposalToGnatt[[#This Row],[Days]]),$G$5,"")),"")</f>
        <v/>
      </c>
      <c r="CA78" s="37" t="str">
        <f ca="1">IFERROR(+IF(CA$29=ProposalToGnatt[[#This Row],[Start Date]],Milestone_Marker,IF(AND(CA$29&gt;ProposalToGnatt[[#This Row],[Start Date]],CA$29&lt;ProposalToGnatt[[#This Row],[Start Date]]+ProposalToGnatt[[#This Row],[Days]]),$G$5,"")),"")</f>
        <v/>
      </c>
      <c r="CB78" s="37" t="str">
        <f ca="1">IFERROR(+IF(CB$29=ProposalToGnatt[[#This Row],[Start Date]],Milestone_Marker,IF(AND(CB$29&gt;ProposalToGnatt[[#This Row],[Start Date]],CB$29&lt;ProposalToGnatt[[#This Row],[Start Date]]+ProposalToGnatt[[#This Row],[Days]]),$G$5,"")),"")</f>
        <v/>
      </c>
      <c r="CC78" s="37" t="str">
        <f ca="1">IFERROR(+IF(CC$29=ProposalToGnatt[[#This Row],[Start Date]],Milestone_Marker,IF(AND(CC$29&gt;ProposalToGnatt[[#This Row],[Start Date]],CC$29&lt;ProposalToGnatt[[#This Row],[Start Date]]+ProposalToGnatt[[#This Row],[Days]]),$G$5,"")),"")</f>
        <v/>
      </c>
      <c r="CD78" s="37" t="str">
        <f ca="1">IFERROR(+IF(CD$29=ProposalToGnatt[[#This Row],[Start Date]],Milestone_Marker,IF(AND(CD$29&gt;ProposalToGnatt[[#This Row],[Start Date]],CD$29&lt;ProposalToGnatt[[#This Row],[Start Date]]+ProposalToGnatt[[#This Row],[Days]]),$G$5,"")),"")</f>
        <v/>
      </c>
      <c r="CE78" s="37" t="str">
        <f ca="1">IFERROR(+IF(CE$29=ProposalToGnatt[[#This Row],[Start Date]],Milestone_Marker,IF(AND(CE$29&gt;ProposalToGnatt[[#This Row],[Start Date]],CE$29&lt;ProposalToGnatt[[#This Row],[Start Date]]+ProposalToGnatt[[#This Row],[Days]]),$G$5,"")),"")</f>
        <v/>
      </c>
      <c r="CF78" s="37" t="str">
        <f ca="1">IFERROR(+IF(CF$29=ProposalToGnatt[[#This Row],[Start Date]],Milestone_Marker,IF(AND(CF$29&gt;ProposalToGnatt[[#This Row],[Start Date]],CF$29&lt;ProposalToGnatt[[#This Row],[Start Date]]+ProposalToGnatt[[#This Row],[Days]]),$G$5,"")),"")</f>
        <v/>
      </c>
      <c r="CG78" s="37" t="str">
        <f ca="1">IFERROR(+IF(CG$29=ProposalToGnatt[[#This Row],[Start Date]],Milestone_Marker,IF(AND(CG$29&gt;ProposalToGnatt[[#This Row],[Start Date]],CG$29&lt;ProposalToGnatt[[#This Row],[Start Date]]+ProposalToGnatt[[#This Row],[Days]]),$G$5,"")),"")</f>
        <v/>
      </c>
      <c r="CH78" s="37" t="str">
        <f ca="1">IFERROR(+IF(CH$29=ProposalToGnatt[[#This Row],[Start Date]],Milestone_Marker,IF(AND(CH$29&gt;ProposalToGnatt[[#This Row],[Start Date]],CH$29&lt;ProposalToGnatt[[#This Row],[Start Date]]+ProposalToGnatt[[#This Row],[Days]]),$G$5,"")),"")</f>
        <v/>
      </c>
      <c r="CI78" s="37" t="str">
        <f ca="1">IFERROR(+IF(CI$29=ProposalToGnatt[[#This Row],[Start Date]],Milestone_Marker,IF(AND(CI$29&gt;ProposalToGnatt[[#This Row],[Start Date]],CI$29&lt;ProposalToGnatt[[#This Row],[Start Date]]+ProposalToGnatt[[#This Row],[Days]]),$G$5,"")),"")</f>
        <v/>
      </c>
      <c r="CJ78" s="37" t="str">
        <f ca="1">IFERROR(+IF(CJ$29=ProposalToGnatt[[#This Row],[Start Date]],Milestone_Marker,IF(AND(CJ$29&gt;ProposalToGnatt[[#This Row],[Start Date]],CJ$29&lt;ProposalToGnatt[[#This Row],[Start Date]]+ProposalToGnatt[[#This Row],[Days]]),$G$5,"")),"")</f>
        <v/>
      </c>
      <c r="CK78" s="37" t="str">
        <f ca="1">IFERROR(+IF(CK$29=ProposalToGnatt[[#This Row],[Start Date]],Milestone_Marker,IF(AND(CK$29&gt;ProposalToGnatt[[#This Row],[Start Date]],CK$29&lt;ProposalToGnatt[[#This Row],[Start Date]]+ProposalToGnatt[[#This Row],[Days]]),$G$5,"")),"")</f>
        <v/>
      </c>
      <c r="CL78" s="37" t="str">
        <f ca="1">IFERROR(+IF(CL$29=ProposalToGnatt[[#This Row],[Start Date]],Milestone_Marker,IF(AND(CL$29&gt;ProposalToGnatt[[#This Row],[Start Date]],CL$29&lt;ProposalToGnatt[[#This Row],[Start Date]]+ProposalToGnatt[[#This Row],[Days]]),$G$5,"")),"")</f>
        <v/>
      </c>
      <c r="CM78" s="37" t="str">
        <f ca="1">IFERROR(+IF(CM$29=ProposalToGnatt[[#This Row],[Start Date]],Milestone_Marker,IF(AND(CM$29&gt;ProposalToGnatt[[#This Row],[Start Date]],CM$29&lt;ProposalToGnatt[[#This Row],[Start Date]]+ProposalToGnatt[[#This Row],[Days]]),$G$5,"")),"")</f>
        <v/>
      </c>
      <c r="CN78" s="37" t="str">
        <f ca="1">IFERROR(+IF(CN$29=ProposalToGnatt[[#This Row],[Start Date]],Milestone_Marker,IF(AND(CN$29&gt;ProposalToGnatt[[#This Row],[Start Date]],CN$29&lt;ProposalToGnatt[[#This Row],[Start Date]]+ProposalToGnatt[[#This Row],[Days]]),$G$5,"")),"")</f>
        <v/>
      </c>
      <c r="CO78" s="37" t="str">
        <f ca="1">IFERROR(+IF(CO$29=ProposalToGnatt[[#This Row],[Start Date]],Milestone_Marker,IF(AND(CO$29&gt;ProposalToGnatt[[#This Row],[Start Date]],CO$29&lt;ProposalToGnatt[[#This Row],[Start Date]]+ProposalToGnatt[[#This Row],[Days]]),$G$5,"")),"")</f>
        <v/>
      </c>
      <c r="CP78" s="37" t="str">
        <f ca="1">IFERROR(+IF(CP$29=ProposalToGnatt[[#This Row],[Start Date]],Milestone_Marker,IF(AND(CP$29&gt;ProposalToGnatt[[#This Row],[Start Date]],CP$29&lt;ProposalToGnatt[[#This Row],[Start Date]]+ProposalToGnatt[[#This Row],[Days]]),$G$5,"")),"")</f>
        <v/>
      </c>
      <c r="CQ78" s="37" t="str">
        <f ca="1">IFERROR(+IF(CQ$29=ProposalToGnatt[[#This Row],[Start Date]],Milestone_Marker,IF(AND(CQ$29&gt;ProposalToGnatt[[#This Row],[Start Date]],CQ$29&lt;ProposalToGnatt[[#This Row],[Start Date]]+ProposalToGnatt[[#This Row],[Days]]),$G$5,"")),"")</f>
        <v/>
      </c>
      <c r="CR78" s="37" t="str">
        <f ca="1">IFERROR(+IF(CR$29=ProposalToGnatt[[#This Row],[Start Date]],Milestone_Marker,IF(AND(CR$29&gt;ProposalToGnatt[[#This Row],[Start Date]],CR$29&lt;ProposalToGnatt[[#This Row],[Start Date]]+ProposalToGnatt[[#This Row],[Days]]),$G$5,"")),"")</f>
        <v/>
      </c>
      <c r="CS78" s="37" t="str">
        <f ca="1">IFERROR(+IF(CS$29=ProposalToGnatt[[#This Row],[Start Date]],Milestone_Marker,IF(AND(CS$29&gt;ProposalToGnatt[[#This Row],[Start Date]],CS$29&lt;ProposalToGnatt[[#This Row],[Start Date]]+ProposalToGnatt[[#This Row],[Days]]),$G$5,"")),"")</f>
        <v/>
      </c>
      <c r="CT78" s="37" t="str">
        <f ca="1">IFERROR(+IF(CT$29=ProposalToGnatt[[#This Row],[Start Date]],Milestone_Marker,IF(AND(CT$29&gt;ProposalToGnatt[[#This Row],[Start Date]],CT$29&lt;ProposalToGnatt[[#This Row],[Start Date]]+ProposalToGnatt[[#This Row],[Days]]),$G$5,"")),"")</f>
        <v/>
      </c>
      <c r="CU78" s="37" t="str">
        <f ca="1">IFERROR(+IF(CU$29=ProposalToGnatt[[#This Row],[Start Date]],Milestone_Marker,IF(AND(CU$29&gt;ProposalToGnatt[[#This Row],[Start Date]],CU$29&lt;ProposalToGnatt[[#This Row],[Start Date]]+ProposalToGnatt[[#This Row],[Days]]),$G$5,"")),"")</f>
        <v/>
      </c>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row>
    <row r="79" spans="1:125" ht="15">
      <c r="A79"/>
      <c r="B79"/>
      <c r="C79"/>
      <c r="D79"/>
      <c r="E79"/>
      <c r="F79"/>
      <c r="G79" s="11"/>
      <c r="H79" s="26"/>
      <c r="I79"/>
      <c r="J79"/>
      <c r="K79" s="363"/>
      <c r="L79"/>
      <c r="M79"/>
      <c r="N79"/>
      <c r="O79" s="26"/>
      <c r="P79" s="37" t="str">
        <f ca="1">IFERROR(+IF(P$29=ProposalToGnatt[[#This Row],[Start Date]],Milestone_Marker,IF(AND(P$29&gt;ProposalToGnatt[[#This Row],[Start Date]],P$29&lt;ProposalToGnatt[[#This Row],[Start Date]]+ProposalToGnatt[[#This Row],[Days]]),$G$5,"")),"")</f>
        <v/>
      </c>
      <c r="Q79" s="37" t="str">
        <f ca="1">IFERROR(+IF(Q$29=ProposalToGnatt[[#This Row],[Start Date]],Milestone_Marker,IF(AND(Q$29&gt;ProposalToGnatt[[#This Row],[Start Date]],Q$29&lt;ProposalToGnatt[[#This Row],[Start Date]]+ProposalToGnatt[[#This Row],[Days]]),$G$5,"")),"")</f>
        <v/>
      </c>
      <c r="R79" s="37" t="str">
        <f ca="1">IFERROR(+IF(R$29=ProposalToGnatt[[#This Row],[Start Date]],Milestone_Marker,IF(AND(R$29&gt;ProposalToGnatt[[#This Row],[Start Date]],R$29&lt;ProposalToGnatt[[#This Row],[Start Date]]+ProposalToGnatt[[#This Row],[Days]]),$G$5,"")),"")</f>
        <v/>
      </c>
      <c r="S79" s="37" t="str">
        <f ca="1">IFERROR(+IF(S$29=ProposalToGnatt[[#This Row],[Start Date]],Milestone_Marker,IF(AND(S$29&gt;ProposalToGnatt[[#This Row],[Start Date]],S$29&lt;ProposalToGnatt[[#This Row],[Start Date]]+ProposalToGnatt[[#This Row],[Days]]),$G$5,"")),"")</f>
        <v/>
      </c>
      <c r="T79" s="37" t="str">
        <f ca="1">IFERROR(+IF(T$29=ProposalToGnatt[[#This Row],[Start Date]],Milestone_Marker,IF(AND(T$29&gt;ProposalToGnatt[[#This Row],[Start Date]],T$29&lt;ProposalToGnatt[[#This Row],[Start Date]]+ProposalToGnatt[[#This Row],[Days]]),$G$5,"")),"")</f>
        <v/>
      </c>
      <c r="U79" s="37" t="str">
        <f ca="1">IFERROR(+IF(U$29=ProposalToGnatt[[#This Row],[Start Date]],Milestone_Marker,IF(AND(U$29&gt;ProposalToGnatt[[#This Row],[Start Date]],U$29&lt;ProposalToGnatt[[#This Row],[Start Date]]+ProposalToGnatt[[#This Row],[Days]]),$G$5,"")),"")</f>
        <v/>
      </c>
      <c r="V79" s="37" t="str">
        <f ca="1">IFERROR(+IF(V$29=ProposalToGnatt[[#This Row],[Start Date]],Milestone_Marker,IF(AND(V$29&gt;ProposalToGnatt[[#This Row],[Start Date]],V$29&lt;ProposalToGnatt[[#This Row],[Start Date]]+ProposalToGnatt[[#This Row],[Days]]),$G$5,"")),"")</f>
        <v/>
      </c>
      <c r="W79" s="37" t="str">
        <f ca="1">IFERROR(+IF(W$29=ProposalToGnatt[[#This Row],[Start Date]],Milestone_Marker,IF(AND(W$29&gt;ProposalToGnatt[[#This Row],[Start Date]],W$29&lt;ProposalToGnatt[[#This Row],[Start Date]]+ProposalToGnatt[[#This Row],[Days]]),$G$5,"")),"")</f>
        <v/>
      </c>
      <c r="X79" s="37" t="str">
        <f ca="1">IFERROR(+IF(X$29=ProposalToGnatt[[#This Row],[Start Date]],Milestone_Marker,IF(AND(X$29&gt;ProposalToGnatt[[#This Row],[Start Date]],X$29&lt;ProposalToGnatt[[#This Row],[Start Date]]+ProposalToGnatt[[#This Row],[Days]]),$G$5,"")),"")</f>
        <v/>
      </c>
      <c r="Y79" s="37" t="str">
        <f ca="1">IFERROR(+IF(Y$29=ProposalToGnatt[[#This Row],[Start Date]],Milestone_Marker,IF(AND(Y$29&gt;ProposalToGnatt[[#This Row],[Start Date]],Y$29&lt;ProposalToGnatt[[#This Row],[Start Date]]+ProposalToGnatt[[#This Row],[Days]]),$G$5,"")),"")</f>
        <v/>
      </c>
      <c r="Z79" s="37" t="str">
        <f ca="1">IFERROR(+IF(Z$29=ProposalToGnatt[[#This Row],[Start Date]],Milestone_Marker,IF(AND(Z$29&gt;ProposalToGnatt[[#This Row],[Start Date]],Z$29&lt;ProposalToGnatt[[#This Row],[Start Date]]+ProposalToGnatt[[#This Row],[Days]]),$G$5,"")),"")</f>
        <v/>
      </c>
      <c r="AA79" s="37" t="str">
        <f ca="1">IFERROR(+IF(AA$29=ProposalToGnatt[[#This Row],[Start Date]],Milestone_Marker,IF(AND(AA$29&gt;ProposalToGnatt[[#This Row],[Start Date]],AA$29&lt;ProposalToGnatt[[#This Row],[Start Date]]+ProposalToGnatt[[#This Row],[Days]]),$G$5,"")),"")</f>
        <v/>
      </c>
      <c r="AB79" s="37" t="str">
        <f ca="1">IFERROR(+IF(AB$29=ProposalToGnatt[[#This Row],[Start Date]],Milestone_Marker,IF(AND(AB$29&gt;ProposalToGnatt[[#This Row],[Start Date]],AB$29&lt;ProposalToGnatt[[#This Row],[Start Date]]+ProposalToGnatt[[#This Row],[Days]]),$G$5,"")),"")</f>
        <v/>
      </c>
      <c r="AC79" s="37" t="str">
        <f ca="1">IFERROR(+IF(AC$29=ProposalToGnatt[[#This Row],[Start Date]],Milestone_Marker,IF(AND(AC$29&gt;ProposalToGnatt[[#This Row],[Start Date]],AC$29&lt;ProposalToGnatt[[#This Row],[Start Date]]+ProposalToGnatt[[#This Row],[Days]]),$G$5,"")),"")</f>
        <v/>
      </c>
      <c r="AD79" s="37" t="str">
        <f ca="1">IFERROR(+IF(AD$29=ProposalToGnatt[[#This Row],[Start Date]],Milestone_Marker,IF(AND(AD$29&gt;ProposalToGnatt[[#This Row],[Start Date]],AD$29&lt;ProposalToGnatt[[#This Row],[Start Date]]+ProposalToGnatt[[#This Row],[Days]]),$G$5,"")),"")</f>
        <v/>
      </c>
      <c r="AE79" s="37" t="str">
        <f ca="1">IFERROR(+IF(AE$29=ProposalToGnatt[[#This Row],[Start Date]],Milestone_Marker,IF(AND(AE$29&gt;ProposalToGnatt[[#This Row],[Start Date]],AE$29&lt;ProposalToGnatt[[#This Row],[Start Date]]+ProposalToGnatt[[#This Row],[Days]]),$G$5,"")),"")</f>
        <v/>
      </c>
      <c r="AF79" s="37" t="str">
        <f ca="1">IFERROR(+IF(AF$29=ProposalToGnatt[[#This Row],[Start Date]],Milestone_Marker,IF(AND(AF$29&gt;ProposalToGnatt[[#This Row],[Start Date]],AF$29&lt;ProposalToGnatt[[#This Row],[Start Date]]+ProposalToGnatt[[#This Row],[Days]]),$G$5,"")),"")</f>
        <v/>
      </c>
      <c r="AG79" s="37" t="str">
        <f ca="1">IFERROR(+IF(AG$29=ProposalToGnatt[[#This Row],[Start Date]],Milestone_Marker,IF(AND(AG$29&gt;ProposalToGnatt[[#This Row],[Start Date]],AG$29&lt;ProposalToGnatt[[#This Row],[Start Date]]+ProposalToGnatt[[#This Row],[Days]]),$G$5,"")),"")</f>
        <v/>
      </c>
      <c r="AH79" s="37" t="str">
        <f ca="1">IFERROR(+IF(AH$29=ProposalToGnatt[[#This Row],[Start Date]],Milestone_Marker,IF(AND(AH$29&gt;ProposalToGnatt[[#This Row],[Start Date]],AH$29&lt;ProposalToGnatt[[#This Row],[Start Date]]+ProposalToGnatt[[#This Row],[Days]]),$G$5,"")),"")</f>
        <v/>
      </c>
      <c r="AI79" s="37" t="str">
        <f ca="1">IFERROR(+IF(AI$29=ProposalToGnatt[[#This Row],[Start Date]],Milestone_Marker,IF(AND(AI$29&gt;ProposalToGnatt[[#This Row],[Start Date]],AI$29&lt;ProposalToGnatt[[#This Row],[Start Date]]+ProposalToGnatt[[#This Row],[Days]]),$G$5,"")),"")</f>
        <v/>
      </c>
      <c r="AJ79" s="37" t="str">
        <f ca="1">IFERROR(+IF(AJ$29=ProposalToGnatt[[#This Row],[Start Date]],Milestone_Marker,IF(AND(AJ$29&gt;ProposalToGnatt[[#This Row],[Start Date]],AJ$29&lt;ProposalToGnatt[[#This Row],[Start Date]]+ProposalToGnatt[[#This Row],[Days]]),$G$5,"")),"")</f>
        <v/>
      </c>
      <c r="AK79" s="37" t="str">
        <f ca="1">IFERROR(+IF(AK$29=ProposalToGnatt[[#This Row],[Start Date]],Milestone_Marker,IF(AND(AK$29&gt;ProposalToGnatt[[#This Row],[Start Date]],AK$29&lt;ProposalToGnatt[[#This Row],[Start Date]]+ProposalToGnatt[[#This Row],[Days]]),$G$5,"")),"")</f>
        <v/>
      </c>
      <c r="AL79" s="37" t="str">
        <f ca="1">IFERROR(+IF(AL$29=ProposalToGnatt[[#This Row],[Start Date]],Milestone_Marker,IF(AND(AL$29&gt;ProposalToGnatt[[#This Row],[Start Date]],AL$29&lt;ProposalToGnatt[[#This Row],[Start Date]]+ProposalToGnatt[[#This Row],[Days]]),$G$5,"")),"")</f>
        <v/>
      </c>
      <c r="AM79" s="37" t="str">
        <f ca="1">IFERROR(+IF(AM$29=ProposalToGnatt[[#This Row],[Start Date]],Milestone_Marker,IF(AND(AM$29&gt;ProposalToGnatt[[#This Row],[Start Date]],AM$29&lt;ProposalToGnatt[[#This Row],[Start Date]]+ProposalToGnatt[[#This Row],[Days]]),$G$5,"")),"")</f>
        <v/>
      </c>
      <c r="AN79" s="37" t="str">
        <f ca="1">IFERROR(+IF(AN$29=ProposalToGnatt[[#This Row],[Start Date]],Milestone_Marker,IF(AND(AN$29&gt;ProposalToGnatt[[#This Row],[Start Date]],AN$29&lt;ProposalToGnatt[[#This Row],[Start Date]]+ProposalToGnatt[[#This Row],[Days]]),$G$5,"")),"")</f>
        <v/>
      </c>
      <c r="AO79" s="37" t="str">
        <f ca="1">IFERROR(+IF(AO$29=ProposalToGnatt[[#This Row],[Start Date]],Milestone_Marker,IF(AND(AO$29&gt;ProposalToGnatt[[#This Row],[Start Date]],AO$29&lt;ProposalToGnatt[[#This Row],[Start Date]]+ProposalToGnatt[[#This Row],[Days]]),$G$5,"")),"")</f>
        <v/>
      </c>
      <c r="AP79" s="37" t="str">
        <f ca="1">IFERROR(+IF(AP$29=ProposalToGnatt[[#This Row],[Start Date]],Milestone_Marker,IF(AND(AP$29&gt;ProposalToGnatt[[#This Row],[Start Date]],AP$29&lt;ProposalToGnatt[[#This Row],[Start Date]]+ProposalToGnatt[[#This Row],[Days]]),$G$5,"")),"")</f>
        <v/>
      </c>
      <c r="AQ79" s="37" t="str">
        <f ca="1">IFERROR(+IF(AQ$29=ProposalToGnatt[[#This Row],[Start Date]],Milestone_Marker,IF(AND(AQ$29&gt;ProposalToGnatt[[#This Row],[Start Date]],AQ$29&lt;ProposalToGnatt[[#This Row],[Start Date]]+ProposalToGnatt[[#This Row],[Days]]),$G$5,"")),"")</f>
        <v/>
      </c>
      <c r="AR79" s="37" t="str">
        <f ca="1">IFERROR(+IF(AR$29=ProposalToGnatt[[#This Row],[Start Date]],Milestone_Marker,IF(AND(AR$29&gt;ProposalToGnatt[[#This Row],[Start Date]],AR$29&lt;ProposalToGnatt[[#This Row],[Start Date]]+ProposalToGnatt[[#This Row],[Days]]),$G$5,"")),"")</f>
        <v/>
      </c>
      <c r="AS79" s="37" t="str">
        <f ca="1">IFERROR(+IF(AS$29=ProposalToGnatt[[#This Row],[Start Date]],Milestone_Marker,IF(AND(AS$29&gt;ProposalToGnatt[[#This Row],[Start Date]],AS$29&lt;ProposalToGnatt[[#This Row],[Start Date]]+ProposalToGnatt[[#This Row],[Days]]),$G$5,"")),"")</f>
        <v/>
      </c>
      <c r="AT79" s="37" t="str">
        <f ca="1">IFERROR(+IF(AT$29=ProposalToGnatt[[#This Row],[Start Date]],Milestone_Marker,IF(AND(AT$29&gt;ProposalToGnatt[[#This Row],[Start Date]],AT$29&lt;ProposalToGnatt[[#This Row],[Start Date]]+ProposalToGnatt[[#This Row],[Days]]),$G$5,"")),"")</f>
        <v/>
      </c>
      <c r="AU79" s="37" t="str">
        <f ca="1">IFERROR(+IF(AU$29=ProposalToGnatt[[#This Row],[Start Date]],Milestone_Marker,IF(AND(AU$29&gt;ProposalToGnatt[[#This Row],[Start Date]],AU$29&lt;ProposalToGnatt[[#This Row],[Start Date]]+ProposalToGnatt[[#This Row],[Days]]),$G$5,"")),"")</f>
        <v/>
      </c>
      <c r="AV79" s="37" t="str">
        <f ca="1">IFERROR(+IF(AV$29=ProposalToGnatt[[#This Row],[Start Date]],Milestone_Marker,IF(AND(AV$29&gt;ProposalToGnatt[[#This Row],[Start Date]],AV$29&lt;ProposalToGnatt[[#This Row],[Start Date]]+ProposalToGnatt[[#This Row],[Days]]),$G$5,"")),"")</f>
        <v/>
      </c>
      <c r="AW79" s="37" t="str">
        <f ca="1">IFERROR(+IF(AW$29=ProposalToGnatt[[#This Row],[Start Date]],Milestone_Marker,IF(AND(AW$29&gt;ProposalToGnatt[[#This Row],[Start Date]],AW$29&lt;ProposalToGnatt[[#This Row],[Start Date]]+ProposalToGnatt[[#This Row],[Days]]),$G$5,"")),"")</f>
        <v/>
      </c>
      <c r="AX79" s="37" t="str">
        <f ca="1">IFERROR(+IF(AX$29=ProposalToGnatt[[#This Row],[Start Date]],Milestone_Marker,IF(AND(AX$29&gt;ProposalToGnatt[[#This Row],[Start Date]],AX$29&lt;ProposalToGnatt[[#This Row],[Start Date]]+ProposalToGnatt[[#This Row],[Days]]),$G$5,"")),"")</f>
        <v/>
      </c>
      <c r="AY79" s="37" t="str">
        <f ca="1">IFERROR(+IF(AY$29=ProposalToGnatt[[#This Row],[Start Date]],Milestone_Marker,IF(AND(AY$29&gt;ProposalToGnatt[[#This Row],[Start Date]],AY$29&lt;ProposalToGnatt[[#This Row],[Start Date]]+ProposalToGnatt[[#This Row],[Days]]),$G$5,"")),"")</f>
        <v/>
      </c>
      <c r="AZ79" s="37" t="str">
        <f ca="1">IFERROR(+IF(AZ$29=ProposalToGnatt[[#This Row],[Start Date]],Milestone_Marker,IF(AND(AZ$29&gt;ProposalToGnatt[[#This Row],[Start Date]],AZ$29&lt;ProposalToGnatt[[#This Row],[Start Date]]+ProposalToGnatt[[#This Row],[Days]]),$G$5,"")),"")</f>
        <v/>
      </c>
      <c r="BA79" s="37" t="str">
        <f ca="1">IFERROR(+IF(BA$29=ProposalToGnatt[[#This Row],[Start Date]],Milestone_Marker,IF(AND(BA$29&gt;ProposalToGnatt[[#This Row],[Start Date]],BA$29&lt;ProposalToGnatt[[#This Row],[Start Date]]+ProposalToGnatt[[#This Row],[Days]]),$G$5,"")),"")</f>
        <v/>
      </c>
      <c r="BB79" s="37" t="str">
        <f ca="1">IFERROR(+IF(BB$29=ProposalToGnatt[[#This Row],[Start Date]],Milestone_Marker,IF(AND(BB$29&gt;ProposalToGnatt[[#This Row],[Start Date]],BB$29&lt;ProposalToGnatt[[#This Row],[Start Date]]+ProposalToGnatt[[#This Row],[Days]]),$G$5,"")),"")</f>
        <v/>
      </c>
      <c r="BC79" s="37" t="str">
        <f ca="1">IFERROR(+IF(BC$29=ProposalToGnatt[[#This Row],[Start Date]],Milestone_Marker,IF(AND(BC$29&gt;ProposalToGnatt[[#This Row],[Start Date]],BC$29&lt;ProposalToGnatt[[#This Row],[Start Date]]+ProposalToGnatt[[#This Row],[Days]]),$G$5,"")),"")</f>
        <v/>
      </c>
      <c r="BD79" s="37" t="str">
        <f ca="1">IFERROR(+IF(BD$29=ProposalToGnatt[[#This Row],[Start Date]],Milestone_Marker,IF(AND(BD$29&gt;ProposalToGnatt[[#This Row],[Start Date]],BD$29&lt;ProposalToGnatt[[#This Row],[Start Date]]+ProposalToGnatt[[#This Row],[Days]]),$G$5,"")),"")</f>
        <v/>
      </c>
      <c r="BE79" s="37" t="str">
        <f ca="1">IFERROR(+IF(BE$29=ProposalToGnatt[[#This Row],[Start Date]],Milestone_Marker,IF(AND(BE$29&gt;ProposalToGnatt[[#This Row],[Start Date]],BE$29&lt;ProposalToGnatt[[#This Row],[Start Date]]+ProposalToGnatt[[#This Row],[Days]]),$G$5,"")),"")</f>
        <v/>
      </c>
      <c r="BF79" s="37" t="str">
        <f ca="1">IFERROR(+IF(BF$29=ProposalToGnatt[[#This Row],[Start Date]],Milestone_Marker,IF(AND(BF$29&gt;ProposalToGnatt[[#This Row],[Start Date]],BF$29&lt;ProposalToGnatt[[#This Row],[Start Date]]+ProposalToGnatt[[#This Row],[Days]]),$G$5,"")),"")</f>
        <v/>
      </c>
      <c r="BG79" s="37" t="str">
        <f ca="1">IFERROR(+IF(BG$29=ProposalToGnatt[[#This Row],[Start Date]],Milestone_Marker,IF(AND(BG$29&gt;ProposalToGnatt[[#This Row],[Start Date]],BG$29&lt;ProposalToGnatt[[#This Row],[Start Date]]+ProposalToGnatt[[#This Row],[Days]]),$G$5,"")),"")</f>
        <v/>
      </c>
      <c r="BH79" s="37" t="str">
        <f ca="1">IFERROR(+IF(BH$29=ProposalToGnatt[[#This Row],[Start Date]],Milestone_Marker,IF(AND(BH$29&gt;ProposalToGnatt[[#This Row],[Start Date]],BH$29&lt;ProposalToGnatt[[#This Row],[Start Date]]+ProposalToGnatt[[#This Row],[Days]]),$G$5,"")),"")</f>
        <v/>
      </c>
      <c r="BI79" s="37" t="str">
        <f ca="1">IFERROR(+IF(BI$29=ProposalToGnatt[[#This Row],[Start Date]],Milestone_Marker,IF(AND(BI$29&gt;ProposalToGnatt[[#This Row],[Start Date]],BI$29&lt;ProposalToGnatt[[#This Row],[Start Date]]+ProposalToGnatt[[#This Row],[Days]]),$G$5,"")),"")</f>
        <v/>
      </c>
      <c r="BJ79" s="37" t="str">
        <f ca="1">IFERROR(+IF(BJ$29=ProposalToGnatt[[#This Row],[Start Date]],Milestone_Marker,IF(AND(BJ$29&gt;ProposalToGnatt[[#This Row],[Start Date]],BJ$29&lt;ProposalToGnatt[[#This Row],[Start Date]]+ProposalToGnatt[[#This Row],[Days]]),$G$5,"")),"")</f>
        <v/>
      </c>
      <c r="BK79" s="37" t="str">
        <f ca="1">IFERROR(+IF(BK$29=ProposalToGnatt[[#This Row],[Start Date]],Milestone_Marker,IF(AND(BK$29&gt;ProposalToGnatt[[#This Row],[Start Date]],BK$29&lt;ProposalToGnatt[[#This Row],[Start Date]]+ProposalToGnatt[[#This Row],[Days]]),$G$5,"")),"")</f>
        <v/>
      </c>
      <c r="BL79" s="37" t="str">
        <f ca="1">IFERROR(+IF(BL$29=ProposalToGnatt[[#This Row],[Start Date]],Milestone_Marker,IF(AND(BL$29&gt;ProposalToGnatt[[#This Row],[Start Date]],BL$29&lt;ProposalToGnatt[[#This Row],[Start Date]]+ProposalToGnatt[[#This Row],[Days]]),$G$5,"")),"")</f>
        <v/>
      </c>
      <c r="BM79" s="37" t="str">
        <f ca="1">IFERROR(+IF(BM$29=ProposalToGnatt[[#This Row],[Start Date]],Milestone_Marker,IF(AND(BM$29&gt;ProposalToGnatt[[#This Row],[Start Date]],BM$29&lt;ProposalToGnatt[[#This Row],[Start Date]]+ProposalToGnatt[[#This Row],[Days]]),$G$5,"")),"")</f>
        <v/>
      </c>
      <c r="BN79" s="37" t="str">
        <f ca="1">IFERROR(+IF(BN$29=ProposalToGnatt[[#This Row],[Start Date]],Milestone_Marker,IF(AND(BN$29&gt;ProposalToGnatt[[#This Row],[Start Date]],BN$29&lt;ProposalToGnatt[[#This Row],[Start Date]]+ProposalToGnatt[[#This Row],[Days]]),$G$5,"")),"")</f>
        <v/>
      </c>
      <c r="BO79" s="37" t="str">
        <f ca="1">IFERROR(+IF(BO$29=ProposalToGnatt[[#This Row],[Start Date]],Milestone_Marker,IF(AND(BO$29&gt;ProposalToGnatt[[#This Row],[Start Date]],BO$29&lt;ProposalToGnatt[[#This Row],[Start Date]]+ProposalToGnatt[[#This Row],[Days]]),$G$5,"")),"")</f>
        <v/>
      </c>
      <c r="BP79" s="37" t="str">
        <f ca="1">IFERROR(+IF(BP$29=ProposalToGnatt[[#This Row],[Start Date]],Milestone_Marker,IF(AND(BP$29&gt;ProposalToGnatt[[#This Row],[Start Date]],BP$29&lt;ProposalToGnatt[[#This Row],[Start Date]]+ProposalToGnatt[[#This Row],[Days]]),$G$5,"")),"")</f>
        <v/>
      </c>
      <c r="BQ79" s="37" t="str">
        <f ca="1">IFERROR(+IF(BQ$29=ProposalToGnatt[[#This Row],[Start Date]],Milestone_Marker,IF(AND(BQ$29&gt;ProposalToGnatt[[#This Row],[Start Date]],BQ$29&lt;ProposalToGnatt[[#This Row],[Start Date]]+ProposalToGnatt[[#This Row],[Days]]),$G$5,"")),"")</f>
        <v/>
      </c>
      <c r="BR79" s="37" t="str">
        <f ca="1">IFERROR(+IF(BR$29=ProposalToGnatt[[#This Row],[Start Date]],Milestone_Marker,IF(AND(BR$29&gt;ProposalToGnatt[[#This Row],[Start Date]],BR$29&lt;ProposalToGnatt[[#This Row],[Start Date]]+ProposalToGnatt[[#This Row],[Days]]),$G$5,"")),"")</f>
        <v/>
      </c>
      <c r="BS79" s="37" t="str">
        <f ca="1">IFERROR(+IF(BS$29=ProposalToGnatt[[#This Row],[Start Date]],Milestone_Marker,IF(AND(BS$29&gt;ProposalToGnatt[[#This Row],[Start Date]],BS$29&lt;ProposalToGnatt[[#This Row],[Start Date]]+ProposalToGnatt[[#This Row],[Days]]),$G$5,"")),"")</f>
        <v/>
      </c>
      <c r="BT79" s="37" t="str">
        <f ca="1">IFERROR(+IF(BT$29=ProposalToGnatt[[#This Row],[Start Date]],Milestone_Marker,IF(AND(BT$29&gt;ProposalToGnatt[[#This Row],[Start Date]],BT$29&lt;ProposalToGnatt[[#This Row],[Start Date]]+ProposalToGnatt[[#This Row],[Days]]),$G$5,"")),"")</f>
        <v/>
      </c>
      <c r="BU79" s="37" t="str">
        <f ca="1">IFERROR(+IF(BU$29=ProposalToGnatt[[#This Row],[Start Date]],Milestone_Marker,IF(AND(BU$29&gt;ProposalToGnatt[[#This Row],[Start Date]],BU$29&lt;ProposalToGnatt[[#This Row],[Start Date]]+ProposalToGnatt[[#This Row],[Days]]),$G$5,"")),"")</f>
        <v/>
      </c>
      <c r="BV79" s="37" t="str">
        <f ca="1">IFERROR(+IF(BV$29=ProposalToGnatt[[#This Row],[Start Date]],Milestone_Marker,IF(AND(BV$29&gt;ProposalToGnatt[[#This Row],[Start Date]],BV$29&lt;ProposalToGnatt[[#This Row],[Start Date]]+ProposalToGnatt[[#This Row],[Days]]),$G$5,"")),"")</f>
        <v/>
      </c>
      <c r="BW79" s="37" t="str">
        <f ca="1">IFERROR(+IF(BW$29=ProposalToGnatt[[#This Row],[Start Date]],Milestone_Marker,IF(AND(BW$29&gt;ProposalToGnatt[[#This Row],[Start Date]],BW$29&lt;ProposalToGnatt[[#This Row],[Start Date]]+ProposalToGnatt[[#This Row],[Days]]),$G$5,"")),"")</f>
        <v/>
      </c>
      <c r="BX79" s="37" t="str">
        <f ca="1">IFERROR(+IF(BX$29=ProposalToGnatt[[#This Row],[Start Date]],Milestone_Marker,IF(AND(BX$29&gt;ProposalToGnatt[[#This Row],[Start Date]],BX$29&lt;ProposalToGnatt[[#This Row],[Start Date]]+ProposalToGnatt[[#This Row],[Days]]),$G$5,"")),"")</f>
        <v/>
      </c>
      <c r="BY79" s="37" t="str">
        <f ca="1">IFERROR(+IF(BY$29=ProposalToGnatt[[#This Row],[Start Date]],Milestone_Marker,IF(AND(BY$29&gt;ProposalToGnatt[[#This Row],[Start Date]],BY$29&lt;ProposalToGnatt[[#This Row],[Start Date]]+ProposalToGnatt[[#This Row],[Days]]),$G$5,"")),"")</f>
        <v/>
      </c>
      <c r="BZ79" s="37" t="str">
        <f ca="1">IFERROR(+IF(BZ$29=ProposalToGnatt[[#This Row],[Start Date]],Milestone_Marker,IF(AND(BZ$29&gt;ProposalToGnatt[[#This Row],[Start Date]],BZ$29&lt;ProposalToGnatt[[#This Row],[Start Date]]+ProposalToGnatt[[#This Row],[Days]]),$G$5,"")),"")</f>
        <v/>
      </c>
      <c r="CA79" s="37" t="str">
        <f ca="1">IFERROR(+IF(CA$29=ProposalToGnatt[[#This Row],[Start Date]],Milestone_Marker,IF(AND(CA$29&gt;ProposalToGnatt[[#This Row],[Start Date]],CA$29&lt;ProposalToGnatt[[#This Row],[Start Date]]+ProposalToGnatt[[#This Row],[Days]]),$G$5,"")),"")</f>
        <v/>
      </c>
      <c r="CB79" s="37" t="str">
        <f ca="1">IFERROR(+IF(CB$29=ProposalToGnatt[[#This Row],[Start Date]],Milestone_Marker,IF(AND(CB$29&gt;ProposalToGnatt[[#This Row],[Start Date]],CB$29&lt;ProposalToGnatt[[#This Row],[Start Date]]+ProposalToGnatt[[#This Row],[Days]]),$G$5,"")),"")</f>
        <v/>
      </c>
      <c r="CC79" s="37" t="str">
        <f ca="1">IFERROR(+IF(CC$29=ProposalToGnatt[[#This Row],[Start Date]],Milestone_Marker,IF(AND(CC$29&gt;ProposalToGnatt[[#This Row],[Start Date]],CC$29&lt;ProposalToGnatt[[#This Row],[Start Date]]+ProposalToGnatt[[#This Row],[Days]]),$G$5,"")),"")</f>
        <v/>
      </c>
      <c r="CD79" s="37" t="str">
        <f ca="1">IFERROR(+IF(CD$29=ProposalToGnatt[[#This Row],[Start Date]],Milestone_Marker,IF(AND(CD$29&gt;ProposalToGnatt[[#This Row],[Start Date]],CD$29&lt;ProposalToGnatt[[#This Row],[Start Date]]+ProposalToGnatt[[#This Row],[Days]]),$G$5,"")),"")</f>
        <v/>
      </c>
      <c r="CE79" s="37" t="str">
        <f ca="1">IFERROR(+IF(CE$29=ProposalToGnatt[[#This Row],[Start Date]],Milestone_Marker,IF(AND(CE$29&gt;ProposalToGnatt[[#This Row],[Start Date]],CE$29&lt;ProposalToGnatt[[#This Row],[Start Date]]+ProposalToGnatt[[#This Row],[Days]]),$G$5,"")),"")</f>
        <v/>
      </c>
      <c r="CF79" s="37" t="str">
        <f ca="1">IFERROR(+IF(CF$29=ProposalToGnatt[[#This Row],[Start Date]],Milestone_Marker,IF(AND(CF$29&gt;ProposalToGnatt[[#This Row],[Start Date]],CF$29&lt;ProposalToGnatt[[#This Row],[Start Date]]+ProposalToGnatt[[#This Row],[Days]]),$G$5,"")),"")</f>
        <v/>
      </c>
      <c r="CG79" s="37" t="str">
        <f ca="1">IFERROR(+IF(CG$29=ProposalToGnatt[[#This Row],[Start Date]],Milestone_Marker,IF(AND(CG$29&gt;ProposalToGnatt[[#This Row],[Start Date]],CG$29&lt;ProposalToGnatt[[#This Row],[Start Date]]+ProposalToGnatt[[#This Row],[Days]]),$G$5,"")),"")</f>
        <v/>
      </c>
      <c r="CH79" s="37" t="str">
        <f ca="1">IFERROR(+IF(CH$29=ProposalToGnatt[[#This Row],[Start Date]],Milestone_Marker,IF(AND(CH$29&gt;ProposalToGnatt[[#This Row],[Start Date]],CH$29&lt;ProposalToGnatt[[#This Row],[Start Date]]+ProposalToGnatt[[#This Row],[Days]]),$G$5,"")),"")</f>
        <v/>
      </c>
      <c r="CI79" s="37" t="str">
        <f ca="1">IFERROR(+IF(CI$29=ProposalToGnatt[[#This Row],[Start Date]],Milestone_Marker,IF(AND(CI$29&gt;ProposalToGnatt[[#This Row],[Start Date]],CI$29&lt;ProposalToGnatt[[#This Row],[Start Date]]+ProposalToGnatt[[#This Row],[Days]]),$G$5,"")),"")</f>
        <v/>
      </c>
      <c r="CJ79" s="37" t="str">
        <f ca="1">IFERROR(+IF(CJ$29=ProposalToGnatt[[#This Row],[Start Date]],Milestone_Marker,IF(AND(CJ$29&gt;ProposalToGnatt[[#This Row],[Start Date]],CJ$29&lt;ProposalToGnatt[[#This Row],[Start Date]]+ProposalToGnatt[[#This Row],[Days]]),$G$5,"")),"")</f>
        <v/>
      </c>
      <c r="CK79" s="37" t="str">
        <f ca="1">IFERROR(+IF(CK$29=ProposalToGnatt[[#This Row],[Start Date]],Milestone_Marker,IF(AND(CK$29&gt;ProposalToGnatt[[#This Row],[Start Date]],CK$29&lt;ProposalToGnatt[[#This Row],[Start Date]]+ProposalToGnatt[[#This Row],[Days]]),$G$5,"")),"")</f>
        <v/>
      </c>
      <c r="CL79" s="37" t="str">
        <f ca="1">IFERROR(+IF(CL$29=ProposalToGnatt[[#This Row],[Start Date]],Milestone_Marker,IF(AND(CL$29&gt;ProposalToGnatt[[#This Row],[Start Date]],CL$29&lt;ProposalToGnatt[[#This Row],[Start Date]]+ProposalToGnatt[[#This Row],[Days]]),$G$5,"")),"")</f>
        <v/>
      </c>
      <c r="CM79" s="37" t="str">
        <f ca="1">IFERROR(+IF(CM$29=ProposalToGnatt[[#This Row],[Start Date]],Milestone_Marker,IF(AND(CM$29&gt;ProposalToGnatt[[#This Row],[Start Date]],CM$29&lt;ProposalToGnatt[[#This Row],[Start Date]]+ProposalToGnatt[[#This Row],[Days]]),$G$5,"")),"")</f>
        <v/>
      </c>
      <c r="CN79" s="37" t="str">
        <f ca="1">IFERROR(+IF(CN$29=ProposalToGnatt[[#This Row],[Start Date]],Milestone_Marker,IF(AND(CN$29&gt;ProposalToGnatt[[#This Row],[Start Date]],CN$29&lt;ProposalToGnatt[[#This Row],[Start Date]]+ProposalToGnatt[[#This Row],[Days]]),$G$5,"")),"")</f>
        <v/>
      </c>
      <c r="CO79" s="37" t="str">
        <f ca="1">IFERROR(+IF(CO$29=ProposalToGnatt[[#This Row],[Start Date]],Milestone_Marker,IF(AND(CO$29&gt;ProposalToGnatt[[#This Row],[Start Date]],CO$29&lt;ProposalToGnatt[[#This Row],[Start Date]]+ProposalToGnatt[[#This Row],[Days]]),$G$5,"")),"")</f>
        <v/>
      </c>
      <c r="CP79" s="37" t="str">
        <f ca="1">IFERROR(+IF(CP$29=ProposalToGnatt[[#This Row],[Start Date]],Milestone_Marker,IF(AND(CP$29&gt;ProposalToGnatt[[#This Row],[Start Date]],CP$29&lt;ProposalToGnatt[[#This Row],[Start Date]]+ProposalToGnatt[[#This Row],[Days]]),$G$5,"")),"")</f>
        <v/>
      </c>
      <c r="CQ79" s="37" t="str">
        <f ca="1">IFERROR(+IF(CQ$29=ProposalToGnatt[[#This Row],[Start Date]],Milestone_Marker,IF(AND(CQ$29&gt;ProposalToGnatt[[#This Row],[Start Date]],CQ$29&lt;ProposalToGnatt[[#This Row],[Start Date]]+ProposalToGnatt[[#This Row],[Days]]),$G$5,"")),"")</f>
        <v/>
      </c>
      <c r="CR79" s="37" t="str">
        <f ca="1">IFERROR(+IF(CR$29=ProposalToGnatt[[#This Row],[Start Date]],Milestone_Marker,IF(AND(CR$29&gt;ProposalToGnatt[[#This Row],[Start Date]],CR$29&lt;ProposalToGnatt[[#This Row],[Start Date]]+ProposalToGnatt[[#This Row],[Days]]),$G$5,"")),"")</f>
        <v/>
      </c>
      <c r="CS79" s="37" t="str">
        <f ca="1">IFERROR(+IF(CS$29=ProposalToGnatt[[#This Row],[Start Date]],Milestone_Marker,IF(AND(CS$29&gt;ProposalToGnatt[[#This Row],[Start Date]],CS$29&lt;ProposalToGnatt[[#This Row],[Start Date]]+ProposalToGnatt[[#This Row],[Days]]),$G$5,"")),"")</f>
        <v/>
      </c>
      <c r="CT79" s="37" t="str">
        <f ca="1">IFERROR(+IF(CT$29=ProposalToGnatt[[#This Row],[Start Date]],Milestone_Marker,IF(AND(CT$29&gt;ProposalToGnatt[[#This Row],[Start Date]],CT$29&lt;ProposalToGnatt[[#This Row],[Start Date]]+ProposalToGnatt[[#This Row],[Days]]),$G$5,"")),"")</f>
        <v/>
      </c>
      <c r="CU79" s="37" t="str">
        <f ca="1">IFERROR(+IF(CU$29=ProposalToGnatt[[#This Row],[Start Date]],Milestone_Marker,IF(AND(CU$29&gt;ProposalToGnatt[[#This Row],[Start Date]],CU$29&lt;ProposalToGnatt[[#This Row],[Start Date]]+ProposalToGnatt[[#This Row],[Days]]),$G$5,"")),"")</f>
        <v/>
      </c>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7"/>
      <c r="DT79" s="37"/>
      <c r="DU79" s="37"/>
    </row>
    <row r="80" spans="1:125" ht="15">
      <c r="A80"/>
      <c r="B80"/>
      <c r="C80"/>
      <c r="D80"/>
      <c r="E80"/>
      <c r="F80"/>
      <c r="G80" s="11"/>
      <c r="H80" s="26"/>
      <c r="I80"/>
      <c r="J80"/>
      <c r="K80" s="363"/>
      <c r="L80"/>
      <c r="M80"/>
      <c r="N80"/>
      <c r="O80" s="26"/>
      <c r="P80" s="37" t="str">
        <f ca="1">IFERROR(+IF(P$29=ProposalToGnatt[[#This Row],[Start Date]],Milestone_Marker,IF(AND(P$29&gt;ProposalToGnatt[[#This Row],[Start Date]],P$29&lt;ProposalToGnatt[[#This Row],[Start Date]]+ProposalToGnatt[[#This Row],[Days]]),$G$5,"")),"")</f>
        <v/>
      </c>
      <c r="Q80" s="37" t="str">
        <f ca="1">IFERROR(+IF(Q$29=ProposalToGnatt[[#This Row],[Start Date]],Milestone_Marker,IF(AND(Q$29&gt;ProposalToGnatt[[#This Row],[Start Date]],Q$29&lt;ProposalToGnatt[[#This Row],[Start Date]]+ProposalToGnatt[[#This Row],[Days]]),$G$5,"")),"")</f>
        <v/>
      </c>
      <c r="R80" s="37" t="str">
        <f ca="1">IFERROR(+IF(R$29=ProposalToGnatt[[#This Row],[Start Date]],Milestone_Marker,IF(AND(R$29&gt;ProposalToGnatt[[#This Row],[Start Date]],R$29&lt;ProposalToGnatt[[#This Row],[Start Date]]+ProposalToGnatt[[#This Row],[Days]]),$G$5,"")),"")</f>
        <v/>
      </c>
      <c r="S80" s="37" t="str">
        <f ca="1">IFERROR(+IF(S$29=ProposalToGnatt[[#This Row],[Start Date]],Milestone_Marker,IF(AND(S$29&gt;ProposalToGnatt[[#This Row],[Start Date]],S$29&lt;ProposalToGnatt[[#This Row],[Start Date]]+ProposalToGnatt[[#This Row],[Days]]),$G$5,"")),"")</f>
        <v/>
      </c>
      <c r="T80" s="37" t="str">
        <f ca="1">IFERROR(+IF(T$29=ProposalToGnatt[[#This Row],[Start Date]],Milestone_Marker,IF(AND(T$29&gt;ProposalToGnatt[[#This Row],[Start Date]],T$29&lt;ProposalToGnatt[[#This Row],[Start Date]]+ProposalToGnatt[[#This Row],[Days]]),$G$5,"")),"")</f>
        <v/>
      </c>
      <c r="U80" s="37" t="str">
        <f ca="1">IFERROR(+IF(U$29=ProposalToGnatt[[#This Row],[Start Date]],Milestone_Marker,IF(AND(U$29&gt;ProposalToGnatt[[#This Row],[Start Date]],U$29&lt;ProposalToGnatt[[#This Row],[Start Date]]+ProposalToGnatt[[#This Row],[Days]]),$G$5,"")),"")</f>
        <v/>
      </c>
      <c r="V80" s="37" t="str">
        <f ca="1">IFERROR(+IF(V$29=ProposalToGnatt[[#This Row],[Start Date]],Milestone_Marker,IF(AND(V$29&gt;ProposalToGnatt[[#This Row],[Start Date]],V$29&lt;ProposalToGnatt[[#This Row],[Start Date]]+ProposalToGnatt[[#This Row],[Days]]),$G$5,"")),"")</f>
        <v/>
      </c>
      <c r="W80" s="37" t="str">
        <f ca="1">IFERROR(+IF(W$29=ProposalToGnatt[[#This Row],[Start Date]],Milestone_Marker,IF(AND(W$29&gt;ProposalToGnatt[[#This Row],[Start Date]],W$29&lt;ProposalToGnatt[[#This Row],[Start Date]]+ProposalToGnatt[[#This Row],[Days]]),$G$5,"")),"")</f>
        <v/>
      </c>
      <c r="X80" s="37" t="str">
        <f ca="1">IFERROR(+IF(X$29=ProposalToGnatt[[#This Row],[Start Date]],Milestone_Marker,IF(AND(X$29&gt;ProposalToGnatt[[#This Row],[Start Date]],X$29&lt;ProposalToGnatt[[#This Row],[Start Date]]+ProposalToGnatt[[#This Row],[Days]]),$G$5,"")),"")</f>
        <v/>
      </c>
      <c r="Y80" s="37" t="str">
        <f ca="1">IFERROR(+IF(Y$29=ProposalToGnatt[[#This Row],[Start Date]],Milestone_Marker,IF(AND(Y$29&gt;ProposalToGnatt[[#This Row],[Start Date]],Y$29&lt;ProposalToGnatt[[#This Row],[Start Date]]+ProposalToGnatt[[#This Row],[Days]]),$G$5,"")),"")</f>
        <v/>
      </c>
      <c r="Z80" s="37" t="str">
        <f ca="1">IFERROR(+IF(Z$29=ProposalToGnatt[[#This Row],[Start Date]],Milestone_Marker,IF(AND(Z$29&gt;ProposalToGnatt[[#This Row],[Start Date]],Z$29&lt;ProposalToGnatt[[#This Row],[Start Date]]+ProposalToGnatt[[#This Row],[Days]]),$G$5,"")),"")</f>
        <v/>
      </c>
      <c r="AA80" s="37" t="str">
        <f ca="1">IFERROR(+IF(AA$29=ProposalToGnatt[[#This Row],[Start Date]],Milestone_Marker,IF(AND(AA$29&gt;ProposalToGnatt[[#This Row],[Start Date]],AA$29&lt;ProposalToGnatt[[#This Row],[Start Date]]+ProposalToGnatt[[#This Row],[Days]]),$G$5,"")),"")</f>
        <v/>
      </c>
      <c r="AB80" s="37" t="str">
        <f ca="1">IFERROR(+IF(AB$29=ProposalToGnatt[[#This Row],[Start Date]],Milestone_Marker,IF(AND(AB$29&gt;ProposalToGnatt[[#This Row],[Start Date]],AB$29&lt;ProposalToGnatt[[#This Row],[Start Date]]+ProposalToGnatt[[#This Row],[Days]]),$G$5,"")),"")</f>
        <v/>
      </c>
      <c r="AC80" s="37" t="str">
        <f ca="1">IFERROR(+IF(AC$29=ProposalToGnatt[[#This Row],[Start Date]],Milestone_Marker,IF(AND(AC$29&gt;ProposalToGnatt[[#This Row],[Start Date]],AC$29&lt;ProposalToGnatt[[#This Row],[Start Date]]+ProposalToGnatt[[#This Row],[Days]]),$G$5,"")),"")</f>
        <v/>
      </c>
      <c r="AD80" s="37" t="str">
        <f ca="1">IFERROR(+IF(AD$29=ProposalToGnatt[[#This Row],[Start Date]],Milestone_Marker,IF(AND(AD$29&gt;ProposalToGnatt[[#This Row],[Start Date]],AD$29&lt;ProposalToGnatt[[#This Row],[Start Date]]+ProposalToGnatt[[#This Row],[Days]]),$G$5,"")),"")</f>
        <v/>
      </c>
      <c r="AE80" s="37" t="str">
        <f ca="1">IFERROR(+IF(AE$29=ProposalToGnatt[[#This Row],[Start Date]],Milestone_Marker,IF(AND(AE$29&gt;ProposalToGnatt[[#This Row],[Start Date]],AE$29&lt;ProposalToGnatt[[#This Row],[Start Date]]+ProposalToGnatt[[#This Row],[Days]]),$G$5,"")),"")</f>
        <v/>
      </c>
      <c r="AF80" s="37" t="str">
        <f ca="1">IFERROR(+IF(AF$29=ProposalToGnatt[[#This Row],[Start Date]],Milestone_Marker,IF(AND(AF$29&gt;ProposalToGnatt[[#This Row],[Start Date]],AF$29&lt;ProposalToGnatt[[#This Row],[Start Date]]+ProposalToGnatt[[#This Row],[Days]]),$G$5,"")),"")</f>
        <v/>
      </c>
      <c r="AG80" s="37" t="str">
        <f ca="1">IFERROR(+IF(AG$29=ProposalToGnatt[[#This Row],[Start Date]],Milestone_Marker,IF(AND(AG$29&gt;ProposalToGnatt[[#This Row],[Start Date]],AG$29&lt;ProposalToGnatt[[#This Row],[Start Date]]+ProposalToGnatt[[#This Row],[Days]]),$G$5,"")),"")</f>
        <v/>
      </c>
      <c r="AH80" s="37" t="str">
        <f ca="1">IFERROR(+IF(AH$29=ProposalToGnatt[[#This Row],[Start Date]],Milestone_Marker,IF(AND(AH$29&gt;ProposalToGnatt[[#This Row],[Start Date]],AH$29&lt;ProposalToGnatt[[#This Row],[Start Date]]+ProposalToGnatt[[#This Row],[Days]]),$G$5,"")),"")</f>
        <v/>
      </c>
      <c r="AI80" s="37" t="str">
        <f ca="1">IFERROR(+IF(AI$29=ProposalToGnatt[[#This Row],[Start Date]],Milestone_Marker,IF(AND(AI$29&gt;ProposalToGnatt[[#This Row],[Start Date]],AI$29&lt;ProposalToGnatt[[#This Row],[Start Date]]+ProposalToGnatt[[#This Row],[Days]]),$G$5,"")),"")</f>
        <v/>
      </c>
      <c r="AJ80" s="37" t="str">
        <f ca="1">IFERROR(+IF(AJ$29=ProposalToGnatt[[#This Row],[Start Date]],Milestone_Marker,IF(AND(AJ$29&gt;ProposalToGnatt[[#This Row],[Start Date]],AJ$29&lt;ProposalToGnatt[[#This Row],[Start Date]]+ProposalToGnatt[[#This Row],[Days]]),$G$5,"")),"")</f>
        <v/>
      </c>
      <c r="AK80" s="37" t="str">
        <f ca="1">IFERROR(+IF(AK$29=ProposalToGnatt[[#This Row],[Start Date]],Milestone_Marker,IF(AND(AK$29&gt;ProposalToGnatt[[#This Row],[Start Date]],AK$29&lt;ProposalToGnatt[[#This Row],[Start Date]]+ProposalToGnatt[[#This Row],[Days]]),$G$5,"")),"")</f>
        <v/>
      </c>
      <c r="AL80" s="37" t="str">
        <f ca="1">IFERROR(+IF(AL$29=ProposalToGnatt[[#This Row],[Start Date]],Milestone_Marker,IF(AND(AL$29&gt;ProposalToGnatt[[#This Row],[Start Date]],AL$29&lt;ProposalToGnatt[[#This Row],[Start Date]]+ProposalToGnatt[[#This Row],[Days]]),$G$5,"")),"")</f>
        <v/>
      </c>
      <c r="AM80" s="37" t="str">
        <f ca="1">IFERROR(+IF(AM$29=ProposalToGnatt[[#This Row],[Start Date]],Milestone_Marker,IF(AND(AM$29&gt;ProposalToGnatt[[#This Row],[Start Date]],AM$29&lt;ProposalToGnatt[[#This Row],[Start Date]]+ProposalToGnatt[[#This Row],[Days]]),$G$5,"")),"")</f>
        <v/>
      </c>
      <c r="AN80" s="37" t="str">
        <f ca="1">IFERROR(+IF(AN$29=ProposalToGnatt[[#This Row],[Start Date]],Milestone_Marker,IF(AND(AN$29&gt;ProposalToGnatt[[#This Row],[Start Date]],AN$29&lt;ProposalToGnatt[[#This Row],[Start Date]]+ProposalToGnatt[[#This Row],[Days]]),$G$5,"")),"")</f>
        <v/>
      </c>
      <c r="AO80" s="37" t="str">
        <f ca="1">IFERROR(+IF(AO$29=ProposalToGnatt[[#This Row],[Start Date]],Milestone_Marker,IF(AND(AO$29&gt;ProposalToGnatt[[#This Row],[Start Date]],AO$29&lt;ProposalToGnatt[[#This Row],[Start Date]]+ProposalToGnatt[[#This Row],[Days]]),$G$5,"")),"")</f>
        <v/>
      </c>
      <c r="AP80" s="37" t="str">
        <f ca="1">IFERROR(+IF(AP$29=ProposalToGnatt[[#This Row],[Start Date]],Milestone_Marker,IF(AND(AP$29&gt;ProposalToGnatt[[#This Row],[Start Date]],AP$29&lt;ProposalToGnatt[[#This Row],[Start Date]]+ProposalToGnatt[[#This Row],[Days]]),$G$5,"")),"")</f>
        <v/>
      </c>
      <c r="AQ80" s="37" t="str">
        <f ca="1">IFERROR(+IF(AQ$29=ProposalToGnatt[[#This Row],[Start Date]],Milestone_Marker,IF(AND(AQ$29&gt;ProposalToGnatt[[#This Row],[Start Date]],AQ$29&lt;ProposalToGnatt[[#This Row],[Start Date]]+ProposalToGnatt[[#This Row],[Days]]),$G$5,"")),"")</f>
        <v/>
      </c>
      <c r="AR80" s="37" t="str">
        <f ca="1">IFERROR(+IF(AR$29=ProposalToGnatt[[#This Row],[Start Date]],Milestone_Marker,IF(AND(AR$29&gt;ProposalToGnatt[[#This Row],[Start Date]],AR$29&lt;ProposalToGnatt[[#This Row],[Start Date]]+ProposalToGnatt[[#This Row],[Days]]),$G$5,"")),"")</f>
        <v/>
      </c>
      <c r="AS80" s="37" t="str">
        <f ca="1">IFERROR(+IF(AS$29=ProposalToGnatt[[#This Row],[Start Date]],Milestone_Marker,IF(AND(AS$29&gt;ProposalToGnatt[[#This Row],[Start Date]],AS$29&lt;ProposalToGnatt[[#This Row],[Start Date]]+ProposalToGnatt[[#This Row],[Days]]),$G$5,"")),"")</f>
        <v/>
      </c>
      <c r="AT80" s="37" t="str">
        <f ca="1">IFERROR(+IF(AT$29=ProposalToGnatt[[#This Row],[Start Date]],Milestone_Marker,IF(AND(AT$29&gt;ProposalToGnatt[[#This Row],[Start Date]],AT$29&lt;ProposalToGnatt[[#This Row],[Start Date]]+ProposalToGnatt[[#This Row],[Days]]),$G$5,"")),"")</f>
        <v/>
      </c>
      <c r="AU80" s="37" t="str">
        <f ca="1">IFERROR(+IF(AU$29=ProposalToGnatt[[#This Row],[Start Date]],Milestone_Marker,IF(AND(AU$29&gt;ProposalToGnatt[[#This Row],[Start Date]],AU$29&lt;ProposalToGnatt[[#This Row],[Start Date]]+ProposalToGnatt[[#This Row],[Days]]),$G$5,"")),"")</f>
        <v/>
      </c>
      <c r="AV80" s="37" t="str">
        <f ca="1">IFERROR(+IF(AV$29=ProposalToGnatt[[#This Row],[Start Date]],Milestone_Marker,IF(AND(AV$29&gt;ProposalToGnatt[[#This Row],[Start Date]],AV$29&lt;ProposalToGnatt[[#This Row],[Start Date]]+ProposalToGnatt[[#This Row],[Days]]),$G$5,"")),"")</f>
        <v/>
      </c>
      <c r="AW80" s="37" t="str">
        <f ca="1">IFERROR(+IF(AW$29=ProposalToGnatt[[#This Row],[Start Date]],Milestone_Marker,IF(AND(AW$29&gt;ProposalToGnatt[[#This Row],[Start Date]],AW$29&lt;ProposalToGnatt[[#This Row],[Start Date]]+ProposalToGnatt[[#This Row],[Days]]),$G$5,"")),"")</f>
        <v/>
      </c>
      <c r="AX80" s="37" t="str">
        <f ca="1">IFERROR(+IF(AX$29=ProposalToGnatt[[#This Row],[Start Date]],Milestone_Marker,IF(AND(AX$29&gt;ProposalToGnatt[[#This Row],[Start Date]],AX$29&lt;ProposalToGnatt[[#This Row],[Start Date]]+ProposalToGnatt[[#This Row],[Days]]),$G$5,"")),"")</f>
        <v/>
      </c>
      <c r="AY80" s="37" t="str">
        <f ca="1">IFERROR(+IF(AY$29=ProposalToGnatt[[#This Row],[Start Date]],Milestone_Marker,IF(AND(AY$29&gt;ProposalToGnatt[[#This Row],[Start Date]],AY$29&lt;ProposalToGnatt[[#This Row],[Start Date]]+ProposalToGnatt[[#This Row],[Days]]),$G$5,"")),"")</f>
        <v/>
      </c>
      <c r="AZ80" s="37" t="str">
        <f ca="1">IFERROR(+IF(AZ$29=ProposalToGnatt[[#This Row],[Start Date]],Milestone_Marker,IF(AND(AZ$29&gt;ProposalToGnatt[[#This Row],[Start Date]],AZ$29&lt;ProposalToGnatt[[#This Row],[Start Date]]+ProposalToGnatt[[#This Row],[Days]]),$G$5,"")),"")</f>
        <v/>
      </c>
      <c r="BA80" s="37" t="str">
        <f ca="1">IFERROR(+IF(BA$29=ProposalToGnatt[[#This Row],[Start Date]],Milestone_Marker,IF(AND(BA$29&gt;ProposalToGnatt[[#This Row],[Start Date]],BA$29&lt;ProposalToGnatt[[#This Row],[Start Date]]+ProposalToGnatt[[#This Row],[Days]]),$G$5,"")),"")</f>
        <v/>
      </c>
      <c r="BB80" s="37" t="str">
        <f ca="1">IFERROR(+IF(BB$29=ProposalToGnatt[[#This Row],[Start Date]],Milestone_Marker,IF(AND(BB$29&gt;ProposalToGnatt[[#This Row],[Start Date]],BB$29&lt;ProposalToGnatt[[#This Row],[Start Date]]+ProposalToGnatt[[#This Row],[Days]]),$G$5,"")),"")</f>
        <v/>
      </c>
      <c r="BC80" s="37" t="str">
        <f ca="1">IFERROR(+IF(BC$29=ProposalToGnatt[[#This Row],[Start Date]],Milestone_Marker,IF(AND(BC$29&gt;ProposalToGnatt[[#This Row],[Start Date]],BC$29&lt;ProposalToGnatt[[#This Row],[Start Date]]+ProposalToGnatt[[#This Row],[Days]]),$G$5,"")),"")</f>
        <v/>
      </c>
      <c r="BD80" s="37" t="str">
        <f ca="1">IFERROR(+IF(BD$29=ProposalToGnatt[[#This Row],[Start Date]],Milestone_Marker,IF(AND(BD$29&gt;ProposalToGnatt[[#This Row],[Start Date]],BD$29&lt;ProposalToGnatt[[#This Row],[Start Date]]+ProposalToGnatt[[#This Row],[Days]]),$G$5,"")),"")</f>
        <v/>
      </c>
      <c r="BE80" s="37" t="str">
        <f ca="1">IFERROR(+IF(BE$29=ProposalToGnatt[[#This Row],[Start Date]],Milestone_Marker,IF(AND(BE$29&gt;ProposalToGnatt[[#This Row],[Start Date]],BE$29&lt;ProposalToGnatt[[#This Row],[Start Date]]+ProposalToGnatt[[#This Row],[Days]]),$G$5,"")),"")</f>
        <v/>
      </c>
      <c r="BF80" s="37" t="str">
        <f ca="1">IFERROR(+IF(BF$29=ProposalToGnatt[[#This Row],[Start Date]],Milestone_Marker,IF(AND(BF$29&gt;ProposalToGnatt[[#This Row],[Start Date]],BF$29&lt;ProposalToGnatt[[#This Row],[Start Date]]+ProposalToGnatt[[#This Row],[Days]]),$G$5,"")),"")</f>
        <v/>
      </c>
      <c r="BG80" s="37" t="str">
        <f ca="1">IFERROR(+IF(BG$29=ProposalToGnatt[[#This Row],[Start Date]],Milestone_Marker,IF(AND(BG$29&gt;ProposalToGnatt[[#This Row],[Start Date]],BG$29&lt;ProposalToGnatt[[#This Row],[Start Date]]+ProposalToGnatt[[#This Row],[Days]]),$G$5,"")),"")</f>
        <v/>
      </c>
      <c r="BH80" s="37" t="str">
        <f ca="1">IFERROR(+IF(BH$29=ProposalToGnatt[[#This Row],[Start Date]],Milestone_Marker,IF(AND(BH$29&gt;ProposalToGnatt[[#This Row],[Start Date]],BH$29&lt;ProposalToGnatt[[#This Row],[Start Date]]+ProposalToGnatt[[#This Row],[Days]]),$G$5,"")),"")</f>
        <v/>
      </c>
      <c r="BI80" s="37" t="str">
        <f ca="1">IFERROR(+IF(BI$29=ProposalToGnatt[[#This Row],[Start Date]],Milestone_Marker,IF(AND(BI$29&gt;ProposalToGnatt[[#This Row],[Start Date]],BI$29&lt;ProposalToGnatt[[#This Row],[Start Date]]+ProposalToGnatt[[#This Row],[Days]]),$G$5,"")),"")</f>
        <v/>
      </c>
      <c r="BJ80" s="37" t="str">
        <f ca="1">IFERROR(+IF(BJ$29=ProposalToGnatt[[#This Row],[Start Date]],Milestone_Marker,IF(AND(BJ$29&gt;ProposalToGnatt[[#This Row],[Start Date]],BJ$29&lt;ProposalToGnatt[[#This Row],[Start Date]]+ProposalToGnatt[[#This Row],[Days]]),$G$5,"")),"")</f>
        <v/>
      </c>
      <c r="BK80" s="37" t="str">
        <f ca="1">IFERROR(+IF(BK$29=ProposalToGnatt[[#This Row],[Start Date]],Milestone_Marker,IF(AND(BK$29&gt;ProposalToGnatt[[#This Row],[Start Date]],BK$29&lt;ProposalToGnatt[[#This Row],[Start Date]]+ProposalToGnatt[[#This Row],[Days]]),$G$5,"")),"")</f>
        <v/>
      </c>
      <c r="BL80" s="37" t="str">
        <f ca="1">IFERROR(+IF(BL$29=ProposalToGnatt[[#This Row],[Start Date]],Milestone_Marker,IF(AND(BL$29&gt;ProposalToGnatt[[#This Row],[Start Date]],BL$29&lt;ProposalToGnatt[[#This Row],[Start Date]]+ProposalToGnatt[[#This Row],[Days]]),$G$5,"")),"")</f>
        <v/>
      </c>
      <c r="BM80" s="37" t="str">
        <f ca="1">IFERROR(+IF(BM$29=ProposalToGnatt[[#This Row],[Start Date]],Milestone_Marker,IF(AND(BM$29&gt;ProposalToGnatt[[#This Row],[Start Date]],BM$29&lt;ProposalToGnatt[[#This Row],[Start Date]]+ProposalToGnatt[[#This Row],[Days]]),$G$5,"")),"")</f>
        <v/>
      </c>
      <c r="BN80" s="37" t="str">
        <f ca="1">IFERROR(+IF(BN$29=ProposalToGnatt[[#This Row],[Start Date]],Milestone_Marker,IF(AND(BN$29&gt;ProposalToGnatt[[#This Row],[Start Date]],BN$29&lt;ProposalToGnatt[[#This Row],[Start Date]]+ProposalToGnatt[[#This Row],[Days]]),$G$5,"")),"")</f>
        <v/>
      </c>
      <c r="BO80" s="37" t="str">
        <f ca="1">IFERROR(+IF(BO$29=ProposalToGnatt[[#This Row],[Start Date]],Milestone_Marker,IF(AND(BO$29&gt;ProposalToGnatt[[#This Row],[Start Date]],BO$29&lt;ProposalToGnatt[[#This Row],[Start Date]]+ProposalToGnatt[[#This Row],[Days]]),$G$5,"")),"")</f>
        <v/>
      </c>
      <c r="BP80" s="37" t="str">
        <f ca="1">IFERROR(+IF(BP$29=ProposalToGnatt[[#This Row],[Start Date]],Milestone_Marker,IF(AND(BP$29&gt;ProposalToGnatt[[#This Row],[Start Date]],BP$29&lt;ProposalToGnatt[[#This Row],[Start Date]]+ProposalToGnatt[[#This Row],[Days]]),$G$5,"")),"")</f>
        <v/>
      </c>
      <c r="BQ80" s="37" t="str">
        <f ca="1">IFERROR(+IF(BQ$29=ProposalToGnatt[[#This Row],[Start Date]],Milestone_Marker,IF(AND(BQ$29&gt;ProposalToGnatt[[#This Row],[Start Date]],BQ$29&lt;ProposalToGnatt[[#This Row],[Start Date]]+ProposalToGnatt[[#This Row],[Days]]),$G$5,"")),"")</f>
        <v/>
      </c>
      <c r="BR80" s="37" t="str">
        <f ca="1">IFERROR(+IF(BR$29=ProposalToGnatt[[#This Row],[Start Date]],Milestone_Marker,IF(AND(BR$29&gt;ProposalToGnatt[[#This Row],[Start Date]],BR$29&lt;ProposalToGnatt[[#This Row],[Start Date]]+ProposalToGnatt[[#This Row],[Days]]),$G$5,"")),"")</f>
        <v/>
      </c>
      <c r="BS80" s="37" t="str">
        <f ca="1">IFERROR(+IF(BS$29=ProposalToGnatt[[#This Row],[Start Date]],Milestone_Marker,IF(AND(BS$29&gt;ProposalToGnatt[[#This Row],[Start Date]],BS$29&lt;ProposalToGnatt[[#This Row],[Start Date]]+ProposalToGnatt[[#This Row],[Days]]),$G$5,"")),"")</f>
        <v/>
      </c>
      <c r="BT80" s="37" t="str">
        <f ca="1">IFERROR(+IF(BT$29=ProposalToGnatt[[#This Row],[Start Date]],Milestone_Marker,IF(AND(BT$29&gt;ProposalToGnatt[[#This Row],[Start Date]],BT$29&lt;ProposalToGnatt[[#This Row],[Start Date]]+ProposalToGnatt[[#This Row],[Days]]),$G$5,"")),"")</f>
        <v/>
      </c>
      <c r="BU80" s="37" t="str">
        <f ca="1">IFERROR(+IF(BU$29=ProposalToGnatt[[#This Row],[Start Date]],Milestone_Marker,IF(AND(BU$29&gt;ProposalToGnatt[[#This Row],[Start Date]],BU$29&lt;ProposalToGnatt[[#This Row],[Start Date]]+ProposalToGnatt[[#This Row],[Days]]),$G$5,"")),"")</f>
        <v/>
      </c>
      <c r="BV80" s="37" t="str">
        <f ca="1">IFERROR(+IF(BV$29=ProposalToGnatt[[#This Row],[Start Date]],Milestone_Marker,IF(AND(BV$29&gt;ProposalToGnatt[[#This Row],[Start Date]],BV$29&lt;ProposalToGnatt[[#This Row],[Start Date]]+ProposalToGnatt[[#This Row],[Days]]),$G$5,"")),"")</f>
        <v/>
      </c>
      <c r="BW80" s="37" t="str">
        <f ca="1">IFERROR(+IF(BW$29=ProposalToGnatt[[#This Row],[Start Date]],Milestone_Marker,IF(AND(BW$29&gt;ProposalToGnatt[[#This Row],[Start Date]],BW$29&lt;ProposalToGnatt[[#This Row],[Start Date]]+ProposalToGnatt[[#This Row],[Days]]),$G$5,"")),"")</f>
        <v/>
      </c>
      <c r="BX80" s="37" t="str">
        <f ca="1">IFERROR(+IF(BX$29=ProposalToGnatt[[#This Row],[Start Date]],Milestone_Marker,IF(AND(BX$29&gt;ProposalToGnatt[[#This Row],[Start Date]],BX$29&lt;ProposalToGnatt[[#This Row],[Start Date]]+ProposalToGnatt[[#This Row],[Days]]),$G$5,"")),"")</f>
        <v/>
      </c>
      <c r="BY80" s="37" t="str">
        <f ca="1">IFERROR(+IF(BY$29=ProposalToGnatt[[#This Row],[Start Date]],Milestone_Marker,IF(AND(BY$29&gt;ProposalToGnatt[[#This Row],[Start Date]],BY$29&lt;ProposalToGnatt[[#This Row],[Start Date]]+ProposalToGnatt[[#This Row],[Days]]),$G$5,"")),"")</f>
        <v/>
      </c>
      <c r="BZ80" s="37" t="str">
        <f ca="1">IFERROR(+IF(BZ$29=ProposalToGnatt[[#This Row],[Start Date]],Milestone_Marker,IF(AND(BZ$29&gt;ProposalToGnatt[[#This Row],[Start Date]],BZ$29&lt;ProposalToGnatt[[#This Row],[Start Date]]+ProposalToGnatt[[#This Row],[Days]]),$G$5,"")),"")</f>
        <v/>
      </c>
      <c r="CA80" s="37" t="str">
        <f ca="1">IFERROR(+IF(CA$29=ProposalToGnatt[[#This Row],[Start Date]],Milestone_Marker,IF(AND(CA$29&gt;ProposalToGnatt[[#This Row],[Start Date]],CA$29&lt;ProposalToGnatt[[#This Row],[Start Date]]+ProposalToGnatt[[#This Row],[Days]]),$G$5,"")),"")</f>
        <v/>
      </c>
      <c r="CB80" s="37" t="str">
        <f ca="1">IFERROR(+IF(CB$29=ProposalToGnatt[[#This Row],[Start Date]],Milestone_Marker,IF(AND(CB$29&gt;ProposalToGnatt[[#This Row],[Start Date]],CB$29&lt;ProposalToGnatt[[#This Row],[Start Date]]+ProposalToGnatt[[#This Row],[Days]]),$G$5,"")),"")</f>
        <v/>
      </c>
      <c r="CC80" s="37" t="str">
        <f ca="1">IFERROR(+IF(CC$29=ProposalToGnatt[[#This Row],[Start Date]],Milestone_Marker,IF(AND(CC$29&gt;ProposalToGnatt[[#This Row],[Start Date]],CC$29&lt;ProposalToGnatt[[#This Row],[Start Date]]+ProposalToGnatt[[#This Row],[Days]]),$G$5,"")),"")</f>
        <v/>
      </c>
      <c r="CD80" s="37" t="str">
        <f ca="1">IFERROR(+IF(CD$29=ProposalToGnatt[[#This Row],[Start Date]],Milestone_Marker,IF(AND(CD$29&gt;ProposalToGnatt[[#This Row],[Start Date]],CD$29&lt;ProposalToGnatt[[#This Row],[Start Date]]+ProposalToGnatt[[#This Row],[Days]]),$G$5,"")),"")</f>
        <v/>
      </c>
      <c r="CE80" s="37" t="str">
        <f ca="1">IFERROR(+IF(CE$29=ProposalToGnatt[[#This Row],[Start Date]],Milestone_Marker,IF(AND(CE$29&gt;ProposalToGnatt[[#This Row],[Start Date]],CE$29&lt;ProposalToGnatt[[#This Row],[Start Date]]+ProposalToGnatt[[#This Row],[Days]]),$G$5,"")),"")</f>
        <v/>
      </c>
      <c r="CF80" s="37" t="str">
        <f ca="1">IFERROR(+IF(CF$29=ProposalToGnatt[[#This Row],[Start Date]],Milestone_Marker,IF(AND(CF$29&gt;ProposalToGnatt[[#This Row],[Start Date]],CF$29&lt;ProposalToGnatt[[#This Row],[Start Date]]+ProposalToGnatt[[#This Row],[Days]]),$G$5,"")),"")</f>
        <v/>
      </c>
      <c r="CG80" s="37" t="str">
        <f ca="1">IFERROR(+IF(CG$29=ProposalToGnatt[[#This Row],[Start Date]],Milestone_Marker,IF(AND(CG$29&gt;ProposalToGnatt[[#This Row],[Start Date]],CG$29&lt;ProposalToGnatt[[#This Row],[Start Date]]+ProposalToGnatt[[#This Row],[Days]]),$G$5,"")),"")</f>
        <v/>
      </c>
      <c r="CH80" s="37" t="str">
        <f ca="1">IFERROR(+IF(CH$29=ProposalToGnatt[[#This Row],[Start Date]],Milestone_Marker,IF(AND(CH$29&gt;ProposalToGnatt[[#This Row],[Start Date]],CH$29&lt;ProposalToGnatt[[#This Row],[Start Date]]+ProposalToGnatt[[#This Row],[Days]]),$G$5,"")),"")</f>
        <v/>
      </c>
      <c r="CI80" s="37" t="str">
        <f ca="1">IFERROR(+IF(CI$29=ProposalToGnatt[[#This Row],[Start Date]],Milestone_Marker,IF(AND(CI$29&gt;ProposalToGnatt[[#This Row],[Start Date]],CI$29&lt;ProposalToGnatt[[#This Row],[Start Date]]+ProposalToGnatt[[#This Row],[Days]]),$G$5,"")),"")</f>
        <v/>
      </c>
      <c r="CJ80" s="37" t="str">
        <f ca="1">IFERROR(+IF(CJ$29=ProposalToGnatt[[#This Row],[Start Date]],Milestone_Marker,IF(AND(CJ$29&gt;ProposalToGnatt[[#This Row],[Start Date]],CJ$29&lt;ProposalToGnatt[[#This Row],[Start Date]]+ProposalToGnatt[[#This Row],[Days]]),$G$5,"")),"")</f>
        <v/>
      </c>
      <c r="CK80" s="37" t="str">
        <f ca="1">IFERROR(+IF(CK$29=ProposalToGnatt[[#This Row],[Start Date]],Milestone_Marker,IF(AND(CK$29&gt;ProposalToGnatt[[#This Row],[Start Date]],CK$29&lt;ProposalToGnatt[[#This Row],[Start Date]]+ProposalToGnatt[[#This Row],[Days]]),$G$5,"")),"")</f>
        <v/>
      </c>
      <c r="CL80" s="37" t="str">
        <f ca="1">IFERROR(+IF(CL$29=ProposalToGnatt[[#This Row],[Start Date]],Milestone_Marker,IF(AND(CL$29&gt;ProposalToGnatt[[#This Row],[Start Date]],CL$29&lt;ProposalToGnatt[[#This Row],[Start Date]]+ProposalToGnatt[[#This Row],[Days]]),$G$5,"")),"")</f>
        <v/>
      </c>
      <c r="CM80" s="37" t="str">
        <f ca="1">IFERROR(+IF(CM$29=ProposalToGnatt[[#This Row],[Start Date]],Milestone_Marker,IF(AND(CM$29&gt;ProposalToGnatt[[#This Row],[Start Date]],CM$29&lt;ProposalToGnatt[[#This Row],[Start Date]]+ProposalToGnatt[[#This Row],[Days]]),$G$5,"")),"")</f>
        <v/>
      </c>
      <c r="CN80" s="37" t="str">
        <f ca="1">IFERROR(+IF(CN$29=ProposalToGnatt[[#This Row],[Start Date]],Milestone_Marker,IF(AND(CN$29&gt;ProposalToGnatt[[#This Row],[Start Date]],CN$29&lt;ProposalToGnatt[[#This Row],[Start Date]]+ProposalToGnatt[[#This Row],[Days]]),$G$5,"")),"")</f>
        <v/>
      </c>
      <c r="CO80" s="37" t="str">
        <f ca="1">IFERROR(+IF(CO$29=ProposalToGnatt[[#This Row],[Start Date]],Milestone_Marker,IF(AND(CO$29&gt;ProposalToGnatt[[#This Row],[Start Date]],CO$29&lt;ProposalToGnatt[[#This Row],[Start Date]]+ProposalToGnatt[[#This Row],[Days]]),$G$5,"")),"")</f>
        <v/>
      </c>
      <c r="CP80" s="37" t="str">
        <f ca="1">IFERROR(+IF(CP$29=ProposalToGnatt[[#This Row],[Start Date]],Milestone_Marker,IF(AND(CP$29&gt;ProposalToGnatt[[#This Row],[Start Date]],CP$29&lt;ProposalToGnatt[[#This Row],[Start Date]]+ProposalToGnatt[[#This Row],[Days]]),$G$5,"")),"")</f>
        <v/>
      </c>
      <c r="CQ80" s="37" t="str">
        <f ca="1">IFERROR(+IF(CQ$29=ProposalToGnatt[[#This Row],[Start Date]],Milestone_Marker,IF(AND(CQ$29&gt;ProposalToGnatt[[#This Row],[Start Date]],CQ$29&lt;ProposalToGnatt[[#This Row],[Start Date]]+ProposalToGnatt[[#This Row],[Days]]),$G$5,"")),"")</f>
        <v/>
      </c>
      <c r="CR80" s="37" t="str">
        <f ca="1">IFERROR(+IF(CR$29=ProposalToGnatt[[#This Row],[Start Date]],Milestone_Marker,IF(AND(CR$29&gt;ProposalToGnatt[[#This Row],[Start Date]],CR$29&lt;ProposalToGnatt[[#This Row],[Start Date]]+ProposalToGnatt[[#This Row],[Days]]),$G$5,"")),"")</f>
        <v/>
      </c>
      <c r="CS80" s="37" t="str">
        <f ca="1">IFERROR(+IF(CS$29=ProposalToGnatt[[#This Row],[Start Date]],Milestone_Marker,IF(AND(CS$29&gt;ProposalToGnatt[[#This Row],[Start Date]],CS$29&lt;ProposalToGnatt[[#This Row],[Start Date]]+ProposalToGnatt[[#This Row],[Days]]),$G$5,"")),"")</f>
        <v/>
      </c>
      <c r="CT80" s="37" t="str">
        <f ca="1">IFERROR(+IF(CT$29=ProposalToGnatt[[#This Row],[Start Date]],Milestone_Marker,IF(AND(CT$29&gt;ProposalToGnatt[[#This Row],[Start Date]],CT$29&lt;ProposalToGnatt[[#This Row],[Start Date]]+ProposalToGnatt[[#This Row],[Days]]),$G$5,"")),"")</f>
        <v/>
      </c>
      <c r="CU80" s="37" t="str">
        <f ca="1">IFERROR(+IF(CU$29=ProposalToGnatt[[#This Row],[Start Date]],Milestone_Marker,IF(AND(CU$29&gt;ProposalToGnatt[[#This Row],[Start Date]],CU$29&lt;ProposalToGnatt[[#This Row],[Start Date]]+ProposalToGnatt[[#This Row],[Days]]),$G$5,"")),"")</f>
        <v/>
      </c>
      <c r="CV80" s="37" t="str">
        <f ca="1">IFERROR(+IF(CT$29=#REF!,Milestone_Marker,IF(AND(CT$29&gt;#REF!,CT$29&lt;=#REF!+#REF!),$G$5,"")),"")</f>
        <v/>
      </c>
      <c r="CW80" s="37" t="str">
        <f ca="1">IFERROR(+IF(CU$29=#REF!,Milestone_Marker,IF(AND(CU$29&gt;#REF!,CU$29&lt;=#REF!+#REF!),$G$5,"")),"")</f>
        <v/>
      </c>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row>
    <row r="81" spans="1:125" ht="15">
      <c r="A81"/>
      <c r="B81"/>
      <c r="C81"/>
      <c r="D81"/>
      <c r="E81"/>
      <c r="F81"/>
      <c r="G81" s="11"/>
      <c r="H81" s="26"/>
      <c r="I81"/>
      <c r="J81"/>
      <c r="K81" s="363"/>
      <c r="L81"/>
      <c r="M81"/>
      <c r="N81"/>
      <c r="O81" s="26"/>
      <c r="P81" s="37" t="str">
        <f ca="1">IFERROR(+IF(P$29=ProposalToGnatt[[#This Row],[Start Date]],Milestone_Marker,IF(AND(P$29&gt;ProposalToGnatt[[#This Row],[Start Date]],P$29&lt;ProposalToGnatt[[#This Row],[Start Date]]+ProposalToGnatt[[#This Row],[Days]]),$G$5,"")),"")</f>
        <v/>
      </c>
      <c r="Q81" s="37" t="str">
        <f ca="1">IFERROR(+IF(Q$29=ProposalToGnatt[[#This Row],[Start Date]],Milestone_Marker,IF(AND(Q$29&gt;ProposalToGnatt[[#This Row],[Start Date]],Q$29&lt;ProposalToGnatt[[#This Row],[Start Date]]+ProposalToGnatt[[#This Row],[Days]]),$G$5,"")),"")</f>
        <v/>
      </c>
      <c r="R81" s="37" t="str">
        <f ca="1">IFERROR(+IF(R$29=ProposalToGnatt[[#This Row],[Start Date]],Milestone_Marker,IF(AND(R$29&gt;ProposalToGnatt[[#This Row],[Start Date]],R$29&lt;ProposalToGnatt[[#This Row],[Start Date]]+ProposalToGnatt[[#This Row],[Days]]),$G$5,"")),"")</f>
        <v/>
      </c>
      <c r="S81" s="37" t="str">
        <f ca="1">IFERROR(+IF(S$29=ProposalToGnatt[[#This Row],[Start Date]],Milestone_Marker,IF(AND(S$29&gt;ProposalToGnatt[[#This Row],[Start Date]],S$29&lt;ProposalToGnatt[[#This Row],[Start Date]]+ProposalToGnatt[[#This Row],[Days]]),$G$5,"")),"")</f>
        <v/>
      </c>
      <c r="T81" s="37" t="str">
        <f ca="1">IFERROR(+IF(T$29=ProposalToGnatt[[#This Row],[Start Date]],Milestone_Marker,IF(AND(T$29&gt;ProposalToGnatt[[#This Row],[Start Date]],T$29&lt;ProposalToGnatt[[#This Row],[Start Date]]+ProposalToGnatt[[#This Row],[Days]]),$G$5,"")),"")</f>
        <v/>
      </c>
      <c r="U81" s="37" t="str">
        <f ca="1">IFERROR(+IF(U$29=ProposalToGnatt[[#This Row],[Start Date]],Milestone_Marker,IF(AND(U$29&gt;ProposalToGnatt[[#This Row],[Start Date]],U$29&lt;ProposalToGnatt[[#This Row],[Start Date]]+ProposalToGnatt[[#This Row],[Days]]),$G$5,"")),"")</f>
        <v/>
      </c>
      <c r="V81" s="37" t="str">
        <f ca="1">IFERROR(+IF(V$29=ProposalToGnatt[[#This Row],[Start Date]],Milestone_Marker,IF(AND(V$29&gt;ProposalToGnatt[[#This Row],[Start Date]],V$29&lt;ProposalToGnatt[[#This Row],[Start Date]]+ProposalToGnatt[[#This Row],[Days]]),$G$5,"")),"")</f>
        <v/>
      </c>
      <c r="W81" s="37" t="str">
        <f ca="1">IFERROR(+IF(W$29=ProposalToGnatt[[#This Row],[Start Date]],Milestone_Marker,IF(AND(W$29&gt;ProposalToGnatt[[#This Row],[Start Date]],W$29&lt;ProposalToGnatt[[#This Row],[Start Date]]+ProposalToGnatt[[#This Row],[Days]]),$G$5,"")),"")</f>
        <v/>
      </c>
      <c r="X81" s="37" t="str">
        <f ca="1">IFERROR(+IF(X$29=ProposalToGnatt[[#This Row],[Start Date]],Milestone_Marker,IF(AND(X$29&gt;ProposalToGnatt[[#This Row],[Start Date]],X$29&lt;ProposalToGnatt[[#This Row],[Start Date]]+ProposalToGnatt[[#This Row],[Days]]),$G$5,"")),"")</f>
        <v/>
      </c>
      <c r="Y81" s="37" t="str">
        <f ca="1">IFERROR(+IF(Y$29=ProposalToGnatt[[#This Row],[Start Date]],Milestone_Marker,IF(AND(Y$29&gt;ProposalToGnatt[[#This Row],[Start Date]],Y$29&lt;ProposalToGnatt[[#This Row],[Start Date]]+ProposalToGnatt[[#This Row],[Days]]),$G$5,"")),"")</f>
        <v/>
      </c>
      <c r="Z81" s="37" t="str">
        <f ca="1">IFERROR(+IF(Z$29=ProposalToGnatt[[#This Row],[Start Date]],Milestone_Marker,IF(AND(Z$29&gt;ProposalToGnatt[[#This Row],[Start Date]],Z$29&lt;ProposalToGnatt[[#This Row],[Start Date]]+ProposalToGnatt[[#This Row],[Days]]),$G$5,"")),"")</f>
        <v/>
      </c>
      <c r="AA81" s="37" t="str">
        <f ca="1">IFERROR(+IF(AA$29=ProposalToGnatt[[#This Row],[Start Date]],Milestone_Marker,IF(AND(AA$29&gt;ProposalToGnatt[[#This Row],[Start Date]],AA$29&lt;ProposalToGnatt[[#This Row],[Start Date]]+ProposalToGnatt[[#This Row],[Days]]),$G$5,"")),"")</f>
        <v/>
      </c>
      <c r="AB81" s="37" t="str">
        <f ca="1">IFERROR(+IF(AB$29=ProposalToGnatt[[#This Row],[Start Date]],Milestone_Marker,IF(AND(AB$29&gt;ProposalToGnatt[[#This Row],[Start Date]],AB$29&lt;ProposalToGnatt[[#This Row],[Start Date]]+ProposalToGnatt[[#This Row],[Days]]),$G$5,"")),"")</f>
        <v/>
      </c>
      <c r="AC81" s="37" t="str">
        <f ca="1">IFERROR(+IF(AC$29=ProposalToGnatt[[#This Row],[Start Date]],Milestone_Marker,IF(AND(AC$29&gt;ProposalToGnatt[[#This Row],[Start Date]],AC$29&lt;ProposalToGnatt[[#This Row],[Start Date]]+ProposalToGnatt[[#This Row],[Days]]),$G$5,"")),"")</f>
        <v/>
      </c>
      <c r="AD81" s="37" t="str">
        <f ca="1">IFERROR(+IF(AD$29=ProposalToGnatt[[#This Row],[Start Date]],Milestone_Marker,IF(AND(AD$29&gt;ProposalToGnatt[[#This Row],[Start Date]],AD$29&lt;ProposalToGnatt[[#This Row],[Start Date]]+ProposalToGnatt[[#This Row],[Days]]),$G$5,"")),"")</f>
        <v/>
      </c>
      <c r="AE81" s="37" t="str">
        <f ca="1">IFERROR(+IF(AE$29=ProposalToGnatt[[#This Row],[Start Date]],Milestone_Marker,IF(AND(AE$29&gt;ProposalToGnatt[[#This Row],[Start Date]],AE$29&lt;ProposalToGnatt[[#This Row],[Start Date]]+ProposalToGnatt[[#This Row],[Days]]),$G$5,"")),"")</f>
        <v/>
      </c>
      <c r="AF81" s="37" t="str">
        <f ca="1">IFERROR(+IF(AF$29=ProposalToGnatt[[#This Row],[Start Date]],Milestone_Marker,IF(AND(AF$29&gt;ProposalToGnatt[[#This Row],[Start Date]],AF$29&lt;ProposalToGnatt[[#This Row],[Start Date]]+ProposalToGnatt[[#This Row],[Days]]),$G$5,"")),"")</f>
        <v/>
      </c>
      <c r="AG81" s="37" t="str">
        <f ca="1">IFERROR(+IF(AG$29=ProposalToGnatt[[#This Row],[Start Date]],Milestone_Marker,IF(AND(AG$29&gt;ProposalToGnatt[[#This Row],[Start Date]],AG$29&lt;ProposalToGnatt[[#This Row],[Start Date]]+ProposalToGnatt[[#This Row],[Days]]),$G$5,"")),"")</f>
        <v/>
      </c>
      <c r="AH81" s="37" t="str">
        <f ca="1">IFERROR(+IF(AH$29=ProposalToGnatt[[#This Row],[Start Date]],Milestone_Marker,IF(AND(AH$29&gt;ProposalToGnatt[[#This Row],[Start Date]],AH$29&lt;ProposalToGnatt[[#This Row],[Start Date]]+ProposalToGnatt[[#This Row],[Days]]),$G$5,"")),"")</f>
        <v/>
      </c>
      <c r="AI81" s="37" t="str">
        <f ca="1">IFERROR(+IF(AI$29=ProposalToGnatt[[#This Row],[Start Date]],Milestone_Marker,IF(AND(AI$29&gt;ProposalToGnatt[[#This Row],[Start Date]],AI$29&lt;ProposalToGnatt[[#This Row],[Start Date]]+ProposalToGnatt[[#This Row],[Days]]),$G$5,"")),"")</f>
        <v/>
      </c>
      <c r="AJ81" s="37" t="str">
        <f ca="1">IFERROR(+IF(AJ$29=ProposalToGnatt[[#This Row],[Start Date]],Milestone_Marker,IF(AND(AJ$29&gt;ProposalToGnatt[[#This Row],[Start Date]],AJ$29&lt;ProposalToGnatt[[#This Row],[Start Date]]+ProposalToGnatt[[#This Row],[Days]]),$G$5,"")),"")</f>
        <v/>
      </c>
      <c r="AK81" s="37" t="str">
        <f ca="1">IFERROR(+IF(AK$29=ProposalToGnatt[[#This Row],[Start Date]],Milestone_Marker,IF(AND(AK$29&gt;ProposalToGnatt[[#This Row],[Start Date]],AK$29&lt;ProposalToGnatt[[#This Row],[Start Date]]+ProposalToGnatt[[#This Row],[Days]]),$G$5,"")),"")</f>
        <v/>
      </c>
      <c r="AL81" s="37" t="str">
        <f ca="1">IFERROR(+IF(AL$29=ProposalToGnatt[[#This Row],[Start Date]],Milestone_Marker,IF(AND(AL$29&gt;ProposalToGnatt[[#This Row],[Start Date]],AL$29&lt;ProposalToGnatt[[#This Row],[Start Date]]+ProposalToGnatt[[#This Row],[Days]]),$G$5,"")),"")</f>
        <v/>
      </c>
      <c r="AM81" s="37" t="str">
        <f ca="1">IFERROR(+IF(AM$29=ProposalToGnatt[[#This Row],[Start Date]],Milestone_Marker,IF(AND(AM$29&gt;ProposalToGnatt[[#This Row],[Start Date]],AM$29&lt;ProposalToGnatt[[#This Row],[Start Date]]+ProposalToGnatt[[#This Row],[Days]]),$G$5,"")),"")</f>
        <v/>
      </c>
      <c r="AN81" s="37" t="str">
        <f ca="1">IFERROR(+IF(AN$29=ProposalToGnatt[[#This Row],[Start Date]],Milestone_Marker,IF(AND(AN$29&gt;ProposalToGnatt[[#This Row],[Start Date]],AN$29&lt;ProposalToGnatt[[#This Row],[Start Date]]+ProposalToGnatt[[#This Row],[Days]]),$G$5,"")),"")</f>
        <v/>
      </c>
      <c r="AO81" s="37" t="str">
        <f ca="1">IFERROR(+IF(AO$29=ProposalToGnatt[[#This Row],[Start Date]],Milestone_Marker,IF(AND(AO$29&gt;ProposalToGnatt[[#This Row],[Start Date]],AO$29&lt;ProposalToGnatt[[#This Row],[Start Date]]+ProposalToGnatt[[#This Row],[Days]]),$G$5,"")),"")</f>
        <v/>
      </c>
      <c r="AP81" s="37" t="str">
        <f ca="1">IFERROR(+IF(AP$29=ProposalToGnatt[[#This Row],[Start Date]],Milestone_Marker,IF(AND(AP$29&gt;ProposalToGnatt[[#This Row],[Start Date]],AP$29&lt;ProposalToGnatt[[#This Row],[Start Date]]+ProposalToGnatt[[#This Row],[Days]]),$G$5,"")),"")</f>
        <v/>
      </c>
      <c r="AQ81" s="37" t="str">
        <f ca="1">IFERROR(+IF(AQ$29=ProposalToGnatt[[#This Row],[Start Date]],Milestone_Marker,IF(AND(AQ$29&gt;ProposalToGnatt[[#This Row],[Start Date]],AQ$29&lt;ProposalToGnatt[[#This Row],[Start Date]]+ProposalToGnatt[[#This Row],[Days]]),$G$5,"")),"")</f>
        <v/>
      </c>
      <c r="AR81" s="37" t="str">
        <f ca="1">IFERROR(+IF(AR$29=ProposalToGnatt[[#This Row],[Start Date]],Milestone_Marker,IF(AND(AR$29&gt;ProposalToGnatt[[#This Row],[Start Date]],AR$29&lt;ProposalToGnatt[[#This Row],[Start Date]]+ProposalToGnatt[[#This Row],[Days]]),$G$5,"")),"")</f>
        <v/>
      </c>
      <c r="AS81" s="37" t="str">
        <f ca="1">IFERROR(+IF(AS$29=ProposalToGnatt[[#This Row],[Start Date]],Milestone_Marker,IF(AND(AS$29&gt;ProposalToGnatt[[#This Row],[Start Date]],AS$29&lt;ProposalToGnatt[[#This Row],[Start Date]]+ProposalToGnatt[[#This Row],[Days]]),$G$5,"")),"")</f>
        <v/>
      </c>
      <c r="AT81" s="37" t="str">
        <f ca="1">IFERROR(+IF(AT$29=ProposalToGnatt[[#This Row],[Start Date]],Milestone_Marker,IF(AND(AT$29&gt;ProposalToGnatt[[#This Row],[Start Date]],AT$29&lt;ProposalToGnatt[[#This Row],[Start Date]]+ProposalToGnatt[[#This Row],[Days]]),$G$5,"")),"")</f>
        <v/>
      </c>
      <c r="AU81" s="37" t="str">
        <f ca="1">IFERROR(+IF(AU$29=ProposalToGnatt[[#This Row],[Start Date]],Milestone_Marker,IF(AND(AU$29&gt;ProposalToGnatt[[#This Row],[Start Date]],AU$29&lt;ProposalToGnatt[[#This Row],[Start Date]]+ProposalToGnatt[[#This Row],[Days]]),$G$5,"")),"")</f>
        <v/>
      </c>
      <c r="AV81" s="37" t="str">
        <f ca="1">IFERROR(+IF(AV$29=ProposalToGnatt[[#This Row],[Start Date]],Milestone_Marker,IF(AND(AV$29&gt;ProposalToGnatt[[#This Row],[Start Date]],AV$29&lt;ProposalToGnatt[[#This Row],[Start Date]]+ProposalToGnatt[[#This Row],[Days]]),$G$5,"")),"")</f>
        <v/>
      </c>
      <c r="AW81" s="37" t="str">
        <f ca="1">IFERROR(+IF(AW$29=ProposalToGnatt[[#This Row],[Start Date]],Milestone_Marker,IF(AND(AW$29&gt;ProposalToGnatt[[#This Row],[Start Date]],AW$29&lt;ProposalToGnatt[[#This Row],[Start Date]]+ProposalToGnatt[[#This Row],[Days]]),$G$5,"")),"")</f>
        <v/>
      </c>
      <c r="AX81" s="37" t="str">
        <f ca="1">IFERROR(+IF(AX$29=ProposalToGnatt[[#This Row],[Start Date]],Milestone_Marker,IF(AND(AX$29&gt;ProposalToGnatt[[#This Row],[Start Date]],AX$29&lt;ProposalToGnatt[[#This Row],[Start Date]]+ProposalToGnatt[[#This Row],[Days]]),$G$5,"")),"")</f>
        <v/>
      </c>
      <c r="AY81" s="37" t="str">
        <f ca="1">IFERROR(+IF(AY$29=ProposalToGnatt[[#This Row],[Start Date]],Milestone_Marker,IF(AND(AY$29&gt;ProposalToGnatt[[#This Row],[Start Date]],AY$29&lt;ProposalToGnatt[[#This Row],[Start Date]]+ProposalToGnatt[[#This Row],[Days]]),$G$5,"")),"")</f>
        <v/>
      </c>
      <c r="AZ81" s="37" t="str">
        <f ca="1">IFERROR(+IF(AZ$29=ProposalToGnatt[[#This Row],[Start Date]],Milestone_Marker,IF(AND(AZ$29&gt;ProposalToGnatt[[#This Row],[Start Date]],AZ$29&lt;ProposalToGnatt[[#This Row],[Start Date]]+ProposalToGnatt[[#This Row],[Days]]),$G$5,"")),"")</f>
        <v/>
      </c>
      <c r="BA81" s="37" t="str">
        <f ca="1">IFERROR(+IF(BA$29=ProposalToGnatt[[#This Row],[Start Date]],Milestone_Marker,IF(AND(BA$29&gt;ProposalToGnatt[[#This Row],[Start Date]],BA$29&lt;ProposalToGnatt[[#This Row],[Start Date]]+ProposalToGnatt[[#This Row],[Days]]),$G$5,"")),"")</f>
        <v/>
      </c>
      <c r="BB81" s="37" t="str">
        <f ca="1">IFERROR(+IF(BB$29=ProposalToGnatt[[#This Row],[Start Date]],Milestone_Marker,IF(AND(BB$29&gt;ProposalToGnatt[[#This Row],[Start Date]],BB$29&lt;ProposalToGnatt[[#This Row],[Start Date]]+ProposalToGnatt[[#This Row],[Days]]),$G$5,"")),"")</f>
        <v/>
      </c>
      <c r="BC81" s="37" t="str">
        <f ca="1">IFERROR(+IF(BC$29=ProposalToGnatt[[#This Row],[Start Date]],Milestone_Marker,IF(AND(BC$29&gt;ProposalToGnatt[[#This Row],[Start Date]],BC$29&lt;ProposalToGnatt[[#This Row],[Start Date]]+ProposalToGnatt[[#This Row],[Days]]),$G$5,"")),"")</f>
        <v/>
      </c>
      <c r="BD81" s="37" t="str">
        <f ca="1">IFERROR(+IF(BD$29=ProposalToGnatt[[#This Row],[Start Date]],Milestone_Marker,IF(AND(BD$29&gt;ProposalToGnatt[[#This Row],[Start Date]],BD$29&lt;ProposalToGnatt[[#This Row],[Start Date]]+ProposalToGnatt[[#This Row],[Days]]),$G$5,"")),"")</f>
        <v/>
      </c>
      <c r="BE81" s="37" t="str">
        <f ca="1">IFERROR(+IF(BE$29=ProposalToGnatt[[#This Row],[Start Date]],Milestone_Marker,IF(AND(BE$29&gt;ProposalToGnatt[[#This Row],[Start Date]],BE$29&lt;ProposalToGnatt[[#This Row],[Start Date]]+ProposalToGnatt[[#This Row],[Days]]),$G$5,"")),"")</f>
        <v/>
      </c>
      <c r="BF81" s="37" t="str">
        <f ca="1">IFERROR(+IF(BF$29=ProposalToGnatt[[#This Row],[Start Date]],Milestone_Marker,IF(AND(BF$29&gt;ProposalToGnatt[[#This Row],[Start Date]],BF$29&lt;ProposalToGnatt[[#This Row],[Start Date]]+ProposalToGnatt[[#This Row],[Days]]),$G$5,"")),"")</f>
        <v/>
      </c>
      <c r="BG81" s="37" t="str">
        <f ca="1">IFERROR(+IF(BG$29=ProposalToGnatt[[#This Row],[Start Date]],Milestone_Marker,IF(AND(BG$29&gt;ProposalToGnatt[[#This Row],[Start Date]],BG$29&lt;ProposalToGnatt[[#This Row],[Start Date]]+ProposalToGnatt[[#This Row],[Days]]),$G$5,"")),"")</f>
        <v/>
      </c>
      <c r="BH81" s="37" t="str">
        <f ca="1">IFERROR(+IF(BH$29=ProposalToGnatt[[#This Row],[Start Date]],Milestone_Marker,IF(AND(BH$29&gt;ProposalToGnatt[[#This Row],[Start Date]],BH$29&lt;ProposalToGnatt[[#This Row],[Start Date]]+ProposalToGnatt[[#This Row],[Days]]),$G$5,"")),"")</f>
        <v/>
      </c>
      <c r="BI81" s="37" t="str">
        <f ca="1">IFERROR(+IF(BI$29=ProposalToGnatt[[#This Row],[Start Date]],Milestone_Marker,IF(AND(BI$29&gt;ProposalToGnatt[[#This Row],[Start Date]],BI$29&lt;ProposalToGnatt[[#This Row],[Start Date]]+ProposalToGnatt[[#This Row],[Days]]),$G$5,"")),"")</f>
        <v/>
      </c>
      <c r="BJ81" s="37" t="str">
        <f ca="1">IFERROR(+IF(BJ$29=ProposalToGnatt[[#This Row],[Start Date]],Milestone_Marker,IF(AND(BJ$29&gt;ProposalToGnatt[[#This Row],[Start Date]],BJ$29&lt;ProposalToGnatt[[#This Row],[Start Date]]+ProposalToGnatt[[#This Row],[Days]]),$G$5,"")),"")</f>
        <v/>
      </c>
      <c r="BK81" s="37" t="str">
        <f ca="1">IFERROR(+IF(BK$29=ProposalToGnatt[[#This Row],[Start Date]],Milestone_Marker,IF(AND(BK$29&gt;ProposalToGnatt[[#This Row],[Start Date]],BK$29&lt;ProposalToGnatt[[#This Row],[Start Date]]+ProposalToGnatt[[#This Row],[Days]]),$G$5,"")),"")</f>
        <v/>
      </c>
      <c r="BL81" s="37" t="str">
        <f ca="1">IFERROR(+IF(BL$29=ProposalToGnatt[[#This Row],[Start Date]],Milestone_Marker,IF(AND(BL$29&gt;ProposalToGnatt[[#This Row],[Start Date]],BL$29&lt;ProposalToGnatt[[#This Row],[Start Date]]+ProposalToGnatt[[#This Row],[Days]]),$G$5,"")),"")</f>
        <v/>
      </c>
      <c r="BM81" s="37" t="str">
        <f ca="1">IFERROR(+IF(BM$29=ProposalToGnatt[[#This Row],[Start Date]],Milestone_Marker,IF(AND(BM$29&gt;ProposalToGnatt[[#This Row],[Start Date]],BM$29&lt;ProposalToGnatt[[#This Row],[Start Date]]+ProposalToGnatt[[#This Row],[Days]]),$G$5,"")),"")</f>
        <v/>
      </c>
      <c r="BN81" s="37" t="str">
        <f ca="1">IFERROR(+IF(BN$29=ProposalToGnatt[[#This Row],[Start Date]],Milestone_Marker,IF(AND(BN$29&gt;ProposalToGnatt[[#This Row],[Start Date]],BN$29&lt;ProposalToGnatt[[#This Row],[Start Date]]+ProposalToGnatt[[#This Row],[Days]]),$G$5,"")),"")</f>
        <v/>
      </c>
      <c r="BO81" s="37" t="str">
        <f ca="1">IFERROR(+IF(BO$29=ProposalToGnatt[[#This Row],[Start Date]],Milestone_Marker,IF(AND(BO$29&gt;ProposalToGnatt[[#This Row],[Start Date]],BO$29&lt;ProposalToGnatt[[#This Row],[Start Date]]+ProposalToGnatt[[#This Row],[Days]]),$G$5,"")),"")</f>
        <v/>
      </c>
      <c r="BP81" s="37" t="str">
        <f ca="1">IFERROR(+IF(BP$29=ProposalToGnatt[[#This Row],[Start Date]],Milestone_Marker,IF(AND(BP$29&gt;ProposalToGnatt[[#This Row],[Start Date]],BP$29&lt;ProposalToGnatt[[#This Row],[Start Date]]+ProposalToGnatt[[#This Row],[Days]]),$G$5,"")),"")</f>
        <v/>
      </c>
      <c r="BQ81" s="37" t="str">
        <f ca="1">IFERROR(+IF(BQ$29=ProposalToGnatt[[#This Row],[Start Date]],Milestone_Marker,IF(AND(BQ$29&gt;ProposalToGnatt[[#This Row],[Start Date]],BQ$29&lt;ProposalToGnatt[[#This Row],[Start Date]]+ProposalToGnatt[[#This Row],[Days]]),$G$5,"")),"")</f>
        <v/>
      </c>
      <c r="BR81" s="37" t="str">
        <f ca="1">IFERROR(+IF(BR$29=ProposalToGnatt[[#This Row],[Start Date]],Milestone_Marker,IF(AND(BR$29&gt;ProposalToGnatt[[#This Row],[Start Date]],BR$29&lt;ProposalToGnatt[[#This Row],[Start Date]]+ProposalToGnatt[[#This Row],[Days]]),$G$5,"")),"")</f>
        <v/>
      </c>
      <c r="BS81" s="37" t="str">
        <f ca="1">IFERROR(+IF(BS$29=ProposalToGnatt[[#This Row],[Start Date]],Milestone_Marker,IF(AND(BS$29&gt;ProposalToGnatt[[#This Row],[Start Date]],BS$29&lt;ProposalToGnatt[[#This Row],[Start Date]]+ProposalToGnatt[[#This Row],[Days]]),$G$5,"")),"")</f>
        <v/>
      </c>
      <c r="BT81" s="37" t="str">
        <f ca="1">IFERROR(+IF(BT$29=ProposalToGnatt[[#This Row],[Start Date]],Milestone_Marker,IF(AND(BT$29&gt;ProposalToGnatt[[#This Row],[Start Date]],BT$29&lt;ProposalToGnatt[[#This Row],[Start Date]]+ProposalToGnatt[[#This Row],[Days]]),$G$5,"")),"")</f>
        <v/>
      </c>
      <c r="BU81" s="37" t="str">
        <f ca="1">IFERROR(+IF(BU$29=ProposalToGnatt[[#This Row],[Start Date]],Milestone_Marker,IF(AND(BU$29&gt;ProposalToGnatt[[#This Row],[Start Date]],BU$29&lt;ProposalToGnatt[[#This Row],[Start Date]]+ProposalToGnatt[[#This Row],[Days]]),$G$5,"")),"")</f>
        <v/>
      </c>
      <c r="BV81" s="37" t="str">
        <f ca="1">IFERROR(+IF(BV$29=ProposalToGnatt[[#This Row],[Start Date]],Milestone_Marker,IF(AND(BV$29&gt;ProposalToGnatt[[#This Row],[Start Date]],BV$29&lt;ProposalToGnatt[[#This Row],[Start Date]]+ProposalToGnatt[[#This Row],[Days]]),$G$5,"")),"")</f>
        <v/>
      </c>
      <c r="BW81" s="37" t="str">
        <f ca="1">IFERROR(+IF(BW$29=ProposalToGnatt[[#This Row],[Start Date]],Milestone_Marker,IF(AND(BW$29&gt;ProposalToGnatt[[#This Row],[Start Date]],BW$29&lt;ProposalToGnatt[[#This Row],[Start Date]]+ProposalToGnatt[[#This Row],[Days]]),$G$5,"")),"")</f>
        <v/>
      </c>
      <c r="BX81" s="37" t="str">
        <f ca="1">IFERROR(+IF(BX$29=ProposalToGnatt[[#This Row],[Start Date]],Milestone_Marker,IF(AND(BX$29&gt;ProposalToGnatt[[#This Row],[Start Date]],BX$29&lt;ProposalToGnatt[[#This Row],[Start Date]]+ProposalToGnatt[[#This Row],[Days]]),$G$5,"")),"")</f>
        <v/>
      </c>
      <c r="BY81" s="37" t="str">
        <f ca="1">IFERROR(+IF(BY$29=ProposalToGnatt[[#This Row],[Start Date]],Milestone_Marker,IF(AND(BY$29&gt;ProposalToGnatt[[#This Row],[Start Date]],BY$29&lt;ProposalToGnatt[[#This Row],[Start Date]]+ProposalToGnatt[[#This Row],[Days]]),$G$5,"")),"")</f>
        <v/>
      </c>
      <c r="BZ81" s="37" t="str">
        <f ca="1">IFERROR(+IF(BZ$29=ProposalToGnatt[[#This Row],[Start Date]],Milestone_Marker,IF(AND(BZ$29&gt;ProposalToGnatt[[#This Row],[Start Date]],BZ$29&lt;ProposalToGnatt[[#This Row],[Start Date]]+ProposalToGnatt[[#This Row],[Days]]),$G$5,"")),"")</f>
        <v/>
      </c>
      <c r="CA81" s="37" t="str">
        <f ca="1">IFERROR(+IF(CA$29=ProposalToGnatt[[#This Row],[Start Date]],Milestone_Marker,IF(AND(CA$29&gt;ProposalToGnatt[[#This Row],[Start Date]],CA$29&lt;ProposalToGnatt[[#This Row],[Start Date]]+ProposalToGnatt[[#This Row],[Days]]),$G$5,"")),"")</f>
        <v/>
      </c>
      <c r="CB81" s="37" t="str">
        <f ca="1">IFERROR(+IF(CB$29=ProposalToGnatt[[#This Row],[Start Date]],Milestone_Marker,IF(AND(CB$29&gt;ProposalToGnatt[[#This Row],[Start Date]],CB$29&lt;ProposalToGnatt[[#This Row],[Start Date]]+ProposalToGnatt[[#This Row],[Days]]),$G$5,"")),"")</f>
        <v/>
      </c>
      <c r="CC81" s="37" t="str">
        <f ca="1">IFERROR(+IF(CC$29=ProposalToGnatt[[#This Row],[Start Date]],Milestone_Marker,IF(AND(CC$29&gt;ProposalToGnatt[[#This Row],[Start Date]],CC$29&lt;ProposalToGnatt[[#This Row],[Start Date]]+ProposalToGnatt[[#This Row],[Days]]),$G$5,"")),"")</f>
        <v/>
      </c>
      <c r="CD81" s="37" t="str">
        <f ca="1">IFERROR(+IF(CD$29=ProposalToGnatt[[#This Row],[Start Date]],Milestone_Marker,IF(AND(CD$29&gt;ProposalToGnatt[[#This Row],[Start Date]],CD$29&lt;ProposalToGnatt[[#This Row],[Start Date]]+ProposalToGnatt[[#This Row],[Days]]),$G$5,"")),"")</f>
        <v/>
      </c>
      <c r="CE81" s="37" t="str">
        <f ca="1">IFERROR(+IF(CE$29=ProposalToGnatt[[#This Row],[Start Date]],Milestone_Marker,IF(AND(CE$29&gt;ProposalToGnatt[[#This Row],[Start Date]],CE$29&lt;ProposalToGnatt[[#This Row],[Start Date]]+ProposalToGnatt[[#This Row],[Days]]),$G$5,"")),"")</f>
        <v/>
      </c>
      <c r="CF81" s="37" t="str">
        <f ca="1">IFERROR(+IF(CF$29=ProposalToGnatt[[#This Row],[Start Date]],Milestone_Marker,IF(AND(CF$29&gt;ProposalToGnatt[[#This Row],[Start Date]],CF$29&lt;ProposalToGnatt[[#This Row],[Start Date]]+ProposalToGnatt[[#This Row],[Days]]),$G$5,"")),"")</f>
        <v/>
      </c>
      <c r="CG81" s="37" t="str">
        <f ca="1">IFERROR(+IF(CG$29=ProposalToGnatt[[#This Row],[Start Date]],Milestone_Marker,IF(AND(CG$29&gt;ProposalToGnatt[[#This Row],[Start Date]],CG$29&lt;ProposalToGnatt[[#This Row],[Start Date]]+ProposalToGnatt[[#This Row],[Days]]),$G$5,"")),"")</f>
        <v/>
      </c>
      <c r="CH81" s="37" t="str">
        <f ca="1">IFERROR(+IF(CH$29=ProposalToGnatt[[#This Row],[Start Date]],Milestone_Marker,IF(AND(CH$29&gt;ProposalToGnatt[[#This Row],[Start Date]],CH$29&lt;ProposalToGnatt[[#This Row],[Start Date]]+ProposalToGnatt[[#This Row],[Days]]),$G$5,"")),"")</f>
        <v/>
      </c>
      <c r="CI81" s="37" t="str">
        <f ca="1">IFERROR(+IF(CI$29=ProposalToGnatt[[#This Row],[Start Date]],Milestone_Marker,IF(AND(CI$29&gt;ProposalToGnatt[[#This Row],[Start Date]],CI$29&lt;ProposalToGnatt[[#This Row],[Start Date]]+ProposalToGnatt[[#This Row],[Days]]),$G$5,"")),"")</f>
        <v/>
      </c>
      <c r="CJ81" s="37" t="str">
        <f ca="1">IFERROR(+IF(CJ$29=ProposalToGnatt[[#This Row],[Start Date]],Milestone_Marker,IF(AND(CJ$29&gt;ProposalToGnatt[[#This Row],[Start Date]],CJ$29&lt;ProposalToGnatt[[#This Row],[Start Date]]+ProposalToGnatt[[#This Row],[Days]]),$G$5,"")),"")</f>
        <v/>
      </c>
      <c r="CK81" s="37" t="str">
        <f ca="1">IFERROR(+IF(CK$29=ProposalToGnatt[[#This Row],[Start Date]],Milestone_Marker,IF(AND(CK$29&gt;ProposalToGnatt[[#This Row],[Start Date]],CK$29&lt;ProposalToGnatt[[#This Row],[Start Date]]+ProposalToGnatt[[#This Row],[Days]]),$G$5,"")),"")</f>
        <v/>
      </c>
      <c r="CL81" s="37" t="str">
        <f ca="1">IFERROR(+IF(CL$29=ProposalToGnatt[[#This Row],[Start Date]],Milestone_Marker,IF(AND(CL$29&gt;ProposalToGnatt[[#This Row],[Start Date]],CL$29&lt;ProposalToGnatt[[#This Row],[Start Date]]+ProposalToGnatt[[#This Row],[Days]]),$G$5,"")),"")</f>
        <v/>
      </c>
      <c r="CM81" s="37" t="str">
        <f ca="1">IFERROR(+IF(CM$29=ProposalToGnatt[[#This Row],[Start Date]],Milestone_Marker,IF(AND(CM$29&gt;ProposalToGnatt[[#This Row],[Start Date]],CM$29&lt;ProposalToGnatt[[#This Row],[Start Date]]+ProposalToGnatt[[#This Row],[Days]]),$G$5,"")),"")</f>
        <v/>
      </c>
      <c r="CN81" s="37" t="str">
        <f ca="1">IFERROR(+IF(CN$29=ProposalToGnatt[[#This Row],[Start Date]],Milestone_Marker,IF(AND(CN$29&gt;ProposalToGnatt[[#This Row],[Start Date]],CN$29&lt;ProposalToGnatt[[#This Row],[Start Date]]+ProposalToGnatt[[#This Row],[Days]]),$G$5,"")),"")</f>
        <v/>
      </c>
      <c r="CO81" s="37" t="str">
        <f ca="1">IFERROR(+IF(CO$29=ProposalToGnatt[[#This Row],[Start Date]],Milestone_Marker,IF(AND(CO$29&gt;ProposalToGnatt[[#This Row],[Start Date]],CO$29&lt;ProposalToGnatt[[#This Row],[Start Date]]+ProposalToGnatt[[#This Row],[Days]]),$G$5,"")),"")</f>
        <v/>
      </c>
      <c r="CP81" s="37" t="str">
        <f ca="1">IFERROR(+IF(CP$29=ProposalToGnatt[[#This Row],[Start Date]],Milestone_Marker,IF(AND(CP$29&gt;ProposalToGnatt[[#This Row],[Start Date]],CP$29&lt;ProposalToGnatt[[#This Row],[Start Date]]+ProposalToGnatt[[#This Row],[Days]]),$G$5,"")),"")</f>
        <v/>
      </c>
      <c r="CQ81" s="37" t="str">
        <f ca="1">IFERROR(+IF(CQ$29=ProposalToGnatt[[#This Row],[Start Date]],Milestone_Marker,IF(AND(CQ$29&gt;ProposalToGnatt[[#This Row],[Start Date]],CQ$29&lt;ProposalToGnatt[[#This Row],[Start Date]]+ProposalToGnatt[[#This Row],[Days]]),$G$5,"")),"")</f>
        <v/>
      </c>
      <c r="CR81" s="37" t="str">
        <f ca="1">IFERROR(+IF(CR$29=ProposalToGnatt[[#This Row],[Start Date]],Milestone_Marker,IF(AND(CR$29&gt;ProposalToGnatt[[#This Row],[Start Date]],CR$29&lt;ProposalToGnatt[[#This Row],[Start Date]]+ProposalToGnatt[[#This Row],[Days]]),$G$5,"")),"")</f>
        <v/>
      </c>
      <c r="CS81" s="37" t="str">
        <f ca="1">IFERROR(+IF(CS$29=ProposalToGnatt[[#This Row],[Start Date]],Milestone_Marker,IF(AND(CS$29&gt;ProposalToGnatt[[#This Row],[Start Date]],CS$29&lt;ProposalToGnatt[[#This Row],[Start Date]]+ProposalToGnatt[[#This Row],[Days]]),$G$5,"")),"")</f>
        <v/>
      </c>
      <c r="CT81" s="37" t="str">
        <f ca="1">IFERROR(+IF(CT$29=ProposalToGnatt[[#This Row],[Start Date]],Milestone_Marker,IF(AND(CT$29&gt;ProposalToGnatt[[#This Row],[Start Date]],CT$29&lt;ProposalToGnatt[[#This Row],[Start Date]]+ProposalToGnatt[[#This Row],[Days]]),$G$5,"")),"")</f>
        <v/>
      </c>
      <c r="CU81" s="37" t="str">
        <f ca="1">IFERROR(+IF(CU$29=ProposalToGnatt[[#This Row],[Start Date]],Milestone_Marker,IF(AND(CU$29&gt;ProposalToGnatt[[#This Row],[Start Date]],CU$29&lt;ProposalToGnatt[[#This Row],[Start Date]]+ProposalToGnatt[[#This Row],[Days]]),$G$5,"")),"")</f>
        <v/>
      </c>
      <c r="CV81" s="37" t="str">
        <f ca="1">IFERROR(+IF(CT$29=#REF!,Milestone_Marker,IF(AND(CT$29&gt;#REF!,CT$29&lt;=#REF!+#REF!),$G$5,"")),"")</f>
        <v/>
      </c>
      <c r="CW81" s="37" t="str">
        <f ca="1">IFERROR(+IF(CU$29=#REF!,Milestone_Marker,IF(AND(CU$29&gt;#REF!,CU$29&lt;=#REF!+#REF!),$G$5,"")),"")</f>
        <v/>
      </c>
      <c r="CX81" s="37"/>
      <c r="CY81" s="37"/>
      <c r="CZ81" s="37"/>
      <c r="DA81" s="37"/>
      <c r="DB81" s="37"/>
      <c r="DC81" s="37"/>
      <c r="DD81" s="37"/>
      <c r="DE81" s="37"/>
      <c r="DF81" s="37"/>
      <c r="DG81" s="37"/>
      <c r="DH81" s="37"/>
      <c r="DI81" s="37"/>
      <c r="DJ81" s="37"/>
      <c r="DK81" s="37"/>
      <c r="DL81" s="37"/>
      <c r="DM81" s="37"/>
      <c r="DN81" s="37"/>
      <c r="DO81" s="37"/>
      <c r="DP81" s="37"/>
      <c r="DQ81" s="37"/>
      <c r="DR81" s="37"/>
      <c r="DS81" s="37"/>
      <c r="DT81" s="37"/>
      <c r="DU81" s="37"/>
    </row>
    <row r="82" spans="1:125" ht="15">
      <c r="A82"/>
      <c r="B82"/>
      <c r="C82"/>
      <c r="D82"/>
      <c r="E82"/>
      <c r="F82"/>
      <c r="G82" s="11"/>
      <c r="H82" s="26"/>
      <c r="I82"/>
      <c r="J82"/>
      <c r="K82" s="363"/>
      <c r="L82"/>
      <c r="M82"/>
      <c r="N82"/>
      <c r="O82" s="26"/>
      <c r="P82" s="37" t="str">
        <f ca="1">IFERROR(+IF(P$29=ProposalToGnatt[[#This Row],[Start Date]],Milestone_Marker,IF(AND(P$29&gt;ProposalToGnatt[[#This Row],[Start Date]],P$29&lt;ProposalToGnatt[[#This Row],[Start Date]]+ProposalToGnatt[[#This Row],[Days]]),$G$5,"")),"")</f>
        <v/>
      </c>
      <c r="Q82" s="37" t="str">
        <f ca="1">IFERROR(+IF(Q$29=ProposalToGnatt[[#This Row],[Start Date]],Milestone_Marker,IF(AND(Q$29&gt;ProposalToGnatt[[#This Row],[Start Date]],Q$29&lt;ProposalToGnatt[[#This Row],[Start Date]]+ProposalToGnatt[[#This Row],[Days]]),$G$5,"")),"")</f>
        <v/>
      </c>
      <c r="R82" s="37" t="str">
        <f ca="1">IFERROR(+IF(R$29=ProposalToGnatt[[#This Row],[Start Date]],Milestone_Marker,IF(AND(R$29&gt;ProposalToGnatt[[#This Row],[Start Date]],R$29&lt;ProposalToGnatt[[#This Row],[Start Date]]+ProposalToGnatt[[#This Row],[Days]]),$G$5,"")),"")</f>
        <v/>
      </c>
      <c r="S82" s="37" t="str">
        <f ca="1">IFERROR(+IF(S$29=ProposalToGnatt[[#This Row],[Start Date]],Milestone_Marker,IF(AND(S$29&gt;ProposalToGnatt[[#This Row],[Start Date]],S$29&lt;ProposalToGnatt[[#This Row],[Start Date]]+ProposalToGnatt[[#This Row],[Days]]),$G$5,"")),"")</f>
        <v/>
      </c>
      <c r="T82" s="37" t="str">
        <f ca="1">IFERROR(+IF(T$29=ProposalToGnatt[[#This Row],[Start Date]],Milestone_Marker,IF(AND(T$29&gt;ProposalToGnatt[[#This Row],[Start Date]],T$29&lt;ProposalToGnatt[[#This Row],[Start Date]]+ProposalToGnatt[[#This Row],[Days]]),$G$5,"")),"")</f>
        <v/>
      </c>
      <c r="U82" s="37" t="str">
        <f ca="1">IFERROR(+IF(U$29=ProposalToGnatt[[#This Row],[Start Date]],Milestone_Marker,IF(AND(U$29&gt;ProposalToGnatt[[#This Row],[Start Date]],U$29&lt;ProposalToGnatt[[#This Row],[Start Date]]+ProposalToGnatt[[#This Row],[Days]]),$G$5,"")),"")</f>
        <v/>
      </c>
      <c r="V82" s="37" t="str">
        <f ca="1">IFERROR(+IF(V$29=ProposalToGnatt[[#This Row],[Start Date]],Milestone_Marker,IF(AND(V$29&gt;ProposalToGnatt[[#This Row],[Start Date]],V$29&lt;ProposalToGnatt[[#This Row],[Start Date]]+ProposalToGnatt[[#This Row],[Days]]),$G$5,"")),"")</f>
        <v/>
      </c>
      <c r="W82" s="37" t="str">
        <f ca="1">IFERROR(+IF(W$29=ProposalToGnatt[[#This Row],[Start Date]],Milestone_Marker,IF(AND(W$29&gt;ProposalToGnatt[[#This Row],[Start Date]],W$29&lt;ProposalToGnatt[[#This Row],[Start Date]]+ProposalToGnatt[[#This Row],[Days]]),$G$5,"")),"")</f>
        <v/>
      </c>
      <c r="X82" s="37" t="str">
        <f ca="1">IFERROR(+IF(X$29=ProposalToGnatt[[#This Row],[Start Date]],Milestone_Marker,IF(AND(X$29&gt;ProposalToGnatt[[#This Row],[Start Date]],X$29&lt;ProposalToGnatt[[#This Row],[Start Date]]+ProposalToGnatt[[#This Row],[Days]]),$G$5,"")),"")</f>
        <v/>
      </c>
      <c r="Y82" s="37" t="str">
        <f ca="1">IFERROR(+IF(Y$29=ProposalToGnatt[[#This Row],[Start Date]],Milestone_Marker,IF(AND(Y$29&gt;ProposalToGnatt[[#This Row],[Start Date]],Y$29&lt;ProposalToGnatt[[#This Row],[Start Date]]+ProposalToGnatt[[#This Row],[Days]]),$G$5,"")),"")</f>
        <v/>
      </c>
      <c r="Z82" s="37" t="str">
        <f ca="1">IFERROR(+IF(Z$29=ProposalToGnatt[[#This Row],[Start Date]],Milestone_Marker,IF(AND(Z$29&gt;ProposalToGnatt[[#This Row],[Start Date]],Z$29&lt;ProposalToGnatt[[#This Row],[Start Date]]+ProposalToGnatt[[#This Row],[Days]]),$G$5,"")),"")</f>
        <v/>
      </c>
      <c r="AA82" s="37" t="str">
        <f ca="1">IFERROR(+IF(AA$29=ProposalToGnatt[[#This Row],[Start Date]],Milestone_Marker,IF(AND(AA$29&gt;ProposalToGnatt[[#This Row],[Start Date]],AA$29&lt;ProposalToGnatt[[#This Row],[Start Date]]+ProposalToGnatt[[#This Row],[Days]]),$G$5,"")),"")</f>
        <v/>
      </c>
      <c r="AB82" s="37" t="str">
        <f ca="1">IFERROR(+IF(AB$29=ProposalToGnatt[[#This Row],[Start Date]],Milestone_Marker,IF(AND(AB$29&gt;ProposalToGnatt[[#This Row],[Start Date]],AB$29&lt;ProposalToGnatt[[#This Row],[Start Date]]+ProposalToGnatt[[#This Row],[Days]]),$G$5,"")),"")</f>
        <v/>
      </c>
      <c r="AC82" s="37" t="str">
        <f ca="1">IFERROR(+IF(AC$29=ProposalToGnatt[[#This Row],[Start Date]],Milestone_Marker,IF(AND(AC$29&gt;ProposalToGnatt[[#This Row],[Start Date]],AC$29&lt;ProposalToGnatt[[#This Row],[Start Date]]+ProposalToGnatt[[#This Row],[Days]]),$G$5,"")),"")</f>
        <v/>
      </c>
      <c r="AD82" s="37" t="str">
        <f ca="1">IFERROR(+IF(AD$29=ProposalToGnatt[[#This Row],[Start Date]],Milestone_Marker,IF(AND(AD$29&gt;ProposalToGnatt[[#This Row],[Start Date]],AD$29&lt;ProposalToGnatt[[#This Row],[Start Date]]+ProposalToGnatt[[#This Row],[Days]]),$G$5,"")),"")</f>
        <v/>
      </c>
      <c r="AE82" s="37" t="str">
        <f ca="1">IFERROR(+IF(AE$29=ProposalToGnatt[[#This Row],[Start Date]],Milestone_Marker,IF(AND(AE$29&gt;ProposalToGnatt[[#This Row],[Start Date]],AE$29&lt;ProposalToGnatt[[#This Row],[Start Date]]+ProposalToGnatt[[#This Row],[Days]]),$G$5,"")),"")</f>
        <v/>
      </c>
      <c r="AF82" s="37" t="str">
        <f ca="1">IFERROR(+IF(AF$29=ProposalToGnatt[[#This Row],[Start Date]],Milestone_Marker,IF(AND(AF$29&gt;ProposalToGnatt[[#This Row],[Start Date]],AF$29&lt;ProposalToGnatt[[#This Row],[Start Date]]+ProposalToGnatt[[#This Row],[Days]]),$G$5,"")),"")</f>
        <v/>
      </c>
      <c r="AG82" s="37" t="str">
        <f ca="1">IFERROR(+IF(AG$29=ProposalToGnatt[[#This Row],[Start Date]],Milestone_Marker,IF(AND(AG$29&gt;ProposalToGnatt[[#This Row],[Start Date]],AG$29&lt;ProposalToGnatt[[#This Row],[Start Date]]+ProposalToGnatt[[#This Row],[Days]]),$G$5,"")),"")</f>
        <v/>
      </c>
      <c r="AH82" s="37" t="str">
        <f ca="1">IFERROR(+IF(AH$29=ProposalToGnatt[[#This Row],[Start Date]],Milestone_Marker,IF(AND(AH$29&gt;ProposalToGnatt[[#This Row],[Start Date]],AH$29&lt;ProposalToGnatt[[#This Row],[Start Date]]+ProposalToGnatt[[#This Row],[Days]]),$G$5,"")),"")</f>
        <v/>
      </c>
      <c r="AI82" s="37" t="str">
        <f ca="1">IFERROR(+IF(AI$29=ProposalToGnatt[[#This Row],[Start Date]],Milestone_Marker,IF(AND(AI$29&gt;ProposalToGnatt[[#This Row],[Start Date]],AI$29&lt;ProposalToGnatt[[#This Row],[Start Date]]+ProposalToGnatt[[#This Row],[Days]]),$G$5,"")),"")</f>
        <v/>
      </c>
      <c r="AJ82" s="37" t="str">
        <f ca="1">IFERROR(+IF(AJ$29=ProposalToGnatt[[#This Row],[Start Date]],Milestone_Marker,IF(AND(AJ$29&gt;ProposalToGnatt[[#This Row],[Start Date]],AJ$29&lt;ProposalToGnatt[[#This Row],[Start Date]]+ProposalToGnatt[[#This Row],[Days]]),$G$5,"")),"")</f>
        <v/>
      </c>
      <c r="AK82" s="37" t="str">
        <f ca="1">IFERROR(+IF(AK$29=ProposalToGnatt[[#This Row],[Start Date]],Milestone_Marker,IF(AND(AK$29&gt;ProposalToGnatt[[#This Row],[Start Date]],AK$29&lt;ProposalToGnatt[[#This Row],[Start Date]]+ProposalToGnatt[[#This Row],[Days]]),$G$5,"")),"")</f>
        <v/>
      </c>
      <c r="AL82" s="37" t="str">
        <f ca="1">IFERROR(+IF(AL$29=ProposalToGnatt[[#This Row],[Start Date]],Milestone_Marker,IF(AND(AL$29&gt;ProposalToGnatt[[#This Row],[Start Date]],AL$29&lt;ProposalToGnatt[[#This Row],[Start Date]]+ProposalToGnatt[[#This Row],[Days]]),$G$5,"")),"")</f>
        <v/>
      </c>
      <c r="AM82" s="37" t="str">
        <f ca="1">IFERROR(+IF(AM$29=ProposalToGnatt[[#This Row],[Start Date]],Milestone_Marker,IF(AND(AM$29&gt;ProposalToGnatt[[#This Row],[Start Date]],AM$29&lt;ProposalToGnatt[[#This Row],[Start Date]]+ProposalToGnatt[[#This Row],[Days]]),$G$5,"")),"")</f>
        <v/>
      </c>
      <c r="AN82" s="37" t="str">
        <f ca="1">IFERROR(+IF(AN$29=ProposalToGnatt[[#This Row],[Start Date]],Milestone_Marker,IF(AND(AN$29&gt;ProposalToGnatt[[#This Row],[Start Date]],AN$29&lt;ProposalToGnatt[[#This Row],[Start Date]]+ProposalToGnatt[[#This Row],[Days]]),$G$5,"")),"")</f>
        <v/>
      </c>
      <c r="AO82" s="37" t="str">
        <f ca="1">IFERROR(+IF(AO$29=ProposalToGnatt[[#This Row],[Start Date]],Milestone_Marker,IF(AND(AO$29&gt;ProposalToGnatt[[#This Row],[Start Date]],AO$29&lt;ProposalToGnatt[[#This Row],[Start Date]]+ProposalToGnatt[[#This Row],[Days]]),$G$5,"")),"")</f>
        <v/>
      </c>
      <c r="AP82" s="37" t="str">
        <f ca="1">IFERROR(+IF(AP$29=ProposalToGnatt[[#This Row],[Start Date]],Milestone_Marker,IF(AND(AP$29&gt;ProposalToGnatt[[#This Row],[Start Date]],AP$29&lt;ProposalToGnatt[[#This Row],[Start Date]]+ProposalToGnatt[[#This Row],[Days]]),$G$5,"")),"")</f>
        <v/>
      </c>
      <c r="AQ82" s="37" t="str">
        <f ca="1">IFERROR(+IF(AQ$29=ProposalToGnatt[[#This Row],[Start Date]],Milestone_Marker,IF(AND(AQ$29&gt;ProposalToGnatt[[#This Row],[Start Date]],AQ$29&lt;ProposalToGnatt[[#This Row],[Start Date]]+ProposalToGnatt[[#This Row],[Days]]),$G$5,"")),"")</f>
        <v/>
      </c>
      <c r="AR82" s="37" t="str">
        <f ca="1">IFERROR(+IF(AR$29=ProposalToGnatt[[#This Row],[Start Date]],Milestone_Marker,IF(AND(AR$29&gt;ProposalToGnatt[[#This Row],[Start Date]],AR$29&lt;ProposalToGnatt[[#This Row],[Start Date]]+ProposalToGnatt[[#This Row],[Days]]),$G$5,"")),"")</f>
        <v/>
      </c>
      <c r="AS82" s="37" t="str">
        <f ca="1">IFERROR(+IF(AS$29=ProposalToGnatt[[#This Row],[Start Date]],Milestone_Marker,IF(AND(AS$29&gt;ProposalToGnatt[[#This Row],[Start Date]],AS$29&lt;ProposalToGnatt[[#This Row],[Start Date]]+ProposalToGnatt[[#This Row],[Days]]),$G$5,"")),"")</f>
        <v/>
      </c>
      <c r="AT82" s="37" t="str">
        <f ca="1">IFERROR(+IF(AT$29=ProposalToGnatt[[#This Row],[Start Date]],Milestone_Marker,IF(AND(AT$29&gt;ProposalToGnatt[[#This Row],[Start Date]],AT$29&lt;ProposalToGnatt[[#This Row],[Start Date]]+ProposalToGnatt[[#This Row],[Days]]),$G$5,"")),"")</f>
        <v/>
      </c>
      <c r="AU82" s="37" t="str">
        <f ca="1">IFERROR(+IF(AU$29=ProposalToGnatt[[#This Row],[Start Date]],Milestone_Marker,IF(AND(AU$29&gt;ProposalToGnatt[[#This Row],[Start Date]],AU$29&lt;ProposalToGnatt[[#This Row],[Start Date]]+ProposalToGnatt[[#This Row],[Days]]),$G$5,"")),"")</f>
        <v/>
      </c>
      <c r="AV82" s="37" t="str">
        <f ca="1">IFERROR(+IF(AV$29=ProposalToGnatt[[#This Row],[Start Date]],Milestone_Marker,IF(AND(AV$29&gt;ProposalToGnatt[[#This Row],[Start Date]],AV$29&lt;ProposalToGnatt[[#This Row],[Start Date]]+ProposalToGnatt[[#This Row],[Days]]),$G$5,"")),"")</f>
        <v/>
      </c>
      <c r="AW82" s="37" t="str">
        <f ca="1">IFERROR(+IF(AW$29=ProposalToGnatt[[#This Row],[Start Date]],Milestone_Marker,IF(AND(AW$29&gt;ProposalToGnatt[[#This Row],[Start Date]],AW$29&lt;ProposalToGnatt[[#This Row],[Start Date]]+ProposalToGnatt[[#This Row],[Days]]),$G$5,"")),"")</f>
        <v/>
      </c>
      <c r="AX82" s="37" t="str">
        <f ca="1">IFERROR(+IF(AX$29=ProposalToGnatt[[#This Row],[Start Date]],Milestone_Marker,IF(AND(AX$29&gt;ProposalToGnatt[[#This Row],[Start Date]],AX$29&lt;ProposalToGnatt[[#This Row],[Start Date]]+ProposalToGnatt[[#This Row],[Days]]),$G$5,"")),"")</f>
        <v/>
      </c>
      <c r="AY82" s="37" t="str">
        <f ca="1">IFERROR(+IF(AY$29=ProposalToGnatt[[#This Row],[Start Date]],Milestone_Marker,IF(AND(AY$29&gt;ProposalToGnatt[[#This Row],[Start Date]],AY$29&lt;ProposalToGnatt[[#This Row],[Start Date]]+ProposalToGnatt[[#This Row],[Days]]),$G$5,"")),"")</f>
        <v/>
      </c>
      <c r="AZ82" s="37" t="str">
        <f ca="1">IFERROR(+IF(AZ$29=ProposalToGnatt[[#This Row],[Start Date]],Milestone_Marker,IF(AND(AZ$29&gt;ProposalToGnatt[[#This Row],[Start Date]],AZ$29&lt;ProposalToGnatt[[#This Row],[Start Date]]+ProposalToGnatt[[#This Row],[Days]]),$G$5,"")),"")</f>
        <v/>
      </c>
      <c r="BA82" s="37" t="str">
        <f ca="1">IFERROR(+IF(BA$29=ProposalToGnatt[[#This Row],[Start Date]],Milestone_Marker,IF(AND(BA$29&gt;ProposalToGnatt[[#This Row],[Start Date]],BA$29&lt;ProposalToGnatt[[#This Row],[Start Date]]+ProposalToGnatt[[#This Row],[Days]]),$G$5,"")),"")</f>
        <v/>
      </c>
      <c r="BB82" s="37" t="str">
        <f ca="1">IFERROR(+IF(BB$29=ProposalToGnatt[[#This Row],[Start Date]],Milestone_Marker,IF(AND(BB$29&gt;ProposalToGnatt[[#This Row],[Start Date]],BB$29&lt;ProposalToGnatt[[#This Row],[Start Date]]+ProposalToGnatt[[#This Row],[Days]]),$G$5,"")),"")</f>
        <v/>
      </c>
      <c r="BC82" s="37" t="str">
        <f ca="1">IFERROR(+IF(BC$29=ProposalToGnatt[[#This Row],[Start Date]],Milestone_Marker,IF(AND(BC$29&gt;ProposalToGnatt[[#This Row],[Start Date]],BC$29&lt;ProposalToGnatt[[#This Row],[Start Date]]+ProposalToGnatt[[#This Row],[Days]]),$G$5,"")),"")</f>
        <v/>
      </c>
      <c r="BD82" s="37" t="str">
        <f ca="1">IFERROR(+IF(BD$29=ProposalToGnatt[[#This Row],[Start Date]],Milestone_Marker,IF(AND(BD$29&gt;ProposalToGnatt[[#This Row],[Start Date]],BD$29&lt;ProposalToGnatt[[#This Row],[Start Date]]+ProposalToGnatt[[#This Row],[Days]]),$G$5,"")),"")</f>
        <v/>
      </c>
      <c r="BE82" s="37" t="str">
        <f ca="1">IFERROR(+IF(BE$29=ProposalToGnatt[[#This Row],[Start Date]],Milestone_Marker,IF(AND(BE$29&gt;ProposalToGnatt[[#This Row],[Start Date]],BE$29&lt;ProposalToGnatt[[#This Row],[Start Date]]+ProposalToGnatt[[#This Row],[Days]]),$G$5,"")),"")</f>
        <v/>
      </c>
      <c r="BF82" s="37" t="str">
        <f ca="1">IFERROR(+IF(BF$29=ProposalToGnatt[[#This Row],[Start Date]],Milestone_Marker,IF(AND(BF$29&gt;ProposalToGnatt[[#This Row],[Start Date]],BF$29&lt;ProposalToGnatt[[#This Row],[Start Date]]+ProposalToGnatt[[#This Row],[Days]]),$G$5,"")),"")</f>
        <v/>
      </c>
      <c r="BG82" s="37" t="str">
        <f ca="1">IFERROR(+IF(BG$29=ProposalToGnatt[[#This Row],[Start Date]],Milestone_Marker,IF(AND(BG$29&gt;ProposalToGnatt[[#This Row],[Start Date]],BG$29&lt;ProposalToGnatt[[#This Row],[Start Date]]+ProposalToGnatt[[#This Row],[Days]]),$G$5,"")),"")</f>
        <v/>
      </c>
      <c r="BH82" s="37" t="str">
        <f ca="1">IFERROR(+IF(BH$29=ProposalToGnatt[[#This Row],[Start Date]],Milestone_Marker,IF(AND(BH$29&gt;ProposalToGnatt[[#This Row],[Start Date]],BH$29&lt;ProposalToGnatt[[#This Row],[Start Date]]+ProposalToGnatt[[#This Row],[Days]]),$G$5,"")),"")</f>
        <v/>
      </c>
      <c r="BI82" s="37" t="str">
        <f ca="1">IFERROR(+IF(BI$29=ProposalToGnatt[[#This Row],[Start Date]],Milestone_Marker,IF(AND(BI$29&gt;ProposalToGnatt[[#This Row],[Start Date]],BI$29&lt;ProposalToGnatt[[#This Row],[Start Date]]+ProposalToGnatt[[#This Row],[Days]]),$G$5,"")),"")</f>
        <v/>
      </c>
      <c r="BJ82" s="37" t="str">
        <f ca="1">IFERROR(+IF(BJ$29=ProposalToGnatt[[#This Row],[Start Date]],Milestone_Marker,IF(AND(BJ$29&gt;ProposalToGnatt[[#This Row],[Start Date]],BJ$29&lt;ProposalToGnatt[[#This Row],[Start Date]]+ProposalToGnatt[[#This Row],[Days]]),$G$5,"")),"")</f>
        <v/>
      </c>
      <c r="BK82" s="37" t="str">
        <f ca="1">IFERROR(+IF(BK$29=ProposalToGnatt[[#This Row],[Start Date]],Milestone_Marker,IF(AND(BK$29&gt;ProposalToGnatt[[#This Row],[Start Date]],BK$29&lt;ProposalToGnatt[[#This Row],[Start Date]]+ProposalToGnatt[[#This Row],[Days]]),$G$5,"")),"")</f>
        <v/>
      </c>
      <c r="BL82" s="37" t="str">
        <f ca="1">IFERROR(+IF(BL$29=ProposalToGnatt[[#This Row],[Start Date]],Milestone_Marker,IF(AND(BL$29&gt;ProposalToGnatt[[#This Row],[Start Date]],BL$29&lt;ProposalToGnatt[[#This Row],[Start Date]]+ProposalToGnatt[[#This Row],[Days]]),$G$5,"")),"")</f>
        <v/>
      </c>
      <c r="BM82" s="37" t="str">
        <f ca="1">IFERROR(+IF(BM$29=ProposalToGnatt[[#This Row],[Start Date]],Milestone_Marker,IF(AND(BM$29&gt;ProposalToGnatt[[#This Row],[Start Date]],BM$29&lt;ProposalToGnatt[[#This Row],[Start Date]]+ProposalToGnatt[[#This Row],[Days]]),$G$5,"")),"")</f>
        <v/>
      </c>
      <c r="BN82" s="37" t="str">
        <f ca="1">IFERROR(+IF(BN$29=ProposalToGnatt[[#This Row],[Start Date]],Milestone_Marker,IF(AND(BN$29&gt;ProposalToGnatt[[#This Row],[Start Date]],BN$29&lt;ProposalToGnatt[[#This Row],[Start Date]]+ProposalToGnatt[[#This Row],[Days]]),$G$5,"")),"")</f>
        <v/>
      </c>
      <c r="BO82" s="37" t="str">
        <f ca="1">IFERROR(+IF(BO$29=ProposalToGnatt[[#This Row],[Start Date]],Milestone_Marker,IF(AND(BO$29&gt;ProposalToGnatt[[#This Row],[Start Date]],BO$29&lt;ProposalToGnatt[[#This Row],[Start Date]]+ProposalToGnatt[[#This Row],[Days]]),$G$5,"")),"")</f>
        <v/>
      </c>
      <c r="BP82" s="37" t="str">
        <f ca="1">IFERROR(+IF(BP$29=ProposalToGnatt[[#This Row],[Start Date]],Milestone_Marker,IF(AND(BP$29&gt;ProposalToGnatt[[#This Row],[Start Date]],BP$29&lt;ProposalToGnatt[[#This Row],[Start Date]]+ProposalToGnatt[[#This Row],[Days]]),$G$5,"")),"")</f>
        <v/>
      </c>
      <c r="BQ82" s="37" t="str">
        <f ca="1">IFERROR(+IF(BQ$29=ProposalToGnatt[[#This Row],[Start Date]],Milestone_Marker,IF(AND(BQ$29&gt;ProposalToGnatt[[#This Row],[Start Date]],BQ$29&lt;ProposalToGnatt[[#This Row],[Start Date]]+ProposalToGnatt[[#This Row],[Days]]),$G$5,"")),"")</f>
        <v/>
      </c>
      <c r="BR82" s="37" t="str">
        <f ca="1">IFERROR(+IF(BR$29=ProposalToGnatt[[#This Row],[Start Date]],Milestone_Marker,IF(AND(BR$29&gt;ProposalToGnatt[[#This Row],[Start Date]],BR$29&lt;ProposalToGnatt[[#This Row],[Start Date]]+ProposalToGnatt[[#This Row],[Days]]),$G$5,"")),"")</f>
        <v/>
      </c>
      <c r="BS82" s="37" t="str">
        <f ca="1">IFERROR(+IF(BS$29=ProposalToGnatt[[#This Row],[Start Date]],Milestone_Marker,IF(AND(BS$29&gt;ProposalToGnatt[[#This Row],[Start Date]],BS$29&lt;ProposalToGnatt[[#This Row],[Start Date]]+ProposalToGnatt[[#This Row],[Days]]),$G$5,"")),"")</f>
        <v/>
      </c>
      <c r="BT82" s="37" t="str">
        <f ca="1">IFERROR(+IF(BT$29=ProposalToGnatt[[#This Row],[Start Date]],Milestone_Marker,IF(AND(BT$29&gt;ProposalToGnatt[[#This Row],[Start Date]],BT$29&lt;ProposalToGnatt[[#This Row],[Start Date]]+ProposalToGnatt[[#This Row],[Days]]),$G$5,"")),"")</f>
        <v/>
      </c>
      <c r="BU82" s="37" t="str">
        <f ca="1">IFERROR(+IF(BU$29=ProposalToGnatt[[#This Row],[Start Date]],Milestone_Marker,IF(AND(BU$29&gt;ProposalToGnatt[[#This Row],[Start Date]],BU$29&lt;ProposalToGnatt[[#This Row],[Start Date]]+ProposalToGnatt[[#This Row],[Days]]),$G$5,"")),"")</f>
        <v/>
      </c>
      <c r="BV82" s="37" t="str">
        <f ca="1">IFERROR(+IF(BV$29=ProposalToGnatt[[#This Row],[Start Date]],Milestone_Marker,IF(AND(BV$29&gt;ProposalToGnatt[[#This Row],[Start Date]],BV$29&lt;ProposalToGnatt[[#This Row],[Start Date]]+ProposalToGnatt[[#This Row],[Days]]),$G$5,"")),"")</f>
        <v/>
      </c>
      <c r="BW82" s="37" t="str">
        <f ca="1">IFERROR(+IF(BW$29=ProposalToGnatt[[#This Row],[Start Date]],Milestone_Marker,IF(AND(BW$29&gt;ProposalToGnatt[[#This Row],[Start Date]],BW$29&lt;ProposalToGnatt[[#This Row],[Start Date]]+ProposalToGnatt[[#This Row],[Days]]),$G$5,"")),"")</f>
        <v/>
      </c>
      <c r="BX82" s="37" t="str">
        <f ca="1">IFERROR(+IF(BX$29=ProposalToGnatt[[#This Row],[Start Date]],Milestone_Marker,IF(AND(BX$29&gt;ProposalToGnatt[[#This Row],[Start Date]],BX$29&lt;ProposalToGnatt[[#This Row],[Start Date]]+ProposalToGnatt[[#This Row],[Days]]),$G$5,"")),"")</f>
        <v/>
      </c>
      <c r="BY82" s="37" t="str">
        <f ca="1">IFERROR(+IF(BY$29=ProposalToGnatt[[#This Row],[Start Date]],Milestone_Marker,IF(AND(BY$29&gt;ProposalToGnatt[[#This Row],[Start Date]],BY$29&lt;ProposalToGnatt[[#This Row],[Start Date]]+ProposalToGnatt[[#This Row],[Days]]),$G$5,"")),"")</f>
        <v/>
      </c>
      <c r="BZ82" s="37" t="str">
        <f ca="1">IFERROR(+IF(BZ$29=ProposalToGnatt[[#This Row],[Start Date]],Milestone_Marker,IF(AND(BZ$29&gt;ProposalToGnatt[[#This Row],[Start Date]],BZ$29&lt;ProposalToGnatt[[#This Row],[Start Date]]+ProposalToGnatt[[#This Row],[Days]]),$G$5,"")),"")</f>
        <v/>
      </c>
      <c r="CA82" s="37" t="str">
        <f ca="1">IFERROR(+IF(CA$29=ProposalToGnatt[[#This Row],[Start Date]],Milestone_Marker,IF(AND(CA$29&gt;ProposalToGnatt[[#This Row],[Start Date]],CA$29&lt;ProposalToGnatt[[#This Row],[Start Date]]+ProposalToGnatt[[#This Row],[Days]]),$G$5,"")),"")</f>
        <v/>
      </c>
      <c r="CB82" s="37" t="str">
        <f ca="1">IFERROR(+IF(CB$29=ProposalToGnatt[[#This Row],[Start Date]],Milestone_Marker,IF(AND(CB$29&gt;ProposalToGnatt[[#This Row],[Start Date]],CB$29&lt;ProposalToGnatt[[#This Row],[Start Date]]+ProposalToGnatt[[#This Row],[Days]]),$G$5,"")),"")</f>
        <v/>
      </c>
      <c r="CC82" s="37" t="str">
        <f ca="1">IFERROR(+IF(CC$29=ProposalToGnatt[[#This Row],[Start Date]],Milestone_Marker,IF(AND(CC$29&gt;ProposalToGnatt[[#This Row],[Start Date]],CC$29&lt;ProposalToGnatt[[#This Row],[Start Date]]+ProposalToGnatt[[#This Row],[Days]]),$G$5,"")),"")</f>
        <v/>
      </c>
      <c r="CD82" s="37" t="str">
        <f ca="1">IFERROR(+IF(CD$29=ProposalToGnatt[[#This Row],[Start Date]],Milestone_Marker,IF(AND(CD$29&gt;ProposalToGnatt[[#This Row],[Start Date]],CD$29&lt;ProposalToGnatt[[#This Row],[Start Date]]+ProposalToGnatt[[#This Row],[Days]]),$G$5,"")),"")</f>
        <v/>
      </c>
      <c r="CE82" s="37" t="str">
        <f ca="1">IFERROR(+IF(CE$29=ProposalToGnatt[[#This Row],[Start Date]],Milestone_Marker,IF(AND(CE$29&gt;ProposalToGnatt[[#This Row],[Start Date]],CE$29&lt;ProposalToGnatt[[#This Row],[Start Date]]+ProposalToGnatt[[#This Row],[Days]]),$G$5,"")),"")</f>
        <v/>
      </c>
      <c r="CF82" s="37" t="str">
        <f ca="1">IFERROR(+IF(CF$29=ProposalToGnatt[[#This Row],[Start Date]],Milestone_Marker,IF(AND(CF$29&gt;ProposalToGnatt[[#This Row],[Start Date]],CF$29&lt;ProposalToGnatt[[#This Row],[Start Date]]+ProposalToGnatt[[#This Row],[Days]]),$G$5,"")),"")</f>
        <v/>
      </c>
      <c r="CG82" s="37" t="str">
        <f ca="1">IFERROR(+IF(CG$29=ProposalToGnatt[[#This Row],[Start Date]],Milestone_Marker,IF(AND(CG$29&gt;ProposalToGnatt[[#This Row],[Start Date]],CG$29&lt;ProposalToGnatt[[#This Row],[Start Date]]+ProposalToGnatt[[#This Row],[Days]]),$G$5,"")),"")</f>
        <v/>
      </c>
      <c r="CH82" s="37" t="str">
        <f ca="1">IFERROR(+IF(CH$29=ProposalToGnatt[[#This Row],[Start Date]],Milestone_Marker,IF(AND(CH$29&gt;ProposalToGnatt[[#This Row],[Start Date]],CH$29&lt;ProposalToGnatt[[#This Row],[Start Date]]+ProposalToGnatt[[#This Row],[Days]]),$G$5,"")),"")</f>
        <v/>
      </c>
      <c r="CI82" s="37" t="str">
        <f ca="1">IFERROR(+IF(CI$29=ProposalToGnatt[[#This Row],[Start Date]],Milestone_Marker,IF(AND(CI$29&gt;ProposalToGnatt[[#This Row],[Start Date]],CI$29&lt;ProposalToGnatt[[#This Row],[Start Date]]+ProposalToGnatt[[#This Row],[Days]]),$G$5,"")),"")</f>
        <v/>
      </c>
      <c r="CJ82" s="37" t="str">
        <f ca="1">IFERROR(+IF(CJ$29=ProposalToGnatt[[#This Row],[Start Date]],Milestone_Marker,IF(AND(CJ$29&gt;ProposalToGnatt[[#This Row],[Start Date]],CJ$29&lt;ProposalToGnatt[[#This Row],[Start Date]]+ProposalToGnatt[[#This Row],[Days]]),$G$5,"")),"")</f>
        <v/>
      </c>
      <c r="CK82" s="37" t="str">
        <f ca="1">IFERROR(+IF(CK$29=ProposalToGnatt[[#This Row],[Start Date]],Milestone_Marker,IF(AND(CK$29&gt;ProposalToGnatt[[#This Row],[Start Date]],CK$29&lt;ProposalToGnatt[[#This Row],[Start Date]]+ProposalToGnatt[[#This Row],[Days]]),$G$5,"")),"")</f>
        <v/>
      </c>
      <c r="CL82" s="37" t="str">
        <f ca="1">IFERROR(+IF(CL$29=ProposalToGnatt[[#This Row],[Start Date]],Milestone_Marker,IF(AND(CL$29&gt;ProposalToGnatt[[#This Row],[Start Date]],CL$29&lt;ProposalToGnatt[[#This Row],[Start Date]]+ProposalToGnatt[[#This Row],[Days]]),$G$5,"")),"")</f>
        <v/>
      </c>
      <c r="CM82" s="37" t="str">
        <f ca="1">IFERROR(+IF(CM$29=ProposalToGnatt[[#This Row],[Start Date]],Milestone_Marker,IF(AND(CM$29&gt;ProposalToGnatt[[#This Row],[Start Date]],CM$29&lt;ProposalToGnatt[[#This Row],[Start Date]]+ProposalToGnatt[[#This Row],[Days]]),$G$5,"")),"")</f>
        <v/>
      </c>
      <c r="CN82" s="37" t="str">
        <f ca="1">IFERROR(+IF(CN$29=ProposalToGnatt[[#This Row],[Start Date]],Milestone_Marker,IF(AND(CN$29&gt;ProposalToGnatt[[#This Row],[Start Date]],CN$29&lt;ProposalToGnatt[[#This Row],[Start Date]]+ProposalToGnatt[[#This Row],[Days]]),$G$5,"")),"")</f>
        <v/>
      </c>
      <c r="CO82" s="37" t="str">
        <f ca="1">IFERROR(+IF(CO$29=ProposalToGnatt[[#This Row],[Start Date]],Milestone_Marker,IF(AND(CO$29&gt;ProposalToGnatt[[#This Row],[Start Date]],CO$29&lt;ProposalToGnatt[[#This Row],[Start Date]]+ProposalToGnatt[[#This Row],[Days]]),$G$5,"")),"")</f>
        <v/>
      </c>
      <c r="CP82" s="37" t="str">
        <f ca="1">IFERROR(+IF(CP$29=ProposalToGnatt[[#This Row],[Start Date]],Milestone_Marker,IF(AND(CP$29&gt;ProposalToGnatt[[#This Row],[Start Date]],CP$29&lt;ProposalToGnatt[[#This Row],[Start Date]]+ProposalToGnatt[[#This Row],[Days]]),$G$5,"")),"")</f>
        <v/>
      </c>
      <c r="CQ82" s="37" t="str">
        <f ca="1">IFERROR(+IF(CQ$29=ProposalToGnatt[[#This Row],[Start Date]],Milestone_Marker,IF(AND(CQ$29&gt;ProposalToGnatt[[#This Row],[Start Date]],CQ$29&lt;ProposalToGnatt[[#This Row],[Start Date]]+ProposalToGnatt[[#This Row],[Days]]),$G$5,"")),"")</f>
        <v/>
      </c>
      <c r="CR82" s="37" t="str">
        <f ca="1">IFERROR(+IF(CR$29=ProposalToGnatt[[#This Row],[Start Date]],Milestone_Marker,IF(AND(CR$29&gt;ProposalToGnatt[[#This Row],[Start Date]],CR$29&lt;ProposalToGnatt[[#This Row],[Start Date]]+ProposalToGnatt[[#This Row],[Days]]),$G$5,"")),"")</f>
        <v/>
      </c>
      <c r="CS82" s="37" t="str">
        <f ca="1">IFERROR(+IF(CS$29=ProposalToGnatt[[#This Row],[Start Date]],Milestone_Marker,IF(AND(CS$29&gt;ProposalToGnatt[[#This Row],[Start Date]],CS$29&lt;ProposalToGnatt[[#This Row],[Start Date]]+ProposalToGnatt[[#This Row],[Days]]),$G$5,"")),"")</f>
        <v/>
      </c>
      <c r="CT82" s="37" t="str">
        <f ca="1">IFERROR(+IF(CT$29=ProposalToGnatt[[#This Row],[Start Date]],Milestone_Marker,IF(AND(CT$29&gt;ProposalToGnatt[[#This Row],[Start Date]],CT$29&lt;ProposalToGnatt[[#This Row],[Start Date]]+ProposalToGnatt[[#This Row],[Days]]),$G$5,"")),"")</f>
        <v/>
      </c>
      <c r="CU82" s="37" t="str">
        <f ca="1">IFERROR(+IF(CU$29=ProposalToGnatt[[#This Row],[Start Date]],Milestone_Marker,IF(AND(CU$29&gt;ProposalToGnatt[[#This Row],[Start Date]],CU$29&lt;ProposalToGnatt[[#This Row],[Start Date]]+ProposalToGnatt[[#This Row],[Days]]),$G$5,"")),"")</f>
        <v/>
      </c>
      <c r="CV82" s="37" t="str">
        <f ca="1">IFERROR(+IF(CT$29=#REF!,Milestone_Marker,IF(AND(CT$29&gt;#REF!,CT$29&lt;=#REF!+#REF!),$G$5,"")),"")</f>
        <v/>
      </c>
      <c r="CW82" s="37" t="str">
        <f ca="1">IFERROR(+IF(CU$29=#REF!,Milestone_Marker,IF(AND(CU$29&gt;#REF!,CU$29&lt;=#REF!+#REF!),$G$5,"")),"")</f>
        <v/>
      </c>
      <c r="CX82" s="37"/>
      <c r="CY82" s="37"/>
      <c r="CZ82" s="37"/>
      <c r="DA82" s="37"/>
      <c r="DB82" s="37"/>
      <c r="DC82" s="37"/>
      <c r="DD82" s="37"/>
      <c r="DE82" s="37"/>
      <c r="DF82" s="37"/>
      <c r="DG82" s="37"/>
      <c r="DH82" s="37"/>
      <c r="DI82" s="37"/>
      <c r="DJ82" s="37"/>
      <c r="DK82" s="37"/>
      <c r="DL82" s="37"/>
      <c r="DM82" s="37"/>
      <c r="DN82" s="37"/>
      <c r="DO82" s="37"/>
      <c r="DP82" s="37"/>
      <c r="DQ82" s="37"/>
      <c r="DR82" s="37"/>
      <c r="DS82" s="37"/>
      <c r="DT82" s="37"/>
      <c r="DU82" s="37"/>
    </row>
    <row r="83" spans="1:125" ht="15">
      <c r="A83"/>
      <c r="B83"/>
      <c r="C83"/>
      <c r="D83"/>
      <c r="E83"/>
      <c r="F83"/>
      <c r="G83" s="11"/>
      <c r="H83" s="26"/>
      <c r="I83"/>
      <c r="J83"/>
      <c r="K83" s="363"/>
      <c r="L83"/>
      <c r="M83"/>
      <c r="N83"/>
      <c r="O83" s="26"/>
      <c r="P83" s="37" t="str">
        <f ca="1">IFERROR(+IF(P$29=ProposalToGnatt[[#This Row],[Start Date]],Milestone_Marker,IF(AND(P$29&gt;ProposalToGnatt[[#This Row],[Start Date]],P$29&lt;ProposalToGnatt[[#This Row],[Start Date]]+ProposalToGnatt[[#This Row],[Days]]),$G$5,"")),"")</f>
        <v/>
      </c>
      <c r="Q83" s="37" t="str">
        <f ca="1">IFERROR(+IF(Q$29=ProposalToGnatt[[#This Row],[Start Date]],Milestone_Marker,IF(AND(Q$29&gt;ProposalToGnatt[[#This Row],[Start Date]],Q$29&lt;ProposalToGnatt[[#This Row],[Start Date]]+ProposalToGnatt[[#This Row],[Days]]),$G$5,"")),"")</f>
        <v/>
      </c>
      <c r="R83" s="37" t="str">
        <f ca="1">IFERROR(+IF(R$29=ProposalToGnatt[[#This Row],[Start Date]],Milestone_Marker,IF(AND(R$29&gt;ProposalToGnatt[[#This Row],[Start Date]],R$29&lt;ProposalToGnatt[[#This Row],[Start Date]]+ProposalToGnatt[[#This Row],[Days]]),$G$5,"")),"")</f>
        <v/>
      </c>
      <c r="S83" s="37" t="str">
        <f ca="1">IFERROR(+IF(S$29=ProposalToGnatt[[#This Row],[Start Date]],Milestone_Marker,IF(AND(S$29&gt;ProposalToGnatt[[#This Row],[Start Date]],S$29&lt;ProposalToGnatt[[#This Row],[Start Date]]+ProposalToGnatt[[#This Row],[Days]]),$G$5,"")),"")</f>
        <v/>
      </c>
      <c r="T83" s="37" t="str">
        <f ca="1">IFERROR(+IF(T$29=ProposalToGnatt[[#This Row],[Start Date]],Milestone_Marker,IF(AND(T$29&gt;ProposalToGnatt[[#This Row],[Start Date]],T$29&lt;ProposalToGnatt[[#This Row],[Start Date]]+ProposalToGnatt[[#This Row],[Days]]),$G$5,"")),"")</f>
        <v/>
      </c>
      <c r="U83" s="37" t="str">
        <f ca="1">IFERROR(+IF(U$29=ProposalToGnatt[[#This Row],[Start Date]],Milestone_Marker,IF(AND(U$29&gt;ProposalToGnatt[[#This Row],[Start Date]],U$29&lt;ProposalToGnatt[[#This Row],[Start Date]]+ProposalToGnatt[[#This Row],[Days]]),$G$5,"")),"")</f>
        <v/>
      </c>
      <c r="V83" s="37" t="str">
        <f ca="1">IFERROR(+IF(V$29=ProposalToGnatt[[#This Row],[Start Date]],Milestone_Marker,IF(AND(V$29&gt;ProposalToGnatt[[#This Row],[Start Date]],V$29&lt;ProposalToGnatt[[#This Row],[Start Date]]+ProposalToGnatt[[#This Row],[Days]]),$G$5,"")),"")</f>
        <v/>
      </c>
      <c r="W83" s="37" t="str">
        <f ca="1">IFERROR(+IF(W$29=ProposalToGnatt[[#This Row],[Start Date]],Milestone_Marker,IF(AND(W$29&gt;ProposalToGnatt[[#This Row],[Start Date]],W$29&lt;ProposalToGnatt[[#This Row],[Start Date]]+ProposalToGnatt[[#This Row],[Days]]),$G$5,"")),"")</f>
        <v/>
      </c>
      <c r="X83" s="37" t="str">
        <f ca="1">IFERROR(+IF(X$29=ProposalToGnatt[[#This Row],[Start Date]],Milestone_Marker,IF(AND(X$29&gt;ProposalToGnatt[[#This Row],[Start Date]],X$29&lt;ProposalToGnatt[[#This Row],[Start Date]]+ProposalToGnatt[[#This Row],[Days]]),$G$5,"")),"")</f>
        <v/>
      </c>
      <c r="Y83" s="37" t="str">
        <f ca="1">IFERROR(+IF(Y$29=ProposalToGnatt[[#This Row],[Start Date]],Milestone_Marker,IF(AND(Y$29&gt;ProposalToGnatt[[#This Row],[Start Date]],Y$29&lt;ProposalToGnatt[[#This Row],[Start Date]]+ProposalToGnatt[[#This Row],[Days]]),$G$5,"")),"")</f>
        <v/>
      </c>
      <c r="Z83" s="37" t="str">
        <f ca="1">IFERROR(+IF(Z$29=ProposalToGnatt[[#This Row],[Start Date]],Milestone_Marker,IF(AND(Z$29&gt;ProposalToGnatt[[#This Row],[Start Date]],Z$29&lt;ProposalToGnatt[[#This Row],[Start Date]]+ProposalToGnatt[[#This Row],[Days]]),$G$5,"")),"")</f>
        <v/>
      </c>
      <c r="AA83" s="37" t="str">
        <f ca="1">IFERROR(+IF(AA$29=ProposalToGnatt[[#This Row],[Start Date]],Milestone_Marker,IF(AND(AA$29&gt;ProposalToGnatt[[#This Row],[Start Date]],AA$29&lt;ProposalToGnatt[[#This Row],[Start Date]]+ProposalToGnatt[[#This Row],[Days]]),$G$5,"")),"")</f>
        <v/>
      </c>
      <c r="AB83" s="37" t="str">
        <f ca="1">IFERROR(+IF(AB$29=ProposalToGnatt[[#This Row],[Start Date]],Milestone_Marker,IF(AND(AB$29&gt;ProposalToGnatt[[#This Row],[Start Date]],AB$29&lt;ProposalToGnatt[[#This Row],[Start Date]]+ProposalToGnatt[[#This Row],[Days]]),$G$5,"")),"")</f>
        <v/>
      </c>
      <c r="AC83" s="37" t="str">
        <f ca="1">IFERROR(+IF(AC$29=ProposalToGnatt[[#This Row],[Start Date]],Milestone_Marker,IF(AND(AC$29&gt;ProposalToGnatt[[#This Row],[Start Date]],AC$29&lt;ProposalToGnatt[[#This Row],[Start Date]]+ProposalToGnatt[[#This Row],[Days]]),$G$5,"")),"")</f>
        <v/>
      </c>
      <c r="AD83" s="37" t="str">
        <f ca="1">IFERROR(+IF(AD$29=ProposalToGnatt[[#This Row],[Start Date]],Milestone_Marker,IF(AND(AD$29&gt;ProposalToGnatt[[#This Row],[Start Date]],AD$29&lt;ProposalToGnatt[[#This Row],[Start Date]]+ProposalToGnatt[[#This Row],[Days]]),$G$5,"")),"")</f>
        <v/>
      </c>
      <c r="AE83" s="37" t="str">
        <f ca="1">IFERROR(+IF(AE$29=ProposalToGnatt[[#This Row],[Start Date]],Milestone_Marker,IF(AND(AE$29&gt;ProposalToGnatt[[#This Row],[Start Date]],AE$29&lt;ProposalToGnatt[[#This Row],[Start Date]]+ProposalToGnatt[[#This Row],[Days]]),$G$5,"")),"")</f>
        <v/>
      </c>
      <c r="AF83" s="37" t="str">
        <f ca="1">IFERROR(+IF(AF$29=ProposalToGnatt[[#This Row],[Start Date]],Milestone_Marker,IF(AND(AF$29&gt;ProposalToGnatt[[#This Row],[Start Date]],AF$29&lt;ProposalToGnatt[[#This Row],[Start Date]]+ProposalToGnatt[[#This Row],[Days]]),$G$5,"")),"")</f>
        <v/>
      </c>
      <c r="AG83" s="37" t="str">
        <f ca="1">IFERROR(+IF(AG$29=ProposalToGnatt[[#This Row],[Start Date]],Milestone_Marker,IF(AND(AG$29&gt;ProposalToGnatt[[#This Row],[Start Date]],AG$29&lt;ProposalToGnatt[[#This Row],[Start Date]]+ProposalToGnatt[[#This Row],[Days]]),$G$5,"")),"")</f>
        <v/>
      </c>
      <c r="AH83" s="37" t="str">
        <f ca="1">IFERROR(+IF(AH$29=ProposalToGnatt[[#This Row],[Start Date]],Milestone_Marker,IF(AND(AH$29&gt;ProposalToGnatt[[#This Row],[Start Date]],AH$29&lt;ProposalToGnatt[[#This Row],[Start Date]]+ProposalToGnatt[[#This Row],[Days]]),$G$5,"")),"")</f>
        <v/>
      </c>
      <c r="AI83" s="37" t="str">
        <f ca="1">IFERROR(+IF(AI$29=ProposalToGnatt[[#This Row],[Start Date]],Milestone_Marker,IF(AND(AI$29&gt;ProposalToGnatt[[#This Row],[Start Date]],AI$29&lt;ProposalToGnatt[[#This Row],[Start Date]]+ProposalToGnatt[[#This Row],[Days]]),$G$5,"")),"")</f>
        <v/>
      </c>
      <c r="AJ83" s="37" t="str">
        <f ca="1">IFERROR(+IF(AJ$29=ProposalToGnatt[[#This Row],[Start Date]],Milestone_Marker,IF(AND(AJ$29&gt;ProposalToGnatt[[#This Row],[Start Date]],AJ$29&lt;ProposalToGnatt[[#This Row],[Start Date]]+ProposalToGnatt[[#This Row],[Days]]),$G$5,"")),"")</f>
        <v/>
      </c>
      <c r="AK83" s="37" t="str">
        <f ca="1">IFERROR(+IF(AK$29=ProposalToGnatt[[#This Row],[Start Date]],Milestone_Marker,IF(AND(AK$29&gt;ProposalToGnatt[[#This Row],[Start Date]],AK$29&lt;ProposalToGnatt[[#This Row],[Start Date]]+ProposalToGnatt[[#This Row],[Days]]),$G$5,"")),"")</f>
        <v/>
      </c>
      <c r="AL83" s="37" t="str">
        <f ca="1">IFERROR(+IF(AL$29=ProposalToGnatt[[#This Row],[Start Date]],Milestone_Marker,IF(AND(AL$29&gt;ProposalToGnatt[[#This Row],[Start Date]],AL$29&lt;ProposalToGnatt[[#This Row],[Start Date]]+ProposalToGnatt[[#This Row],[Days]]),$G$5,"")),"")</f>
        <v/>
      </c>
      <c r="AM83" s="37" t="str">
        <f ca="1">IFERROR(+IF(AM$29=ProposalToGnatt[[#This Row],[Start Date]],Milestone_Marker,IF(AND(AM$29&gt;ProposalToGnatt[[#This Row],[Start Date]],AM$29&lt;ProposalToGnatt[[#This Row],[Start Date]]+ProposalToGnatt[[#This Row],[Days]]),$G$5,"")),"")</f>
        <v/>
      </c>
      <c r="AN83" s="37" t="str">
        <f ca="1">IFERROR(+IF(AN$29=ProposalToGnatt[[#This Row],[Start Date]],Milestone_Marker,IF(AND(AN$29&gt;ProposalToGnatt[[#This Row],[Start Date]],AN$29&lt;ProposalToGnatt[[#This Row],[Start Date]]+ProposalToGnatt[[#This Row],[Days]]),$G$5,"")),"")</f>
        <v/>
      </c>
      <c r="AO83" s="37" t="str">
        <f ca="1">IFERROR(+IF(AO$29=ProposalToGnatt[[#This Row],[Start Date]],Milestone_Marker,IF(AND(AO$29&gt;ProposalToGnatt[[#This Row],[Start Date]],AO$29&lt;ProposalToGnatt[[#This Row],[Start Date]]+ProposalToGnatt[[#This Row],[Days]]),$G$5,"")),"")</f>
        <v/>
      </c>
      <c r="AP83" s="37" t="str">
        <f ca="1">IFERROR(+IF(AP$29=ProposalToGnatt[[#This Row],[Start Date]],Milestone_Marker,IF(AND(AP$29&gt;ProposalToGnatt[[#This Row],[Start Date]],AP$29&lt;ProposalToGnatt[[#This Row],[Start Date]]+ProposalToGnatt[[#This Row],[Days]]),$G$5,"")),"")</f>
        <v/>
      </c>
      <c r="AQ83" s="37" t="str">
        <f ca="1">IFERROR(+IF(AQ$29=ProposalToGnatt[[#This Row],[Start Date]],Milestone_Marker,IF(AND(AQ$29&gt;ProposalToGnatt[[#This Row],[Start Date]],AQ$29&lt;ProposalToGnatt[[#This Row],[Start Date]]+ProposalToGnatt[[#This Row],[Days]]),$G$5,"")),"")</f>
        <v/>
      </c>
      <c r="AR83" s="37" t="str">
        <f ca="1">IFERROR(+IF(AR$29=ProposalToGnatt[[#This Row],[Start Date]],Milestone_Marker,IF(AND(AR$29&gt;ProposalToGnatt[[#This Row],[Start Date]],AR$29&lt;ProposalToGnatt[[#This Row],[Start Date]]+ProposalToGnatt[[#This Row],[Days]]),$G$5,"")),"")</f>
        <v/>
      </c>
      <c r="AS83" s="37" t="str">
        <f ca="1">IFERROR(+IF(AS$29=ProposalToGnatt[[#This Row],[Start Date]],Milestone_Marker,IF(AND(AS$29&gt;ProposalToGnatt[[#This Row],[Start Date]],AS$29&lt;ProposalToGnatt[[#This Row],[Start Date]]+ProposalToGnatt[[#This Row],[Days]]),$G$5,"")),"")</f>
        <v/>
      </c>
      <c r="AT83" s="37" t="str">
        <f ca="1">IFERROR(+IF(AT$29=ProposalToGnatt[[#This Row],[Start Date]],Milestone_Marker,IF(AND(AT$29&gt;ProposalToGnatt[[#This Row],[Start Date]],AT$29&lt;ProposalToGnatt[[#This Row],[Start Date]]+ProposalToGnatt[[#This Row],[Days]]),$G$5,"")),"")</f>
        <v/>
      </c>
      <c r="AU83" s="37" t="str">
        <f ca="1">IFERROR(+IF(AU$29=ProposalToGnatt[[#This Row],[Start Date]],Milestone_Marker,IF(AND(AU$29&gt;ProposalToGnatt[[#This Row],[Start Date]],AU$29&lt;ProposalToGnatt[[#This Row],[Start Date]]+ProposalToGnatt[[#This Row],[Days]]),$G$5,"")),"")</f>
        <v/>
      </c>
      <c r="AV83" s="37" t="str">
        <f ca="1">IFERROR(+IF(AV$29=ProposalToGnatt[[#This Row],[Start Date]],Milestone_Marker,IF(AND(AV$29&gt;ProposalToGnatt[[#This Row],[Start Date]],AV$29&lt;ProposalToGnatt[[#This Row],[Start Date]]+ProposalToGnatt[[#This Row],[Days]]),$G$5,"")),"")</f>
        <v/>
      </c>
      <c r="AW83" s="37" t="str">
        <f ca="1">IFERROR(+IF(AW$29=ProposalToGnatt[[#This Row],[Start Date]],Milestone_Marker,IF(AND(AW$29&gt;ProposalToGnatt[[#This Row],[Start Date]],AW$29&lt;ProposalToGnatt[[#This Row],[Start Date]]+ProposalToGnatt[[#This Row],[Days]]),$G$5,"")),"")</f>
        <v/>
      </c>
      <c r="AX83" s="37" t="str">
        <f ca="1">IFERROR(+IF(AX$29=ProposalToGnatt[[#This Row],[Start Date]],Milestone_Marker,IF(AND(AX$29&gt;ProposalToGnatt[[#This Row],[Start Date]],AX$29&lt;ProposalToGnatt[[#This Row],[Start Date]]+ProposalToGnatt[[#This Row],[Days]]),$G$5,"")),"")</f>
        <v/>
      </c>
      <c r="AY83" s="37" t="str">
        <f ca="1">IFERROR(+IF(AY$29=ProposalToGnatt[[#This Row],[Start Date]],Milestone_Marker,IF(AND(AY$29&gt;ProposalToGnatt[[#This Row],[Start Date]],AY$29&lt;ProposalToGnatt[[#This Row],[Start Date]]+ProposalToGnatt[[#This Row],[Days]]),$G$5,"")),"")</f>
        <v/>
      </c>
      <c r="AZ83" s="37" t="str">
        <f ca="1">IFERROR(+IF(AZ$29=ProposalToGnatt[[#This Row],[Start Date]],Milestone_Marker,IF(AND(AZ$29&gt;ProposalToGnatt[[#This Row],[Start Date]],AZ$29&lt;ProposalToGnatt[[#This Row],[Start Date]]+ProposalToGnatt[[#This Row],[Days]]),$G$5,"")),"")</f>
        <v/>
      </c>
      <c r="BA83" s="37" t="str">
        <f ca="1">IFERROR(+IF(BA$29=ProposalToGnatt[[#This Row],[Start Date]],Milestone_Marker,IF(AND(BA$29&gt;ProposalToGnatt[[#This Row],[Start Date]],BA$29&lt;ProposalToGnatt[[#This Row],[Start Date]]+ProposalToGnatt[[#This Row],[Days]]),$G$5,"")),"")</f>
        <v/>
      </c>
      <c r="BB83" s="37" t="str">
        <f ca="1">IFERROR(+IF(BB$29=ProposalToGnatt[[#This Row],[Start Date]],Milestone_Marker,IF(AND(BB$29&gt;ProposalToGnatt[[#This Row],[Start Date]],BB$29&lt;ProposalToGnatt[[#This Row],[Start Date]]+ProposalToGnatt[[#This Row],[Days]]),$G$5,"")),"")</f>
        <v/>
      </c>
      <c r="BC83" s="37" t="str">
        <f ca="1">IFERROR(+IF(BC$29=ProposalToGnatt[[#This Row],[Start Date]],Milestone_Marker,IF(AND(BC$29&gt;ProposalToGnatt[[#This Row],[Start Date]],BC$29&lt;ProposalToGnatt[[#This Row],[Start Date]]+ProposalToGnatt[[#This Row],[Days]]),$G$5,"")),"")</f>
        <v/>
      </c>
      <c r="BD83" s="37" t="str">
        <f ca="1">IFERROR(+IF(BD$29=ProposalToGnatt[[#This Row],[Start Date]],Milestone_Marker,IF(AND(BD$29&gt;ProposalToGnatt[[#This Row],[Start Date]],BD$29&lt;ProposalToGnatt[[#This Row],[Start Date]]+ProposalToGnatt[[#This Row],[Days]]),$G$5,"")),"")</f>
        <v/>
      </c>
      <c r="BE83" s="37" t="str">
        <f ca="1">IFERROR(+IF(BE$29=ProposalToGnatt[[#This Row],[Start Date]],Milestone_Marker,IF(AND(BE$29&gt;ProposalToGnatt[[#This Row],[Start Date]],BE$29&lt;ProposalToGnatt[[#This Row],[Start Date]]+ProposalToGnatt[[#This Row],[Days]]),$G$5,"")),"")</f>
        <v/>
      </c>
      <c r="BF83" s="37" t="str">
        <f ca="1">IFERROR(+IF(BF$29=ProposalToGnatt[[#This Row],[Start Date]],Milestone_Marker,IF(AND(BF$29&gt;ProposalToGnatt[[#This Row],[Start Date]],BF$29&lt;ProposalToGnatt[[#This Row],[Start Date]]+ProposalToGnatt[[#This Row],[Days]]),$G$5,"")),"")</f>
        <v/>
      </c>
      <c r="BG83" s="37" t="str">
        <f ca="1">IFERROR(+IF(BG$29=ProposalToGnatt[[#This Row],[Start Date]],Milestone_Marker,IF(AND(BG$29&gt;ProposalToGnatt[[#This Row],[Start Date]],BG$29&lt;ProposalToGnatt[[#This Row],[Start Date]]+ProposalToGnatt[[#This Row],[Days]]),$G$5,"")),"")</f>
        <v/>
      </c>
      <c r="BH83" s="37" t="str">
        <f ca="1">IFERROR(+IF(BH$29=ProposalToGnatt[[#This Row],[Start Date]],Milestone_Marker,IF(AND(BH$29&gt;ProposalToGnatt[[#This Row],[Start Date]],BH$29&lt;ProposalToGnatt[[#This Row],[Start Date]]+ProposalToGnatt[[#This Row],[Days]]),$G$5,"")),"")</f>
        <v/>
      </c>
      <c r="BI83" s="37" t="str">
        <f ca="1">IFERROR(+IF(BI$29=ProposalToGnatt[[#This Row],[Start Date]],Milestone_Marker,IF(AND(BI$29&gt;ProposalToGnatt[[#This Row],[Start Date]],BI$29&lt;ProposalToGnatt[[#This Row],[Start Date]]+ProposalToGnatt[[#This Row],[Days]]),$G$5,"")),"")</f>
        <v/>
      </c>
      <c r="BJ83" s="37" t="str">
        <f ca="1">IFERROR(+IF(BJ$29=ProposalToGnatt[[#This Row],[Start Date]],Milestone_Marker,IF(AND(BJ$29&gt;ProposalToGnatt[[#This Row],[Start Date]],BJ$29&lt;ProposalToGnatt[[#This Row],[Start Date]]+ProposalToGnatt[[#This Row],[Days]]),$G$5,"")),"")</f>
        <v/>
      </c>
      <c r="BK83" s="37" t="str">
        <f ca="1">IFERROR(+IF(BK$29=ProposalToGnatt[[#This Row],[Start Date]],Milestone_Marker,IF(AND(BK$29&gt;ProposalToGnatt[[#This Row],[Start Date]],BK$29&lt;ProposalToGnatt[[#This Row],[Start Date]]+ProposalToGnatt[[#This Row],[Days]]),$G$5,"")),"")</f>
        <v/>
      </c>
      <c r="BL83" s="37" t="str">
        <f ca="1">IFERROR(+IF(BL$29=ProposalToGnatt[[#This Row],[Start Date]],Milestone_Marker,IF(AND(BL$29&gt;ProposalToGnatt[[#This Row],[Start Date]],BL$29&lt;ProposalToGnatt[[#This Row],[Start Date]]+ProposalToGnatt[[#This Row],[Days]]),$G$5,"")),"")</f>
        <v/>
      </c>
      <c r="BM83" s="37" t="str">
        <f ca="1">IFERROR(+IF(BM$29=ProposalToGnatt[[#This Row],[Start Date]],Milestone_Marker,IF(AND(BM$29&gt;ProposalToGnatt[[#This Row],[Start Date]],BM$29&lt;ProposalToGnatt[[#This Row],[Start Date]]+ProposalToGnatt[[#This Row],[Days]]),$G$5,"")),"")</f>
        <v/>
      </c>
      <c r="BN83" s="37" t="str">
        <f ca="1">IFERROR(+IF(BN$29=ProposalToGnatt[[#This Row],[Start Date]],Milestone_Marker,IF(AND(BN$29&gt;ProposalToGnatt[[#This Row],[Start Date]],BN$29&lt;ProposalToGnatt[[#This Row],[Start Date]]+ProposalToGnatt[[#This Row],[Days]]),$G$5,"")),"")</f>
        <v/>
      </c>
      <c r="BO83" s="37" t="str">
        <f ca="1">IFERROR(+IF(BO$29=ProposalToGnatt[[#This Row],[Start Date]],Milestone_Marker,IF(AND(BO$29&gt;ProposalToGnatt[[#This Row],[Start Date]],BO$29&lt;ProposalToGnatt[[#This Row],[Start Date]]+ProposalToGnatt[[#This Row],[Days]]),$G$5,"")),"")</f>
        <v/>
      </c>
      <c r="BP83" s="37" t="str">
        <f ca="1">IFERROR(+IF(BP$29=ProposalToGnatt[[#This Row],[Start Date]],Milestone_Marker,IF(AND(BP$29&gt;ProposalToGnatt[[#This Row],[Start Date]],BP$29&lt;ProposalToGnatt[[#This Row],[Start Date]]+ProposalToGnatt[[#This Row],[Days]]),$G$5,"")),"")</f>
        <v/>
      </c>
      <c r="BQ83" s="37" t="str">
        <f ca="1">IFERROR(+IF(BQ$29=ProposalToGnatt[[#This Row],[Start Date]],Milestone_Marker,IF(AND(BQ$29&gt;ProposalToGnatt[[#This Row],[Start Date]],BQ$29&lt;ProposalToGnatt[[#This Row],[Start Date]]+ProposalToGnatt[[#This Row],[Days]]),$G$5,"")),"")</f>
        <v/>
      </c>
      <c r="BR83" s="37" t="str">
        <f ca="1">IFERROR(+IF(BR$29=ProposalToGnatt[[#This Row],[Start Date]],Milestone_Marker,IF(AND(BR$29&gt;ProposalToGnatt[[#This Row],[Start Date]],BR$29&lt;ProposalToGnatt[[#This Row],[Start Date]]+ProposalToGnatt[[#This Row],[Days]]),$G$5,"")),"")</f>
        <v/>
      </c>
      <c r="BS83" s="37" t="str">
        <f ca="1">IFERROR(+IF(BS$29=ProposalToGnatt[[#This Row],[Start Date]],Milestone_Marker,IF(AND(BS$29&gt;ProposalToGnatt[[#This Row],[Start Date]],BS$29&lt;ProposalToGnatt[[#This Row],[Start Date]]+ProposalToGnatt[[#This Row],[Days]]),$G$5,"")),"")</f>
        <v/>
      </c>
      <c r="BT83" s="37" t="str">
        <f ca="1">IFERROR(+IF(BT$29=ProposalToGnatt[[#This Row],[Start Date]],Milestone_Marker,IF(AND(BT$29&gt;ProposalToGnatt[[#This Row],[Start Date]],BT$29&lt;ProposalToGnatt[[#This Row],[Start Date]]+ProposalToGnatt[[#This Row],[Days]]),$G$5,"")),"")</f>
        <v/>
      </c>
      <c r="BU83" s="37" t="str">
        <f ca="1">IFERROR(+IF(BU$29=ProposalToGnatt[[#This Row],[Start Date]],Milestone_Marker,IF(AND(BU$29&gt;ProposalToGnatt[[#This Row],[Start Date]],BU$29&lt;ProposalToGnatt[[#This Row],[Start Date]]+ProposalToGnatt[[#This Row],[Days]]),$G$5,"")),"")</f>
        <v/>
      </c>
      <c r="BV83" s="37" t="str">
        <f ca="1">IFERROR(+IF(BV$29=ProposalToGnatt[[#This Row],[Start Date]],Milestone_Marker,IF(AND(BV$29&gt;ProposalToGnatt[[#This Row],[Start Date]],BV$29&lt;ProposalToGnatt[[#This Row],[Start Date]]+ProposalToGnatt[[#This Row],[Days]]),$G$5,"")),"")</f>
        <v/>
      </c>
      <c r="BW83" s="37" t="str">
        <f ca="1">IFERROR(+IF(BW$29=ProposalToGnatt[[#This Row],[Start Date]],Milestone_Marker,IF(AND(BW$29&gt;ProposalToGnatt[[#This Row],[Start Date]],BW$29&lt;ProposalToGnatt[[#This Row],[Start Date]]+ProposalToGnatt[[#This Row],[Days]]),$G$5,"")),"")</f>
        <v/>
      </c>
      <c r="BX83" s="37" t="str">
        <f ca="1">IFERROR(+IF(BX$29=ProposalToGnatt[[#This Row],[Start Date]],Milestone_Marker,IF(AND(BX$29&gt;ProposalToGnatt[[#This Row],[Start Date]],BX$29&lt;ProposalToGnatt[[#This Row],[Start Date]]+ProposalToGnatt[[#This Row],[Days]]),$G$5,"")),"")</f>
        <v/>
      </c>
      <c r="BY83" s="37" t="str">
        <f ca="1">IFERROR(+IF(BY$29=ProposalToGnatt[[#This Row],[Start Date]],Milestone_Marker,IF(AND(BY$29&gt;ProposalToGnatt[[#This Row],[Start Date]],BY$29&lt;ProposalToGnatt[[#This Row],[Start Date]]+ProposalToGnatt[[#This Row],[Days]]),$G$5,"")),"")</f>
        <v/>
      </c>
      <c r="BZ83" s="37" t="str">
        <f ca="1">IFERROR(+IF(BZ$29=ProposalToGnatt[[#This Row],[Start Date]],Milestone_Marker,IF(AND(BZ$29&gt;ProposalToGnatt[[#This Row],[Start Date]],BZ$29&lt;ProposalToGnatt[[#This Row],[Start Date]]+ProposalToGnatt[[#This Row],[Days]]),$G$5,"")),"")</f>
        <v/>
      </c>
      <c r="CA83" s="37" t="str">
        <f ca="1">IFERROR(+IF(CA$29=ProposalToGnatt[[#This Row],[Start Date]],Milestone_Marker,IF(AND(CA$29&gt;ProposalToGnatt[[#This Row],[Start Date]],CA$29&lt;ProposalToGnatt[[#This Row],[Start Date]]+ProposalToGnatt[[#This Row],[Days]]),$G$5,"")),"")</f>
        <v/>
      </c>
      <c r="CB83" s="37" t="str">
        <f ca="1">IFERROR(+IF(CB$29=ProposalToGnatt[[#This Row],[Start Date]],Milestone_Marker,IF(AND(CB$29&gt;ProposalToGnatt[[#This Row],[Start Date]],CB$29&lt;ProposalToGnatt[[#This Row],[Start Date]]+ProposalToGnatt[[#This Row],[Days]]),$G$5,"")),"")</f>
        <v/>
      </c>
      <c r="CC83" s="37" t="str">
        <f ca="1">IFERROR(+IF(CC$29=ProposalToGnatt[[#This Row],[Start Date]],Milestone_Marker,IF(AND(CC$29&gt;ProposalToGnatt[[#This Row],[Start Date]],CC$29&lt;ProposalToGnatt[[#This Row],[Start Date]]+ProposalToGnatt[[#This Row],[Days]]),$G$5,"")),"")</f>
        <v/>
      </c>
      <c r="CD83" s="37" t="str">
        <f ca="1">IFERROR(+IF(CD$29=ProposalToGnatt[[#This Row],[Start Date]],Milestone_Marker,IF(AND(CD$29&gt;ProposalToGnatt[[#This Row],[Start Date]],CD$29&lt;ProposalToGnatt[[#This Row],[Start Date]]+ProposalToGnatt[[#This Row],[Days]]),$G$5,"")),"")</f>
        <v/>
      </c>
      <c r="CE83" s="37" t="str">
        <f ca="1">IFERROR(+IF(CE$29=ProposalToGnatt[[#This Row],[Start Date]],Milestone_Marker,IF(AND(CE$29&gt;ProposalToGnatt[[#This Row],[Start Date]],CE$29&lt;ProposalToGnatt[[#This Row],[Start Date]]+ProposalToGnatt[[#This Row],[Days]]),$G$5,"")),"")</f>
        <v/>
      </c>
      <c r="CF83" s="37" t="str">
        <f ca="1">IFERROR(+IF(CF$29=ProposalToGnatt[[#This Row],[Start Date]],Milestone_Marker,IF(AND(CF$29&gt;ProposalToGnatt[[#This Row],[Start Date]],CF$29&lt;ProposalToGnatt[[#This Row],[Start Date]]+ProposalToGnatt[[#This Row],[Days]]),$G$5,"")),"")</f>
        <v/>
      </c>
      <c r="CG83" s="37" t="str">
        <f ca="1">IFERROR(+IF(CG$29=ProposalToGnatt[[#This Row],[Start Date]],Milestone_Marker,IF(AND(CG$29&gt;ProposalToGnatt[[#This Row],[Start Date]],CG$29&lt;ProposalToGnatt[[#This Row],[Start Date]]+ProposalToGnatt[[#This Row],[Days]]),$G$5,"")),"")</f>
        <v/>
      </c>
      <c r="CH83" s="37" t="str">
        <f ca="1">IFERROR(+IF(CH$29=ProposalToGnatt[[#This Row],[Start Date]],Milestone_Marker,IF(AND(CH$29&gt;ProposalToGnatt[[#This Row],[Start Date]],CH$29&lt;ProposalToGnatt[[#This Row],[Start Date]]+ProposalToGnatt[[#This Row],[Days]]),$G$5,"")),"")</f>
        <v/>
      </c>
      <c r="CI83" s="37" t="str">
        <f ca="1">IFERROR(+IF(CI$29=ProposalToGnatt[[#This Row],[Start Date]],Milestone_Marker,IF(AND(CI$29&gt;ProposalToGnatt[[#This Row],[Start Date]],CI$29&lt;ProposalToGnatt[[#This Row],[Start Date]]+ProposalToGnatt[[#This Row],[Days]]),$G$5,"")),"")</f>
        <v/>
      </c>
      <c r="CJ83" s="37" t="str">
        <f ca="1">IFERROR(+IF(CJ$29=ProposalToGnatt[[#This Row],[Start Date]],Milestone_Marker,IF(AND(CJ$29&gt;ProposalToGnatt[[#This Row],[Start Date]],CJ$29&lt;ProposalToGnatt[[#This Row],[Start Date]]+ProposalToGnatt[[#This Row],[Days]]),$G$5,"")),"")</f>
        <v/>
      </c>
      <c r="CK83" s="37" t="str">
        <f ca="1">IFERROR(+IF(CK$29=ProposalToGnatt[[#This Row],[Start Date]],Milestone_Marker,IF(AND(CK$29&gt;ProposalToGnatt[[#This Row],[Start Date]],CK$29&lt;ProposalToGnatt[[#This Row],[Start Date]]+ProposalToGnatt[[#This Row],[Days]]),$G$5,"")),"")</f>
        <v/>
      </c>
      <c r="CL83" s="37" t="str">
        <f ca="1">IFERROR(+IF(CL$29=ProposalToGnatt[[#This Row],[Start Date]],Milestone_Marker,IF(AND(CL$29&gt;ProposalToGnatt[[#This Row],[Start Date]],CL$29&lt;ProposalToGnatt[[#This Row],[Start Date]]+ProposalToGnatt[[#This Row],[Days]]),$G$5,"")),"")</f>
        <v/>
      </c>
      <c r="CM83" s="37" t="str">
        <f ca="1">IFERROR(+IF(CM$29=ProposalToGnatt[[#This Row],[Start Date]],Milestone_Marker,IF(AND(CM$29&gt;ProposalToGnatt[[#This Row],[Start Date]],CM$29&lt;ProposalToGnatt[[#This Row],[Start Date]]+ProposalToGnatt[[#This Row],[Days]]),$G$5,"")),"")</f>
        <v/>
      </c>
      <c r="CN83" s="37" t="str">
        <f ca="1">IFERROR(+IF(CN$29=ProposalToGnatt[[#This Row],[Start Date]],Milestone_Marker,IF(AND(CN$29&gt;ProposalToGnatt[[#This Row],[Start Date]],CN$29&lt;ProposalToGnatt[[#This Row],[Start Date]]+ProposalToGnatt[[#This Row],[Days]]),$G$5,"")),"")</f>
        <v/>
      </c>
      <c r="CO83" s="37" t="str">
        <f ca="1">IFERROR(+IF(CO$29=ProposalToGnatt[[#This Row],[Start Date]],Milestone_Marker,IF(AND(CO$29&gt;ProposalToGnatt[[#This Row],[Start Date]],CO$29&lt;ProposalToGnatt[[#This Row],[Start Date]]+ProposalToGnatt[[#This Row],[Days]]),$G$5,"")),"")</f>
        <v/>
      </c>
      <c r="CP83" s="37" t="str">
        <f ca="1">IFERROR(+IF(CP$29=ProposalToGnatt[[#This Row],[Start Date]],Milestone_Marker,IF(AND(CP$29&gt;ProposalToGnatt[[#This Row],[Start Date]],CP$29&lt;ProposalToGnatt[[#This Row],[Start Date]]+ProposalToGnatt[[#This Row],[Days]]),$G$5,"")),"")</f>
        <v/>
      </c>
      <c r="CQ83" s="37" t="str">
        <f ca="1">IFERROR(+IF(CQ$29=ProposalToGnatt[[#This Row],[Start Date]],Milestone_Marker,IF(AND(CQ$29&gt;ProposalToGnatt[[#This Row],[Start Date]],CQ$29&lt;ProposalToGnatt[[#This Row],[Start Date]]+ProposalToGnatt[[#This Row],[Days]]),$G$5,"")),"")</f>
        <v/>
      </c>
      <c r="CR83" s="37" t="str">
        <f ca="1">IFERROR(+IF(CR$29=ProposalToGnatt[[#This Row],[Start Date]],Milestone_Marker,IF(AND(CR$29&gt;ProposalToGnatt[[#This Row],[Start Date]],CR$29&lt;ProposalToGnatt[[#This Row],[Start Date]]+ProposalToGnatt[[#This Row],[Days]]),$G$5,"")),"")</f>
        <v/>
      </c>
      <c r="CS83" s="37" t="str">
        <f ca="1">IFERROR(+IF(CS$29=ProposalToGnatt[[#This Row],[Start Date]],Milestone_Marker,IF(AND(CS$29&gt;ProposalToGnatt[[#This Row],[Start Date]],CS$29&lt;ProposalToGnatt[[#This Row],[Start Date]]+ProposalToGnatt[[#This Row],[Days]]),$G$5,"")),"")</f>
        <v/>
      </c>
      <c r="CT83" s="37" t="str">
        <f ca="1">IFERROR(+IF(CT$29=ProposalToGnatt[[#This Row],[Start Date]],Milestone_Marker,IF(AND(CT$29&gt;ProposalToGnatt[[#This Row],[Start Date]],CT$29&lt;ProposalToGnatt[[#This Row],[Start Date]]+ProposalToGnatt[[#This Row],[Days]]),$G$5,"")),"")</f>
        <v/>
      </c>
      <c r="CU83" s="37" t="str">
        <f ca="1">IFERROR(+IF(CU$29=ProposalToGnatt[[#This Row],[Start Date]],Milestone_Marker,IF(AND(CU$29&gt;ProposalToGnatt[[#This Row],[Start Date]],CU$29&lt;ProposalToGnatt[[#This Row],[Start Date]]+ProposalToGnatt[[#This Row],[Days]]),$G$5,"")),"")</f>
        <v/>
      </c>
      <c r="CV83" s="37" t="str">
        <f ca="1">IFERROR(+IF(CT$29=#REF!,Milestone_Marker,IF(AND(CT$29&gt;#REF!,CT$29&lt;=#REF!+#REF!),$G$5,"")),"")</f>
        <v/>
      </c>
      <c r="CW83" s="37" t="str">
        <f ca="1">IFERROR(+IF(CU$29=#REF!,Milestone_Marker,IF(AND(CU$29&gt;#REF!,CU$29&lt;=#REF!+#REF!),$G$5,"")),"")</f>
        <v/>
      </c>
      <c r="CX83" s="37"/>
      <c r="CY83" s="37"/>
      <c r="CZ83" s="37"/>
      <c r="DA83" s="37"/>
      <c r="DB83" s="37"/>
      <c r="DC83" s="37"/>
      <c r="DD83" s="37"/>
      <c r="DE83" s="37"/>
      <c r="DF83" s="37"/>
      <c r="DG83" s="37"/>
      <c r="DH83" s="37"/>
      <c r="DI83" s="37"/>
      <c r="DJ83" s="37"/>
      <c r="DK83" s="37"/>
      <c r="DL83" s="37"/>
      <c r="DM83" s="37"/>
      <c r="DN83" s="37"/>
      <c r="DO83" s="37"/>
      <c r="DP83" s="37"/>
      <c r="DQ83" s="37"/>
      <c r="DR83" s="37"/>
      <c r="DS83" s="37"/>
      <c r="DT83" s="37"/>
      <c r="DU83" s="37"/>
    </row>
    <row r="84" spans="1:125" ht="15">
      <c r="A84"/>
      <c r="B84"/>
      <c r="C84"/>
      <c r="D84"/>
      <c r="E84"/>
      <c r="F84"/>
      <c r="G84" s="11"/>
      <c r="H84" s="26"/>
      <c r="I84"/>
      <c r="J84"/>
      <c r="K84" s="363"/>
      <c r="L84"/>
      <c r="M84"/>
      <c r="N84"/>
      <c r="O84" s="26"/>
      <c r="P84" s="37" t="str">
        <f ca="1">IFERROR(+IF(P$29=ProposalToGnatt[[#This Row],[Start Date]],Milestone_Marker,IF(AND(P$29&gt;ProposalToGnatt[[#This Row],[Start Date]],P$29&lt;ProposalToGnatt[[#This Row],[Start Date]]+ProposalToGnatt[[#This Row],[Days]]),$G$5,"")),"")</f>
        <v/>
      </c>
      <c r="Q84" s="37" t="str">
        <f ca="1">IFERROR(+IF(Q$29=ProposalToGnatt[[#This Row],[Start Date]],Milestone_Marker,IF(AND(Q$29&gt;ProposalToGnatt[[#This Row],[Start Date]],Q$29&lt;ProposalToGnatt[[#This Row],[Start Date]]+ProposalToGnatt[[#This Row],[Days]]),$G$5,"")),"")</f>
        <v/>
      </c>
      <c r="R84" s="37" t="str">
        <f ca="1">IFERROR(+IF(R$29=ProposalToGnatt[[#This Row],[Start Date]],Milestone_Marker,IF(AND(R$29&gt;ProposalToGnatt[[#This Row],[Start Date]],R$29&lt;ProposalToGnatt[[#This Row],[Start Date]]+ProposalToGnatt[[#This Row],[Days]]),$G$5,"")),"")</f>
        <v/>
      </c>
      <c r="S84" s="37" t="str">
        <f ca="1">IFERROR(+IF(S$29=ProposalToGnatt[[#This Row],[Start Date]],Milestone_Marker,IF(AND(S$29&gt;ProposalToGnatt[[#This Row],[Start Date]],S$29&lt;ProposalToGnatt[[#This Row],[Start Date]]+ProposalToGnatt[[#This Row],[Days]]),$G$5,"")),"")</f>
        <v/>
      </c>
      <c r="T84" s="37" t="str">
        <f ca="1">IFERROR(+IF(T$29=ProposalToGnatt[[#This Row],[Start Date]],Milestone_Marker,IF(AND(T$29&gt;ProposalToGnatt[[#This Row],[Start Date]],T$29&lt;ProposalToGnatt[[#This Row],[Start Date]]+ProposalToGnatt[[#This Row],[Days]]),$G$5,"")),"")</f>
        <v/>
      </c>
      <c r="U84" s="37" t="str">
        <f ca="1">IFERROR(+IF(U$29=ProposalToGnatt[[#This Row],[Start Date]],Milestone_Marker,IF(AND(U$29&gt;ProposalToGnatt[[#This Row],[Start Date]],U$29&lt;ProposalToGnatt[[#This Row],[Start Date]]+ProposalToGnatt[[#This Row],[Days]]),$G$5,"")),"")</f>
        <v/>
      </c>
      <c r="V84" s="37" t="str">
        <f ca="1">IFERROR(+IF(V$29=ProposalToGnatt[[#This Row],[Start Date]],Milestone_Marker,IF(AND(V$29&gt;ProposalToGnatt[[#This Row],[Start Date]],V$29&lt;ProposalToGnatt[[#This Row],[Start Date]]+ProposalToGnatt[[#This Row],[Days]]),$G$5,"")),"")</f>
        <v/>
      </c>
      <c r="W84" s="37" t="str">
        <f ca="1">IFERROR(+IF(W$29=ProposalToGnatt[[#This Row],[Start Date]],Milestone_Marker,IF(AND(W$29&gt;ProposalToGnatt[[#This Row],[Start Date]],W$29&lt;ProposalToGnatt[[#This Row],[Start Date]]+ProposalToGnatt[[#This Row],[Days]]),$G$5,"")),"")</f>
        <v/>
      </c>
      <c r="X84" s="37" t="str">
        <f ca="1">IFERROR(+IF(X$29=ProposalToGnatt[[#This Row],[Start Date]],Milestone_Marker,IF(AND(X$29&gt;ProposalToGnatt[[#This Row],[Start Date]],X$29&lt;ProposalToGnatt[[#This Row],[Start Date]]+ProposalToGnatt[[#This Row],[Days]]),$G$5,"")),"")</f>
        <v/>
      </c>
      <c r="Y84" s="37" t="str">
        <f ca="1">IFERROR(+IF(Y$29=ProposalToGnatt[[#This Row],[Start Date]],Milestone_Marker,IF(AND(Y$29&gt;ProposalToGnatt[[#This Row],[Start Date]],Y$29&lt;ProposalToGnatt[[#This Row],[Start Date]]+ProposalToGnatt[[#This Row],[Days]]),$G$5,"")),"")</f>
        <v/>
      </c>
      <c r="Z84" s="37" t="str">
        <f ca="1">IFERROR(+IF(Z$29=ProposalToGnatt[[#This Row],[Start Date]],Milestone_Marker,IF(AND(Z$29&gt;ProposalToGnatt[[#This Row],[Start Date]],Z$29&lt;ProposalToGnatt[[#This Row],[Start Date]]+ProposalToGnatt[[#This Row],[Days]]),$G$5,"")),"")</f>
        <v/>
      </c>
      <c r="AA84" s="37" t="str">
        <f ca="1">IFERROR(+IF(AA$29=ProposalToGnatt[[#This Row],[Start Date]],Milestone_Marker,IF(AND(AA$29&gt;ProposalToGnatt[[#This Row],[Start Date]],AA$29&lt;ProposalToGnatt[[#This Row],[Start Date]]+ProposalToGnatt[[#This Row],[Days]]),$G$5,"")),"")</f>
        <v/>
      </c>
      <c r="AB84" s="37" t="str">
        <f ca="1">IFERROR(+IF(AB$29=ProposalToGnatt[[#This Row],[Start Date]],Milestone_Marker,IF(AND(AB$29&gt;ProposalToGnatt[[#This Row],[Start Date]],AB$29&lt;ProposalToGnatt[[#This Row],[Start Date]]+ProposalToGnatt[[#This Row],[Days]]),$G$5,"")),"")</f>
        <v/>
      </c>
      <c r="AC84" s="37" t="str">
        <f ca="1">IFERROR(+IF(AC$29=ProposalToGnatt[[#This Row],[Start Date]],Milestone_Marker,IF(AND(AC$29&gt;ProposalToGnatt[[#This Row],[Start Date]],AC$29&lt;ProposalToGnatt[[#This Row],[Start Date]]+ProposalToGnatt[[#This Row],[Days]]),$G$5,"")),"")</f>
        <v/>
      </c>
      <c r="AD84" s="37" t="str">
        <f ca="1">IFERROR(+IF(AD$29=ProposalToGnatt[[#This Row],[Start Date]],Milestone_Marker,IF(AND(AD$29&gt;ProposalToGnatt[[#This Row],[Start Date]],AD$29&lt;ProposalToGnatt[[#This Row],[Start Date]]+ProposalToGnatt[[#This Row],[Days]]),$G$5,"")),"")</f>
        <v/>
      </c>
      <c r="AE84" s="37" t="str">
        <f ca="1">IFERROR(+IF(AE$29=ProposalToGnatt[[#This Row],[Start Date]],Milestone_Marker,IF(AND(AE$29&gt;ProposalToGnatt[[#This Row],[Start Date]],AE$29&lt;ProposalToGnatt[[#This Row],[Start Date]]+ProposalToGnatt[[#This Row],[Days]]),$G$5,"")),"")</f>
        <v/>
      </c>
      <c r="AF84" s="37" t="str">
        <f ca="1">IFERROR(+IF(AF$29=ProposalToGnatt[[#This Row],[Start Date]],Milestone_Marker,IF(AND(AF$29&gt;ProposalToGnatt[[#This Row],[Start Date]],AF$29&lt;ProposalToGnatt[[#This Row],[Start Date]]+ProposalToGnatt[[#This Row],[Days]]),$G$5,"")),"")</f>
        <v/>
      </c>
      <c r="AG84" s="37" t="str">
        <f ca="1">IFERROR(+IF(AG$29=ProposalToGnatt[[#This Row],[Start Date]],Milestone_Marker,IF(AND(AG$29&gt;ProposalToGnatt[[#This Row],[Start Date]],AG$29&lt;ProposalToGnatt[[#This Row],[Start Date]]+ProposalToGnatt[[#This Row],[Days]]),$G$5,"")),"")</f>
        <v/>
      </c>
      <c r="AH84" s="37" t="str">
        <f ca="1">IFERROR(+IF(AH$29=ProposalToGnatt[[#This Row],[Start Date]],Milestone_Marker,IF(AND(AH$29&gt;ProposalToGnatt[[#This Row],[Start Date]],AH$29&lt;ProposalToGnatt[[#This Row],[Start Date]]+ProposalToGnatt[[#This Row],[Days]]),$G$5,"")),"")</f>
        <v/>
      </c>
      <c r="AI84" s="37" t="str">
        <f ca="1">IFERROR(+IF(AI$29=ProposalToGnatt[[#This Row],[Start Date]],Milestone_Marker,IF(AND(AI$29&gt;ProposalToGnatt[[#This Row],[Start Date]],AI$29&lt;ProposalToGnatt[[#This Row],[Start Date]]+ProposalToGnatt[[#This Row],[Days]]),$G$5,"")),"")</f>
        <v/>
      </c>
      <c r="AJ84" s="37" t="str">
        <f ca="1">IFERROR(+IF(AJ$29=ProposalToGnatt[[#This Row],[Start Date]],Milestone_Marker,IF(AND(AJ$29&gt;ProposalToGnatt[[#This Row],[Start Date]],AJ$29&lt;ProposalToGnatt[[#This Row],[Start Date]]+ProposalToGnatt[[#This Row],[Days]]),$G$5,"")),"")</f>
        <v/>
      </c>
      <c r="AK84" s="37" t="str">
        <f ca="1">IFERROR(+IF(AK$29=ProposalToGnatt[[#This Row],[Start Date]],Milestone_Marker,IF(AND(AK$29&gt;ProposalToGnatt[[#This Row],[Start Date]],AK$29&lt;ProposalToGnatt[[#This Row],[Start Date]]+ProposalToGnatt[[#This Row],[Days]]),$G$5,"")),"")</f>
        <v/>
      </c>
      <c r="AL84" s="37" t="str">
        <f ca="1">IFERROR(+IF(AL$29=ProposalToGnatt[[#This Row],[Start Date]],Milestone_Marker,IF(AND(AL$29&gt;ProposalToGnatt[[#This Row],[Start Date]],AL$29&lt;ProposalToGnatt[[#This Row],[Start Date]]+ProposalToGnatt[[#This Row],[Days]]),$G$5,"")),"")</f>
        <v/>
      </c>
      <c r="AM84" s="37" t="str">
        <f ca="1">IFERROR(+IF(AM$29=ProposalToGnatt[[#This Row],[Start Date]],Milestone_Marker,IF(AND(AM$29&gt;ProposalToGnatt[[#This Row],[Start Date]],AM$29&lt;ProposalToGnatt[[#This Row],[Start Date]]+ProposalToGnatt[[#This Row],[Days]]),$G$5,"")),"")</f>
        <v/>
      </c>
      <c r="AN84" s="37" t="str">
        <f ca="1">IFERROR(+IF(AN$29=ProposalToGnatt[[#This Row],[Start Date]],Milestone_Marker,IF(AND(AN$29&gt;ProposalToGnatt[[#This Row],[Start Date]],AN$29&lt;ProposalToGnatt[[#This Row],[Start Date]]+ProposalToGnatt[[#This Row],[Days]]),$G$5,"")),"")</f>
        <v/>
      </c>
      <c r="AO84" s="37" t="str">
        <f ca="1">IFERROR(+IF(AO$29=ProposalToGnatt[[#This Row],[Start Date]],Milestone_Marker,IF(AND(AO$29&gt;ProposalToGnatt[[#This Row],[Start Date]],AO$29&lt;ProposalToGnatt[[#This Row],[Start Date]]+ProposalToGnatt[[#This Row],[Days]]),$G$5,"")),"")</f>
        <v/>
      </c>
      <c r="AP84" s="37" t="str">
        <f ca="1">IFERROR(+IF(AP$29=ProposalToGnatt[[#This Row],[Start Date]],Milestone_Marker,IF(AND(AP$29&gt;ProposalToGnatt[[#This Row],[Start Date]],AP$29&lt;ProposalToGnatt[[#This Row],[Start Date]]+ProposalToGnatt[[#This Row],[Days]]),$G$5,"")),"")</f>
        <v/>
      </c>
      <c r="AQ84" s="37" t="str">
        <f ca="1">IFERROR(+IF(AQ$29=ProposalToGnatt[[#This Row],[Start Date]],Milestone_Marker,IF(AND(AQ$29&gt;ProposalToGnatt[[#This Row],[Start Date]],AQ$29&lt;ProposalToGnatt[[#This Row],[Start Date]]+ProposalToGnatt[[#This Row],[Days]]),$G$5,"")),"")</f>
        <v/>
      </c>
      <c r="AR84" s="37" t="str">
        <f ca="1">IFERROR(+IF(AR$29=ProposalToGnatt[[#This Row],[Start Date]],Milestone_Marker,IF(AND(AR$29&gt;ProposalToGnatt[[#This Row],[Start Date]],AR$29&lt;ProposalToGnatt[[#This Row],[Start Date]]+ProposalToGnatt[[#This Row],[Days]]),$G$5,"")),"")</f>
        <v/>
      </c>
      <c r="AS84" s="37" t="str">
        <f ca="1">IFERROR(+IF(AS$29=ProposalToGnatt[[#This Row],[Start Date]],Milestone_Marker,IF(AND(AS$29&gt;ProposalToGnatt[[#This Row],[Start Date]],AS$29&lt;ProposalToGnatt[[#This Row],[Start Date]]+ProposalToGnatt[[#This Row],[Days]]),$G$5,"")),"")</f>
        <v/>
      </c>
      <c r="AT84" s="37" t="str">
        <f ca="1">IFERROR(+IF(AT$29=ProposalToGnatt[[#This Row],[Start Date]],Milestone_Marker,IF(AND(AT$29&gt;ProposalToGnatt[[#This Row],[Start Date]],AT$29&lt;ProposalToGnatt[[#This Row],[Start Date]]+ProposalToGnatt[[#This Row],[Days]]),$G$5,"")),"")</f>
        <v/>
      </c>
      <c r="AU84" s="37" t="str">
        <f ca="1">IFERROR(+IF(AU$29=ProposalToGnatt[[#This Row],[Start Date]],Milestone_Marker,IF(AND(AU$29&gt;ProposalToGnatt[[#This Row],[Start Date]],AU$29&lt;ProposalToGnatt[[#This Row],[Start Date]]+ProposalToGnatt[[#This Row],[Days]]),$G$5,"")),"")</f>
        <v/>
      </c>
      <c r="AV84" s="37" t="str">
        <f ca="1">IFERROR(+IF(AV$29=ProposalToGnatt[[#This Row],[Start Date]],Milestone_Marker,IF(AND(AV$29&gt;ProposalToGnatt[[#This Row],[Start Date]],AV$29&lt;ProposalToGnatt[[#This Row],[Start Date]]+ProposalToGnatt[[#This Row],[Days]]),$G$5,"")),"")</f>
        <v/>
      </c>
      <c r="AW84" s="37" t="str">
        <f ca="1">IFERROR(+IF(AW$29=ProposalToGnatt[[#This Row],[Start Date]],Milestone_Marker,IF(AND(AW$29&gt;ProposalToGnatt[[#This Row],[Start Date]],AW$29&lt;ProposalToGnatt[[#This Row],[Start Date]]+ProposalToGnatt[[#This Row],[Days]]),$G$5,"")),"")</f>
        <v/>
      </c>
      <c r="AX84" s="37" t="str">
        <f ca="1">IFERROR(+IF(AX$29=ProposalToGnatt[[#This Row],[Start Date]],Milestone_Marker,IF(AND(AX$29&gt;ProposalToGnatt[[#This Row],[Start Date]],AX$29&lt;ProposalToGnatt[[#This Row],[Start Date]]+ProposalToGnatt[[#This Row],[Days]]),$G$5,"")),"")</f>
        <v/>
      </c>
      <c r="AY84" s="37" t="str">
        <f ca="1">IFERROR(+IF(AY$29=ProposalToGnatt[[#This Row],[Start Date]],Milestone_Marker,IF(AND(AY$29&gt;ProposalToGnatt[[#This Row],[Start Date]],AY$29&lt;ProposalToGnatt[[#This Row],[Start Date]]+ProposalToGnatt[[#This Row],[Days]]),$G$5,"")),"")</f>
        <v/>
      </c>
      <c r="AZ84" s="37" t="str">
        <f ca="1">IFERROR(+IF(AZ$29=ProposalToGnatt[[#This Row],[Start Date]],Milestone_Marker,IF(AND(AZ$29&gt;ProposalToGnatt[[#This Row],[Start Date]],AZ$29&lt;ProposalToGnatt[[#This Row],[Start Date]]+ProposalToGnatt[[#This Row],[Days]]),$G$5,"")),"")</f>
        <v/>
      </c>
      <c r="BA84" s="37" t="str">
        <f ca="1">IFERROR(+IF(BA$29=ProposalToGnatt[[#This Row],[Start Date]],Milestone_Marker,IF(AND(BA$29&gt;ProposalToGnatt[[#This Row],[Start Date]],BA$29&lt;ProposalToGnatt[[#This Row],[Start Date]]+ProposalToGnatt[[#This Row],[Days]]),$G$5,"")),"")</f>
        <v/>
      </c>
      <c r="BB84" s="37" t="str">
        <f ca="1">IFERROR(+IF(BB$29=ProposalToGnatt[[#This Row],[Start Date]],Milestone_Marker,IF(AND(BB$29&gt;ProposalToGnatt[[#This Row],[Start Date]],BB$29&lt;ProposalToGnatt[[#This Row],[Start Date]]+ProposalToGnatt[[#This Row],[Days]]),$G$5,"")),"")</f>
        <v/>
      </c>
      <c r="BC84" s="37" t="str">
        <f ca="1">IFERROR(+IF(BC$29=ProposalToGnatt[[#This Row],[Start Date]],Milestone_Marker,IF(AND(BC$29&gt;ProposalToGnatt[[#This Row],[Start Date]],BC$29&lt;ProposalToGnatt[[#This Row],[Start Date]]+ProposalToGnatt[[#This Row],[Days]]),$G$5,"")),"")</f>
        <v/>
      </c>
      <c r="BD84" s="37" t="str">
        <f ca="1">IFERROR(+IF(BD$29=ProposalToGnatt[[#This Row],[Start Date]],Milestone_Marker,IF(AND(BD$29&gt;ProposalToGnatt[[#This Row],[Start Date]],BD$29&lt;ProposalToGnatt[[#This Row],[Start Date]]+ProposalToGnatt[[#This Row],[Days]]),$G$5,"")),"")</f>
        <v/>
      </c>
      <c r="BE84" s="37" t="str">
        <f ca="1">IFERROR(+IF(BE$29=ProposalToGnatt[[#This Row],[Start Date]],Milestone_Marker,IF(AND(BE$29&gt;ProposalToGnatt[[#This Row],[Start Date]],BE$29&lt;ProposalToGnatt[[#This Row],[Start Date]]+ProposalToGnatt[[#This Row],[Days]]),$G$5,"")),"")</f>
        <v/>
      </c>
      <c r="BF84" s="37" t="str">
        <f ca="1">IFERROR(+IF(BF$29=ProposalToGnatt[[#This Row],[Start Date]],Milestone_Marker,IF(AND(BF$29&gt;ProposalToGnatt[[#This Row],[Start Date]],BF$29&lt;ProposalToGnatt[[#This Row],[Start Date]]+ProposalToGnatt[[#This Row],[Days]]),$G$5,"")),"")</f>
        <v/>
      </c>
      <c r="BG84" s="37" t="str">
        <f ca="1">IFERROR(+IF(BG$29=ProposalToGnatt[[#This Row],[Start Date]],Milestone_Marker,IF(AND(BG$29&gt;ProposalToGnatt[[#This Row],[Start Date]],BG$29&lt;ProposalToGnatt[[#This Row],[Start Date]]+ProposalToGnatt[[#This Row],[Days]]),$G$5,"")),"")</f>
        <v/>
      </c>
      <c r="BH84" s="37" t="str">
        <f ca="1">IFERROR(+IF(BH$29=ProposalToGnatt[[#This Row],[Start Date]],Milestone_Marker,IF(AND(BH$29&gt;ProposalToGnatt[[#This Row],[Start Date]],BH$29&lt;ProposalToGnatt[[#This Row],[Start Date]]+ProposalToGnatt[[#This Row],[Days]]),$G$5,"")),"")</f>
        <v/>
      </c>
      <c r="BI84" s="37" t="str">
        <f ca="1">IFERROR(+IF(BI$29=ProposalToGnatt[[#This Row],[Start Date]],Milestone_Marker,IF(AND(BI$29&gt;ProposalToGnatt[[#This Row],[Start Date]],BI$29&lt;ProposalToGnatt[[#This Row],[Start Date]]+ProposalToGnatt[[#This Row],[Days]]),$G$5,"")),"")</f>
        <v/>
      </c>
      <c r="BJ84" s="37" t="str">
        <f ca="1">IFERROR(+IF(BJ$29=ProposalToGnatt[[#This Row],[Start Date]],Milestone_Marker,IF(AND(BJ$29&gt;ProposalToGnatt[[#This Row],[Start Date]],BJ$29&lt;ProposalToGnatt[[#This Row],[Start Date]]+ProposalToGnatt[[#This Row],[Days]]),$G$5,"")),"")</f>
        <v/>
      </c>
      <c r="BK84" s="37" t="str">
        <f ca="1">IFERROR(+IF(BK$29=ProposalToGnatt[[#This Row],[Start Date]],Milestone_Marker,IF(AND(BK$29&gt;ProposalToGnatt[[#This Row],[Start Date]],BK$29&lt;ProposalToGnatt[[#This Row],[Start Date]]+ProposalToGnatt[[#This Row],[Days]]),$G$5,"")),"")</f>
        <v/>
      </c>
      <c r="BL84" s="37" t="str">
        <f ca="1">IFERROR(+IF(BL$29=ProposalToGnatt[[#This Row],[Start Date]],Milestone_Marker,IF(AND(BL$29&gt;ProposalToGnatt[[#This Row],[Start Date]],BL$29&lt;ProposalToGnatt[[#This Row],[Start Date]]+ProposalToGnatt[[#This Row],[Days]]),$G$5,"")),"")</f>
        <v/>
      </c>
      <c r="BM84" s="37" t="str">
        <f ca="1">IFERROR(+IF(BM$29=ProposalToGnatt[[#This Row],[Start Date]],Milestone_Marker,IF(AND(BM$29&gt;ProposalToGnatt[[#This Row],[Start Date]],BM$29&lt;ProposalToGnatt[[#This Row],[Start Date]]+ProposalToGnatt[[#This Row],[Days]]),$G$5,"")),"")</f>
        <v/>
      </c>
      <c r="BN84" s="37" t="str">
        <f ca="1">IFERROR(+IF(BN$29=ProposalToGnatt[[#This Row],[Start Date]],Milestone_Marker,IF(AND(BN$29&gt;ProposalToGnatt[[#This Row],[Start Date]],BN$29&lt;ProposalToGnatt[[#This Row],[Start Date]]+ProposalToGnatt[[#This Row],[Days]]),$G$5,"")),"")</f>
        <v/>
      </c>
      <c r="BO84" s="37" t="str">
        <f ca="1">IFERROR(+IF(BO$29=ProposalToGnatt[[#This Row],[Start Date]],Milestone_Marker,IF(AND(BO$29&gt;ProposalToGnatt[[#This Row],[Start Date]],BO$29&lt;ProposalToGnatt[[#This Row],[Start Date]]+ProposalToGnatt[[#This Row],[Days]]),$G$5,"")),"")</f>
        <v/>
      </c>
      <c r="BP84" s="37" t="str">
        <f ca="1">IFERROR(+IF(BP$29=ProposalToGnatt[[#This Row],[Start Date]],Milestone_Marker,IF(AND(BP$29&gt;ProposalToGnatt[[#This Row],[Start Date]],BP$29&lt;ProposalToGnatt[[#This Row],[Start Date]]+ProposalToGnatt[[#This Row],[Days]]),$G$5,"")),"")</f>
        <v/>
      </c>
      <c r="BQ84" s="37" t="str">
        <f ca="1">IFERROR(+IF(BQ$29=ProposalToGnatt[[#This Row],[Start Date]],Milestone_Marker,IF(AND(BQ$29&gt;ProposalToGnatt[[#This Row],[Start Date]],BQ$29&lt;ProposalToGnatt[[#This Row],[Start Date]]+ProposalToGnatt[[#This Row],[Days]]),$G$5,"")),"")</f>
        <v/>
      </c>
      <c r="BR84" s="37" t="str">
        <f ca="1">IFERROR(+IF(BR$29=ProposalToGnatt[[#This Row],[Start Date]],Milestone_Marker,IF(AND(BR$29&gt;ProposalToGnatt[[#This Row],[Start Date]],BR$29&lt;ProposalToGnatt[[#This Row],[Start Date]]+ProposalToGnatt[[#This Row],[Days]]),$G$5,"")),"")</f>
        <v/>
      </c>
      <c r="BS84" s="37" t="str">
        <f ca="1">IFERROR(+IF(BS$29=ProposalToGnatt[[#This Row],[Start Date]],Milestone_Marker,IF(AND(BS$29&gt;ProposalToGnatt[[#This Row],[Start Date]],BS$29&lt;ProposalToGnatt[[#This Row],[Start Date]]+ProposalToGnatt[[#This Row],[Days]]),$G$5,"")),"")</f>
        <v/>
      </c>
      <c r="BT84" s="37" t="str">
        <f ca="1">IFERROR(+IF(BT$29=ProposalToGnatt[[#This Row],[Start Date]],Milestone_Marker,IF(AND(BT$29&gt;ProposalToGnatt[[#This Row],[Start Date]],BT$29&lt;ProposalToGnatt[[#This Row],[Start Date]]+ProposalToGnatt[[#This Row],[Days]]),$G$5,"")),"")</f>
        <v/>
      </c>
      <c r="BU84" s="37" t="str">
        <f ca="1">IFERROR(+IF(BU$29=ProposalToGnatt[[#This Row],[Start Date]],Milestone_Marker,IF(AND(BU$29&gt;ProposalToGnatt[[#This Row],[Start Date]],BU$29&lt;ProposalToGnatt[[#This Row],[Start Date]]+ProposalToGnatt[[#This Row],[Days]]),$G$5,"")),"")</f>
        <v/>
      </c>
      <c r="BV84" s="37" t="str">
        <f ca="1">IFERROR(+IF(BV$29=ProposalToGnatt[[#This Row],[Start Date]],Milestone_Marker,IF(AND(BV$29&gt;ProposalToGnatt[[#This Row],[Start Date]],BV$29&lt;ProposalToGnatt[[#This Row],[Start Date]]+ProposalToGnatt[[#This Row],[Days]]),$G$5,"")),"")</f>
        <v/>
      </c>
      <c r="BW84" s="37" t="str">
        <f ca="1">IFERROR(+IF(BW$29=ProposalToGnatt[[#This Row],[Start Date]],Milestone_Marker,IF(AND(BW$29&gt;ProposalToGnatt[[#This Row],[Start Date]],BW$29&lt;ProposalToGnatt[[#This Row],[Start Date]]+ProposalToGnatt[[#This Row],[Days]]),$G$5,"")),"")</f>
        <v/>
      </c>
      <c r="BX84" s="37" t="str">
        <f ca="1">IFERROR(+IF(BX$29=ProposalToGnatt[[#This Row],[Start Date]],Milestone_Marker,IF(AND(BX$29&gt;ProposalToGnatt[[#This Row],[Start Date]],BX$29&lt;ProposalToGnatt[[#This Row],[Start Date]]+ProposalToGnatt[[#This Row],[Days]]),$G$5,"")),"")</f>
        <v/>
      </c>
      <c r="BY84" s="37" t="str">
        <f ca="1">IFERROR(+IF(BY$29=ProposalToGnatt[[#This Row],[Start Date]],Milestone_Marker,IF(AND(BY$29&gt;ProposalToGnatt[[#This Row],[Start Date]],BY$29&lt;ProposalToGnatt[[#This Row],[Start Date]]+ProposalToGnatt[[#This Row],[Days]]),$G$5,"")),"")</f>
        <v/>
      </c>
      <c r="BZ84" s="37" t="str">
        <f ca="1">IFERROR(+IF(BZ$29=ProposalToGnatt[[#This Row],[Start Date]],Milestone_Marker,IF(AND(BZ$29&gt;ProposalToGnatt[[#This Row],[Start Date]],BZ$29&lt;ProposalToGnatt[[#This Row],[Start Date]]+ProposalToGnatt[[#This Row],[Days]]),$G$5,"")),"")</f>
        <v/>
      </c>
      <c r="CA84" s="37" t="str">
        <f ca="1">IFERROR(+IF(CA$29=ProposalToGnatt[[#This Row],[Start Date]],Milestone_Marker,IF(AND(CA$29&gt;ProposalToGnatt[[#This Row],[Start Date]],CA$29&lt;ProposalToGnatt[[#This Row],[Start Date]]+ProposalToGnatt[[#This Row],[Days]]),$G$5,"")),"")</f>
        <v/>
      </c>
      <c r="CB84" s="37" t="str">
        <f ca="1">IFERROR(+IF(CB$29=ProposalToGnatt[[#This Row],[Start Date]],Milestone_Marker,IF(AND(CB$29&gt;ProposalToGnatt[[#This Row],[Start Date]],CB$29&lt;ProposalToGnatt[[#This Row],[Start Date]]+ProposalToGnatt[[#This Row],[Days]]),$G$5,"")),"")</f>
        <v/>
      </c>
      <c r="CC84" s="37" t="str">
        <f ca="1">IFERROR(+IF(CC$29=ProposalToGnatt[[#This Row],[Start Date]],Milestone_Marker,IF(AND(CC$29&gt;ProposalToGnatt[[#This Row],[Start Date]],CC$29&lt;ProposalToGnatt[[#This Row],[Start Date]]+ProposalToGnatt[[#This Row],[Days]]),$G$5,"")),"")</f>
        <v/>
      </c>
      <c r="CD84" s="37" t="str">
        <f ca="1">IFERROR(+IF(CD$29=ProposalToGnatt[[#This Row],[Start Date]],Milestone_Marker,IF(AND(CD$29&gt;ProposalToGnatt[[#This Row],[Start Date]],CD$29&lt;ProposalToGnatt[[#This Row],[Start Date]]+ProposalToGnatt[[#This Row],[Days]]),$G$5,"")),"")</f>
        <v/>
      </c>
      <c r="CE84" s="37" t="str">
        <f ca="1">IFERROR(+IF(CE$29=ProposalToGnatt[[#This Row],[Start Date]],Milestone_Marker,IF(AND(CE$29&gt;ProposalToGnatt[[#This Row],[Start Date]],CE$29&lt;ProposalToGnatt[[#This Row],[Start Date]]+ProposalToGnatt[[#This Row],[Days]]),$G$5,"")),"")</f>
        <v/>
      </c>
      <c r="CF84" s="37" t="str">
        <f ca="1">IFERROR(+IF(CF$29=ProposalToGnatt[[#This Row],[Start Date]],Milestone_Marker,IF(AND(CF$29&gt;ProposalToGnatt[[#This Row],[Start Date]],CF$29&lt;ProposalToGnatt[[#This Row],[Start Date]]+ProposalToGnatt[[#This Row],[Days]]),$G$5,"")),"")</f>
        <v/>
      </c>
      <c r="CG84" s="37" t="str">
        <f ca="1">IFERROR(+IF(CG$29=ProposalToGnatt[[#This Row],[Start Date]],Milestone_Marker,IF(AND(CG$29&gt;ProposalToGnatt[[#This Row],[Start Date]],CG$29&lt;ProposalToGnatt[[#This Row],[Start Date]]+ProposalToGnatt[[#This Row],[Days]]),$G$5,"")),"")</f>
        <v/>
      </c>
      <c r="CH84" s="37" t="str">
        <f ca="1">IFERROR(+IF(CH$29=ProposalToGnatt[[#This Row],[Start Date]],Milestone_Marker,IF(AND(CH$29&gt;ProposalToGnatt[[#This Row],[Start Date]],CH$29&lt;ProposalToGnatt[[#This Row],[Start Date]]+ProposalToGnatt[[#This Row],[Days]]),$G$5,"")),"")</f>
        <v/>
      </c>
      <c r="CI84" s="37" t="str">
        <f ca="1">IFERROR(+IF(CI$29=ProposalToGnatt[[#This Row],[Start Date]],Milestone_Marker,IF(AND(CI$29&gt;ProposalToGnatt[[#This Row],[Start Date]],CI$29&lt;ProposalToGnatt[[#This Row],[Start Date]]+ProposalToGnatt[[#This Row],[Days]]),$G$5,"")),"")</f>
        <v/>
      </c>
      <c r="CJ84" s="37" t="str">
        <f ca="1">IFERROR(+IF(CJ$29=ProposalToGnatt[[#This Row],[Start Date]],Milestone_Marker,IF(AND(CJ$29&gt;ProposalToGnatt[[#This Row],[Start Date]],CJ$29&lt;ProposalToGnatt[[#This Row],[Start Date]]+ProposalToGnatt[[#This Row],[Days]]),$G$5,"")),"")</f>
        <v/>
      </c>
      <c r="CK84" s="37" t="str">
        <f ca="1">IFERROR(+IF(CK$29=ProposalToGnatt[[#This Row],[Start Date]],Milestone_Marker,IF(AND(CK$29&gt;ProposalToGnatt[[#This Row],[Start Date]],CK$29&lt;ProposalToGnatt[[#This Row],[Start Date]]+ProposalToGnatt[[#This Row],[Days]]),$G$5,"")),"")</f>
        <v/>
      </c>
      <c r="CL84" s="37" t="str">
        <f ca="1">IFERROR(+IF(CL$29=ProposalToGnatt[[#This Row],[Start Date]],Milestone_Marker,IF(AND(CL$29&gt;ProposalToGnatt[[#This Row],[Start Date]],CL$29&lt;ProposalToGnatt[[#This Row],[Start Date]]+ProposalToGnatt[[#This Row],[Days]]),$G$5,"")),"")</f>
        <v/>
      </c>
      <c r="CM84" s="37" t="str">
        <f ca="1">IFERROR(+IF(CM$29=ProposalToGnatt[[#This Row],[Start Date]],Milestone_Marker,IF(AND(CM$29&gt;ProposalToGnatt[[#This Row],[Start Date]],CM$29&lt;ProposalToGnatt[[#This Row],[Start Date]]+ProposalToGnatt[[#This Row],[Days]]),$G$5,"")),"")</f>
        <v/>
      </c>
      <c r="CN84" s="37" t="str">
        <f ca="1">IFERROR(+IF(CN$29=ProposalToGnatt[[#This Row],[Start Date]],Milestone_Marker,IF(AND(CN$29&gt;ProposalToGnatt[[#This Row],[Start Date]],CN$29&lt;ProposalToGnatt[[#This Row],[Start Date]]+ProposalToGnatt[[#This Row],[Days]]),$G$5,"")),"")</f>
        <v/>
      </c>
      <c r="CO84" s="37" t="str">
        <f ca="1">IFERROR(+IF(CO$29=ProposalToGnatt[[#This Row],[Start Date]],Milestone_Marker,IF(AND(CO$29&gt;ProposalToGnatt[[#This Row],[Start Date]],CO$29&lt;ProposalToGnatt[[#This Row],[Start Date]]+ProposalToGnatt[[#This Row],[Days]]),$G$5,"")),"")</f>
        <v/>
      </c>
      <c r="CP84" s="37" t="str">
        <f ca="1">IFERROR(+IF(CP$29=ProposalToGnatt[[#This Row],[Start Date]],Milestone_Marker,IF(AND(CP$29&gt;ProposalToGnatt[[#This Row],[Start Date]],CP$29&lt;ProposalToGnatt[[#This Row],[Start Date]]+ProposalToGnatt[[#This Row],[Days]]),$G$5,"")),"")</f>
        <v/>
      </c>
      <c r="CQ84" s="37" t="str">
        <f ca="1">IFERROR(+IF(CQ$29=ProposalToGnatt[[#This Row],[Start Date]],Milestone_Marker,IF(AND(CQ$29&gt;ProposalToGnatt[[#This Row],[Start Date]],CQ$29&lt;ProposalToGnatt[[#This Row],[Start Date]]+ProposalToGnatt[[#This Row],[Days]]),$G$5,"")),"")</f>
        <v/>
      </c>
      <c r="CR84" s="37" t="str">
        <f ca="1">IFERROR(+IF(CR$29=ProposalToGnatt[[#This Row],[Start Date]],Milestone_Marker,IF(AND(CR$29&gt;ProposalToGnatt[[#This Row],[Start Date]],CR$29&lt;ProposalToGnatt[[#This Row],[Start Date]]+ProposalToGnatt[[#This Row],[Days]]),$G$5,"")),"")</f>
        <v/>
      </c>
      <c r="CS84" s="37" t="str">
        <f ca="1">IFERROR(+IF(CS$29=ProposalToGnatt[[#This Row],[Start Date]],Milestone_Marker,IF(AND(CS$29&gt;ProposalToGnatt[[#This Row],[Start Date]],CS$29&lt;ProposalToGnatt[[#This Row],[Start Date]]+ProposalToGnatt[[#This Row],[Days]]),$G$5,"")),"")</f>
        <v/>
      </c>
      <c r="CT84" s="37" t="str">
        <f ca="1">IFERROR(+IF(CT$29=ProposalToGnatt[[#This Row],[Start Date]],Milestone_Marker,IF(AND(CT$29&gt;ProposalToGnatt[[#This Row],[Start Date]],CT$29&lt;ProposalToGnatt[[#This Row],[Start Date]]+ProposalToGnatt[[#This Row],[Days]]),$G$5,"")),"")</f>
        <v/>
      </c>
      <c r="CU84" s="37" t="str">
        <f ca="1">IFERROR(+IF(CU$29=ProposalToGnatt[[#This Row],[Start Date]],Milestone_Marker,IF(AND(CU$29&gt;ProposalToGnatt[[#This Row],[Start Date]],CU$29&lt;ProposalToGnatt[[#This Row],[Start Date]]+ProposalToGnatt[[#This Row],[Days]]),$G$5,"")),"")</f>
        <v/>
      </c>
      <c r="CV84" s="37" t="str">
        <f ca="1">IFERROR(+IF(CT$29=#REF!,Milestone_Marker,IF(AND(CT$29&gt;#REF!,CT$29&lt;=#REF!+#REF!),$G$5,"")),"")</f>
        <v/>
      </c>
      <c r="CW84" s="37" t="str">
        <f ca="1">IFERROR(+IF(CU$29=#REF!,Milestone_Marker,IF(AND(CU$29&gt;#REF!,CU$29&lt;=#REF!+#REF!),$G$5,"")),"")</f>
        <v/>
      </c>
    </row>
    <row r="85" spans="1:125" ht="15">
      <c r="A85"/>
      <c r="B85"/>
      <c r="C85"/>
      <c r="D85"/>
      <c r="E85"/>
      <c r="F85"/>
      <c r="G85" s="11"/>
      <c r="H85" s="26"/>
      <c r="I85"/>
      <c r="J85"/>
      <c r="K85" s="363"/>
      <c r="L85"/>
      <c r="M85"/>
      <c r="N85"/>
      <c r="O85" s="26"/>
      <c r="P85" s="37" t="str">
        <f ca="1">IFERROR(+IF(Q$29=#REF!,Milestone_Marker,IF(AND(Q$29&gt;#REF!,Q$29&lt;=#REF!+#REF!),$G$5,"")),"")</f>
        <v/>
      </c>
      <c r="Q85" s="37" t="str">
        <f ca="1">IFERROR(+IF(R$29=#REF!,Milestone_Marker,IF(AND(R$29&gt;#REF!,R$29&lt;=#REF!+#REF!),$G$5,"")),"")</f>
        <v/>
      </c>
      <c r="R85" s="37" t="str">
        <f ca="1">IFERROR(+IF(S$29=#REF!,Milestone_Marker,IF(AND(S$29&gt;#REF!,S$29&lt;=#REF!+#REF!),$G$5,"")),"")</f>
        <v/>
      </c>
      <c r="S85" s="37" t="str">
        <f ca="1">IFERROR(+IF(T$29=#REF!,Milestone_Marker,IF(AND(T$29&gt;#REF!,T$29&lt;=#REF!+#REF!),$G$5,"")),"")</f>
        <v/>
      </c>
      <c r="T85" s="37" t="str">
        <f ca="1">IFERROR(+IF(U$29=#REF!,Milestone_Marker,IF(AND(U$29&gt;#REF!,U$29&lt;=#REF!+#REF!),$G$5,"")),"")</f>
        <v/>
      </c>
      <c r="U85" s="37" t="str">
        <f ca="1">IFERROR(+IF(V$29=#REF!,Milestone_Marker,IF(AND(V$29&gt;#REF!,V$29&lt;=#REF!+#REF!),$G$5,"")),"")</f>
        <v/>
      </c>
      <c r="V85" s="37" t="str">
        <f ca="1">IFERROR(+IF(W$29=#REF!,Milestone_Marker,IF(AND(W$29&gt;#REF!,W$29&lt;=#REF!+#REF!),$G$5,"")),"")</f>
        <v/>
      </c>
      <c r="W85" s="37" t="str">
        <f ca="1">IFERROR(+IF(X$29=#REF!,Milestone_Marker,IF(AND(X$29&gt;#REF!,X$29&lt;=#REF!+#REF!),$G$5,"")),"")</f>
        <v/>
      </c>
      <c r="X85" s="37" t="str">
        <f ca="1">IFERROR(+IF(Y$29=#REF!,Milestone_Marker,IF(AND(Y$29&gt;#REF!,Y$29&lt;=#REF!+#REF!),$G$5,"")),"")</f>
        <v/>
      </c>
      <c r="Y85" s="37" t="str">
        <f ca="1">IFERROR(+IF(Z$29=#REF!,Milestone_Marker,IF(AND(Z$29&gt;#REF!,Z$29&lt;=#REF!+#REF!),$G$5,"")),"")</f>
        <v/>
      </c>
      <c r="Z85" s="37" t="str">
        <f ca="1">IFERROR(+IF(AA$29=#REF!,Milestone_Marker,IF(AND(AA$29&gt;#REF!,AA$29&lt;=#REF!+#REF!),$G$5,"")),"")</f>
        <v/>
      </c>
      <c r="AA85" s="37" t="str">
        <f ca="1">IFERROR(+IF(AB$29=#REF!,Milestone_Marker,IF(AND(AB$29&gt;#REF!,AB$29&lt;=#REF!+#REF!),$G$5,"")),"")</f>
        <v/>
      </c>
      <c r="AB85" s="37" t="str">
        <f ca="1">IFERROR(+IF(AC$29=#REF!,Milestone_Marker,IF(AND(AC$29&gt;#REF!,AC$29&lt;=#REF!+#REF!),$G$5,"")),"")</f>
        <v/>
      </c>
      <c r="AC85" s="37" t="str">
        <f ca="1">IFERROR(+IF(AD$29=#REF!,Milestone_Marker,IF(AND(AD$29&gt;#REF!,AD$29&lt;=#REF!+#REF!),$G$5,"")),"")</f>
        <v/>
      </c>
      <c r="AD85" s="37" t="str">
        <f ca="1">IFERROR(+IF(AE$29=#REF!,Milestone_Marker,IF(AND(AE$29&gt;#REF!,AE$29&lt;=#REF!+#REF!),$G$5,"")),"")</f>
        <v/>
      </c>
      <c r="AE85" s="37" t="str">
        <f ca="1">IFERROR(+IF(AF$29=#REF!,Milestone_Marker,IF(AND(AF$29&gt;#REF!,AF$29&lt;=#REF!+#REF!),$G$5,"")),"")</f>
        <v/>
      </c>
      <c r="AF85" s="37" t="str">
        <f ca="1">IFERROR(+IF(AG$29=#REF!,Milestone_Marker,IF(AND(AG$29&gt;#REF!,AG$29&lt;=#REF!+#REF!),$G$5,"")),"")</f>
        <v/>
      </c>
      <c r="AG85" s="37" t="str">
        <f ca="1">IFERROR(+IF(AH$29=#REF!,Milestone_Marker,IF(AND(AH$29&gt;#REF!,AH$29&lt;=#REF!+#REF!),$G$5,"")),"")</f>
        <v/>
      </c>
      <c r="AH85" s="37" t="str">
        <f ca="1">IFERROR(+IF(AI$29=#REF!,Milestone_Marker,IF(AND(AI$29&gt;#REF!,AI$29&lt;=#REF!+#REF!),$G$5,"")),"")</f>
        <v/>
      </c>
      <c r="AI85" s="37" t="str">
        <f ca="1">IFERROR(+IF(AJ$29=#REF!,Milestone_Marker,IF(AND(AJ$29&gt;#REF!,AJ$29&lt;=#REF!+#REF!),$G$5,"")),"")</f>
        <v/>
      </c>
      <c r="AJ85" s="37" t="str">
        <f ca="1">IFERROR(+IF(AK$29=#REF!,Milestone_Marker,IF(AND(AK$29&gt;#REF!,AK$29&lt;=#REF!+#REF!),$G$5,"")),"")</f>
        <v/>
      </c>
      <c r="AK85" s="37" t="str">
        <f ca="1">IFERROR(+IF(AL$29=#REF!,Milestone_Marker,IF(AND(AL$29&gt;#REF!,AL$29&lt;=#REF!+#REF!),$G$5,"")),"")</f>
        <v/>
      </c>
      <c r="AL85" s="37" t="str">
        <f ca="1">IFERROR(+IF(AM$29=#REF!,Milestone_Marker,IF(AND(AM$29&gt;#REF!,AM$29&lt;=#REF!+#REF!),$G$5,"")),"")</f>
        <v/>
      </c>
      <c r="AM85" s="37" t="str">
        <f ca="1">IFERROR(+IF(AN$29=#REF!,Milestone_Marker,IF(AND(AN$29&gt;#REF!,AN$29&lt;=#REF!+#REF!),$G$5,"")),"")</f>
        <v/>
      </c>
      <c r="AN85" s="37" t="str">
        <f ca="1">IFERROR(+IF(AO$29=#REF!,Milestone_Marker,IF(AND(AO$29&gt;#REF!,AO$29&lt;=#REF!+#REF!),$G$5,"")),"")</f>
        <v/>
      </c>
      <c r="AO85" s="37" t="str">
        <f ca="1">IFERROR(+IF(AP$29=#REF!,Milestone_Marker,IF(AND(AP$29&gt;#REF!,AP$29&lt;=#REF!+#REF!),$G$5,"")),"")</f>
        <v/>
      </c>
      <c r="AP85" s="37" t="str">
        <f ca="1">IFERROR(+IF(AQ$29=#REF!,Milestone_Marker,IF(AND(AQ$29&gt;#REF!,AQ$29&lt;=#REF!+#REF!),$G$5,"")),"")</f>
        <v/>
      </c>
      <c r="AQ85" s="37" t="str">
        <f ca="1">IFERROR(+IF(AR$29=#REF!,Milestone_Marker,IF(AND(AR$29&gt;#REF!,AR$29&lt;=#REF!+#REF!),$G$5,"")),"")</f>
        <v/>
      </c>
      <c r="AR85" s="37" t="str">
        <f ca="1">IFERROR(+IF(AS$29=#REF!,Milestone_Marker,IF(AND(AS$29&gt;#REF!,AS$29&lt;=#REF!+#REF!),$G$5,"")),"")</f>
        <v/>
      </c>
      <c r="AS85" s="37" t="str">
        <f ca="1">IFERROR(+IF(AT$29=#REF!,Milestone_Marker,IF(AND(AT$29&gt;#REF!,AT$29&lt;=#REF!+#REF!),$G$5,"")),"")</f>
        <v/>
      </c>
      <c r="AT85" s="37" t="str">
        <f ca="1">IFERROR(+IF(AU$29=#REF!,Milestone_Marker,IF(AND(AU$29&gt;#REF!,AU$29&lt;=#REF!+#REF!),$G$5,"")),"")</f>
        <v/>
      </c>
      <c r="AU85" s="37" t="str">
        <f ca="1">IFERROR(+IF(AV$29=#REF!,Milestone_Marker,IF(AND(AV$29&gt;#REF!,AV$29&lt;=#REF!+#REF!),$G$5,"")),"")</f>
        <v/>
      </c>
      <c r="AV85" s="37" t="str">
        <f ca="1">IFERROR(+IF(AW$29=#REF!,Milestone_Marker,IF(AND(AW$29&gt;#REF!,AW$29&lt;=#REF!+#REF!),$G$5,"")),"")</f>
        <v/>
      </c>
      <c r="AW85" s="37" t="str">
        <f ca="1">IFERROR(+IF(AX$29=#REF!,Milestone_Marker,IF(AND(AX$29&gt;#REF!,AX$29&lt;=#REF!+#REF!),$G$5,"")),"")</f>
        <v/>
      </c>
      <c r="AX85" s="37" t="str">
        <f ca="1">IFERROR(+IF(AY$29=#REF!,Milestone_Marker,IF(AND(AY$29&gt;#REF!,AY$29&lt;=#REF!+#REF!),$G$5,"")),"")</f>
        <v/>
      </c>
      <c r="AY85" s="37" t="str">
        <f ca="1">IFERROR(+IF(AZ$29=#REF!,Milestone_Marker,IF(AND(AZ$29&gt;#REF!,AZ$29&lt;=#REF!+#REF!),$G$5,"")),"")</f>
        <v/>
      </c>
      <c r="AZ85" s="37" t="str">
        <f ca="1">IFERROR(+IF(BA$29=#REF!,Milestone_Marker,IF(AND(BA$29&gt;#REF!,BA$29&lt;=#REF!+#REF!),$G$5,"")),"")</f>
        <v/>
      </c>
      <c r="BA85" s="37" t="str">
        <f ca="1">IFERROR(+IF(BB$29=#REF!,Milestone_Marker,IF(AND(BB$29&gt;#REF!,BB$29&lt;=#REF!+#REF!),$G$5,"")),"")</f>
        <v/>
      </c>
      <c r="BB85" s="37" t="str">
        <f ca="1">IFERROR(+IF(BC$29=#REF!,Milestone_Marker,IF(AND(BC$29&gt;#REF!,BC$29&lt;=#REF!+#REF!),$G$5,"")),"")</f>
        <v/>
      </c>
      <c r="BC85" s="37" t="str">
        <f ca="1">IFERROR(+IF(BD$29=#REF!,Milestone_Marker,IF(AND(BD$29&gt;#REF!,BD$29&lt;=#REF!+#REF!),$G$5,"")),"")</f>
        <v/>
      </c>
      <c r="BD85" s="37" t="str">
        <f ca="1">IFERROR(+IF(BE$29=#REF!,Milestone_Marker,IF(AND(BE$29&gt;#REF!,BE$29&lt;=#REF!+#REF!),$G$5,"")),"")</f>
        <v/>
      </c>
      <c r="BE85" s="37" t="str">
        <f ca="1">IFERROR(+IF(BF$29=#REF!,Milestone_Marker,IF(AND(BF$29&gt;#REF!,BF$29&lt;=#REF!+#REF!),$G$5,"")),"")</f>
        <v/>
      </c>
      <c r="BF85" s="37" t="str">
        <f ca="1">IFERROR(+IF(BG$29=#REF!,Milestone_Marker,IF(AND(BG$29&gt;#REF!,BG$29&lt;=#REF!+#REF!),$G$5,"")),"")</f>
        <v/>
      </c>
      <c r="BG85" s="37" t="str">
        <f ca="1">IFERROR(+IF(BH$29=#REF!,Milestone_Marker,IF(AND(BH$29&gt;#REF!,BH$29&lt;=#REF!+#REF!),$G$5,"")),"")</f>
        <v/>
      </c>
      <c r="BH85" s="37" t="str">
        <f ca="1">IFERROR(+IF(BI$29=#REF!,Milestone_Marker,IF(AND(BI$29&gt;#REF!,BI$29&lt;=#REF!+#REF!),$G$5,"")),"")</f>
        <v/>
      </c>
      <c r="BI85" s="37" t="str">
        <f ca="1">IFERROR(+IF(BJ$29=#REF!,Milestone_Marker,IF(AND(BJ$29&gt;#REF!,BJ$29&lt;=#REF!+#REF!),$G$5,"")),"")</f>
        <v/>
      </c>
      <c r="BJ85" s="37" t="str">
        <f ca="1">IFERROR(+IF(BK$29=#REF!,Milestone_Marker,IF(AND(BK$29&gt;#REF!,BK$29&lt;=#REF!+#REF!),$G$5,"")),"")</f>
        <v/>
      </c>
      <c r="BK85" s="37" t="str">
        <f ca="1">IFERROR(+IF(BL$29=#REF!,Milestone_Marker,IF(AND(BL$29&gt;#REF!,BL$29&lt;=#REF!+#REF!),$G$5,"")),"")</f>
        <v/>
      </c>
      <c r="BL85" s="37" t="str">
        <f ca="1">IFERROR(+IF(BM$29=#REF!,Milestone_Marker,IF(AND(BM$29&gt;#REF!,BM$29&lt;=#REF!+#REF!),$G$5,"")),"")</f>
        <v/>
      </c>
      <c r="BM85" s="37" t="str">
        <f ca="1">IFERROR(+IF(BN$29=#REF!,Milestone_Marker,IF(AND(BN$29&gt;#REF!,BN$29&lt;=#REF!+#REF!),$G$5,"")),"")</f>
        <v/>
      </c>
      <c r="BN85" s="37" t="str">
        <f ca="1">IFERROR(+IF(BO$29=#REF!,Milestone_Marker,IF(AND(BO$29&gt;#REF!,BO$29&lt;=#REF!+#REF!),$G$5,"")),"")</f>
        <v/>
      </c>
      <c r="BO85" s="37" t="str">
        <f ca="1">IFERROR(+IF(BP$29=#REF!,Milestone_Marker,IF(AND(BP$29&gt;#REF!,BP$29&lt;=#REF!+#REF!),$G$5,"")),"")</f>
        <v/>
      </c>
      <c r="BP85" s="37" t="str">
        <f ca="1">IFERROR(+IF(BQ$29=#REF!,Milestone_Marker,IF(AND(BQ$29&gt;#REF!,BQ$29&lt;=#REF!+#REF!),$G$5,"")),"")</f>
        <v/>
      </c>
      <c r="BQ85" s="37" t="str">
        <f ca="1">IFERROR(+IF(BR$29=#REF!,Milestone_Marker,IF(AND(BR$29&gt;#REF!,BR$29&lt;=#REF!+#REF!),$G$5,"")),"")</f>
        <v/>
      </c>
      <c r="BR85" s="37" t="str">
        <f ca="1">IFERROR(+IF(BS$29=#REF!,Milestone_Marker,IF(AND(BS$29&gt;#REF!,BS$29&lt;=#REF!+#REF!),$G$5,"")),"")</f>
        <v/>
      </c>
      <c r="BS85" s="37" t="str">
        <f ca="1">IFERROR(+IF(BT$29=#REF!,Milestone_Marker,IF(AND(BT$29&gt;#REF!,BT$29&lt;=#REF!+#REF!),$G$5,"")),"")</f>
        <v/>
      </c>
      <c r="BT85" s="37" t="str">
        <f ca="1">IFERROR(+IF(BU$29=#REF!,Milestone_Marker,IF(AND(BU$29&gt;#REF!,BU$29&lt;=#REF!+#REF!),$G$5,"")),"")</f>
        <v/>
      </c>
      <c r="BU85" s="37" t="str">
        <f ca="1">IFERROR(+IF(BV$29=#REF!,Milestone_Marker,IF(AND(BV$29&gt;#REF!,BV$29&lt;=#REF!+#REF!),$G$5,"")),"")</f>
        <v/>
      </c>
      <c r="BV85" s="37" t="str">
        <f ca="1">IFERROR(+IF(BW$29=#REF!,Milestone_Marker,IF(AND(BW$29&gt;#REF!,BW$29&lt;=#REF!+#REF!),$G$5,"")),"")</f>
        <v/>
      </c>
      <c r="BW85" s="37" t="str">
        <f ca="1">IFERROR(+IF(BX$29=#REF!,Milestone_Marker,IF(AND(BX$29&gt;#REF!,BX$29&lt;=#REF!+#REF!),$G$5,"")),"")</f>
        <v/>
      </c>
      <c r="BX85" s="37" t="str">
        <f ca="1">IFERROR(+IF(BY$29=#REF!,Milestone_Marker,IF(AND(BY$29&gt;#REF!,BY$29&lt;=#REF!+#REF!),$G$5,"")),"")</f>
        <v/>
      </c>
      <c r="BY85" s="37" t="str">
        <f ca="1">IFERROR(+IF(BZ$29=#REF!,Milestone_Marker,IF(AND(BZ$29&gt;#REF!,BZ$29&lt;=#REF!+#REF!),$G$5,"")),"")</f>
        <v/>
      </c>
      <c r="BZ85" s="37" t="str">
        <f ca="1">IFERROR(+IF(CA$29=#REF!,Milestone_Marker,IF(AND(CA$29&gt;#REF!,CA$29&lt;=#REF!+#REF!),$G$5,"")),"")</f>
        <v/>
      </c>
      <c r="CA85" s="37" t="str">
        <f ca="1">IFERROR(+IF(CB$29=#REF!,Milestone_Marker,IF(AND(CB$29&gt;#REF!,CB$29&lt;=#REF!+#REF!),$G$5,"")),"")</f>
        <v/>
      </c>
      <c r="CB85" s="37" t="str">
        <f ca="1">IFERROR(+IF(CC$29=#REF!,Milestone_Marker,IF(AND(CC$29&gt;#REF!,CC$29&lt;=#REF!+#REF!),$G$5,"")),"")</f>
        <v/>
      </c>
      <c r="CC85" s="37" t="str">
        <f ca="1">IFERROR(+IF(CD$29=#REF!,Milestone_Marker,IF(AND(CD$29&gt;#REF!,CD$29&lt;=#REF!+#REF!),$G$5,"")),"")</f>
        <v/>
      </c>
      <c r="CD85" s="37" t="str">
        <f ca="1">IFERROR(+IF(CE$29=#REF!,Milestone_Marker,IF(AND(CE$29&gt;#REF!,CE$29&lt;=#REF!+#REF!),$G$5,"")),"")</f>
        <v/>
      </c>
      <c r="CE85" s="37" t="str">
        <f ca="1">IFERROR(+IF(CF$29=#REF!,Milestone_Marker,IF(AND(CF$29&gt;#REF!,CF$29&lt;=#REF!+#REF!),$G$5,"")),"")</f>
        <v/>
      </c>
      <c r="CF85" s="37" t="str">
        <f ca="1">IFERROR(+IF(CG$29=#REF!,Milestone_Marker,IF(AND(CG$29&gt;#REF!,CG$29&lt;=#REF!+#REF!),$G$5,"")),"")</f>
        <v/>
      </c>
      <c r="CG85" s="37" t="str">
        <f ca="1">IFERROR(+IF(CH$29=#REF!,Milestone_Marker,IF(AND(CH$29&gt;#REF!,CH$29&lt;=#REF!+#REF!),$G$5,"")),"")</f>
        <v/>
      </c>
      <c r="CH85" s="37" t="str">
        <f ca="1">IFERROR(+IF(CI$29=#REF!,Milestone_Marker,IF(AND(CI$29&gt;#REF!,CI$29&lt;=#REF!+#REF!),$G$5,"")),"")</f>
        <v/>
      </c>
      <c r="CI85" s="37" t="str">
        <f ca="1">IFERROR(+IF(CJ$29=#REF!,Milestone_Marker,IF(AND(CJ$29&gt;#REF!,CJ$29&lt;=#REF!+#REF!),$G$5,"")),"")</f>
        <v/>
      </c>
      <c r="CJ85" s="37" t="str">
        <f ca="1">IFERROR(+IF(CK$29=#REF!,Milestone_Marker,IF(AND(CK$29&gt;#REF!,CK$29&lt;=#REF!+#REF!),$G$5,"")),"")</f>
        <v/>
      </c>
      <c r="CK85" s="37" t="str">
        <f ca="1">IFERROR(+IF(CL$29=#REF!,Milestone_Marker,IF(AND(CL$29&gt;#REF!,CL$29&lt;=#REF!+#REF!),$G$5,"")),"")</f>
        <v/>
      </c>
      <c r="CL85" s="37" t="str">
        <f ca="1">IFERROR(+IF(CM$29=#REF!,Milestone_Marker,IF(AND(CM$29&gt;#REF!,CM$29&lt;=#REF!+#REF!),$G$5,"")),"")</f>
        <v/>
      </c>
      <c r="CM85" s="37" t="str">
        <f ca="1">IFERROR(+IF(CN$29=#REF!,Milestone_Marker,IF(AND(CN$29&gt;#REF!,CN$29&lt;=#REF!+#REF!),$G$5,"")),"")</f>
        <v/>
      </c>
      <c r="CN85" s="37" t="str">
        <f ca="1">IFERROR(+IF(CO$29=#REF!,Milestone_Marker,IF(AND(CO$29&gt;#REF!,CO$29&lt;=#REF!+#REF!),$G$5,"")),"")</f>
        <v/>
      </c>
      <c r="CO85" s="37" t="str">
        <f ca="1">IFERROR(+IF(CP$29=#REF!,Milestone_Marker,IF(AND(CP$29&gt;#REF!,CP$29&lt;=#REF!+#REF!),$G$5,"")),"")</f>
        <v/>
      </c>
      <c r="CP85" s="37" t="str">
        <f ca="1">IFERROR(+IF(CQ$29=#REF!,Milestone_Marker,IF(AND(CQ$29&gt;#REF!,CQ$29&lt;=#REF!+#REF!),$G$5,"")),"")</f>
        <v/>
      </c>
      <c r="CQ85" s="37" t="str">
        <f ca="1">IFERROR(+IF(CR$29=#REF!,Milestone_Marker,IF(AND(CR$29&gt;#REF!,CR$29&lt;=#REF!+#REF!),$G$5,"")),"")</f>
        <v/>
      </c>
      <c r="CR85" s="37" t="str">
        <f ca="1">IFERROR(+IF(CS$29=#REF!,Milestone_Marker,IF(AND(CS$29&gt;#REF!,CS$29&lt;=#REF!+#REF!),$G$5,"")),"")</f>
        <v/>
      </c>
      <c r="CS85" s="37" t="str">
        <f ca="1">IFERROR(+IF(CT$29=#REF!,Milestone_Marker,IF(AND(CT$29&gt;#REF!,CT$29&lt;=#REF!+#REF!),$G$5,"")),"")</f>
        <v/>
      </c>
      <c r="CT85" s="37" t="str">
        <f ca="1">IFERROR(+IF(CU$29=#REF!,Milestone_Marker,IF(AND(CU$29&gt;#REF!,CU$29&lt;=#REF!+#REF!),$G$5,"")),"")</f>
        <v/>
      </c>
    </row>
    <row r="86" spans="1:125" ht="15">
      <c r="A86"/>
      <c r="B86"/>
      <c r="C86"/>
      <c r="D86"/>
      <c r="E86"/>
      <c r="F86"/>
      <c r="G86" s="11"/>
      <c r="H86" s="26"/>
      <c r="I86"/>
      <c r="J86"/>
      <c r="K86" s="363"/>
      <c r="L86"/>
      <c r="M86"/>
      <c r="N86"/>
      <c r="O86" s="26"/>
      <c r="P86" s="37" t="str">
        <f ca="1">IFERROR(+IF(Q$29=#REF!,Milestone_Marker,IF(AND(Q$29&gt;#REF!,Q$29&lt;=#REF!+#REF!),$G$5,"")),"")</f>
        <v/>
      </c>
      <c r="Q86" s="37" t="str">
        <f ca="1">IFERROR(+IF(R$29=#REF!,Milestone_Marker,IF(AND(R$29&gt;#REF!,R$29&lt;=#REF!+#REF!),$G$5,"")),"")</f>
        <v/>
      </c>
      <c r="R86" s="37" t="str">
        <f ca="1">IFERROR(+IF(S$29=#REF!,Milestone_Marker,IF(AND(S$29&gt;#REF!,S$29&lt;=#REF!+#REF!),$G$5,"")),"")</f>
        <v/>
      </c>
      <c r="S86" s="37" t="str">
        <f ca="1">IFERROR(+IF(T$29=#REF!,Milestone_Marker,IF(AND(T$29&gt;#REF!,T$29&lt;=#REF!+#REF!),$G$5,"")),"")</f>
        <v/>
      </c>
      <c r="T86" s="37" t="str">
        <f ca="1">IFERROR(+IF(U$29=#REF!,Milestone_Marker,IF(AND(U$29&gt;#REF!,U$29&lt;=#REF!+#REF!),$G$5,"")),"")</f>
        <v/>
      </c>
      <c r="U86" s="37" t="str">
        <f ca="1">IFERROR(+IF(V$29=#REF!,Milestone_Marker,IF(AND(V$29&gt;#REF!,V$29&lt;=#REF!+#REF!),$G$5,"")),"")</f>
        <v/>
      </c>
      <c r="V86" s="37" t="str">
        <f ca="1">IFERROR(+IF(W$29=#REF!,Milestone_Marker,IF(AND(W$29&gt;#REF!,W$29&lt;=#REF!+#REF!),$G$5,"")),"")</f>
        <v/>
      </c>
      <c r="W86" s="37" t="str">
        <f ca="1">IFERROR(+IF(X$29=#REF!,Milestone_Marker,IF(AND(X$29&gt;#REF!,X$29&lt;=#REF!+#REF!),$G$5,"")),"")</f>
        <v/>
      </c>
      <c r="X86" s="37" t="str">
        <f ca="1">IFERROR(+IF(Y$29=#REF!,Milestone_Marker,IF(AND(Y$29&gt;#REF!,Y$29&lt;=#REF!+#REF!),$G$5,"")),"")</f>
        <v/>
      </c>
      <c r="Y86" s="37" t="str">
        <f ca="1">IFERROR(+IF(Z$29=#REF!,Milestone_Marker,IF(AND(Z$29&gt;#REF!,Z$29&lt;=#REF!+#REF!),$G$5,"")),"")</f>
        <v/>
      </c>
      <c r="Z86" s="37" t="str">
        <f ca="1">IFERROR(+IF(AA$29=#REF!,Milestone_Marker,IF(AND(AA$29&gt;#REF!,AA$29&lt;=#REF!+#REF!),$G$5,"")),"")</f>
        <v/>
      </c>
      <c r="AA86" s="37" t="str">
        <f ca="1">IFERROR(+IF(AB$29=#REF!,Milestone_Marker,IF(AND(AB$29&gt;#REF!,AB$29&lt;=#REF!+#REF!),$G$5,"")),"")</f>
        <v/>
      </c>
      <c r="AB86" s="37" t="str">
        <f ca="1">IFERROR(+IF(AC$29=#REF!,Milestone_Marker,IF(AND(AC$29&gt;#REF!,AC$29&lt;=#REF!+#REF!),$G$5,"")),"")</f>
        <v/>
      </c>
      <c r="AC86" s="37" t="str">
        <f ca="1">IFERROR(+IF(AD$29=#REF!,Milestone_Marker,IF(AND(AD$29&gt;#REF!,AD$29&lt;=#REF!+#REF!),$G$5,"")),"")</f>
        <v/>
      </c>
      <c r="AD86" s="37" t="str">
        <f ca="1">IFERROR(+IF(AE$29=#REF!,Milestone_Marker,IF(AND(AE$29&gt;#REF!,AE$29&lt;=#REF!+#REF!),$G$5,"")),"")</f>
        <v/>
      </c>
      <c r="AE86" s="37" t="str">
        <f ca="1">IFERROR(+IF(AF$29=#REF!,Milestone_Marker,IF(AND(AF$29&gt;#REF!,AF$29&lt;=#REF!+#REF!),$G$5,"")),"")</f>
        <v/>
      </c>
      <c r="AF86" s="37" t="str">
        <f ca="1">IFERROR(+IF(AG$29=#REF!,Milestone_Marker,IF(AND(AG$29&gt;#REF!,AG$29&lt;=#REF!+#REF!),$G$5,"")),"")</f>
        <v/>
      </c>
      <c r="AG86" s="37" t="str">
        <f ca="1">IFERROR(+IF(AH$29=#REF!,Milestone_Marker,IF(AND(AH$29&gt;#REF!,AH$29&lt;=#REF!+#REF!),$G$5,"")),"")</f>
        <v/>
      </c>
      <c r="AH86" s="37" t="str">
        <f ca="1">IFERROR(+IF(AI$29=#REF!,Milestone_Marker,IF(AND(AI$29&gt;#REF!,AI$29&lt;=#REF!+#REF!),$G$5,"")),"")</f>
        <v/>
      </c>
      <c r="AI86" s="37" t="str">
        <f ca="1">IFERROR(+IF(AJ$29=#REF!,Milestone_Marker,IF(AND(AJ$29&gt;#REF!,AJ$29&lt;=#REF!+#REF!),$G$5,"")),"")</f>
        <v/>
      </c>
      <c r="AJ86" s="37" t="str">
        <f ca="1">IFERROR(+IF(AK$29=#REF!,Milestone_Marker,IF(AND(AK$29&gt;#REF!,AK$29&lt;=#REF!+#REF!),$G$5,"")),"")</f>
        <v/>
      </c>
      <c r="AK86" s="37" t="str">
        <f ca="1">IFERROR(+IF(AL$29=#REF!,Milestone_Marker,IF(AND(AL$29&gt;#REF!,AL$29&lt;=#REF!+#REF!),$G$5,"")),"")</f>
        <v/>
      </c>
      <c r="AL86" s="37" t="str">
        <f ca="1">IFERROR(+IF(AM$29=#REF!,Milestone_Marker,IF(AND(AM$29&gt;#REF!,AM$29&lt;=#REF!+#REF!),$G$5,"")),"")</f>
        <v/>
      </c>
      <c r="AM86" s="37" t="str">
        <f ca="1">IFERROR(+IF(AN$29=#REF!,Milestone_Marker,IF(AND(AN$29&gt;#REF!,AN$29&lt;=#REF!+#REF!),$G$5,"")),"")</f>
        <v/>
      </c>
      <c r="AN86" s="37" t="str">
        <f ca="1">IFERROR(+IF(AO$29=#REF!,Milestone_Marker,IF(AND(AO$29&gt;#REF!,AO$29&lt;=#REF!+#REF!),$G$5,"")),"")</f>
        <v/>
      </c>
      <c r="AO86" s="37" t="str">
        <f ca="1">IFERROR(+IF(AP$29=#REF!,Milestone_Marker,IF(AND(AP$29&gt;#REF!,AP$29&lt;=#REF!+#REF!),$G$5,"")),"")</f>
        <v/>
      </c>
      <c r="AP86" s="37" t="str">
        <f ca="1">IFERROR(+IF(AQ$29=#REF!,Milestone_Marker,IF(AND(AQ$29&gt;#REF!,AQ$29&lt;=#REF!+#REF!),$G$5,"")),"")</f>
        <v/>
      </c>
      <c r="AQ86" s="37" t="str">
        <f ca="1">IFERROR(+IF(AR$29=#REF!,Milestone_Marker,IF(AND(AR$29&gt;#REF!,AR$29&lt;=#REF!+#REF!),$G$5,"")),"")</f>
        <v/>
      </c>
      <c r="AR86" s="37" t="str">
        <f ca="1">IFERROR(+IF(AS$29=#REF!,Milestone_Marker,IF(AND(AS$29&gt;#REF!,AS$29&lt;=#REF!+#REF!),$G$5,"")),"")</f>
        <v/>
      </c>
      <c r="AS86" s="37" t="str">
        <f ca="1">IFERROR(+IF(AT$29=#REF!,Milestone_Marker,IF(AND(AT$29&gt;#REF!,AT$29&lt;=#REF!+#REF!),$G$5,"")),"")</f>
        <v/>
      </c>
      <c r="AT86" s="37" t="str">
        <f ca="1">IFERROR(+IF(AU$29=#REF!,Milestone_Marker,IF(AND(AU$29&gt;#REF!,AU$29&lt;=#REF!+#REF!),$G$5,"")),"")</f>
        <v/>
      </c>
      <c r="AU86" s="37" t="str">
        <f ca="1">IFERROR(+IF(AV$29=#REF!,Milestone_Marker,IF(AND(AV$29&gt;#REF!,AV$29&lt;=#REF!+#REF!),$G$5,"")),"")</f>
        <v/>
      </c>
      <c r="AV86" s="37" t="str">
        <f ca="1">IFERROR(+IF(AW$29=#REF!,Milestone_Marker,IF(AND(AW$29&gt;#REF!,AW$29&lt;=#REF!+#REF!),$G$5,"")),"")</f>
        <v/>
      </c>
      <c r="AW86" s="37" t="str">
        <f ca="1">IFERROR(+IF(AX$29=#REF!,Milestone_Marker,IF(AND(AX$29&gt;#REF!,AX$29&lt;=#REF!+#REF!),$G$5,"")),"")</f>
        <v/>
      </c>
      <c r="AX86" s="37" t="str">
        <f ca="1">IFERROR(+IF(AY$29=#REF!,Milestone_Marker,IF(AND(AY$29&gt;#REF!,AY$29&lt;=#REF!+#REF!),$G$5,"")),"")</f>
        <v/>
      </c>
      <c r="AY86" s="37" t="str">
        <f ca="1">IFERROR(+IF(AZ$29=#REF!,Milestone_Marker,IF(AND(AZ$29&gt;#REF!,AZ$29&lt;=#REF!+#REF!),$G$5,"")),"")</f>
        <v/>
      </c>
      <c r="AZ86" s="37" t="str">
        <f ca="1">IFERROR(+IF(BA$29=#REF!,Milestone_Marker,IF(AND(BA$29&gt;#REF!,BA$29&lt;=#REF!+#REF!),$G$5,"")),"")</f>
        <v/>
      </c>
      <c r="BA86" s="37" t="str">
        <f ca="1">IFERROR(+IF(BB$29=#REF!,Milestone_Marker,IF(AND(BB$29&gt;#REF!,BB$29&lt;=#REF!+#REF!),$G$5,"")),"")</f>
        <v/>
      </c>
      <c r="BB86" s="37" t="str">
        <f ca="1">IFERROR(+IF(BC$29=#REF!,Milestone_Marker,IF(AND(BC$29&gt;#REF!,BC$29&lt;=#REF!+#REF!),$G$5,"")),"")</f>
        <v/>
      </c>
      <c r="BC86" s="37" t="str">
        <f ca="1">IFERROR(+IF(BD$29=#REF!,Milestone_Marker,IF(AND(BD$29&gt;#REF!,BD$29&lt;=#REF!+#REF!),$G$5,"")),"")</f>
        <v/>
      </c>
      <c r="BD86" s="37" t="str">
        <f ca="1">IFERROR(+IF(BE$29=#REF!,Milestone_Marker,IF(AND(BE$29&gt;#REF!,BE$29&lt;=#REF!+#REF!),$G$5,"")),"")</f>
        <v/>
      </c>
      <c r="BE86" s="37" t="str">
        <f ca="1">IFERROR(+IF(BF$29=#REF!,Milestone_Marker,IF(AND(BF$29&gt;#REF!,BF$29&lt;=#REF!+#REF!),$G$5,"")),"")</f>
        <v/>
      </c>
      <c r="BF86" s="37" t="str">
        <f ca="1">IFERROR(+IF(BG$29=#REF!,Milestone_Marker,IF(AND(BG$29&gt;#REF!,BG$29&lt;=#REF!+#REF!),$G$5,"")),"")</f>
        <v/>
      </c>
      <c r="BG86" s="37" t="str">
        <f ca="1">IFERROR(+IF(BH$29=#REF!,Milestone_Marker,IF(AND(BH$29&gt;#REF!,BH$29&lt;=#REF!+#REF!),$G$5,"")),"")</f>
        <v/>
      </c>
      <c r="BH86" s="37" t="str">
        <f ca="1">IFERROR(+IF(BI$29=#REF!,Milestone_Marker,IF(AND(BI$29&gt;#REF!,BI$29&lt;=#REF!+#REF!),$G$5,"")),"")</f>
        <v/>
      </c>
      <c r="BI86" s="37" t="str">
        <f ca="1">IFERROR(+IF(BJ$29=#REF!,Milestone_Marker,IF(AND(BJ$29&gt;#REF!,BJ$29&lt;=#REF!+#REF!),$G$5,"")),"")</f>
        <v/>
      </c>
      <c r="BJ86" s="37" t="str">
        <f ca="1">IFERROR(+IF(BK$29=#REF!,Milestone_Marker,IF(AND(BK$29&gt;#REF!,BK$29&lt;=#REF!+#REF!),$G$5,"")),"")</f>
        <v/>
      </c>
      <c r="BK86" s="37" t="str">
        <f ca="1">IFERROR(+IF(BL$29=#REF!,Milestone_Marker,IF(AND(BL$29&gt;#REF!,BL$29&lt;=#REF!+#REF!),$G$5,"")),"")</f>
        <v/>
      </c>
      <c r="BL86" s="37" t="str">
        <f ca="1">IFERROR(+IF(BM$29=#REF!,Milestone_Marker,IF(AND(BM$29&gt;#REF!,BM$29&lt;=#REF!+#REF!),$G$5,"")),"")</f>
        <v/>
      </c>
      <c r="BM86" s="37" t="str">
        <f ca="1">IFERROR(+IF(BN$29=#REF!,Milestone_Marker,IF(AND(BN$29&gt;#REF!,BN$29&lt;=#REF!+#REF!),$G$5,"")),"")</f>
        <v/>
      </c>
      <c r="BN86" s="37" t="str">
        <f ca="1">IFERROR(+IF(BO$29=#REF!,Milestone_Marker,IF(AND(BO$29&gt;#REF!,BO$29&lt;=#REF!+#REF!),$G$5,"")),"")</f>
        <v/>
      </c>
      <c r="BO86" s="37" t="str">
        <f ca="1">IFERROR(+IF(BP$29=#REF!,Milestone_Marker,IF(AND(BP$29&gt;#REF!,BP$29&lt;=#REF!+#REF!),$G$5,"")),"")</f>
        <v/>
      </c>
      <c r="BP86" s="37" t="str">
        <f ca="1">IFERROR(+IF(BQ$29=#REF!,Milestone_Marker,IF(AND(BQ$29&gt;#REF!,BQ$29&lt;=#REF!+#REF!),$G$5,"")),"")</f>
        <v/>
      </c>
      <c r="BQ86" s="37" t="str">
        <f ca="1">IFERROR(+IF(BR$29=#REF!,Milestone_Marker,IF(AND(BR$29&gt;#REF!,BR$29&lt;=#REF!+#REF!),$G$5,"")),"")</f>
        <v/>
      </c>
      <c r="BR86" s="37" t="str">
        <f ca="1">IFERROR(+IF(BS$29=#REF!,Milestone_Marker,IF(AND(BS$29&gt;#REF!,BS$29&lt;=#REF!+#REF!),$G$5,"")),"")</f>
        <v/>
      </c>
      <c r="BS86" s="37" t="str">
        <f ca="1">IFERROR(+IF(BT$29=#REF!,Milestone_Marker,IF(AND(BT$29&gt;#REF!,BT$29&lt;=#REF!+#REF!),$G$5,"")),"")</f>
        <v/>
      </c>
      <c r="BT86" s="37" t="str">
        <f ca="1">IFERROR(+IF(BU$29=#REF!,Milestone_Marker,IF(AND(BU$29&gt;#REF!,BU$29&lt;=#REF!+#REF!),$G$5,"")),"")</f>
        <v/>
      </c>
      <c r="BU86" s="37" t="str">
        <f ca="1">IFERROR(+IF(BV$29=#REF!,Milestone_Marker,IF(AND(BV$29&gt;#REF!,BV$29&lt;=#REF!+#REF!),$G$5,"")),"")</f>
        <v/>
      </c>
      <c r="BV86" s="37" t="str">
        <f ca="1">IFERROR(+IF(BW$29=#REF!,Milestone_Marker,IF(AND(BW$29&gt;#REF!,BW$29&lt;=#REF!+#REF!),$G$5,"")),"")</f>
        <v/>
      </c>
      <c r="BW86" s="37" t="str">
        <f ca="1">IFERROR(+IF(BX$29=#REF!,Milestone_Marker,IF(AND(BX$29&gt;#REF!,BX$29&lt;=#REF!+#REF!),$G$5,"")),"")</f>
        <v/>
      </c>
      <c r="BX86" s="37" t="str">
        <f ca="1">IFERROR(+IF(BY$29=#REF!,Milestone_Marker,IF(AND(BY$29&gt;#REF!,BY$29&lt;=#REF!+#REF!),$G$5,"")),"")</f>
        <v/>
      </c>
      <c r="BY86" s="37" t="str">
        <f ca="1">IFERROR(+IF(BZ$29=#REF!,Milestone_Marker,IF(AND(BZ$29&gt;#REF!,BZ$29&lt;=#REF!+#REF!),$G$5,"")),"")</f>
        <v/>
      </c>
      <c r="BZ86" s="37" t="str">
        <f ca="1">IFERROR(+IF(CA$29=#REF!,Milestone_Marker,IF(AND(CA$29&gt;#REF!,CA$29&lt;=#REF!+#REF!),$G$5,"")),"")</f>
        <v/>
      </c>
      <c r="CA86" s="37" t="str">
        <f ca="1">IFERROR(+IF(CB$29=#REF!,Milestone_Marker,IF(AND(CB$29&gt;#REF!,CB$29&lt;=#REF!+#REF!),$G$5,"")),"")</f>
        <v/>
      </c>
      <c r="CB86" s="37" t="str">
        <f ca="1">IFERROR(+IF(CC$29=#REF!,Milestone_Marker,IF(AND(CC$29&gt;#REF!,CC$29&lt;=#REF!+#REF!),$G$5,"")),"")</f>
        <v/>
      </c>
      <c r="CC86" s="37" t="str">
        <f ca="1">IFERROR(+IF(CD$29=#REF!,Milestone_Marker,IF(AND(CD$29&gt;#REF!,CD$29&lt;=#REF!+#REF!),$G$5,"")),"")</f>
        <v/>
      </c>
      <c r="CD86" s="37" t="str">
        <f ca="1">IFERROR(+IF(CE$29=#REF!,Milestone_Marker,IF(AND(CE$29&gt;#REF!,CE$29&lt;=#REF!+#REF!),$G$5,"")),"")</f>
        <v/>
      </c>
      <c r="CE86" s="37" t="str">
        <f ca="1">IFERROR(+IF(CF$29=#REF!,Milestone_Marker,IF(AND(CF$29&gt;#REF!,CF$29&lt;=#REF!+#REF!),$G$5,"")),"")</f>
        <v/>
      </c>
      <c r="CF86" s="37" t="str">
        <f ca="1">IFERROR(+IF(CG$29=#REF!,Milestone_Marker,IF(AND(CG$29&gt;#REF!,CG$29&lt;=#REF!+#REF!),$G$5,"")),"")</f>
        <v/>
      </c>
      <c r="CG86" s="37" t="str">
        <f ca="1">IFERROR(+IF(CH$29=#REF!,Milestone_Marker,IF(AND(CH$29&gt;#REF!,CH$29&lt;=#REF!+#REF!),$G$5,"")),"")</f>
        <v/>
      </c>
      <c r="CH86" s="37" t="str">
        <f ca="1">IFERROR(+IF(CI$29=#REF!,Milestone_Marker,IF(AND(CI$29&gt;#REF!,CI$29&lt;=#REF!+#REF!),$G$5,"")),"")</f>
        <v/>
      </c>
      <c r="CI86" s="37" t="str">
        <f ca="1">IFERROR(+IF(CJ$29=#REF!,Milestone_Marker,IF(AND(CJ$29&gt;#REF!,CJ$29&lt;=#REF!+#REF!),$G$5,"")),"")</f>
        <v/>
      </c>
      <c r="CJ86" s="37" t="str">
        <f ca="1">IFERROR(+IF(CK$29=#REF!,Milestone_Marker,IF(AND(CK$29&gt;#REF!,CK$29&lt;=#REF!+#REF!),$G$5,"")),"")</f>
        <v/>
      </c>
      <c r="CK86" s="37" t="str">
        <f ca="1">IFERROR(+IF(CL$29=#REF!,Milestone_Marker,IF(AND(CL$29&gt;#REF!,CL$29&lt;=#REF!+#REF!),$G$5,"")),"")</f>
        <v/>
      </c>
      <c r="CL86" s="37" t="str">
        <f ca="1">IFERROR(+IF(CM$29=#REF!,Milestone_Marker,IF(AND(CM$29&gt;#REF!,CM$29&lt;=#REF!+#REF!),$G$5,"")),"")</f>
        <v/>
      </c>
      <c r="CM86" s="37" t="str">
        <f ca="1">IFERROR(+IF(CN$29=#REF!,Milestone_Marker,IF(AND(CN$29&gt;#REF!,CN$29&lt;=#REF!+#REF!),$G$5,"")),"")</f>
        <v/>
      </c>
      <c r="CN86" s="37" t="str">
        <f ca="1">IFERROR(+IF(CO$29=#REF!,Milestone_Marker,IF(AND(CO$29&gt;#REF!,CO$29&lt;=#REF!+#REF!),$G$5,"")),"")</f>
        <v/>
      </c>
      <c r="CO86" s="37" t="str">
        <f ca="1">IFERROR(+IF(CP$29=#REF!,Milestone_Marker,IF(AND(CP$29&gt;#REF!,CP$29&lt;=#REF!+#REF!),$G$5,"")),"")</f>
        <v/>
      </c>
      <c r="CP86" s="37" t="str">
        <f ca="1">IFERROR(+IF(CQ$29=#REF!,Milestone_Marker,IF(AND(CQ$29&gt;#REF!,CQ$29&lt;=#REF!+#REF!),$G$5,"")),"")</f>
        <v/>
      </c>
      <c r="CQ86" s="37" t="str">
        <f ca="1">IFERROR(+IF(CR$29=#REF!,Milestone_Marker,IF(AND(CR$29&gt;#REF!,CR$29&lt;=#REF!+#REF!),$G$5,"")),"")</f>
        <v/>
      </c>
      <c r="CR86" s="37" t="str">
        <f ca="1">IFERROR(+IF(CS$29=#REF!,Milestone_Marker,IF(AND(CS$29&gt;#REF!,CS$29&lt;=#REF!+#REF!),$G$5,"")),"")</f>
        <v/>
      </c>
      <c r="CS86" s="37" t="str">
        <f ca="1">IFERROR(+IF(CT$29=#REF!,Milestone_Marker,IF(AND(CT$29&gt;#REF!,CT$29&lt;=#REF!+#REF!),$G$5,"")),"")</f>
        <v/>
      </c>
      <c r="CT86" s="37" t="str">
        <f ca="1">IFERROR(+IF(CU$29=#REF!,Milestone_Marker,IF(AND(CU$29&gt;#REF!,CU$29&lt;=#REF!+#REF!),$G$5,"")),"")</f>
        <v/>
      </c>
    </row>
    <row r="87" spans="1:125" ht="15">
      <c r="A87"/>
      <c r="B87"/>
      <c r="C87"/>
      <c r="D87"/>
      <c r="E87"/>
      <c r="F87"/>
      <c r="G87" s="11"/>
      <c r="H87" s="26"/>
      <c r="I87"/>
      <c r="J87"/>
      <c r="K87" s="363"/>
      <c r="L87"/>
      <c r="M87"/>
      <c r="N87"/>
      <c r="O87" s="26"/>
      <c r="P87" s="37" t="str">
        <f ca="1">IFERROR(+IF(Q$29=#REF!,Milestone_Marker,IF(AND(Q$29&gt;#REF!,Q$29&lt;=#REF!+#REF!),$G$5,"")),"")</f>
        <v/>
      </c>
      <c r="Q87" s="37" t="str">
        <f ca="1">IFERROR(+IF(R$29=#REF!,Milestone_Marker,IF(AND(R$29&gt;#REF!,R$29&lt;=#REF!+#REF!),$G$5,"")),"")</f>
        <v/>
      </c>
      <c r="R87" s="37" t="str">
        <f ca="1">IFERROR(+IF(S$29=#REF!,Milestone_Marker,IF(AND(S$29&gt;#REF!,S$29&lt;=#REF!+#REF!),$G$5,"")),"")</f>
        <v/>
      </c>
      <c r="S87" s="37" t="str">
        <f ca="1">IFERROR(+IF(T$29=#REF!,Milestone_Marker,IF(AND(T$29&gt;#REF!,T$29&lt;=#REF!+#REF!),$G$5,"")),"")</f>
        <v/>
      </c>
      <c r="T87" s="37" t="str">
        <f ca="1">IFERROR(+IF(U$29=#REF!,Milestone_Marker,IF(AND(U$29&gt;#REF!,U$29&lt;=#REF!+#REF!),$G$5,"")),"")</f>
        <v/>
      </c>
      <c r="U87" s="37" t="str">
        <f ca="1">IFERROR(+IF(V$29=#REF!,Milestone_Marker,IF(AND(V$29&gt;#REF!,V$29&lt;=#REF!+#REF!),$G$5,"")),"")</f>
        <v/>
      </c>
      <c r="V87" s="37" t="str">
        <f ca="1">IFERROR(+IF(W$29=#REF!,Milestone_Marker,IF(AND(W$29&gt;#REF!,W$29&lt;=#REF!+#REF!),$G$5,"")),"")</f>
        <v/>
      </c>
      <c r="W87" s="37" t="str">
        <f ca="1">IFERROR(+IF(X$29=#REF!,Milestone_Marker,IF(AND(X$29&gt;#REF!,X$29&lt;=#REF!+#REF!),$G$5,"")),"")</f>
        <v/>
      </c>
      <c r="X87" s="37" t="str">
        <f ca="1">IFERROR(+IF(Y$29=#REF!,Milestone_Marker,IF(AND(Y$29&gt;#REF!,Y$29&lt;=#REF!+#REF!),$G$5,"")),"")</f>
        <v/>
      </c>
      <c r="Y87" s="37" t="str">
        <f ca="1">IFERROR(+IF(Z$29=#REF!,Milestone_Marker,IF(AND(Z$29&gt;#REF!,Z$29&lt;=#REF!+#REF!),$G$5,"")),"")</f>
        <v/>
      </c>
      <c r="Z87" s="37" t="str">
        <f ca="1">IFERROR(+IF(AA$29=#REF!,Milestone_Marker,IF(AND(AA$29&gt;#REF!,AA$29&lt;=#REF!+#REF!),$G$5,"")),"")</f>
        <v/>
      </c>
      <c r="AA87" s="37" t="str">
        <f ca="1">IFERROR(+IF(AB$29=#REF!,Milestone_Marker,IF(AND(AB$29&gt;#REF!,AB$29&lt;=#REF!+#REF!),$G$5,"")),"")</f>
        <v/>
      </c>
      <c r="AB87" s="37" t="str">
        <f ca="1">IFERROR(+IF(AC$29=#REF!,Milestone_Marker,IF(AND(AC$29&gt;#REF!,AC$29&lt;=#REF!+#REF!),$G$5,"")),"")</f>
        <v/>
      </c>
      <c r="AC87" s="37" t="str">
        <f ca="1">IFERROR(+IF(AD$29=#REF!,Milestone_Marker,IF(AND(AD$29&gt;#REF!,AD$29&lt;=#REF!+#REF!),$G$5,"")),"")</f>
        <v/>
      </c>
      <c r="AD87" s="37" t="str">
        <f ca="1">IFERROR(+IF(AE$29=#REF!,Milestone_Marker,IF(AND(AE$29&gt;#REF!,AE$29&lt;=#REF!+#REF!),$G$5,"")),"")</f>
        <v/>
      </c>
      <c r="AE87" s="37" t="str">
        <f ca="1">IFERROR(+IF(AF$29=#REF!,Milestone_Marker,IF(AND(AF$29&gt;#REF!,AF$29&lt;=#REF!+#REF!),$G$5,"")),"")</f>
        <v/>
      </c>
      <c r="AF87" s="37" t="str">
        <f ca="1">IFERROR(+IF(AG$29=#REF!,Milestone_Marker,IF(AND(AG$29&gt;#REF!,AG$29&lt;=#REF!+#REF!),$G$5,"")),"")</f>
        <v/>
      </c>
      <c r="AG87" s="37" t="str">
        <f ca="1">IFERROR(+IF(AH$29=#REF!,Milestone_Marker,IF(AND(AH$29&gt;#REF!,AH$29&lt;=#REF!+#REF!),$G$5,"")),"")</f>
        <v/>
      </c>
      <c r="AH87" s="37" t="str">
        <f ca="1">IFERROR(+IF(AI$29=#REF!,Milestone_Marker,IF(AND(AI$29&gt;#REF!,AI$29&lt;=#REF!+#REF!),$G$5,"")),"")</f>
        <v/>
      </c>
      <c r="AI87" s="37" t="str">
        <f ca="1">IFERROR(+IF(AJ$29=#REF!,Milestone_Marker,IF(AND(AJ$29&gt;#REF!,AJ$29&lt;=#REF!+#REF!),$G$5,"")),"")</f>
        <v/>
      </c>
      <c r="AJ87" s="37" t="str">
        <f ca="1">IFERROR(+IF(AK$29=#REF!,Milestone_Marker,IF(AND(AK$29&gt;#REF!,AK$29&lt;=#REF!+#REF!),$G$5,"")),"")</f>
        <v/>
      </c>
      <c r="AK87" s="37" t="str">
        <f ca="1">IFERROR(+IF(AL$29=#REF!,Milestone_Marker,IF(AND(AL$29&gt;#REF!,AL$29&lt;=#REF!+#REF!),$G$5,"")),"")</f>
        <v/>
      </c>
      <c r="AL87" s="37" t="str">
        <f ca="1">IFERROR(+IF(AM$29=#REF!,Milestone_Marker,IF(AND(AM$29&gt;#REF!,AM$29&lt;=#REF!+#REF!),$G$5,"")),"")</f>
        <v/>
      </c>
      <c r="AM87" s="37" t="str">
        <f ca="1">IFERROR(+IF(AN$29=#REF!,Milestone_Marker,IF(AND(AN$29&gt;#REF!,AN$29&lt;=#REF!+#REF!),$G$5,"")),"")</f>
        <v/>
      </c>
      <c r="AN87" s="37" t="str">
        <f ca="1">IFERROR(+IF(AO$29=#REF!,Milestone_Marker,IF(AND(AO$29&gt;#REF!,AO$29&lt;=#REF!+#REF!),$G$5,"")),"")</f>
        <v/>
      </c>
      <c r="AO87" s="37" t="str">
        <f ca="1">IFERROR(+IF(AP$29=#REF!,Milestone_Marker,IF(AND(AP$29&gt;#REF!,AP$29&lt;=#REF!+#REF!),$G$5,"")),"")</f>
        <v/>
      </c>
      <c r="AP87" s="37" t="str">
        <f ca="1">IFERROR(+IF(AQ$29=#REF!,Milestone_Marker,IF(AND(AQ$29&gt;#REF!,AQ$29&lt;=#REF!+#REF!),$G$5,"")),"")</f>
        <v/>
      </c>
      <c r="AQ87" s="37" t="str">
        <f ca="1">IFERROR(+IF(AR$29=#REF!,Milestone_Marker,IF(AND(AR$29&gt;#REF!,AR$29&lt;=#REF!+#REF!),$G$5,"")),"")</f>
        <v/>
      </c>
      <c r="AR87" s="37" t="str">
        <f ca="1">IFERROR(+IF(AS$29=#REF!,Milestone_Marker,IF(AND(AS$29&gt;#REF!,AS$29&lt;=#REF!+#REF!),$G$5,"")),"")</f>
        <v/>
      </c>
      <c r="AS87" s="37" t="str">
        <f ca="1">IFERROR(+IF(AT$29=#REF!,Milestone_Marker,IF(AND(AT$29&gt;#REF!,AT$29&lt;=#REF!+#REF!),$G$5,"")),"")</f>
        <v/>
      </c>
      <c r="AT87" s="37" t="str">
        <f ca="1">IFERROR(+IF(AU$29=#REF!,Milestone_Marker,IF(AND(AU$29&gt;#REF!,AU$29&lt;=#REF!+#REF!),$G$5,"")),"")</f>
        <v/>
      </c>
      <c r="AU87" s="37" t="str">
        <f ca="1">IFERROR(+IF(AV$29=#REF!,Milestone_Marker,IF(AND(AV$29&gt;#REF!,AV$29&lt;=#REF!+#REF!),$G$5,"")),"")</f>
        <v/>
      </c>
      <c r="AV87" s="37" t="str">
        <f ca="1">IFERROR(+IF(AW$29=#REF!,Milestone_Marker,IF(AND(AW$29&gt;#REF!,AW$29&lt;=#REF!+#REF!),$G$5,"")),"")</f>
        <v/>
      </c>
      <c r="AW87" s="37" t="str">
        <f ca="1">IFERROR(+IF(AX$29=#REF!,Milestone_Marker,IF(AND(AX$29&gt;#REF!,AX$29&lt;=#REF!+#REF!),$G$5,"")),"")</f>
        <v/>
      </c>
      <c r="AX87" s="37" t="str">
        <f ca="1">IFERROR(+IF(AY$29=#REF!,Milestone_Marker,IF(AND(AY$29&gt;#REF!,AY$29&lt;=#REF!+#REF!),$G$5,"")),"")</f>
        <v/>
      </c>
      <c r="AY87" s="37" t="str">
        <f ca="1">IFERROR(+IF(AZ$29=#REF!,Milestone_Marker,IF(AND(AZ$29&gt;#REF!,AZ$29&lt;=#REF!+#REF!),$G$5,"")),"")</f>
        <v/>
      </c>
      <c r="AZ87" s="37" t="str">
        <f ca="1">IFERROR(+IF(BA$29=#REF!,Milestone_Marker,IF(AND(BA$29&gt;#REF!,BA$29&lt;=#REF!+#REF!),$G$5,"")),"")</f>
        <v/>
      </c>
      <c r="BA87" s="37" t="str">
        <f ca="1">IFERROR(+IF(BB$29=#REF!,Milestone_Marker,IF(AND(BB$29&gt;#REF!,BB$29&lt;=#REF!+#REF!),$G$5,"")),"")</f>
        <v/>
      </c>
      <c r="BB87" s="37" t="str">
        <f ca="1">IFERROR(+IF(BC$29=#REF!,Milestone_Marker,IF(AND(BC$29&gt;#REF!,BC$29&lt;=#REF!+#REF!),$G$5,"")),"")</f>
        <v/>
      </c>
      <c r="BC87" s="37" t="str">
        <f ca="1">IFERROR(+IF(BD$29=#REF!,Milestone_Marker,IF(AND(BD$29&gt;#REF!,BD$29&lt;=#REF!+#REF!),$G$5,"")),"")</f>
        <v/>
      </c>
      <c r="BD87" s="37" t="str">
        <f ca="1">IFERROR(+IF(BE$29=#REF!,Milestone_Marker,IF(AND(BE$29&gt;#REF!,BE$29&lt;=#REF!+#REF!),$G$5,"")),"")</f>
        <v/>
      </c>
      <c r="BE87" s="37" t="str">
        <f ca="1">IFERROR(+IF(BF$29=#REF!,Milestone_Marker,IF(AND(BF$29&gt;#REF!,BF$29&lt;=#REF!+#REF!),$G$5,"")),"")</f>
        <v/>
      </c>
      <c r="BF87" s="37" t="str">
        <f ca="1">IFERROR(+IF(BG$29=#REF!,Milestone_Marker,IF(AND(BG$29&gt;#REF!,BG$29&lt;=#REF!+#REF!),$G$5,"")),"")</f>
        <v/>
      </c>
      <c r="BG87" s="37" t="str">
        <f ca="1">IFERROR(+IF(BH$29=#REF!,Milestone_Marker,IF(AND(BH$29&gt;#REF!,BH$29&lt;=#REF!+#REF!),$G$5,"")),"")</f>
        <v/>
      </c>
      <c r="BH87" s="37" t="str">
        <f ca="1">IFERROR(+IF(BI$29=#REF!,Milestone_Marker,IF(AND(BI$29&gt;#REF!,BI$29&lt;=#REF!+#REF!),$G$5,"")),"")</f>
        <v/>
      </c>
      <c r="BI87" s="37" t="str">
        <f ca="1">IFERROR(+IF(BJ$29=#REF!,Milestone_Marker,IF(AND(BJ$29&gt;#REF!,BJ$29&lt;=#REF!+#REF!),$G$5,"")),"")</f>
        <v/>
      </c>
      <c r="BJ87" s="37" t="str">
        <f ca="1">IFERROR(+IF(BK$29=#REF!,Milestone_Marker,IF(AND(BK$29&gt;#REF!,BK$29&lt;=#REF!+#REF!),$G$5,"")),"")</f>
        <v/>
      </c>
      <c r="BK87" s="37" t="str">
        <f ca="1">IFERROR(+IF(BL$29=#REF!,Milestone_Marker,IF(AND(BL$29&gt;#REF!,BL$29&lt;=#REF!+#REF!),$G$5,"")),"")</f>
        <v/>
      </c>
      <c r="BL87" s="37" t="str">
        <f ca="1">IFERROR(+IF(BM$29=#REF!,Milestone_Marker,IF(AND(BM$29&gt;#REF!,BM$29&lt;=#REF!+#REF!),$G$5,"")),"")</f>
        <v/>
      </c>
      <c r="BM87" s="37" t="str">
        <f ca="1">IFERROR(+IF(BN$29=#REF!,Milestone_Marker,IF(AND(BN$29&gt;#REF!,BN$29&lt;=#REF!+#REF!),$G$5,"")),"")</f>
        <v/>
      </c>
      <c r="BN87" s="37" t="str">
        <f ca="1">IFERROR(+IF(BO$29=#REF!,Milestone_Marker,IF(AND(BO$29&gt;#REF!,BO$29&lt;=#REF!+#REF!),$G$5,"")),"")</f>
        <v/>
      </c>
      <c r="BO87" s="37" t="str">
        <f ca="1">IFERROR(+IF(BP$29=#REF!,Milestone_Marker,IF(AND(BP$29&gt;#REF!,BP$29&lt;=#REF!+#REF!),$G$5,"")),"")</f>
        <v/>
      </c>
      <c r="BP87" s="37" t="str">
        <f ca="1">IFERROR(+IF(BQ$29=#REF!,Milestone_Marker,IF(AND(BQ$29&gt;#REF!,BQ$29&lt;=#REF!+#REF!),$G$5,"")),"")</f>
        <v/>
      </c>
      <c r="BQ87" s="37" t="str">
        <f ca="1">IFERROR(+IF(BR$29=#REF!,Milestone_Marker,IF(AND(BR$29&gt;#REF!,BR$29&lt;=#REF!+#REF!),$G$5,"")),"")</f>
        <v/>
      </c>
      <c r="BR87" s="37" t="str">
        <f ca="1">IFERROR(+IF(BS$29=#REF!,Milestone_Marker,IF(AND(BS$29&gt;#REF!,BS$29&lt;=#REF!+#REF!),$G$5,"")),"")</f>
        <v/>
      </c>
      <c r="BS87" s="37" t="str">
        <f ca="1">IFERROR(+IF(BT$29=#REF!,Milestone_Marker,IF(AND(BT$29&gt;#REF!,BT$29&lt;=#REF!+#REF!),$G$5,"")),"")</f>
        <v/>
      </c>
      <c r="BT87" s="37" t="str">
        <f ca="1">IFERROR(+IF(BU$29=#REF!,Milestone_Marker,IF(AND(BU$29&gt;#REF!,BU$29&lt;=#REF!+#REF!),$G$5,"")),"")</f>
        <v/>
      </c>
      <c r="BU87" s="37" t="str">
        <f ca="1">IFERROR(+IF(BV$29=#REF!,Milestone_Marker,IF(AND(BV$29&gt;#REF!,BV$29&lt;=#REF!+#REF!),$G$5,"")),"")</f>
        <v/>
      </c>
      <c r="BV87" s="37" t="str">
        <f ca="1">IFERROR(+IF(BW$29=#REF!,Milestone_Marker,IF(AND(BW$29&gt;#REF!,BW$29&lt;=#REF!+#REF!),$G$5,"")),"")</f>
        <v/>
      </c>
      <c r="BW87" s="37" t="str">
        <f ca="1">IFERROR(+IF(BX$29=#REF!,Milestone_Marker,IF(AND(BX$29&gt;#REF!,BX$29&lt;=#REF!+#REF!),$G$5,"")),"")</f>
        <v/>
      </c>
      <c r="BX87" s="37" t="str">
        <f ca="1">IFERROR(+IF(BY$29=#REF!,Milestone_Marker,IF(AND(BY$29&gt;#REF!,BY$29&lt;=#REF!+#REF!),$G$5,"")),"")</f>
        <v/>
      </c>
      <c r="BY87" s="37" t="str">
        <f ca="1">IFERROR(+IF(BZ$29=#REF!,Milestone_Marker,IF(AND(BZ$29&gt;#REF!,BZ$29&lt;=#REF!+#REF!),$G$5,"")),"")</f>
        <v/>
      </c>
      <c r="BZ87" s="37" t="str">
        <f ca="1">IFERROR(+IF(CA$29=#REF!,Milestone_Marker,IF(AND(CA$29&gt;#REF!,CA$29&lt;=#REF!+#REF!),$G$5,"")),"")</f>
        <v/>
      </c>
      <c r="CA87" s="37" t="str">
        <f ca="1">IFERROR(+IF(CB$29=#REF!,Milestone_Marker,IF(AND(CB$29&gt;#REF!,CB$29&lt;=#REF!+#REF!),$G$5,"")),"")</f>
        <v/>
      </c>
      <c r="CB87" s="37" t="str">
        <f ca="1">IFERROR(+IF(CC$29=#REF!,Milestone_Marker,IF(AND(CC$29&gt;#REF!,CC$29&lt;=#REF!+#REF!),$G$5,"")),"")</f>
        <v/>
      </c>
      <c r="CC87" s="37" t="str">
        <f ca="1">IFERROR(+IF(CD$29=#REF!,Milestone_Marker,IF(AND(CD$29&gt;#REF!,CD$29&lt;=#REF!+#REF!),$G$5,"")),"")</f>
        <v/>
      </c>
      <c r="CD87" s="37" t="str">
        <f ca="1">IFERROR(+IF(CE$29=#REF!,Milestone_Marker,IF(AND(CE$29&gt;#REF!,CE$29&lt;=#REF!+#REF!),$G$5,"")),"")</f>
        <v/>
      </c>
      <c r="CE87" s="37" t="str">
        <f ca="1">IFERROR(+IF(CF$29=#REF!,Milestone_Marker,IF(AND(CF$29&gt;#REF!,CF$29&lt;=#REF!+#REF!),$G$5,"")),"")</f>
        <v/>
      </c>
      <c r="CF87" s="37" t="str">
        <f ca="1">IFERROR(+IF(CG$29=#REF!,Milestone_Marker,IF(AND(CG$29&gt;#REF!,CG$29&lt;=#REF!+#REF!),$G$5,"")),"")</f>
        <v/>
      </c>
      <c r="CG87" s="37" t="str">
        <f ca="1">IFERROR(+IF(CH$29=#REF!,Milestone_Marker,IF(AND(CH$29&gt;#REF!,CH$29&lt;=#REF!+#REF!),$G$5,"")),"")</f>
        <v/>
      </c>
      <c r="CH87" s="37" t="str">
        <f ca="1">IFERROR(+IF(CI$29=#REF!,Milestone_Marker,IF(AND(CI$29&gt;#REF!,CI$29&lt;=#REF!+#REF!),$G$5,"")),"")</f>
        <v/>
      </c>
      <c r="CI87" s="37" t="str">
        <f ca="1">IFERROR(+IF(CJ$29=#REF!,Milestone_Marker,IF(AND(CJ$29&gt;#REF!,CJ$29&lt;=#REF!+#REF!),$G$5,"")),"")</f>
        <v/>
      </c>
      <c r="CJ87" s="37" t="str">
        <f ca="1">IFERROR(+IF(CK$29=#REF!,Milestone_Marker,IF(AND(CK$29&gt;#REF!,CK$29&lt;=#REF!+#REF!),$G$5,"")),"")</f>
        <v/>
      </c>
      <c r="CK87" s="37" t="str">
        <f ca="1">IFERROR(+IF(CL$29=#REF!,Milestone_Marker,IF(AND(CL$29&gt;#REF!,CL$29&lt;=#REF!+#REF!),$G$5,"")),"")</f>
        <v/>
      </c>
      <c r="CL87" s="37" t="str">
        <f ca="1">IFERROR(+IF(CM$29=#REF!,Milestone_Marker,IF(AND(CM$29&gt;#REF!,CM$29&lt;=#REF!+#REF!),$G$5,"")),"")</f>
        <v/>
      </c>
      <c r="CM87" s="37" t="str">
        <f ca="1">IFERROR(+IF(CN$29=#REF!,Milestone_Marker,IF(AND(CN$29&gt;#REF!,CN$29&lt;=#REF!+#REF!),$G$5,"")),"")</f>
        <v/>
      </c>
      <c r="CN87" s="37" t="str">
        <f ca="1">IFERROR(+IF(CO$29=#REF!,Milestone_Marker,IF(AND(CO$29&gt;#REF!,CO$29&lt;=#REF!+#REF!),$G$5,"")),"")</f>
        <v/>
      </c>
      <c r="CO87" s="37" t="str">
        <f ca="1">IFERROR(+IF(CP$29=#REF!,Milestone_Marker,IF(AND(CP$29&gt;#REF!,CP$29&lt;=#REF!+#REF!),$G$5,"")),"")</f>
        <v/>
      </c>
      <c r="CP87" s="37" t="str">
        <f ca="1">IFERROR(+IF(CQ$29=#REF!,Milestone_Marker,IF(AND(CQ$29&gt;#REF!,CQ$29&lt;=#REF!+#REF!),$G$5,"")),"")</f>
        <v/>
      </c>
      <c r="CQ87" s="37" t="str">
        <f ca="1">IFERROR(+IF(CR$29=#REF!,Milestone_Marker,IF(AND(CR$29&gt;#REF!,CR$29&lt;=#REF!+#REF!),$G$5,"")),"")</f>
        <v/>
      </c>
      <c r="CR87" s="37" t="str">
        <f ca="1">IFERROR(+IF(CS$29=#REF!,Milestone_Marker,IF(AND(CS$29&gt;#REF!,CS$29&lt;=#REF!+#REF!),$G$5,"")),"")</f>
        <v/>
      </c>
      <c r="CS87" s="37" t="str">
        <f ca="1">IFERROR(+IF(CT$29=#REF!,Milestone_Marker,IF(AND(CT$29&gt;#REF!,CT$29&lt;=#REF!+#REF!),$G$5,"")),"")</f>
        <v/>
      </c>
      <c r="CT87" s="37" t="str">
        <f ca="1">IFERROR(+IF(CU$29=#REF!,Milestone_Marker,IF(AND(CU$29&gt;#REF!,CU$29&lt;=#REF!+#REF!),$G$5,"")),"")</f>
        <v/>
      </c>
    </row>
    <row r="88" spans="1:125" ht="15">
      <c r="A88"/>
      <c r="B88"/>
      <c r="C88"/>
      <c r="D88"/>
      <c r="E88"/>
      <c r="F88"/>
      <c r="G88" s="11"/>
      <c r="H88" s="26"/>
      <c r="I88"/>
      <c r="J88"/>
      <c r="K88" s="363"/>
      <c r="L88"/>
      <c r="M88"/>
      <c r="N88"/>
      <c r="O88" s="26"/>
      <c r="P88" s="37" t="str">
        <f ca="1">IFERROR(+IF(Q$29=#REF!,Milestone_Marker,IF(AND(Q$29&gt;#REF!,Q$29&lt;=#REF!+#REF!),$G$5,"")),"")</f>
        <v/>
      </c>
      <c r="Q88" s="37" t="str">
        <f ca="1">IFERROR(+IF(R$29=#REF!,Milestone_Marker,IF(AND(R$29&gt;#REF!,R$29&lt;=#REF!+#REF!),$G$5,"")),"")</f>
        <v/>
      </c>
      <c r="R88" s="37" t="str">
        <f ca="1">IFERROR(+IF(S$29=#REF!,Milestone_Marker,IF(AND(S$29&gt;#REF!,S$29&lt;=#REF!+#REF!),$G$5,"")),"")</f>
        <v/>
      </c>
      <c r="S88" s="37" t="str">
        <f ca="1">IFERROR(+IF(T$29=#REF!,Milestone_Marker,IF(AND(T$29&gt;#REF!,T$29&lt;=#REF!+#REF!),$G$5,"")),"")</f>
        <v/>
      </c>
      <c r="T88" s="37" t="str">
        <f ca="1">IFERROR(+IF(U$29=#REF!,Milestone_Marker,IF(AND(U$29&gt;#REF!,U$29&lt;=#REF!+#REF!),$G$5,"")),"")</f>
        <v/>
      </c>
      <c r="U88" s="37" t="str">
        <f ca="1">IFERROR(+IF(V$29=#REF!,Milestone_Marker,IF(AND(V$29&gt;#REF!,V$29&lt;=#REF!+#REF!),$G$5,"")),"")</f>
        <v/>
      </c>
      <c r="V88" s="37" t="str">
        <f ca="1">IFERROR(+IF(W$29=#REF!,Milestone_Marker,IF(AND(W$29&gt;#REF!,W$29&lt;=#REF!+#REF!),$G$5,"")),"")</f>
        <v/>
      </c>
      <c r="W88" s="37" t="str">
        <f ca="1">IFERROR(+IF(X$29=#REF!,Milestone_Marker,IF(AND(X$29&gt;#REF!,X$29&lt;=#REF!+#REF!),$G$5,"")),"")</f>
        <v/>
      </c>
      <c r="X88" s="37" t="str">
        <f ca="1">IFERROR(+IF(Y$29=#REF!,Milestone_Marker,IF(AND(Y$29&gt;#REF!,Y$29&lt;=#REF!+#REF!),$G$5,"")),"")</f>
        <v/>
      </c>
      <c r="Y88" s="37" t="str">
        <f ca="1">IFERROR(+IF(Z$29=#REF!,Milestone_Marker,IF(AND(Z$29&gt;#REF!,Z$29&lt;=#REF!+#REF!),$G$5,"")),"")</f>
        <v/>
      </c>
      <c r="Z88" s="37" t="str">
        <f ca="1">IFERROR(+IF(AA$29=#REF!,Milestone_Marker,IF(AND(AA$29&gt;#REF!,AA$29&lt;=#REF!+#REF!),$G$5,"")),"")</f>
        <v/>
      </c>
      <c r="AA88" s="37" t="str">
        <f ca="1">IFERROR(+IF(AB$29=#REF!,Milestone_Marker,IF(AND(AB$29&gt;#REF!,AB$29&lt;=#REF!+#REF!),$G$5,"")),"")</f>
        <v/>
      </c>
      <c r="AB88" s="37" t="str">
        <f ca="1">IFERROR(+IF(AC$29=#REF!,Milestone_Marker,IF(AND(AC$29&gt;#REF!,AC$29&lt;=#REF!+#REF!),$G$5,"")),"")</f>
        <v/>
      </c>
      <c r="AC88" s="37" t="str">
        <f ca="1">IFERROR(+IF(AD$29=#REF!,Milestone_Marker,IF(AND(AD$29&gt;#REF!,AD$29&lt;=#REF!+#REF!),$G$5,"")),"")</f>
        <v/>
      </c>
      <c r="AD88" s="37" t="str">
        <f ca="1">IFERROR(+IF(AE$29=#REF!,Milestone_Marker,IF(AND(AE$29&gt;#REF!,AE$29&lt;=#REF!+#REF!),$G$5,"")),"")</f>
        <v/>
      </c>
      <c r="AE88" s="37" t="str">
        <f ca="1">IFERROR(+IF(AF$29=#REF!,Milestone_Marker,IF(AND(AF$29&gt;#REF!,AF$29&lt;=#REF!+#REF!),$G$5,"")),"")</f>
        <v/>
      </c>
      <c r="AF88" s="37" t="str">
        <f ca="1">IFERROR(+IF(AG$29=#REF!,Milestone_Marker,IF(AND(AG$29&gt;#REF!,AG$29&lt;=#REF!+#REF!),$G$5,"")),"")</f>
        <v/>
      </c>
      <c r="AG88" s="37" t="str">
        <f ca="1">IFERROR(+IF(AH$29=#REF!,Milestone_Marker,IF(AND(AH$29&gt;#REF!,AH$29&lt;=#REF!+#REF!),$G$5,"")),"")</f>
        <v/>
      </c>
      <c r="AH88" s="37" t="str">
        <f ca="1">IFERROR(+IF(AI$29=#REF!,Milestone_Marker,IF(AND(AI$29&gt;#REF!,AI$29&lt;=#REF!+#REF!),$G$5,"")),"")</f>
        <v/>
      </c>
      <c r="AI88" s="37" t="str">
        <f ca="1">IFERROR(+IF(AJ$29=#REF!,Milestone_Marker,IF(AND(AJ$29&gt;#REF!,AJ$29&lt;=#REF!+#REF!),$G$5,"")),"")</f>
        <v/>
      </c>
      <c r="AJ88" s="37" t="str">
        <f ca="1">IFERROR(+IF(AK$29=#REF!,Milestone_Marker,IF(AND(AK$29&gt;#REF!,AK$29&lt;=#REF!+#REF!),$G$5,"")),"")</f>
        <v/>
      </c>
      <c r="AK88" s="37" t="str">
        <f ca="1">IFERROR(+IF(AL$29=#REF!,Milestone_Marker,IF(AND(AL$29&gt;#REF!,AL$29&lt;=#REF!+#REF!),$G$5,"")),"")</f>
        <v/>
      </c>
      <c r="AL88" s="37" t="str">
        <f ca="1">IFERROR(+IF(AM$29=#REF!,Milestone_Marker,IF(AND(AM$29&gt;#REF!,AM$29&lt;=#REF!+#REF!),$G$5,"")),"")</f>
        <v/>
      </c>
      <c r="AM88" s="37" t="str">
        <f ca="1">IFERROR(+IF(AN$29=#REF!,Milestone_Marker,IF(AND(AN$29&gt;#REF!,AN$29&lt;=#REF!+#REF!),$G$5,"")),"")</f>
        <v/>
      </c>
      <c r="AN88" s="37" t="str">
        <f ca="1">IFERROR(+IF(AO$29=#REF!,Milestone_Marker,IF(AND(AO$29&gt;#REF!,AO$29&lt;=#REF!+#REF!),$G$5,"")),"")</f>
        <v/>
      </c>
      <c r="AO88" s="37" t="str">
        <f ca="1">IFERROR(+IF(AP$29=#REF!,Milestone_Marker,IF(AND(AP$29&gt;#REF!,AP$29&lt;=#REF!+#REF!),$G$5,"")),"")</f>
        <v/>
      </c>
      <c r="AP88" s="37" t="str">
        <f ca="1">IFERROR(+IF(AQ$29=#REF!,Milestone_Marker,IF(AND(AQ$29&gt;#REF!,AQ$29&lt;=#REF!+#REF!),$G$5,"")),"")</f>
        <v/>
      </c>
      <c r="AQ88" s="37" t="str">
        <f ca="1">IFERROR(+IF(AR$29=#REF!,Milestone_Marker,IF(AND(AR$29&gt;#REF!,AR$29&lt;=#REF!+#REF!),$G$5,"")),"")</f>
        <v/>
      </c>
      <c r="AR88" s="37" t="str">
        <f ca="1">IFERROR(+IF(AS$29=#REF!,Milestone_Marker,IF(AND(AS$29&gt;#REF!,AS$29&lt;=#REF!+#REF!),$G$5,"")),"")</f>
        <v/>
      </c>
      <c r="AS88" s="37" t="str">
        <f ca="1">IFERROR(+IF(AT$29=#REF!,Milestone_Marker,IF(AND(AT$29&gt;#REF!,AT$29&lt;=#REF!+#REF!),$G$5,"")),"")</f>
        <v/>
      </c>
      <c r="AT88" s="37" t="str">
        <f ca="1">IFERROR(+IF(AU$29=#REF!,Milestone_Marker,IF(AND(AU$29&gt;#REF!,AU$29&lt;=#REF!+#REF!),$G$5,"")),"")</f>
        <v/>
      </c>
      <c r="AU88" s="37" t="str">
        <f ca="1">IFERROR(+IF(AV$29=#REF!,Milestone_Marker,IF(AND(AV$29&gt;#REF!,AV$29&lt;=#REF!+#REF!),$G$5,"")),"")</f>
        <v/>
      </c>
      <c r="AV88" s="37" t="str">
        <f ca="1">IFERROR(+IF(AW$29=#REF!,Milestone_Marker,IF(AND(AW$29&gt;#REF!,AW$29&lt;=#REF!+#REF!),$G$5,"")),"")</f>
        <v/>
      </c>
      <c r="AW88" s="37" t="str">
        <f ca="1">IFERROR(+IF(AX$29=#REF!,Milestone_Marker,IF(AND(AX$29&gt;#REF!,AX$29&lt;=#REF!+#REF!),$G$5,"")),"")</f>
        <v/>
      </c>
      <c r="AX88" s="37" t="str">
        <f ca="1">IFERROR(+IF(AY$29=#REF!,Milestone_Marker,IF(AND(AY$29&gt;#REF!,AY$29&lt;=#REF!+#REF!),$G$5,"")),"")</f>
        <v/>
      </c>
      <c r="AY88" s="37" t="str">
        <f ca="1">IFERROR(+IF(AZ$29=#REF!,Milestone_Marker,IF(AND(AZ$29&gt;#REF!,AZ$29&lt;=#REF!+#REF!),$G$5,"")),"")</f>
        <v/>
      </c>
      <c r="AZ88" s="37" t="str">
        <f ca="1">IFERROR(+IF(BA$29=#REF!,Milestone_Marker,IF(AND(BA$29&gt;#REF!,BA$29&lt;=#REF!+#REF!),$G$5,"")),"")</f>
        <v/>
      </c>
      <c r="BA88" s="37" t="str">
        <f ca="1">IFERROR(+IF(BB$29=#REF!,Milestone_Marker,IF(AND(BB$29&gt;#REF!,BB$29&lt;=#REF!+#REF!),$G$5,"")),"")</f>
        <v/>
      </c>
      <c r="BB88" s="37" t="str">
        <f ca="1">IFERROR(+IF(BC$29=#REF!,Milestone_Marker,IF(AND(BC$29&gt;#REF!,BC$29&lt;=#REF!+#REF!),$G$5,"")),"")</f>
        <v/>
      </c>
      <c r="BC88" s="37" t="str">
        <f ca="1">IFERROR(+IF(BD$29=#REF!,Milestone_Marker,IF(AND(BD$29&gt;#REF!,BD$29&lt;=#REF!+#REF!),$G$5,"")),"")</f>
        <v/>
      </c>
      <c r="BD88" s="37" t="str">
        <f ca="1">IFERROR(+IF(BE$29=#REF!,Milestone_Marker,IF(AND(BE$29&gt;#REF!,BE$29&lt;=#REF!+#REF!),$G$5,"")),"")</f>
        <v/>
      </c>
      <c r="BE88" s="37" t="str">
        <f ca="1">IFERROR(+IF(BF$29=#REF!,Milestone_Marker,IF(AND(BF$29&gt;#REF!,BF$29&lt;=#REF!+#REF!),$G$5,"")),"")</f>
        <v/>
      </c>
      <c r="BF88" s="37" t="str">
        <f ca="1">IFERROR(+IF(BG$29=#REF!,Milestone_Marker,IF(AND(BG$29&gt;#REF!,BG$29&lt;=#REF!+#REF!),$G$5,"")),"")</f>
        <v/>
      </c>
      <c r="BG88" s="37" t="str">
        <f ca="1">IFERROR(+IF(BH$29=#REF!,Milestone_Marker,IF(AND(BH$29&gt;#REF!,BH$29&lt;=#REF!+#REF!),$G$5,"")),"")</f>
        <v/>
      </c>
      <c r="BH88" s="37" t="str">
        <f ca="1">IFERROR(+IF(BI$29=#REF!,Milestone_Marker,IF(AND(BI$29&gt;#REF!,BI$29&lt;=#REF!+#REF!),$G$5,"")),"")</f>
        <v/>
      </c>
      <c r="BI88" s="37" t="str">
        <f ca="1">IFERROR(+IF(BJ$29=#REF!,Milestone_Marker,IF(AND(BJ$29&gt;#REF!,BJ$29&lt;=#REF!+#REF!),$G$5,"")),"")</f>
        <v/>
      </c>
      <c r="BJ88" s="37" t="str">
        <f ca="1">IFERROR(+IF(BK$29=#REF!,Milestone_Marker,IF(AND(BK$29&gt;#REF!,BK$29&lt;=#REF!+#REF!),$G$5,"")),"")</f>
        <v/>
      </c>
      <c r="BK88" s="37" t="str">
        <f ca="1">IFERROR(+IF(BL$29=#REF!,Milestone_Marker,IF(AND(BL$29&gt;#REF!,BL$29&lt;=#REF!+#REF!),$G$5,"")),"")</f>
        <v/>
      </c>
      <c r="BL88" s="37" t="str">
        <f ca="1">IFERROR(+IF(BM$29=#REF!,Milestone_Marker,IF(AND(BM$29&gt;#REF!,BM$29&lt;=#REF!+#REF!),$G$5,"")),"")</f>
        <v/>
      </c>
      <c r="BM88" s="37" t="str">
        <f ca="1">IFERROR(+IF(BN$29=#REF!,Milestone_Marker,IF(AND(BN$29&gt;#REF!,BN$29&lt;=#REF!+#REF!),$G$5,"")),"")</f>
        <v/>
      </c>
      <c r="BN88" s="37" t="str">
        <f ca="1">IFERROR(+IF(BO$29=#REF!,Milestone_Marker,IF(AND(BO$29&gt;#REF!,BO$29&lt;=#REF!+#REF!),$G$5,"")),"")</f>
        <v/>
      </c>
      <c r="BO88" s="37" t="str">
        <f ca="1">IFERROR(+IF(BP$29=#REF!,Milestone_Marker,IF(AND(BP$29&gt;#REF!,BP$29&lt;=#REF!+#REF!),$G$5,"")),"")</f>
        <v/>
      </c>
      <c r="BP88" s="37" t="str">
        <f ca="1">IFERROR(+IF(BQ$29=#REF!,Milestone_Marker,IF(AND(BQ$29&gt;#REF!,BQ$29&lt;=#REF!+#REF!),$G$5,"")),"")</f>
        <v/>
      </c>
      <c r="BQ88" s="37" t="str">
        <f ca="1">IFERROR(+IF(BR$29=#REF!,Milestone_Marker,IF(AND(BR$29&gt;#REF!,BR$29&lt;=#REF!+#REF!),$G$5,"")),"")</f>
        <v/>
      </c>
      <c r="BR88" s="37" t="str">
        <f ca="1">IFERROR(+IF(BS$29=#REF!,Milestone_Marker,IF(AND(BS$29&gt;#REF!,BS$29&lt;=#REF!+#REF!),$G$5,"")),"")</f>
        <v/>
      </c>
      <c r="BS88" s="37" t="str">
        <f ca="1">IFERROR(+IF(BT$29=#REF!,Milestone_Marker,IF(AND(BT$29&gt;#REF!,BT$29&lt;=#REF!+#REF!),$G$5,"")),"")</f>
        <v/>
      </c>
      <c r="BT88" s="37" t="str">
        <f ca="1">IFERROR(+IF(BU$29=#REF!,Milestone_Marker,IF(AND(BU$29&gt;#REF!,BU$29&lt;=#REF!+#REF!),$G$5,"")),"")</f>
        <v/>
      </c>
      <c r="BU88" s="37" t="str">
        <f ca="1">IFERROR(+IF(BV$29=#REF!,Milestone_Marker,IF(AND(BV$29&gt;#REF!,BV$29&lt;=#REF!+#REF!),$G$5,"")),"")</f>
        <v/>
      </c>
      <c r="BV88" s="37" t="str">
        <f ca="1">IFERROR(+IF(BW$29=#REF!,Milestone_Marker,IF(AND(BW$29&gt;#REF!,BW$29&lt;=#REF!+#REF!),$G$5,"")),"")</f>
        <v/>
      </c>
      <c r="BW88" s="37" t="str">
        <f ca="1">IFERROR(+IF(BX$29=#REF!,Milestone_Marker,IF(AND(BX$29&gt;#REF!,BX$29&lt;=#REF!+#REF!),$G$5,"")),"")</f>
        <v/>
      </c>
      <c r="BX88" s="37" t="str">
        <f ca="1">IFERROR(+IF(BY$29=#REF!,Milestone_Marker,IF(AND(BY$29&gt;#REF!,BY$29&lt;=#REF!+#REF!),$G$5,"")),"")</f>
        <v/>
      </c>
      <c r="BY88" s="37" t="str">
        <f ca="1">IFERROR(+IF(BZ$29=#REF!,Milestone_Marker,IF(AND(BZ$29&gt;#REF!,BZ$29&lt;=#REF!+#REF!),$G$5,"")),"")</f>
        <v/>
      </c>
      <c r="BZ88" s="37" t="str">
        <f ca="1">IFERROR(+IF(CA$29=#REF!,Milestone_Marker,IF(AND(CA$29&gt;#REF!,CA$29&lt;=#REF!+#REF!),$G$5,"")),"")</f>
        <v/>
      </c>
      <c r="CA88" s="37" t="str">
        <f ca="1">IFERROR(+IF(CB$29=#REF!,Milestone_Marker,IF(AND(CB$29&gt;#REF!,CB$29&lt;=#REF!+#REF!),$G$5,"")),"")</f>
        <v/>
      </c>
      <c r="CB88" s="37" t="str">
        <f ca="1">IFERROR(+IF(CC$29=#REF!,Milestone_Marker,IF(AND(CC$29&gt;#REF!,CC$29&lt;=#REF!+#REF!),$G$5,"")),"")</f>
        <v/>
      </c>
      <c r="CC88" s="37" t="str">
        <f ca="1">IFERROR(+IF(CD$29=#REF!,Milestone_Marker,IF(AND(CD$29&gt;#REF!,CD$29&lt;=#REF!+#REF!),$G$5,"")),"")</f>
        <v/>
      </c>
      <c r="CD88" s="37" t="str">
        <f ca="1">IFERROR(+IF(CE$29=#REF!,Milestone_Marker,IF(AND(CE$29&gt;#REF!,CE$29&lt;=#REF!+#REF!),$G$5,"")),"")</f>
        <v/>
      </c>
      <c r="CE88" s="37" t="str">
        <f ca="1">IFERROR(+IF(CF$29=#REF!,Milestone_Marker,IF(AND(CF$29&gt;#REF!,CF$29&lt;=#REF!+#REF!),$G$5,"")),"")</f>
        <v/>
      </c>
      <c r="CF88" s="37" t="str">
        <f ca="1">IFERROR(+IF(CG$29=#REF!,Milestone_Marker,IF(AND(CG$29&gt;#REF!,CG$29&lt;=#REF!+#REF!),$G$5,"")),"")</f>
        <v/>
      </c>
      <c r="CG88" s="37" t="str">
        <f ca="1">IFERROR(+IF(CH$29=#REF!,Milestone_Marker,IF(AND(CH$29&gt;#REF!,CH$29&lt;=#REF!+#REF!),$G$5,"")),"")</f>
        <v/>
      </c>
      <c r="CH88" s="37" t="str">
        <f ca="1">IFERROR(+IF(CI$29=#REF!,Milestone_Marker,IF(AND(CI$29&gt;#REF!,CI$29&lt;=#REF!+#REF!),$G$5,"")),"")</f>
        <v/>
      </c>
      <c r="CI88" s="37" t="str">
        <f ca="1">IFERROR(+IF(CJ$29=#REF!,Milestone_Marker,IF(AND(CJ$29&gt;#REF!,CJ$29&lt;=#REF!+#REF!),$G$5,"")),"")</f>
        <v/>
      </c>
      <c r="CJ88" s="37" t="str">
        <f ca="1">IFERROR(+IF(CK$29=#REF!,Milestone_Marker,IF(AND(CK$29&gt;#REF!,CK$29&lt;=#REF!+#REF!),$G$5,"")),"")</f>
        <v/>
      </c>
      <c r="CK88" s="37" t="str">
        <f ca="1">IFERROR(+IF(CL$29=#REF!,Milestone_Marker,IF(AND(CL$29&gt;#REF!,CL$29&lt;=#REF!+#REF!),$G$5,"")),"")</f>
        <v/>
      </c>
      <c r="CL88" s="37" t="str">
        <f ca="1">IFERROR(+IF(CM$29=#REF!,Milestone_Marker,IF(AND(CM$29&gt;#REF!,CM$29&lt;=#REF!+#REF!),$G$5,"")),"")</f>
        <v/>
      </c>
      <c r="CM88" s="37" t="str">
        <f ca="1">IFERROR(+IF(CN$29=#REF!,Milestone_Marker,IF(AND(CN$29&gt;#REF!,CN$29&lt;=#REF!+#REF!),$G$5,"")),"")</f>
        <v/>
      </c>
      <c r="CN88" s="37" t="str">
        <f ca="1">IFERROR(+IF(CO$29=#REF!,Milestone_Marker,IF(AND(CO$29&gt;#REF!,CO$29&lt;=#REF!+#REF!),$G$5,"")),"")</f>
        <v/>
      </c>
      <c r="CO88" s="37" t="str">
        <f ca="1">IFERROR(+IF(CP$29=#REF!,Milestone_Marker,IF(AND(CP$29&gt;#REF!,CP$29&lt;=#REF!+#REF!),$G$5,"")),"")</f>
        <v/>
      </c>
      <c r="CP88" s="37" t="str">
        <f ca="1">IFERROR(+IF(CQ$29=#REF!,Milestone_Marker,IF(AND(CQ$29&gt;#REF!,CQ$29&lt;=#REF!+#REF!),$G$5,"")),"")</f>
        <v/>
      </c>
      <c r="CQ88" s="37" t="str">
        <f ca="1">IFERROR(+IF(CR$29=#REF!,Milestone_Marker,IF(AND(CR$29&gt;#REF!,CR$29&lt;=#REF!+#REF!),$G$5,"")),"")</f>
        <v/>
      </c>
      <c r="CR88" s="37" t="str">
        <f ca="1">IFERROR(+IF(CS$29=#REF!,Milestone_Marker,IF(AND(CS$29&gt;#REF!,CS$29&lt;=#REF!+#REF!),$G$5,"")),"")</f>
        <v/>
      </c>
      <c r="CS88" s="37" t="str">
        <f ca="1">IFERROR(+IF(CT$29=#REF!,Milestone_Marker,IF(AND(CT$29&gt;#REF!,CT$29&lt;=#REF!+#REF!),$G$5,"")),"")</f>
        <v/>
      </c>
      <c r="CT88" s="37" t="str">
        <f ca="1">IFERROR(+IF(CU$29=#REF!,Milestone_Marker,IF(AND(CU$29&gt;#REF!,CU$29&lt;=#REF!+#REF!),$G$5,"")),"")</f>
        <v/>
      </c>
    </row>
    <row r="89" spans="1:125" ht="30" customHeight="1">
      <c r="P89" s="37" t="str">
        <f ca="1">IFERROR(+IF(Q$29=#REF!,Milestone_Marker,IF(AND(Q$29&gt;#REF!,Q$29&lt;=#REF!+#REF!),$G$5,"")),"")</f>
        <v/>
      </c>
      <c r="Q89" s="37" t="str">
        <f ca="1">IFERROR(+IF(R$29=#REF!,Milestone_Marker,IF(AND(R$29&gt;#REF!,R$29&lt;=#REF!+#REF!),$G$5,"")),"")</f>
        <v/>
      </c>
      <c r="R89" s="37" t="str">
        <f ca="1">IFERROR(+IF(S$29=#REF!,Milestone_Marker,IF(AND(S$29&gt;#REF!,S$29&lt;=#REF!+#REF!),$G$5,"")),"")</f>
        <v/>
      </c>
      <c r="S89" s="37" t="str">
        <f ca="1">IFERROR(+IF(T$29=#REF!,Milestone_Marker,IF(AND(T$29&gt;#REF!,T$29&lt;=#REF!+#REF!),$G$5,"")),"")</f>
        <v/>
      </c>
      <c r="T89" s="37" t="str">
        <f ca="1">IFERROR(+IF(U$29=#REF!,Milestone_Marker,IF(AND(U$29&gt;#REF!,U$29&lt;=#REF!+#REF!),$G$5,"")),"")</f>
        <v/>
      </c>
      <c r="U89" s="37" t="str">
        <f ca="1">IFERROR(+IF(V$29=#REF!,Milestone_Marker,IF(AND(V$29&gt;#REF!,V$29&lt;=#REF!+#REF!),$G$5,"")),"")</f>
        <v/>
      </c>
      <c r="V89" s="37" t="str">
        <f ca="1">IFERROR(+IF(W$29=#REF!,Milestone_Marker,IF(AND(W$29&gt;#REF!,W$29&lt;=#REF!+#REF!),$G$5,"")),"")</f>
        <v/>
      </c>
      <c r="W89" s="37" t="str">
        <f ca="1">IFERROR(+IF(X$29=#REF!,Milestone_Marker,IF(AND(X$29&gt;#REF!,X$29&lt;=#REF!+#REF!),$G$5,"")),"")</f>
        <v/>
      </c>
      <c r="X89" s="37" t="str">
        <f ca="1">IFERROR(+IF(Y$29=#REF!,Milestone_Marker,IF(AND(Y$29&gt;#REF!,Y$29&lt;=#REF!+#REF!),$G$5,"")),"")</f>
        <v/>
      </c>
      <c r="Y89" s="37" t="str">
        <f ca="1">IFERROR(+IF(Z$29=#REF!,Milestone_Marker,IF(AND(Z$29&gt;#REF!,Z$29&lt;=#REF!+#REF!),$G$5,"")),"")</f>
        <v/>
      </c>
      <c r="Z89" s="37" t="str">
        <f ca="1">IFERROR(+IF(AA$29=#REF!,Milestone_Marker,IF(AND(AA$29&gt;#REF!,AA$29&lt;=#REF!+#REF!),$G$5,"")),"")</f>
        <v/>
      </c>
      <c r="AA89" s="37" t="str">
        <f ca="1">IFERROR(+IF(AB$29=#REF!,Milestone_Marker,IF(AND(AB$29&gt;#REF!,AB$29&lt;=#REF!+#REF!),$G$5,"")),"")</f>
        <v/>
      </c>
      <c r="AB89" s="37" t="str">
        <f ca="1">IFERROR(+IF(AC$29=#REF!,Milestone_Marker,IF(AND(AC$29&gt;#REF!,AC$29&lt;=#REF!+#REF!),$G$5,"")),"")</f>
        <v/>
      </c>
      <c r="AC89" s="37" t="str">
        <f ca="1">IFERROR(+IF(AD$29=#REF!,Milestone_Marker,IF(AND(AD$29&gt;#REF!,AD$29&lt;=#REF!+#REF!),$G$5,"")),"")</f>
        <v/>
      </c>
      <c r="AD89" s="37" t="str">
        <f ca="1">IFERROR(+IF(AE$29=#REF!,Milestone_Marker,IF(AND(AE$29&gt;#REF!,AE$29&lt;=#REF!+#REF!),$G$5,"")),"")</f>
        <v/>
      </c>
      <c r="AE89" s="37" t="str">
        <f ca="1">IFERROR(+IF(AF$29=#REF!,Milestone_Marker,IF(AND(AF$29&gt;#REF!,AF$29&lt;=#REF!+#REF!),$G$5,"")),"")</f>
        <v/>
      </c>
      <c r="AF89" s="37" t="str">
        <f ca="1">IFERROR(+IF(AG$29=#REF!,Milestone_Marker,IF(AND(AG$29&gt;#REF!,AG$29&lt;=#REF!+#REF!),$G$5,"")),"")</f>
        <v/>
      </c>
      <c r="AG89" s="37" t="str">
        <f ca="1">IFERROR(+IF(AH$29=#REF!,Milestone_Marker,IF(AND(AH$29&gt;#REF!,AH$29&lt;=#REF!+#REF!),$G$5,"")),"")</f>
        <v/>
      </c>
      <c r="AH89" s="37" t="str">
        <f ca="1">IFERROR(+IF(AI$29=#REF!,Milestone_Marker,IF(AND(AI$29&gt;#REF!,AI$29&lt;=#REF!+#REF!),$G$5,"")),"")</f>
        <v/>
      </c>
      <c r="AI89" s="37" t="str">
        <f ca="1">IFERROR(+IF(AJ$29=#REF!,Milestone_Marker,IF(AND(AJ$29&gt;#REF!,AJ$29&lt;=#REF!+#REF!),$G$5,"")),"")</f>
        <v/>
      </c>
      <c r="AJ89" s="37" t="str">
        <f ca="1">IFERROR(+IF(AK$29=#REF!,Milestone_Marker,IF(AND(AK$29&gt;#REF!,AK$29&lt;=#REF!+#REF!),$G$5,"")),"")</f>
        <v/>
      </c>
      <c r="AK89" s="37" t="str">
        <f ca="1">IFERROR(+IF(AL$29=#REF!,Milestone_Marker,IF(AND(AL$29&gt;#REF!,AL$29&lt;=#REF!+#REF!),$G$5,"")),"")</f>
        <v/>
      </c>
      <c r="AL89" s="37" t="str">
        <f ca="1">IFERROR(+IF(AM$29=#REF!,Milestone_Marker,IF(AND(AM$29&gt;#REF!,AM$29&lt;=#REF!+#REF!),$G$5,"")),"")</f>
        <v/>
      </c>
      <c r="AM89" s="37" t="str">
        <f ca="1">IFERROR(+IF(AN$29=#REF!,Milestone_Marker,IF(AND(AN$29&gt;#REF!,AN$29&lt;=#REF!+#REF!),$G$5,"")),"")</f>
        <v/>
      </c>
      <c r="AN89" s="37" t="str">
        <f ca="1">IFERROR(+IF(AO$29=#REF!,Milestone_Marker,IF(AND(AO$29&gt;#REF!,AO$29&lt;=#REF!+#REF!),$G$5,"")),"")</f>
        <v/>
      </c>
      <c r="AO89" s="37" t="str">
        <f ca="1">IFERROR(+IF(AP$29=#REF!,Milestone_Marker,IF(AND(AP$29&gt;#REF!,AP$29&lt;=#REF!+#REF!),$G$5,"")),"")</f>
        <v/>
      </c>
      <c r="AP89" s="37" t="str">
        <f ca="1">IFERROR(+IF(AQ$29=#REF!,Milestone_Marker,IF(AND(AQ$29&gt;#REF!,AQ$29&lt;=#REF!+#REF!),$G$5,"")),"")</f>
        <v/>
      </c>
      <c r="AQ89" s="37" t="str">
        <f ca="1">IFERROR(+IF(AR$29=#REF!,Milestone_Marker,IF(AND(AR$29&gt;#REF!,AR$29&lt;=#REF!+#REF!),$G$5,"")),"")</f>
        <v/>
      </c>
      <c r="AR89" s="37" t="str">
        <f ca="1">IFERROR(+IF(AS$29=#REF!,Milestone_Marker,IF(AND(AS$29&gt;#REF!,AS$29&lt;=#REF!+#REF!),$G$5,"")),"")</f>
        <v/>
      </c>
      <c r="AS89" s="37" t="str">
        <f ca="1">IFERROR(+IF(AT$29=#REF!,Milestone_Marker,IF(AND(AT$29&gt;#REF!,AT$29&lt;=#REF!+#REF!),$G$5,"")),"")</f>
        <v/>
      </c>
      <c r="AT89" s="37" t="str">
        <f ca="1">IFERROR(+IF(AU$29=#REF!,Milestone_Marker,IF(AND(AU$29&gt;#REF!,AU$29&lt;=#REF!+#REF!),$G$5,"")),"")</f>
        <v/>
      </c>
      <c r="AU89" s="37" t="str">
        <f ca="1">IFERROR(+IF(AV$29=#REF!,Milestone_Marker,IF(AND(AV$29&gt;#REF!,AV$29&lt;=#REF!+#REF!),$G$5,"")),"")</f>
        <v/>
      </c>
      <c r="AV89" s="37" t="str">
        <f ca="1">IFERROR(+IF(AW$29=#REF!,Milestone_Marker,IF(AND(AW$29&gt;#REF!,AW$29&lt;=#REF!+#REF!),$G$5,"")),"")</f>
        <v/>
      </c>
      <c r="AW89" s="37" t="str">
        <f ca="1">IFERROR(+IF(AX$29=#REF!,Milestone_Marker,IF(AND(AX$29&gt;#REF!,AX$29&lt;=#REF!+#REF!),$G$5,"")),"")</f>
        <v/>
      </c>
      <c r="AX89" s="37" t="str">
        <f ca="1">IFERROR(+IF(AY$29=#REF!,Milestone_Marker,IF(AND(AY$29&gt;#REF!,AY$29&lt;=#REF!+#REF!),$G$5,"")),"")</f>
        <v/>
      </c>
      <c r="AY89" s="37" t="str">
        <f ca="1">IFERROR(+IF(AZ$29=#REF!,Milestone_Marker,IF(AND(AZ$29&gt;#REF!,AZ$29&lt;=#REF!+#REF!),$G$5,"")),"")</f>
        <v/>
      </c>
      <c r="AZ89" s="37" t="str">
        <f ca="1">IFERROR(+IF(BA$29=#REF!,Milestone_Marker,IF(AND(BA$29&gt;#REF!,BA$29&lt;=#REF!+#REF!),$G$5,"")),"")</f>
        <v/>
      </c>
      <c r="BA89" s="37" t="str">
        <f ca="1">IFERROR(+IF(BB$29=#REF!,Milestone_Marker,IF(AND(BB$29&gt;#REF!,BB$29&lt;=#REF!+#REF!),$G$5,"")),"")</f>
        <v/>
      </c>
      <c r="BB89" s="37" t="str">
        <f ca="1">IFERROR(+IF(BC$29=#REF!,Milestone_Marker,IF(AND(BC$29&gt;#REF!,BC$29&lt;=#REF!+#REF!),$G$5,"")),"")</f>
        <v/>
      </c>
      <c r="BC89" s="37" t="str">
        <f ca="1">IFERROR(+IF(BD$29=#REF!,Milestone_Marker,IF(AND(BD$29&gt;#REF!,BD$29&lt;=#REF!+#REF!),$G$5,"")),"")</f>
        <v/>
      </c>
      <c r="BD89" s="37" t="str">
        <f ca="1">IFERROR(+IF(BE$29=#REF!,Milestone_Marker,IF(AND(BE$29&gt;#REF!,BE$29&lt;=#REF!+#REF!),$G$5,"")),"")</f>
        <v/>
      </c>
      <c r="BE89" s="37" t="str">
        <f ca="1">IFERROR(+IF(BF$29=#REF!,Milestone_Marker,IF(AND(BF$29&gt;#REF!,BF$29&lt;=#REF!+#REF!),$G$5,"")),"")</f>
        <v/>
      </c>
      <c r="BF89" s="37" t="str">
        <f ca="1">IFERROR(+IF(BG$29=#REF!,Milestone_Marker,IF(AND(BG$29&gt;#REF!,BG$29&lt;=#REF!+#REF!),$G$5,"")),"")</f>
        <v/>
      </c>
      <c r="BG89" s="37" t="str">
        <f ca="1">IFERROR(+IF(BH$29=#REF!,Milestone_Marker,IF(AND(BH$29&gt;#REF!,BH$29&lt;=#REF!+#REF!),$G$5,"")),"")</f>
        <v/>
      </c>
      <c r="BH89" s="37" t="str">
        <f ca="1">IFERROR(+IF(BI$29=#REF!,Milestone_Marker,IF(AND(BI$29&gt;#REF!,BI$29&lt;=#REF!+#REF!),$G$5,"")),"")</f>
        <v/>
      </c>
      <c r="BI89" s="37" t="str">
        <f ca="1">IFERROR(+IF(BJ$29=#REF!,Milestone_Marker,IF(AND(BJ$29&gt;#REF!,BJ$29&lt;=#REF!+#REF!),$G$5,"")),"")</f>
        <v/>
      </c>
      <c r="BJ89" s="37" t="str">
        <f ca="1">IFERROR(+IF(BK$29=#REF!,Milestone_Marker,IF(AND(BK$29&gt;#REF!,BK$29&lt;=#REF!+#REF!),$G$5,"")),"")</f>
        <v/>
      </c>
      <c r="BK89" s="37" t="str">
        <f ca="1">IFERROR(+IF(BL$29=#REF!,Milestone_Marker,IF(AND(BL$29&gt;#REF!,BL$29&lt;=#REF!+#REF!),$G$5,"")),"")</f>
        <v/>
      </c>
      <c r="BL89" s="37" t="str">
        <f ca="1">IFERROR(+IF(BM$29=#REF!,Milestone_Marker,IF(AND(BM$29&gt;#REF!,BM$29&lt;=#REF!+#REF!),$G$5,"")),"")</f>
        <v/>
      </c>
      <c r="BM89" s="37" t="str">
        <f ca="1">IFERROR(+IF(BN$29=#REF!,Milestone_Marker,IF(AND(BN$29&gt;#REF!,BN$29&lt;=#REF!+#REF!),$G$5,"")),"")</f>
        <v/>
      </c>
      <c r="BN89" s="37" t="str">
        <f ca="1">IFERROR(+IF(BO$29=#REF!,Milestone_Marker,IF(AND(BO$29&gt;#REF!,BO$29&lt;=#REF!+#REF!),$G$5,"")),"")</f>
        <v/>
      </c>
      <c r="BO89" s="37" t="str">
        <f ca="1">IFERROR(+IF(BP$29=#REF!,Milestone_Marker,IF(AND(BP$29&gt;#REF!,BP$29&lt;=#REF!+#REF!),$G$5,"")),"")</f>
        <v/>
      </c>
      <c r="BP89" s="37" t="str">
        <f ca="1">IFERROR(+IF(BQ$29=#REF!,Milestone_Marker,IF(AND(BQ$29&gt;#REF!,BQ$29&lt;=#REF!+#REF!),$G$5,"")),"")</f>
        <v/>
      </c>
      <c r="BQ89" s="37" t="str">
        <f ca="1">IFERROR(+IF(BR$29=#REF!,Milestone_Marker,IF(AND(BR$29&gt;#REF!,BR$29&lt;=#REF!+#REF!),$G$5,"")),"")</f>
        <v/>
      </c>
      <c r="BR89" s="37" t="str">
        <f ca="1">IFERROR(+IF(BS$29=#REF!,Milestone_Marker,IF(AND(BS$29&gt;#REF!,BS$29&lt;=#REF!+#REF!),$G$5,"")),"")</f>
        <v/>
      </c>
      <c r="BS89" s="37" t="str">
        <f ca="1">IFERROR(+IF(BT$29=#REF!,Milestone_Marker,IF(AND(BT$29&gt;#REF!,BT$29&lt;=#REF!+#REF!),$G$5,"")),"")</f>
        <v/>
      </c>
      <c r="BT89" s="37" t="str">
        <f ca="1">IFERROR(+IF(BU$29=#REF!,Milestone_Marker,IF(AND(BU$29&gt;#REF!,BU$29&lt;=#REF!+#REF!),$G$5,"")),"")</f>
        <v/>
      </c>
      <c r="BU89" s="37" t="str">
        <f ca="1">IFERROR(+IF(BV$29=#REF!,Milestone_Marker,IF(AND(BV$29&gt;#REF!,BV$29&lt;=#REF!+#REF!),$G$5,"")),"")</f>
        <v/>
      </c>
      <c r="BV89" s="37" t="str">
        <f ca="1">IFERROR(+IF(BW$29=#REF!,Milestone_Marker,IF(AND(BW$29&gt;#REF!,BW$29&lt;=#REF!+#REF!),$G$5,"")),"")</f>
        <v/>
      </c>
      <c r="BW89" s="37" t="str">
        <f ca="1">IFERROR(+IF(BX$29=#REF!,Milestone_Marker,IF(AND(BX$29&gt;#REF!,BX$29&lt;=#REF!+#REF!),$G$5,"")),"")</f>
        <v/>
      </c>
      <c r="BX89" s="37" t="str">
        <f ca="1">IFERROR(+IF(BY$29=#REF!,Milestone_Marker,IF(AND(BY$29&gt;#REF!,BY$29&lt;=#REF!+#REF!),$G$5,"")),"")</f>
        <v/>
      </c>
      <c r="BY89" s="37" t="str">
        <f ca="1">IFERROR(+IF(BZ$29=#REF!,Milestone_Marker,IF(AND(BZ$29&gt;#REF!,BZ$29&lt;=#REF!+#REF!),$G$5,"")),"")</f>
        <v/>
      </c>
      <c r="BZ89" s="37" t="str">
        <f ca="1">IFERROR(+IF(CA$29=#REF!,Milestone_Marker,IF(AND(CA$29&gt;#REF!,CA$29&lt;=#REF!+#REF!),$G$5,"")),"")</f>
        <v/>
      </c>
      <c r="CA89" s="37" t="str">
        <f ca="1">IFERROR(+IF(CB$29=#REF!,Milestone_Marker,IF(AND(CB$29&gt;#REF!,CB$29&lt;=#REF!+#REF!),$G$5,"")),"")</f>
        <v/>
      </c>
      <c r="CB89" s="37" t="str">
        <f ca="1">IFERROR(+IF(CC$29=#REF!,Milestone_Marker,IF(AND(CC$29&gt;#REF!,CC$29&lt;=#REF!+#REF!),$G$5,"")),"")</f>
        <v/>
      </c>
      <c r="CC89" s="37" t="str">
        <f ca="1">IFERROR(+IF(CD$29=#REF!,Milestone_Marker,IF(AND(CD$29&gt;#REF!,CD$29&lt;=#REF!+#REF!),$G$5,"")),"")</f>
        <v/>
      </c>
      <c r="CD89" s="37" t="str">
        <f ca="1">IFERROR(+IF(CE$29=#REF!,Milestone_Marker,IF(AND(CE$29&gt;#REF!,CE$29&lt;=#REF!+#REF!),$G$5,"")),"")</f>
        <v/>
      </c>
      <c r="CE89" s="37" t="str">
        <f ca="1">IFERROR(+IF(CF$29=#REF!,Milestone_Marker,IF(AND(CF$29&gt;#REF!,CF$29&lt;=#REF!+#REF!),$G$5,"")),"")</f>
        <v/>
      </c>
      <c r="CF89" s="37" t="str">
        <f ca="1">IFERROR(+IF(CG$29=#REF!,Milestone_Marker,IF(AND(CG$29&gt;#REF!,CG$29&lt;=#REF!+#REF!),$G$5,"")),"")</f>
        <v/>
      </c>
      <c r="CG89" s="37" t="str">
        <f ca="1">IFERROR(+IF(CH$29=#REF!,Milestone_Marker,IF(AND(CH$29&gt;#REF!,CH$29&lt;=#REF!+#REF!),$G$5,"")),"")</f>
        <v/>
      </c>
      <c r="CH89" s="37" t="str">
        <f ca="1">IFERROR(+IF(CI$29=#REF!,Milestone_Marker,IF(AND(CI$29&gt;#REF!,CI$29&lt;=#REF!+#REF!),$G$5,"")),"")</f>
        <v/>
      </c>
      <c r="CI89" s="37" t="str">
        <f ca="1">IFERROR(+IF(CJ$29=#REF!,Milestone_Marker,IF(AND(CJ$29&gt;#REF!,CJ$29&lt;=#REF!+#REF!),$G$5,"")),"")</f>
        <v/>
      </c>
      <c r="CJ89" s="37" t="str">
        <f ca="1">IFERROR(+IF(CK$29=#REF!,Milestone_Marker,IF(AND(CK$29&gt;#REF!,CK$29&lt;=#REF!+#REF!),$G$5,"")),"")</f>
        <v/>
      </c>
      <c r="CK89" s="37" t="str">
        <f ca="1">IFERROR(+IF(CL$29=#REF!,Milestone_Marker,IF(AND(CL$29&gt;#REF!,CL$29&lt;=#REF!+#REF!),$G$5,"")),"")</f>
        <v/>
      </c>
      <c r="CL89" s="37" t="str">
        <f ca="1">IFERROR(+IF(CM$29=#REF!,Milestone_Marker,IF(AND(CM$29&gt;#REF!,CM$29&lt;=#REF!+#REF!),$G$5,"")),"")</f>
        <v/>
      </c>
      <c r="CM89" s="37" t="str">
        <f ca="1">IFERROR(+IF(CN$29=#REF!,Milestone_Marker,IF(AND(CN$29&gt;#REF!,CN$29&lt;=#REF!+#REF!),$G$5,"")),"")</f>
        <v/>
      </c>
      <c r="CN89" s="37" t="str">
        <f ca="1">IFERROR(+IF(CO$29=#REF!,Milestone_Marker,IF(AND(CO$29&gt;#REF!,CO$29&lt;=#REF!+#REF!),$G$5,"")),"")</f>
        <v/>
      </c>
      <c r="CO89" s="37" t="str">
        <f ca="1">IFERROR(+IF(CP$29=#REF!,Milestone_Marker,IF(AND(CP$29&gt;#REF!,CP$29&lt;=#REF!+#REF!),$G$5,"")),"")</f>
        <v/>
      </c>
      <c r="CP89" s="37" t="str">
        <f ca="1">IFERROR(+IF(CQ$29=#REF!,Milestone_Marker,IF(AND(CQ$29&gt;#REF!,CQ$29&lt;=#REF!+#REF!),$G$5,"")),"")</f>
        <v/>
      </c>
      <c r="CQ89" s="37" t="str">
        <f ca="1">IFERROR(+IF(CR$29=#REF!,Milestone_Marker,IF(AND(CR$29&gt;#REF!,CR$29&lt;=#REF!+#REF!),$G$5,"")),"")</f>
        <v/>
      </c>
      <c r="CR89" s="37" t="str">
        <f ca="1">IFERROR(+IF(CS$29=#REF!,Milestone_Marker,IF(AND(CS$29&gt;#REF!,CS$29&lt;=#REF!+#REF!),$G$5,"")),"")</f>
        <v/>
      </c>
      <c r="CS89" s="37" t="str">
        <f ca="1">IFERROR(+IF(CT$29=#REF!,Milestone_Marker,IF(AND(CT$29&gt;#REF!,CT$29&lt;=#REF!+#REF!),$G$5,"")),"")</f>
        <v/>
      </c>
      <c r="CT89" s="37" t="str">
        <f ca="1">IFERROR(+IF(CU$29=#REF!,Milestone_Marker,IF(AND(CU$29&gt;#REF!,CU$29&lt;=#REF!+#REF!),$G$5,"")),"")</f>
        <v/>
      </c>
    </row>
    <row r="90" spans="1:125" ht="30" customHeight="1">
      <c r="P90" s="37" t="str">
        <f ca="1">IFERROR(+IF(Q$29=#REF!,Milestone_Marker,IF(AND(Q$29&gt;#REF!,Q$29&lt;=#REF!+#REF!),$G$5,"")),"")</f>
        <v/>
      </c>
      <c r="Q90" s="37" t="str">
        <f ca="1">IFERROR(+IF(R$29=#REF!,Milestone_Marker,IF(AND(R$29&gt;#REF!,R$29&lt;=#REF!+#REF!),$G$5,"")),"")</f>
        <v/>
      </c>
      <c r="R90" s="37" t="str">
        <f ca="1">IFERROR(+IF(S$29=#REF!,Milestone_Marker,IF(AND(S$29&gt;#REF!,S$29&lt;=#REF!+#REF!),$G$5,"")),"")</f>
        <v/>
      </c>
      <c r="S90" s="37" t="str">
        <f ca="1">IFERROR(+IF(T$29=#REF!,Milestone_Marker,IF(AND(T$29&gt;#REF!,T$29&lt;=#REF!+#REF!),$G$5,"")),"")</f>
        <v/>
      </c>
      <c r="T90" s="37" t="str">
        <f ca="1">IFERROR(+IF(U$29=#REF!,Milestone_Marker,IF(AND(U$29&gt;#REF!,U$29&lt;=#REF!+#REF!),$G$5,"")),"")</f>
        <v/>
      </c>
      <c r="U90" s="37" t="str">
        <f ca="1">IFERROR(+IF(V$29=#REF!,Milestone_Marker,IF(AND(V$29&gt;#REF!,V$29&lt;=#REF!+#REF!),$G$5,"")),"")</f>
        <v/>
      </c>
      <c r="V90" s="37" t="str">
        <f ca="1">IFERROR(+IF(W$29=#REF!,Milestone_Marker,IF(AND(W$29&gt;#REF!,W$29&lt;=#REF!+#REF!),$G$5,"")),"")</f>
        <v/>
      </c>
      <c r="W90" s="37" t="str">
        <f ca="1">IFERROR(+IF(X$29=#REF!,Milestone_Marker,IF(AND(X$29&gt;#REF!,X$29&lt;=#REF!+#REF!),$G$5,"")),"")</f>
        <v/>
      </c>
      <c r="X90" s="37" t="str">
        <f ca="1">IFERROR(+IF(Y$29=#REF!,Milestone_Marker,IF(AND(Y$29&gt;#REF!,Y$29&lt;=#REF!+#REF!),$G$5,"")),"")</f>
        <v/>
      </c>
      <c r="Y90" s="37" t="str">
        <f ca="1">IFERROR(+IF(Z$29=#REF!,Milestone_Marker,IF(AND(Z$29&gt;#REF!,Z$29&lt;=#REF!+#REF!),$G$5,"")),"")</f>
        <v/>
      </c>
      <c r="Z90" s="37" t="str">
        <f ca="1">IFERROR(+IF(AA$29=#REF!,Milestone_Marker,IF(AND(AA$29&gt;#REF!,AA$29&lt;=#REF!+#REF!),$G$5,"")),"")</f>
        <v/>
      </c>
      <c r="AA90" s="37" t="str">
        <f ca="1">IFERROR(+IF(AB$29=#REF!,Milestone_Marker,IF(AND(AB$29&gt;#REF!,AB$29&lt;=#REF!+#REF!),$G$5,"")),"")</f>
        <v/>
      </c>
      <c r="AB90" s="37" t="str">
        <f ca="1">IFERROR(+IF(AC$29=#REF!,Milestone_Marker,IF(AND(AC$29&gt;#REF!,AC$29&lt;=#REF!+#REF!),$G$5,"")),"")</f>
        <v/>
      </c>
      <c r="AC90" s="37" t="str">
        <f ca="1">IFERROR(+IF(AD$29=#REF!,Milestone_Marker,IF(AND(AD$29&gt;#REF!,AD$29&lt;=#REF!+#REF!),$G$5,"")),"")</f>
        <v/>
      </c>
      <c r="AD90" s="37" t="str">
        <f ca="1">IFERROR(+IF(AE$29=#REF!,Milestone_Marker,IF(AND(AE$29&gt;#REF!,AE$29&lt;=#REF!+#REF!),$G$5,"")),"")</f>
        <v/>
      </c>
      <c r="AE90" s="37" t="str">
        <f ca="1">IFERROR(+IF(AF$29=#REF!,Milestone_Marker,IF(AND(AF$29&gt;#REF!,AF$29&lt;=#REF!+#REF!),$G$5,"")),"")</f>
        <v/>
      </c>
      <c r="AF90" s="37" t="str">
        <f ca="1">IFERROR(+IF(AG$29=#REF!,Milestone_Marker,IF(AND(AG$29&gt;#REF!,AG$29&lt;=#REF!+#REF!),$G$5,"")),"")</f>
        <v/>
      </c>
      <c r="AG90" s="37" t="str">
        <f ca="1">IFERROR(+IF(AH$29=#REF!,Milestone_Marker,IF(AND(AH$29&gt;#REF!,AH$29&lt;=#REF!+#REF!),$G$5,"")),"")</f>
        <v/>
      </c>
      <c r="AH90" s="37" t="str">
        <f ca="1">IFERROR(+IF(AI$29=#REF!,Milestone_Marker,IF(AND(AI$29&gt;#REF!,AI$29&lt;=#REF!+#REF!),$G$5,"")),"")</f>
        <v/>
      </c>
      <c r="AI90" s="37" t="str">
        <f ca="1">IFERROR(+IF(AJ$29=#REF!,Milestone_Marker,IF(AND(AJ$29&gt;#REF!,AJ$29&lt;=#REF!+#REF!),$G$5,"")),"")</f>
        <v/>
      </c>
      <c r="AJ90" s="37" t="str">
        <f ca="1">IFERROR(+IF(AK$29=#REF!,Milestone_Marker,IF(AND(AK$29&gt;#REF!,AK$29&lt;=#REF!+#REF!),$G$5,"")),"")</f>
        <v/>
      </c>
      <c r="AK90" s="37" t="str">
        <f ca="1">IFERROR(+IF(AL$29=#REF!,Milestone_Marker,IF(AND(AL$29&gt;#REF!,AL$29&lt;=#REF!+#REF!),$G$5,"")),"")</f>
        <v/>
      </c>
      <c r="AL90" s="37" t="str">
        <f ca="1">IFERROR(+IF(AM$29=#REF!,Milestone_Marker,IF(AND(AM$29&gt;#REF!,AM$29&lt;=#REF!+#REF!),$G$5,"")),"")</f>
        <v/>
      </c>
      <c r="AM90" s="37" t="str">
        <f ca="1">IFERROR(+IF(AN$29=#REF!,Milestone_Marker,IF(AND(AN$29&gt;#REF!,AN$29&lt;=#REF!+#REF!),$G$5,"")),"")</f>
        <v/>
      </c>
      <c r="AN90" s="37" t="str">
        <f ca="1">IFERROR(+IF(AO$29=#REF!,Milestone_Marker,IF(AND(AO$29&gt;#REF!,AO$29&lt;=#REF!+#REF!),$G$5,"")),"")</f>
        <v/>
      </c>
      <c r="AO90" s="37" t="str">
        <f ca="1">IFERROR(+IF(AP$29=#REF!,Milestone_Marker,IF(AND(AP$29&gt;#REF!,AP$29&lt;=#REF!+#REF!),$G$5,"")),"")</f>
        <v/>
      </c>
      <c r="AP90" s="37" t="str">
        <f ca="1">IFERROR(+IF(AQ$29=#REF!,Milestone_Marker,IF(AND(AQ$29&gt;#REF!,AQ$29&lt;=#REF!+#REF!),$G$5,"")),"")</f>
        <v/>
      </c>
      <c r="AQ90" s="37" t="str">
        <f ca="1">IFERROR(+IF(AR$29=#REF!,Milestone_Marker,IF(AND(AR$29&gt;#REF!,AR$29&lt;=#REF!+#REF!),$G$5,"")),"")</f>
        <v/>
      </c>
      <c r="AR90" s="37" t="str">
        <f ca="1">IFERROR(+IF(AS$29=#REF!,Milestone_Marker,IF(AND(AS$29&gt;#REF!,AS$29&lt;=#REF!+#REF!),$G$5,"")),"")</f>
        <v/>
      </c>
      <c r="AS90" s="37" t="str">
        <f ca="1">IFERROR(+IF(AT$29=#REF!,Milestone_Marker,IF(AND(AT$29&gt;#REF!,AT$29&lt;=#REF!+#REF!),$G$5,"")),"")</f>
        <v/>
      </c>
      <c r="AT90" s="37" t="str">
        <f ca="1">IFERROR(+IF(AU$29=#REF!,Milestone_Marker,IF(AND(AU$29&gt;#REF!,AU$29&lt;=#REF!+#REF!),$G$5,"")),"")</f>
        <v/>
      </c>
      <c r="AU90" s="37" t="str">
        <f ca="1">IFERROR(+IF(AV$29=#REF!,Milestone_Marker,IF(AND(AV$29&gt;#REF!,AV$29&lt;=#REF!+#REF!),$G$5,"")),"")</f>
        <v/>
      </c>
      <c r="AV90" s="37" t="str">
        <f ca="1">IFERROR(+IF(AW$29=#REF!,Milestone_Marker,IF(AND(AW$29&gt;#REF!,AW$29&lt;=#REF!+#REF!),$G$5,"")),"")</f>
        <v/>
      </c>
      <c r="AW90" s="37" t="str">
        <f ca="1">IFERROR(+IF(AX$29=#REF!,Milestone_Marker,IF(AND(AX$29&gt;#REF!,AX$29&lt;=#REF!+#REF!),$G$5,"")),"")</f>
        <v/>
      </c>
      <c r="AX90" s="37" t="str">
        <f ca="1">IFERROR(+IF(AY$29=#REF!,Milestone_Marker,IF(AND(AY$29&gt;#REF!,AY$29&lt;=#REF!+#REF!),$G$5,"")),"")</f>
        <v/>
      </c>
      <c r="AY90" s="37" t="str">
        <f ca="1">IFERROR(+IF(AZ$29=#REF!,Milestone_Marker,IF(AND(AZ$29&gt;#REF!,AZ$29&lt;=#REF!+#REF!),$G$5,"")),"")</f>
        <v/>
      </c>
      <c r="AZ90" s="37" t="str">
        <f ca="1">IFERROR(+IF(BA$29=#REF!,Milestone_Marker,IF(AND(BA$29&gt;#REF!,BA$29&lt;=#REF!+#REF!),$G$5,"")),"")</f>
        <v/>
      </c>
      <c r="BA90" s="37" t="str">
        <f ca="1">IFERROR(+IF(BB$29=#REF!,Milestone_Marker,IF(AND(BB$29&gt;#REF!,BB$29&lt;=#REF!+#REF!),$G$5,"")),"")</f>
        <v/>
      </c>
      <c r="BB90" s="37" t="str">
        <f ca="1">IFERROR(+IF(BC$29=#REF!,Milestone_Marker,IF(AND(BC$29&gt;#REF!,BC$29&lt;=#REF!+#REF!),$G$5,"")),"")</f>
        <v/>
      </c>
      <c r="BC90" s="37" t="str">
        <f ca="1">IFERROR(+IF(BD$29=#REF!,Milestone_Marker,IF(AND(BD$29&gt;#REF!,BD$29&lt;=#REF!+#REF!),$G$5,"")),"")</f>
        <v/>
      </c>
      <c r="BD90" s="37" t="str">
        <f ca="1">IFERROR(+IF(BE$29=#REF!,Milestone_Marker,IF(AND(BE$29&gt;#REF!,BE$29&lt;=#REF!+#REF!),$G$5,"")),"")</f>
        <v/>
      </c>
      <c r="BE90" s="37" t="str">
        <f ca="1">IFERROR(+IF(BF$29=#REF!,Milestone_Marker,IF(AND(BF$29&gt;#REF!,BF$29&lt;=#REF!+#REF!),$G$5,"")),"")</f>
        <v/>
      </c>
      <c r="BF90" s="37" t="str">
        <f ca="1">IFERROR(+IF(BG$29=#REF!,Milestone_Marker,IF(AND(BG$29&gt;#REF!,BG$29&lt;=#REF!+#REF!),$G$5,"")),"")</f>
        <v/>
      </c>
      <c r="BG90" s="37" t="str">
        <f ca="1">IFERROR(+IF(BH$29=#REF!,Milestone_Marker,IF(AND(BH$29&gt;#REF!,BH$29&lt;=#REF!+#REF!),$G$5,"")),"")</f>
        <v/>
      </c>
      <c r="BH90" s="37" t="str">
        <f ca="1">IFERROR(+IF(BI$29=#REF!,Milestone_Marker,IF(AND(BI$29&gt;#REF!,BI$29&lt;=#REF!+#REF!),$G$5,"")),"")</f>
        <v/>
      </c>
      <c r="BI90" s="37" t="str">
        <f ca="1">IFERROR(+IF(BJ$29=#REF!,Milestone_Marker,IF(AND(BJ$29&gt;#REF!,BJ$29&lt;=#REF!+#REF!),$G$5,"")),"")</f>
        <v/>
      </c>
      <c r="BJ90" s="37" t="str">
        <f ca="1">IFERROR(+IF(BK$29=#REF!,Milestone_Marker,IF(AND(BK$29&gt;#REF!,BK$29&lt;=#REF!+#REF!),$G$5,"")),"")</f>
        <v/>
      </c>
      <c r="BK90" s="37" t="str">
        <f ca="1">IFERROR(+IF(BL$29=#REF!,Milestone_Marker,IF(AND(BL$29&gt;#REF!,BL$29&lt;=#REF!+#REF!),$G$5,"")),"")</f>
        <v/>
      </c>
      <c r="BL90" s="37" t="str">
        <f ca="1">IFERROR(+IF(BM$29=#REF!,Milestone_Marker,IF(AND(BM$29&gt;#REF!,BM$29&lt;=#REF!+#REF!),$G$5,"")),"")</f>
        <v/>
      </c>
      <c r="BM90" s="37" t="str">
        <f ca="1">IFERROR(+IF(BN$29=#REF!,Milestone_Marker,IF(AND(BN$29&gt;#REF!,BN$29&lt;=#REF!+#REF!),$G$5,"")),"")</f>
        <v/>
      </c>
      <c r="BN90" s="37" t="str">
        <f ca="1">IFERROR(+IF(BO$29=#REF!,Milestone_Marker,IF(AND(BO$29&gt;#REF!,BO$29&lt;=#REF!+#REF!),$G$5,"")),"")</f>
        <v/>
      </c>
      <c r="BO90" s="37" t="str">
        <f ca="1">IFERROR(+IF(BP$29=#REF!,Milestone_Marker,IF(AND(BP$29&gt;#REF!,BP$29&lt;=#REF!+#REF!),$G$5,"")),"")</f>
        <v/>
      </c>
      <c r="BP90" s="37" t="str">
        <f ca="1">IFERROR(+IF(BQ$29=#REF!,Milestone_Marker,IF(AND(BQ$29&gt;#REF!,BQ$29&lt;=#REF!+#REF!),$G$5,"")),"")</f>
        <v/>
      </c>
      <c r="BQ90" s="37" t="str">
        <f ca="1">IFERROR(+IF(BR$29=#REF!,Milestone_Marker,IF(AND(BR$29&gt;#REF!,BR$29&lt;=#REF!+#REF!),$G$5,"")),"")</f>
        <v/>
      </c>
      <c r="BR90" s="37" t="str">
        <f ca="1">IFERROR(+IF(BS$29=#REF!,Milestone_Marker,IF(AND(BS$29&gt;#REF!,BS$29&lt;=#REF!+#REF!),$G$5,"")),"")</f>
        <v/>
      </c>
      <c r="BS90" s="37" t="str">
        <f ca="1">IFERROR(+IF(BT$29=#REF!,Milestone_Marker,IF(AND(BT$29&gt;#REF!,BT$29&lt;=#REF!+#REF!),$G$5,"")),"")</f>
        <v/>
      </c>
      <c r="BT90" s="37" t="str">
        <f ca="1">IFERROR(+IF(BU$29=#REF!,Milestone_Marker,IF(AND(BU$29&gt;#REF!,BU$29&lt;=#REF!+#REF!),$G$5,"")),"")</f>
        <v/>
      </c>
      <c r="BU90" s="37" t="str">
        <f ca="1">IFERROR(+IF(BV$29=#REF!,Milestone_Marker,IF(AND(BV$29&gt;#REF!,BV$29&lt;=#REF!+#REF!),$G$5,"")),"")</f>
        <v/>
      </c>
      <c r="BV90" s="37" t="str">
        <f ca="1">IFERROR(+IF(BW$29=#REF!,Milestone_Marker,IF(AND(BW$29&gt;#REF!,BW$29&lt;=#REF!+#REF!),$G$5,"")),"")</f>
        <v/>
      </c>
      <c r="BW90" s="37" t="str">
        <f ca="1">IFERROR(+IF(BX$29=#REF!,Milestone_Marker,IF(AND(BX$29&gt;#REF!,BX$29&lt;=#REF!+#REF!),$G$5,"")),"")</f>
        <v/>
      </c>
      <c r="BX90" s="37" t="str">
        <f ca="1">IFERROR(+IF(BY$29=#REF!,Milestone_Marker,IF(AND(BY$29&gt;#REF!,BY$29&lt;=#REF!+#REF!),$G$5,"")),"")</f>
        <v/>
      </c>
      <c r="BY90" s="37" t="str">
        <f ca="1">IFERROR(+IF(BZ$29=#REF!,Milestone_Marker,IF(AND(BZ$29&gt;#REF!,BZ$29&lt;=#REF!+#REF!),$G$5,"")),"")</f>
        <v/>
      </c>
      <c r="BZ90" s="37" t="str">
        <f ca="1">IFERROR(+IF(CA$29=#REF!,Milestone_Marker,IF(AND(CA$29&gt;#REF!,CA$29&lt;=#REF!+#REF!),$G$5,"")),"")</f>
        <v/>
      </c>
      <c r="CA90" s="37" t="str">
        <f ca="1">IFERROR(+IF(CB$29=#REF!,Milestone_Marker,IF(AND(CB$29&gt;#REF!,CB$29&lt;=#REF!+#REF!),$G$5,"")),"")</f>
        <v/>
      </c>
      <c r="CB90" s="37" t="str">
        <f ca="1">IFERROR(+IF(CC$29=#REF!,Milestone_Marker,IF(AND(CC$29&gt;#REF!,CC$29&lt;=#REF!+#REF!),$G$5,"")),"")</f>
        <v/>
      </c>
      <c r="CC90" s="37" t="str">
        <f ca="1">IFERROR(+IF(CD$29=#REF!,Milestone_Marker,IF(AND(CD$29&gt;#REF!,CD$29&lt;=#REF!+#REF!),$G$5,"")),"")</f>
        <v/>
      </c>
      <c r="CD90" s="37" t="str">
        <f ca="1">IFERROR(+IF(CE$29=#REF!,Milestone_Marker,IF(AND(CE$29&gt;#REF!,CE$29&lt;=#REF!+#REF!),$G$5,"")),"")</f>
        <v/>
      </c>
      <c r="CE90" s="37" t="str">
        <f ca="1">IFERROR(+IF(CF$29=#REF!,Milestone_Marker,IF(AND(CF$29&gt;#REF!,CF$29&lt;=#REF!+#REF!),$G$5,"")),"")</f>
        <v/>
      </c>
      <c r="CF90" s="37" t="str">
        <f ca="1">IFERROR(+IF(CG$29=#REF!,Milestone_Marker,IF(AND(CG$29&gt;#REF!,CG$29&lt;=#REF!+#REF!),$G$5,"")),"")</f>
        <v/>
      </c>
      <c r="CG90" s="37" t="str">
        <f ca="1">IFERROR(+IF(CH$29=#REF!,Milestone_Marker,IF(AND(CH$29&gt;#REF!,CH$29&lt;=#REF!+#REF!),$G$5,"")),"")</f>
        <v/>
      </c>
      <c r="CH90" s="37" t="str">
        <f ca="1">IFERROR(+IF(CI$29=#REF!,Milestone_Marker,IF(AND(CI$29&gt;#REF!,CI$29&lt;=#REF!+#REF!),$G$5,"")),"")</f>
        <v/>
      </c>
      <c r="CI90" s="37" t="str">
        <f ca="1">IFERROR(+IF(CJ$29=#REF!,Milestone_Marker,IF(AND(CJ$29&gt;#REF!,CJ$29&lt;=#REF!+#REF!),$G$5,"")),"")</f>
        <v/>
      </c>
      <c r="CJ90" s="37" t="str">
        <f ca="1">IFERROR(+IF(CK$29=#REF!,Milestone_Marker,IF(AND(CK$29&gt;#REF!,CK$29&lt;=#REF!+#REF!),$G$5,"")),"")</f>
        <v/>
      </c>
      <c r="CK90" s="37" t="str">
        <f ca="1">IFERROR(+IF(CL$29=#REF!,Milestone_Marker,IF(AND(CL$29&gt;#REF!,CL$29&lt;=#REF!+#REF!),$G$5,"")),"")</f>
        <v/>
      </c>
      <c r="CL90" s="37" t="str">
        <f ca="1">IFERROR(+IF(CM$29=#REF!,Milestone_Marker,IF(AND(CM$29&gt;#REF!,CM$29&lt;=#REF!+#REF!),$G$5,"")),"")</f>
        <v/>
      </c>
      <c r="CM90" s="37" t="str">
        <f ca="1">IFERROR(+IF(CN$29=#REF!,Milestone_Marker,IF(AND(CN$29&gt;#REF!,CN$29&lt;=#REF!+#REF!),$G$5,"")),"")</f>
        <v/>
      </c>
      <c r="CN90" s="37" t="str">
        <f ca="1">IFERROR(+IF(CO$29=#REF!,Milestone_Marker,IF(AND(CO$29&gt;#REF!,CO$29&lt;=#REF!+#REF!),$G$5,"")),"")</f>
        <v/>
      </c>
      <c r="CO90" s="37" t="str">
        <f ca="1">IFERROR(+IF(CP$29=#REF!,Milestone_Marker,IF(AND(CP$29&gt;#REF!,CP$29&lt;=#REF!+#REF!),$G$5,"")),"")</f>
        <v/>
      </c>
      <c r="CP90" s="37" t="str">
        <f ca="1">IFERROR(+IF(CQ$29=#REF!,Milestone_Marker,IF(AND(CQ$29&gt;#REF!,CQ$29&lt;=#REF!+#REF!),$G$5,"")),"")</f>
        <v/>
      </c>
      <c r="CQ90" s="37" t="str">
        <f ca="1">IFERROR(+IF(CR$29=#REF!,Milestone_Marker,IF(AND(CR$29&gt;#REF!,CR$29&lt;=#REF!+#REF!),$G$5,"")),"")</f>
        <v/>
      </c>
      <c r="CR90" s="37" t="str">
        <f ca="1">IFERROR(+IF(CS$29=#REF!,Milestone_Marker,IF(AND(CS$29&gt;#REF!,CS$29&lt;=#REF!+#REF!),$G$5,"")),"")</f>
        <v/>
      </c>
      <c r="CS90" s="37" t="str">
        <f ca="1">IFERROR(+IF(CT$29=#REF!,Milestone_Marker,IF(AND(CT$29&gt;#REF!,CT$29&lt;=#REF!+#REF!),$G$5,"")),"")</f>
        <v/>
      </c>
      <c r="CT90" s="37" t="str">
        <f ca="1">IFERROR(+IF(CU$29=#REF!,Milestone_Marker,IF(AND(CU$29&gt;#REF!,CU$29&lt;=#REF!+#REF!),$G$5,"")),"")</f>
        <v/>
      </c>
    </row>
    <row r="91" spans="1:125" ht="30" customHeight="1">
      <c r="P91" s="37" t="str">
        <f ca="1">IFERROR(+IF(Q$29=#REF!,Milestone_Marker,IF(AND(Q$29&gt;#REF!,Q$29&lt;=#REF!+#REF!),$G$5,"")),"")</f>
        <v/>
      </c>
      <c r="Q91" s="37" t="str">
        <f ca="1">IFERROR(+IF(R$29=#REF!,Milestone_Marker,IF(AND(R$29&gt;#REF!,R$29&lt;=#REF!+#REF!),$G$5,"")),"")</f>
        <v/>
      </c>
      <c r="R91" s="37" t="str">
        <f ca="1">IFERROR(+IF(S$29=#REF!,Milestone_Marker,IF(AND(S$29&gt;#REF!,S$29&lt;=#REF!+#REF!),$G$5,"")),"")</f>
        <v/>
      </c>
      <c r="S91" s="37" t="str">
        <f ca="1">IFERROR(+IF(T$29=#REF!,Milestone_Marker,IF(AND(T$29&gt;#REF!,T$29&lt;=#REF!+#REF!),$G$5,"")),"")</f>
        <v/>
      </c>
      <c r="T91" s="37" t="str">
        <f ca="1">IFERROR(+IF(U$29=#REF!,Milestone_Marker,IF(AND(U$29&gt;#REF!,U$29&lt;=#REF!+#REF!),$G$5,"")),"")</f>
        <v/>
      </c>
      <c r="U91" s="37" t="str">
        <f ca="1">IFERROR(+IF(V$29=#REF!,Milestone_Marker,IF(AND(V$29&gt;#REF!,V$29&lt;=#REF!+#REF!),$G$5,"")),"")</f>
        <v/>
      </c>
      <c r="V91" s="37" t="str">
        <f ca="1">IFERROR(+IF(W$29=#REF!,Milestone_Marker,IF(AND(W$29&gt;#REF!,W$29&lt;=#REF!+#REF!),$G$5,"")),"")</f>
        <v/>
      </c>
      <c r="W91" s="37" t="str">
        <f ca="1">IFERROR(+IF(X$29=#REF!,Milestone_Marker,IF(AND(X$29&gt;#REF!,X$29&lt;=#REF!+#REF!),$G$5,"")),"")</f>
        <v/>
      </c>
      <c r="X91" s="37" t="str">
        <f ca="1">IFERROR(+IF(Y$29=#REF!,Milestone_Marker,IF(AND(Y$29&gt;#REF!,Y$29&lt;=#REF!+#REF!),$G$5,"")),"")</f>
        <v/>
      </c>
      <c r="Y91" s="37" t="str">
        <f ca="1">IFERROR(+IF(Z$29=#REF!,Milestone_Marker,IF(AND(Z$29&gt;#REF!,Z$29&lt;=#REF!+#REF!),$G$5,"")),"")</f>
        <v/>
      </c>
      <c r="Z91" s="37" t="str">
        <f ca="1">IFERROR(+IF(AA$29=#REF!,Milestone_Marker,IF(AND(AA$29&gt;#REF!,AA$29&lt;=#REF!+#REF!),$G$5,"")),"")</f>
        <v/>
      </c>
      <c r="AA91" s="37" t="str">
        <f ca="1">IFERROR(+IF(AB$29=#REF!,Milestone_Marker,IF(AND(AB$29&gt;#REF!,AB$29&lt;=#REF!+#REF!),$G$5,"")),"")</f>
        <v/>
      </c>
      <c r="AB91" s="37" t="str">
        <f ca="1">IFERROR(+IF(AC$29=#REF!,Milestone_Marker,IF(AND(AC$29&gt;#REF!,AC$29&lt;=#REF!+#REF!),$G$5,"")),"")</f>
        <v/>
      </c>
      <c r="AC91" s="37" t="str">
        <f ca="1">IFERROR(+IF(AD$29=#REF!,Milestone_Marker,IF(AND(AD$29&gt;#REF!,AD$29&lt;=#REF!+#REF!),$G$5,"")),"")</f>
        <v/>
      </c>
      <c r="AD91" s="37" t="str">
        <f ca="1">IFERROR(+IF(AE$29=#REF!,Milestone_Marker,IF(AND(AE$29&gt;#REF!,AE$29&lt;=#REF!+#REF!),$G$5,"")),"")</f>
        <v/>
      </c>
      <c r="AE91" s="37" t="str">
        <f ca="1">IFERROR(+IF(AF$29=#REF!,Milestone_Marker,IF(AND(AF$29&gt;#REF!,AF$29&lt;=#REF!+#REF!),$G$5,"")),"")</f>
        <v/>
      </c>
      <c r="AF91" s="37" t="str">
        <f ca="1">IFERROR(+IF(AG$29=#REF!,Milestone_Marker,IF(AND(AG$29&gt;#REF!,AG$29&lt;=#REF!+#REF!),$G$5,"")),"")</f>
        <v/>
      </c>
      <c r="AG91" s="37" t="str">
        <f ca="1">IFERROR(+IF(AH$29=#REF!,Milestone_Marker,IF(AND(AH$29&gt;#REF!,AH$29&lt;=#REF!+#REF!),$G$5,"")),"")</f>
        <v/>
      </c>
      <c r="AH91" s="37" t="str">
        <f ca="1">IFERROR(+IF(AI$29=#REF!,Milestone_Marker,IF(AND(AI$29&gt;#REF!,AI$29&lt;=#REF!+#REF!),$G$5,"")),"")</f>
        <v/>
      </c>
      <c r="AI91" s="37" t="str">
        <f ca="1">IFERROR(+IF(AJ$29=#REF!,Milestone_Marker,IF(AND(AJ$29&gt;#REF!,AJ$29&lt;=#REF!+#REF!),$G$5,"")),"")</f>
        <v/>
      </c>
      <c r="AJ91" s="37" t="str">
        <f ca="1">IFERROR(+IF(AK$29=#REF!,Milestone_Marker,IF(AND(AK$29&gt;#REF!,AK$29&lt;=#REF!+#REF!),$G$5,"")),"")</f>
        <v/>
      </c>
      <c r="AK91" s="37" t="str">
        <f ca="1">IFERROR(+IF(AL$29=#REF!,Milestone_Marker,IF(AND(AL$29&gt;#REF!,AL$29&lt;=#REF!+#REF!),$G$5,"")),"")</f>
        <v/>
      </c>
      <c r="AL91" s="37" t="str">
        <f ca="1">IFERROR(+IF(AM$29=#REF!,Milestone_Marker,IF(AND(AM$29&gt;#REF!,AM$29&lt;=#REF!+#REF!),$G$5,"")),"")</f>
        <v/>
      </c>
      <c r="AM91" s="37" t="str">
        <f ca="1">IFERROR(+IF(AN$29=#REF!,Milestone_Marker,IF(AND(AN$29&gt;#REF!,AN$29&lt;=#REF!+#REF!),$G$5,"")),"")</f>
        <v/>
      </c>
      <c r="AN91" s="37" t="str">
        <f ca="1">IFERROR(+IF(AO$29=#REF!,Milestone_Marker,IF(AND(AO$29&gt;#REF!,AO$29&lt;=#REF!+#REF!),$G$5,"")),"")</f>
        <v/>
      </c>
      <c r="AO91" s="37" t="str">
        <f ca="1">IFERROR(+IF(AP$29=#REF!,Milestone_Marker,IF(AND(AP$29&gt;#REF!,AP$29&lt;=#REF!+#REF!),$G$5,"")),"")</f>
        <v/>
      </c>
      <c r="AP91" s="37" t="str">
        <f ca="1">IFERROR(+IF(AQ$29=#REF!,Milestone_Marker,IF(AND(AQ$29&gt;#REF!,AQ$29&lt;=#REF!+#REF!),$G$5,"")),"")</f>
        <v/>
      </c>
      <c r="AQ91" s="37" t="str">
        <f ca="1">IFERROR(+IF(AR$29=#REF!,Milestone_Marker,IF(AND(AR$29&gt;#REF!,AR$29&lt;=#REF!+#REF!),$G$5,"")),"")</f>
        <v/>
      </c>
      <c r="AR91" s="37" t="str">
        <f ca="1">IFERROR(+IF(AS$29=#REF!,Milestone_Marker,IF(AND(AS$29&gt;#REF!,AS$29&lt;=#REF!+#REF!),$G$5,"")),"")</f>
        <v/>
      </c>
      <c r="AS91" s="37" t="str">
        <f ca="1">IFERROR(+IF(AT$29=#REF!,Milestone_Marker,IF(AND(AT$29&gt;#REF!,AT$29&lt;=#REF!+#REF!),$G$5,"")),"")</f>
        <v/>
      </c>
      <c r="AT91" s="37" t="str">
        <f ca="1">IFERROR(+IF(AU$29=#REF!,Milestone_Marker,IF(AND(AU$29&gt;#REF!,AU$29&lt;=#REF!+#REF!),$G$5,"")),"")</f>
        <v/>
      </c>
      <c r="AU91" s="37" t="str">
        <f ca="1">IFERROR(+IF(AV$29=#REF!,Milestone_Marker,IF(AND(AV$29&gt;#REF!,AV$29&lt;=#REF!+#REF!),$G$5,"")),"")</f>
        <v/>
      </c>
      <c r="AV91" s="37" t="str">
        <f ca="1">IFERROR(+IF(AW$29=#REF!,Milestone_Marker,IF(AND(AW$29&gt;#REF!,AW$29&lt;=#REF!+#REF!),$G$5,"")),"")</f>
        <v/>
      </c>
      <c r="AW91" s="37" t="str">
        <f ca="1">IFERROR(+IF(AX$29=#REF!,Milestone_Marker,IF(AND(AX$29&gt;#REF!,AX$29&lt;=#REF!+#REF!),$G$5,"")),"")</f>
        <v/>
      </c>
      <c r="AX91" s="37" t="str">
        <f ca="1">IFERROR(+IF(AY$29=#REF!,Milestone_Marker,IF(AND(AY$29&gt;#REF!,AY$29&lt;=#REF!+#REF!),$G$5,"")),"")</f>
        <v/>
      </c>
      <c r="AY91" s="37" t="str">
        <f ca="1">IFERROR(+IF(AZ$29=#REF!,Milestone_Marker,IF(AND(AZ$29&gt;#REF!,AZ$29&lt;=#REF!+#REF!),$G$5,"")),"")</f>
        <v/>
      </c>
      <c r="AZ91" s="37" t="str">
        <f ca="1">IFERROR(+IF(BA$29=#REF!,Milestone_Marker,IF(AND(BA$29&gt;#REF!,BA$29&lt;=#REF!+#REF!),$G$5,"")),"")</f>
        <v/>
      </c>
      <c r="BA91" s="37" t="str">
        <f ca="1">IFERROR(+IF(BB$29=#REF!,Milestone_Marker,IF(AND(BB$29&gt;#REF!,BB$29&lt;=#REF!+#REF!),$G$5,"")),"")</f>
        <v/>
      </c>
      <c r="BB91" s="37" t="str">
        <f ca="1">IFERROR(+IF(BC$29=#REF!,Milestone_Marker,IF(AND(BC$29&gt;#REF!,BC$29&lt;=#REF!+#REF!),$G$5,"")),"")</f>
        <v/>
      </c>
      <c r="BC91" s="37" t="str">
        <f ca="1">IFERROR(+IF(BD$29=#REF!,Milestone_Marker,IF(AND(BD$29&gt;#REF!,BD$29&lt;=#REF!+#REF!),$G$5,"")),"")</f>
        <v/>
      </c>
      <c r="BD91" s="37" t="str">
        <f ca="1">IFERROR(+IF(BE$29=#REF!,Milestone_Marker,IF(AND(BE$29&gt;#REF!,BE$29&lt;=#REF!+#REF!),$G$5,"")),"")</f>
        <v/>
      </c>
      <c r="BE91" s="37" t="str">
        <f ca="1">IFERROR(+IF(BF$29=#REF!,Milestone_Marker,IF(AND(BF$29&gt;#REF!,BF$29&lt;=#REF!+#REF!),$G$5,"")),"")</f>
        <v/>
      </c>
      <c r="BF91" s="37" t="str">
        <f ca="1">IFERROR(+IF(BG$29=#REF!,Milestone_Marker,IF(AND(BG$29&gt;#REF!,BG$29&lt;=#REF!+#REF!),$G$5,"")),"")</f>
        <v/>
      </c>
      <c r="BG91" s="37" t="str">
        <f ca="1">IFERROR(+IF(BH$29=#REF!,Milestone_Marker,IF(AND(BH$29&gt;#REF!,BH$29&lt;=#REF!+#REF!),$G$5,"")),"")</f>
        <v/>
      </c>
      <c r="BH91" s="37" t="str">
        <f ca="1">IFERROR(+IF(BI$29=#REF!,Milestone_Marker,IF(AND(BI$29&gt;#REF!,BI$29&lt;=#REF!+#REF!),$G$5,"")),"")</f>
        <v/>
      </c>
      <c r="BI91" s="37" t="str">
        <f ca="1">IFERROR(+IF(BJ$29=#REF!,Milestone_Marker,IF(AND(BJ$29&gt;#REF!,BJ$29&lt;=#REF!+#REF!),$G$5,"")),"")</f>
        <v/>
      </c>
      <c r="BJ91" s="37" t="str">
        <f ca="1">IFERROR(+IF(BK$29=#REF!,Milestone_Marker,IF(AND(BK$29&gt;#REF!,BK$29&lt;=#REF!+#REF!),$G$5,"")),"")</f>
        <v/>
      </c>
      <c r="BK91" s="37" t="str">
        <f ca="1">IFERROR(+IF(BL$29=#REF!,Milestone_Marker,IF(AND(BL$29&gt;#REF!,BL$29&lt;=#REF!+#REF!),$G$5,"")),"")</f>
        <v/>
      </c>
      <c r="BL91" s="37" t="str">
        <f ca="1">IFERROR(+IF(BM$29=#REF!,Milestone_Marker,IF(AND(BM$29&gt;#REF!,BM$29&lt;=#REF!+#REF!),$G$5,"")),"")</f>
        <v/>
      </c>
      <c r="BM91" s="37" t="str">
        <f ca="1">IFERROR(+IF(BN$29=#REF!,Milestone_Marker,IF(AND(BN$29&gt;#REF!,BN$29&lt;=#REF!+#REF!),$G$5,"")),"")</f>
        <v/>
      </c>
      <c r="BN91" s="37" t="str">
        <f ca="1">IFERROR(+IF(BO$29=#REF!,Milestone_Marker,IF(AND(BO$29&gt;#REF!,BO$29&lt;=#REF!+#REF!),$G$5,"")),"")</f>
        <v/>
      </c>
      <c r="BO91" s="37" t="str">
        <f ca="1">IFERROR(+IF(BP$29=#REF!,Milestone_Marker,IF(AND(BP$29&gt;#REF!,BP$29&lt;=#REF!+#REF!),$G$5,"")),"")</f>
        <v/>
      </c>
      <c r="BP91" s="37" t="str">
        <f ca="1">IFERROR(+IF(BQ$29=#REF!,Milestone_Marker,IF(AND(BQ$29&gt;#REF!,BQ$29&lt;=#REF!+#REF!),$G$5,"")),"")</f>
        <v/>
      </c>
      <c r="BQ91" s="37" t="str">
        <f ca="1">IFERROR(+IF(BR$29=#REF!,Milestone_Marker,IF(AND(BR$29&gt;#REF!,BR$29&lt;=#REF!+#REF!),$G$5,"")),"")</f>
        <v/>
      </c>
      <c r="BR91" s="37" t="str">
        <f ca="1">IFERROR(+IF(BS$29=#REF!,Milestone_Marker,IF(AND(BS$29&gt;#REF!,BS$29&lt;=#REF!+#REF!),$G$5,"")),"")</f>
        <v/>
      </c>
      <c r="BS91" s="37" t="str">
        <f ca="1">IFERROR(+IF(BT$29=#REF!,Milestone_Marker,IF(AND(BT$29&gt;#REF!,BT$29&lt;=#REF!+#REF!),$G$5,"")),"")</f>
        <v/>
      </c>
      <c r="BT91" s="37" t="str">
        <f ca="1">IFERROR(+IF(BU$29=#REF!,Milestone_Marker,IF(AND(BU$29&gt;#REF!,BU$29&lt;=#REF!+#REF!),$G$5,"")),"")</f>
        <v/>
      </c>
      <c r="BU91" s="37" t="str">
        <f ca="1">IFERROR(+IF(BV$29=#REF!,Milestone_Marker,IF(AND(BV$29&gt;#REF!,BV$29&lt;=#REF!+#REF!),$G$5,"")),"")</f>
        <v/>
      </c>
      <c r="BV91" s="37" t="str">
        <f ca="1">IFERROR(+IF(BW$29=#REF!,Milestone_Marker,IF(AND(BW$29&gt;#REF!,BW$29&lt;=#REF!+#REF!),$G$5,"")),"")</f>
        <v/>
      </c>
      <c r="BW91" s="37" t="str">
        <f ca="1">IFERROR(+IF(BX$29=#REF!,Milestone_Marker,IF(AND(BX$29&gt;#REF!,BX$29&lt;=#REF!+#REF!),$G$5,"")),"")</f>
        <v/>
      </c>
      <c r="BX91" s="37" t="str">
        <f ca="1">IFERROR(+IF(BY$29=#REF!,Milestone_Marker,IF(AND(BY$29&gt;#REF!,BY$29&lt;=#REF!+#REF!),$G$5,"")),"")</f>
        <v/>
      </c>
      <c r="BY91" s="37" t="str">
        <f ca="1">IFERROR(+IF(BZ$29=#REF!,Milestone_Marker,IF(AND(BZ$29&gt;#REF!,BZ$29&lt;=#REF!+#REF!),$G$5,"")),"")</f>
        <v/>
      </c>
      <c r="BZ91" s="37" t="str">
        <f ca="1">IFERROR(+IF(CA$29=#REF!,Milestone_Marker,IF(AND(CA$29&gt;#REF!,CA$29&lt;=#REF!+#REF!),$G$5,"")),"")</f>
        <v/>
      </c>
      <c r="CA91" s="37" t="str">
        <f ca="1">IFERROR(+IF(CB$29=#REF!,Milestone_Marker,IF(AND(CB$29&gt;#REF!,CB$29&lt;=#REF!+#REF!),$G$5,"")),"")</f>
        <v/>
      </c>
      <c r="CB91" s="37" t="str">
        <f ca="1">IFERROR(+IF(CC$29=#REF!,Milestone_Marker,IF(AND(CC$29&gt;#REF!,CC$29&lt;=#REF!+#REF!),$G$5,"")),"")</f>
        <v/>
      </c>
      <c r="CC91" s="37" t="str">
        <f ca="1">IFERROR(+IF(CD$29=#REF!,Milestone_Marker,IF(AND(CD$29&gt;#REF!,CD$29&lt;=#REF!+#REF!),$G$5,"")),"")</f>
        <v/>
      </c>
      <c r="CD91" s="37" t="str">
        <f ca="1">IFERROR(+IF(CE$29=#REF!,Milestone_Marker,IF(AND(CE$29&gt;#REF!,CE$29&lt;=#REF!+#REF!),$G$5,"")),"")</f>
        <v/>
      </c>
      <c r="CE91" s="37" t="str">
        <f ca="1">IFERROR(+IF(CF$29=#REF!,Milestone_Marker,IF(AND(CF$29&gt;#REF!,CF$29&lt;=#REF!+#REF!),$G$5,"")),"")</f>
        <v/>
      </c>
      <c r="CF91" s="37" t="str">
        <f ca="1">IFERROR(+IF(CG$29=#REF!,Milestone_Marker,IF(AND(CG$29&gt;#REF!,CG$29&lt;=#REF!+#REF!),$G$5,"")),"")</f>
        <v/>
      </c>
      <c r="CG91" s="37" t="str">
        <f ca="1">IFERROR(+IF(CH$29=#REF!,Milestone_Marker,IF(AND(CH$29&gt;#REF!,CH$29&lt;=#REF!+#REF!),$G$5,"")),"")</f>
        <v/>
      </c>
      <c r="CH91" s="37" t="str">
        <f ca="1">IFERROR(+IF(CI$29=#REF!,Milestone_Marker,IF(AND(CI$29&gt;#REF!,CI$29&lt;=#REF!+#REF!),$G$5,"")),"")</f>
        <v/>
      </c>
      <c r="CI91" s="37" t="str">
        <f ca="1">IFERROR(+IF(CJ$29=#REF!,Milestone_Marker,IF(AND(CJ$29&gt;#REF!,CJ$29&lt;=#REF!+#REF!),$G$5,"")),"")</f>
        <v/>
      </c>
      <c r="CJ91" s="37" t="str">
        <f ca="1">IFERROR(+IF(CK$29=#REF!,Milestone_Marker,IF(AND(CK$29&gt;#REF!,CK$29&lt;=#REF!+#REF!),$G$5,"")),"")</f>
        <v/>
      </c>
      <c r="CK91" s="37" t="str">
        <f ca="1">IFERROR(+IF(CL$29=#REF!,Milestone_Marker,IF(AND(CL$29&gt;#REF!,CL$29&lt;=#REF!+#REF!),$G$5,"")),"")</f>
        <v/>
      </c>
      <c r="CL91" s="37" t="str">
        <f ca="1">IFERROR(+IF(CM$29=#REF!,Milestone_Marker,IF(AND(CM$29&gt;#REF!,CM$29&lt;=#REF!+#REF!),$G$5,"")),"")</f>
        <v/>
      </c>
      <c r="CM91" s="37" t="str">
        <f ca="1">IFERROR(+IF(CN$29=#REF!,Milestone_Marker,IF(AND(CN$29&gt;#REF!,CN$29&lt;=#REF!+#REF!),$G$5,"")),"")</f>
        <v/>
      </c>
      <c r="CN91" s="37" t="str">
        <f ca="1">IFERROR(+IF(CO$29=#REF!,Milestone_Marker,IF(AND(CO$29&gt;#REF!,CO$29&lt;=#REF!+#REF!),$G$5,"")),"")</f>
        <v/>
      </c>
      <c r="CO91" s="37" t="str">
        <f ca="1">IFERROR(+IF(CP$29=#REF!,Milestone_Marker,IF(AND(CP$29&gt;#REF!,CP$29&lt;=#REF!+#REF!),$G$5,"")),"")</f>
        <v/>
      </c>
      <c r="CP91" s="37" t="str">
        <f ca="1">IFERROR(+IF(CQ$29=#REF!,Milestone_Marker,IF(AND(CQ$29&gt;#REF!,CQ$29&lt;=#REF!+#REF!),$G$5,"")),"")</f>
        <v/>
      </c>
      <c r="CQ91" s="37" t="str">
        <f ca="1">IFERROR(+IF(CR$29=#REF!,Milestone_Marker,IF(AND(CR$29&gt;#REF!,CR$29&lt;=#REF!+#REF!),$G$5,"")),"")</f>
        <v/>
      </c>
      <c r="CR91" s="37" t="str">
        <f ca="1">IFERROR(+IF(CS$29=#REF!,Milestone_Marker,IF(AND(CS$29&gt;#REF!,CS$29&lt;=#REF!+#REF!),$G$5,"")),"")</f>
        <v/>
      </c>
      <c r="CS91" s="37" t="str">
        <f ca="1">IFERROR(+IF(CT$29=#REF!,Milestone_Marker,IF(AND(CT$29&gt;#REF!,CT$29&lt;=#REF!+#REF!),$G$5,"")),"")</f>
        <v/>
      </c>
      <c r="CT91" s="37" t="str">
        <f ca="1">IFERROR(+IF(CU$29=#REF!,Milestone_Marker,IF(AND(CU$29&gt;#REF!,CU$29&lt;=#REF!+#REF!),$G$5,"")),"")</f>
        <v/>
      </c>
    </row>
    <row r="92" spans="1:125" ht="30" customHeight="1">
      <c r="P92" s="37" t="str">
        <f ca="1">IFERROR(+IF(Q$29=#REF!,Milestone_Marker,IF(AND(Q$29&gt;#REF!,Q$29&lt;=#REF!+#REF!),$G$5,"")),"")</f>
        <v/>
      </c>
      <c r="Q92" s="37" t="str">
        <f ca="1">IFERROR(+IF(R$29=#REF!,Milestone_Marker,IF(AND(R$29&gt;#REF!,R$29&lt;=#REF!+#REF!),$G$5,"")),"")</f>
        <v/>
      </c>
      <c r="R92" s="37" t="str">
        <f ca="1">IFERROR(+IF(S$29=#REF!,Milestone_Marker,IF(AND(S$29&gt;#REF!,S$29&lt;=#REF!+#REF!),$G$5,"")),"")</f>
        <v/>
      </c>
      <c r="S92" s="37" t="str">
        <f ca="1">IFERROR(+IF(T$29=#REF!,Milestone_Marker,IF(AND(T$29&gt;#REF!,T$29&lt;=#REF!+#REF!),$G$5,"")),"")</f>
        <v/>
      </c>
      <c r="T92" s="37" t="str">
        <f ca="1">IFERROR(+IF(U$29=#REF!,Milestone_Marker,IF(AND(U$29&gt;#REF!,U$29&lt;=#REF!+#REF!),$G$5,"")),"")</f>
        <v/>
      </c>
      <c r="U92" s="37" t="str">
        <f ca="1">IFERROR(+IF(V$29=#REF!,Milestone_Marker,IF(AND(V$29&gt;#REF!,V$29&lt;=#REF!+#REF!),$G$5,"")),"")</f>
        <v/>
      </c>
      <c r="V92" s="37" t="str">
        <f ca="1">IFERROR(+IF(W$29=#REF!,Milestone_Marker,IF(AND(W$29&gt;#REF!,W$29&lt;=#REF!+#REF!),$G$5,"")),"")</f>
        <v/>
      </c>
      <c r="W92" s="37" t="str">
        <f ca="1">IFERROR(+IF(X$29=#REF!,Milestone_Marker,IF(AND(X$29&gt;#REF!,X$29&lt;=#REF!+#REF!),$G$5,"")),"")</f>
        <v/>
      </c>
      <c r="X92" s="37" t="str">
        <f ca="1">IFERROR(+IF(Y$29=#REF!,Milestone_Marker,IF(AND(Y$29&gt;#REF!,Y$29&lt;=#REF!+#REF!),$G$5,"")),"")</f>
        <v/>
      </c>
      <c r="Y92" s="37" t="str">
        <f ca="1">IFERROR(+IF(Z$29=#REF!,Milestone_Marker,IF(AND(Z$29&gt;#REF!,Z$29&lt;=#REF!+#REF!),$G$5,"")),"")</f>
        <v/>
      </c>
      <c r="Z92" s="37" t="str">
        <f ca="1">IFERROR(+IF(AA$29=#REF!,Milestone_Marker,IF(AND(AA$29&gt;#REF!,AA$29&lt;=#REF!+#REF!),$G$5,"")),"")</f>
        <v/>
      </c>
      <c r="AA92" s="37" t="str">
        <f ca="1">IFERROR(+IF(AB$29=#REF!,Milestone_Marker,IF(AND(AB$29&gt;#REF!,AB$29&lt;=#REF!+#REF!),$G$5,"")),"")</f>
        <v/>
      </c>
      <c r="AB92" s="37" t="str">
        <f ca="1">IFERROR(+IF(AC$29=#REF!,Milestone_Marker,IF(AND(AC$29&gt;#REF!,AC$29&lt;=#REF!+#REF!),$G$5,"")),"")</f>
        <v/>
      </c>
      <c r="AC92" s="37" t="str">
        <f ca="1">IFERROR(+IF(AD$29=#REF!,Milestone_Marker,IF(AND(AD$29&gt;#REF!,AD$29&lt;=#REF!+#REF!),$G$5,"")),"")</f>
        <v/>
      </c>
      <c r="AD92" s="37" t="str">
        <f ca="1">IFERROR(+IF(AE$29=#REF!,Milestone_Marker,IF(AND(AE$29&gt;#REF!,AE$29&lt;=#REF!+#REF!),$G$5,"")),"")</f>
        <v/>
      </c>
      <c r="AE92" s="37" t="str">
        <f ca="1">IFERROR(+IF(AF$29=#REF!,Milestone_Marker,IF(AND(AF$29&gt;#REF!,AF$29&lt;=#REF!+#REF!),$G$5,"")),"")</f>
        <v/>
      </c>
      <c r="AF92" s="37" t="str">
        <f ca="1">IFERROR(+IF(AG$29=#REF!,Milestone_Marker,IF(AND(AG$29&gt;#REF!,AG$29&lt;=#REF!+#REF!),$G$5,"")),"")</f>
        <v/>
      </c>
      <c r="AG92" s="37" t="str">
        <f ca="1">IFERROR(+IF(AH$29=#REF!,Milestone_Marker,IF(AND(AH$29&gt;#REF!,AH$29&lt;=#REF!+#REF!),$G$5,"")),"")</f>
        <v/>
      </c>
      <c r="AH92" s="37" t="str">
        <f ca="1">IFERROR(+IF(AI$29=#REF!,Milestone_Marker,IF(AND(AI$29&gt;#REF!,AI$29&lt;=#REF!+#REF!),$G$5,"")),"")</f>
        <v/>
      </c>
      <c r="AI92" s="37" t="str">
        <f ca="1">IFERROR(+IF(AJ$29=#REF!,Milestone_Marker,IF(AND(AJ$29&gt;#REF!,AJ$29&lt;=#REF!+#REF!),$G$5,"")),"")</f>
        <v/>
      </c>
      <c r="AJ92" s="37" t="str">
        <f ca="1">IFERROR(+IF(AK$29=#REF!,Milestone_Marker,IF(AND(AK$29&gt;#REF!,AK$29&lt;=#REF!+#REF!),$G$5,"")),"")</f>
        <v/>
      </c>
      <c r="AK92" s="37" t="str">
        <f ca="1">IFERROR(+IF(AL$29=#REF!,Milestone_Marker,IF(AND(AL$29&gt;#REF!,AL$29&lt;=#REF!+#REF!),$G$5,"")),"")</f>
        <v/>
      </c>
      <c r="AL92" s="37" t="str">
        <f ca="1">IFERROR(+IF(AM$29=#REF!,Milestone_Marker,IF(AND(AM$29&gt;#REF!,AM$29&lt;=#REF!+#REF!),$G$5,"")),"")</f>
        <v/>
      </c>
      <c r="AM92" s="37" t="str">
        <f ca="1">IFERROR(+IF(AN$29=#REF!,Milestone_Marker,IF(AND(AN$29&gt;#REF!,AN$29&lt;=#REF!+#REF!),$G$5,"")),"")</f>
        <v/>
      </c>
      <c r="AN92" s="37" t="str">
        <f ca="1">IFERROR(+IF(AO$29=#REF!,Milestone_Marker,IF(AND(AO$29&gt;#REF!,AO$29&lt;=#REF!+#REF!),$G$5,"")),"")</f>
        <v/>
      </c>
      <c r="AO92" s="37" t="str">
        <f ca="1">IFERROR(+IF(AP$29=#REF!,Milestone_Marker,IF(AND(AP$29&gt;#REF!,AP$29&lt;=#REF!+#REF!),$G$5,"")),"")</f>
        <v/>
      </c>
      <c r="AP92" s="37" t="str">
        <f ca="1">IFERROR(+IF(AQ$29=#REF!,Milestone_Marker,IF(AND(AQ$29&gt;#REF!,AQ$29&lt;=#REF!+#REF!),$G$5,"")),"")</f>
        <v/>
      </c>
      <c r="AQ92" s="37" t="str">
        <f ca="1">IFERROR(+IF(AR$29=#REF!,Milestone_Marker,IF(AND(AR$29&gt;#REF!,AR$29&lt;=#REF!+#REF!),$G$5,"")),"")</f>
        <v/>
      </c>
      <c r="AR92" s="37" t="str">
        <f ca="1">IFERROR(+IF(AS$29=#REF!,Milestone_Marker,IF(AND(AS$29&gt;#REF!,AS$29&lt;=#REF!+#REF!),$G$5,"")),"")</f>
        <v/>
      </c>
      <c r="AS92" s="37" t="str">
        <f ca="1">IFERROR(+IF(AT$29=#REF!,Milestone_Marker,IF(AND(AT$29&gt;#REF!,AT$29&lt;=#REF!+#REF!),$G$5,"")),"")</f>
        <v/>
      </c>
      <c r="AT92" s="37" t="str">
        <f ca="1">IFERROR(+IF(AU$29=#REF!,Milestone_Marker,IF(AND(AU$29&gt;#REF!,AU$29&lt;=#REF!+#REF!),$G$5,"")),"")</f>
        <v/>
      </c>
      <c r="AU92" s="37" t="str">
        <f ca="1">IFERROR(+IF(AV$29=#REF!,Milestone_Marker,IF(AND(AV$29&gt;#REF!,AV$29&lt;=#REF!+#REF!),$G$5,"")),"")</f>
        <v/>
      </c>
      <c r="AV92" s="37" t="str">
        <f ca="1">IFERROR(+IF(AW$29=#REF!,Milestone_Marker,IF(AND(AW$29&gt;#REF!,AW$29&lt;=#REF!+#REF!),$G$5,"")),"")</f>
        <v/>
      </c>
      <c r="AW92" s="37" t="str">
        <f ca="1">IFERROR(+IF(AX$29=#REF!,Milestone_Marker,IF(AND(AX$29&gt;#REF!,AX$29&lt;=#REF!+#REF!),$G$5,"")),"")</f>
        <v/>
      </c>
      <c r="AX92" s="37" t="str">
        <f ca="1">IFERROR(+IF(AY$29=#REF!,Milestone_Marker,IF(AND(AY$29&gt;#REF!,AY$29&lt;=#REF!+#REF!),$G$5,"")),"")</f>
        <v/>
      </c>
      <c r="AY92" s="37" t="str">
        <f ca="1">IFERROR(+IF(AZ$29=#REF!,Milestone_Marker,IF(AND(AZ$29&gt;#REF!,AZ$29&lt;=#REF!+#REF!),$G$5,"")),"")</f>
        <v/>
      </c>
      <c r="AZ92" s="37" t="str">
        <f ca="1">IFERROR(+IF(BA$29=#REF!,Milestone_Marker,IF(AND(BA$29&gt;#REF!,BA$29&lt;=#REF!+#REF!),$G$5,"")),"")</f>
        <v/>
      </c>
      <c r="BA92" s="37" t="str">
        <f ca="1">IFERROR(+IF(BB$29=#REF!,Milestone_Marker,IF(AND(BB$29&gt;#REF!,BB$29&lt;=#REF!+#REF!),$G$5,"")),"")</f>
        <v/>
      </c>
      <c r="BB92" s="37" t="str">
        <f ca="1">IFERROR(+IF(BC$29=#REF!,Milestone_Marker,IF(AND(BC$29&gt;#REF!,BC$29&lt;=#REF!+#REF!),$G$5,"")),"")</f>
        <v/>
      </c>
      <c r="BC92" s="37" t="str">
        <f ca="1">IFERROR(+IF(BD$29=#REF!,Milestone_Marker,IF(AND(BD$29&gt;#REF!,BD$29&lt;=#REF!+#REF!),$G$5,"")),"")</f>
        <v/>
      </c>
      <c r="BD92" s="37" t="str">
        <f ca="1">IFERROR(+IF(BE$29=#REF!,Milestone_Marker,IF(AND(BE$29&gt;#REF!,BE$29&lt;=#REF!+#REF!),$G$5,"")),"")</f>
        <v/>
      </c>
      <c r="BE92" s="37" t="str">
        <f ca="1">IFERROR(+IF(BF$29=#REF!,Milestone_Marker,IF(AND(BF$29&gt;#REF!,BF$29&lt;=#REF!+#REF!),$G$5,"")),"")</f>
        <v/>
      </c>
      <c r="BF92" s="37" t="str">
        <f ca="1">IFERROR(+IF(BG$29=#REF!,Milestone_Marker,IF(AND(BG$29&gt;#REF!,BG$29&lt;=#REF!+#REF!),$G$5,"")),"")</f>
        <v/>
      </c>
      <c r="BG92" s="37" t="str">
        <f ca="1">IFERROR(+IF(BH$29=#REF!,Milestone_Marker,IF(AND(BH$29&gt;#REF!,BH$29&lt;=#REF!+#REF!),$G$5,"")),"")</f>
        <v/>
      </c>
      <c r="BH92" s="37" t="str">
        <f ca="1">IFERROR(+IF(BI$29=#REF!,Milestone_Marker,IF(AND(BI$29&gt;#REF!,BI$29&lt;=#REF!+#REF!),$G$5,"")),"")</f>
        <v/>
      </c>
      <c r="BI92" s="37" t="str">
        <f ca="1">IFERROR(+IF(BJ$29=#REF!,Milestone_Marker,IF(AND(BJ$29&gt;#REF!,BJ$29&lt;=#REF!+#REF!),$G$5,"")),"")</f>
        <v/>
      </c>
      <c r="BJ92" s="37" t="str">
        <f ca="1">IFERROR(+IF(BK$29=#REF!,Milestone_Marker,IF(AND(BK$29&gt;#REF!,BK$29&lt;=#REF!+#REF!),$G$5,"")),"")</f>
        <v/>
      </c>
      <c r="BK92" s="37" t="str">
        <f ca="1">IFERROR(+IF(BL$29=#REF!,Milestone_Marker,IF(AND(BL$29&gt;#REF!,BL$29&lt;=#REF!+#REF!),$G$5,"")),"")</f>
        <v/>
      </c>
      <c r="BL92" s="37" t="str">
        <f ca="1">IFERROR(+IF(BM$29=#REF!,Milestone_Marker,IF(AND(BM$29&gt;#REF!,BM$29&lt;=#REF!+#REF!),$G$5,"")),"")</f>
        <v/>
      </c>
      <c r="BM92" s="37" t="str">
        <f ca="1">IFERROR(+IF(BN$29=#REF!,Milestone_Marker,IF(AND(BN$29&gt;#REF!,BN$29&lt;=#REF!+#REF!),$G$5,"")),"")</f>
        <v/>
      </c>
      <c r="BN92" s="37" t="str">
        <f ca="1">IFERROR(+IF(BO$29=#REF!,Milestone_Marker,IF(AND(BO$29&gt;#REF!,BO$29&lt;=#REF!+#REF!),$G$5,"")),"")</f>
        <v/>
      </c>
      <c r="BO92" s="37" t="str">
        <f ca="1">IFERROR(+IF(BP$29=#REF!,Milestone_Marker,IF(AND(BP$29&gt;#REF!,BP$29&lt;=#REF!+#REF!),$G$5,"")),"")</f>
        <v/>
      </c>
      <c r="BP92" s="37" t="str">
        <f ca="1">IFERROR(+IF(BQ$29=#REF!,Milestone_Marker,IF(AND(BQ$29&gt;#REF!,BQ$29&lt;=#REF!+#REF!),$G$5,"")),"")</f>
        <v/>
      </c>
      <c r="BQ92" s="37" t="str">
        <f ca="1">IFERROR(+IF(BR$29=#REF!,Milestone_Marker,IF(AND(BR$29&gt;#REF!,BR$29&lt;=#REF!+#REF!),$G$5,"")),"")</f>
        <v/>
      </c>
      <c r="BR92" s="37" t="str">
        <f ca="1">IFERROR(+IF(BS$29=#REF!,Milestone_Marker,IF(AND(BS$29&gt;#REF!,BS$29&lt;=#REF!+#REF!),$G$5,"")),"")</f>
        <v/>
      </c>
      <c r="BS92" s="37" t="str">
        <f ca="1">IFERROR(+IF(BT$29=#REF!,Milestone_Marker,IF(AND(BT$29&gt;#REF!,BT$29&lt;=#REF!+#REF!),$G$5,"")),"")</f>
        <v/>
      </c>
      <c r="BT92" s="37" t="str">
        <f ca="1">IFERROR(+IF(BU$29=#REF!,Milestone_Marker,IF(AND(BU$29&gt;#REF!,BU$29&lt;=#REF!+#REF!),$G$5,"")),"")</f>
        <v/>
      </c>
      <c r="BU92" s="37" t="str">
        <f ca="1">IFERROR(+IF(BV$29=#REF!,Milestone_Marker,IF(AND(BV$29&gt;#REF!,BV$29&lt;=#REF!+#REF!),$G$5,"")),"")</f>
        <v/>
      </c>
      <c r="BV92" s="37" t="str">
        <f ca="1">IFERROR(+IF(BW$29=#REF!,Milestone_Marker,IF(AND(BW$29&gt;#REF!,BW$29&lt;=#REF!+#REF!),$G$5,"")),"")</f>
        <v/>
      </c>
      <c r="BW92" s="37" t="str">
        <f ca="1">IFERROR(+IF(BX$29=#REF!,Milestone_Marker,IF(AND(BX$29&gt;#REF!,BX$29&lt;=#REF!+#REF!),$G$5,"")),"")</f>
        <v/>
      </c>
      <c r="BX92" s="37" t="str">
        <f ca="1">IFERROR(+IF(BY$29=#REF!,Milestone_Marker,IF(AND(BY$29&gt;#REF!,BY$29&lt;=#REF!+#REF!),$G$5,"")),"")</f>
        <v/>
      </c>
      <c r="BY92" s="37" t="str">
        <f ca="1">IFERROR(+IF(BZ$29=#REF!,Milestone_Marker,IF(AND(BZ$29&gt;#REF!,BZ$29&lt;=#REF!+#REF!),$G$5,"")),"")</f>
        <v/>
      </c>
      <c r="BZ92" s="37" t="str">
        <f ca="1">IFERROR(+IF(CA$29=#REF!,Milestone_Marker,IF(AND(CA$29&gt;#REF!,CA$29&lt;=#REF!+#REF!),$G$5,"")),"")</f>
        <v/>
      </c>
      <c r="CA92" s="37" t="str">
        <f ca="1">IFERROR(+IF(CB$29=#REF!,Milestone_Marker,IF(AND(CB$29&gt;#REF!,CB$29&lt;=#REF!+#REF!),$G$5,"")),"")</f>
        <v/>
      </c>
      <c r="CB92" s="37" t="str">
        <f ca="1">IFERROR(+IF(CC$29=#REF!,Milestone_Marker,IF(AND(CC$29&gt;#REF!,CC$29&lt;=#REF!+#REF!),$G$5,"")),"")</f>
        <v/>
      </c>
      <c r="CC92" s="37" t="str">
        <f ca="1">IFERROR(+IF(CD$29=#REF!,Milestone_Marker,IF(AND(CD$29&gt;#REF!,CD$29&lt;=#REF!+#REF!),$G$5,"")),"")</f>
        <v/>
      </c>
      <c r="CD92" s="37" t="str">
        <f ca="1">IFERROR(+IF(CE$29=#REF!,Milestone_Marker,IF(AND(CE$29&gt;#REF!,CE$29&lt;=#REF!+#REF!),$G$5,"")),"")</f>
        <v/>
      </c>
      <c r="CE92" s="37" t="str">
        <f ca="1">IFERROR(+IF(CF$29=#REF!,Milestone_Marker,IF(AND(CF$29&gt;#REF!,CF$29&lt;=#REF!+#REF!),$G$5,"")),"")</f>
        <v/>
      </c>
      <c r="CF92" s="37" t="str">
        <f ca="1">IFERROR(+IF(CG$29=#REF!,Milestone_Marker,IF(AND(CG$29&gt;#REF!,CG$29&lt;=#REF!+#REF!),$G$5,"")),"")</f>
        <v/>
      </c>
      <c r="CG92" s="37" t="str">
        <f ca="1">IFERROR(+IF(CH$29=#REF!,Milestone_Marker,IF(AND(CH$29&gt;#REF!,CH$29&lt;=#REF!+#REF!),$G$5,"")),"")</f>
        <v/>
      </c>
      <c r="CH92" s="37" t="str">
        <f ca="1">IFERROR(+IF(CI$29=#REF!,Milestone_Marker,IF(AND(CI$29&gt;#REF!,CI$29&lt;=#REF!+#REF!),$G$5,"")),"")</f>
        <v/>
      </c>
      <c r="CI92" s="37" t="str">
        <f ca="1">IFERROR(+IF(CJ$29=#REF!,Milestone_Marker,IF(AND(CJ$29&gt;#REF!,CJ$29&lt;=#REF!+#REF!),$G$5,"")),"")</f>
        <v/>
      </c>
      <c r="CJ92" s="37" t="str">
        <f ca="1">IFERROR(+IF(CK$29=#REF!,Milestone_Marker,IF(AND(CK$29&gt;#REF!,CK$29&lt;=#REF!+#REF!),$G$5,"")),"")</f>
        <v/>
      </c>
      <c r="CK92" s="37" t="str">
        <f ca="1">IFERROR(+IF(CL$29=#REF!,Milestone_Marker,IF(AND(CL$29&gt;#REF!,CL$29&lt;=#REF!+#REF!),$G$5,"")),"")</f>
        <v/>
      </c>
      <c r="CL92" s="37" t="str">
        <f ca="1">IFERROR(+IF(CM$29=#REF!,Milestone_Marker,IF(AND(CM$29&gt;#REF!,CM$29&lt;=#REF!+#REF!),$G$5,"")),"")</f>
        <v/>
      </c>
      <c r="CM92" s="37" t="str">
        <f ca="1">IFERROR(+IF(CN$29=#REF!,Milestone_Marker,IF(AND(CN$29&gt;#REF!,CN$29&lt;=#REF!+#REF!),$G$5,"")),"")</f>
        <v/>
      </c>
      <c r="CN92" s="37" t="str">
        <f ca="1">IFERROR(+IF(CO$29=#REF!,Milestone_Marker,IF(AND(CO$29&gt;#REF!,CO$29&lt;=#REF!+#REF!),$G$5,"")),"")</f>
        <v/>
      </c>
      <c r="CO92" s="37" t="str">
        <f ca="1">IFERROR(+IF(CP$29=#REF!,Milestone_Marker,IF(AND(CP$29&gt;#REF!,CP$29&lt;=#REF!+#REF!),$G$5,"")),"")</f>
        <v/>
      </c>
      <c r="CP92" s="37" t="str">
        <f ca="1">IFERROR(+IF(CQ$29=#REF!,Milestone_Marker,IF(AND(CQ$29&gt;#REF!,CQ$29&lt;=#REF!+#REF!),$G$5,"")),"")</f>
        <v/>
      </c>
      <c r="CQ92" s="37" t="str">
        <f ca="1">IFERROR(+IF(CR$29=#REF!,Milestone_Marker,IF(AND(CR$29&gt;#REF!,CR$29&lt;=#REF!+#REF!),$G$5,"")),"")</f>
        <v/>
      </c>
      <c r="CR92" s="37" t="str">
        <f ca="1">IFERROR(+IF(CS$29=#REF!,Milestone_Marker,IF(AND(CS$29&gt;#REF!,CS$29&lt;=#REF!+#REF!),$G$5,"")),"")</f>
        <v/>
      </c>
      <c r="CS92" s="37" t="str">
        <f ca="1">IFERROR(+IF(CT$29=#REF!,Milestone_Marker,IF(AND(CT$29&gt;#REF!,CT$29&lt;=#REF!+#REF!),$G$5,"")),"")</f>
        <v/>
      </c>
      <c r="CT92" s="37" t="str">
        <f ca="1">IFERROR(+IF(CU$29=#REF!,Milestone_Marker,IF(AND(CU$29&gt;#REF!,CU$29&lt;=#REF!+#REF!),$G$5,"")),"")</f>
        <v/>
      </c>
    </row>
    <row r="93" spans="1:125" ht="30" customHeight="1">
      <c r="P93" s="37" t="str">
        <f ca="1">IFERROR(+IF(Q$29=#REF!,Milestone_Marker,IF(AND(Q$29&gt;#REF!,Q$29&lt;=#REF!+#REF!),$G$5,"")),"")</f>
        <v/>
      </c>
      <c r="Q93" s="37" t="str">
        <f ca="1">IFERROR(+IF(R$29=#REF!,Milestone_Marker,IF(AND(R$29&gt;#REF!,R$29&lt;=#REF!+#REF!),$G$5,"")),"")</f>
        <v/>
      </c>
      <c r="R93" s="37" t="str">
        <f ca="1">IFERROR(+IF(S$29=#REF!,Milestone_Marker,IF(AND(S$29&gt;#REF!,S$29&lt;=#REF!+#REF!),$G$5,"")),"")</f>
        <v/>
      </c>
      <c r="S93" s="37" t="str">
        <f ca="1">IFERROR(+IF(T$29=#REF!,Milestone_Marker,IF(AND(T$29&gt;#REF!,T$29&lt;=#REF!+#REF!),$G$5,"")),"")</f>
        <v/>
      </c>
      <c r="T93" s="37" t="str">
        <f ca="1">IFERROR(+IF(U$29=#REF!,Milestone_Marker,IF(AND(U$29&gt;#REF!,U$29&lt;=#REF!+#REF!),$G$5,"")),"")</f>
        <v/>
      </c>
      <c r="U93" s="37" t="str">
        <f ca="1">IFERROR(+IF(V$29=#REF!,Milestone_Marker,IF(AND(V$29&gt;#REF!,V$29&lt;=#REF!+#REF!),$G$5,"")),"")</f>
        <v/>
      </c>
      <c r="V93" s="37" t="str">
        <f ca="1">IFERROR(+IF(W$29=#REF!,Milestone_Marker,IF(AND(W$29&gt;#REF!,W$29&lt;=#REF!+#REF!),$G$5,"")),"")</f>
        <v/>
      </c>
      <c r="W93" s="37" t="str">
        <f ca="1">IFERROR(+IF(X$29=#REF!,Milestone_Marker,IF(AND(X$29&gt;#REF!,X$29&lt;=#REF!+#REF!),$G$5,"")),"")</f>
        <v/>
      </c>
      <c r="X93" s="37" t="str">
        <f ca="1">IFERROR(+IF(Y$29=#REF!,Milestone_Marker,IF(AND(Y$29&gt;#REF!,Y$29&lt;=#REF!+#REF!),$G$5,"")),"")</f>
        <v/>
      </c>
      <c r="Y93" s="37" t="str">
        <f ca="1">IFERROR(+IF(Z$29=#REF!,Milestone_Marker,IF(AND(Z$29&gt;#REF!,Z$29&lt;=#REF!+#REF!),$G$5,"")),"")</f>
        <v/>
      </c>
      <c r="Z93" s="37" t="str">
        <f ca="1">IFERROR(+IF(AA$29=#REF!,Milestone_Marker,IF(AND(AA$29&gt;#REF!,AA$29&lt;=#REF!+#REF!),$G$5,"")),"")</f>
        <v/>
      </c>
      <c r="AA93" s="37" t="str">
        <f ca="1">IFERROR(+IF(AB$29=#REF!,Milestone_Marker,IF(AND(AB$29&gt;#REF!,AB$29&lt;=#REF!+#REF!),$G$5,"")),"")</f>
        <v/>
      </c>
      <c r="AB93" s="37" t="str">
        <f ca="1">IFERROR(+IF(AC$29=#REF!,Milestone_Marker,IF(AND(AC$29&gt;#REF!,AC$29&lt;=#REF!+#REF!),$G$5,"")),"")</f>
        <v/>
      </c>
      <c r="AC93" s="37" t="str">
        <f ca="1">IFERROR(+IF(AD$29=#REF!,Milestone_Marker,IF(AND(AD$29&gt;#REF!,AD$29&lt;=#REF!+#REF!),$G$5,"")),"")</f>
        <v/>
      </c>
      <c r="AD93" s="37" t="str">
        <f ca="1">IFERROR(+IF(AE$29=#REF!,Milestone_Marker,IF(AND(AE$29&gt;#REF!,AE$29&lt;=#REF!+#REF!),$G$5,"")),"")</f>
        <v/>
      </c>
      <c r="AE93" s="37" t="str">
        <f ca="1">IFERROR(+IF(AF$29=#REF!,Milestone_Marker,IF(AND(AF$29&gt;#REF!,AF$29&lt;=#REF!+#REF!),$G$5,"")),"")</f>
        <v/>
      </c>
      <c r="AF93" s="37" t="str">
        <f ca="1">IFERROR(+IF(AG$29=#REF!,Milestone_Marker,IF(AND(AG$29&gt;#REF!,AG$29&lt;=#REF!+#REF!),$G$5,"")),"")</f>
        <v/>
      </c>
      <c r="AG93" s="37" t="str">
        <f ca="1">IFERROR(+IF(AH$29=#REF!,Milestone_Marker,IF(AND(AH$29&gt;#REF!,AH$29&lt;=#REF!+#REF!),$G$5,"")),"")</f>
        <v/>
      </c>
      <c r="AH93" s="37" t="str">
        <f ca="1">IFERROR(+IF(AI$29=#REF!,Milestone_Marker,IF(AND(AI$29&gt;#REF!,AI$29&lt;=#REF!+#REF!),$G$5,"")),"")</f>
        <v/>
      </c>
      <c r="AI93" s="37" t="str">
        <f ca="1">IFERROR(+IF(AJ$29=#REF!,Milestone_Marker,IF(AND(AJ$29&gt;#REF!,AJ$29&lt;=#REF!+#REF!),$G$5,"")),"")</f>
        <v/>
      </c>
      <c r="AJ93" s="37" t="str">
        <f ca="1">IFERROR(+IF(AK$29=#REF!,Milestone_Marker,IF(AND(AK$29&gt;#REF!,AK$29&lt;=#REF!+#REF!),$G$5,"")),"")</f>
        <v/>
      </c>
      <c r="AK93" s="37" t="str">
        <f ca="1">IFERROR(+IF(AL$29=#REF!,Milestone_Marker,IF(AND(AL$29&gt;#REF!,AL$29&lt;=#REF!+#REF!),$G$5,"")),"")</f>
        <v/>
      </c>
      <c r="AL93" s="37" t="str">
        <f ca="1">IFERROR(+IF(AM$29=#REF!,Milestone_Marker,IF(AND(AM$29&gt;#REF!,AM$29&lt;=#REF!+#REF!),$G$5,"")),"")</f>
        <v/>
      </c>
      <c r="AM93" s="37" t="str">
        <f ca="1">IFERROR(+IF(AN$29=#REF!,Milestone_Marker,IF(AND(AN$29&gt;#REF!,AN$29&lt;=#REF!+#REF!),$G$5,"")),"")</f>
        <v/>
      </c>
      <c r="AN93" s="37" t="str">
        <f ca="1">IFERROR(+IF(AO$29=#REF!,Milestone_Marker,IF(AND(AO$29&gt;#REF!,AO$29&lt;=#REF!+#REF!),$G$5,"")),"")</f>
        <v/>
      </c>
      <c r="AO93" s="37" t="str">
        <f ca="1">IFERROR(+IF(AP$29=#REF!,Milestone_Marker,IF(AND(AP$29&gt;#REF!,AP$29&lt;=#REF!+#REF!),$G$5,"")),"")</f>
        <v/>
      </c>
      <c r="AP93" s="37" t="str">
        <f ca="1">IFERROR(+IF(AQ$29=#REF!,Milestone_Marker,IF(AND(AQ$29&gt;#REF!,AQ$29&lt;=#REF!+#REF!),$G$5,"")),"")</f>
        <v/>
      </c>
      <c r="AQ93" s="37" t="str">
        <f ca="1">IFERROR(+IF(AR$29=#REF!,Milestone_Marker,IF(AND(AR$29&gt;#REF!,AR$29&lt;=#REF!+#REF!),$G$5,"")),"")</f>
        <v/>
      </c>
      <c r="AR93" s="37" t="str">
        <f ca="1">IFERROR(+IF(AS$29=#REF!,Milestone_Marker,IF(AND(AS$29&gt;#REF!,AS$29&lt;=#REF!+#REF!),$G$5,"")),"")</f>
        <v/>
      </c>
      <c r="AS93" s="37" t="str">
        <f ca="1">IFERROR(+IF(AT$29=#REF!,Milestone_Marker,IF(AND(AT$29&gt;#REF!,AT$29&lt;=#REF!+#REF!),$G$5,"")),"")</f>
        <v/>
      </c>
      <c r="AT93" s="37" t="str">
        <f ca="1">IFERROR(+IF(AU$29=#REF!,Milestone_Marker,IF(AND(AU$29&gt;#REF!,AU$29&lt;=#REF!+#REF!),$G$5,"")),"")</f>
        <v/>
      </c>
      <c r="AU93" s="37" t="str">
        <f ca="1">IFERROR(+IF(AV$29=#REF!,Milestone_Marker,IF(AND(AV$29&gt;#REF!,AV$29&lt;=#REF!+#REF!),$G$5,"")),"")</f>
        <v/>
      </c>
      <c r="AV93" s="37" t="str">
        <f ca="1">IFERROR(+IF(AW$29=#REF!,Milestone_Marker,IF(AND(AW$29&gt;#REF!,AW$29&lt;=#REF!+#REF!),$G$5,"")),"")</f>
        <v/>
      </c>
      <c r="AW93" s="37" t="str">
        <f ca="1">IFERROR(+IF(AX$29=#REF!,Milestone_Marker,IF(AND(AX$29&gt;#REF!,AX$29&lt;=#REF!+#REF!),$G$5,"")),"")</f>
        <v/>
      </c>
      <c r="AX93" s="37" t="str">
        <f ca="1">IFERROR(+IF(AY$29=#REF!,Milestone_Marker,IF(AND(AY$29&gt;#REF!,AY$29&lt;=#REF!+#REF!),$G$5,"")),"")</f>
        <v/>
      </c>
      <c r="AY93" s="37" t="str">
        <f ca="1">IFERROR(+IF(AZ$29=#REF!,Milestone_Marker,IF(AND(AZ$29&gt;#REF!,AZ$29&lt;=#REF!+#REF!),$G$5,"")),"")</f>
        <v/>
      </c>
      <c r="AZ93" s="37" t="str">
        <f ca="1">IFERROR(+IF(BA$29=#REF!,Milestone_Marker,IF(AND(BA$29&gt;#REF!,BA$29&lt;=#REF!+#REF!),$G$5,"")),"")</f>
        <v/>
      </c>
      <c r="BA93" s="37" t="str">
        <f ca="1">IFERROR(+IF(BB$29=#REF!,Milestone_Marker,IF(AND(BB$29&gt;#REF!,BB$29&lt;=#REF!+#REF!),$G$5,"")),"")</f>
        <v/>
      </c>
      <c r="BB93" s="37" t="str">
        <f ca="1">IFERROR(+IF(BC$29=#REF!,Milestone_Marker,IF(AND(BC$29&gt;#REF!,BC$29&lt;=#REF!+#REF!),$G$5,"")),"")</f>
        <v/>
      </c>
      <c r="BC93" s="37" t="str">
        <f ca="1">IFERROR(+IF(BD$29=#REF!,Milestone_Marker,IF(AND(BD$29&gt;#REF!,BD$29&lt;=#REF!+#REF!),$G$5,"")),"")</f>
        <v/>
      </c>
      <c r="BD93" s="37" t="str">
        <f ca="1">IFERROR(+IF(BE$29=#REF!,Milestone_Marker,IF(AND(BE$29&gt;#REF!,BE$29&lt;=#REF!+#REF!),$G$5,"")),"")</f>
        <v/>
      </c>
      <c r="BE93" s="37" t="str">
        <f ca="1">IFERROR(+IF(BF$29=#REF!,Milestone_Marker,IF(AND(BF$29&gt;#REF!,BF$29&lt;=#REF!+#REF!),$G$5,"")),"")</f>
        <v/>
      </c>
      <c r="BF93" s="37" t="str">
        <f ca="1">IFERROR(+IF(BG$29=#REF!,Milestone_Marker,IF(AND(BG$29&gt;#REF!,BG$29&lt;=#REF!+#REF!),$G$5,"")),"")</f>
        <v/>
      </c>
      <c r="BG93" s="37" t="str">
        <f ca="1">IFERROR(+IF(BH$29=#REF!,Milestone_Marker,IF(AND(BH$29&gt;#REF!,BH$29&lt;=#REF!+#REF!),$G$5,"")),"")</f>
        <v/>
      </c>
      <c r="BH93" s="37" t="str">
        <f ca="1">IFERROR(+IF(BI$29=#REF!,Milestone_Marker,IF(AND(BI$29&gt;#REF!,BI$29&lt;=#REF!+#REF!),$G$5,"")),"")</f>
        <v/>
      </c>
      <c r="BI93" s="37" t="str">
        <f ca="1">IFERROR(+IF(BJ$29=#REF!,Milestone_Marker,IF(AND(BJ$29&gt;#REF!,BJ$29&lt;=#REF!+#REF!),$G$5,"")),"")</f>
        <v/>
      </c>
      <c r="BJ93" s="37" t="str">
        <f ca="1">IFERROR(+IF(BK$29=#REF!,Milestone_Marker,IF(AND(BK$29&gt;#REF!,BK$29&lt;=#REF!+#REF!),$G$5,"")),"")</f>
        <v/>
      </c>
      <c r="BK93" s="37" t="str">
        <f ca="1">IFERROR(+IF(BL$29=#REF!,Milestone_Marker,IF(AND(BL$29&gt;#REF!,BL$29&lt;=#REF!+#REF!),$G$5,"")),"")</f>
        <v/>
      </c>
      <c r="BL93" s="37" t="str">
        <f ca="1">IFERROR(+IF(BM$29=#REF!,Milestone_Marker,IF(AND(BM$29&gt;#REF!,BM$29&lt;=#REF!+#REF!),$G$5,"")),"")</f>
        <v/>
      </c>
      <c r="BM93" s="37" t="str">
        <f ca="1">IFERROR(+IF(BN$29=#REF!,Milestone_Marker,IF(AND(BN$29&gt;#REF!,BN$29&lt;=#REF!+#REF!),$G$5,"")),"")</f>
        <v/>
      </c>
      <c r="BN93" s="37" t="str">
        <f ca="1">IFERROR(+IF(BO$29=#REF!,Milestone_Marker,IF(AND(BO$29&gt;#REF!,BO$29&lt;=#REF!+#REF!),$G$5,"")),"")</f>
        <v/>
      </c>
      <c r="BO93" s="37" t="str">
        <f ca="1">IFERROR(+IF(BP$29=#REF!,Milestone_Marker,IF(AND(BP$29&gt;#REF!,BP$29&lt;=#REF!+#REF!),$G$5,"")),"")</f>
        <v/>
      </c>
      <c r="BP93" s="37" t="str">
        <f ca="1">IFERROR(+IF(BQ$29=#REF!,Milestone_Marker,IF(AND(BQ$29&gt;#REF!,BQ$29&lt;=#REF!+#REF!),$G$5,"")),"")</f>
        <v/>
      </c>
      <c r="BQ93" s="37" t="str">
        <f ca="1">IFERROR(+IF(BR$29=#REF!,Milestone_Marker,IF(AND(BR$29&gt;#REF!,BR$29&lt;=#REF!+#REF!),$G$5,"")),"")</f>
        <v/>
      </c>
      <c r="BR93" s="37" t="str">
        <f ca="1">IFERROR(+IF(BS$29=#REF!,Milestone_Marker,IF(AND(BS$29&gt;#REF!,BS$29&lt;=#REF!+#REF!),$G$5,"")),"")</f>
        <v/>
      </c>
      <c r="BS93" s="37" t="str">
        <f ca="1">IFERROR(+IF(BT$29=#REF!,Milestone_Marker,IF(AND(BT$29&gt;#REF!,BT$29&lt;=#REF!+#REF!),$G$5,"")),"")</f>
        <v/>
      </c>
      <c r="BT93" s="37" t="str">
        <f ca="1">IFERROR(+IF(BU$29=#REF!,Milestone_Marker,IF(AND(BU$29&gt;#REF!,BU$29&lt;=#REF!+#REF!),$G$5,"")),"")</f>
        <v/>
      </c>
      <c r="BU93" s="37" t="str">
        <f ca="1">IFERROR(+IF(BV$29=#REF!,Milestone_Marker,IF(AND(BV$29&gt;#REF!,BV$29&lt;=#REF!+#REF!),$G$5,"")),"")</f>
        <v/>
      </c>
      <c r="BV93" s="37" t="str">
        <f ca="1">IFERROR(+IF(BW$29=#REF!,Milestone_Marker,IF(AND(BW$29&gt;#REF!,BW$29&lt;=#REF!+#REF!),$G$5,"")),"")</f>
        <v/>
      </c>
      <c r="BW93" s="37" t="str">
        <f ca="1">IFERROR(+IF(BX$29=#REF!,Milestone_Marker,IF(AND(BX$29&gt;#REF!,BX$29&lt;=#REF!+#REF!),$G$5,"")),"")</f>
        <v/>
      </c>
      <c r="BX93" s="37" t="str">
        <f ca="1">IFERROR(+IF(BY$29=#REF!,Milestone_Marker,IF(AND(BY$29&gt;#REF!,BY$29&lt;=#REF!+#REF!),$G$5,"")),"")</f>
        <v/>
      </c>
      <c r="BY93" s="37" t="str">
        <f ca="1">IFERROR(+IF(BZ$29=#REF!,Milestone_Marker,IF(AND(BZ$29&gt;#REF!,BZ$29&lt;=#REF!+#REF!),$G$5,"")),"")</f>
        <v/>
      </c>
      <c r="BZ93" s="37" t="str">
        <f ca="1">IFERROR(+IF(CA$29=#REF!,Milestone_Marker,IF(AND(CA$29&gt;#REF!,CA$29&lt;=#REF!+#REF!),$G$5,"")),"")</f>
        <v/>
      </c>
      <c r="CA93" s="37" t="str">
        <f ca="1">IFERROR(+IF(CB$29=#REF!,Milestone_Marker,IF(AND(CB$29&gt;#REF!,CB$29&lt;=#REF!+#REF!),$G$5,"")),"")</f>
        <v/>
      </c>
      <c r="CB93" s="37" t="str">
        <f ca="1">IFERROR(+IF(CC$29=#REF!,Milestone_Marker,IF(AND(CC$29&gt;#REF!,CC$29&lt;=#REF!+#REF!),$G$5,"")),"")</f>
        <v/>
      </c>
      <c r="CC93" s="37" t="str">
        <f ca="1">IFERROR(+IF(CD$29=#REF!,Milestone_Marker,IF(AND(CD$29&gt;#REF!,CD$29&lt;=#REF!+#REF!),$G$5,"")),"")</f>
        <v/>
      </c>
      <c r="CD93" s="37" t="str">
        <f ca="1">IFERROR(+IF(CE$29=#REF!,Milestone_Marker,IF(AND(CE$29&gt;#REF!,CE$29&lt;=#REF!+#REF!),$G$5,"")),"")</f>
        <v/>
      </c>
      <c r="CE93" s="37" t="str">
        <f ca="1">IFERROR(+IF(CF$29=#REF!,Milestone_Marker,IF(AND(CF$29&gt;#REF!,CF$29&lt;=#REF!+#REF!),$G$5,"")),"")</f>
        <v/>
      </c>
      <c r="CF93" s="37" t="str">
        <f ca="1">IFERROR(+IF(CG$29=#REF!,Milestone_Marker,IF(AND(CG$29&gt;#REF!,CG$29&lt;=#REF!+#REF!),$G$5,"")),"")</f>
        <v/>
      </c>
      <c r="CG93" s="37" t="str">
        <f ca="1">IFERROR(+IF(CH$29=#REF!,Milestone_Marker,IF(AND(CH$29&gt;#REF!,CH$29&lt;=#REF!+#REF!),$G$5,"")),"")</f>
        <v/>
      </c>
      <c r="CH93" s="37" t="str">
        <f ca="1">IFERROR(+IF(CI$29=#REF!,Milestone_Marker,IF(AND(CI$29&gt;#REF!,CI$29&lt;=#REF!+#REF!),$G$5,"")),"")</f>
        <v/>
      </c>
      <c r="CI93" s="37" t="str">
        <f ca="1">IFERROR(+IF(CJ$29=#REF!,Milestone_Marker,IF(AND(CJ$29&gt;#REF!,CJ$29&lt;=#REF!+#REF!),$G$5,"")),"")</f>
        <v/>
      </c>
      <c r="CJ93" s="37" t="str">
        <f ca="1">IFERROR(+IF(CK$29=#REF!,Milestone_Marker,IF(AND(CK$29&gt;#REF!,CK$29&lt;=#REF!+#REF!),$G$5,"")),"")</f>
        <v/>
      </c>
      <c r="CK93" s="37" t="str">
        <f ca="1">IFERROR(+IF(CL$29=#REF!,Milestone_Marker,IF(AND(CL$29&gt;#REF!,CL$29&lt;=#REF!+#REF!),$G$5,"")),"")</f>
        <v/>
      </c>
      <c r="CL93" s="37" t="str">
        <f ca="1">IFERROR(+IF(CM$29=#REF!,Milestone_Marker,IF(AND(CM$29&gt;#REF!,CM$29&lt;=#REF!+#REF!),$G$5,"")),"")</f>
        <v/>
      </c>
      <c r="CM93" s="37" t="str">
        <f ca="1">IFERROR(+IF(CN$29=#REF!,Milestone_Marker,IF(AND(CN$29&gt;#REF!,CN$29&lt;=#REF!+#REF!),$G$5,"")),"")</f>
        <v/>
      </c>
      <c r="CN93" s="37" t="str">
        <f ca="1">IFERROR(+IF(CO$29=#REF!,Milestone_Marker,IF(AND(CO$29&gt;#REF!,CO$29&lt;=#REF!+#REF!),$G$5,"")),"")</f>
        <v/>
      </c>
      <c r="CO93" s="37" t="str">
        <f ca="1">IFERROR(+IF(CP$29=#REF!,Milestone_Marker,IF(AND(CP$29&gt;#REF!,CP$29&lt;=#REF!+#REF!),$G$5,"")),"")</f>
        <v/>
      </c>
      <c r="CP93" s="37" t="str">
        <f ca="1">IFERROR(+IF(CQ$29=#REF!,Milestone_Marker,IF(AND(CQ$29&gt;#REF!,CQ$29&lt;=#REF!+#REF!),$G$5,"")),"")</f>
        <v/>
      </c>
      <c r="CQ93" s="37" t="str">
        <f ca="1">IFERROR(+IF(CR$29=#REF!,Milestone_Marker,IF(AND(CR$29&gt;#REF!,CR$29&lt;=#REF!+#REF!),$G$5,"")),"")</f>
        <v/>
      </c>
      <c r="CR93" s="37" t="str">
        <f ca="1">IFERROR(+IF(CS$29=#REF!,Milestone_Marker,IF(AND(CS$29&gt;#REF!,CS$29&lt;=#REF!+#REF!),$G$5,"")),"")</f>
        <v/>
      </c>
      <c r="CS93" s="37" t="str">
        <f ca="1">IFERROR(+IF(CT$29=#REF!,Milestone_Marker,IF(AND(CT$29&gt;#REF!,CT$29&lt;=#REF!+#REF!),$G$5,"")),"")</f>
        <v/>
      </c>
      <c r="CT93" s="37" t="str">
        <f ca="1">IFERROR(+IF(CU$29=#REF!,Milestone_Marker,IF(AND(CU$29&gt;#REF!,CU$29&lt;=#REF!+#REF!),$G$5,"")),"")</f>
        <v/>
      </c>
    </row>
    <row r="94" spans="1:125" ht="30" customHeight="1">
      <c r="P94" s="37" t="str">
        <f ca="1">IFERROR(+IF(Q$29=#REF!,Milestone_Marker,IF(AND(Q$29&gt;#REF!,Q$29&lt;=#REF!+#REF!),$G$5,"")),"")</f>
        <v/>
      </c>
      <c r="Q94" s="37" t="str">
        <f ca="1">IFERROR(+IF(R$29=#REF!,Milestone_Marker,IF(AND(R$29&gt;#REF!,R$29&lt;=#REF!+#REF!),$G$5,"")),"")</f>
        <v/>
      </c>
      <c r="R94" s="37" t="str">
        <f ca="1">IFERROR(+IF(S$29=#REF!,Milestone_Marker,IF(AND(S$29&gt;#REF!,S$29&lt;=#REF!+#REF!),$G$5,"")),"")</f>
        <v/>
      </c>
      <c r="S94" s="37" t="str">
        <f ca="1">IFERROR(+IF(T$29=#REF!,Milestone_Marker,IF(AND(T$29&gt;#REF!,T$29&lt;=#REF!+#REF!),$G$5,"")),"")</f>
        <v/>
      </c>
      <c r="T94" s="37" t="str">
        <f ca="1">IFERROR(+IF(U$29=#REF!,Milestone_Marker,IF(AND(U$29&gt;#REF!,U$29&lt;=#REF!+#REF!),$G$5,"")),"")</f>
        <v/>
      </c>
      <c r="U94" s="37" t="str">
        <f ca="1">IFERROR(+IF(V$29=#REF!,Milestone_Marker,IF(AND(V$29&gt;#REF!,V$29&lt;=#REF!+#REF!),$G$5,"")),"")</f>
        <v/>
      </c>
      <c r="V94" s="37" t="str">
        <f ca="1">IFERROR(+IF(W$29=#REF!,Milestone_Marker,IF(AND(W$29&gt;#REF!,W$29&lt;=#REF!+#REF!),$G$5,"")),"")</f>
        <v/>
      </c>
      <c r="W94" s="37" t="str">
        <f ca="1">IFERROR(+IF(X$29=#REF!,Milestone_Marker,IF(AND(X$29&gt;#REF!,X$29&lt;=#REF!+#REF!),$G$5,"")),"")</f>
        <v/>
      </c>
      <c r="X94" s="37" t="str">
        <f ca="1">IFERROR(+IF(Y$29=#REF!,Milestone_Marker,IF(AND(Y$29&gt;#REF!,Y$29&lt;=#REF!+#REF!),$G$5,"")),"")</f>
        <v/>
      </c>
      <c r="Y94" s="37" t="str">
        <f ca="1">IFERROR(+IF(Z$29=#REF!,Milestone_Marker,IF(AND(Z$29&gt;#REF!,Z$29&lt;=#REF!+#REF!),$G$5,"")),"")</f>
        <v/>
      </c>
      <c r="Z94" s="37" t="str">
        <f ca="1">IFERROR(+IF(AA$29=#REF!,Milestone_Marker,IF(AND(AA$29&gt;#REF!,AA$29&lt;=#REF!+#REF!),$G$5,"")),"")</f>
        <v/>
      </c>
      <c r="AA94" s="37" t="str">
        <f ca="1">IFERROR(+IF(AB$29=#REF!,Milestone_Marker,IF(AND(AB$29&gt;#REF!,AB$29&lt;=#REF!+#REF!),$G$5,"")),"")</f>
        <v/>
      </c>
      <c r="AB94" s="37" t="str">
        <f ca="1">IFERROR(+IF(AC$29=#REF!,Milestone_Marker,IF(AND(AC$29&gt;#REF!,AC$29&lt;=#REF!+#REF!),$G$5,"")),"")</f>
        <v/>
      </c>
      <c r="AC94" s="37" t="str">
        <f ca="1">IFERROR(+IF(AD$29=#REF!,Milestone_Marker,IF(AND(AD$29&gt;#REF!,AD$29&lt;=#REF!+#REF!),$G$5,"")),"")</f>
        <v/>
      </c>
      <c r="AD94" s="37" t="str">
        <f ca="1">IFERROR(+IF(AE$29=#REF!,Milestone_Marker,IF(AND(AE$29&gt;#REF!,AE$29&lt;=#REF!+#REF!),$G$5,"")),"")</f>
        <v/>
      </c>
      <c r="AE94" s="37" t="str">
        <f ca="1">IFERROR(+IF(AF$29=#REF!,Milestone_Marker,IF(AND(AF$29&gt;#REF!,AF$29&lt;=#REF!+#REF!),$G$5,"")),"")</f>
        <v/>
      </c>
      <c r="AF94" s="37" t="str">
        <f ca="1">IFERROR(+IF(AG$29=#REF!,Milestone_Marker,IF(AND(AG$29&gt;#REF!,AG$29&lt;=#REF!+#REF!),$G$5,"")),"")</f>
        <v/>
      </c>
      <c r="AG94" s="37" t="str">
        <f ca="1">IFERROR(+IF(AH$29=#REF!,Milestone_Marker,IF(AND(AH$29&gt;#REF!,AH$29&lt;=#REF!+#REF!),$G$5,"")),"")</f>
        <v/>
      </c>
      <c r="AH94" s="37" t="str">
        <f ca="1">IFERROR(+IF(AI$29=#REF!,Milestone_Marker,IF(AND(AI$29&gt;#REF!,AI$29&lt;=#REF!+#REF!),$G$5,"")),"")</f>
        <v/>
      </c>
      <c r="AI94" s="37" t="str">
        <f ca="1">IFERROR(+IF(AJ$29=#REF!,Milestone_Marker,IF(AND(AJ$29&gt;#REF!,AJ$29&lt;=#REF!+#REF!),$G$5,"")),"")</f>
        <v/>
      </c>
      <c r="AJ94" s="37" t="str">
        <f ca="1">IFERROR(+IF(AK$29=#REF!,Milestone_Marker,IF(AND(AK$29&gt;#REF!,AK$29&lt;=#REF!+#REF!),$G$5,"")),"")</f>
        <v/>
      </c>
      <c r="AK94" s="37" t="str">
        <f ca="1">IFERROR(+IF(AL$29=#REF!,Milestone_Marker,IF(AND(AL$29&gt;#REF!,AL$29&lt;=#REF!+#REF!),$G$5,"")),"")</f>
        <v/>
      </c>
      <c r="AL94" s="37" t="str">
        <f ca="1">IFERROR(+IF(AM$29=#REF!,Milestone_Marker,IF(AND(AM$29&gt;#REF!,AM$29&lt;=#REF!+#REF!),$G$5,"")),"")</f>
        <v/>
      </c>
      <c r="AM94" s="37" t="str">
        <f ca="1">IFERROR(+IF(AN$29=#REF!,Milestone_Marker,IF(AND(AN$29&gt;#REF!,AN$29&lt;=#REF!+#REF!),$G$5,"")),"")</f>
        <v/>
      </c>
      <c r="AN94" s="37" t="str">
        <f ca="1">IFERROR(+IF(AO$29=#REF!,Milestone_Marker,IF(AND(AO$29&gt;#REF!,AO$29&lt;=#REF!+#REF!),$G$5,"")),"")</f>
        <v/>
      </c>
      <c r="AO94" s="37" t="str">
        <f ca="1">IFERROR(+IF(AP$29=#REF!,Milestone_Marker,IF(AND(AP$29&gt;#REF!,AP$29&lt;=#REF!+#REF!),$G$5,"")),"")</f>
        <v/>
      </c>
      <c r="AP94" s="37" t="str">
        <f ca="1">IFERROR(+IF(AQ$29=#REF!,Milestone_Marker,IF(AND(AQ$29&gt;#REF!,AQ$29&lt;=#REF!+#REF!),$G$5,"")),"")</f>
        <v/>
      </c>
      <c r="AQ94" s="37" t="str">
        <f ca="1">IFERROR(+IF(AR$29=#REF!,Milestone_Marker,IF(AND(AR$29&gt;#REF!,AR$29&lt;=#REF!+#REF!),$G$5,"")),"")</f>
        <v/>
      </c>
      <c r="AR94" s="37" t="str">
        <f ca="1">IFERROR(+IF(AS$29=#REF!,Milestone_Marker,IF(AND(AS$29&gt;#REF!,AS$29&lt;=#REF!+#REF!),$G$5,"")),"")</f>
        <v/>
      </c>
      <c r="AS94" s="37" t="str">
        <f ca="1">IFERROR(+IF(AT$29=#REF!,Milestone_Marker,IF(AND(AT$29&gt;#REF!,AT$29&lt;=#REF!+#REF!),$G$5,"")),"")</f>
        <v/>
      </c>
      <c r="AT94" s="37" t="str">
        <f ca="1">IFERROR(+IF(AU$29=#REF!,Milestone_Marker,IF(AND(AU$29&gt;#REF!,AU$29&lt;=#REF!+#REF!),$G$5,"")),"")</f>
        <v/>
      </c>
      <c r="AU94" s="37" t="str">
        <f ca="1">IFERROR(+IF(AV$29=#REF!,Milestone_Marker,IF(AND(AV$29&gt;#REF!,AV$29&lt;=#REF!+#REF!),$G$5,"")),"")</f>
        <v/>
      </c>
      <c r="AV94" s="37" t="str">
        <f ca="1">IFERROR(+IF(AW$29=#REF!,Milestone_Marker,IF(AND(AW$29&gt;#REF!,AW$29&lt;=#REF!+#REF!),$G$5,"")),"")</f>
        <v/>
      </c>
      <c r="AW94" s="37" t="str">
        <f ca="1">IFERROR(+IF(AX$29=#REF!,Milestone_Marker,IF(AND(AX$29&gt;#REF!,AX$29&lt;=#REF!+#REF!),$G$5,"")),"")</f>
        <v/>
      </c>
      <c r="AX94" s="37" t="str">
        <f ca="1">IFERROR(+IF(AY$29=#REF!,Milestone_Marker,IF(AND(AY$29&gt;#REF!,AY$29&lt;=#REF!+#REF!),$G$5,"")),"")</f>
        <v/>
      </c>
      <c r="AY94" s="37" t="str">
        <f ca="1">IFERROR(+IF(AZ$29=#REF!,Milestone_Marker,IF(AND(AZ$29&gt;#REF!,AZ$29&lt;=#REF!+#REF!),$G$5,"")),"")</f>
        <v/>
      </c>
      <c r="AZ94" s="37" t="str">
        <f ca="1">IFERROR(+IF(BA$29=#REF!,Milestone_Marker,IF(AND(BA$29&gt;#REF!,BA$29&lt;=#REF!+#REF!),$G$5,"")),"")</f>
        <v/>
      </c>
      <c r="BA94" s="37" t="str">
        <f ca="1">IFERROR(+IF(BB$29=#REF!,Milestone_Marker,IF(AND(BB$29&gt;#REF!,BB$29&lt;=#REF!+#REF!),$G$5,"")),"")</f>
        <v/>
      </c>
      <c r="BB94" s="37" t="str">
        <f ca="1">IFERROR(+IF(BC$29=#REF!,Milestone_Marker,IF(AND(BC$29&gt;#REF!,BC$29&lt;=#REF!+#REF!),$G$5,"")),"")</f>
        <v/>
      </c>
      <c r="BC94" s="37" t="str">
        <f ca="1">IFERROR(+IF(BD$29=#REF!,Milestone_Marker,IF(AND(BD$29&gt;#REF!,BD$29&lt;=#REF!+#REF!),$G$5,"")),"")</f>
        <v/>
      </c>
      <c r="BD94" s="37" t="str">
        <f ca="1">IFERROR(+IF(BE$29=#REF!,Milestone_Marker,IF(AND(BE$29&gt;#REF!,BE$29&lt;=#REF!+#REF!),$G$5,"")),"")</f>
        <v/>
      </c>
      <c r="BE94" s="37" t="str">
        <f ca="1">IFERROR(+IF(BF$29=#REF!,Milestone_Marker,IF(AND(BF$29&gt;#REF!,BF$29&lt;=#REF!+#REF!),$G$5,"")),"")</f>
        <v/>
      </c>
      <c r="BF94" s="37" t="str">
        <f ca="1">IFERROR(+IF(BG$29=#REF!,Milestone_Marker,IF(AND(BG$29&gt;#REF!,BG$29&lt;=#REF!+#REF!),$G$5,"")),"")</f>
        <v/>
      </c>
      <c r="BG94" s="37" t="str">
        <f ca="1">IFERROR(+IF(BH$29=#REF!,Milestone_Marker,IF(AND(BH$29&gt;#REF!,BH$29&lt;=#REF!+#REF!),$G$5,"")),"")</f>
        <v/>
      </c>
      <c r="BH94" s="37" t="str">
        <f ca="1">IFERROR(+IF(BI$29=#REF!,Milestone_Marker,IF(AND(BI$29&gt;#REF!,BI$29&lt;=#REF!+#REF!),$G$5,"")),"")</f>
        <v/>
      </c>
      <c r="BI94" s="37" t="str">
        <f ca="1">IFERROR(+IF(BJ$29=#REF!,Milestone_Marker,IF(AND(BJ$29&gt;#REF!,BJ$29&lt;=#REF!+#REF!),$G$5,"")),"")</f>
        <v/>
      </c>
      <c r="BJ94" s="37" t="str">
        <f ca="1">IFERROR(+IF(BK$29=#REF!,Milestone_Marker,IF(AND(BK$29&gt;#REF!,BK$29&lt;=#REF!+#REF!),$G$5,"")),"")</f>
        <v/>
      </c>
      <c r="BK94" s="37" t="str">
        <f ca="1">IFERROR(+IF(BL$29=#REF!,Milestone_Marker,IF(AND(BL$29&gt;#REF!,BL$29&lt;=#REF!+#REF!),$G$5,"")),"")</f>
        <v/>
      </c>
      <c r="BL94" s="37" t="str">
        <f ca="1">IFERROR(+IF(BM$29=#REF!,Milestone_Marker,IF(AND(BM$29&gt;#REF!,BM$29&lt;=#REF!+#REF!),$G$5,"")),"")</f>
        <v/>
      </c>
      <c r="BM94" s="37" t="str">
        <f ca="1">IFERROR(+IF(BN$29=#REF!,Milestone_Marker,IF(AND(BN$29&gt;#REF!,BN$29&lt;=#REF!+#REF!),$G$5,"")),"")</f>
        <v/>
      </c>
      <c r="BN94" s="37" t="str">
        <f ca="1">IFERROR(+IF(BO$29=#REF!,Milestone_Marker,IF(AND(BO$29&gt;#REF!,BO$29&lt;=#REF!+#REF!),$G$5,"")),"")</f>
        <v/>
      </c>
      <c r="BO94" s="37" t="str">
        <f ca="1">IFERROR(+IF(BP$29=#REF!,Milestone_Marker,IF(AND(BP$29&gt;#REF!,BP$29&lt;=#REF!+#REF!),$G$5,"")),"")</f>
        <v/>
      </c>
      <c r="BP94" s="37" t="str">
        <f ca="1">IFERROR(+IF(BQ$29=#REF!,Milestone_Marker,IF(AND(BQ$29&gt;#REF!,BQ$29&lt;=#REF!+#REF!),$G$5,"")),"")</f>
        <v/>
      </c>
      <c r="BQ94" s="37" t="str">
        <f ca="1">IFERROR(+IF(BR$29=#REF!,Milestone_Marker,IF(AND(BR$29&gt;#REF!,BR$29&lt;=#REF!+#REF!),$G$5,"")),"")</f>
        <v/>
      </c>
      <c r="BR94" s="37" t="str">
        <f ca="1">IFERROR(+IF(BS$29=#REF!,Milestone_Marker,IF(AND(BS$29&gt;#REF!,BS$29&lt;=#REF!+#REF!),$G$5,"")),"")</f>
        <v/>
      </c>
      <c r="BS94" s="37" t="str">
        <f ca="1">IFERROR(+IF(BT$29=#REF!,Milestone_Marker,IF(AND(BT$29&gt;#REF!,BT$29&lt;=#REF!+#REF!),$G$5,"")),"")</f>
        <v/>
      </c>
      <c r="BT94" s="37" t="str">
        <f ca="1">IFERROR(+IF(BU$29=#REF!,Milestone_Marker,IF(AND(BU$29&gt;#REF!,BU$29&lt;=#REF!+#REF!),$G$5,"")),"")</f>
        <v/>
      </c>
      <c r="BU94" s="37" t="str">
        <f ca="1">IFERROR(+IF(BV$29=#REF!,Milestone_Marker,IF(AND(BV$29&gt;#REF!,BV$29&lt;=#REF!+#REF!),$G$5,"")),"")</f>
        <v/>
      </c>
      <c r="BV94" s="37" t="str">
        <f ca="1">IFERROR(+IF(BW$29=#REF!,Milestone_Marker,IF(AND(BW$29&gt;#REF!,BW$29&lt;=#REF!+#REF!),$G$5,"")),"")</f>
        <v/>
      </c>
      <c r="BW94" s="37" t="str">
        <f ca="1">IFERROR(+IF(BX$29=#REF!,Milestone_Marker,IF(AND(BX$29&gt;#REF!,BX$29&lt;=#REF!+#REF!),$G$5,"")),"")</f>
        <v/>
      </c>
      <c r="BX94" s="37" t="str">
        <f ca="1">IFERROR(+IF(BY$29=#REF!,Milestone_Marker,IF(AND(BY$29&gt;#REF!,BY$29&lt;=#REF!+#REF!),$G$5,"")),"")</f>
        <v/>
      </c>
      <c r="BY94" s="37" t="str">
        <f ca="1">IFERROR(+IF(BZ$29=#REF!,Milestone_Marker,IF(AND(BZ$29&gt;#REF!,BZ$29&lt;=#REF!+#REF!),$G$5,"")),"")</f>
        <v/>
      </c>
      <c r="BZ94" s="37" t="str">
        <f ca="1">IFERROR(+IF(CA$29=#REF!,Milestone_Marker,IF(AND(CA$29&gt;#REF!,CA$29&lt;=#REF!+#REF!),$G$5,"")),"")</f>
        <v/>
      </c>
      <c r="CA94" s="37" t="str">
        <f ca="1">IFERROR(+IF(CB$29=#REF!,Milestone_Marker,IF(AND(CB$29&gt;#REF!,CB$29&lt;=#REF!+#REF!),$G$5,"")),"")</f>
        <v/>
      </c>
      <c r="CB94" s="37" t="str">
        <f ca="1">IFERROR(+IF(CC$29=#REF!,Milestone_Marker,IF(AND(CC$29&gt;#REF!,CC$29&lt;=#REF!+#REF!),$G$5,"")),"")</f>
        <v/>
      </c>
      <c r="CC94" s="37" t="str">
        <f ca="1">IFERROR(+IF(CD$29=#REF!,Milestone_Marker,IF(AND(CD$29&gt;#REF!,CD$29&lt;=#REF!+#REF!),$G$5,"")),"")</f>
        <v/>
      </c>
      <c r="CD94" s="37" t="str">
        <f ca="1">IFERROR(+IF(CE$29=#REF!,Milestone_Marker,IF(AND(CE$29&gt;#REF!,CE$29&lt;=#REF!+#REF!),$G$5,"")),"")</f>
        <v/>
      </c>
      <c r="CE94" s="37" t="str">
        <f ca="1">IFERROR(+IF(CF$29=#REF!,Milestone_Marker,IF(AND(CF$29&gt;#REF!,CF$29&lt;=#REF!+#REF!),$G$5,"")),"")</f>
        <v/>
      </c>
      <c r="CF94" s="37" t="str">
        <f ca="1">IFERROR(+IF(CG$29=#REF!,Milestone_Marker,IF(AND(CG$29&gt;#REF!,CG$29&lt;=#REF!+#REF!),$G$5,"")),"")</f>
        <v/>
      </c>
      <c r="CG94" s="37" t="str">
        <f ca="1">IFERROR(+IF(CH$29=#REF!,Milestone_Marker,IF(AND(CH$29&gt;#REF!,CH$29&lt;=#REF!+#REF!),$G$5,"")),"")</f>
        <v/>
      </c>
      <c r="CH94" s="37" t="str">
        <f ca="1">IFERROR(+IF(CI$29=#REF!,Milestone_Marker,IF(AND(CI$29&gt;#REF!,CI$29&lt;=#REF!+#REF!),$G$5,"")),"")</f>
        <v/>
      </c>
      <c r="CI94" s="37" t="str">
        <f ca="1">IFERROR(+IF(CJ$29=#REF!,Milestone_Marker,IF(AND(CJ$29&gt;#REF!,CJ$29&lt;=#REF!+#REF!),$G$5,"")),"")</f>
        <v/>
      </c>
      <c r="CJ94" s="37" t="str">
        <f ca="1">IFERROR(+IF(CK$29=#REF!,Milestone_Marker,IF(AND(CK$29&gt;#REF!,CK$29&lt;=#REF!+#REF!),$G$5,"")),"")</f>
        <v/>
      </c>
      <c r="CK94" s="37" t="str">
        <f ca="1">IFERROR(+IF(CL$29=#REF!,Milestone_Marker,IF(AND(CL$29&gt;#REF!,CL$29&lt;=#REF!+#REF!),$G$5,"")),"")</f>
        <v/>
      </c>
      <c r="CL94" s="37" t="str">
        <f ca="1">IFERROR(+IF(CM$29=#REF!,Milestone_Marker,IF(AND(CM$29&gt;#REF!,CM$29&lt;=#REF!+#REF!),$G$5,"")),"")</f>
        <v/>
      </c>
      <c r="CM94" s="37" t="str">
        <f ca="1">IFERROR(+IF(CN$29=#REF!,Milestone_Marker,IF(AND(CN$29&gt;#REF!,CN$29&lt;=#REF!+#REF!),$G$5,"")),"")</f>
        <v/>
      </c>
      <c r="CN94" s="37" t="str">
        <f ca="1">IFERROR(+IF(CO$29=#REF!,Milestone_Marker,IF(AND(CO$29&gt;#REF!,CO$29&lt;=#REF!+#REF!),$G$5,"")),"")</f>
        <v/>
      </c>
      <c r="CO94" s="37" t="str">
        <f ca="1">IFERROR(+IF(CP$29=#REF!,Milestone_Marker,IF(AND(CP$29&gt;#REF!,CP$29&lt;=#REF!+#REF!),$G$5,"")),"")</f>
        <v/>
      </c>
      <c r="CP94" s="37" t="str">
        <f ca="1">IFERROR(+IF(CQ$29=#REF!,Milestone_Marker,IF(AND(CQ$29&gt;#REF!,CQ$29&lt;=#REF!+#REF!),$G$5,"")),"")</f>
        <v/>
      </c>
      <c r="CQ94" s="37" t="str">
        <f ca="1">IFERROR(+IF(CR$29=#REF!,Milestone_Marker,IF(AND(CR$29&gt;#REF!,CR$29&lt;=#REF!+#REF!),$G$5,"")),"")</f>
        <v/>
      </c>
      <c r="CR94" s="37" t="str">
        <f ca="1">IFERROR(+IF(CS$29=#REF!,Milestone_Marker,IF(AND(CS$29&gt;#REF!,CS$29&lt;=#REF!+#REF!),$G$5,"")),"")</f>
        <v/>
      </c>
      <c r="CS94" s="37" t="str">
        <f ca="1">IFERROR(+IF(CT$29=#REF!,Milestone_Marker,IF(AND(CT$29&gt;#REF!,CT$29&lt;=#REF!+#REF!),$G$5,"")),"")</f>
        <v/>
      </c>
      <c r="CT94" s="37" t="str">
        <f ca="1">IFERROR(+IF(CU$29=#REF!,Milestone_Marker,IF(AND(CU$29&gt;#REF!,CU$29&lt;=#REF!+#REF!),$G$5,"")),"")</f>
        <v/>
      </c>
    </row>
    <row r="95" spans="1:125" ht="30" customHeight="1">
      <c r="P95" s="37" t="str">
        <f ca="1">IFERROR(+IF(Q$29=#REF!,Milestone_Marker,IF(AND(Q$29&gt;#REF!,Q$29&lt;=#REF!+#REF!),$G$5,"")),"")</f>
        <v/>
      </c>
      <c r="Q95" s="37" t="str">
        <f ca="1">IFERROR(+IF(R$29=#REF!,Milestone_Marker,IF(AND(R$29&gt;#REF!,R$29&lt;=#REF!+#REF!),$G$5,"")),"")</f>
        <v/>
      </c>
      <c r="R95" s="37" t="str">
        <f ca="1">IFERROR(+IF(S$29=#REF!,Milestone_Marker,IF(AND(S$29&gt;#REF!,S$29&lt;=#REF!+#REF!),$G$5,"")),"")</f>
        <v/>
      </c>
      <c r="S95" s="37" t="str">
        <f ca="1">IFERROR(+IF(T$29=#REF!,Milestone_Marker,IF(AND(T$29&gt;#REF!,T$29&lt;=#REF!+#REF!),$G$5,"")),"")</f>
        <v/>
      </c>
      <c r="T95" s="37" t="str">
        <f ca="1">IFERROR(+IF(U$29=#REF!,Milestone_Marker,IF(AND(U$29&gt;#REF!,U$29&lt;=#REF!+#REF!),$G$5,"")),"")</f>
        <v/>
      </c>
      <c r="U95" s="37" t="str">
        <f ca="1">IFERROR(+IF(V$29=#REF!,Milestone_Marker,IF(AND(V$29&gt;#REF!,V$29&lt;=#REF!+#REF!),$G$5,"")),"")</f>
        <v/>
      </c>
      <c r="V95" s="37" t="str">
        <f ca="1">IFERROR(+IF(W$29=#REF!,Milestone_Marker,IF(AND(W$29&gt;#REF!,W$29&lt;=#REF!+#REF!),$G$5,"")),"")</f>
        <v/>
      </c>
      <c r="W95" s="37" t="str">
        <f ca="1">IFERROR(+IF(X$29=#REF!,Milestone_Marker,IF(AND(X$29&gt;#REF!,X$29&lt;=#REF!+#REF!),$G$5,"")),"")</f>
        <v/>
      </c>
      <c r="X95" s="37" t="str">
        <f ca="1">IFERROR(+IF(Y$29=#REF!,Milestone_Marker,IF(AND(Y$29&gt;#REF!,Y$29&lt;=#REF!+#REF!),$G$5,"")),"")</f>
        <v/>
      </c>
      <c r="Y95" s="37" t="str">
        <f ca="1">IFERROR(+IF(Z$29=#REF!,Milestone_Marker,IF(AND(Z$29&gt;#REF!,Z$29&lt;=#REF!+#REF!),$G$5,"")),"")</f>
        <v/>
      </c>
      <c r="Z95" s="37" t="str">
        <f ca="1">IFERROR(+IF(AA$29=#REF!,Milestone_Marker,IF(AND(AA$29&gt;#REF!,AA$29&lt;=#REF!+#REF!),$G$5,"")),"")</f>
        <v/>
      </c>
      <c r="AA95" s="37" t="str">
        <f ca="1">IFERROR(+IF(AB$29=#REF!,Milestone_Marker,IF(AND(AB$29&gt;#REF!,AB$29&lt;=#REF!+#REF!),$G$5,"")),"")</f>
        <v/>
      </c>
      <c r="AB95" s="37" t="str">
        <f ca="1">IFERROR(+IF(AC$29=#REF!,Milestone_Marker,IF(AND(AC$29&gt;#REF!,AC$29&lt;=#REF!+#REF!),$G$5,"")),"")</f>
        <v/>
      </c>
      <c r="AC95" s="37" t="str">
        <f ca="1">IFERROR(+IF(AD$29=#REF!,Milestone_Marker,IF(AND(AD$29&gt;#REF!,AD$29&lt;=#REF!+#REF!),$G$5,"")),"")</f>
        <v/>
      </c>
      <c r="AD95" s="37" t="str">
        <f ca="1">IFERROR(+IF(AE$29=#REF!,Milestone_Marker,IF(AND(AE$29&gt;#REF!,AE$29&lt;=#REF!+#REF!),$G$5,"")),"")</f>
        <v/>
      </c>
      <c r="AE95" s="37" t="str">
        <f ca="1">IFERROR(+IF(AF$29=#REF!,Milestone_Marker,IF(AND(AF$29&gt;#REF!,AF$29&lt;=#REF!+#REF!),$G$5,"")),"")</f>
        <v/>
      </c>
      <c r="AF95" s="37" t="str">
        <f ca="1">IFERROR(+IF(AG$29=#REF!,Milestone_Marker,IF(AND(AG$29&gt;#REF!,AG$29&lt;=#REF!+#REF!),$G$5,"")),"")</f>
        <v/>
      </c>
      <c r="AG95" s="37" t="str">
        <f ca="1">IFERROR(+IF(AH$29=#REF!,Milestone_Marker,IF(AND(AH$29&gt;#REF!,AH$29&lt;=#REF!+#REF!),$G$5,"")),"")</f>
        <v/>
      </c>
      <c r="AH95" s="37" t="str">
        <f ca="1">IFERROR(+IF(AI$29=#REF!,Milestone_Marker,IF(AND(AI$29&gt;#REF!,AI$29&lt;=#REF!+#REF!),$G$5,"")),"")</f>
        <v/>
      </c>
      <c r="AI95" s="37" t="str">
        <f ca="1">IFERROR(+IF(AJ$29=#REF!,Milestone_Marker,IF(AND(AJ$29&gt;#REF!,AJ$29&lt;=#REF!+#REF!),$G$5,"")),"")</f>
        <v/>
      </c>
      <c r="AJ95" s="37" t="str">
        <f ca="1">IFERROR(+IF(AK$29=#REF!,Milestone_Marker,IF(AND(AK$29&gt;#REF!,AK$29&lt;=#REF!+#REF!),$G$5,"")),"")</f>
        <v/>
      </c>
      <c r="AK95" s="37" t="str">
        <f ca="1">IFERROR(+IF(AL$29=#REF!,Milestone_Marker,IF(AND(AL$29&gt;#REF!,AL$29&lt;=#REF!+#REF!),$G$5,"")),"")</f>
        <v/>
      </c>
      <c r="AL95" s="37" t="str">
        <f ca="1">IFERROR(+IF(AM$29=#REF!,Milestone_Marker,IF(AND(AM$29&gt;#REF!,AM$29&lt;=#REF!+#REF!),$G$5,"")),"")</f>
        <v/>
      </c>
      <c r="AM95" s="37" t="str">
        <f ca="1">IFERROR(+IF(AN$29=#REF!,Milestone_Marker,IF(AND(AN$29&gt;#REF!,AN$29&lt;=#REF!+#REF!),$G$5,"")),"")</f>
        <v/>
      </c>
      <c r="AN95" s="37" t="str">
        <f ca="1">IFERROR(+IF(AO$29=#REF!,Milestone_Marker,IF(AND(AO$29&gt;#REF!,AO$29&lt;=#REF!+#REF!),$G$5,"")),"")</f>
        <v/>
      </c>
      <c r="AO95" s="37" t="str">
        <f ca="1">IFERROR(+IF(AP$29=#REF!,Milestone_Marker,IF(AND(AP$29&gt;#REF!,AP$29&lt;=#REF!+#REF!),$G$5,"")),"")</f>
        <v/>
      </c>
      <c r="AP95" s="37" t="str">
        <f ca="1">IFERROR(+IF(AQ$29=#REF!,Milestone_Marker,IF(AND(AQ$29&gt;#REF!,AQ$29&lt;=#REF!+#REF!),$G$5,"")),"")</f>
        <v/>
      </c>
      <c r="AQ95" s="37" t="str">
        <f ca="1">IFERROR(+IF(AR$29=#REF!,Milestone_Marker,IF(AND(AR$29&gt;#REF!,AR$29&lt;=#REF!+#REF!),$G$5,"")),"")</f>
        <v/>
      </c>
      <c r="AR95" s="37" t="str">
        <f ca="1">IFERROR(+IF(AS$29=#REF!,Milestone_Marker,IF(AND(AS$29&gt;#REF!,AS$29&lt;=#REF!+#REF!),$G$5,"")),"")</f>
        <v/>
      </c>
      <c r="AS95" s="37" t="str">
        <f ca="1">IFERROR(+IF(AT$29=#REF!,Milestone_Marker,IF(AND(AT$29&gt;#REF!,AT$29&lt;=#REF!+#REF!),$G$5,"")),"")</f>
        <v/>
      </c>
      <c r="AT95" s="37" t="str">
        <f ca="1">IFERROR(+IF(AU$29=#REF!,Milestone_Marker,IF(AND(AU$29&gt;#REF!,AU$29&lt;=#REF!+#REF!),$G$5,"")),"")</f>
        <v/>
      </c>
      <c r="AU95" s="37" t="str">
        <f ca="1">IFERROR(+IF(AV$29=#REF!,Milestone_Marker,IF(AND(AV$29&gt;#REF!,AV$29&lt;=#REF!+#REF!),$G$5,"")),"")</f>
        <v/>
      </c>
      <c r="AV95" s="37" t="str">
        <f ca="1">IFERROR(+IF(AW$29=#REF!,Milestone_Marker,IF(AND(AW$29&gt;#REF!,AW$29&lt;=#REF!+#REF!),$G$5,"")),"")</f>
        <v/>
      </c>
      <c r="AW95" s="37" t="str">
        <f ca="1">IFERROR(+IF(AX$29=#REF!,Milestone_Marker,IF(AND(AX$29&gt;#REF!,AX$29&lt;=#REF!+#REF!),$G$5,"")),"")</f>
        <v/>
      </c>
      <c r="AX95" s="37" t="str">
        <f ca="1">IFERROR(+IF(AY$29=#REF!,Milestone_Marker,IF(AND(AY$29&gt;#REF!,AY$29&lt;=#REF!+#REF!),$G$5,"")),"")</f>
        <v/>
      </c>
      <c r="AY95" s="37" t="str">
        <f ca="1">IFERROR(+IF(AZ$29=#REF!,Milestone_Marker,IF(AND(AZ$29&gt;#REF!,AZ$29&lt;=#REF!+#REF!),$G$5,"")),"")</f>
        <v/>
      </c>
      <c r="AZ95" s="37" t="str">
        <f ca="1">IFERROR(+IF(BA$29=#REF!,Milestone_Marker,IF(AND(BA$29&gt;#REF!,BA$29&lt;=#REF!+#REF!),$G$5,"")),"")</f>
        <v/>
      </c>
      <c r="BA95" s="37" t="str">
        <f ca="1">IFERROR(+IF(BB$29=#REF!,Milestone_Marker,IF(AND(BB$29&gt;#REF!,BB$29&lt;=#REF!+#REF!),$G$5,"")),"")</f>
        <v/>
      </c>
      <c r="BB95" s="37" t="str">
        <f ca="1">IFERROR(+IF(BC$29=#REF!,Milestone_Marker,IF(AND(BC$29&gt;#REF!,BC$29&lt;=#REF!+#REF!),$G$5,"")),"")</f>
        <v/>
      </c>
      <c r="BC95" s="37" t="str">
        <f ca="1">IFERROR(+IF(BD$29=#REF!,Milestone_Marker,IF(AND(BD$29&gt;#REF!,BD$29&lt;=#REF!+#REF!),$G$5,"")),"")</f>
        <v/>
      </c>
      <c r="BD95" s="37" t="str">
        <f ca="1">IFERROR(+IF(BE$29=#REF!,Milestone_Marker,IF(AND(BE$29&gt;#REF!,BE$29&lt;=#REF!+#REF!),$G$5,"")),"")</f>
        <v/>
      </c>
      <c r="BE95" s="37" t="str">
        <f ca="1">IFERROR(+IF(BF$29=#REF!,Milestone_Marker,IF(AND(BF$29&gt;#REF!,BF$29&lt;=#REF!+#REF!),$G$5,"")),"")</f>
        <v/>
      </c>
      <c r="BF95" s="37" t="str">
        <f ca="1">IFERROR(+IF(BG$29=#REF!,Milestone_Marker,IF(AND(BG$29&gt;#REF!,BG$29&lt;=#REF!+#REF!),$G$5,"")),"")</f>
        <v/>
      </c>
      <c r="BG95" s="37" t="str">
        <f ca="1">IFERROR(+IF(BH$29=#REF!,Milestone_Marker,IF(AND(BH$29&gt;#REF!,BH$29&lt;=#REF!+#REF!),$G$5,"")),"")</f>
        <v/>
      </c>
      <c r="BH95" s="37" t="str">
        <f ca="1">IFERROR(+IF(BI$29=#REF!,Milestone_Marker,IF(AND(BI$29&gt;#REF!,BI$29&lt;=#REF!+#REF!),$G$5,"")),"")</f>
        <v/>
      </c>
      <c r="BI95" s="37" t="str">
        <f ca="1">IFERROR(+IF(BJ$29=#REF!,Milestone_Marker,IF(AND(BJ$29&gt;#REF!,BJ$29&lt;=#REF!+#REF!),$G$5,"")),"")</f>
        <v/>
      </c>
      <c r="BJ95" s="37" t="str">
        <f ca="1">IFERROR(+IF(BK$29=#REF!,Milestone_Marker,IF(AND(BK$29&gt;#REF!,BK$29&lt;=#REF!+#REF!),$G$5,"")),"")</f>
        <v/>
      </c>
      <c r="BK95" s="37" t="str">
        <f ca="1">IFERROR(+IF(BL$29=#REF!,Milestone_Marker,IF(AND(BL$29&gt;#REF!,BL$29&lt;=#REF!+#REF!),$G$5,"")),"")</f>
        <v/>
      </c>
      <c r="BL95" s="37" t="str">
        <f ca="1">IFERROR(+IF(BM$29=#REF!,Milestone_Marker,IF(AND(BM$29&gt;#REF!,BM$29&lt;=#REF!+#REF!),$G$5,"")),"")</f>
        <v/>
      </c>
      <c r="BM95" s="37" t="str">
        <f ca="1">IFERROR(+IF(BN$29=#REF!,Milestone_Marker,IF(AND(BN$29&gt;#REF!,BN$29&lt;=#REF!+#REF!),$G$5,"")),"")</f>
        <v/>
      </c>
      <c r="BN95" s="37" t="str">
        <f ca="1">IFERROR(+IF(BO$29=#REF!,Milestone_Marker,IF(AND(BO$29&gt;#REF!,BO$29&lt;=#REF!+#REF!),$G$5,"")),"")</f>
        <v/>
      </c>
      <c r="BO95" s="37" t="str">
        <f ca="1">IFERROR(+IF(BP$29=#REF!,Milestone_Marker,IF(AND(BP$29&gt;#REF!,BP$29&lt;=#REF!+#REF!),$G$5,"")),"")</f>
        <v/>
      </c>
      <c r="BP95" s="37" t="str">
        <f ca="1">IFERROR(+IF(BQ$29=#REF!,Milestone_Marker,IF(AND(BQ$29&gt;#REF!,BQ$29&lt;=#REF!+#REF!),$G$5,"")),"")</f>
        <v/>
      </c>
      <c r="BQ95" s="37" t="str">
        <f ca="1">IFERROR(+IF(BR$29=#REF!,Milestone_Marker,IF(AND(BR$29&gt;#REF!,BR$29&lt;=#REF!+#REF!),$G$5,"")),"")</f>
        <v/>
      </c>
      <c r="BR95" s="37" t="str">
        <f ca="1">IFERROR(+IF(BS$29=#REF!,Milestone_Marker,IF(AND(BS$29&gt;#REF!,BS$29&lt;=#REF!+#REF!),$G$5,"")),"")</f>
        <v/>
      </c>
      <c r="BS95" s="37" t="str">
        <f ca="1">IFERROR(+IF(BT$29=#REF!,Milestone_Marker,IF(AND(BT$29&gt;#REF!,BT$29&lt;=#REF!+#REF!),$G$5,"")),"")</f>
        <v/>
      </c>
      <c r="BT95" s="37" t="str">
        <f ca="1">IFERROR(+IF(BU$29=#REF!,Milestone_Marker,IF(AND(BU$29&gt;#REF!,BU$29&lt;=#REF!+#REF!),$G$5,"")),"")</f>
        <v/>
      </c>
      <c r="BU95" s="37" t="str">
        <f ca="1">IFERROR(+IF(BV$29=#REF!,Milestone_Marker,IF(AND(BV$29&gt;#REF!,BV$29&lt;=#REF!+#REF!),$G$5,"")),"")</f>
        <v/>
      </c>
      <c r="BV95" s="37" t="str">
        <f ca="1">IFERROR(+IF(BW$29=#REF!,Milestone_Marker,IF(AND(BW$29&gt;#REF!,BW$29&lt;=#REF!+#REF!),$G$5,"")),"")</f>
        <v/>
      </c>
      <c r="BW95" s="37" t="str">
        <f ca="1">IFERROR(+IF(BX$29=#REF!,Milestone_Marker,IF(AND(BX$29&gt;#REF!,BX$29&lt;=#REF!+#REF!),$G$5,"")),"")</f>
        <v/>
      </c>
      <c r="BX95" s="37" t="str">
        <f ca="1">IFERROR(+IF(BY$29=#REF!,Milestone_Marker,IF(AND(BY$29&gt;#REF!,BY$29&lt;=#REF!+#REF!),$G$5,"")),"")</f>
        <v/>
      </c>
      <c r="BY95" s="37" t="str">
        <f ca="1">IFERROR(+IF(BZ$29=#REF!,Milestone_Marker,IF(AND(BZ$29&gt;#REF!,BZ$29&lt;=#REF!+#REF!),$G$5,"")),"")</f>
        <v/>
      </c>
      <c r="BZ95" s="37" t="str">
        <f ca="1">IFERROR(+IF(CA$29=#REF!,Milestone_Marker,IF(AND(CA$29&gt;#REF!,CA$29&lt;=#REF!+#REF!),$G$5,"")),"")</f>
        <v/>
      </c>
      <c r="CA95" s="37" t="str">
        <f ca="1">IFERROR(+IF(CB$29=#REF!,Milestone_Marker,IF(AND(CB$29&gt;#REF!,CB$29&lt;=#REF!+#REF!),$G$5,"")),"")</f>
        <v/>
      </c>
      <c r="CB95" s="37" t="str">
        <f ca="1">IFERROR(+IF(CC$29=#REF!,Milestone_Marker,IF(AND(CC$29&gt;#REF!,CC$29&lt;=#REF!+#REF!),$G$5,"")),"")</f>
        <v/>
      </c>
      <c r="CC95" s="37" t="str">
        <f ca="1">IFERROR(+IF(CD$29=#REF!,Milestone_Marker,IF(AND(CD$29&gt;#REF!,CD$29&lt;=#REF!+#REF!),$G$5,"")),"")</f>
        <v/>
      </c>
      <c r="CD95" s="37" t="str">
        <f ca="1">IFERROR(+IF(CE$29=#REF!,Milestone_Marker,IF(AND(CE$29&gt;#REF!,CE$29&lt;=#REF!+#REF!),$G$5,"")),"")</f>
        <v/>
      </c>
      <c r="CE95" s="37" t="str">
        <f ca="1">IFERROR(+IF(CF$29=#REF!,Milestone_Marker,IF(AND(CF$29&gt;#REF!,CF$29&lt;=#REF!+#REF!),$G$5,"")),"")</f>
        <v/>
      </c>
      <c r="CF95" s="37" t="str">
        <f ca="1">IFERROR(+IF(CG$29=#REF!,Milestone_Marker,IF(AND(CG$29&gt;#REF!,CG$29&lt;=#REF!+#REF!),$G$5,"")),"")</f>
        <v/>
      </c>
      <c r="CG95" s="37" t="str">
        <f ca="1">IFERROR(+IF(CH$29=#REF!,Milestone_Marker,IF(AND(CH$29&gt;#REF!,CH$29&lt;=#REF!+#REF!),$G$5,"")),"")</f>
        <v/>
      </c>
      <c r="CH95" s="37" t="str">
        <f ca="1">IFERROR(+IF(CI$29=#REF!,Milestone_Marker,IF(AND(CI$29&gt;#REF!,CI$29&lt;=#REF!+#REF!),$G$5,"")),"")</f>
        <v/>
      </c>
      <c r="CI95" s="37" t="str">
        <f ca="1">IFERROR(+IF(CJ$29=#REF!,Milestone_Marker,IF(AND(CJ$29&gt;#REF!,CJ$29&lt;=#REF!+#REF!),$G$5,"")),"")</f>
        <v/>
      </c>
      <c r="CJ95" s="37" t="str">
        <f ca="1">IFERROR(+IF(CK$29=#REF!,Milestone_Marker,IF(AND(CK$29&gt;#REF!,CK$29&lt;=#REF!+#REF!),$G$5,"")),"")</f>
        <v/>
      </c>
      <c r="CK95" s="37" t="str">
        <f ca="1">IFERROR(+IF(CL$29=#REF!,Milestone_Marker,IF(AND(CL$29&gt;#REF!,CL$29&lt;=#REF!+#REF!),$G$5,"")),"")</f>
        <v/>
      </c>
      <c r="CL95" s="37" t="str">
        <f ca="1">IFERROR(+IF(CM$29=#REF!,Milestone_Marker,IF(AND(CM$29&gt;#REF!,CM$29&lt;=#REF!+#REF!),$G$5,"")),"")</f>
        <v/>
      </c>
      <c r="CM95" s="37" t="str">
        <f ca="1">IFERROR(+IF(CN$29=#REF!,Milestone_Marker,IF(AND(CN$29&gt;#REF!,CN$29&lt;=#REF!+#REF!),$G$5,"")),"")</f>
        <v/>
      </c>
      <c r="CN95" s="37" t="str">
        <f ca="1">IFERROR(+IF(CO$29=#REF!,Milestone_Marker,IF(AND(CO$29&gt;#REF!,CO$29&lt;=#REF!+#REF!),$G$5,"")),"")</f>
        <v/>
      </c>
      <c r="CO95" s="37" t="str">
        <f ca="1">IFERROR(+IF(CP$29=#REF!,Milestone_Marker,IF(AND(CP$29&gt;#REF!,CP$29&lt;=#REF!+#REF!),$G$5,"")),"")</f>
        <v/>
      </c>
      <c r="CP95" s="37" t="str">
        <f ca="1">IFERROR(+IF(CQ$29=#REF!,Milestone_Marker,IF(AND(CQ$29&gt;#REF!,CQ$29&lt;=#REF!+#REF!),$G$5,"")),"")</f>
        <v/>
      </c>
      <c r="CQ95" s="37" t="str">
        <f ca="1">IFERROR(+IF(CR$29=#REF!,Milestone_Marker,IF(AND(CR$29&gt;#REF!,CR$29&lt;=#REF!+#REF!),$G$5,"")),"")</f>
        <v/>
      </c>
      <c r="CR95" s="37" t="str">
        <f ca="1">IFERROR(+IF(CS$29=#REF!,Milestone_Marker,IF(AND(CS$29&gt;#REF!,CS$29&lt;=#REF!+#REF!),$G$5,"")),"")</f>
        <v/>
      </c>
      <c r="CS95" s="37" t="str">
        <f ca="1">IFERROR(+IF(CT$29=#REF!,Milestone_Marker,IF(AND(CT$29&gt;#REF!,CT$29&lt;=#REF!+#REF!),$G$5,"")),"")</f>
        <v/>
      </c>
      <c r="CT95" s="37" t="str">
        <f ca="1">IFERROR(+IF(CU$29=#REF!,Milestone_Marker,IF(AND(CU$29&gt;#REF!,CU$29&lt;=#REF!+#REF!),$G$5,"")),"")</f>
        <v/>
      </c>
    </row>
    <row r="96" spans="1:125" ht="30" customHeight="1">
      <c r="P96" s="37" t="str">
        <f ca="1">IFERROR(+IF(Q$29=#REF!,Milestone_Marker,IF(AND(Q$29&gt;#REF!,Q$29&lt;=#REF!+#REF!),$G$5,"")),"")</f>
        <v/>
      </c>
      <c r="Q96" s="37" t="str">
        <f ca="1">IFERROR(+IF(R$29=#REF!,Milestone_Marker,IF(AND(R$29&gt;#REF!,R$29&lt;=#REF!+#REF!),$G$5,"")),"")</f>
        <v/>
      </c>
      <c r="R96" s="37" t="str">
        <f ca="1">IFERROR(+IF(S$29=#REF!,Milestone_Marker,IF(AND(S$29&gt;#REF!,S$29&lt;=#REF!+#REF!),$G$5,"")),"")</f>
        <v/>
      </c>
      <c r="S96" s="37" t="str">
        <f ca="1">IFERROR(+IF(T$29=#REF!,Milestone_Marker,IF(AND(T$29&gt;#REF!,T$29&lt;=#REF!+#REF!),$G$5,"")),"")</f>
        <v/>
      </c>
      <c r="T96" s="37" t="str">
        <f ca="1">IFERROR(+IF(U$29=#REF!,Milestone_Marker,IF(AND(U$29&gt;#REF!,U$29&lt;=#REF!+#REF!),$G$5,"")),"")</f>
        <v/>
      </c>
      <c r="U96" s="37" t="str">
        <f ca="1">IFERROR(+IF(V$29=#REF!,Milestone_Marker,IF(AND(V$29&gt;#REF!,V$29&lt;=#REF!+#REF!),$G$5,"")),"")</f>
        <v/>
      </c>
      <c r="V96" s="37" t="str">
        <f ca="1">IFERROR(+IF(W$29=#REF!,Milestone_Marker,IF(AND(W$29&gt;#REF!,W$29&lt;=#REF!+#REF!),$G$5,"")),"")</f>
        <v/>
      </c>
      <c r="W96" s="37" t="str">
        <f ca="1">IFERROR(+IF(X$29=#REF!,Milestone_Marker,IF(AND(X$29&gt;#REF!,X$29&lt;=#REF!+#REF!),$G$5,"")),"")</f>
        <v/>
      </c>
      <c r="X96" s="37" t="str">
        <f ca="1">IFERROR(+IF(Y$29=#REF!,Milestone_Marker,IF(AND(Y$29&gt;#REF!,Y$29&lt;=#REF!+#REF!),$G$5,"")),"")</f>
        <v/>
      </c>
      <c r="Y96" s="37" t="str">
        <f ca="1">IFERROR(+IF(Z$29=#REF!,Milestone_Marker,IF(AND(Z$29&gt;#REF!,Z$29&lt;=#REF!+#REF!),$G$5,"")),"")</f>
        <v/>
      </c>
      <c r="Z96" s="37" t="str">
        <f ca="1">IFERROR(+IF(AA$29=#REF!,Milestone_Marker,IF(AND(AA$29&gt;#REF!,AA$29&lt;=#REF!+#REF!),$G$5,"")),"")</f>
        <v/>
      </c>
      <c r="AA96" s="37" t="str">
        <f ca="1">IFERROR(+IF(AB$29=#REF!,Milestone_Marker,IF(AND(AB$29&gt;#REF!,AB$29&lt;=#REF!+#REF!),$G$5,"")),"")</f>
        <v/>
      </c>
      <c r="AB96" s="37" t="str">
        <f ca="1">IFERROR(+IF(AC$29=#REF!,Milestone_Marker,IF(AND(AC$29&gt;#REF!,AC$29&lt;=#REF!+#REF!),$G$5,"")),"")</f>
        <v/>
      </c>
      <c r="AC96" s="37" t="str">
        <f ca="1">IFERROR(+IF(AD$29=#REF!,Milestone_Marker,IF(AND(AD$29&gt;#REF!,AD$29&lt;=#REF!+#REF!),$G$5,"")),"")</f>
        <v/>
      </c>
      <c r="AD96" s="37" t="str">
        <f ca="1">IFERROR(+IF(AE$29=#REF!,Milestone_Marker,IF(AND(AE$29&gt;#REF!,AE$29&lt;=#REF!+#REF!),$G$5,"")),"")</f>
        <v/>
      </c>
      <c r="AE96" s="37" t="str">
        <f ca="1">IFERROR(+IF(AF$29=#REF!,Milestone_Marker,IF(AND(AF$29&gt;#REF!,AF$29&lt;=#REF!+#REF!),$G$5,"")),"")</f>
        <v/>
      </c>
      <c r="AF96" s="37" t="str">
        <f ca="1">IFERROR(+IF(AG$29=#REF!,Milestone_Marker,IF(AND(AG$29&gt;#REF!,AG$29&lt;=#REF!+#REF!),$G$5,"")),"")</f>
        <v/>
      </c>
      <c r="AG96" s="37" t="str">
        <f ca="1">IFERROR(+IF(AH$29=#REF!,Milestone_Marker,IF(AND(AH$29&gt;#REF!,AH$29&lt;=#REF!+#REF!),$G$5,"")),"")</f>
        <v/>
      </c>
      <c r="AH96" s="37" t="str">
        <f ca="1">IFERROR(+IF(AI$29=#REF!,Milestone_Marker,IF(AND(AI$29&gt;#REF!,AI$29&lt;=#REF!+#REF!),$G$5,"")),"")</f>
        <v/>
      </c>
      <c r="AI96" s="37" t="str">
        <f ca="1">IFERROR(+IF(AJ$29=#REF!,Milestone_Marker,IF(AND(AJ$29&gt;#REF!,AJ$29&lt;=#REF!+#REF!),$G$5,"")),"")</f>
        <v/>
      </c>
      <c r="AJ96" s="37" t="str">
        <f ca="1">IFERROR(+IF(AK$29=#REF!,Milestone_Marker,IF(AND(AK$29&gt;#REF!,AK$29&lt;=#REF!+#REF!),$G$5,"")),"")</f>
        <v/>
      </c>
      <c r="AK96" s="37" t="str">
        <f ca="1">IFERROR(+IF(AL$29=#REF!,Milestone_Marker,IF(AND(AL$29&gt;#REF!,AL$29&lt;=#REF!+#REF!),$G$5,"")),"")</f>
        <v/>
      </c>
      <c r="AL96" s="37" t="str">
        <f ca="1">IFERROR(+IF(AM$29=#REF!,Milestone_Marker,IF(AND(AM$29&gt;#REF!,AM$29&lt;=#REF!+#REF!),$G$5,"")),"")</f>
        <v/>
      </c>
      <c r="AM96" s="37" t="str">
        <f ca="1">IFERROR(+IF(AN$29=#REF!,Milestone_Marker,IF(AND(AN$29&gt;#REF!,AN$29&lt;=#REF!+#REF!),$G$5,"")),"")</f>
        <v/>
      </c>
      <c r="AN96" s="37" t="str">
        <f ca="1">IFERROR(+IF(AO$29=#REF!,Milestone_Marker,IF(AND(AO$29&gt;#REF!,AO$29&lt;=#REF!+#REF!),$G$5,"")),"")</f>
        <v/>
      </c>
      <c r="AO96" s="37" t="str">
        <f ca="1">IFERROR(+IF(AP$29=#REF!,Milestone_Marker,IF(AND(AP$29&gt;#REF!,AP$29&lt;=#REF!+#REF!),$G$5,"")),"")</f>
        <v/>
      </c>
      <c r="AP96" s="37" t="str">
        <f ca="1">IFERROR(+IF(AQ$29=#REF!,Milestone_Marker,IF(AND(AQ$29&gt;#REF!,AQ$29&lt;=#REF!+#REF!),$G$5,"")),"")</f>
        <v/>
      </c>
      <c r="AQ96" s="37" t="str">
        <f ca="1">IFERROR(+IF(AR$29=#REF!,Milestone_Marker,IF(AND(AR$29&gt;#REF!,AR$29&lt;=#REF!+#REF!),$G$5,"")),"")</f>
        <v/>
      </c>
      <c r="AR96" s="37" t="str">
        <f ca="1">IFERROR(+IF(AS$29=#REF!,Milestone_Marker,IF(AND(AS$29&gt;#REF!,AS$29&lt;=#REF!+#REF!),$G$5,"")),"")</f>
        <v/>
      </c>
      <c r="AS96" s="37" t="str">
        <f ca="1">IFERROR(+IF(AT$29=#REF!,Milestone_Marker,IF(AND(AT$29&gt;#REF!,AT$29&lt;=#REF!+#REF!),$G$5,"")),"")</f>
        <v/>
      </c>
      <c r="AT96" s="37" t="str">
        <f ca="1">IFERROR(+IF(AU$29=#REF!,Milestone_Marker,IF(AND(AU$29&gt;#REF!,AU$29&lt;=#REF!+#REF!),$G$5,"")),"")</f>
        <v/>
      </c>
      <c r="AU96" s="37" t="str">
        <f ca="1">IFERROR(+IF(AV$29=#REF!,Milestone_Marker,IF(AND(AV$29&gt;#REF!,AV$29&lt;=#REF!+#REF!),$G$5,"")),"")</f>
        <v/>
      </c>
      <c r="AV96" s="37" t="str">
        <f ca="1">IFERROR(+IF(AW$29=#REF!,Milestone_Marker,IF(AND(AW$29&gt;#REF!,AW$29&lt;=#REF!+#REF!),$G$5,"")),"")</f>
        <v/>
      </c>
      <c r="AW96" s="37" t="str">
        <f ca="1">IFERROR(+IF(AX$29=#REF!,Milestone_Marker,IF(AND(AX$29&gt;#REF!,AX$29&lt;=#REF!+#REF!),$G$5,"")),"")</f>
        <v/>
      </c>
      <c r="AX96" s="37" t="str">
        <f ca="1">IFERROR(+IF(AY$29=#REF!,Milestone_Marker,IF(AND(AY$29&gt;#REF!,AY$29&lt;=#REF!+#REF!),$G$5,"")),"")</f>
        <v/>
      </c>
      <c r="AY96" s="37" t="str">
        <f ca="1">IFERROR(+IF(AZ$29=#REF!,Milestone_Marker,IF(AND(AZ$29&gt;#REF!,AZ$29&lt;=#REF!+#REF!),$G$5,"")),"")</f>
        <v/>
      </c>
      <c r="AZ96" s="37" t="str">
        <f ca="1">IFERROR(+IF(BA$29=#REF!,Milestone_Marker,IF(AND(BA$29&gt;#REF!,BA$29&lt;=#REF!+#REF!),$G$5,"")),"")</f>
        <v/>
      </c>
      <c r="BA96" s="37" t="str">
        <f ca="1">IFERROR(+IF(BB$29=#REF!,Milestone_Marker,IF(AND(BB$29&gt;#REF!,BB$29&lt;=#REF!+#REF!),$G$5,"")),"")</f>
        <v/>
      </c>
      <c r="BB96" s="37" t="str">
        <f ca="1">IFERROR(+IF(BC$29=#REF!,Milestone_Marker,IF(AND(BC$29&gt;#REF!,BC$29&lt;=#REF!+#REF!),$G$5,"")),"")</f>
        <v/>
      </c>
      <c r="BC96" s="37" t="str">
        <f ca="1">IFERROR(+IF(BD$29=#REF!,Milestone_Marker,IF(AND(BD$29&gt;#REF!,BD$29&lt;=#REF!+#REF!),$G$5,"")),"")</f>
        <v/>
      </c>
      <c r="BD96" s="37" t="str">
        <f ca="1">IFERROR(+IF(BE$29=#REF!,Milestone_Marker,IF(AND(BE$29&gt;#REF!,BE$29&lt;=#REF!+#REF!),$G$5,"")),"")</f>
        <v/>
      </c>
      <c r="BE96" s="37" t="str">
        <f ca="1">IFERROR(+IF(BF$29=#REF!,Milestone_Marker,IF(AND(BF$29&gt;#REF!,BF$29&lt;=#REF!+#REF!),$G$5,"")),"")</f>
        <v/>
      </c>
      <c r="BF96" s="37" t="str">
        <f ca="1">IFERROR(+IF(BG$29=#REF!,Milestone_Marker,IF(AND(BG$29&gt;#REF!,BG$29&lt;=#REF!+#REF!),$G$5,"")),"")</f>
        <v/>
      </c>
      <c r="BG96" s="37" t="str">
        <f ca="1">IFERROR(+IF(BH$29=#REF!,Milestone_Marker,IF(AND(BH$29&gt;#REF!,BH$29&lt;=#REF!+#REF!),$G$5,"")),"")</f>
        <v/>
      </c>
      <c r="BH96" s="37" t="str">
        <f ca="1">IFERROR(+IF(BI$29=#REF!,Milestone_Marker,IF(AND(BI$29&gt;#REF!,BI$29&lt;=#REF!+#REF!),$G$5,"")),"")</f>
        <v/>
      </c>
      <c r="BI96" s="37" t="str">
        <f ca="1">IFERROR(+IF(BJ$29=#REF!,Milestone_Marker,IF(AND(BJ$29&gt;#REF!,BJ$29&lt;=#REF!+#REF!),$G$5,"")),"")</f>
        <v/>
      </c>
      <c r="BJ96" s="37" t="str">
        <f ca="1">IFERROR(+IF(BK$29=#REF!,Milestone_Marker,IF(AND(BK$29&gt;#REF!,BK$29&lt;=#REF!+#REF!),$G$5,"")),"")</f>
        <v/>
      </c>
      <c r="BK96" s="37" t="str">
        <f ca="1">IFERROR(+IF(BL$29=#REF!,Milestone_Marker,IF(AND(BL$29&gt;#REF!,BL$29&lt;=#REF!+#REF!),$G$5,"")),"")</f>
        <v/>
      </c>
      <c r="BL96" s="37" t="str">
        <f ca="1">IFERROR(+IF(BM$29=#REF!,Milestone_Marker,IF(AND(BM$29&gt;#REF!,BM$29&lt;=#REF!+#REF!),$G$5,"")),"")</f>
        <v/>
      </c>
      <c r="BM96" s="37" t="str">
        <f ca="1">IFERROR(+IF(BN$29=#REF!,Milestone_Marker,IF(AND(BN$29&gt;#REF!,BN$29&lt;=#REF!+#REF!),$G$5,"")),"")</f>
        <v/>
      </c>
      <c r="BN96" s="37" t="str">
        <f ca="1">IFERROR(+IF(BO$29=#REF!,Milestone_Marker,IF(AND(BO$29&gt;#REF!,BO$29&lt;=#REF!+#REF!),$G$5,"")),"")</f>
        <v/>
      </c>
      <c r="BO96" s="37" t="str">
        <f ca="1">IFERROR(+IF(BP$29=#REF!,Milestone_Marker,IF(AND(BP$29&gt;#REF!,BP$29&lt;=#REF!+#REF!),$G$5,"")),"")</f>
        <v/>
      </c>
      <c r="BP96" s="37" t="str">
        <f ca="1">IFERROR(+IF(BQ$29=#REF!,Milestone_Marker,IF(AND(BQ$29&gt;#REF!,BQ$29&lt;=#REF!+#REF!),$G$5,"")),"")</f>
        <v/>
      </c>
      <c r="BQ96" s="37" t="str">
        <f ca="1">IFERROR(+IF(BR$29=#REF!,Milestone_Marker,IF(AND(BR$29&gt;#REF!,BR$29&lt;=#REF!+#REF!),$G$5,"")),"")</f>
        <v/>
      </c>
      <c r="BR96" s="37" t="str">
        <f ca="1">IFERROR(+IF(BS$29=#REF!,Milestone_Marker,IF(AND(BS$29&gt;#REF!,BS$29&lt;=#REF!+#REF!),$G$5,"")),"")</f>
        <v/>
      </c>
      <c r="BS96" s="37" t="str">
        <f ca="1">IFERROR(+IF(BT$29=#REF!,Milestone_Marker,IF(AND(BT$29&gt;#REF!,BT$29&lt;=#REF!+#REF!),$G$5,"")),"")</f>
        <v/>
      </c>
      <c r="BT96" s="37" t="str">
        <f ca="1">IFERROR(+IF(BU$29=#REF!,Milestone_Marker,IF(AND(BU$29&gt;#REF!,BU$29&lt;=#REF!+#REF!),$G$5,"")),"")</f>
        <v/>
      </c>
      <c r="BU96" s="37" t="str">
        <f ca="1">IFERROR(+IF(BV$29=#REF!,Milestone_Marker,IF(AND(BV$29&gt;#REF!,BV$29&lt;=#REF!+#REF!),$G$5,"")),"")</f>
        <v/>
      </c>
      <c r="BV96" s="37" t="str">
        <f ca="1">IFERROR(+IF(BW$29=#REF!,Milestone_Marker,IF(AND(BW$29&gt;#REF!,BW$29&lt;=#REF!+#REF!),$G$5,"")),"")</f>
        <v/>
      </c>
      <c r="BW96" s="37" t="str">
        <f ca="1">IFERROR(+IF(BX$29=#REF!,Milestone_Marker,IF(AND(BX$29&gt;#REF!,BX$29&lt;=#REF!+#REF!),$G$5,"")),"")</f>
        <v/>
      </c>
      <c r="BX96" s="37" t="str">
        <f ca="1">IFERROR(+IF(BY$29=#REF!,Milestone_Marker,IF(AND(BY$29&gt;#REF!,BY$29&lt;=#REF!+#REF!),$G$5,"")),"")</f>
        <v/>
      </c>
      <c r="BY96" s="37" t="str">
        <f ca="1">IFERROR(+IF(BZ$29=#REF!,Milestone_Marker,IF(AND(BZ$29&gt;#REF!,BZ$29&lt;=#REF!+#REF!),$G$5,"")),"")</f>
        <v/>
      </c>
      <c r="BZ96" s="37" t="str">
        <f ca="1">IFERROR(+IF(CA$29=#REF!,Milestone_Marker,IF(AND(CA$29&gt;#REF!,CA$29&lt;=#REF!+#REF!),$G$5,"")),"")</f>
        <v/>
      </c>
      <c r="CA96" s="37" t="str">
        <f ca="1">IFERROR(+IF(CB$29=#REF!,Milestone_Marker,IF(AND(CB$29&gt;#REF!,CB$29&lt;=#REF!+#REF!),$G$5,"")),"")</f>
        <v/>
      </c>
      <c r="CB96" s="37" t="str">
        <f ca="1">IFERROR(+IF(CC$29=#REF!,Milestone_Marker,IF(AND(CC$29&gt;#REF!,CC$29&lt;=#REF!+#REF!),$G$5,"")),"")</f>
        <v/>
      </c>
      <c r="CC96" s="37" t="str">
        <f ca="1">IFERROR(+IF(CD$29=#REF!,Milestone_Marker,IF(AND(CD$29&gt;#REF!,CD$29&lt;=#REF!+#REF!),$G$5,"")),"")</f>
        <v/>
      </c>
      <c r="CD96" s="37" t="str">
        <f ca="1">IFERROR(+IF(CE$29=#REF!,Milestone_Marker,IF(AND(CE$29&gt;#REF!,CE$29&lt;=#REF!+#REF!),$G$5,"")),"")</f>
        <v/>
      </c>
      <c r="CE96" s="37" t="str">
        <f ca="1">IFERROR(+IF(CF$29=#REF!,Milestone_Marker,IF(AND(CF$29&gt;#REF!,CF$29&lt;=#REF!+#REF!),$G$5,"")),"")</f>
        <v/>
      </c>
      <c r="CF96" s="37" t="str">
        <f ca="1">IFERROR(+IF(CG$29=#REF!,Milestone_Marker,IF(AND(CG$29&gt;#REF!,CG$29&lt;=#REF!+#REF!),$G$5,"")),"")</f>
        <v/>
      </c>
      <c r="CG96" s="37" t="str">
        <f ca="1">IFERROR(+IF(CH$29=#REF!,Milestone_Marker,IF(AND(CH$29&gt;#REF!,CH$29&lt;=#REF!+#REF!),$G$5,"")),"")</f>
        <v/>
      </c>
      <c r="CH96" s="37" t="str">
        <f ca="1">IFERROR(+IF(CI$29=#REF!,Milestone_Marker,IF(AND(CI$29&gt;#REF!,CI$29&lt;=#REF!+#REF!),$G$5,"")),"")</f>
        <v/>
      </c>
      <c r="CI96" s="37" t="str">
        <f ca="1">IFERROR(+IF(CJ$29=#REF!,Milestone_Marker,IF(AND(CJ$29&gt;#REF!,CJ$29&lt;=#REF!+#REF!),$G$5,"")),"")</f>
        <v/>
      </c>
      <c r="CJ96" s="37" t="str">
        <f ca="1">IFERROR(+IF(CK$29=#REF!,Milestone_Marker,IF(AND(CK$29&gt;#REF!,CK$29&lt;=#REF!+#REF!),$G$5,"")),"")</f>
        <v/>
      </c>
      <c r="CK96" s="37" t="str">
        <f ca="1">IFERROR(+IF(CL$29=#REF!,Milestone_Marker,IF(AND(CL$29&gt;#REF!,CL$29&lt;=#REF!+#REF!),$G$5,"")),"")</f>
        <v/>
      </c>
      <c r="CL96" s="37" t="str">
        <f ca="1">IFERROR(+IF(CM$29=#REF!,Milestone_Marker,IF(AND(CM$29&gt;#REF!,CM$29&lt;=#REF!+#REF!),$G$5,"")),"")</f>
        <v/>
      </c>
      <c r="CM96" s="37" t="str">
        <f ca="1">IFERROR(+IF(CN$29=#REF!,Milestone_Marker,IF(AND(CN$29&gt;#REF!,CN$29&lt;=#REF!+#REF!),$G$5,"")),"")</f>
        <v/>
      </c>
      <c r="CN96" s="37" t="str">
        <f ca="1">IFERROR(+IF(CO$29=#REF!,Milestone_Marker,IF(AND(CO$29&gt;#REF!,CO$29&lt;=#REF!+#REF!),$G$5,"")),"")</f>
        <v/>
      </c>
      <c r="CO96" s="37" t="str">
        <f ca="1">IFERROR(+IF(CP$29=#REF!,Milestone_Marker,IF(AND(CP$29&gt;#REF!,CP$29&lt;=#REF!+#REF!),$G$5,"")),"")</f>
        <v/>
      </c>
      <c r="CP96" s="37" t="str">
        <f ca="1">IFERROR(+IF(CQ$29=#REF!,Milestone_Marker,IF(AND(CQ$29&gt;#REF!,CQ$29&lt;=#REF!+#REF!),$G$5,"")),"")</f>
        <v/>
      </c>
      <c r="CQ96" s="37" t="str">
        <f ca="1">IFERROR(+IF(CR$29=#REF!,Milestone_Marker,IF(AND(CR$29&gt;#REF!,CR$29&lt;=#REF!+#REF!),$G$5,"")),"")</f>
        <v/>
      </c>
      <c r="CR96" s="37" t="str">
        <f ca="1">IFERROR(+IF(CS$29=#REF!,Milestone_Marker,IF(AND(CS$29&gt;#REF!,CS$29&lt;=#REF!+#REF!),$G$5,"")),"")</f>
        <v/>
      </c>
      <c r="CS96" s="37" t="str">
        <f ca="1">IFERROR(+IF(CT$29=#REF!,Milestone_Marker,IF(AND(CT$29&gt;#REF!,CT$29&lt;=#REF!+#REF!),$G$5,"")),"")</f>
        <v/>
      </c>
      <c r="CT96" s="37" t="str">
        <f ca="1">IFERROR(+IF(CU$29=#REF!,Milestone_Marker,IF(AND(CU$29&gt;#REF!,CU$29&lt;=#REF!+#REF!),$G$5,"")),"")</f>
        <v/>
      </c>
    </row>
  </sheetData>
  <mergeCells count="20">
    <mergeCell ref="AA24:AH25"/>
    <mergeCell ref="J1:K1"/>
    <mergeCell ref="E4:F4"/>
    <mergeCell ref="H2:I2"/>
    <mergeCell ref="H3:I3"/>
    <mergeCell ref="H4:I4"/>
    <mergeCell ref="M2:N2"/>
    <mergeCell ref="M3:N3"/>
    <mergeCell ref="M4:N4"/>
    <mergeCell ref="M5:N5"/>
    <mergeCell ref="A2:D2"/>
    <mergeCell ref="A3:D3"/>
    <mergeCell ref="A4:D4"/>
    <mergeCell ref="H5:I5"/>
    <mergeCell ref="J2:K2"/>
    <mergeCell ref="E5:F5"/>
    <mergeCell ref="J3:K3"/>
    <mergeCell ref="J4:K4"/>
    <mergeCell ref="J5:K5"/>
    <mergeCell ref="F2:G2"/>
  </mergeCells>
  <phoneticPr fontId="38" type="noConversion"/>
  <conditionalFormatting sqref="P28:CU84 P30:DU36 AA37:DU37 P38:DU78 R75:CW84 P75:CT96 AQ8:DU10 AQ11:AQ25 AP15:AP23">
    <cfRule type="expression" dxfId="26" priority="11">
      <formula>#REF!&lt;=Today</formula>
    </cfRule>
  </conditionalFormatting>
  <conditionalFormatting sqref="P29:CU29">
    <cfRule type="expression" dxfId="25" priority="26">
      <formula>P$29&lt;=TODAY()</formula>
    </cfRule>
  </conditionalFormatting>
  <conditionalFormatting sqref="P30:CU84 AP75:DU83 R75:CW84 P75:CT96 P30:DU36 AA37:DU37 P38:DU78">
    <cfRule type="expression" dxfId="24" priority="3">
      <formula>#REF!&lt;=Today</formula>
    </cfRule>
  </conditionalFormatting>
  <conditionalFormatting sqref="P30:DU36 P30:CU84 AA37:DU37 P38:DU78 AP75:DU83 R75:CW84 P75:CT96">
    <cfRule type="expression" dxfId="23" priority="4" stopIfTrue="1">
      <formula>AND(#REF!&gt;=#REF!+1,#REF!&lt;=#REF!+#REF!-2)</formula>
    </cfRule>
  </conditionalFormatting>
  <conditionalFormatting sqref="AO7:DT7">
    <cfRule type="expression" dxfId="22" priority="5">
      <formula>#REF!&lt;=Today</formula>
    </cfRule>
  </conditionalFormatting>
  <conditionalFormatting sqref="AP79:DR83">
    <cfRule type="expression" dxfId="21" priority="1">
      <formula>#REF!&lt;=Today</formula>
    </cfRule>
    <cfRule type="expression" dxfId="20" priority="2" stopIfTrue="1">
      <formula>AND(#REF!&gt;=#REF!+1,#REF!&lt;=#REF!+#REF!-2)</formula>
    </cfRule>
  </conditionalFormatting>
  <conditionalFormatting sqref="AQ11:AQ25 AQ8:DU10 AP15:AP23 AO7:DT7">
    <cfRule type="expression" dxfId="19" priority="14" stopIfTrue="1">
      <formula>AND(#REF!&gt;=#REF!+1,#REF!&lt;=#REF!+#REF!-2)</formula>
    </cfRule>
  </conditionalFormatting>
  <conditionalFormatting sqref="AR11:DU12 AR14:DU25">
    <cfRule type="expression" dxfId="18" priority="10">
      <formula>#REF!&lt;=Today</formula>
    </cfRule>
    <cfRule type="expression" dxfId="17" priority="13" stopIfTrue="1">
      <formula>AND(#REF!&gt;=#REF!+1,#REF!&lt;=#REF!+#REF!-2)</formula>
    </cfRule>
  </conditionalFormatting>
  <pageMargins left="0.7" right="0.7" top="0.75" bottom="0.75" header="0.3" footer="0.3"/>
  <pageSetup scale="22"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9697" r:id="rId4" name="Scroll Bar 1">
              <controlPr defaultSize="0" autoPict="0" altText="Scrollbar for scrolling through the Gantt Timeline.">
                <anchor moveWithCells="1">
                  <from>
                    <xdr:col>18</xdr:col>
                    <xdr:colOff>38100</xdr:colOff>
                    <xdr:row>23</xdr:row>
                    <xdr:rowOff>142875</xdr:rowOff>
                  </from>
                  <to>
                    <xdr:col>24</xdr:col>
                    <xdr:colOff>142875</xdr:colOff>
                    <xdr:row>25</xdr:row>
                    <xdr:rowOff>38100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iconSet" priority="16" id="{11B8DE43-BE8A-4186-A5DE-AA449FB858A9}">
            <x14:iconSet iconSet="3Stars" showValue="0" custom="1">
              <x14:cfvo type="percent">
                <xm:f>0</xm:f>
              </x14:cfvo>
              <x14:cfvo type="num">
                <xm:f>1</xm:f>
              </x14:cfvo>
              <x14:cfvo type="num">
                <xm:f>2</xm:f>
              </x14:cfvo>
              <x14:cfIcon iconSet="3Signs" iconId="1"/>
              <x14:cfIcon iconSet="3Flags" iconId="0"/>
              <x14:cfIcon iconSet="3Signs" iconId="0"/>
            </x14:iconSet>
          </x14:cfRule>
          <xm:sqref>P52:CI52</xm:sqref>
        </x14:conditionalFormatting>
        <x14:conditionalFormatting xmlns:xm="http://schemas.microsoft.com/office/excel/2006/main">
          <x14:cfRule type="iconSet" priority="6" id="{159FD3EF-0D00-4918-B540-C2655B91D0EC}">
            <x14:iconSet iconSet="3Stars" showValue="0" custom="1">
              <x14:cfvo type="percent">
                <xm:f>0</xm:f>
              </x14:cfvo>
              <x14:cfvo type="num">
                <xm:f>1</xm:f>
              </x14:cfvo>
              <x14:cfvo type="num">
                <xm:f>2</xm:f>
              </x14:cfvo>
              <x14:cfIcon iconSet="3Signs" iconId="1"/>
              <x14:cfIcon iconSet="3Flags" iconId="0"/>
              <x14:cfIcon iconSet="3Signs" iconId="0"/>
            </x14:iconSet>
          </x14:cfRule>
          <xm:sqref>AO7</xm:sqref>
        </x14:conditionalFormatting>
        <x14:conditionalFormatting xmlns:xm="http://schemas.microsoft.com/office/excel/2006/main">
          <x14:cfRule type="iconSet" priority="18" id="{8952E159-8216-41EC-9A00-6176EE9B3527}">
            <x14:iconSet iconSet="3Stars" showValue="0" custom="1">
              <x14:cfvo type="percent">
                <xm:f>0</xm:f>
              </x14:cfvo>
              <x14:cfvo type="num">
                <xm:f>1</xm:f>
              </x14:cfvo>
              <x14:cfvo type="num">
                <xm:f>2</xm:f>
              </x14:cfvo>
              <x14:cfIcon iconSet="3Signs" iconId="1"/>
              <x14:cfIcon iconSet="3Flags" iconId="0"/>
              <x14:cfIcon iconSet="3Signs" iconId="0"/>
            </x14:iconSet>
          </x14:cfRule>
          <xm:sqref>AP79:DR83</xm:sqref>
        </x14:conditionalFormatting>
        <x14:conditionalFormatting xmlns:xm="http://schemas.microsoft.com/office/excel/2006/main">
          <x14:cfRule type="iconSet" priority="17" id="{32C4EBB1-C3AF-4C89-A311-F2447EEDC37E}">
            <x14:iconSet iconSet="3Stars" showValue="0" custom="1">
              <x14:cfvo type="percent">
                <xm:f>0</xm:f>
              </x14:cfvo>
              <x14:cfvo type="num">
                <xm:f>1</xm:f>
              </x14:cfvo>
              <x14:cfvo type="num">
                <xm:f>2</xm:f>
              </x14:cfvo>
              <x14:cfIcon iconSet="3Signs" iconId="1"/>
              <x14:cfIcon iconSet="3Flags" iconId="0"/>
              <x14:cfIcon iconSet="3Signs" iconId="0"/>
            </x14:iconSet>
          </x14:cfRule>
          <xm:sqref>AP75:DU83 R75:CW84 P75:CT96 P30:DU36 P38:DU78 AA37:DU37 P30:CU84</xm:sqref>
        </x14:conditionalFormatting>
        <x14:conditionalFormatting xmlns:xm="http://schemas.microsoft.com/office/excel/2006/main">
          <x14:cfRule type="iconSet" priority="12" id="{C4D9873F-4604-46C4-84EF-1E6C84231C68}">
            <x14:iconSet iconSet="3Stars" showValue="0" custom="1">
              <x14:cfvo type="percent">
                <xm:f>0</xm:f>
              </x14:cfvo>
              <x14:cfvo type="num">
                <xm:f>1</xm:f>
              </x14:cfvo>
              <x14:cfvo type="num">
                <xm:f>2</xm:f>
              </x14:cfvo>
              <x14:cfIcon iconSet="3Signs" iconId="1"/>
              <x14:cfIcon iconSet="3Flags" iconId="0"/>
              <x14:cfIcon iconSet="3Signs" iconId="0"/>
            </x14:iconSet>
          </x14:cfRule>
          <xm:sqref>AQ11:AQ20</xm:sqref>
        </x14:conditionalFormatting>
        <x14:conditionalFormatting xmlns:xm="http://schemas.microsoft.com/office/excel/2006/main">
          <x14:cfRule type="iconSet" priority="23" id="{E473E98C-287A-46DB-A3C1-8B7E973AF915}">
            <x14:iconSet iconSet="3Stars" showValue="0" custom="1">
              <x14:cfvo type="percent">
                <xm:f>0</xm:f>
              </x14:cfvo>
              <x14:cfvo type="num">
                <xm:f>1</xm:f>
              </x14:cfvo>
              <x14:cfvo type="num">
                <xm:f>2</xm:f>
              </x14:cfvo>
              <x14:cfIcon iconSet="3Signs" iconId="1"/>
              <x14:cfIcon iconSet="3Flags" iconId="0"/>
              <x14:cfIcon iconSet="3Signs" iconId="0"/>
            </x14:iconSet>
          </x14:cfRule>
          <xm:sqref>AQ8:DL10 AP7:DK7 AR11:DL12 AR14:DL25 AP15:AQ23 DM15:DU25 R75:CW84 AQ24:AQ25 P75:CT96 P30:DU36 P38:DU78 AA37:DU37 P30:CU84</xm:sqref>
        </x14:conditionalFormatting>
        <x14:conditionalFormatting xmlns:xm="http://schemas.microsoft.com/office/excel/2006/main">
          <x14:cfRule type="iconSet" priority="7" id="{02E2F895-53F7-4353-B1B1-6B803807E861}">
            <x14:iconSet iconSet="3Stars" showValue="0" custom="1">
              <x14:cfvo type="percent">
                <xm:f>0</xm:f>
              </x14:cfvo>
              <x14:cfvo type="num">
                <xm:f>1</xm:f>
              </x14:cfvo>
              <x14:cfvo type="num">
                <xm:f>2</xm:f>
              </x14:cfvo>
              <x14:cfIcon iconSet="3Signs" iconId="1"/>
              <x14:cfIcon iconSet="3Flags" iconId="0"/>
              <x14:cfIcon iconSet="3Signs" iconId="0"/>
            </x14:iconSet>
          </x14:cfRule>
          <xm:sqref>CJ52:CO52</xm:sqref>
        </x14:conditionalFormatting>
        <x14:conditionalFormatting xmlns:xm="http://schemas.microsoft.com/office/excel/2006/main">
          <x14:cfRule type="iconSet" priority="21" id="{EC1D6B67-BED0-4DC7-97C6-919BB3551B69}">
            <x14:iconSet iconSet="3Stars" showValue="0" custom="1">
              <x14:cfvo type="percent">
                <xm:f>0</xm:f>
              </x14:cfvo>
              <x14:cfvo type="num">
                <xm:f>1</xm:f>
              </x14:cfvo>
              <x14:cfvo type="num">
                <xm:f>2</xm:f>
              </x14:cfvo>
              <x14:cfIcon iconSet="3Signs" iconId="1"/>
              <x14:cfIcon iconSet="3Flags" iconId="0"/>
              <x14:cfIcon iconSet="3Signs" iconId="0"/>
            </x14:iconSet>
          </x14:cfRule>
          <xm:sqref>CJ53:CO71 DM8:DR12 DL7:DQ7 DM14:DR19 DM22:DR25 CJ33:CO51 CI31:CN32</xm:sqref>
        </x14:conditionalFormatting>
        <x14:conditionalFormatting xmlns:xm="http://schemas.microsoft.com/office/excel/2006/main">
          <x14:cfRule type="iconSet" priority="8" id="{65B57FED-3C5D-4FE2-B960-7071AFE87695}">
            <x14:iconSet iconSet="3Stars" showValue="0" custom="1">
              <x14:cfvo type="percent">
                <xm:f>0</xm:f>
              </x14:cfvo>
              <x14:cfvo type="num">
                <xm:f>1</xm:f>
              </x14:cfvo>
              <x14:cfvo type="num">
                <xm:f>2</xm:f>
              </x14:cfvo>
              <x14:cfIcon iconSet="3Signs" iconId="1"/>
              <x14:cfIcon iconSet="3Flags" iconId="0"/>
              <x14:cfIcon iconSet="3Signs" iconId="0"/>
            </x14:iconSet>
          </x14:cfRule>
          <xm:sqref>CP52:CR52</xm:sqref>
        </x14:conditionalFormatting>
        <x14:conditionalFormatting xmlns:xm="http://schemas.microsoft.com/office/excel/2006/main">
          <x14:cfRule type="iconSet" priority="22" id="{E1FA3778-36D6-4EC4-B65E-1E331FF5D5CD}">
            <x14:iconSet iconSet="3Stars" showValue="0" custom="1">
              <x14:cfvo type="percent">
                <xm:f>0</xm:f>
              </x14:cfvo>
              <x14:cfvo type="num">
                <xm:f>1</xm:f>
              </x14:cfvo>
              <x14:cfvo type="num">
                <xm:f>2</xm:f>
              </x14:cfvo>
              <x14:cfIcon iconSet="3Signs" iconId="1"/>
              <x14:cfIcon iconSet="3Flags" iconId="0"/>
              <x14:cfIcon iconSet="3Signs" iconId="0"/>
            </x14:iconSet>
          </x14:cfRule>
          <xm:sqref>CP53:CR71 DS8:DU12 DR7:DT7 DS14:DU19 DS22:DU25 CP33:CR51 CO31:CQ32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76BB-94C9-4AB0-BFDD-E403D15482C9}">
  <sheetPr codeName="Sheet9"/>
  <dimension ref="A1:E19"/>
  <sheetViews>
    <sheetView topLeftCell="A4" workbookViewId="0">
      <selection activeCell="E5" sqref="E5"/>
    </sheetView>
  </sheetViews>
  <sheetFormatPr defaultRowHeight="15"/>
  <cols>
    <col min="1" max="1" width="12.7109375" bestFit="1" customWidth="1"/>
    <col min="2" max="2" width="10.7109375" bestFit="1" customWidth="1"/>
  </cols>
  <sheetData>
    <row r="1" spans="1:5">
      <c r="A1" s="609" t="s">
        <v>439</v>
      </c>
      <c r="B1" s="609"/>
      <c r="C1" s="609"/>
      <c r="D1" s="609"/>
      <c r="E1" s="609"/>
    </row>
    <row r="3" spans="1:5">
      <c r="A3" s="3" t="s">
        <v>440</v>
      </c>
      <c r="B3" s="3" t="s">
        <v>327</v>
      </c>
      <c r="C3" s="13" t="s">
        <v>441</v>
      </c>
      <c r="D3" s="13" t="s">
        <v>328</v>
      </c>
      <c r="E3" s="3"/>
    </row>
    <row r="4" spans="1:5">
      <c r="A4" s="2"/>
      <c r="C4" s="14"/>
      <c r="D4" s="14"/>
      <c r="E4" s="14"/>
    </row>
    <row r="5" spans="1:5">
      <c r="A5" s="2" t="s">
        <v>318</v>
      </c>
      <c r="B5" s="12" t="s">
        <v>442</v>
      </c>
      <c r="C5" s="14" t="s">
        <v>443</v>
      </c>
      <c r="D5" s="14">
        <v>0</v>
      </c>
      <c r="E5" s="14"/>
    </row>
    <row r="6" spans="1:5">
      <c r="A6" s="2"/>
      <c r="C6" s="14"/>
      <c r="D6" s="14"/>
      <c r="E6" s="14"/>
    </row>
    <row r="7" spans="1:5">
      <c r="A7" s="2"/>
      <c r="C7" s="14"/>
      <c r="D7" s="14"/>
      <c r="E7" s="14"/>
    </row>
    <row r="8" spans="1:5">
      <c r="A8" s="2"/>
      <c r="C8" s="14"/>
      <c r="D8" s="14"/>
      <c r="E8" s="14"/>
    </row>
    <row r="9" spans="1:5">
      <c r="A9" s="2"/>
      <c r="C9" s="14"/>
      <c r="D9" s="14"/>
      <c r="E9" s="14"/>
    </row>
    <row r="10" spans="1:5">
      <c r="A10" s="2"/>
      <c r="C10" s="14"/>
      <c r="D10" s="14"/>
      <c r="E10" s="14"/>
    </row>
    <row r="11" spans="1:5">
      <c r="A11" s="2"/>
      <c r="C11" s="14"/>
      <c r="D11" s="14"/>
    </row>
    <row r="12" spans="1:5">
      <c r="A12" s="2"/>
      <c r="C12" s="14"/>
      <c r="D12" s="14"/>
    </row>
    <row r="13" spans="1:5">
      <c r="A13" s="2"/>
      <c r="C13" s="14"/>
      <c r="D13" s="14"/>
    </row>
    <row r="14" spans="1:5">
      <c r="A14" s="2"/>
      <c r="C14" s="14"/>
      <c r="D14" s="14"/>
    </row>
    <row r="15" spans="1:5">
      <c r="A15" s="2"/>
      <c r="C15" s="14"/>
      <c r="D15" s="14"/>
    </row>
    <row r="16" spans="1:5">
      <c r="A16" s="2"/>
      <c r="C16" s="14"/>
      <c r="D16" s="14"/>
    </row>
    <row r="17" spans="1:5">
      <c r="A17" s="2"/>
      <c r="C17" s="14"/>
      <c r="D17" s="14"/>
    </row>
    <row r="18" spans="1:5" ht="15.75" thickBot="1">
      <c r="A18" s="2"/>
      <c r="C18" s="14"/>
      <c r="D18" s="23"/>
      <c r="E18" s="23"/>
    </row>
    <row r="19" spans="1:5">
      <c r="A19" s="2"/>
      <c r="C19" s="14"/>
      <c r="D19" s="14"/>
      <c r="E19" s="5">
        <f>SUM(D4:D18)</f>
        <v>0</v>
      </c>
    </row>
  </sheetData>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43769-E26D-4717-8496-30C9FE99907F}">
  <sheetPr codeName="Sheet10"/>
  <dimension ref="A1:Z1000"/>
  <sheetViews>
    <sheetView topLeftCell="A17" workbookViewId="0">
      <selection activeCell="G12" sqref="G12"/>
    </sheetView>
  </sheetViews>
  <sheetFormatPr defaultColWidth="16" defaultRowHeight="15"/>
  <cols>
    <col min="1" max="1" width="10.5703125" customWidth="1"/>
    <col min="2" max="2" width="8.140625" customWidth="1"/>
    <col min="3" max="3" width="18" customWidth="1"/>
    <col min="4" max="4" width="13.7109375" customWidth="1"/>
    <col min="5" max="5" width="13.85546875" customWidth="1"/>
    <col min="6" max="6" width="13.28515625" customWidth="1"/>
    <col min="7" max="7" width="6.85546875" customWidth="1"/>
    <col min="8" max="17" width="9.28515625" customWidth="1"/>
    <col min="18" max="26" width="11.28515625" customWidth="1"/>
  </cols>
  <sheetData>
    <row r="1" spans="1:26" ht="12.75" customHeight="1">
      <c r="A1" s="546" t="s">
        <v>444</v>
      </c>
      <c r="B1" s="628"/>
      <c r="C1" s="628"/>
      <c r="D1" s="628"/>
      <c r="E1" s="43"/>
      <c r="F1" s="44"/>
      <c r="G1" s="45"/>
      <c r="H1" s="45"/>
      <c r="I1" s="45"/>
      <c r="J1" s="45"/>
      <c r="K1" s="45"/>
      <c r="L1" s="45"/>
      <c r="M1" s="45"/>
      <c r="N1" s="45"/>
      <c r="O1" s="45"/>
      <c r="P1" s="45"/>
      <c r="Q1" s="45"/>
      <c r="R1" s="45"/>
      <c r="S1" s="45"/>
      <c r="T1" s="45"/>
      <c r="U1" s="45"/>
      <c r="V1" s="45"/>
      <c r="W1" s="45"/>
      <c r="X1" s="45"/>
      <c r="Y1" s="45"/>
      <c r="Z1" s="45"/>
    </row>
    <row r="2" spans="1:26" ht="11.25" customHeight="1">
      <c r="A2" s="629"/>
      <c r="B2" s="630"/>
      <c r="C2" s="630"/>
      <c r="D2" s="630"/>
      <c r="E2" s="46"/>
      <c r="F2" s="47"/>
      <c r="G2" s="45"/>
      <c r="H2" s="45"/>
      <c r="I2" s="45"/>
      <c r="J2" s="45"/>
      <c r="K2" s="45"/>
      <c r="L2" s="45"/>
      <c r="M2" s="45"/>
      <c r="N2" s="45"/>
      <c r="O2" s="45"/>
      <c r="P2" s="45"/>
      <c r="Q2" s="45"/>
      <c r="R2" s="45"/>
      <c r="S2" s="45"/>
      <c r="T2" s="45"/>
      <c r="U2" s="45"/>
      <c r="V2" s="45"/>
      <c r="W2" s="45"/>
      <c r="X2" s="45"/>
      <c r="Y2" s="45"/>
      <c r="Z2" s="45"/>
    </row>
    <row r="3" spans="1:26" ht="18" customHeight="1">
      <c r="A3" s="48" t="s">
        <v>445</v>
      </c>
      <c r="B3" s="547" t="s">
        <v>446</v>
      </c>
      <c r="C3" s="631"/>
      <c r="D3" s="548"/>
      <c r="E3" s="549"/>
      <c r="F3" s="49"/>
      <c r="G3" s="45"/>
      <c r="H3" s="45"/>
      <c r="I3" s="45"/>
      <c r="J3" s="45"/>
      <c r="K3" s="45"/>
      <c r="L3" s="45"/>
      <c r="M3" s="45"/>
      <c r="N3" s="45"/>
      <c r="O3" s="45"/>
      <c r="P3" s="45"/>
      <c r="Q3" s="45"/>
      <c r="R3" s="45"/>
      <c r="S3" s="45"/>
      <c r="T3" s="45"/>
      <c r="U3" s="45"/>
      <c r="V3" s="45"/>
      <c r="W3" s="45"/>
      <c r="X3" s="45"/>
      <c r="Y3" s="45"/>
      <c r="Z3" s="45"/>
    </row>
    <row r="4" spans="1:26" ht="13.5" customHeight="1">
      <c r="A4" s="50" t="s">
        <v>447</v>
      </c>
      <c r="B4" s="550" t="s">
        <v>446</v>
      </c>
      <c r="C4" s="609"/>
      <c r="D4" s="609"/>
      <c r="E4" s="609"/>
      <c r="F4" s="51"/>
      <c r="G4" s="45"/>
      <c r="H4" s="45"/>
      <c r="I4" s="45"/>
      <c r="J4" s="45"/>
      <c r="K4" s="45"/>
      <c r="L4" s="45"/>
      <c r="M4" s="45"/>
      <c r="N4" s="45"/>
      <c r="O4" s="45"/>
      <c r="P4" s="45"/>
      <c r="Q4" s="45"/>
      <c r="R4" s="45"/>
      <c r="S4" s="45"/>
      <c r="T4" s="45"/>
      <c r="U4" s="45"/>
      <c r="V4" s="45"/>
      <c r="W4" s="45"/>
      <c r="X4" s="45"/>
      <c r="Y4" s="45"/>
      <c r="Z4" s="45"/>
    </row>
    <row r="5" spans="1:26" ht="15.75" customHeight="1">
      <c r="A5" s="50" t="s">
        <v>448</v>
      </c>
      <c r="B5" s="545" t="s">
        <v>446</v>
      </c>
      <c r="C5" s="609"/>
      <c r="D5" s="52"/>
      <c r="E5" s="45"/>
      <c r="F5" s="51"/>
      <c r="G5" s="45"/>
      <c r="H5" s="45"/>
      <c r="I5" s="45"/>
      <c r="J5" s="45"/>
      <c r="K5" s="45"/>
      <c r="L5" s="45"/>
      <c r="M5" s="45"/>
      <c r="N5" s="45"/>
      <c r="O5" s="45"/>
      <c r="P5" s="45"/>
      <c r="Q5" s="45"/>
      <c r="R5" s="45"/>
      <c r="S5" s="45"/>
      <c r="T5" s="45"/>
      <c r="U5" s="45"/>
      <c r="V5" s="45"/>
      <c r="W5" s="45"/>
      <c r="X5" s="45"/>
      <c r="Y5" s="45"/>
      <c r="Z5" s="45"/>
    </row>
    <row r="6" spans="1:26" ht="41.25" customHeight="1">
      <c r="A6" s="53"/>
      <c r="B6" s="552" t="s">
        <v>449</v>
      </c>
      <c r="C6" s="632"/>
      <c r="D6" s="54" t="s">
        <v>450</v>
      </c>
      <c r="E6" s="54" t="s">
        <v>451</v>
      </c>
      <c r="F6" s="55" t="s">
        <v>452</v>
      </c>
      <c r="G6" s="56"/>
      <c r="H6" s="45"/>
      <c r="I6" s="45"/>
      <c r="J6" s="45"/>
      <c r="K6" s="45"/>
      <c r="L6" s="45"/>
      <c r="M6" s="45"/>
      <c r="N6" s="45"/>
      <c r="O6" s="57"/>
      <c r="P6" s="45"/>
      <c r="Q6" s="45"/>
      <c r="R6" s="45"/>
      <c r="S6" s="45"/>
      <c r="T6" s="45"/>
      <c r="U6" s="45"/>
      <c r="V6" s="45"/>
      <c r="W6" s="45"/>
      <c r="X6" s="45"/>
      <c r="Y6" s="45"/>
      <c r="Z6" s="45"/>
    </row>
    <row r="7" spans="1:26" ht="13.5" customHeight="1">
      <c r="A7" s="58">
        <v>100</v>
      </c>
      <c r="B7" s="551" t="s">
        <v>453</v>
      </c>
      <c r="C7" s="633"/>
      <c r="D7" s="59">
        <v>0</v>
      </c>
      <c r="E7" s="59">
        <v>0</v>
      </c>
      <c r="F7" s="60">
        <f t="shared" ref="F7:F48" si="0">SUM(D7-E7)</f>
        <v>0</v>
      </c>
      <c r="G7" s="56"/>
      <c r="H7" s="45"/>
      <c r="I7" s="45"/>
      <c r="J7" s="45"/>
      <c r="K7" s="45"/>
      <c r="L7" s="45"/>
      <c r="M7" s="45"/>
      <c r="N7" s="45"/>
      <c r="O7" s="57"/>
      <c r="P7" s="45"/>
      <c r="Q7" s="45"/>
      <c r="R7" s="45"/>
      <c r="S7" s="45"/>
      <c r="T7" s="45"/>
      <c r="U7" s="45"/>
      <c r="V7" s="45"/>
      <c r="W7" s="45"/>
      <c r="X7" s="45"/>
      <c r="Y7" s="45"/>
      <c r="Z7" s="45"/>
    </row>
    <row r="8" spans="1:26" ht="13.5" customHeight="1">
      <c r="A8" s="58">
        <v>1000</v>
      </c>
      <c r="B8" s="551" t="s">
        <v>454</v>
      </c>
      <c r="C8" s="633"/>
      <c r="D8" s="59">
        <v>0</v>
      </c>
      <c r="E8" s="59">
        <v>0</v>
      </c>
      <c r="F8" s="60">
        <f t="shared" si="0"/>
        <v>0</v>
      </c>
      <c r="G8" s="56"/>
      <c r="H8" s="45"/>
      <c r="I8" s="45"/>
      <c r="J8" s="45"/>
      <c r="K8" s="45"/>
      <c r="L8" s="45"/>
      <c r="M8" s="45"/>
      <c r="N8" s="45"/>
      <c r="O8" s="57"/>
      <c r="P8" s="45"/>
      <c r="Q8" s="45"/>
      <c r="R8" s="45"/>
      <c r="S8" s="45"/>
      <c r="T8" s="45"/>
      <c r="U8" s="45"/>
      <c r="V8" s="45"/>
      <c r="W8" s="45"/>
      <c r="X8" s="45"/>
      <c r="Y8" s="45"/>
      <c r="Z8" s="45"/>
    </row>
    <row r="9" spans="1:26" ht="13.5" customHeight="1">
      <c r="A9" s="58">
        <v>2000</v>
      </c>
      <c r="B9" s="551" t="s">
        <v>455</v>
      </c>
      <c r="C9" s="633"/>
      <c r="D9" s="59">
        <v>0</v>
      </c>
      <c r="E9" s="59">
        <v>0</v>
      </c>
      <c r="F9" s="60">
        <f t="shared" si="0"/>
        <v>0</v>
      </c>
      <c r="G9" s="56"/>
      <c r="H9" s="45"/>
      <c r="I9" s="45"/>
      <c r="J9" s="45"/>
      <c r="K9" s="45"/>
      <c r="L9" s="45"/>
      <c r="M9" s="45"/>
      <c r="N9" s="45"/>
      <c r="O9" s="45"/>
      <c r="P9" s="45"/>
      <c r="Q9" s="45"/>
      <c r="R9" s="45"/>
      <c r="S9" s="45"/>
      <c r="T9" s="45"/>
      <c r="U9" s="45"/>
      <c r="V9" s="45"/>
      <c r="W9" s="45"/>
      <c r="X9" s="45"/>
      <c r="Y9" s="45"/>
      <c r="Z9" s="45"/>
    </row>
    <row r="10" spans="1:26" ht="13.5" customHeight="1">
      <c r="A10" s="58">
        <v>3000</v>
      </c>
      <c r="B10" s="551" t="s">
        <v>456</v>
      </c>
      <c r="C10" s="633"/>
      <c r="D10" s="59">
        <v>0</v>
      </c>
      <c r="E10" s="59">
        <v>0</v>
      </c>
      <c r="F10" s="60">
        <f t="shared" si="0"/>
        <v>0</v>
      </c>
      <c r="G10" s="56"/>
      <c r="H10" s="45"/>
      <c r="I10" s="45"/>
      <c r="J10" s="45"/>
      <c r="K10" s="45"/>
      <c r="L10" s="45"/>
      <c r="M10" s="45"/>
      <c r="N10" s="45"/>
      <c r="O10" s="45"/>
      <c r="P10" s="45"/>
      <c r="Q10" s="45"/>
      <c r="R10" s="45"/>
      <c r="S10" s="45"/>
      <c r="T10" s="45"/>
      <c r="U10" s="45"/>
      <c r="V10" s="45"/>
      <c r="W10" s="45"/>
      <c r="X10" s="45"/>
      <c r="Y10" s="45"/>
      <c r="Z10" s="45"/>
    </row>
    <row r="11" spans="1:26" ht="13.5" customHeight="1">
      <c r="A11" s="58">
        <v>4000</v>
      </c>
      <c r="B11" s="551" t="s">
        <v>457</v>
      </c>
      <c r="C11" s="633"/>
      <c r="D11" s="59">
        <v>0</v>
      </c>
      <c r="E11" s="59">
        <v>0</v>
      </c>
      <c r="F11" s="60">
        <f t="shared" si="0"/>
        <v>0</v>
      </c>
      <c r="G11" s="56"/>
      <c r="H11" s="45"/>
      <c r="I11" s="45"/>
      <c r="J11" s="45"/>
      <c r="K11" s="45"/>
      <c r="L11" s="45"/>
      <c r="M11" s="45"/>
      <c r="N11" s="45"/>
      <c r="O11" s="45"/>
      <c r="P11" s="45"/>
      <c r="Q11" s="45"/>
      <c r="R11" s="45"/>
      <c r="S11" s="45"/>
      <c r="T11" s="45"/>
      <c r="U11" s="45"/>
      <c r="V11" s="45"/>
      <c r="W11" s="45"/>
      <c r="X11" s="45"/>
      <c r="Y11" s="45"/>
      <c r="Z11" s="45"/>
    </row>
    <row r="12" spans="1:26" ht="13.5" customHeight="1">
      <c r="A12" s="58">
        <v>5000</v>
      </c>
      <c r="B12" s="61" t="s">
        <v>458</v>
      </c>
      <c r="C12" s="61"/>
      <c r="D12" s="59">
        <v>0</v>
      </c>
      <c r="E12" s="59">
        <v>0</v>
      </c>
      <c r="F12" s="60">
        <f t="shared" si="0"/>
        <v>0</v>
      </c>
      <c r="G12" s="56"/>
      <c r="H12" s="45"/>
      <c r="I12" s="45"/>
      <c r="J12" s="45"/>
      <c r="K12" s="45"/>
      <c r="L12" s="45"/>
      <c r="M12" s="45"/>
      <c r="N12" s="45"/>
      <c r="O12" s="45"/>
      <c r="P12" s="45"/>
      <c r="Q12" s="45"/>
      <c r="R12" s="45"/>
      <c r="S12" s="45"/>
      <c r="T12" s="45"/>
      <c r="U12" s="45"/>
      <c r="V12" s="45"/>
      <c r="W12" s="45"/>
      <c r="X12" s="45"/>
      <c r="Y12" s="45"/>
      <c r="Z12" s="45"/>
    </row>
    <row r="13" spans="1:26" ht="13.5" customHeight="1">
      <c r="A13" s="58">
        <v>6000</v>
      </c>
      <c r="B13" s="61" t="s">
        <v>459</v>
      </c>
      <c r="C13" s="61"/>
      <c r="D13" s="59">
        <v>0</v>
      </c>
      <c r="E13" s="59">
        <v>0</v>
      </c>
      <c r="F13" s="60">
        <f t="shared" si="0"/>
        <v>0</v>
      </c>
      <c r="G13" s="56"/>
      <c r="H13" s="45"/>
      <c r="I13" s="45"/>
      <c r="J13" s="45"/>
      <c r="K13" s="45"/>
      <c r="L13" s="45"/>
      <c r="M13" s="45"/>
      <c r="N13" s="45"/>
      <c r="O13" s="45"/>
      <c r="P13" s="45"/>
      <c r="Q13" s="45"/>
      <c r="R13" s="45"/>
      <c r="S13" s="45"/>
      <c r="T13" s="45"/>
      <c r="U13" s="45"/>
      <c r="V13" s="45"/>
      <c r="W13" s="45"/>
      <c r="X13" s="45"/>
      <c r="Y13" s="45"/>
      <c r="Z13" s="45"/>
    </row>
    <row r="14" spans="1:26" ht="13.5" customHeight="1">
      <c r="A14" s="58">
        <v>7000</v>
      </c>
      <c r="B14" s="61" t="s">
        <v>460</v>
      </c>
      <c r="C14" s="61"/>
      <c r="D14" s="59">
        <v>0</v>
      </c>
      <c r="E14" s="59">
        <v>0</v>
      </c>
      <c r="F14" s="60">
        <f t="shared" si="0"/>
        <v>0</v>
      </c>
      <c r="G14" s="56"/>
      <c r="H14" s="45"/>
      <c r="I14" s="45"/>
      <c r="J14" s="45"/>
      <c r="K14" s="45"/>
      <c r="L14" s="45"/>
      <c r="M14" s="45"/>
      <c r="N14" s="45"/>
      <c r="O14" s="45"/>
      <c r="P14" s="45"/>
      <c r="Q14" s="45"/>
      <c r="R14" s="45"/>
      <c r="S14" s="45"/>
      <c r="T14" s="45"/>
      <c r="U14" s="45"/>
      <c r="V14" s="45"/>
      <c r="W14" s="45"/>
      <c r="X14" s="45"/>
      <c r="Y14" s="45"/>
      <c r="Z14" s="45"/>
    </row>
    <row r="15" spans="1:26" ht="13.5" customHeight="1">
      <c r="A15" s="58">
        <v>8000</v>
      </c>
      <c r="B15" s="61" t="s">
        <v>461</v>
      </c>
      <c r="C15" s="61"/>
      <c r="D15" s="59">
        <v>0</v>
      </c>
      <c r="E15" s="59">
        <v>0</v>
      </c>
      <c r="F15" s="60">
        <f t="shared" si="0"/>
        <v>0</v>
      </c>
      <c r="G15" s="56"/>
      <c r="H15" s="45"/>
      <c r="I15" s="45"/>
      <c r="J15" s="45"/>
      <c r="K15" s="45"/>
      <c r="L15" s="45"/>
      <c r="M15" s="45"/>
      <c r="N15" s="45"/>
      <c r="O15" s="45"/>
      <c r="P15" s="45"/>
      <c r="Q15" s="45"/>
      <c r="R15" s="45"/>
      <c r="S15" s="45"/>
      <c r="T15" s="45"/>
      <c r="U15" s="45"/>
      <c r="V15" s="45"/>
      <c r="W15" s="45"/>
      <c r="X15" s="45"/>
      <c r="Y15" s="45"/>
      <c r="Z15" s="45"/>
    </row>
    <row r="16" spans="1:26" ht="13.5" customHeight="1">
      <c r="A16" s="58">
        <v>9000</v>
      </c>
      <c r="B16" s="551" t="s">
        <v>462</v>
      </c>
      <c r="C16" s="633"/>
      <c r="D16" s="59">
        <v>0</v>
      </c>
      <c r="E16" s="62">
        <v>0</v>
      </c>
      <c r="F16" s="60">
        <f t="shared" si="0"/>
        <v>0</v>
      </c>
      <c r="G16" s="56"/>
      <c r="H16" s="45"/>
      <c r="I16" s="45"/>
      <c r="J16" s="45"/>
      <c r="K16" s="45"/>
      <c r="L16" s="45"/>
      <c r="M16" s="45"/>
      <c r="N16" s="45"/>
      <c r="O16" s="45"/>
      <c r="P16" s="45"/>
      <c r="Q16" s="45"/>
      <c r="R16" s="45"/>
      <c r="S16" s="45"/>
      <c r="T16" s="45"/>
      <c r="U16" s="45"/>
      <c r="V16" s="45"/>
      <c r="W16" s="45"/>
      <c r="X16" s="45"/>
      <c r="Y16" s="45"/>
      <c r="Z16" s="45"/>
    </row>
    <row r="17" spans="1:26" ht="13.5" customHeight="1">
      <c r="A17" s="58">
        <v>10000</v>
      </c>
      <c r="B17" s="551" t="s">
        <v>463</v>
      </c>
      <c r="C17" s="633"/>
      <c r="D17" s="59">
        <v>0</v>
      </c>
      <c r="E17" s="59">
        <v>0</v>
      </c>
      <c r="F17" s="60">
        <f t="shared" si="0"/>
        <v>0</v>
      </c>
      <c r="G17" s="56"/>
      <c r="H17" s="45"/>
      <c r="I17" s="45"/>
      <c r="J17" s="45"/>
      <c r="K17" s="45"/>
      <c r="L17" s="45"/>
      <c r="M17" s="45"/>
      <c r="N17" s="45"/>
      <c r="O17" s="45"/>
      <c r="P17" s="45"/>
      <c r="Q17" s="45"/>
      <c r="R17" s="45"/>
      <c r="S17" s="45"/>
      <c r="T17" s="45"/>
      <c r="U17" s="45"/>
      <c r="V17" s="45"/>
      <c r="W17" s="45"/>
      <c r="X17" s="45"/>
      <c r="Y17" s="45"/>
      <c r="Z17" s="45"/>
    </row>
    <row r="18" spans="1:26" ht="13.5" customHeight="1">
      <c r="A18" s="58">
        <v>11000</v>
      </c>
      <c r="B18" s="551" t="s">
        <v>464</v>
      </c>
      <c r="C18" s="633"/>
      <c r="D18" s="59">
        <v>0</v>
      </c>
      <c r="E18" s="59">
        <v>0</v>
      </c>
      <c r="F18" s="60">
        <f t="shared" si="0"/>
        <v>0</v>
      </c>
      <c r="G18" s="56"/>
      <c r="H18" s="45"/>
      <c r="I18" s="45"/>
      <c r="J18" s="45"/>
      <c r="K18" s="45"/>
      <c r="L18" s="45"/>
      <c r="M18" s="45"/>
      <c r="N18" s="45"/>
      <c r="O18" s="45"/>
      <c r="P18" s="45"/>
      <c r="Q18" s="45"/>
      <c r="R18" s="45"/>
      <c r="S18" s="45"/>
      <c r="T18" s="45"/>
      <c r="U18" s="45"/>
      <c r="V18" s="45"/>
      <c r="W18" s="45"/>
      <c r="X18" s="45"/>
      <c r="Y18" s="45"/>
      <c r="Z18" s="45"/>
    </row>
    <row r="19" spans="1:26" ht="13.5" customHeight="1">
      <c r="A19" s="58">
        <v>12000</v>
      </c>
      <c r="B19" s="551" t="s">
        <v>465</v>
      </c>
      <c r="C19" s="633"/>
      <c r="D19" s="59">
        <v>0</v>
      </c>
      <c r="E19" s="59">
        <v>0</v>
      </c>
      <c r="F19" s="60">
        <f t="shared" si="0"/>
        <v>0</v>
      </c>
      <c r="G19" s="56"/>
      <c r="H19" s="45"/>
      <c r="I19" s="45"/>
      <c r="J19" s="45"/>
      <c r="K19" s="45"/>
      <c r="L19" s="45"/>
      <c r="M19" s="45"/>
      <c r="N19" s="45"/>
      <c r="O19" s="45"/>
      <c r="P19" s="45"/>
      <c r="Q19" s="45"/>
      <c r="R19" s="45"/>
      <c r="S19" s="45"/>
      <c r="T19" s="45"/>
      <c r="U19" s="45"/>
      <c r="V19" s="45"/>
      <c r="W19" s="45"/>
      <c r="X19" s="45"/>
      <c r="Y19" s="45"/>
      <c r="Z19" s="45"/>
    </row>
    <row r="20" spans="1:26" ht="13.5" customHeight="1">
      <c r="A20" s="58">
        <v>13000</v>
      </c>
      <c r="B20" s="551" t="s">
        <v>370</v>
      </c>
      <c r="C20" s="633"/>
      <c r="D20" s="59">
        <v>0</v>
      </c>
      <c r="E20" s="59">
        <v>0</v>
      </c>
      <c r="F20" s="60">
        <f t="shared" si="0"/>
        <v>0</v>
      </c>
      <c r="G20" s="56"/>
      <c r="H20" s="45"/>
      <c r="I20" s="45"/>
      <c r="J20" s="45"/>
      <c r="K20" s="45"/>
      <c r="L20" s="45"/>
      <c r="M20" s="45"/>
      <c r="N20" s="45"/>
      <c r="O20" s="45"/>
      <c r="P20" s="45"/>
      <c r="Q20" s="45"/>
      <c r="R20" s="45"/>
      <c r="S20" s="45"/>
      <c r="T20" s="45"/>
      <c r="U20" s="45"/>
      <c r="V20" s="45"/>
      <c r="W20" s="45"/>
      <c r="X20" s="45"/>
      <c r="Y20" s="45"/>
      <c r="Z20" s="45"/>
    </row>
    <row r="21" spans="1:26" ht="13.5" customHeight="1">
      <c r="A21" s="58">
        <v>14000</v>
      </c>
      <c r="B21" s="551" t="s">
        <v>466</v>
      </c>
      <c r="C21" s="633"/>
      <c r="D21" s="59">
        <v>0</v>
      </c>
      <c r="E21" s="59">
        <v>0</v>
      </c>
      <c r="F21" s="60">
        <f t="shared" si="0"/>
        <v>0</v>
      </c>
      <c r="G21" s="56"/>
      <c r="H21" s="45"/>
      <c r="I21" s="45"/>
      <c r="J21" s="45"/>
      <c r="K21" s="45"/>
      <c r="L21" s="45"/>
      <c r="M21" s="45"/>
      <c r="N21" s="45"/>
      <c r="O21" s="45"/>
      <c r="P21" s="45"/>
      <c r="Q21" s="45"/>
      <c r="R21" s="45"/>
      <c r="S21" s="45"/>
      <c r="T21" s="45"/>
      <c r="U21" s="45"/>
      <c r="V21" s="45"/>
      <c r="W21" s="45"/>
      <c r="X21" s="45"/>
      <c r="Y21" s="45"/>
      <c r="Z21" s="45"/>
    </row>
    <row r="22" spans="1:26" ht="13.5" customHeight="1">
      <c r="A22" s="58">
        <v>15000</v>
      </c>
      <c r="B22" s="551" t="s">
        <v>467</v>
      </c>
      <c r="C22" s="633"/>
      <c r="D22" s="59">
        <v>0</v>
      </c>
      <c r="E22" s="59">
        <v>0</v>
      </c>
      <c r="F22" s="60">
        <f t="shared" si="0"/>
        <v>0</v>
      </c>
      <c r="G22" s="63"/>
      <c r="H22" s="45"/>
      <c r="I22" s="45"/>
      <c r="J22" s="45"/>
      <c r="K22" s="45"/>
      <c r="L22" s="45"/>
      <c r="M22" s="45"/>
      <c r="N22" s="45"/>
      <c r="O22" s="45"/>
      <c r="P22" s="45"/>
      <c r="Q22" s="45"/>
      <c r="R22" s="45"/>
      <c r="S22" s="45"/>
      <c r="T22" s="45"/>
      <c r="U22" s="45"/>
      <c r="V22" s="45"/>
      <c r="W22" s="45"/>
      <c r="X22" s="45"/>
      <c r="Y22" s="45"/>
      <c r="Z22" s="45"/>
    </row>
    <row r="23" spans="1:26" ht="13.5" customHeight="1">
      <c r="A23" s="58">
        <v>16000</v>
      </c>
      <c r="B23" s="551" t="s">
        <v>468</v>
      </c>
      <c r="C23" s="633"/>
      <c r="D23" s="59">
        <v>0</v>
      </c>
      <c r="E23" s="59">
        <v>0</v>
      </c>
      <c r="F23" s="60">
        <f t="shared" si="0"/>
        <v>0</v>
      </c>
      <c r="G23" s="63"/>
      <c r="H23" s="45"/>
      <c r="I23" s="45"/>
      <c r="J23" s="45"/>
      <c r="K23" s="45"/>
      <c r="L23" s="45"/>
      <c r="M23" s="45"/>
      <c r="N23" s="45"/>
      <c r="O23" s="45"/>
      <c r="P23" s="45"/>
      <c r="Q23" s="45"/>
      <c r="R23" s="45"/>
      <c r="S23" s="45"/>
      <c r="T23" s="45"/>
      <c r="U23" s="45"/>
      <c r="V23" s="45"/>
      <c r="W23" s="45"/>
      <c r="X23" s="45"/>
      <c r="Y23" s="45"/>
      <c r="Z23" s="45"/>
    </row>
    <row r="24" spans="1:26" ht="13.5" customHeight="1">
      <c r="A24" s="58">
        <v>17000</v>
      </c>
      <c r="B24" s="551" t="s">
        <v>469</v>
      </c>
      <c r="C24" s="633"/>
      <c r="D24" s="59">
        <v>0</v>
      </c>
      <c r="E24" s="59">
        <v>0</v>
      </c>
      <c r="F24" s="60">
        <f t="shared" si="0"/>
        <v>0</v>
      </c>
      <c r="G24" s="63"/>
      <c r="H24" s="45"/>
      <c r="I24" s="45"/>
      <c r="J24" s="45"/>
      <c r="K24" s="45"/>
      <c r="L24" s="45"/>
      <c r="M24" s="45"/>
      <c r="N24" s="45"/>
      <c r="O24" s="45"/>
      <c r="P24" s="45"/>
      <c r="Q24" s="45"/>
      <c r="R24" s="45"/>
      <c r="S24" s="45"/>
      <c r="T24" s="45"/>
      <c r="U24" s="45"/>
      <c r="V24" s="45"/>
      <c r="W24" s="45"/>
      <c r="X24" s="45"/>
      <c r="Y24" s="45"/>
      <c r="Z24" s="45"/>
    </row>
    <row r="25" spans="1:26" ht="13.5" customHeight="1">
      <c r="A25" s="58">
        <v>18000</v>
      </c>
      <c r="B25" s="551" t="s">
        <v>470</v>
      </c>
      <c r="C25" s="633"/>
      <c r="D25" s="59">
        <v>0</v>
      </c>
      <c r="E25" s="59">
        <v>0</v>
      </c>
      <c r="F25" s="60">
        <f t="shared" si="0"/>
        <v>0</v>
      </c>
      <c r="G25" s="63"/>
      <c r="H25" s="45"/>
      <c r="I25" s="45"/>
      <c r="J25" s="45"/>
      <c r="K25" s="45"/>
      <c r="L25" s="45"/>
      <c r="M25" s="45"/>
      <c r="N25" s="45"/>
      <c r="O25" s="45"/>
      <c r="P25" s="45"/>
      <c r="Q25" s="45"/>
      <c r="R25" s="45"/>
      <c r="S25" s="45"/>
      <c r="T25" s="45"/>
      <c r="U25" s="45"/>
      <c r="V25" s="45"/>
      <c r="W25" s="45"/>
      <c r="X25" s="45"/>
      <c r="Y25" s="45"/>
      <c r="Z25" s="45"/>
    </row>
    <row r="26" spans="1:26" ht="13.5" customHeight="1">
      <c r="A26" s="58">
        <v>19000</v>
      </c>
      <c r="B26" s="551" t="s">
        <v>471</v>
      </c>
      <c r="C26" s="633"/>
      <c r="D26" s="59">
        <v>0</v>
      </c>
      <c r="E26" s="59">
        <v>0</v>
      </c>
      <c r="F26" s="60">
        <f t="shared" si="0"/>
        <v>0</v>
      </c>
      <c r="G26" s="63"/>
      <c r="H26" s="45"/>
      <c r="I26" s="45"/>
      <c r="J26" s="45"/>
      <c r="K26" s="45"/>
      <c r="L26" s="45"/>
      <c r="M26" s="45"/>
      <c r="N26" s="45"/>
      <c r="O26" s="45"/>
      <c r="P26" s="45"/>
      <c r="Q26" s="45"/>
      <c r="R26" s="45"/>
      <c r="S26" s="45"/>
      <c r="T26" s="45"/>
      <c r="U26" s="45"/>
      <c r="V26" s="45"/>
      <c r="W26" s="45"/>
      <c r="X26" s="45"/>
      <c r="Y26" s="45"/>
      <c r="Z26" s="45"/>
    </row>
    <row r="27" spans="1:26" ht="13.5" customHeight="1">
      <c r="A27" s="58">
        <v>20000</v>
      </c>
      <c r="B27" s="551" t="s">
        <v>472</v>
      </c>
      <c r="C27" s="633"/>
      <c r="D27" s="59">
        <v>0</v>
      </c>
      <c r="E27" s="59">
        <v>0</v>
      </c>
      <c r="F27" s="60">
        <f t="shared" si="0"/>
        <v>0</v>
      </c>
      <c r="G27" s="63"/>
      <c r="H27" s="45"/>
      <c r="I27" s="45"/>
      <c r="J27" s="45"/>
      <c r="K27" s="45"/>
      <c r="L27" s="45"/>
      <c r="M27" s="45"/>
      <c r="N27" s="45"/>
      <c r="O27" s="45"/>
      <c r="P27" s="45"/>
      <c r="Q27" s="45"/>
      <c r="R27" s="45"/>
      <c r="S27" s="45"/>
      <c r="T27" s="45"/>
      <c r="U27" s="45"/>
      <c r="V27" s="45"/>
      <c r="W27" s="45"/>
      <c r="X27" s="45"/>
      <c r="Y27" s="45"/>
      <c r="Z27" s="45"/>
    </row>
    <row r="28" spans="1:26" ht="13.5" customHeight="1">
      <c r="A28" s="58">
        <v>21000</v>
      </c>
      <c r="B28" s="551" t="s">
        <v>420</v>
      </c>
      <c r="C28" s="633"/>
      <c r="D28" s="59">
        <v>0</v>
      </c>
      <c r="E28" s="59">
        <v>0</v>
      </c>
      <c r="F28" s="60">
        <f t="shared" si="0"/>
        <v>0</v>
      </c>
      <c r="G28" s="63"/>
      <c r="H28" s="45"/>
      <c r="I28" s="45"/>
      <c r="J28" s="45"/>
      <c r="K28" s="45"/>
      <c r="L28" s="45"/>
      <c r="M28" s="45"/>
      <c r="N28" s="45"/>
      <c r="O28" s="45"/>
      <c r="P28" s="45"/>
      <c r="Q28" s="45"/>
      <c r="R28" s="45"/>
      <c r="S28" s="45"/>
      <c r="T28" s="45"/>
      <c r="U28" s="45"/>
      <c r="V28" s="45"/>
      <c r="W28" s="45"/>
      <c r="X28" s="45"/>
      <c r="Y28" s="45"/>
      <c r="Z28" s="45"/>
    </row>
    <row r="29" spans="1:26" ht="13.5" customHeight="1">
      <c r="A29" s="58">
        <v>22000</v>
      </c>
      <c r="B29" s="551" t="s">
        <v>473</v>
      </c>
      <c r="C29" s="633"/>
      <c r="D29" s="59">
        <v>0</v>
      </c>
      <c r="E29" s="59">
        <v>0</v>
      </c>
      <c r="F29" s="60">
        <f t="shared" si="0"/>
        <v>0</v>
      </c>
      <c r="G29" s="63"/>
      <c r="H29" s="45"/>
      <c r="I29" s="45"/>
      <c r="J29" s="45"/>
      <c r="K29" s="45"/>
      <c r="L29" s="45"/>
      <c r="M29" s="45"/>
      <c r="N29" s="45"/>
      <c r="O29" s="45"/>
      <c r="P29" s="45"/>
      <c r="Q29" s="45"/>
      <c r="R29" s="45"/>
      <c r="S29" s="45"/>
      <c r="T29" s="45"/>
      <c r="U29" s="45"/>
      <c r="V29" s="45"/>
      <c r="W29" s="45"/>
      <c r="X29" s="45"/>
      <c r="Y29" s="45"/>
      <c r="Z29" s="45"/>
    </row>
    <row r="30" spans="1:26" ht="13.5" customHeight="1">
      <c r="A30" s="58">
        <v>23000</v>
      </c>
      <c r="B30" s="551" t="s">
        <v>474</v>
      </c>
      <c r="C30" s="633"/>
      <c r="D30" s="59">
        <v>0</v>
      </c>
      <c r="E30" s="59">
        <v>0</v>
      </c>
      <c r="F30" s="60">
        <f t="shared" si="0"/>
        <v>0</v>
      </c>
      <c r="G30" s="63"/>
      <c r="H30" s="45"/>
      <c r="I30" s="45"/>
      <c r="J30" s="45"/>
      <c r="K30" s="45"/>
      <c r="L30" s="45"/>
      <c r="M30" s="45"/>
      <c r="N30" s="45"/>
      <c r="O30" s="45"/>
      <c r="P30" s="45"/>
      <c r="Q30" s="45"/>
      <c r="R30" s="45"/>
      <c r="S30" s="45"/>
      <c r="T30" s="45"/>
      <c r="U30" s="45"/>
      <c r="V30" s="45"/>
      <c r="W30" s="45"/>
      <c r="X30" s="45"/>
      <c r="Y30" s="45"/>
      <c r="Z30" s="45"/>
    </row>
    <row r="31" spans="1:26" ht="13.5" customHeight="1">
      <c r="A31" s="58">
        <v>24000</v>
      </c>
      <c r="B31" s="61" t="s">
        <v>475</v>
      </c>
      <c r="C31" s="64"/>
      <c r="D31" s="59">
        <v>0</v>
      </c>
      <c r="E31" s="59">
        <v>0</v>
      </c>
      <c r="F31" s="60">
        <f t="shared" si="0"/>
        <v>0</v>
      </c>
      <c r="G31" s="63"/>
      <c r="H31" s="45"/>
      <c r="I31" s="45"/>
      <c r="J31" s="45"/>
      <c r="K31" s="45"/>
      <c r="L31" s="45"/>
      <c r="M31" s="45"/>
      <c r="N31" s="45"/>
      <c r="O31" s="45"/>
      <c r="P31" s="45"/>
      <c r="Q31" s="45"/>
      <c r="R31" s="45"/>
      <c r="S31" s="45"/>
      <c r="T31" s="45"/>
      <c r="U31" s="45"/>
      <c r="V31" s="45"/>
      <c r="W31" s="45"/>
      <c r="X31" s="45"/>
      <c r="Y31" s="45"/>
      <c r="Z31" s="45"/>
    </row>
    <row r="32" spans="1:26" ht="13.5" customHeight="1">
      <c r="A32" s="58">
        <v>25000</v>
      </c>
      <c r="B32" s="61" t="s">
        <v>476</v>
      </c>
      <c r="C32" s="61"/>
      <c r="D32" s="59">
        <v>0</v>
      </c>
      <c r="E32" s="59">
        <v>0</v>
      </c>
      <c r="F32" s="60">
        <f t="shared" si="0"/>
        <v>0</v>
      </c>
      <c r="G32" s="63"/>
      <c r="H32" s="45"/>
      <c r="I32" s="45"/>
      <c r="J32" s="45"/>
      <c r="K32" s="45"/>
      <c r="L32" s="45"/>
      <c r="M32" s="45"/>
      <c r="N32" s="45"/>
      <c r="O32" s="45"/>
      <c r="P32" s="45"/>
      <c r="Q32" s="45"/>
      <c r="R32" s="45"/>
      <c r="S32" s="45"/>
      <c r="T32" s="45"/>
      <c r="U32" s="45"/>
      <c r="V32" s="45"/>
      <c r="W32" s="45"/>
      <c r="X32" s="45"/>
      <c r="Y32" s="45"/>
      <c r="Z32" s="45"/>
    </row>
    <row r="33" spans="1:26" ht="13.5" customHeight="1">
      <c r="A33" s="58">
        <v>26000</v>
      </c>
      <c r="B33" s="61" t="s">
        <v>372</v>
      </c>
      <c r="C33" s="64"/>
      <c r="D33" s="59">
        <v>0</v>
      </c>
      <c r="E33" s="59">
        <v>0</v>
      </c>
      <c r="F33" s="60">
        <f t="shared" si="0"/>
        <v>0</v>
      </c>
      <c r="G33" s="63"/>
      <c r="H33" s="45"/>
      <c r="I33" s="45"/>
      <c r="J33" s="45"/>
      <c r="K33" s="45"/>
      <c r="L33" s="45"/>
      <c r="M33" s="45"/>
      <c r="N33" s="45"/>
      <c r="O33" s="45"/>
      <c r="P33" s="45"/>
      <c r="Q33" s="45"/>
      <c r="R33" s="45"/>
      <c r="S33" s="45"/>
      <c r="T33" s="45"/>
      <c r="U33" s="45"/>
      <c r="V33" s="45"/>
      <c r="W33" s="45"/>
      <c r="X33" s="45"/>
      <c r="Y33" s="45"/>
      <c r="Z33" s="45"/>
    </row>
    <row r="34" spans="1:26" ht="13.5" customHeight="1">
      <c r="A34" s="58">
        <v>27000</v>
      </c>
      <c r="B34" s="61" t="s">
        <v>477</v>
      </c>
      <c r="C34" s="61"/>
      <c r="D34" s="59">
        <v>0</v>
      </c>
      <c r="E34" s="59">
        <v>0</v>
      </c>
      <c r="F34" s="60">
        <f t="shared" si="0"/>
        <v>0</v>
      </c>
      <c r="G34" s="63"/>
      <c r="H34" s="45"/>
      <c r="I34" s="45"/>
      <c r="J34" s="45"/>
      <c r="K34" s="45"/>
      <c r="L34" s="45"/>
      <c r="M34" s="45"/>
      <c r="N34" s="45"/>
      <c r="O34" s="45"/>
      <c r="P34" s="45"/>
      <c r="Q34" s="45"/>
      <c r="R34" s="45"/>
      <c r="S34" s="45"/>
      <c r="T34" s="45"/>
      <c r="U34" s="45"/>
      <c r="V34" s="45"/>
      <c r="W34" s="45"/>
      <c r="X34" s="45"/>
      <c r="Y34" s="45"/>
      <c r="Z34" s="45"/>
    </row>
    <row r="35" spans="1:26" ht="13.5" customHeight="1">
      <c r="A35" s="58">
        <v>28000</v>
      </c>
      <c r="B35" s="61" t="s">
        <v>478</v>
      </c>
      <c r="C35" s="61"/>
      <c r="D35" s="59">
        <v>0</v>
      </c>
      <c r="E35" s="59">
        <v>0</v>
      </c>
      <c r="F35" s="60">
        <f t="shared" si="0"/>
        <v>0</v>
      </c>
      <c r="G35" s="63"/>
      <c r="H35" s="45"/>
      <c r="I35" s="45"/>
      <c r="J35" s="45"/>
      <c r="K35" s="45"/>
      <c r="L35" s="45"/>
      <c r="M35" s="45"/>
      <c r="N35" s="45"/>
      <c r="O35" s="45"/>
      <c r="P35" s="45"/>
      <c r="Q35" s="45"/>
      <c r="R35" s="45"/>
      <c r="S35" s="45"/>
      <c r="T35" s="45"/>
      <c r="U35" s="45"/>
      <c r="V35" s="45"/>
      <c r="W35" s="45"/>
      <c r="X35" s="45"/>
      <c r="Y35" s="45"/>
      <c r="Z35" s="45"/>
    </row>
    <row r="36" spans="1:26" ht="13.5" customHeight="1">
      <c r="A36" s="58">
        <v>29000</v>
      </c>
      <c r="B36" s="61" t="s">
        <v>479</v>
      </c>
      <c r="C36" s="64"/>
      <c r="D36" s="59">
        <v>0</v>
      </c>
      <c r="E36" s="59">
        <v>0</v>
      </c>
      <c r="F36" s="60">
        <f t="shared" si="0"/>
        <v>0</v>
      </c>
      <c r="G36" s="63"/>
      <c r="H36" s="45"/>
      <c r="I36" s="45"/>
      <c r="J36" s="45"/>
      <c r="K36" s="45"/>
      <c r="L36" s="45"/>
      <c r="M36" s="45"/>
      <c r="N36" s="45"/>
      <c r="O36" s="45"/>
      <c r="P36" s="45"/>
      <c r="Q36" s="45"/>
      <c r="R36" s="45"/>
      <c r="S36" s="45"/>
      <c r="T36" s="45"/>
      <c r="U36" s="45"/>
      <c r="V36" s="45"/>
      <c r="W36" s="45"/>
      <c r="X36" s="45"/>
      <c r="Y36" s="45"/>
      <c r="Z36" s="45"/>
    </row>
    <row r="37" spans="1:26" ht="13.5" customHeight="1">
      <c r="A37" s="58">
        <v>30000</v>
      </c>
      <c r="B37" s="551" t="s">
        <v>480</v>
      </c>
      <c r="C37" s="633"/>
      <c r="D37" s="59">
        <v>0</v>
      </c>
      <c r="E37" s="62">
        <v>0</v>
      </c>
      <c r="F37" s="60">
        <f t="shared" si="0"/>
        <v>0</v>
      </c>
      <c r="G37" s="63"/>
      <c r="H37" s="45"/>
      <c r="I37" s="45"/>
      <c r="J37" s="45"/>
      <c r="K37" s="45"/>
      <c r="L37" s="45"/>
      <c r="M37" s="45"/>
      <c r="N37" s="45"/>
      <c r="O37" s="45"/>
      <c r="P37" s="45"/>
      <c r="Q37" s="45"/>
      <c r="R37" s="45"/>
      <c r="S37" s="45"/>
      <c r="T37" s="45"/>
      <c r="U37" s="45"/>
      <c r="V37" s="45"/>
      <c r="W37" s="45"/>
      <c r="X37" s="45"/>
      <c r="Y37" s="45"/>
      <c r="Z37" s="45"/>
    </row>
    <row r="38" spans="1:26" ht="13.5" customHeight="1">
      <c r="A38" s="58">
        <v>31000</v>
      </c>
      <c r="B38" s="61" t="s">
        <v>481</v>
      </c>
      <c r="C38" s="64"/>
      <c r="D38" s="59">
        <v>0</v>
      </c>
      <c r="E38" s="59">
        <v>0</v>
      </c>
      <c r="F38" s="60">
        <f t="shared" si="0"/>
        <v>0</v>
      </c>
      <c r="G38" s="63"/>
      <c r="H38" s="45"/>
      <c r="I38" s="45"/>
      <c r="J38" s="45"/>
      <c r="K38" s="45"/>
      <c r="L38" s="45"/>
      <c r="M38" s="45"/>
      <c r="N38" s="45"/>
      <c r="O38" s="45"/>
      <c r="P38" s="45"/>
      <c r="Q38" s="45"/>
      <c r="R38" s="45"/>
      <c r="S38" s="45"/>
      <c r="T38" s="45"/>
      <c r="U38" s="45"/>
      <c r="V38" s="45"/>
      <c r="W38" s="45"/>
      <c r="X38" s="45"/>
      <c r="Y38" s="45"/>
      <c r="Z38" s="45"/>
    </row>
    <row r="39" spans="1:26" ht="13.5" customHeight="1">
      <c r="A39" s="58">
        <v>32000</v>
      </c>
      <c r="B39" s="553" t="s">
        <v>482</v>
      </c>
      <c r="C39" s="633"/>
      <c r="D39" s="59">
        <v>0</v>
      </c>
      <c r="E39" s="65">
        <v>0</v>
      </c>
      <c r="F39" s="60">
        <f t="shared" si="0"/>
        <v>0</v>
      </c>
      <c r="G39" s="63"/>
      <c r="H39" s="45"/>
      <c r="I39" s="45"/>
      <c r="J39" s="45"/>
      <c r="K39" s="45"/>
      <c r="L39" s="45"/>
      <c r="M39" s="45"/>
      <c r="N39" s="45"/>
      <c r="O39" s="45"/>
      <c r="P39" s="45"/>
      <c r="Q39" s="45"/>
      <c r="R39" s="45"/>
      <c r="S39" s="45"/>
      <c r="T39" s="45"/>
      <c r="U39" s="45"/>
      <c r="V39" s="45"/>
      <c r="W39" s="45"/>
      <c r="X39" s="45"/>
      <c r="Y39" s="45"/>
      <c r="Z39" s="45"/>
    </row>
    <row r="40" spans="1:26" ht="13.5" customHeight="1">
      <c r="A40" s="58">
        <v>33000</v>
      </c>
      <c r="B40" s="553" t="s">
        <v>483</v>
      </c>
      <c r="C40" s="633"/>
      <c r="D40" s="59">
        <v>0</v>
      </c>
      <c r="E40" s="65">
        <v>0</v>
      </c>
      <c r="F40" s="60">
        <f t="shared" si="0"/>
        <v>0</v>
      </c>
      <c r="G40" s="63"/>
      <c r="H40" s="45"/>
      <c r="I40" s="45"/>
      <c r="J40" s="45"/>
      <c r="K40" s="45"/>
      <c r="L40" s="45"/>
      <c r="M40" s="45"/>
      <c r="N40" s="45"/>
      <c r="O40" s="45"/>
      <c r="P40" s="45"/>
      <c r="Q40" s="45"/>
      <c r="R40" s="45"/>
      <c r="S40" s="45"/>
      <c r="T40" s="45"/>
      <c r="U40" s="45"/>
      <c r="V40" s="45"/>
      <c r="W40" s="45"/>
      <c r="X40" s="45"/>
      <c r="Y40" s="45"/>
      <c r="Z40" s="45"/>
    </row>
    <row r="41" spans="1:26" ht="13.5" customHeight="1">
      <c r="A41" s="58">
        <v>34000</v>
      </c>
      <c r="B41" s="553" t="s">
        <v>484</v>
      </c>
      <c r="C41" s="633"/>
      <c r="D41" s="59">
        <v>0</v>
      </c>
      <c r="E41" s="65">
        <v>0</v>
      </c>
      <c r="F41" s="60">
        <f t="shared" si="0"/>
        <v>0</v>
      </c>
      <c r="G41" s="63"/>
      <c r="H41" s="45"/>
      <c r="I41" s="45"/>
      <c r="J41" s="45"/>
      <c r="K41" s="45"/>
      <c r="L41" s="45"/>
      <c r="M41" s="45"/>
      <c r="N41" s="45"/>
      <c r="O41" s="45"/>
      <c r="P41" s="45"/>
      <c r="Q41" s="45"/>
      <c r="R41" s="45"/>
      <c r="S41" s="45"/>
      <c r="T41" s="45"/>
      <c r="U41" s="45"/>
      <c r="V41" s="45"/>
      <c r="W41" s="45"/>
      <c r="X41" s="45"/>
      <c r="Y41" s="45"/>
      <c r="Z41" s="45"/>
    </row>
    <row r="42" spans="1:26" ht="13.5" customHeight="1">
      <c r="A42" s="58">
        <v>35000</v>
      </c>
      <c r="B42" s="553" t="s">
        <v>485</v>
      </c>
      <c r="C42" s="633"/>
      <c r="D42" s="59">
        <v>0</v>
      </c>
      <c r="E42" s="65">
        <v>0</v>
      </c>
      <c r="F42" s="60">
        <f t="shared" si="0"/>
        <v>0</v>
      </c>
      <c r="G42" s="63"/>
      <c r="H42" s="45"/>
      <c r="I42" s="45"/>
      <c r="J42" s="45"/>
      <c r="K42" s="45"/>
      <c r="L42" s="45"/>
      <c r="M42" s="45"/>
      <c r="N42" s="45"/>
      <c r="O42" s="45"/>
      <c r="P42" s="45"/>
      <c r="Q42" s="45"/>
      <c r="R42" s="45"/>
      <c r="S42" s="45"/>
      <c r="T42" s="45"/>
      <c r="U42" s="45"/>
      <c r="V42" s="45"/>
      <c r="W42" s="45"/>
      <c r="X42" s="45"/>
      <c r="Y42" s="45"/>
      <c r="Z42" s="45"/>
    </row>
    <row r="43" spans="1:26" ht="13.5" customHeight="1">
      <c r="A43" s="58">
        <v>36000</v>
      </c>
      <c r="B43" s="553" t="s">
        <v>486</v>
      </c>
      <c r="C43" s="633"/>
      <c r="D43" s="59">
        <v>0</v>
      </c>
      <c r="E43" s="65">
        <v>0</v>
      </c>
      <c r="F43" s="60">
        <f t="shared" si="0"/>
        <v>0</v>
      </c>
      <c r="G43" s="63"/>
      <c r="H43" s="45"/>
      <c r="I43" s="45"/>
      <c r="J43" s="45"/>
      <c r="K43" s="45"/>
      <c r="L43" s="45"/>
      <c r="M43" s="45"/>
      <c r="N43" s="45"/>
      <c r="O43" s="45"/>
      <c r="P43" s="45"/>
      <c r="Q43" s="45"/>
      <c r="R43" s="45"/>
      <c r="S43" s="45"/>
      <c r="T43" s="45"/>
      <c r="U43" s="45"/>
      <c r="V43" s="45"/>
      <c r="W43" s="45"/>
      <c r="X43" s="45"/>
      <c r="Y43" s="45"/>
      <c r="Z43" s="45"/>
    </row>
    <row r="44" spans="1:26" ht="13.5" customHeight="1">
      <c r="A44" s="58">
        <v>37000</v>
      </c>
      <c r="B44" s="553" t="s">
        <v>486</v>
      </c>
      <c r="C44" s="633"/>
      <c r="D44" s="59">
        <v>0</v>
      </c>
      <c r="E44" s="65">
        <v>0</v>
      </c>
      <c r="F44" s="60">
        <f t="shared" si="0"/>
        <v>0</v>
      </c>
      <c r="G44" s="63"/>
      <c r="H44" s="45"/>
      <c r="I44" s="45"/>
      <c r="J44" s="45"/>
      <c r="K44" s="45"/>
      <c r="L44" s="45"/>
      <c r="M44" s="45"/>
      <c r="N44" s="45"/>
      <c r="O44" s="45"/>
      <c r="P44" s="45"/>
      <c r="Q44" s="45"/>
      <c r="R44" s="45"/>
      <c r="S44" s="45"/>
      <c r="T44" s="45"/>
      <c r="U44" s="45"/>
      <c r="V44" s="45"/>
      <c r="W44" s="45"/>
      <c r="X44" s="45"/>
      <c r="Y44" s="45"/>
      <c r="Z44" s="45"/>
    </row>
    <row r="45" spans="1:26" ht="13.5" customHeight="1">
      <c r="A45" s="58">
        <v>38000</v>
      </c>
      <c r="B45" s="553" t="s">
        <v>486</v>
      </c>
      <c r="C45" s="633"/>
      <c r="D45" s="59">
        <v>0</v>
      </c>
      <c r="E45" s="65">
        <v>0</v>
      </c>
      <c r="F45" s="60">
        <f t="shared" si="0"/>
        <v>0</v>
      </c>
      <c r="G45" s="63"/>
      <c r="H45" s="45"/>
      <c r="I45" s="45"/>
      <c r="J45" s="45"/>
      <c r="K45" s="45"/>
      <c r="L45" s="45"/>
      <c r="M45" s="45"/>
      <c r="N45" s="45"/>
      <c r="O45" s="45"/>
      <c r="P45" s="45"/>
      <c r="Q45" s="45"/>
      <c r="R45" s="45"/>
      <c r="S45" s="45"/>
      <c r="T45" s="45"/>
      <c r="U45" s="45"/>
      <c r="V45" s="45"/>
      <c r="W45" s="45"/>
      <c r="X45" s="45"/>
      <c r="Y45" s="45"/>
      <c r="Z45" s="45"/>
    </row>
    <row r="46" spans="1:26" ht="13.5" customHeight="1">
      <c r="A46" s="58">
        <v>39000</v>
      </c>
      <c r="B46" s="61" t="s">
        <v>487</v>
      </c>
      <c r="C46" s="64"/>
      <c r="D46" s="59">
        <v>0</v>
      </c>
      <c r="E46" s="59">
        <v>0</v>
      </c>
      <c r="F46" s="60">
        <f t="shared" si="0"/>
        <v>0</v>
      </c>
      <c r="G46" s="63"/>
      <c r="H46" s="45"/>
      <c r="I46" s="45"/>
      <c r="J46" s="45"/>
      <c r="K46" s="45"/>
      <c r="L46" s="45"/>
      <c r="M46" s="45"/>
      <c r="N46" s="45"/>
      <c r="O46" s="45"/>
      <c r="P46" s="45"/>
      <c r="Q46" s="45"/>
      <c r="R46" s="45"/>
      <c r="S46" s="45"/>
      <c r="T46" s="45"/>
      <c r="U46" s="45"/>
      <c r="V46" s="45"/>
      <c r="W46" s="45"/>
      <c r="X46" s="45"/>
      <c r="Y46" s="45"/>
      <c r="Z46" s="45"/>
    </row>
    <row r="47" spans="1:26" ht="13.5" customHeight="1">
      <c r="A47" s="58">
        <v>40000</v>
      </c>
      <c r="B47" s="551" t="s">
        <v>488</v>
      </c>
      <c r="C47" s="633"/>
      <c r="D47" s="59">
        <v>0</v>
      </c>
      <c r="E47" s="62">
        <v>0</v>
      </c>
      <c r="F47" s="60">
        <f t="shared" si="0"/>
        <v>0</v>
      </c>
      <c r="G47" s="63"/>
      <c r="H47" s="45"/>
      <c r="I47" s="45"/>
      <c r="J47" s="45"/>
      <c r="K47" s="45"/>
      <c r="L47" s="45"/>
      <c r="M47" s="45"/>
      <c r="N47" s="45"/>
      <c r="O47" s="45"/>
      <c r="P47" s="45"/>
      <c r="Q47" s="45"/>
      <c r="R47" s="45"/>
      <c r="S47" s="45"/>
      <c r="T47" s="45"/>
      <c r="U47" s="45"/>
      <c r="V47" s="45"/>
      <c r="W47" s="45"/>
      <c r="X47" s="45"/>
      <c r="Y47" s="45"/>
      <c r="Z47" s="45"/>
    </row>
    <row r="48" spans="1:26" ht="13.5" customHeight="1">
      <c r="A48" s="58">
        <v>41000</v>
      </c>
      <c r="B48" s="66" t="s">
        <v>489</v>
      </c>
      <c r="C48" s="67"/>
      <c r="D48" s="59">
        <v>0</v>
      </c>
      <c r="E48" s="62">
        <v>0</v>
      </c>
      <c r="F48" s="60">
        <f t="shared" si="0"/>
        <v>0</v>
      </c>
      <c r="G48" s="63"/>
      <c r="H48" s="45"/>
      <c r="I48" s="45"/>
      <c r="J48" s="45"/>
      <c r="K48" s="45"/>
      <c r="L48" s="45"/>
      <c r="M48" s="45"/>
      <c r="N48" s="45"/>
      <c r="O48" s="45"/>
      <c r="P48" s="45"/>
      <c r="Q48" s="45"/>
      <c r="R48" s="45"/>
      <c r="S48" s="45"/>
      <c r="T48" s="45"/>
      <c r="U48" s="45"/>
      <c r="V48" s="45"/>
      <c r="W48" s="45"/>
      <c r="X48" s="45"/>
      <c r="Y48" s="45"/>
      <c r="Z48" s="45"/>
    </row>
    <row r="49" spans="1:26" ht="13.5" customHeight="1">
      <c r="A49" s="68"/>
      <c r="B49" s="554"/>
      <c r="C49" s="633"/>
      <c r="D49" s="69"/>
      <c r="E49" s="69"/>
      <c r="F49" s="70"/>
      <c r="G49" s="63"/>
      <c r="H49" s="45"/>
      <c r="I49" s="45"/>
      <c r="J49" s="45"/>
      <c r="K49" s="45"/>
      <c r="L49" s="45"/>
      <c r="M49" s="45"/>
      <c r="N49" s="45"/>
      <c r="O49" s="45"/>
      <c r="P49" s="45"/>
      <c r="Q49" s="45"/>
      <c r="R49" s="45"/>
      <c r="S49" s="45"/>
      <c r="T49" s="45"/>
      <c r="U49" s="45"/>
      <c r="V49" s="45"/>
      <c r="W49" s="45"/>
      <c r="X49" s="45"/>
      <c r="Y49" s="45"/>
      <c r="Z49" s="45"/>
    </row>
    <row r="50" spans="1:26" ht="13.5" customHeight="1" thickBot="1">
      <c r="A50" s="71"/>
      <c r="B50" s="555" t="s">
        <v>490</v>
      </c>
      <c r="C50" s="634"/>
      <c r="D50" s="72">
        <f t="shared" ref="D50:F50" si="1">SUM(D7:D48)</f>
        <v>0</v>
      </c>
      <c r="E50" s="72">
        <f t="shared" si="1"/>
        <v>0</v>
      </c>
      <c r="F50" s="72">
        <f t="shared" si="1"/>
        <v>0</v>
      </c>
      <c r="G50" s="63"/>
      <c r="H50" s="45"/>
      <c r="I50" s="45"/>
      <c r="J50" s="45"/>
      <c r="K50" s="45"/>
      <c r="L50" s="45"/>
      <c r="M50" s="45"/>
      <c r="N50" s="45"/>
      <c r="O50" s="45"/>
      <c r="P50" s="45"/>
      <c r="Q50" s="45"/>
      <c r="R50" s="45"/>
      <c r="S50" s="45"/>
      <c r="T50" s="45"/>
      <c r="U50" s="45"/>
      <c r="V50" s="45"/>
      <c r="W50" s="45"/>
      <c r="X50" s="45"/>
      <c r="Y50" s="45"/>
      <c r="Z50" s="45"/>
    </row>
    <row r="51" spans="1:26" ht="13.5" customHeight="1">
      <c r="A51" s="73"/>
      <c r="B51" s="73"/>
      <c r="C51" s="73"/>
      <c r="D51" s="73"/>
      <c r="E51" s="73"/>
      <c r="F51" s="45"/>
      <c r="G51" s="45"/>
      <c r="H51" s="45"/>
      <c r="I51" s="45"/>
      <c r="J51" s="45"/>
      <c r="K51" s="45"/>
      <c r="L51" s="45"/>
      <c r="M51" s="45"/>
      <c r="N51" s="45"/>
      <c r="O51" s="45"/>
      <c r="P51" s="45"/>
      <c r="Q51" s="45"/>
      <c r="R51" s="45"/>
      <c r="S51" s="45"/>
      <c r="T51" s="45"/>
      <c r="U51" s="45"/>
      <c r="V51" s="45"/>
      <c r="W51" s="45"/>
      <c r="X51" s="45"/>
      <c r="Y51" s="45"/>
      <c r="Z51" s="45"/>
    </row>
    <row r="52" spans="1:26" ht="18.75" customHeight="1">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spans="1:26" ht="13.5" customHeight="1">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spans="1:26" ht="13.5" customHeight="1">
      <c r="A54" s="45"/>
      <c r="B54" s="45"/>
      <c r="C54" s="45"/>
      <c r="D54" s="45"/>
      <c r="E54" s="45"/>
      <c r="F54" s="73"/>
      <c r="G54" s="45"/>
      <c r="H54" s="45"/>
      <c r="I54" s="45"/>
      <c r="J54" s="45"/>
      <c r="K54" s="45"/>
      <c r="L54" s="45"/>
      <c r="M54" s="45"/>
      <c r="N54" s="45"/>
      <c r="O54" s="45"/>
      <c r="P54" s="45"/>
      <c r="Q54" s="45"/>
      <c r="R54" s="45"/>
      <c r="S54" s="45"/>
      <c r="T54" s="45"/>
      <c r="U54" s="45"/>
      <c r="V54" s="45"/>
      <c r="W54" s="45"/>
      <c r="X54" s="45"/>
      <c r="Y54" s="45"/>
      <c r="Z54" s="45"/>
    </row>
    <row r="55" spans="1:26" ht="13.5" customHeight="1">
      <c r="A55" s="45"/>
      <c r="B55" s="45"/>
      <c r="C55" s="45"/>
      <c r="D55" s="45"/>
      <c r="E55" s="45"/>
      <c r="F55" s="73"/>
      <c r="G55" s="45"/>
      <c r="H55" s="45"/>
      <c r="I55" s="45"/>
      <c r="J55" s="45"/>
      <c r="K55" s="45"/>
      <c r="L55" s="45"/>
      <c r="M55" s="45"/>
      <c r="N55" s="45"/>
      <c r="O55" s="45"/>
      <c r="P55" s="45"/>
      <c r="Q55" s="45"/>
      <c r="R55" s="45"/>
      <c r="S55" s="45"/>
      <c r="T55" s="45"/>
      <c r="U55" s="45"/>
      <c r="V55" s="45"/>
      <c r="W55" s="45"/>
      <c r="X55" s="45"/>
      <c r="Y55" s="45"/>
      <c r="Z55" s="45"/>
    </row>
    <row r="56" spans="1:26" ht="13.5" customHeight="1">
      <c r="A56" s="45"/>
      <c r="B56" s="45"/>
      <c r="C56" s="45"/>
      <c r="D56" s="45"/>
      <c r="E56" s="45"/>
      <c r="F56" s="73"/>
      <c r="G56" s="45"/>
      <c r="H56" s="45"/>
      <c r="I56" s="45"/>
      <c r="J56" s="45"/>
      <c r="K56" s="45"/>
      <c r="L56" s="45"/>
      <c r="M56" s="45"/>
      <c r="N56" s="45"/>
      <c r="O56" s="45"/>
      <c r="P56" s="45"/>
      <c r="Q56" s="45"/>
      <c r="R56" s="45"/>
      <c r="S56" s="45"/>
      <c r="T56" s="45"/>
      <c r="U56" s="45"/>
      <c r="V56" s="45"/>
      <c r="W56" s="45"/>
      <c r="X56" s="45"/>
      <c r="Y56" s="45"/>
      <c r="Z56" s="45"/>
    </row>
    <row r="57" spans="1:26" ht="13.5" customHeight="1">
      <c r="A57" s="45"/>
      <c r="B57" s="45"/>
      <c r="C57" s="45"/>
      <c r="D57" s="45"/>
      <c r="E57" s="45"/>
      <c r="F57" s="73"/>
      <c r="G57" s="45"/>
      <c r="H57" s="45"/>
      <c r="I57" s="45"/>
      <c r="J57" s="45"/>
      <c r="K57" s="45"/>
      <c r="L57" s="45"/>
      <c r="M57" s="45"/>
      <c r="N57" s="45"/>
      <c r="O57" s="45"/>
      <c r="P57" s="45"/>
      <c r="Q57" s="45"/>
      <c r="R57" s="45"/>
      <c r="S57" s="45"/>
      <c r="T57" s="45"/>
      <c r="U57" s="45"/>
      <c r="V57" s="45"/>
      <c r="W57" s="45"/>
      <c r="X57" s="45"/>
      <c r="Y57" s="45"/>
      <c r="Z57" s="45"/>
    </row>
    <row r="58" spans="1:26" ht="13.5" customHeight="1">
      <c r="A58" s="45"/>
      <c r="B58" s="45"/>
      <c r="C58" s="45"/>
      <c r="D58" s="45"/>
      <c r="E58" s="45"/>
      <c r="F58" s="73"/>
      <c r="G58" s="45"/>
      <c r="H58" s="45"/>
      <c r="I58" s="45"/>
      <c r="J58" s="45"/>
      <c r="K58" s="45"/>
      <c r="L58" s="45"/>
      <c r="M58" s="45"/>
      <c r="N58" s="45"/>
      <c r="O58" s="45"/>
      <c r="P58" s="45"/>
      <c r="Q58" s="45"/>
      <c r="R58" s="45"/>
      <c r="S58" s="45"/>
      <c r="T58" s="45"/>
      <c r="U58" s="45"/>
      <c r="V58" s="45"/>
      <c r="W58" s="45"/>
      <c r="X58" s="45"/>
      <c r="Y58" s="45"/>
      <c r="Z58" s="45"/>
    </row>
    <row r="59" spans="1:26" ht="13.5" customHeight="1">
      <c r="A59" s="45"/>
      <c r="B59" s="45"/>
      <c r="C59" s="45"/>
      <c r="D59" s="45"/>
      <c r="E59" s="45"/>
      <c r="F59" s="73"/>
      <c r="G59" s="45"/>
      <c r="H59" s="45"/>
      <c r="I59" s="45"/>
      <c r="J59" s="45"/>
      <c r="K59" s="45"/>
      <c r="L59" s="45"/>
      <c r="M59" s="45"/>
      <c r="N59" s="45"/>
      <c r="O59" s="45"/>
      <c r="P59" s="45"/>
      <c r="Q59" s="45"/>
      <c r="R59" s="45"/>
      <c r="S59" s="45"/>
      <c r="T59" s="45"/>
      <c r="U59" s="45"/>
      <c r="V59" s="45"/>
      <c r="W59" s="45"/>
      <c r="X59" s="45"/>
      <c r="Y59" s="45"/>
      <c r="Z59" s="45"/>
    </row>
    <row r="60" spans="1:26" ht="13.5" customHeight="1">
      <c r="A60" s="45"/>
      <c r="B60" s="45"/>
      <c r="C60" s="45"/>
      <c r="D60" s="45"/>
      <c r="E60" s="45"/>
      <c r="F60" s="73"/>
      <c r="G60" s="45"/>
      <c r="H60" s="45"/>
      <c r="I60" s="45"/>
      <c r="J60" s="45"/>
      <c r="K60" s="45"/>
      <c r="L60" s="45"/>
      <c r="M60" s="45"/>
      <c r="N60" s="45"/>
      <c r="O60" s="45"/>
      <c r="P60" s="45"/>
      <c r="Q60" s="45"/>
      <c r="R60" s="45"/>
      <c r="S60" s="45"/>
      <c r="T60" s="45"/>
      <c r="U60" s="45"/>
      <c r="V60" s="45"/>
      <c r="W60" s="45"/>
      <c r="X60" s="45"/>
      <c r="Y60" s="45"/>
      <c r="Z60" s="45"/>
    </row>
    <row r="61" spans="1:26" ht="13.5" customHeight="1">
      <c r="A61" s="45"/>
      <c r="B61" s="45"/>
      <c r="C61" s="45"/>
      <c r="D61" s="45"/>
      <c r="E61" s="45"/>
      <c r="F61" s="73"/>
      <c r="G61" s="45"/>
      <c r="H61" s="45"/>
      <c r="I61" s="45"/>
      <c r="J61" s="45"/>
      <c r="K61" s="45"/>
      <c r="L61" s="45"/>
      <c r="M61" s="45"/>
      <c r="N61" s="45"/>
      <c r="O61" s="45"/>
      <c r="P61" s="45"/>
      <c r="Q61" s="45"/>
      <c r="R61" s="45"/>
      <c r="S61" s="45"/>
      <c r="T61" s="45"/>
      <c r="U61" s="45"/>
      <c r="V61" s="45"/>
      <c r="W61" s="45"/>
      <c r="X61" s="45"/>
      <c r="Y61" s="45"/>
      <c r="Z61" s="45"/>
    </row>
    <row r="62" spans="1:26" ht="13.5" customHeight="1">
      <c r="A62" s="45"/>
      <c r="B62" s="45"/>
      <c r="C62" s="45"/>
      <c r="D62" s="45"/>
      <c r="E62" s="45"/>
      <c r="F62" s="73"/>
      <c r="G62" s="45"/>
      <c r="H62" s="45"/>
      <c r="I62" s="45"/>
      <c r="J62" s="45"/>
      <c r="K62" s="45"/>
      <c r="L62" s="45"/>
      <c r="M62" s="45"/>
      <c r="N62" s="45"/>
      <c r="O62" s="45"/>
      <c r="P62" s="45"/>
      <c r="Q62" s="45"/>
      <c r="R62" s="45"/>
      <c r="S62" s="45"/>
      <c r="T62" s="45"/>
      <c r="U62" s="45"/>
      <c r="V62" s="45"/>
      <c r="W62" s="45"/>
      <c r="X62" s="45"/>
      <c r="Y62" s="45"/>
      <c r="Z62" s="45"/>
    </row>
    <row r="63" spans="1:26" ht="13.5" customHeight="1">
      <c r="A63" s="45"/>
      <c r="B63" s="45"/>
      <c r="C63" s="45"/>
      <c r="D63" s="45"/>
      <c r="E63" s="45"/>
      <c r="F63" s="73"/>
      <c r="G63" s="45"/>
      <c r="H63" s="45"/>
      <c r="I63" s="45"/>
      <c r="J63" s="45"/>
      <c r="K63" s="45"/>
      <c r="L63" s="45"/>
      <c r="M63" s="45"/>
      <c r="N63" s="45"/>
      <c r="O63" s="45"/>
      <c r="P63" s="45"/>
      <c r="Q63" s="45"/>
      <c r="R63" s="45"/>
      <c r="S63" s="45"/>
      <c r="T63" s="45"/>
      <c r="U63" s="45"/>
      <c r="V63" s="45"/>
      <c r="W63" s="45"/>
      <c r="X63" s="45"/>
      <c r="Y63" s="45"/>
      <c r="Z63" s="45"/>
    </row>
    <row r="64" spans="1:26" ht="13.5" customHeight="1">
      <c r="A64" s="45"/>
      <c r="B64" s="45"/>
      <c r="C64" s="45"/>
      <c r="D64" s="45"/>
      <c r="E64" s="45"/>
      <c r="F64" s="73"/>
      <c r="G64" s="45"/>
      <c r="H64" s="45"/>
      <c r="I64" s="45"/>
      <c r="J64" s="45"/>
      <c r="K64" s="45"/>
      <c r="L64" s="45"/>
      <c r="M64" s="45"/>
      <c r="N64" s="45"/>
      <c r="O64" s="45"/>
      <c r="P64" s="45"/>
      <c r="Q64" s="45"/>
      <c r="R64" s="45"/>
      <c r="S64" s="45"/>
      <c r="T64" s="45"/>
      <c r="U64" s="45"/>
      <c r="V64" s="45"/>
      <c r="W64" s="45"/>
      <c r="X64" s="45"/>
      <c r="Y64" s="45"/>
      <c r="Z64" s="45"/>
    </row>
    <row r="65" spans="1:26" ht="13.5" customHeight="1">
      <c r="A65" s="45"/>
      <c r="B65" s="45"/>
      <c r="C65" s="45"/>
      <c r="D65" s="45"/>
      <c r="E65" s="45"/>
      <c r="F65" s="74"/>
      <c r="G65" s="45"/>
      <c r="H65" s="45"/>
      <c r="I65" s="45"/>
      <c r="J65" s="45"/>
      <c r="K65" s="45"/>
      <c r="L65" s="45"/>
      <c r="M65" s="45"/>
      <c r="N65" s="45"/>
      <c r="O65" s="45"/>
      <c r="P65" s="45"/>
      <c r="Q65" s="45"/>
      <c r="R65" s="45"/>
      <c r="S65" s="45"/>
      <c r="T65" s="45"/>
      <c r="U65" s="45"/>
      <c r="V65" s="45"/>
      <c r="W65" s="45"/>
      <c r="X65" s="45"/>
      <c r="Y65" s="45"/>
      <c r="Z65" s="45"/>
    </row>
    <row r="66" spans="1:26" ht="12.75" customHeight="1">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spans="1:26" ht="12.75" customHeight="1">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spans="1:26" ht="12.75" customHeight="1">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spans="1:26" ht="12.75" customHeight="1">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spans="1:26" ht="12.75" customHeight="1">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spans="1:26" ht="12.75" customHeight="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spans="1:26" ht="12.75" customHeight="1">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spans="1:26" ht="12.75" customHeight="1">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spans="1:26" ht="12.75" customHeight="1">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spans="1:26" ht="12.75" customHeight="1">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spans="1:26" ht="12.75" customHeight="1">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spans="1:26" ht="12.75" customHeight="1">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spans="1:26" ht="12.75" customHeight="1">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spans="1:26" ht="12.75" customHeight="1">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spans="1:26" ht="12.75" customHeight="1">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spans="1:26" ht="12.75" customHeight="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spans="1:26" ht="12.75" customHeight="1">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spans="1:26" ht="12.75" customHeight="1">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spans="1:26" ht="12.75" customHeight="1">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spans="1:26" ht="12.75" customHeight="1">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spans="1:26" ht="12.75" customHeight="1">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spans="1:26" ht="12.75" customHeight="1">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spans="1:26" ht="12.75" customHeight="1">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spans="1:26" ht="12.75" customHeight="1">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spans="1:26" ht="12.75" customHeight="1">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spans="1:26" ht="12.75" customHeight="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spans="1:26" ht="12.75" customHeight="1">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spans="1:26" ht="12.75" customHeight="1">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spans="1:26" ht="12.75" customHeight="1">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spans="1:26" ht="12.75" customHeight="1">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spans="1:26" ht="12.75" customHeight="1">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spans="1:26" ht="12.75" customHeight="1">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spans="1:26" ht="12.75" customHeight="1">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spans="1:26" ht="12.75" customHeight="1">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spans="1:26" ht="12.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spans="1:26" ht="12.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spans="1:26" ht="12.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spans="1:26" ht="12.7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spans="1:26" ht="12.7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spans="1:26" ht="12.7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spans="1:26" ht="12.7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spans="1:26" ht="12.7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spans="1:26" ht="12.7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spans="1:26" ht="12.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spans="1:26" ht="12.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spans="1:26" ht="12.7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spans="1:26" ht="12.7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spans="1:26" ht="12.7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spans="1:26" ht="12.7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spans="1:26" ht="12.7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spans="1:26" ht="12.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spans="1:26" ht="12.7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spans="1:26" ht="12.7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spans="1:26" ht="12.7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spans="1:26" ht="12.7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spans="1:26" ht="12.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spans="1:26" ht="12.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spans="1:26" ht="12.7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spans="1:26" ht="12.7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spans="1:26" ht="12.7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spans="1:26" ht="12.7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spans="1:26" ht="12.7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spans="1:26" ht="12.7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spans="1:26" ht="12.7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spans="1:26" ht="12.7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spans="1:26" ht="12.7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spans="1:26" ht="12.7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spans="1:26" ht="12.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spans="1:26" ht="12.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spans="1:26" ht="12.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spans="1:26" ht="12.7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spans="1:26" ht="12.7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spans="1:26" ht="12.7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spans="1:26" ht="12.7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spans="1:26" ht="12.7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spans="1:26" ht="12.7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spans="1:26" ht="12.7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spans="1:26" ht="12.7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spans="1:26" ht="12.7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spans="1:26" ht="12.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spans="1:26" ht="12.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spans="1:26" ht="12.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spans="1:26" ht="12.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spans="1:26" ht="12.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spans="1:26" ht="12.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spans="1:26" ht="12.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spans="1:26" ht="12.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spans="1:26" ht="12.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spans="1:26" ht="12.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spans="1:26" ht="12.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spans="1:26" ht="12.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spans="1:26" ht="12.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spans="1:26" ht="12.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spans="1:26" ht="12.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spans="1:26" ht="12.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spans="1:26" ht="12.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spans="1:26" ht="12.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spans="1:26" ht="12.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spans="1:26" ht="12.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spans="1:26" ht="12.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spans="1:26" ht="12.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spans="1:26" ht="12.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spans="1:26" ht="12.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spans="1:26" ht="12.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spans="1:26" ht="12.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spans="1:26" ht="12.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spans="1:26" ht="12.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spans="1:26" ht="12.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spans="1:26" ht="12.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spans="1:26" ht="12.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spans="1:26" ht="12.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spans="1:26" ht="12.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spans="1:26" ht="12.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spans="1:26" ht="12.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spans="1:26" ht="12.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spans="1:26" ht="12.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spans="1:26" ht="12.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spans="1:26" ht="12.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spans="1:26" ht="12.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spans="1:26" ht="12.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spans="1:26" ht="12.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spans="1:26" ht="12.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spans="1:26" ht="12.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spans="1:26" ht="12.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spans="1:26" ht="12.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ht="12.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ht="12.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1:26" ht="12.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1:26" ht="12.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1:26" ht="12.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1:26" ht="12.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1:26" ht="12.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1:26" ht="12.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1:26" ht="12.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1:26" ht="12.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1:26" ht="12.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1:26" ht="12.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1:26" ht="12.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1:26" ht="12.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1:26" ht="12.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1:26" ht="12.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1:26" ht="12.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1:26" ht="12.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1:26" ht="12.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1:26" ht="12.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1:26" ht="12.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1:26" ht="12.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1:26" ht="12.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1:26" ht="12.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1:26" ht="12.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1:26" ht="12.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1:26" ht="12.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1:26" ht="12.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1:26" ht="12.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1:26" ht="12.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1:26" ht="12.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1:26" ht="12.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1:26" ht="12.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1:26" ht="12.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1:26" ht="12.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1:26" ht="12.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1:26" ht="12.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1:26" ht="12.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1:26" ht="12.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26" ht="12.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1:26" ht="12.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spans="1:26" ht="12.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spans="1:26" ht="12.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spans="1:26" ht="12.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spans="1:26" ht="12.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spans="1:26" ht="12.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spans="1:26" ht="12.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spans="1:26" ht="12.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spans="1:26" ht="12.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spans="1:26" ht="12.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spans="1:26" ht="12.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spans="1:26" ht="12.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spans="1:26" ht="12.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spans="1:26" ht="12.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spans="1:26" ht="12.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spans="1:26" ht="12.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spans="1:26" ht="12.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spans="1:26" ht="12.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spans="1:26" ht="12.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spans="1:26" ht="12.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spans="1:26" ht="12.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spans="1:26" ht="12.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spans="1:26" ht="12.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spans="1:26" ht="12.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spans="1:26" ht="12.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spans="1:26" ht="12.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spans="1:26" ht="12.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spans="1:26" ht="12.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spans="1:26" ht="12.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spans="1:26" ht="12.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spans="1:26" ht="12.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spans="1:26" ht="12.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spans="1:26" ht="12.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spans="1:26" ht="12.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spans="1:26" ht="12.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spans="1:26" ht="12.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spans="1:26" ht="12.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spans="1:26" ht="12.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spans="1:26" ht="12.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spans="1:26" ht="12.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spans="1:26" ht="12.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spans="1:26" ht="12.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spans="1:26" ht="12.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spans="1:26" ht="12.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spans="1:26" ht="12.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spans="1:26" ht="12.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spans="1:26" ht="12.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spans="1:26" ht="12.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spans="1:26" ht="12.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spans="1:26" ht="12.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spans="1:26" ht="12.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spans="1:26" ht="12.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spans="1:26" ht="12.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spans="1:26" ht="12.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spans="1:26" ht="12.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spans="1:26" ht="12.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spans="1:26" ht="12.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spans="1:26" ht="12.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spans="1:26" ht="12.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spans="1:26" ht="12.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spans="1:26" ht="12.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spans="1:26" ht="12.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spans="1:26" ht="12.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spans="1:26" ht="12.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spans="1:26" ht="12.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spans="1:26" ht="12.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spans="1:26" ht="12.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spans="1:26" ht="12.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spans="1:26" ht="12.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spans="1:26" ht="12.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spans="1:26" ht="12.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spans="1:26" ht="12.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spans="1:26" ht="12.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spans="1:26" ht="12.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spans="1:26" ht="12.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spans="1:26" ht="12.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spans="1:26" ht="12.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spans="1:26" ht="12.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spans="1:26" ht="12.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spans="1:26" ht="12.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spans="1:26" ht="12.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spans="1:26" ht="12.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spans="1:26" ht="12.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spans="1:26" ht="12.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spans="1:26" ht="12.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spans="1:26" ht="12.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spans="1:26" ht="12.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spans="1:26" ht="12.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spans="1:26" ht="12.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spans="1:26" ht="12.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spans="1:26" ht="12.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spans="1:26" ht="12.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spans="1:26" ht="12.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spans="1:26" ht="12.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spans="1:26" ht="12.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spans="1:26" ht="12.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spans="1:26" ht="12.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spans="1:26" ht="12.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spans="1:26" ht="12.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spans="1:26" ht="12.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spans="1:26" ht="12.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spans="1:26" ht="12.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spans="1:26" ht="12.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spans="1:26" ht="12.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spans="1:26" ht="12.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spans="1:26" ht="12.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spans="1:26" ht="12.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spans="1:26" ht="12.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spans="1:26" ht="12.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spans="1:26" ht="12.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spans="1:26" ht="12.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spans="1:26" ht="12.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spans="1:26" ht="12.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spans="1:26" ht="12.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spans="1:26" ht="12.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spans="1:26" ht="12.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spans="1:26" ht="12.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spans="1:26" ht="12.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spans="1:26" ht="12.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spans="1:26" ht="12.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spans="1:26" ht="12.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spans="1:26" ht="12.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spans="1:26" ht="12.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spans="1:26" ht="12.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spans="1:26" ht="12.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spans="1:26" ht="12.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spans="1:26" ht="12.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spans="1:26" ht="12.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spans="1:26" ht="12.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spans="1:26" ht="12.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spans="1:26" ht="12.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spans="1:26" ht="12.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spans="1:26" ht="12.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spans="1:26" ht="12.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spans="1:26" ht="12.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spans="1:26" ht="12.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spans="1:26" ht="12.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spans="1:26" ht="12.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spans="1:26" ht="12.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spans="1:26" ht="12.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spans="1:26" ht="12.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spans="1:26" ht="12.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spans="1:26" ht="12.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spans="1:26" ht="12.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spans="1:26" ht="12.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spans="1:26" ht="12.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spans="1:26" ht="12.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spans="1:26" ht="12.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spans="1:26" ht="12.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spans="1:26" ht="12.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spans="1:26" ht="12.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spans="1:26" ht="12.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spans="1:26" ht="12.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spans="1:26" ht="12.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spans="1:26" ht="12.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spans="1:26" ht="12.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spans="1:26" ht="12.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spans="1:26" ht="12.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spans="1:26" ht="12.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spans="1:26" ht="12.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spans="1:26" ht="12.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spans="1:26" ht="12.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spans="1:26" ht="12.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spans="1:26" ht="12.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spans="1:26" ht="12.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spans="1:26" ht="12.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spans="1:26" ht="12.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spans="1:26" ht="12.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spans="1:26" ht="12.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spans="1:26" ht="12.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spans="1:26" ht="12.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spans="1:26" ht="12.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spans="1:26" ht="12.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spans="1:26" ht="12.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spans="1:26" ht="12.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spans="1:26" ht="12.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spans="1:26" ht="12.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spans="1:26" ht="12.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spans="1:26" ht="12.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spans="1:26" ht="12.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spans="1:26" ht="12.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spans="1:26" ht="12.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spans="1:26" ht="12.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spans="1:26" ht="12.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spans="1:26" ht="12.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spans="1:26" ht="12.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spans="1:26" ht="12.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spans="1:26" ht="12.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spans="1:26" ht="12.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spans="1:26" ht="12.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spans="1:26" ht="12.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spans="1:26" ht="12.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spans="1:26" ht="12.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spans="1:26" ht="12.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spans="1:26" ht="12.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spans="1:26" ht="12.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spans="1:26" ht="12.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spans="1:26" ht="12.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spans="1:26" ht="12.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spans="1:26" ht="12.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spans="1:26" ht="12.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spans="1:26" ht="12.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spans="1:26" ht="12.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spans="1:26" ht="12.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spans="1:26" ht="12.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spans="1:26" ht="12.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spans="1:26" ht="12.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spans="1:26" ht="12.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spans="1:26" ht="12.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spans="1:26" ht="12.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spans="1:26" ht="12.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spans="1:26" ht="12.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spans="1:26" ht="12.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spans="1:26" ht="12.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spans="1:26" ht="12.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spans="1:26" ht="12.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spans="1:26" ht="12.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spans="1:26" ht="12.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spans="1:26" ht="12.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spans="1:26" ht="12.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spans="1:26" ht="12.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spans="1:26" ht="12.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spans="1:26" ht="12.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spans="1:26" ht="12.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spans="1:26" ht="12.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spans="1:26" ht="12.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spans="1:26" ht="12.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spans="1:26" ht="12.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spans="1:26" ht="12.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spans="1:26" ht="12.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spans="1:26" ht="12.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spans="1:26" ht="12.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spans="1:26" ht="12.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spans="1:26" ht="12.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spans="1:26" ht="12.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spans="1:26" ht="12.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spans="1:26" ht="12.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spans="1:26" ht="12.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spans="1:26" ht="12.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spans="1:26" ht="12.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spans="1:26" ht="12.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spans="1:26" ht="12.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spans="1:26" ht="12.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spans="1:26" ht="12.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spans="1:26" ht="12.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spans="1:26" ht="12.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spans="1:26" ht="12.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spans="1:26" ht="12.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spans="1:26" ht="12.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spans="1:26" ht="12.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spans="1:26" ht="12.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spans="1:26" ht="12.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spans="1:26" ht="12.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spans="1:26" ht="12.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spans="1:26" ht="12.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spans="1:26" ht="12.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spans="1:26" ht="12.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spans="1:26" ht="12.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spans="1:26" ht="12.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spans="1:26" ht="12.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spans="1:26" ht="12.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spans="1:26" ht="12.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spans="1:26" ht="12.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spans="1:26" ht="12.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spans="1:26" ht="12.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spans="1:26" ht="12.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spans="1:26" ht="12.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spans="1:26" ht="12.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spans="1:26" ht="12.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spans="1:26" ht="12.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spans="1:26" ht="12.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spans="1:26" ht="12.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spans="1:26" ht="12.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spans="1:26" ht="12.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spans="1:26" ht="12.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spans="1:26" ht="12.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spans="1:26" ht="12.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spans="1:26" ht="12.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spans="1:26" ht="12.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spans="1:26" ht="12.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spans="1:26" ht="12.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spans="1:26" ht="12.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spans="1:26" ht="12.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spans="1:26" ht="12.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spans="1:26" ht="12.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spans="1:26" ht="12.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spans="1:26" ht="12.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spans="1:26" ht="12.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spans="1:26" ht="12.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spans="1:26" ht="12.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spans="1:26" ht="12.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spans="1:26" ht="12.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spans="1:26" ht="12.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spans="1:26" ht="12.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spans="1:26" ht="12.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spans="1:26" ht="12.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spans="1:26" ht="12.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spans="1:26" ht="12.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spans="1:26" ht="12.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spans="1:26" ht="12.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spans="1:26" ht="12.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spans="1:26" ht="12.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spans="1:26" ht="12.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spans="1:26" ht="12.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spans="1:26" ht="12.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spans="1:26" ht="12.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spans="1:26" ht="12.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spans="1:26" ht="12.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spans="1:26" ht="12.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spans="1:26" ht="12.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spans="1:26" ht="12.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spans="1:26" ht="12.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spans="1:26" ht="12.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spans="1:26" ht="12.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spans="1:26" ht="12.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spans="1:26" ht="12.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spans="1:26" ht="12.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spans="1:26" ht="12.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spans="1:26" ht="12.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spans="1:26" ht="12.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spans="1:26" ht="12.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spans="1:26" ht="12.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spans="1:26" ht="12.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spans="1:26" ht="12.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spans="1:26" ht="12.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spans="1:26" ht="12.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spans="1:26" ht="12.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spans="1:26" ht="12.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spans="1:26" ht="12.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spans="1:26" ht="12.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spans="1:26" ht="12.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spans="1:26" ht="12.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spans="1:26" ht="12.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spans="1:26" ht="12.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spans="1:26" ht="12.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spans="1:26" ht="12.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spans="1:26" ht="12.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spans="1:26" ht="12.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spans="1:26" ht="12.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spans="1:26" ht="12.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spans="1:26" ht="12.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spans="1:26" ht="12.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spans="1:26" ht="12.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spans="1:26" ht="12.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spans="1:26" ht="12.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spans="1:26" ht="12.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spans="1:26" ht="12.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spans="1:26" ht="12.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spans="1:26" ht="12.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spans="1:26" ht="12.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spans="1:26" ht="12.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spans="1:26" ht="12.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spans="1:26" ht="12.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spans="1:26" ht="12.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spans="1:26" ht="12.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spans="1:26" ht="12.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spans="1:26" ht="12.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spans="1:26" ht="12.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spans="1:26" ht="12.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spans="1:26" ht="12.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spans="1:26" ht="12.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spans="1:26" ht="12.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spans="1:26" ht="12.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spans="1:26" ht="12.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spans="1:26" ht="12.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spans="1:26" ht="12.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spans="1:26" ht="12.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spans="1:26" ht="12.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spans="1:26" ht="12.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spans="1:26" ht="12.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spans="1:26" ht="12.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spans="1:26" ht="12.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spans="1:26" ht="12.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spans="1:26" ht="12.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spans="1:26" ht="12.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spans="1:26" ht="12.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spans="1:26" ht="12.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spans="1:26" ht="12.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spans="1:26" ht="12.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spans="1:26" ht="12.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spans="1:26" ht="12.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spans="1:26" ht="12.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spans="1:26" ht="12.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spans="1:26" ht="12.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spans="1:26" ht="12.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spans="1:26" ht="12.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spans="1:26" ht="12.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spans="1:26" ht="12.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spans="1:26" ht="12.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spans="1:26" ht="12.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spans="1:26" ht="12.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spans="1:26" ht="12.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spans="1:26" ht="12.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spans="1:26" ht="12.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spans="1:26" ht="12.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spans="1:26" ht="12.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spans="1:26" ht="12.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spans="1:26" ht="12.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spans="1:26" ht="12.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spans="1:26" ht="12.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spans="1:26" ht="12.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spans="1:26" ht="12.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spans="1:26" ht="12.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spans="1:26" ht="12.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spans="1:26" ht="12.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spans="1:26" ht="12.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spans="1:26" ht="12.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spans="1:26" ht="12.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spans="1:26" ht="12.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spans="1:26" ht="12.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spans="1:26" ht="12.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spans="1:26" ht="12.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spans="1:26" ht="12.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spans="1:26" ht="12.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spans="1:26" ht="12.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spans="1:26" ht="12.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spans="1:26" ht="12.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spans="1:26" ht="12.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spans="1:26" ht="12.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spans="1:26" ht="12.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spans="1:26" ht="12.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spans="1:26" ht="12.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spans="1:26" ht="12.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spans="1:26" ht="12.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spans="1:26" ht="12.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spans="1:26" ht="12.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spans="1:26" ht="12.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spans="1:26" ht="12.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spans="1:26" ht="12.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spans="1:26" ht="12.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spans="1:26" ht="12.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spans="1:26" ht="12.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spans="1:26" ht="12.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spans="1:26" ht="12.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spans="1:26" ht="12.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spans="1:26" ht="12.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spans="1:26" ht="12.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spans="1:26" ht="12.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spans="1:26" ht="12.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spans="1:26" ht="12.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spans="1:26" ht="12.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spans="1:26" ht="12.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spans="1:26" ht="12.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spans="1:26" ht="12.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spans="1:26" ht="12.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spans="1:26" ht="12.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spans="1:26" ht="12.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spans="1:26" ht="12.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spans="1:26" ht="12.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spans="1:26" ht="12.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spans="1:26" ht="12.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spans="1:26" ht="12.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spans="1:26" ht="12.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spans="1:26" ht="12.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spans="1:26" ht="12.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spans="1:26" ht="12.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spans="1:26" ht="12.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spans="1:26" ht="12.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spans="1:26" ht="12.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spans="1:26" ht="12.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spans="1:26" ht="12.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spans="1:26" ht="12.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spans="1:26" ht="12.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spans="1:26" ht="12.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spans="1:26" ht="12.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spans="1:26" ht="12.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spans="1:26" ht="12.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spans="1:26" ht="12.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spans="1:26" ht="12.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spans="1:26" ht="12.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spans="1:26" ht="12.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spans="1:26" ht="12.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spans="1:26" ht="12.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spans="1:26" ht="12.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spans="1:26" ht="12.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spans="1:26" ht="12.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spans="1:26" ht="12.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spans="1:26" ht="12.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spans="1:26" ht="12.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spans="1:26" ht="12.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spans="1:26" ht="12.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spans="1:26" ht="12.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spans="1:26" ht="12.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spans="1:26" ht="12.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spans="1:26" ht="12.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spans="1:26" ht="12.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spans="1:26" ht="12.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spans="1:26" ht="12.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spans="1:26" ht="12.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spans="1:26" ht="12.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spans="1:26" ht="12.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spans="1:26" ht="12.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spans="1:26" ht="12.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spans="1:26" ht="12.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spans="1:26" ht="12.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spans="1:26" ht="12.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spans="1:26" ht="12.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spans="1:26" ht="12.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spans="1:26" ht="12.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spans="1:26" ht="12.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spans="1:26" ht="12.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spans="1:26" ht="12.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spans="1:26" ht="12.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spans="1:26" ht="12.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spans="1:26" ht="12.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spans="1:26" ht="12.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spans="1:26" ht="12.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spans="1:26" ht="12.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spans="1:26" ht="12.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spans="1:26" ht="12.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spans="1:26" ht="12.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spans="1:26" ht="12.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spans="1:26" ht="12.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spans="1:26" ht="12.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spans="1:26" ht="12.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spans="1:26" ht="12.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spans="1:26" ht="12.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spans="1:26" ht="12.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spans="1:26" ht="12.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spans="1:26" ht="12.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spans="1:26" ht="12.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spans="1:26" ht="12.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spans="1:26" ht="12.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spans="1:26" ht="12.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spans="1:26" ht="12.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spans="1:26" ht="12.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spans="1:26" ht="12.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spans="1:26" ht="12.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spans="1:26" ht="12.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spans="1:26" ht="12.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spans="1:26" ht="12.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spans="1:26" ht="12.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spans="1:26" ht="12.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spans="1:26" ht="12.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spans="1:26" ht="12.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spans="1:26" ht="12.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spans="1:26" ht="12.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spans="1:26" ht="12.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spans="1:26" ht="12.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spans="1:26" ht="12.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spans="1:26" ht="12.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spans="1:26" ht="12.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spans="1:26" ht="12.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spans="1:26" ht="12.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spans="1:26" ht="12.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spans="1:26" ht="12.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spans="1:26" ht="12.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spans="1:26" ht="12.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spans="1:26" ht="12.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spans="1:26" ht="12.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spans="1:26" ht="12.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spans="1:26" ht="12.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spans="1:26" ht="12.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spans="1:26" ht="12.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spans="1:26" ht="12.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spans="1:26" ht="12.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spans="1:26" ht="12.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spans="1:26" ht="12.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spans="1:26" ht="12.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spans="1:26" ht="12.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spans="1:26" ht="12.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spans="1:26" ht="12.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spans="1:26" ht="12.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spans="1:26" ht="12.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spans="1:26" ht="12.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spans="1:26" ht="12.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spans="1:26" ht="12.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spans="1:26" ht="12.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spans="1:26" ht="12.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spans="1:26" ht="12.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spans="1:26" ht="12.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spans="1:26" ht="12.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spans="1:26" ht="12.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spans="1:26" ht="12.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spans="1:26" ht="12.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spans="1:26" ht="12.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spans="1:26" ht="12.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spans="1:26" ht="12.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spans="1:26" ht="12.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spans="1:26" ht="12.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spans="1:26" ht="12.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spans="1:26" ht="12.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spans="1:26" ht="12.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spans="1:26" ht="12.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spans="1:26" ht="12.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spans="1:26" ht="12.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spans="1:26" ht="12.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spans="1:26" ht="12.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spans="1:26" ht="12.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spans="1:26" ht="12.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spans="1:26" ht="12.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spans="1:26" ht="12.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spans="1:26" ht="12.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spans="1:26" ht="12.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spans="1:26" ht="12.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spans="1:26" ht="12.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spans="1:26" ht="12.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spans="1:26" ht="12.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spans="1:26" ht="12.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spans="1:26" ht="12.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spans="1:26" ht="12.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spans="1:26" ht="12.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spans="1:26" ht="12.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spans="1:26" ht="12.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spans="1:26" ht="12.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spans="1:26" ht="12.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spans="1:26" ht="12.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spans="1:26" ht="12.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spans="1:26" ht="12.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spans="1:26" ht="12.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spans="1:26" ht="12.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spans="1:26" ht="12.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spans="1:26" ht="12.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spans="1:26" ht="12.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spans="1:26" ht="12.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spans="1:26" ht="12.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spans="1:26" ht="12.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spans="1:26" ht="12.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spans="1:26" ht="12.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spans="1:26" ht="12.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spans="1:26" ht="12.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spans="1:26" ht="12.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spans="1:26" ht="12.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spans="1:26" ht="12.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spans="1:26" ht="12.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spans="1:26" ht="12.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spans="1:26" ht="12.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spans="1:26" ht="12.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spans="1:26" ht="12.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spans="1:26" ht="12.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spans="1:26" ht="12.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spans="1:26" ht="12.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spans="1:26" ht="12.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spans="1:26" ht="12.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spans="1:26" ht="12.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spans="1:26" ht="12.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spans="1:26" ht="12.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spans="1:26" ht="12.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spans="1:26" ht="12.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spans="1:26" ht="12.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spans="1:26" ht="12.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spans="1:26" ht="12.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spans="1:26" ht="12.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spans="1:26" ht="12.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spans="1:26" ht="12.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spans="1:26" ht="12.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spans="1:26" ht="12.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spans="1:26" ht="12.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spans="1:26" ht="12.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spans="1:26" ht="12.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spans="1:26" ht="12.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spans="1:26" ht="12.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spans="1:26" ht="12.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spans="1:26" ht="12.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spans="1:26" ht="12.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spans="1:26" ht="12.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spans="1:26" ht="12.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spans="1:26" ht="12.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spans="1:26" ht="12.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spans="1:26" ht="12.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spans="1:26" ht="12.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spans="1:26" ht="12.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spans="1:26" ht="12.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spans="1:26" ht="12.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spans="1:26" ht="12.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spans="1:26" ht="12.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spans="1:26" ht="12.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spans="1:26" ht="12.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spans="1:26" ht="12.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spans="1:26" ht="12.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spans="1:26" ht="12.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spans="1:26" ht="12.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spans="1:26" ht="12.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spans="1:26" ht="12.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spans="1:26" ht="12.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spans="1:26" ht="12.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spans="1:26" ht="12.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spans="1:26" ht="12.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spans="1:26" ht="12.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spans="1:26" ht="12.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spans="1:26" ht="12.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spans="1:26" ht="12.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spans="1:26" ht="12.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spans="1:26" ht="12.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spans="1:26" ht="12.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spans="1:26" ht="12.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spans="1:26" ht="12.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spans="1:26" ht="12.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spans="1:26" ht="12.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spans="1:26" ht="12.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spans="1:26" ht="12.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spans="1:26" ht="12.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spans="1:26" ht="12.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spans="1:26" ht="12.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spans="1:26" ht="12.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spans="1:26" ht="12.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spans="1:26" ht="12.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spans="1:26" ht="12.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spans="1:26" ht="12.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spans="1:26" ht="12.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spans="1:26" ht="12.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spans="1:26" ht="12.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spans="1:26" ht="12.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spans="1:26" ht="12.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spans="1:26" ht="12.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spans="1:26" ht="12.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spans="1:26" ht="12.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spans="1:26" ht="12.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spans="1:26" ht="12.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spans="1:26" ht="12.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spans="1:26" ht="12.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spans="1:26" ht="12.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spans="1:26" ht="12.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spans="1:26" ht="12.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spans="1:26" ht="12.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spans="1:26" ht="12.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spans="1:26" ht="12.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spans="1:26" ht="12.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spans="1:26" ht="12.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spans="1:26" ht="12.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spans="1:26" ht="12.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spans="1:26" ht="12.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spans="1:26" ht="12.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spans="1:26" ht="12.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spans="1:26" ht="12.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spans="1:26" ht="12.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spans="1:26" ht="12.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spans="1:26" ht="12.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spans="1:26" ht="12.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spans="1:26" ht="12.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spans="1:26" ht="12.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spans="1:26" ht="12.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spans="1:26" ht="12.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spans="1:26" ht="12.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spans="1:26" ht="12.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spans="1:26" ht="12.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spans="1:26" ht="12.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spans="1:26" ht="12.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spans="1:26" ht="12.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spans="1:26" ht="12.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spans="1:26" ht="12.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spans="1:26" ht="12.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spans="1:26" ht="12.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spans="1:26" ht="12.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spans="1:26" ht="12.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spans="1:26" ht="12.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spans="1:26" ht="12.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spans="1:26" ht="12.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spans="1:26" ht="12.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spans="1:26" ht="12.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spans="1:26" ht="12.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spans="1:26" ht="12.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spans="1:26" ht="12.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spans="1:26" ht="12.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spans="1:26" ht="12.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spans="1:26" ht="12.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spans="1:26" ht="12.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spans="1:26" ht="12.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spans="1:26" ht="12.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spans="1:26" ht="12.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spans="1:26" ht="12.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spans="1:26" ht="12.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spans="1:26" ht="12.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spans="1:26" ht="12.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spans="1:26" ht="12.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spans="1:26" ht="12.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spans="1:26" ht="12.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spans="1:26" ht="12.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spans="1:26" ht="12.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spans="1:26" ht="12.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mergeCells count="38">
    <mergeCell ref="B49:C49"/>
    <mergeCell ref="B50:C50"/>
    <mergeCell ref="B41:C41"/>
    <mergeCell ref="B42:C42"/>
    <mergeCell ref="B43:C43"/>
    <mergeCell ref="B44:C44"/>
    <mergeCell ref="B45:C45"/>
    <mergeCell ref="B47:C47"/>
    <mergeCell ref="B40:C40"/>
    <mergeCell ref="B22:C22"/>
    <mergeCell ref="B23:C23"/>
    <mergeCell ref="B24:C24"/>
    <mergeCell ref="B25:C25"/>
    <mergeCell ref="B26:C26"/>
    <mergeCell ref="B27:C27"/>
    <mergeCell ref="B28:C28"/>
    <mergeCell ref="B29:C29"/>
    <mergeCell ref="B30:C30"/>
    <mergeCell ref="B37:C37"/>
    <mergeCell ref="B39:C39"/>
    <mergeCell ref="B21:C21"/>
    <mergeCell ref="B6:C6"/>
    <mergeCell ref="B7:C7"/>
    <mergeCell ref="B8:C8"/>
    <mergeCell ref="B9:C9"/>
    <mergeCell ref="B10:C10"/>
    <mergeCell ref="B11:C11"/>
    <mergeCell ref="B16:C16"/>
    <mergeCell ref="B17:C17"/>
    <mergeCell ref="B18:C18"/>
    <mergeCell ref="B19:C19"/>
    <mergeCell ref="B20:C20"/>
    <mergeCell ref="B5:C5"/>
    <mergeCell ref="A1:D2"/>
    <mergeCell ref="B3:C3"/>
    <mergeCell ref="D3:D4"/>
    <mergeCell ref="E3:E4"/>
    <mergeCell ref="B4:C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E11"/>
  <sheetViews>
    <sheetView workbookViewId="0">
      <selection activeCell="D4" sqref="D4"/>
    </sheetView>
  </sheetViews>
  <sheetFormatPr defaultRowHeight="15"/>
  <cols>
    <col min="1" max="1" width="26" style="2" bestFit="1" customWidth="1"/>
    <col min="2" max="2" width="9.140625" style="1"/>
    <col min="3" max="3" width="11.85546875" style="1" bestFit="1" customWidth="1"/>
  </cols>
  <sheetData>
    <row r="1" spans="1:5" ht="60">
      <c r="A1" s="3" t="s">
        <v>491</v>
      </c>
      <c r="B1" s="7" t="s">
        <v>492</v>
      </c>
    </row>
    <row r="2" spans="1:5">
      <c r="A2" s="3" t="s">
        <v>493</v>
      </c>
      <c r="B2" s="6"/>
      <c r="C2" s="4"/>
    </row>
    <row r="4" spans="1:5">
      <c r="A4" s="2" t="s">
        <v>494</v>
      </c>
      <c r="B4" s="1">
        <v>0</v>
      </c>
      <c r="C4" s="1">
        <v>0</v>
      </c>
    </row>
    <row r="5" spans="1:5">
      <c r="A5" s="2" t="s">
        <v>495</v>
      </c>
      <c r="B5" s="1">
        <v>33</v>
      </c>
      <c r="C5"/>
      <c r="D5" s="1"/>
    </row>
    <row r="6" spans="1:5" ht="15.75" thickBot="1">
      <c r="A6" s="2" t="s">
        <v>496</v>
      </c>
      <c r="B6" s="20">
        <v>0</v>
      </c>
      <c r="C6" s="20">
        <f>B5*B6</f>
        <v>0</v>
      </c>
      <c r="D6" s="30"/>
    </row>
    <row r="7" spans="1:5">
      <c r="C7" s="9" t="s">
        <v>497</v>
      </c>
      <c r="D7" s="1">
        <f>SUM(C4:C6)</f>
        <v>0</v>
      </c>
    </row>
    <row r="8" spans="1:5">
      <c r="D8" s="1"/>
    </row>
    <row r="10" spans="1:5" ht="15.75" thickBot="1">
      <c r="D10" s="30"/>
    </row>
    <row r="11" spans="1:5">
      <c r="D11" s="31" t="s">
        <v>498</v>
      </c>
      <c r="E11" s="1">
        <f>+SUM(C4:C10)</f>
        <v>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C5F0F-F50D-4240-B814-4797EC2276C3}">
  <sheetPr codeName="Sheet12"/>
  <dimension ref="A1:F62"/>
  <sheetViews>
    <sheetView topLeftCell="A46" workbookViewId="0">
      <selection activeCell="F62" sqref="F62"/>
    </sheetView>
  </sheetViews>
  <sheetFormatPr defaultColWidth="9.140625" defaultRowHeight="15"/>
  <cols>
    <col min="1" max="1" width="39.7109375" bestFit="1" customWidth="1"/>
    <col min="2" max="2" width="26.85546875" style="2" customWidth="1"/>
    <col min="5" max="5" width="9.28515625" bestFit="1" customWidth="1"/>
  </cols>
  <sheetData>
    <row r="1" spans="1:6">
      <c r="A1" s="15" t="s">
        <v>499</v>
      </c>
    </row>
    <row r="2" spans="1:6" s="3" customFormat="1">
      <c r="B2" s="3" t="s">
        <v>500</v>
      </c>
      <c r="C2" s="3" t="s">
        <v>501</v>
      </c>
      <c r="D2" s="8" t="s">
        <v>502</v>
      </c>
      <c r="E2" s="3" t="s">
        <v>503</v>
      </c>
      <c r="F2" s="3" t="s">
        <v>504</v>
      </c>
    </row>
    <row r="3" spans="1:6">
      <c r="A3" s="294" t="s">
        <v>505</v>
      </c>
      <c r="B3" s="294"/>
      <c r="C3" s="295">
        <v>0</v>
      </c>
      <c r="D3" s="296">
        <v>0</v>
      </c>
      <c r="E3">
        <f>+C3*D3</f>
        <v>0</v>
      </c>
    </row>
    <row r="4" spans="1:6">
      <c r="A4" s="294" t="s">
        <v>506</v>
      </c>
      <c r="B4" s="294"/>
      <c r="C4" s="295">
        <v>0</v>
      </c>
      <c r="D4" s="296">
        <v>0</v>
      </c>
      <c r="E4">
        <f t="shared" ref="E4:E61" si="0">+C4*D4</f>
        <v>0</v>
      </c>
    </row>
    <row r="5" spans="1:6">
      <c r="A5" s="294" t="s">
        <v>507</v>
      </c>
      <c r="B5" s="294"/>
      <c r="C5" s="295">
        <v>0</v>
      </c>
      <c r="D5" s="296">
        <v>0</v>
      </c>
      <c r="E5">
        <f t="shared" si="0"/>
        <v>0</v>
      </c>
    </row>
    <row r="6" spans="1:6">
      <c r="A6" s="294" t="s">
        <v>508</v>
      </c>
      <c r="B6" s="294"/>
      <c r="C6" s="295">
        <v>0</v>
      </c>
      <c r="D6" s="296">
        <v>0</v>
      </c>
      <c r="E6">
        <f t="shared" si="0"/>
        <v>0</v>
      </c>
    </row>
    <row r="7" spans="1:6">
      <c r="A7" s="294" t="s">
        <v>509</v>
      </c>
      <c r="B7" s="294"/>
      <c r="C7" s="295">
        <v>0</v>
      </c>
      <c r="D7" s="296">
        <v>0</v>
      </c>
      <c r="E7">
        <f t="shared" si="0"/>
        <v>0</v>
      </c>
    </row>
    <row r="8" spans="1:6">
      <c r="A8" s="294" t="s">
        <v>510</v>
      </c>
      <c r="B8" s="294"/>
      <c r="C8" s="295">
        <v>0</v>
      </c>
      <c r="D8" s="296">
        <v>0</v>
      </c>
      <c r="E8">
        <f t="shared" si="0"/>
        <v>0</v>
      </c>
    </row>
    <row r="9" spans="1:6">
      <c r="A9" s="294" t="s">
        <v>511</v>
      </c>
      <c r="B9" s="294"/>
      <c r="C9" s="295">
        <v>0</v>
      </c>
      <c r="D9" s="296">
        <v>0</v>
      </c>
      <c r="E9">
        <f t="shared" si="0"/>
        <v>0</v>
      </c>
    </row>
    <row r="10" spans="1:6">
      <c r="A10" s="294" t="s">
        <v>178</v>
      </c>
      <c r="B10" s="294"/>
      <c r="C10" s="295">
        <v>0</v>
      </c>
      <c r="D10" s="296">
        <v>0</v>
      </c>
      <c r="E10">
        <f t="shared" si="0"/>
        <v>0</v>
      </c>
    </row>
    <row r="11" spans="1:6">
      <c r="A11" s="294"/>
      <c r="B11" s="294"/>
      <c r="C11" s="295">
        <v>0</v>
      </c>
      <c r="D11" s="296">
        <v>0</v>
      </c>
      <c r="E11">
        <f t="shared" si="0"/>
        <v>0</v>
      </c>
    </row>
    <row r="12" spans="1:6">
      <c r="A12" s="294" t="s">
        <v>512</v>
      </c>
      <c r="B12" s="294"/>
      <c r="C12" s="295">
        <v>0</v>
      </c>
      <c r="D12" s="296">
        <v>0</v>
      </c>
      <c r="E12">
        <f t="shared" si="0"/>
        <v>0</v>
      </c>
    </row>
    <row r="13" spans="1:6">
      <c r="A13" s="294" t="s">
        <v>513</v>
      </c>
      <c r="B13" s="294"/>
      <c r="C13" s="295">
        <v>0</v>
      </c>
      <c r="D13" s="296">
        <v>0</v>
      </c>
      <c r="E13">
        <f t="shared" si="0"/>
        <v>0</v>
      </c>
    </row>
    <row r="14" spans="1:6">
      <c r="A14" s="294" t="s">
        <v>514</v>
      </c>
      <c r="B14" s="294"/>
      <c r="C14" s="295">
        <v>0</v>
      </c>
      <c r="D14" s="296">
        <v>0</v>
      </c>
      <c r="E14">
        <f t="shared" si="0"/>
        <v>0</v>
      </c>
    </row>
    <row r="15" spans="1:6">
      <c r="A15" s="294" t="s">
        <v>515</v>
      </c>
      <c r="B15" s="294"/>
      <c r="C15" s="295">
        <v>0</v>
      </c>
      <c r="D15" s="296">
        <v>0</v>
      </c>
      <c r="E15">
        <f t="shared" si="0"/>
        <v>0</v>
      </c>
    </row>
    <row r="16" spans="1:6">
      <c r="A16" s="294"/>
      <c r="B16" s="294"/>
      <c r="C16" s="295">
        <v>0</v>
      </c>
      <c r="D16" s="296">
        <v>0</v>
      </c>
      <c r="E16">
        <f t="shared" si="0"/>
        <v>0</v>
      </c>
    </row>
    <row r="17" spans="1:5">
      <c r="A17" s="294" t="s">
        <v>516</v>
      </c>
      <c r="B17" s="294"/>
      <c r="C17" s="295">
        <v>0</v>
      </c>
      <c r="D17" s="296">
        <v>0</v>
      </c>
      <c r="E17">
        <f t="shared" si="0"/>
        <v>0</v>
      </c>
    </row>
    <row r="18" spans="1:5">
      <c r="A18" s="294" t="s">
        <v>517</v>
      </c>
      <c r="B18" s="294"/>
      <c r="C18" s="295">
        <v>0</v>
      </c>
      <c r="D18" s="296">
        <v>0</v>
      </c>
      <c r="E18">
        <f t="shared" si="0"/>
        <v>0</v>
      </c>
    </row>
    <row r="19" spans="1:5">
      <c r="A19" s="294"/>
      <c r="B19" s="294"/>
      <c r="C19" s="295">
        <v>0</v>
      </c>
      <c r="D19" s="296">
        <v>0</v>
      </c>
      <c r="E19">
        <f t="shared" si="0"/>
        <v>0</v>
      </c>
    </row>
    <row r="20" spans="1:5">
      <c r="A20" s="294" t="s">
        <v>518</v>
      </c>
      <c r="B20" s="294"/>
      <c r="C20" s="295">
        <v>0</v>
      </c>
      <c r="D20" s="296">
        <v>0</v>
      </c>
      <c r="E20">
        <f t="shared" si="0"/>
        <v>0</v>
      </c>
    </row>
    <row r="21" spans="1:5">
      <c r="A21" s="294" t="s">
        <v>519</v>
      </c>
      <c r="B21" s="294"/>
      <c r="C21" s="295">
        <v>0</v>
      </c>
      <c r="D21" s="296">
        <v>0</v>
      </c>
      <c r="E21">
        <f t="shared" si="0"/>
        <v>0</v>
      </c>
    </row>
    <row r="22" spans="1:5">
      <c r="A22" s="294"/>
      <c r="B22" s="294"/>
      <c r="C22" s="295">
        <v>0</v>
      </c>
      <c r="D22" s="296">
        <v>0</v>
      </c>
      <c r="E22">
        <f t="shared" si="0"/>
        <v>0</v>
      </c>
    </row>
    <row r="23" spans="1:5">
      <c r="A23" s="294" t="s">
        <v>520</v>
      </c>
      <c r="B23" s="294"/>
      <c r="C23" s="295">
        <v>0</v>
      </c>
      <c r="D23" s="296">
        <v>0</v>
      </c>
      <c r="E23">
        <f t="shared" si="0"/>
        <v>0</v>
      </c>
    </row>
    <row r="24" spans="1:5">
      <c r="A24" s="294"/>
      <c r="B24" s="294"/>
      <c r="C24" s="295">
        <v>0</v>
      </c>
      <c r="D24" s="296">
        <v>0</v>
      </c>
      <c r="E24">
        <f t="shared" si="0"/>
        <v>0</v>
      </c>
    </row>
    <row r="25" spans="1:5">
      <c r="A25" s="294"/>
      <c r="B25" s="294"/>
      <c r="C25" s="295">
        <v>0</v>
      </c>
      <c r="D25" s="296">
        <v>0</v>
      </c>
      <c r="E25">
        <f t="shared" si="0"/>
        <v>0</v>
      </c>
    </row>
    <row r="26" spans="1:5">
      <c r="A26" s="294" t="s">
        <v>521</v>
      </c>
      <c r="B26" s="294"/>
      <c r="C26" s="295">
        <v>0</v>
      </c>
      <c r="D26" s="296">
        <v>0</v>
      </c>
      <c r="E26">
        <f t="shared" si="0"/>
        <v>0</v>
      </c>
    </row>
    <row r="27" spans="1:5">
      <c r="A27" s="294" t="s">
        <v>522</v>
      </c>
      <c r="B27" s="294"/>
      <c r="C27" s="295">
        <v>0</v>
      </c>
      <c r="D27" s="296">
        <v>0</v>
      </c>
      <c r="E27">
        <f t="shared" si="0"/>
        <v>0</v>
      </c>
    </row>
    <row r="28" spans="1:5">
      <c r="A28" s="294" t="s">
        <v>523</v>
      </c>
      <c r="B28" s="294"/>
      <c r="C28" s="295">
        <v>0</v>
      </c>
      <c r="D28" s="296">
        <v>0</v>
      </c>
      <c r="E28">
        <f t="shared" si="0"/>
        <v>0</v>
      </c>
    </row>
    <row r="29" spans="1:5">
      <c r="A29" s="294" t="s">
        <v>524</v>
      </c>
      <c r="B29" s="294"/>
      <c r="C29" s="295">
        <v>0</v>
      </c>
      <c r="D29" s="296">
        <v>0</v>
      </c>
      <c r="E29">
        <f t="shared" si="0"/>
        <v>0</v>
      </c>
    </row>
    <row r="30" spans="1:5">
      <c r="A30" s="294" t="s">
        <v>525</v>
      </c>
      <c r="B30" s="294"/>
      <c r="C30" s="295">
        <v>0</v>
      </c>
      <c r="D30" s="296">
        <v>0</v>
      </c>
      <c r="E30">
        <f t="shared" si="0"/>
        <v>0</v>
      </c>
    </row>
    <row r="31" spans="1:5">
      <c r="A31" s="294" t="s">
        <v>526</v>
      </c>
      <c r="B31" s="294"/>
      <c r="C31" s="295">
        <v>0</v>
      </c>
      <c r="D31" s="296">
        <v>0</v>
      </c>
      <c r="E31">
        <f t="shared" si="0"/>
        <v>0</v>
      </c>
    </row>
    <row r="32" spans="1:5">
      <c r="A32" s="294" t="s">
        <v>527</v>
      </c>
      <c r="B32" s="294"/>
      <c r="C32" s="295">
        <v>0</v>
      </c>
      <c r="D32" s="296">
        <v>0</v>
      </c>
      <c r="E32">
        <f t="shared" si="0"/>
        <v>0</v>
      </c>
    </row>
    <row r="33" spans="1:5">
      <c r="A33" s="294" t="s">
        <v>528</v>
      </c>
      <c r="B33" s="294"/>
      <c r="C33" s="295">
        <v>0</v>
      </c>
      <c r="D33" s="296">
        <v>0</v>
      </c>
      <c r="E33">
        <f t="shared" si="0"/>
        <v>0</v>
      </c>
    </row>
    <row r="34" spans="1:5">
      <c r="A34" s="294" t="s">
        <v>529</v>
      </c>
      <c r="B34" s="294"/>
      <c r="C34" s="295">
        <v>0</v>
      </c>
      <c r="D34" s="296">
        <v>0</v>
      </c>
      <c r="E34">
        <f t="shared" si="0"/>
        <v>0</v>
      </c>
    </row>
    <row r="35" spans="1:5">
      <c r="A35" s="294" t="s">
        <v>530</v>
      </c>
      <c r="B35" s="294"/>
      <c r="C35" s="295">
        <v>0</v>
      </c>
      <c r="D35" s="296">
        <v>0</v>
      </c>
      <c r="E35">
        <f t="shared" si="0"/>
        <v>0</v>
      </c>
    </row>
    <row r="36" spans="1:5">
      <c r="A36" s="294" t="s">
        <v>531</v>
      </c>
      <c r="B36" s="294"/>
      <c r="C36" s="295">
        <v>0</v>
      </c>
      <c r="D36" s="296">
        <v>0</v>
      </c>
      <c r="E36">
        <f t="shared" si="0"/>
        <v>0</v>
      </c>
    </row>
    <row r="37" spans="1:5">
      <c r="A37" s="294"/>
      <c r="B37" s="294"/>
      <c r="C37" s="295">
        <v>0</v>
      </c>
      <c r="D37" s="296">
        <v>0</v>
      </c>
      <c r="E37">
        <f t="shared" si="0"/>
        <v>0</v>
      </c>
    </row>
    <row r="38" spans="1:5">
      <c r="A38" s="294" t="s">
        <v>532</v>
      </c>
      <c r="B38" s="294"/>
      <c r="C38" s="295">
        <v>0</v>
      </c>
      <c r="D38" s="296">
        <v>0</v>
      </c>
      <c r="E38">
        <f t="shared" si="0"/>
        <v>0</v>
      </c>
    </row>
    <row r="39" spans="1:5">
      <c r="A39" s="294" t="s">
        <v>533</v>
      </c>
      <c r="B39" s="294"/>
      <c r="C39" s="295">
        <v>0</v>
      </c>
      <c r="D39" s="296">
        <v>0</v>
      </c>
      <c r="E39">
        <f t="shared" si="0"/>
        <v>0</v>
      </c>
    </row>
    <row r="40" spans="1:5">
      <c r="A40" s="294" t="s">
        <v>534</v>
      </c>
      <c r="B40" s="294"/>
      <c r="C40" s="295">
        <v>0</v>
      </c>
      <c r="D40" s="296">
        <v>0</v>
      </c>
      <c r="E40">
        <f t="shared" si="0"/>
        <v>0</v>
      </c>
    </row>
    <row r="41" spans="1:5">
      <c r="A41" s="294" t="s">
        <v>535</v>
      </c>
      <c r="B41" s="294"/>
      <c r="C41" s="295">
        <v>0</v>
      </c>
      <c r="D41" s="296">
        <v>0</v>
      </c>
      <c r="E41">
        <f t="shared" si="0"/>
        <v>0</v>
      </c>
    </row>
    <row r="42" spans="1:5">
      <c r="A42" s="294"/>
      <c r="B42" s="294"/>
      <c r="C42" s="295">
        <v>0</v>
      </c>
      <c r="D42" s="296">
        <v>0</v>
      </c>
      <c r="E42">
        <f t="shared" si="0"/>
        <v>0</v>
      </c>
    </row>
    <row r="43" spans="1:5">
      <c r="A43" s="294"/>
      <c r="B43" s="294"/>
      <c r="C43" s="295">
        <v>0</v>
      </c>
      <c r="D43" s="296">
        <v>0</v>
      </c>
      <c r="E43">
        <f t="shared" ref="E43:E57" si="1">+C43*D43</f>
        <v>0</v>
      </c>
    </row>
    <row r="44" spans="1:5">
      <c r="A44" s="294"/>
      <c r="B44" s="294"/>
      <c r="C44" s="295">
        <v>0</v>
      </c>
      <c r="D44" s="296">
        <v>0</v>
      </c>
      <c r="E44">
        <f t="shared" si="1"/>
        <v>0</v>
      </c>
    </row>
    <row r="45" spans="1:5">
      <c r="A45" s="294"/>
      <c r="B45" s="294"/>
      <c r="C45" s="295">
        <v>0</v>
      </c>
      <c r="D45" s="296">
        <v>0</v>
      </c>
      <c r="E45">
        <f t="shared" si="1"/>
        <v>0</v>
      </c>
    </row>
    <row r="46" spans="1:5">
      <c r="A46" s="294"/>
      <c r="B46" s="294"/>
      <c r="C46" s="295">
        <v>0</v>
      </c>
      <c r="D46" s="296">
        <v>0</v>
      </c>
      <c r="E46">
        <f t="shared" si="1"/>
        <v>0</v>
      </c>
    </row>
    <row r="47" spans="1:5">
      <c r="A47" s="294"/>
      <c r="B47" s="294"/>
      <c r="C47" s="295">
        <v>0</v>
      </c>
      <c r="D47" s="296">
        <v>0</v>
      </c>
      <c r="E47">
        <f t="shared" si="1"/>
        <v>0</v>
      </c>
    </row>
    <row r="48" spans="1:5">
      <c r="A48" s="294"/>
      <c r="B48" s="294"/>
      <c r="C48" s="295">
        <v>0</v>
      </c>
      <c r="D48" s="296">
        <v>0</v>
      </c>
      <c r="E48">
        <f t="shared" si="1"/>
        <v>0</v>
      </c>
    </row>
    <row r="49" spans="1:6">
      <c r="A49" s="294"/>
      <c r="B49" s="294"/>
      <c r="C49" s="295">
        <v>0</v>
      </c>
      <c r="D49" s="296">
        <v>0</v>
      </c>
      <c r="E49">
        <f t="shared" si="1"/>
        <v>0</v>
      </c>
    </row>
    <row r="50" spans="1:6">
      <c r="A50" s="294"/>
      <c r="B50" s="294"/>
      <c r="C50" s="295">
        <v>0</v>
      </c>
      <c r="D50" s="296">
        <v>0</v>
      </c>
      <c r="E50">
        <f t="shared" si="1"/>
        <v>0</v>
      </c>
    </row>
    <row r="51" spans="1:6">
      <c r="A51" s="294"/>
      <c r="B51" s="294"/>
      <c r="C51" s="295">
        <v>0</v>
      </c>
      <c r="D51" s="296">
        <v>0</v>
      </c>
      <c r="E51">
        <f t="shared" si="1"/>
        <v>0</v>
      </c>
    </row>
    <row r="52" spans="1:6">
      <c r="A52" s="294"/>
      <c r="B52" s="294"/>
      <c r="C52" s="295">
        <v>0</v>
      </c>
      <c r="D52" s="296">
        <v>0</v>
      </c>
      <c r="E52">
        <f t="shared" si="1"/>
        <v>0</v>
      </c>
    </row>
    <row r="53" spans="1:6">
      <c r="A53" s="294"/>
      <c r="B53" s="294"/>
      <c r="C53" s="295">
        <v>0</v>
      </c>
      <c r="D53" s="296">
        <v>0</v>
      </c>
      <c r="E53">
        <f t="shared" si="1"/>
        <v>0</v>
      </c>
    </row>
    <row r="54" spans="1:6">
      <c r="A54" s="294"/>
      <c r="B54" s="294"/>
      <c r="C54" s="295">
        <v>0</v>
      </c>
      <c r="D54" s="296">
        <v>0</v>
      </c>
      <c r="E54">
        <f t="shared" si="1"/>
        <v>0</v>
      </c>
    </row>
    <row r="55" spans="1:6">
      <c r="A55" s="294"/>
      <c r="B55" s="294"/>
      <c r="C55" s="295">
        <v>0</v>
      </c>
      <c r="D55" s="296">
        <v>0</v>
      </c>
      <c r="E55">
        <f t="shared" si="1"/>
        <v>0</v>
      </c>
    </row>
    <row r="56" spans="1:6">
      <c r="A56" s="294"/>
      <c r="B56" s="294"/>
      <c r="C56" s="295">
        <v>0</v>
      </c>
      <c r="D56" s="296">
        <v>0</v>
      </c>
      <c r="E56">
        <f t="shared" si="1"/>
        <v>0</v>
      </c>
    </row>
    <row r="57" spans="1:6">
      <c r="A57" s="294"/>
      <c r="B57" s="294"/>
      <c r="C57" s="295">
        <v>0</v>
      </c>
      <c r="D57" s="296">
        <v>0</v>
      </c>
      <c r="E57">
        <f t="shared" si="1"/>
        <v>0</v>
      </c>
    </row>
    <row r="58" spans="1:6">
      <c r="A58" s="294"/>
      <c r="B58" s="294"/>
      <c r="C58" s="295">
        <v>0</v>
      </c>
      <c r="D58" s="296">
        <v>0</v>
      </c>
      <c r="E58">
        <f t="shared" si="0"/>
        <v>0</v>
      </c>
    </row>
    <row r="59" spans="1:6">
      <c r="A59" s="294" t="s">
        <v>536</v>
      </c>
      <c r="B59" s="294"/>
      <c r="C59" s="295">
        <v>0</v>
      </c>
      <c r="D59" s="296">
        <v>0</v>
      </c>
      <c r="E59">
        <f t="shared" si="0"/>
        <v>0</v>
      </c>
    </row>
    <row r="60" spans="1:6">
      <c r="A60" s="293"/>
      <c r="B60" s="294"/>
      <c r="C60" s="295">
        <v>0</v>
      </c>
      <c r="D60" s="296">
        <v>0</v>
      </c>
      <c r="E60">
        <f t="shared" si="0"/>
        <v>0</v>
      </c>
    </row>
    <row r="61" spans="1:6" ht="15.75" thickBot="1">
      <c r="A61" s="293"/>
      <c r="B61" s="294"/>
      <c r="C61" s="295">
        <v>0</v>
      </c>
      <c r="D61" s="296">
        <v>0</v>
      </c>
      <c r="E61">
        <f t="shared" si="0"/>
        <v>0</v>
      </c>
      <c r="F61" s="23"/>
    </row>
    <row r="62" spans="1:6">
      <c r="F62">
        <f>+SUM(E3:E61)</f>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0E86-D18D-4C03-9745-B4C38BEC92ED}">
  <sheetPr codeName="Sheet13"/>
  <dimension ref="A1:J28"/>
  <sheetViews>
    <sheetView workbookViewId="0">
      <selection activeCell="F18" sqref="F18"/>
    </sheetView>
  </sheetViews>
  <sheetFormatPr defaultColWidth="9.140625" defaultRowHeight="15"/>
  <cols>
    <col min="1" max="2" width="26.85546875" style="2" bestFit="1" customWidth="1"/>
    <col min="3" max="3" width="22.28515625" customWidth="1"/>
    <col min="4" max="4" width="9.140625" style="5"/>
    <col min="5" max="5" width="9.140625" style="26"/>
    <col min="7" max="7" width="9.140625" bestFit="1" customWidth="1"/>
    <col min="9" max="9" width="12.7109375" bestFit="1" customWidth="1"/>
    <col min="10" max="10" width="9.7109375" bestFit="1" customWidth="1"/>
  </cols>
  <sheetData>
    <row r="1" spans="1:9" s="3" customFormat="1">
      <c r="A1" s="3" t="s">
        <v>537</v>
      </c>
      <c r="B1" s="3" t="s">
        <v>327</v>
      </c>
      <c r="C1" s="13" t="s">
        <v>538</v>
      </c>
      <c r="D1" s="3" t="s">
        <v>539</v>
      </c>
      <c r="E1" s="13" t="s">
        <v>540</v>
      </c>
      <c r="F1" s="3" t="s">
        <v>541</v>
      </c>
    </row>
    <row r="2" spans="1:9">
      <c r="B2"/>
      <c r="C2" s="14"/>
      <c r="D2"/>
      <c r="E2" s="14"/>
      <c r="F2" s="14">
        <v>0</v>
      </c>
    </row>
    <row r="3" spans="1:9" s="22" customFormat="1">
      <c r="A3" s="2" t="s">
        <v>542</v>
      </c>
      <c r="B3" s="12"/>
      <c r="C3" s="14" t="s">
        <v>543</v>
      </c>
      <c r="D3">
        <v>0</v>
      </c>
      <c r="E3" s="14">
        <v>50</v>
      </c>
      <c r="F3" s="14">
        <f>+D3*E3</f>
        <v>0</v>
      </c>
      <c r="G3"/>
      <c r="H3" s="3"/>
      <c r="I3" s="3"/>
    </row>
    <row r="4" spans="1:9">
      <c r="A4" s="2" t="s">
        <v>542</v>
      </c>
      <c r="B4"/>
      <c r="C4" s="14" t="s">
        <v>544</v>
      </c>
      <c r="D4">
        <v>0</v>
      </c>
      <c r="E4" s="14">
        <v>150</v>
      </c>
      <c r="F4" s="14">
        <f t="shared" ref="F4:F19" si="0">+D4*E4</f>
        <v>0</v>
      </c>
    </row>
    <row r="5" spans="1:9">
      <c r="A5" s="2" t="s">
        <v>542</v>
      </c>
      <c r="B5"/>
      <c r="C5" s="14" t="s">
        <v>545</v>
      </c>
      <c r="D5">
        <v>0</v>
      </c>
      <c r="E5" s="14">
        <v>104</v>
      </c>
      <c r="F5" s="14">
        <f t="shared" si="0"/>
        <v>0</v>
      </c>
    </row>
    <row r="6" spans="1:9">
      <c r="A6" s="2" t="s">
        <v>542</v>
      </c>
      <c r="B6"/>
      <c r="C6" s="14" t="s">
        <v>546</v>
      </c>
      <c r="D6">
        <v>0</v>
      </c>
      <c r="E6" s="14">
        <f>+(12.13+31.46+41.63)/3</f>
        <v>28.406666666666666</v>
      </c>
      <c r="F6" s="14">
        <f t="shared" si="0"/>
        <v>0</v>
      </c>
    </row>
    <row r="7" spans="1:9">
      <c r="A7" s="2" t="s">
        <v>542</v>
      </c>
      <c r="B7"/>
      <c r="C7" s="14" t="s">
        <v>547</v>
      </c>
      <c r="D7">
        <v>0</v>
      </c>
      <c r="E7" s="14">
        <v>6.35</v>
      </c>
      <c r="F7" s="14">
        <f t="shared" si="0"/>
        <v>0</v>
      </c>
    </row>
    <row r="8" spans="1:9">
      <c r="A8" s="2" t="s">
        <v>542</v>
      </c>
      <c r="B8"/>
      <c r="C8" s="14" t="s">
        <v>548</v>
      </c>
      <c r="D8">
        <v>0</v>
      </c>
      <c r="E8" s="14">
        <v>2.5</v>
      </c>
      <c r="F8" s="14">
        <f t="shared" si="0"/>
        <v>0</v>
      </c>
    </row>
    <row r="9" spans="1:9">
      <c r="A9" s="2" t="s">
        <v>542</v>
      </c>
      <c r="B9"/>
      <c r="C9" s="14" t="s">
        <v>549</v>
      </c>
      <c r="D9">
        <v>0</v>
      </c>
      <c r="E9" s="14">
        <f>(8.5+10+17.34)/3</f>
        <v>11.946666666666667</v>
      </c>
      <c r="F9" s="14">
        <f t="shared" si="0"/>
        <v>0</v>
      </c>
    </row>
    <row r="10" spans="1:9">
      <c r="A10" s="2" t="s">
        <v>542</v>
      </c>
      <c r="B10" s="275"/>
      <c r="C10" s="14" t="s">
        <v>550</v>
      </c>
      <c r="D10">
        <v>0</v>
      </c>
      <c r="E10" s="14">
        <v>0</v>
      </c>
      <c r="F10" s="14">
        <f t="shared" si="0"/>
        <v>0</v>
      </c>
    </row>
    <row r="11" spans="1:9">
      <c r="A11" s="2" t="s">
        <v>542</v>
      </c>
      <c r="B11" s="275"/>
      <c r="C11" s="14" t="s">
        <v>551</v>
      </c>
      <c r="D11">
        <v>0</v>
      </c>
      <c r="E11" s="14">
        <v>0</v>
      </c>
      <c r="F11" s="14">
        <f t="shared" si="0"/>
        <v>0</v>
      </c>
    </row>
    <row r="12" spans="1:9">
      <c r="A12" s="2" t="s">
        <v>542</v>
      </c>
      <c r="B12" s="275">
        <v>44666</v>
      </c>
      <c r="C12" s="14"/>
      <c r="D12">
        <v>0</v>
      </c>
      <c r="E12" s="14">
        <v>599.75</v>
      </c>
      <c r="F12" s="14">
        <f t="shared" si="0"/>
        <v>0</v>
      </c>
    </row>
    <row r="13" spans="1:9">
      <c r="A13" s="2" t="s">
        <v>542</v>
      </c>
      <c r="B13" s="12">
        <v>44638</v>
      </c>
      <c r="C13" s="14"/>
      <c r="D13">
        <v>1</v>
      </c>
      <c r="E13" s="14">
        <v>1311.18</v>
      </c>
      <c r="F13" s="14">
        <f t="shared" si="0"/>
        <v>1311.18</v>
      </c>
    </row>
    <row r="14" spans="1:9">
      <c r="A14" s="2" t="s">
        <v>542</v>
      </c>
      <c r="B14" s="12">
        <v>44638</v>
      </c>
      <c r="C14" s="14"/>
      <c r="D14">
        <v>1</v>
      </c>
      <c r="E14" s="14">
        <v>661.31</v>
      </c>
      <c r="F14" s="14">
        <f t="shared" si="0"/>
        <v>661.31</v>
      </c>
    </row>
    <row r="15" spans="1:9">
      <c r="A15" s="2" t="s">
        <v>437</v>
      </c>
      <c r="B15" s="12">
        <v>44634</v>
      </c>
      <c r="C15" s="14"/>
      <c r="D15">
        <v>1</v>
      </c>
      <c r="E15" s="14">
        <v>2700</v>
      </c>
      <c r="F15" s="14">
        <f t="shared" si="0"/>
        <v>2700</v>
      </c>
    </row>
    <row r="16" spans="1:9">
      <c r="A16" s="2" t="s">
        <v>437</v>
      </c>
      <c r="B16" s="12"/>
      <c r="C16" s="14"/>
      <c r="D16">
        <v>0</v>
      </c>
      <c r="E16" s="14"/>
      <c r="F16" s="14">
        <f t="shared" si="0"/>
        <v>0</v>
      </c>
    </row>
    <row r="17" spans="1:10">
      <c r="A17" s="2" t="s">
        <v>437</v>
      </c>
      <c r="B17" s="12"/>
      <c r="C17" s="14"/>
      <c r="D17"/>
      <c r="E17" s="14"/>
      <c r="F17" s="14">
        <f t="shared" si="0"/>
        <v>0</v>
      </c>
    </row>
    <row r="18" spans="1:10">
      <c r="A18" s="2" t="s">
        <v>542</v>
      </c>
      <c r="B18" s="12">
        <v>45516</v>
      </c>
      <c r="C18" s="14" t="s">
        <v>552</v>
      </c>
      <c r="D18">
        <v>1</v>
      </c>
      <c r="E18" s="14">
        <v>650</v>
      </c>
      <c r="F18" s="14">
        <f t="shared" si="0"/>
        <v>650</v>
      </c>
    </row>
    <row r="19" spans="1:10">
      <c r="B19" s="12"/>
      <c r="C19" s="14"/>
      <c r="D19">
        <v>1</v>
      </c>
      <c r="E19" s="14"/>
      <c r="F19" s="14">
        <f t="shared" si="0"/>
        <v>0</v>
      </c>
    </row>
    <row r="20" spans="1:10" ht="15.75" thickBot="1">
      <c r="B20"/>
      <c r="C20" s="14"/>
      <c r="D20"/>
      <c r="E20" s="14"/>
      <c r="F20" s="23"/>
      <c r="G20" s="23"/>
    </row>
    <row r="21" spans="1:10">
      <c r="B21"/>
      <c r="C21" s="14"/>
      <c r="D21"/>
      <c r="E21" s="14"/>
      <c r="F21" s="14"/>
      <c r="G21" s="5">
        <f>SUM(F2:F20)</f>
        <v>5322.49</v>
      </c>
    </row>
    <row r="22" spans="1:10">
      <c r="A22"/>
      <c r="C22" s="11"/>
    </row>
    <row r="23" spans="1:10">
      <c r="A23"/>
      <c r="C23" s="11"/>
    </row>
    <row r="24" spans="1:10" ht="15.75" thickBot="1">
      <c r="C24" s="11"/>
      <c r="E24" s="30"/>
      <c r="F24" s="30"/>
      <c r="I24" s="2"/>
      <c r="J24" s="12"/>
    </row>
    <row r="25" spans="1:10">
      <c r="C25" s="556"/>
      <c r="D25" s="557"/>
      <c r="E25" s="557"/>
      <c r="F25" s="4"/>
      <c r="I25" s="2"/>
    </row>
    <row r="27" spans="1:10">
      <c r="E27" s="2"/>
      <c r="F27" s="2"/>
    </row>
    <row r="28" spans="1:10">
      <c r="F28" s="4"/>
    </row>
  </sheetData>
  <mergeCells count="1">
    <mergeCell ref="C25:E25"/>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A1:F21"/>
  <sheetViews>
    <sheetView workbookViewId="0">
      <selection activeCell="E11" sqref="E11"/>
    </sheetView>
  </sheetViews>
  <sheetFormatPr defaultRowHeight="15"/>
  <cols>
    <col min="1" max="1" width="18" customWidth="1"/>
    <col min="2" max="2" width="11" bestFit="1" customWidth="1"/>
  </cols>
  <sheetData>
    <row r="1" spans="1:6">
      <c r="A1" s="3" t="s">
        <v>475</v>
      </c>
      <c r="B1" s="3"/>
      <c r="D1" s="5"/>
      <c r="E1" s="14"/>
      <c r="F1" s="14"/>
    </row>
    <row r="2" spans="1:6">
      <c r="A2" s="2"/>
      <c r="B2" s="2"/>
      <c r="C2" s="3"/>
      <c r="D2" s="8"/>
      <c r="E2" s="13"/>
      <c r="F2" s="13"/>
    </row>
    <row r="3" spans="1:6">
      <c r="A3" s="3" t="s">
        <v>393</v>
      </c>
      <c r="B3" s="3" t="s">
        <v>553</v>
      </c>
      <c r="C3" s="3" t="s">
        <v>501</v>
      </c>
      <c r="D3" s="8" t="s">
        <v>502</v>
      </c>
      <c r="E3" s="13" t="s">
        <v>503</v>
      </c>
      <c r="F3" s="13" t="s">
        <v>504</v>
      </c>
    </row>
    <row r="4" spans="1:6">
      <c r="A4" s="2" t="s">
        <v>554</v>
      </c>
      <c r="B4" s="2">
        <v>977057</v>
      </c>
      <c r="C4">
        <v>0</v>
      </c>
      <c r="D4" s="5">
        <v>149</v>
      </c>
      <c r="E4" s="14">
        <f t="shared" ref="E4:E6" si="0">+C4*D4</f>
        <v>0</v>
      </c>
      <c r="F4" s="13"/>
    </row>
    <row r="5" spans="1:6">
      <c r="A5" s="2" t="s">
        <v>555</v>
      </c>
      <c r="B5" s="2"/>
      <c r="C5">
        <v>0</v>
      </c>
      <c r="D5" s="5">
        <v>400</v>
      </c>
      <c r="E5" s="14">
        <f t="shared" si="0"/>
        <v>0</v>
      </c>
      <c r="F5" s="14"/>
    </row>
    <row r="6" spans="1:6">
      <c r="A6" s="2" t="s">
        <v>556</v>
      </c>
      <c r="B6" s="2">
        <v>1002425336</v>
      </c>
      <c r="C6">
        <v>0</v>
      </c>
      <c r="D6" s="5">
        <v>348</v>
      </c>
      <c r="E6" s="14">
        <f t="shared" si="0"/>
        <v>0</v>
      </c>
      <c r="F6" s="14"/>
    </row>
    <row r="7" spans="1:6" ht="15.75" thickBot="1">
      <c r="A7" s="2"/>
      <c r="B7" s="2"/>
      <c r="D7" s="5"/>
      <c r="E7" s="21"/>
      <c r="F7" s="21"/>
    </row>
    <row r="8" spans="1:6">
      <c r="A8" s="2"/>
      <c r="B8" s="2"/>
      <c r="D8" s="10" t="s">
        <v>557</v>
      </c>
      <c r="E8" s="14"/>
      <c r="F8" s="14">
        <f>+SUM(E4:E7)</f>
        <v>0</v>
      </c>
    </row>
    <row r="9" spans="1:6">
      <c r="A9" s="2" t="s">
        <v>558</v>
      </c>
      <c r="B9" s="2"/>
      <c r="C9">
        <v>0</v>
      </c>
      <c r="D9" s="10">
        <v>31.98</v>
      </c>
      <c r="E9" s="14">
        <v>0</v>
      </c>
      <c r="F9" s="14">
        <v>0</v>
      </c>
    </row>
    <row r="10" spans="1:6">
      <c r="A10" s="2" t="s">
        <v>178</v>
      </c>
      <c r="B10" s="2"/>
      <c r="C10" t="s">
        <v>178</v>
      </c>
      <c r="D10" s="5" t="s">
        <v>178</v>
      </c>
      <c r="E10" s="14" t="s">
        <v>178</v>
      </c>
      <c r="F10" s="14"/>
    </row>
    <row r="11" spans="1:6">
      <c r="A11" s="2" t="s">
        <v>558</v>
      </c>
      <c r="B11" s="2">
        <v>1630551</v>
      </c>
      <c r="C11">
        <v>1</v>
      </c>
      <c r="D11" s="5">
        <v>32.979999999999997</v>
      </c>
      <c r="E11" s="14">
        <f>+C11*D11</f>
        <v>32.979999999999997</v>
      </c>
      <c r="F11" s="14"/>
    </row>
    <row r="12" spans="1:6">
      <c r="A12" s="2" t="s">
        <v>559</v>
      </c>
      <c r="B12" s="2">
        <v>3648606</v>
      </c>
      <c r="C12">
        <v>1</v>
      </c>
      <c r="D12" s="5">
        <v>560.30999999999995</v>
      </c>
      <c r="E12" s="14">
        <f t="shared" ref="E12" si="1">+C12*D12</f>
        <v>560.30999999999995</v>
      </c>
      <c r="F12" s="14"/>
    </row>
    <row r="13" spans="1:6">
      <c r="A13" s="2" t="s">
        <v>560</v>
      </c>
      <c r="B13" s="2">
        <v>1654366</v>
      </c>
      <c r="C13">
        <v>1</v>
      </c>
      <c r="D13" s="5">
        <v>374.29</v>
      </c>
      <c r="E13" s="14">
        <v>374.29</v>
      </c>
      <c r="F13" s="14"/>
    </row>
    <row r="14" spans="1:6">
      <c r="A14" s="2" t="s">
        <v>561</v>
      </c>
      <c r="B14" s="2">
        <v>118694</v>
      </c>
      <c r="C14">
        <v>1</v>
      </c>
      <c r="D14" s="5">
        <v>39.28</v>
      </c>
      <c r="E14" s="14">
        <v>39.28</v>
      </c>
      <c r="F14" s="14"/>
    </row>
    <row r="15" spans="1:6">
      <c r="A15" s="2" t="s">
        <v>562</v>
      </c>
      <c r="B15" s="31"/>
      <c r="C15">
        <v>0</v>
      </c>
      <c r="D15" s="5">
        <v>189</v>
      </c>
      <c r="E15" s="14">
        <f>+C15*D15</f>
        <v>0</v>
      </c>
      <c r="F15" s="14"/>
    </row>
    <row r="16" spans="1:6">
      <c r="A16" s="2" t="s">
        <v>178</v>
      </c>
      <c r="B16" s="31"/>
      <c r="C16" t="s">
        <v>178</v>
      </c>
      <c r="D16" s="5" t="s">
        <v>178</v>
      </c>
      <c r="E16" s="14" t="s">
        <v>178</v>
      </c>
      <c r="F16" s="14"/>
    </row>
    <row r="17" spans="1:6">
      <c r="A17" s="2" t="s">
        <v>563</v>
      </c>
      <c r="B17" s="31"/>
      <c r="C17">
        <v>0</v>
      </c>
      <c r="D17" s="5">
        <v>169</v>
      </c>
      <c r="E17" s="14">
        <f t="shared" ref="E17:E20" si="2">+C17*D17</f>
        <v>0</v>
      </c>
      <c r="F17" s="14"/>
    </row>
    <row r="18" spans="1:6">
      <c r="A18" s="31" t="s">
        <v>564</v>
      </c>
      <c r="B18" s="31">
        <v>1692925</v>
      </c>
      <c r="C18">
        <v>1</v>
      </c>
      <c r="D18" s="5">
        <v>170.39</v>
      </c>
      <c r="E18" s="14">
        <f t="shared" si="2"/>
        <v>170.39</v>
      </c>
      <c r="F18" s="14"/>
    </row>
    <row r="19" spans="1:6">
      <c r="A19" s="31" t="s">
        <v>565</v>
      </c>
      <c r="B19" s="31"/>
      <c r="C19">
        <v>1</v>
      </c>
      <c r="D19" s="5">
        <v>90.91</v>
      </c>
      <c r="E19" s="14">
        <v>91.91</v>
      </c>
      <c r="F19" s="14"/>
    </row>
    <row r="20" spans="1:6" ht="15.75" thickBot="1">
      <c r="A20" s="2" t="s">
        <v>566</v>
      </c>
      <c r="B20" s="31"/>
      <c r="C20">
        <v>0</v>
      </c>
      <c r="D20" s="5">
        <v>400</v>
      </c>
      <c r="E20" s="14">
        <f t="shared" si="2"/>
        <v>0</v>
      </c>
      <c r="F20" s="21"/>
    </row>
    <row r="21" spans="1:6">
      <c r="B21" s="2"/>
      <c r="C21" s="557" t="s">
        <v>567</v>
      </c>
      <c r="D21" s="557"/>
      <c r="E21" s="557"/>
      <c r="F21" s="14">
        <f>SUM(E9:E20)</f>
        <v>1269.1600000000001</v>
      </c>
    </row>
  </sheetData>
  <mergeCells count="1">
    <mergeCell ref="C21:E21"/>
  </mergeCells>
  <printOptions headings="1" gridLines="1"/>
  <pageMargins left="0.7" right="0.7" top="0.75" bottom="0.75" header="0.3" footer="0.3"/>
  <pageSetup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ED35-922B-4595-A40C-A0514C2B2C82}">
  <sheetPr codeName="Sheet15"/>
  <dimension ref="A1:I29"/>
  <sheetViews>
    <sheetView workbookViewId="0">
      <selection activeCell="F21" sqref="F21"/>
    </sheetView>
  </sheetViews>
  <sheetFormatPr defaultColWidth="9.140625" defaultRowHeight="15"/>
  <cols>
    <col min="1" max="1" width="28" style="2" bestFit="1" customWidth="1"/>
    <col min="2" max="2" width="23.85546875" style="2" customWidth="1"/>
    <col min="4" max="4" width="10.140625" style="5" bestFit="1" customWidth="1"/>
    <col min="5" max="6" width="9.140625" style="14"/>
  </cols>
  <sheetData>
    <row r="1" spans="1:6">
      <c r="A1" s="3" t="s">
        <v>373</v>
      </c>
      <c r="B1" s="3"/>
    </row>
    <row r="2" spans="1:6">
      <c r="C2" s="3"/>
      <c r="D2" s="8"/>
      <c r="E2" s="13"/>
      <c r="F2" s="13"/>
    </row>
    <row r="3" spans="1:6">
      <c r="A3" s="3" t="s">
        <v>393</v>
      </c>
      <c r="B3" s="3" t="s">
        <v>553</v>
      </c>
      <c r="C3" s="3" t="s">
        <v>501</v>
      </c>
      <c r="D3" s="8" t="s">
        <v>502</v>
      </c>
      <c r="E3" s="13" t="s">
        <v>503</v>
      </c>
      <c r="F3" s="13" t="s">
        <v>504</v>
      </c>
    </row>
    <row r="4" spans="1:6">
      <c r="A4" s="3"/>
      <c r="B4" s="3"/>
      <c r="C4" s="31"/>
      <c r="D4" s="8"/>
      <c r="E4" s="14">
        <f>+C4*D4</f>
        <v>0</v>
      </c>
      <c r="F4" s="13"/>
    </row>
    <row r="5" spans="1:6">
      <c r="A5" s="31" t="s">
        <v>568</v>
      </c>
      <c r="B5" s="31">
        <v>1255143</v>
      </c>
      <c r="C5">
        <v>1</v>
      </c>
      <c r="D5" s="5">
        <v>107.1</v>
      </c>
      <c r="E5" s="14">
        <f>+C5*D5</f>
        <v>107.1</v>
      </c>
    </row>
    <row r="6" spans="1:6">
      <c r="A6" s="31" t="s">
        <v>569</v>
      </c>
      <c r="B6" s="31">
        <v>2131173</v>
      </c>
      <c r="C6">
        <v>2</v>
      </c>
      <c r="D6" s="5">
        <v>53.98</v>
      </c>
      <c r="E6" s="14">
        <f>+C6*D6</f>
        <v>107.96</v>
      </c>
    </row>
    <row r="7" spans="1:6">
      <c r="A7" s="31" t="s">
        <v>570</v>
      </c>
      <c r="B7" s="31">
        <v>1227792</v>
      </c>
      <c r="C7">
        <v>2</v>
      </c>
      <c r="D7" s="5">
        <v>15.47</v>
      </c>
      <c r="E7" s="14">
        <f>+C7*D7</f>
        <v>30.94</v>
      </c>
    </row>
    <row r="8" spans="1:6">
      <c r="A8" s="31" t="s">
        <v>571</v>
      </c>
      <c r="B8" s="31">
        <v>1233228</v>
      </c>
      <c r="C8">
        <v>2</v>
      </c>
      <c r="D8" s="5">
        <v>39.979999999999997</v>
      </c>
      <c r="E8" s="14">
        <f>+C8*D8</f>
        <v>79.959999999999994</v>
      </c>
    </row>
    <row r="9" spans="1:6">
      <c r="A9" s="31" t="s">
        <v>178</v>
      </c>
      <c r="B9" s="31" t="s">
        <v>178</v>
      </c>
      <c r="C9">
        <v>0</v>
      </c>
      <c r="D9" s="5">
        <v>0</v>
      </c>
      <c r="E9" s="14">
        <f t="shared" ref="E9:E22" si="0">+C9*D9</f>
        <v>0</v>
      </c>
    </row>
    <row r="10" spans="1:6">
      <c r="A10" s="31" t="s">
        <v>178</v>
      </c>
      <c r="B10" s="31"/>
      <c r="C10">
        <v>0</v>
      </c>
      <c r="D10" s="5" t="s">
        <v>178</v>
      </c>
      <c r="E10" s="14">
        <v>0</v>
      </c>
    </row>
    <row r="11" spans="1:6">
      <c r="A11" s="31" t="s">
        <v>572</v>
      </c>
      <c r="B11" s="31"/>
      <c r="C11">
        <v>0</v>
      </c>
      <c r="D11" s="5">
        <v>0</v>
      </c>
      <c r="E11" s="14">
        <f t="shared" si="0"/>
        <v>0</v>
      </c>
    </row>
    <row r="12" spans="1:6">
      <c r="A12" s="31" t="s">
        <v>178</v>
      </c>
      <c r="B12" s="31"/>
      <c r="C12">
        <v>0</v>
      </c>
      <c r="D12" s="5">
        <v>0</v>
      </c>
      <c r="E12" s="14">
        <f t="shared" si="0"/>
        <v>0</v>
      </c>
    </row>
    <row r="13" spans="1:6">
      <c r="A13" s="31"/>
      <c r="B13" s="31"/>
      <c r="E13" s="14">
        <f t="shared" si="0"/>
        <v>0</v>
      </c>
    </row>
    <row r="14" spans="1:6">
      <c r="A14" s="31" t="s">
        <v>573</v>
      </c>
      <c r="B14" s="31"/>
      <c r="C14">
        <v>0</v>
      </c>
      <c r="E14" s="14">
        <f t="shared" si="0"/>
        <v>0</v>
      </c>
    </row>
    <row r="15" spans="1:6">
      <c r="A15" s="31"/>
      <c r="B15" s="31"/>
      <c r="E15" s="14">
        <f t="shared" si="0"/>
        <v>0</v>
      </c>
    </row>
    <row r="16" spans="1:6">
      <c r="A16" s="31"/>
      <c r="B16" s="31"/>
      <c r="E16" s="14">
        <f t="shared" si="0"/>
        <v>0</v>
      </c>
    </row>
    <row r="17" spans="1:9">
      <c r="A17" s="31"/>
      <c r="B17" s="31"/>
      <c r="E17" s="14">
        <f t="shared" si="0"/>
        <v>0</v>
      </c>
    </row>
    <row r="18" spans="1:9">
      <c r="A18" s="31"/>
      <c r="B18" s="31"/>
      <c r="E18" s="14">
        <f t="shared" si="0"/>
        <v>0</v>
      </c>
    </row>
    <row r="19" spans="1:9">
      <c r="A19" s="31"/>
      <c r="B19" s="31"/>
      <c r="E19" s="14">
        <f t="shared" si="0"/>
        <v>0</v>
      </c>
    </row>
    <row r="20" spans="1:9">
      <c r="A20" s="31"/>
      <c r="B20" s="31"/>
      <c r="E20" s="14">
        <f t="shared" si="0"/>
        <v>0</v>
      </c>
    </row>
    <row r="21" spans="1:9">
      <c r="A21" s="31" t="s">
        <v>565</v>
      </c>
      <c r="B21" s="31"/>
      <c r="E21" s="14">
        <v>107.5</v>
      </c>
    </row>
    <row r="22" spans="1:9" ht="15.75" thickBot="1">
      <c r="A22" s="31"/>
      <c r="B22" s="31"/>
      <c r="E22" s="21">
        <f t="shared" si="0"/>
        <v>0</v>
      </c>
      <c r="F22" s="21"/>
    </row>
    <row r="23" spans="1:9">
      <c r="F23" s="14">
        <f>+SUM(E4:E22)</f>
        <v>433.46</v>
      </c>
      <c r="I23" s="1"/>
    </row>
    <row r="26" spans="1:9">
      <c r="F26"/>
    </row>
    <row r="27" spans="1:9">
      <c r="F27"/>
    </row>
    <row r="28" spans="1:9">
      <c r="F28"/>
    </row>
    <row r="29" spans="1:9">
      <c r="F29"/>
    </row>
  </sheetData>
  <printOptions headings="1" gridLines="1"/>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6A899-826B-450F-A5F8-6A1D9D457182}">
  <sheetPr codeName="Sheet16"/>
  <dimension ref="A1:I49"/>
  <sheetViews>
    <sheetView workbookViewId="0">
      <selection activeCell="E23" sqref="E23"/>
    </sheetView>
  </sheetViews>
  <sheetFormatPr defaultColWidth="9.140625" defaultRowHeight="15"/>
  <cols>
    <col min="1" max="1" width="34.7109375" style="25" bestFit="1" customWidth="1"/>
    <col min="2" max="2" width="12" style="25" bestFit="1" customWidth="1"/>
    <col min="3" max="3" width="8" bestFit="1" customWidth="1"/>
    <col min="4" max="4" width="9.140625" style="5"/>
    <col min="5" max="6" width="9.140625" style="14"/>
  </cols>
  <sheetData>
    <row r="1" spans="1:6" ht="5.25" customHeight="1">
      <c r="A1" s="33" t="s">
        <v>574</v>
      </c>
      <c r="B1" s="33"/>
    </row>
    <row r="2" spans="1:6">
      <c r="C2" s="3"/>
      <c r="D2" s="8"/>
      <c r="E2" s="13"/>
      <c r="F2" s="13"/>
    </row>
    <row r="3" spans="1:6" s="22" customFormat="1" ht="14.25" customHeight="1">
      <c r="A3" s="3" t="s">
        <v>393</v>
      </c>
      <c r="B3" s="3" t="s">
        <v>553</v>
      </c>
      <c r="C3" s="3" t="s">
        <v>501</v>
      </c>
      <c r="D3" s="8" t="s">
        <v>502</v>
      </c>
      <c r="E3" s="13" t="s">
        <v>503</v>
      </c>
      <c r="F3" s="13" t="s">
        <v>504</v>
      </c>
    </row>
    <row r="4" spans="1:6" ht="14.25" customHeight="1">
      <c r="A4" s="33" t="s">
        <v>575</v>
      </c>
      <c r="B4" s="33">
        <v>935605</v>
      </c>
      <c r="C4" s="31">
        <v>0</v>
      </c>
      <c r="D4" s="5">
        <v>209</v>
      </c>
      <c r="E4" s="14">
        <f t="shared" ref="E4:E15" si="0">+C4*D4</f>
        <v>0</v>
      </c>
      <c r="F4" s="13"/>
    </row>
    <row r="5" spans="1:6" ht="14.25" customHeight="1">
      <c r="A5" s="33" t="s">
        <v>576</v>
      </c>
      <c r="B5" s="33">
        <v>935604</v>
      </c>
      <c r="C5" s="31">
        <v>0</v>
      </c>
      <c r="D5" s="5">
        <v>209</v>
      </c>
      <c r="E5" s="14">
        <f t="shared" si="0"/>
        <v>0</v>
      </c>
      <c r="F5" s="13"/>
    </row>
    <row r="6" spans="1:6" ht="14.25" customHeight="1">
      <c r="A6" s="33" t="s">
        <v>577</v>
      </c>
      <c r="B6" s="33">
        <v>935599</v>
      </c>
      <c r="C6" s="31">
        <v>0</v>
      </c>
      <c r="D6" s="5">
        <v>198.56</v>
      </c>
      <c r="E6" s="14">
        <f t="shared" ref="E6" si="1">+C6*D6</f>
        <v>0</v>
      </c>
      <c r="F6" s="13"/>
    </row>
    <row r="7" spans="1:6" ht="14.25" customHeight="1">
      <c r="A7" s="33" t="s">
        <v>578</v>
      </c>
      <c r="B7" s="33">
        <v>14005</v>
      </c>
      <c r="C7">
        <v>0</v>
      </c>
      <c r="D7" s="5">
        <v>179</v>
      </c>
      <c r="E7" s="14">
        <f t="shared" si="0"/>
        <v>0</v>
      </c>
    </row>
    <row r="8" spans="1:6" ht="14.25" customHeight="1">
      <c r="A8" s="33" t="s">
        <v>579</v>
      </c>
      <c r="B8" s="33">
        <v>14006</v>
      </c>
      <c r="C8">
        <v>0</v>
      </c>
      <c r="D8" s="5">
        <v>179</v>
      </c>
      <c r="E8" s="14">
        <f t="shared" si="0"/>
        <v>0</v>
      </c>
    </row>
    <row r="9" spans="1:6" ht="14.25" customHeight="1">
      <c r="A9" s="33" t="s">
        <v>580</v>
      </c>
      <c r="B9" s="33">
        <v>935587</v>
      </c>
      <c r="C9">
        <v>0</v>
      </c>
      <c r="D9" s="5">
        <v>198.55</v>
      </c>
      <c r="E9" s="14">
        <f t="shared" ref="E9" si="2">+C9*D9</f>
        <v>0</v>
      </c>
    </row>
    <row r="10" spans="1:6" ht="14.25" customHeight="1">
      <c r="A10" s="33" t="s">
        <v>581</v>
      </c>
      <c r="B10" s="33">
        <v>49504</v>
      </c>
      <c r="C10">
        <v>0</v>
      </c>
      <c r="D10" s="5">
        <v>103</v>
      </c>
      <c r="E10" s="14">
        <f t="shared" si="0"/>
        <v>0</v>
      </c>
    </row>
    <row r="11" spans="1:6" ht="14.25" customHeight="1">
      <c r="A11" s="33" t="s">
        <v>582</v>
      </c>
      <c r="B11" s="33">
        <v>49706</v>
      </c>
      <c r="C11">
        <v>0</v>
      </c>
      <c r="D11" s="5">
        <v>103</v>
      </c>
      <c r="E11" s="14">
        <f t="shared" si="0"/>
        <v>0</v>
      </c>
    </row>
    <row r="12" spans="1:6" ht="14.25" customHeight="1">
      <c r="A12" s="33" t="s">
        <v>583</v>
      </c>
      <c r="B12" s="33">
        <v>47025</v>
      </c>
      <c r="C12">
        <v>0</v>
      </c>
      <c r="D12" s="5">
        <v>99</v>
      </c>
      <c r="E12" s="14">
        <f t="shared" si="0"/>
        <v>0</v>
      </c>
    </row>
    <row r="13" spans="1:6" ht="14.25" customHeight="1">
      <c r="A13" s="33" t="s">
        <v>584</v>
      </c>
      <c r="B13" s="33">
        <v>47422</v>
      </c>
      <c r="C13">
        <v>0</v>
      </c>
      <c r="D13" s="5">
        <v>99</v>
      </c>
      <c r="E13" s="14">
        <f t="shared" si="0"/>
        <v>0</v>
      </c>
    </row>
    <row r="14" spans="1:6" ht="14.25" customHeight="1">
      <c r="A14" s="33" t="s">
        <v>585</v>
      </c>
      <c r="B14" s="33">
        <v>43359</v>
      </c>
      <c r="C14">
        <v>0</v>
      </c>
      <c r="D14" s="5">
        <v>95</v>
      </c>
      <c r="E14" s="14">
        <f t="shared" si="0"/>
        <v>0</v>
      </c>
    </row>
    <row r="15" spans="1:6" ht="14.25" customHeight="1">
      <c r="A15" s="33" t="s">
        <v>586</v>
      </c>
      <c r="B15" s="33">
        <v>44035</v>
      </c>
      <c r="C15">
        <v>0</v>
      </c>
      <c r="D15" s="5">
        <v>95</v>
      </c>
      <c r="E15" s="14">
        <f t="shared" si="0"/>
        <v>0</v>
      </c>
    </row>
    <row r="16" spans="1:6" ht="14.25" customHeight="1">
      <c r="A16" s="33" t="s">
        <v>587</v>
      </c>
      <c r="B16" s="33">
        <v>10758</v>
      </c>
      <c r="C16">
        <v>0</v>
      </c>
      <c r="D16" s="5">
        <v>73</v>
      </c>
      <c r="E16" s="14">
        <f t="shared" ref="E16:E28" si="3">+C16*D16</f>
        <v>0</v>
      </c>
    </row>
    <row r="17" spans="1:9" ht="14.25" customHeight="1">
      <c r="A17" s="33" t="s">
        <v>588</v>
      </c>
      <c r="B17" s="33">
        <v>338797</v>
      </c>
      <c r="C17">
        <v>0</v>
      </c>
      <c r="D17" s="5">
        <v>196</v>
      </c>
      <c r="E17" s="14">
        <f t="shared" si="3"/>
        <v>0</v>
      </c>
    </row>
    <row r="18" spans="1:9" ht="14.25" customHeight="1">
      <c r="A18" s="33" t="s">
        <v>589</v>
      </c>
      <c r="B18" s="33"/>
      <c r="C18">
        <v>0</v>
      </c>
      <c r="D18" s="5">
        <v>284.56</v>
      </c>
      <c r="E18" s="14">
        <f t="shared" si="3"/>
        <v>0</v>
      </c>
    </row>
    <row r="19" spans="1:9" ht="14.25" customHeight="1">
      <c r="A19" s="33" t="s">
        <v>590</v>
      </c>
      <c r="B19" s="33">
        <v>72904</v>
      </c>
      <c r="C19">
        <v>0</v>
      </c>
      <c r="D19" s="5">
        <v>429.62</v>
      </c>
      <c r="E19" s="14">
        <f t="shared" ref="E19" si="4">+C19*D19</f>
        <v>0</v>
      </c>
    </row>
    <row r="20" spans="1:9" ht="14.25" customHeight="1">
      <c r="A20" s="33" t="s">
        <v>591</v>
      </c>
      <c r="B20" s="33" t="s">
        <v>592</v>
      </c>
      <c r="C20">
        <v>4</v>
      </c>
      <c r="D20" s="5">
        <v>8.9700000000000006</v>
      </c>
      <c r="E20" s="14">
        <f t="shared" si="3"/>
        <v>35.880000000000003</v>
      </c>
    </row>
    <row r="21" spans="1:9" ht="14.25" customHeight="1">
      <c r="A21" s="33" t="s">
        <v>591</v>
      </c>
      <c r="B21" s="33" t="s">
        <v>593</v>
      </c>
      <c r="C21">
        <v>3</v>
      </c>
      <c r="D21" s="5">
        <v>9.48</v>
      </c>
      <c r="E21" s="14">
        <f t="shared" si="3"/>
        <v>28.44</v>
      </c>
    </row>
    <row r="22" spans="1:9" ht="14.25" customHeight="1">
      <c r="A22" s="33" t="s">
        <v>591</v>
      </c>
      <c r="B22" s="33" t="s">
        <v>593</v>
      </c>
      <c r="C22">
        <v>1</v>
      </c>
      <c r="D22" s="5">
        <v>9.48</v>
      </c>
      <c r="E22" s="14">
        <f t="shared" si="3"/>
        <v>9.48</v>
      </c>
    </row>
    <row r="23" spans="1:9" ht="14.25" customHeight="1">
      <c r="A23" s="33" t="s">
        <v>594</v>
      </c>
      <c r="B23" s="33" t="s">
        <v>595</v>
      </c>
      <c r="C23">
        <v>5</v>
      </c>
      <c r="D23" s="5">
        <v>13.47</v>
      </c>
      <c r="E23" s="14">
        <f t="shared" si="3"/>
        <v>67.350000000000009</v>
      </c>
    </row>
    <row r="24" spans="1:9" ht="14.25" customHeight="1">
      <c r="A24" s="33" t="s">
        <v>596</v>
      </c>
      <c r="B24" s="33">
        <v>100619</v>
      </c>
      <c r="C24">
        <v>1</v>
      </c>
      <c r="D24" s="5">
        <v>79.98</v>
      </c>
      <c r="E24" s="14">
        <f t="shared" si="3"/>
        <v>79.98</v>
      </c>
    </row>
    <row r="25" spans="1:9" ht="14.25" customHeight="1">
      <c r="A25" s="33" t="s">
        <v>597</v>
      </c>
      <c r="B25" s="33">
        <v>287027</v>
      </c>
      <c r="C25">
        <v>1</v>
      </c>
      <c r="D25" s="5">
        <v>50.48</v>
      </c>
      <c r="E25" s="14">
        <f t="shared" si="3"/>
        <v>50.48</v>
      </c>
    </row>
    <row r="26" spans="1:9" ht="14.25" customHeight="1">
      <c r="A26" s="33" t="s">
        <v>598</v>
      </c>
      <c r="B26" s="33"/>
      <c r="C26">
        <v>1</v>
      </c>
      <c r="D26" s="5">
        <v>69.47</v>
      </c>
      <c r="E26" s="14">
        <v>69.47</v>
      </c>
    </row>
    <row r="27" spans="1:9" ht="14.25" customHeight="1">
      <c r="A27" s="33" t="s">
        <v>599</v>
      </c>
      <c r="B27" s="33" t="s">
        <v>600</v>
      </c>
      <c r="C27">
        <v>1</v>
      </c>
      <c r="D27" s="5">
        <v>289</v>
      </c>
      <c r="E27" s="14">
        <f t="shared" si="3"/>
        <v>289</v>
      </c>
    </row>
    <row r="28" spans="1:9" ht="14.25" customHeight="1">
      <c r="A28" s="33" t="s">
        <v>601</v>
      </c>
      <c r="B28" s="33" t="s">
        <v>602</v>
      </c>
      <c r="C28">
        <v>4</v>
      </c>
      <c r="D28" s="5">
        <v>12.97</v>
      </c>
      <c r="E28" s="14">
        <f t="shared" si="3"/>
        <v>51.88</v>
      </c>
    </row>
    <row r="29" spans="1:9" ht="14.25" customHeight="1" thickBot="1">
      <c r="A29" s="33" t="s">
        <v>565</v>
      </c>
      <c r="B29" s="33"/>
      <c r="E29" s="21">
        <v>67.69</v>
      </c>
      <c r="F29" s="21"/>
    </row>
    <row r="30" spans="1:9" ht="14.25" customHeight="1">
      <c r="F30" s="14">
        <f>SUM(E4:E29)</f>
        <v>749.65000000000009</v>
      </c>
      <c r="I30" s="1"/>
    </row>
    <row r="31" spans="1:9" ht="14.25" customHeight="1">
      <c r="A31" s="33"/>
    </row>
    <row r="32" spans="1:9">
      <c r="A32" s="33"/>
      <c r="B32" s="33"/>
      <c r="C32" s="3"/>
      <c r="D32" s="8"/>
      <c r="E32" s="13"/>
      <c r="F32" s="13"/>
    </row>
    <row r="37" spans="1:7" ht="15.75" thickBot="1">
      <c r="E37" s="21"/>
      <c r="F37" s="21"/>
    </row>
    <row r="40" spans="1:7">
      <c r="A40" s="33"/>
    </row>
    <row r="41" spans="1:7">
      <c r="A41" s="33"/>
      <c r="B41" s="33"/>
      <c r="C41" s="3"/>
      <c r="D41" s="8"/>
      <c r="E41" s="13"/>
      <c r="F41" s="13"/>
    </row>
    <row r="43" spans="1:7" ht="15.75" thickBot="1">
      <c r="F43" s="21"/>
    </row>
    <row r="44" spans="1:7">
      <c r="F44" s="14">
        <f>+SUM(E39:E43)</f>
        <v>0</v>
      </c>
    </row>
    <row r="46" spans="1:7" ht="15.75" thickBot="1">
      <c r="F46" s="21"/>
    </row>
    <row r="48" spans="1:7" ht="15.75" thickBot="1">
      <c r="G48" s="21"/>
    </row>
    <row r="49" spans="7:7">
      <c r="G49" s="14">
        <f>+SUM(F30:F48)</f>
        <v>749.65000000000009</v>
      </c>
    </row>
  </sheetData>
  <printOptions headings="1" gridLines="1"/>
  <pageMargins left="0.7" right="0.7" top="0.75" bottom="0.75" header="0.3" footer="0.3"/>
  <pageSetup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dimension ref="A1:I44"/>
  <sheetViews>
    <sheetView topLeftCell="A16" workbookViewId="0">
      <selection activeCell="F33" sqref="F33"/>
    </sheetView>
  </sheetViews>
  <sheetFormatPr defaultRowHeight="15"/>
  <cols>
    <col min="1" max="1" width="32.85546875" style="2" bestFit="1" customWidth="1"/>
    <col min="2" max="2" width="23.85546875" style="2" customWidth="1"/>
    <col min="4" max="4" width="13.85546875" style="5" bestFit="1" customWidth="1"/>
    <col min="5" max="6" width="9.140625" style="14"/>
  </cols>
  <sheetData>
    <row r="1" spans="1:6">
      <c r="A1" s="3" t="s">
        <v>482</v>
      </c>
      <c r="B1" s="3"/>
    </row>
    <row r="2" spans="1:6">
      <c r="C2" s="3"/>
      <c r="D2" s="8"/>
      <c r="E2" s="13"/>
      <c r="F2" s="13"/>
    </row>
    <row r="3" spans="1:6">
      <c r="A3" s="3" t="s">
        <v>393</v>
      </c>
      <c r="B3" s="3" t="s">
        <v>553</v>
      </c>
      <c r="C3" s="3" t="s">
        <v>501</v>
      </c>
      <c r="D3" s="8" t="s">
        <v>502</v>
      </c>
      <c r="E3" s="13" t="s">
        <v>503</v>
      </c>
      <c r="F3" s="13" t="s">
        <v>504</v>
      </c>
    </row>
    <row r="4" spans="1:6">
      <c r="A4" s="3"/>
      <c r="B4" s="3" t="s">
        <v>603</v>
      </c>
      <c r="C4" s="31">
        <v>0</v>
      </c>
      <c r="D4" s="8">
        <v>154</v>
      </c>
      <c r="E4" s="14">
        <f>+C4*D4</f>
        <v>0</v>
      </c>
      <c r="F4" s="13"/>
    </row>
    <row r="5" spans="1:6">
      <c r="A5" s="31" t="s">
        <v>604</v>
      </c>
      <c r="B5" s="31">
        <v>795984</v>
      </c>
      <c r="C5">
        <v>0</v>
      </c>
      <c r="D5" s="5">
        <v>144</v>
      </c>
      <c r="E5" s="14">
        <f>+C5*D5</f>
        <v>0</v>
      </c>
    </row>
    <row r="6" spans="1:6">
      <c r="A6" s="31" t="s">
        <v>605</v>
      </c>
      <c r="B6" s="31" t="s">
        <v>605</v>
      </c>
      <c r="C6">
        <v>0</v>
      </c>
      <c r="D6" s="5">
        <v>224</v>
      </c>
      <c r="E6" s="14">
        <f>+C6*D6</f>
        <v>0</v>
      </c>
    </row>
    <row r="7" spans="1:6">
      <c r="A7" s="31" t="s">
        <v>606</v>
      </c>
      <c r="B7" s="31" t="s">
        <v>607</v>
      </c>
      <c r="C7">
        <v>0</v>
      </c>
      <c r="D7" s="5">
        <v>152</v>
      </c>
      <c r="E7" s="14">
        <f>+C7*D7</f>
        <v>0</v>
      </c>
    </row>
    <row r="8" spans="1:6">
      <c r="A8" s="31" t="s">
        <v>608</v>
      </c>
      <c r="B8" s="31" t="s">
        <v>609</v>
      </c>
      <c r="C8">
        <v>0</v>
      </c>
      <c r="D8" s="5">
        <v>50</v>
      </c>
      <c r="E8" s="14">
        <f>+C8*D8</f>
        <v>0</v>
      </c>
    </row>
    <row r="9" spans="1:6">
      <c r="A9" s="31" t="s">
        <v>610</v>
      </c>
      <c r="B9" s="31" t="s">
        <v>611</v>
      </c>
      <c r="C9">
        <v>0</v>
      </c>
      <c r="D9" s="5">
        <v>166</v>
      </c>
      <c r="E9" s="14">
        <f t="shared" ref="E9:E22" si="0">+C9*D9</f>
        <v>0</v>
      </c>
    </row>
    <row r="10" spans="1:6">
      <c r="A10" s="31" t="s">
        <v>612</v>
      </c>
      <c r="B10" s="31" t="s">
        <v>613</v>
      </c>
      <c r="C10">
        <v>0</v>
      </c>
      <c r="D10" s="5">
        <v>104</v>
      </c>
      <c r="E10" s="14">
        <f t="shared" si="0"/>
        <v>0</v>
      </c>
    </row>
    <row r="11" spans="1:6">
      <c r="A11" s="31" t="s">
        <v>614</v>
      </c>
      <c r="B11" s="31" t="s">
        <v>615</v>
      </c>
      <c r="C11">
        <v>0</v>
      </c>
      <c r="D11" s="5">
        <v>81.98</v>
      </c>
      <c r="E11" s="14">
        <f t="shared" si="0"/>
        <v>0</v>
      </c>
    </row>
    <row r="12" spans="1:6">
      <c r="A12" s="31" t="s">
        <v>614</v>
      </c>
      <c r="B12" s="31" t="s">
        <v>616</v>
      </c>
      <c r="C12">
        <v>0</v>
      </c>
      <c r="D12" s="5">
        <v>143</v>
      </c>
      <c r="E12" s="14">
        <f t="shared" si="0"/>
        <v>0</v>
      </c>
    </row>
    <row r="13" spans="1:6">
      <c r="A13" s="31" t="s">
        <v>614</v>
      </c>
      <c r="B13" s="31" t="s">
        <v>617</v>
      </c>
      <c r="C13">
        <v>0</v>
      </c>
      <c r="D13" s="5">
        <v>98.98</v>
      </c>
      <c r="E13" s="14">
        <f t="shared" si="0"/>
        <v>0</v>
      </c>
    </row>
    <row r="14" spans="1:6">
      <c r="A14" s="31" t="s">
        <v>618</v>
      </c>
      <c r="B14" s="31" t="s">
        <v>619</v>
      </c>
      <c r="C14">
        <v>0</v>
      </c>
      <c r="D14" s="5">
        <v>165</v>
      </c>
      <c r="E14" s="14">
        <f t="shared" si="0"/>
        <v>0</v>
      </c>
    </row>
    <row r="15" spans="1:6">
      <c r="A15" s="31" t="s">
        <v>620</v>
      </c>
      <c r="B15" s="31">
        <v>795984</v>
      </c>
      <c r="C15">
        <v>0</v>
      </c>
      <c r="D15" s="5">
        <v>144</v>
      </c>
      <c r="E15" s="14">
        <f t="shared" si="0"/>
        <v>0</v>
      </c>
    </row>
    <row r="16" spans="1:6">
      <c r="A16" s="31"/>
      <c r="B16" s="31" t="s">
        <v>621</v>
      </c>
      <c r="C16">
        <v>0</v>
      </c>
      <c r="D16" s="5">
        <v>107</v>
      </c>
      <c r="E16" s="14">
        <f t="shared" si="0"/>
        <v>0</v>
      </c>
    </row>
    <row r="17" spans="1:9">
      <c r="A17" s="31" t="s">
        <v>614</v>
      </c>
      <c r="B17" s="31" t="s">
        <v>622</v>
      </c>
      <c r="C17">
        <v>0</v>
      </c>
      <c r="D17" s="5">
        <v>112</v>
      </c>
      <c r="E17" s="14">
        <f t="shared" si="0"/>
        <v>0</v>
      </c>
    </row>
    <row r="18" spans="1:9">
      <c r="A18" s="31" t="s">
        <v>623</v>
      </c>
      <c r="B18" s="31" t="s">
        <v>623</v>
      </c>
      <c r="C18">
        <v>0</v>
      </c>
      <c r="D18" s="5">
        <v>40.96</v>
      </c>
      <c r="E18" s="14">
        <f t="shared" si="0"/>
        <v>0</v>
      </c>
    </row>
    <row r="19" spans="1:9">
      <c r="A19" s="31"/>
      <c r="B19" s="31" t="s">
        <v>624</v>
      </c>
      <c r="C19">
        <v>0</v>
      </c>
      <c r="D19" s="5">
        <v>18.28</v>
      </c>
      <c r="E19" s="14">
        <f t="shared" si="0"/>
        <v>0</v>
      </c>
    </row>
    <row r="20" spans="1:9">
      <c r="A20" s="31"/>
      <c r="B20" s="31" t="s">
        <v>178</v>
      </c>
      <c r="C20">
        <v>0</v>
      </c>
      <c r="D20" s="5">
        <v>0</v>
      </c>
      <c r="E20" s="14">
        <f t="shared" si="0"/>
        <v>0</v>
      </c>
    </row>
    <row r="21" spans="1:9">
      <c r="A21" s="31" t="s">
        <v>625</v>
      </c>
      <c r="B21" s="31"/>
      <c r="C21">
        <v>0</v>
      </c>
      <c r="D21" s="5">
        <v>0</v>
      </c>
      <c r="E21" s="14">
        <f t="shared" si="0"/>
        <v>0</v>
      </c>
    </row>
    <row r="22" spans="1:9" ht="15.75" thickBot="1">
      <c r="A22" s="31" t="s">
        <v>626</v>
      </c>
      <c r="B22" s="31"/>
      <c r="C22">
        <v>1</v>
      </c>
      <c r="D22" s="5">
        <v>935.09</v>
      </c>
      <c r="E22" s="21">
        <f t="shared" si="0"/>
        <v>935.09</v>
      </c>
      <c r="F22" s="21"/>
    </row>
    <row r="23" spans="1:9">
      <c r="F23" s="14">
        <f>+SUM(E4:E22)</f>
        <v>935.09</v>
      </c>
      <c r="I23" s="1"/>
    </row>
    <row r="24" spans="1:9">
      <c r="A24" s="33" t="s">
        <v>627</v>
      </c>
    </row>
    <row r="25" spans="1:9">
      <c r="A25" s="3" t="s">
        <v>393</v>
      </c>
      <c r="B25" s="3" t="s">
        <v>553</v>
      </c>
      <c r="C25" s="3" t="s">
        <v>501</v>
      </c>
      <c r="D25" s="8" t="s">
        <v>502</v>
      </c>
      <c r="E25" s="13" t="s">
        <v>503</v>
      </c>
      <c r="F25" s="13" t="s">
        <v>504</v>
      </c>
    </row>
    <row r="26" spans="1:9">
      <c r="B26" s="2" t="s">
        <v>628</v>
      </c>
      <c r="C26">
        <v>0</v>
      </c>
      <c r="D26" s="5">
        <v>0</v>
      </c>
      <c r="E26" s="14">
        <f t="shared" ref="E26:E30" si="1">+C26*D26</f>
        <v>0</v>
      </c>
    </row>
    <row r="27" spans="1:9">
      <c r="B27" s="2" t="s">
        <v>629</v>
      </c>
      <c r="C27">
        <v>0</v>
      </c>
      <c r="D27" s="5">
        <v>0</v>
      </c>
      <c r="E27" s="14">
        <f t="shared" si="1"/>
        <v>0</v>
      </c>
    </row>
    <row r="28" spans="1:9">
      <c r="B28" s="2" t="s">
        <v>630</v>
      </c>
      <c r="C28">
        <v>0</v>
      </c>
      <c r="D28" s="5">
        <v>0</v>
      </c>
      <c r="E28" s="14">
        <f t="shared" si="1"/>
        <v>0</v>
      </c>
    </row>
    <row r="29" spans="1:9">
      <c r="A29" s="25" t="s">
        <v>631</v>
      </c>
      <c r="C29">
        <v>1</v>
      </c>
      <c r="D29" s="5">
        <v>3142.43</v>
      </c>
      <c r="E29" s="14">
        <v>3142.43</v>
      </c>
    </row>
    <row r="30" spans="1:9">
      <c r="C30">
        <v>0</v>
      </c>
      <c r="D30" s="5">
        <v>0</v>
      </c>
      <c r="E30" s="14">
        <f t="shared" si="1"/>
        <v>0</v>
      </c>
    </row>
    <row r="31" spans="1:9" ht="15.75" thickBot="1">
      <c r="E31" s="21"/>
      <c r="F31" s="21"/>
    </row>
    <row r="32" spans="1:9">
      <c r="F32" s="14">
        <v>3142.43</v>
      </c>
    </row>
    <row r="34" spans="1:7">
      <c r="A34" s="33" t="s">
        <v>632</v>
      </c>
    </row>
    <row r="35" spans="1:7">
      <c r="A35" s="3" t="s">
        <v>393</v>
      </c>
      <c r="B35" s="3" t="s">
        <v>553</v>
      </c>
      <c r="C35" s="3" t="s">
        <v>501</v>
      </c>
      <c r="D35" s="8" t="s">
        <v>502</v>
      </c>
      <c r="E35" s="13" t="s">
        <v>503</v>
      </c>
      <c r="F35" s="13" t="s">
        <v>504</v>
      </c>
    </row>
    <row r="36" spans="1:7">
      <c r="A36" s="3" t="s">
        <v>633</v>
      </c>
      <c r="B36" s="3"/>
      <c r="C36" s="3">
        <v>0</v>
      </c>
      <c r="D36" s="8">
        <v>1100</v>
      </c>
      <c r="E36" s="14">
        <f t="shared" ref="E36:E41" si="2">+C36*D36</f>
        <v>0</v>
      </c>
      <c r="F36" s="13"/>
    </row>
    <row r="37" spans="1:7">
      <c r="A37" s="2" t="s">
        <v>634</v>
      </c>
      <c r="B37" s="2">
        <v>400390</v>
      </c>
      <c r="C37">
        <v>4</v>
      </c>
      <c r="D37" s="5">
        <v>2.0499999999999998</v>
      </c>
      <c r="E37" s="14">
        <f t="shared" si="2"/>
        <v>8.1999999999999993</v>
      </c>
    </row>
    <row r="38" spans="1:7">
      <c r="A38" s="2" t="s">
        <v>635</v>
      </c>
      <c r="B38" s="2">
        <v>376787</v>
      </c>
      <c r="C38">
        <v>16</v>
      </c>
      <c r="D38" s="5">
        <v>4.9800000000000004</v>
      </c>
      <c r="E38" s="14">
        <f t="shared" si="2"/>
        <v>79.680000000000007</v>
      </c>
    </row>
    <row r="39" spans="1:7">
      <c r="A39" s="2" t="s">
        <v>178</v>
      </c>
      <c r="B39" s="2" t="s">
        <v>178</v>
      </c>
      <c r="C39">
        <v>0</v>
      </c>
      <c r="D39" s="5">
        <v>0</v>
      </c>
      <c r="E39" s="14">
        <f t="shared" si="2"/>
        <v>0</v>
      </c>
    </row>
    <row r="40" spans="1:7">
      <c r="A40" s="2" t="s">
        <v>636</v>
      </c>
      <c r="B40" s="2">
        <v>2280072</v>
      </c>
      <c r="C40">
        <v>0</v>
      </c>
      <c r="D40" s="5">
        <v>18.97</v>
      </c>
      <c r="E40" s="14">
        <f t="shared" si="2"/>
        <v>0</v>
      </c>
    </row>
    <row r="41" spans="1:7" ht="15.75" thickBot="1">
      <c r="A41" s="2" t="s">
        <v>637</v>
      </c>
      <c r="B41" s="2">
        <v>1000707539</v>
      </c>
      <c r="C41">
        <v>0</v>
      </c>
      <c r="D41" s="5">
        <v>1.98</v>
      </c>
      <c r="E41" s="14">
        <f t="shared" si="2"/>
        <v>0</v>
      </c>
      <c r="F41" s="21"/>
    </row>
    <row r="42" spans="1:7">
      <c r="F42" s="14">
        <f>+SUM(E36:E41)</f>
        <v>87.88000000000001</v>
      </c>
    </row>
    <row r="43" spans="1:7" ht="15.75" thickBot="1">
      <c r="G43" s="21"/>
    </row>
    <row r="44" spans="1:7">
      <c r="G44" s="14">
        <f>+SUM(F23:F43)</f>
        <v>4165.3999999999996</v>
      </c>
    </row>
  </sheetData>
  <printOptions headings="1" gridLines="1"/>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dimension ref="A1:L30"/>
  <sheetViews>
    <sheetView workbookViewId="0">
      <selection activeCell="F20" sqref="F20"/>
    </sheetView>
  </sheetViews>
  <sheetFormatPr defaultRowHeight="15"/>
  <cols>
    <col min="1" max="1" width="45.28515625" style="2" customWidth="1"/>
    <col min="2" max="2" width="6.28515625" style="2" customWidth="1"/>
    <col min="3" max="3" width="21.5703125" style="2" bestFit="1" customWidth="1"/>
    <col min="4" max="4" width="5.28515625" style="2" bestFit="1" customWidth="1"/>
    <col min="5" max="5" width="9.5703125" bestFit="1" customWidth="1"/>
    <col min="6" max="6" width="16.85546875" style="5" customWidth="1"/>
    <col min="7" max="7" width="9.140625" style="1"/>
  </cols>
  <sheetData>
    <row r="1" spans="1:10">
      <c r="A1" s="33" t="s">
        <v>638</v>
      </c>
      <c r="B1" s="33"/>
    </row>
    <row r="2" spans="1:10" s="3" customFormat="1">
      <c r="A2" s="3" t="s">
        <v>393</v>
      </c>
      <c r="B2" s="3" t="s">
        <v>639</v>
      </c>
      <c r="C2" s="3" t="s">
        <v>411</v>
      </c>
      <c r="D2" s="3" t="s">
        <v>337</v>
      </c>
      <c r="E2" s="8" t="s">
        <v>502</v>
      </c>
      <c r="F2" s="6" t="s">
        <v>503</v>
      </c>
      <c r="G2" s="3" t="s">
        <v>504</v>
      </c>
    </row>
    <row r="3" spans="1:10" s="3" customFormat="1">
      <c r="A3" s="33" t="s">
        <v>640</v>
      </c>
      <c r="B3" s="299">
        <f>+Profit!K8</f>
        <v>1899</v>
      </c>
      <c r="E3" s="8"/>
      <c r="F3" s="6"/>
    </row>
    <row r="4" spans="1:10">
      <c r="A4" s="224" t="s">
        <v>641</v>
      </c>
      <c r="C4" s="224" t="s">
        <v>642</v>
      </c>
      <c r="D4">
        <v>1</v>
      </c>
      <c r="E4" s="5">
        <v>68.540000000000006</v>
      </c>
      <c r="F4" s="1">
        <f t="shared" ref="F4:F12" si="0">+D4*E4</f>
        <v>68.540000000000006</v>
      </c>
      <c r="G4"/>
      <c r="J4" s="5">
        <f>SUM(F4:F11)/28</f>
        <v>17.547857142857143</v>
      </c>
    </row>
    <row r="5" spans="1:10">
      <c r="A5" s="224" t="s">
        <v>643</v>
      </c>
      <c r="C5" s="224" t="s">
        <v>644</v>
      </c>
      <c r="D5">
        <v>1</v>
      </c>
      <c r="E5" s="5">
        <v>85.89</v>
      </c>
      <c r="F5" s="1">
        <f t="shared" si="0"/>
        <v>85.89</v>
      </c>
      <c r="G5"/>
    </row>
    <row r="6" spans="1:10">
      <c r="A6" s="224" t="s">
        <v>645</v>
      </c>
      <c r="C6" s="224">
        <v>185342</v>
      </c>
      <c r="D6">
        <v>1</v>
      </c>
      <c r="E6">
        <v>147</v>
      </c>
      <c r="F6" s="1">
        <f t="shared" si="0"/>
        <v>147</v>
      </c>
      <c r="G6"/>
    </row>
    <row r="7" spans="1:10">
      <c r="A7" s="224" t="s">
        <v>643</v>
      </c>
      <c r="C7" s="224" t="s">
        <v>646</v>
      </c>
      <c r="D7">
        <v>5</v>
      </c>
      <c r="E7" s="5">
        <v>21.99</v>
      </c>
      <c r="F7" s="1">
        <f t="shared" si="0"/>
        <v>109.94999999999999</v>
      </c>
      <c r="G7"/>
    </row>
    <row r="8" spans="1:10">
      <c r="A8" s="224" t="s">
        <v>647</v>
      </c>
      <c r="C8" s="224">
        <v>389832</v>
      </c>
      <c r="D8">
        <v>1</v>
      </c>
      <c r="E8" s="5">
        <v>39.979999999999997</v>
      </c>
      <c r="F8" s="1">
        <f t="shared" si="0"/>
        <v>39.979999999999997</v>
      </c>
      <c r="G8"/>
    </row>
    <row r="9" spans="1:10">
      <c r="A9" s="224" t="s">
        <v>648</v>
      </c>
      <c r="C9" s="224">
        <v>985007</v>
      </c>
      <c r="D9">
        <v>1</v>
      </c>
      <c r="E9" s="5">
        <v>39.979999999999997</v>
      </c>
      <c r="F9" s="1">
        <f t="shared" si="0"/>
        <v>39.979999999999997</v>
      </c>
      <c r="G9"/>
    </row>
    <row r="10" spans="1:10">
      <c r="A10" s="224" t="s">
        <v>649</v>
      </c>
      <c r="C10" s="224">
        <v>814917</v>
      </c>
      <c r="D10">
        <v>0</v>
      </c>
      <c r="E10" s="5">
        <v>60.98</v>
      </c>
      <c r="F10" s="1">
        <f t="shared" si="0"/>
        <v>0</v>
      </c>
      <c r="G10"/>
    </row>
    <row r="11" spans="1:10">
      <c r="A11" s="224" t="s">
        <v>650</v>
      </c>
      <c r="C11" s="224" t="s">
        <v>651</v>
      </c>
      <c r="D11">
        <v>0</v>
      </c>
      <c r="E11" s="5">
        <v>40</v>
      </c>
      <c r="F11" s="1">
        <f t="shared" si="0"/>
        <v>0</v>
      </c>
      <c r="G11"/>
    </row>
    <row r="12" spans="1:10">
      <c r="A12" s="2" t="s">
        <v>652</v>
      </c>
      <c r="B12" s="2">
        <v>10</v>
      </c>
      <c r="C12" s="2" t="s">
        <v>653</v>
      </c>
      <c r="D12">
        <v>10</v>
      </c>
      <c r="E12" s="5">
        <v>50.24</v>
      </c>
      <c r="F12" s="1">
        <f t="shared" si="0"/>
        <v>502.40000000000003</v>
      </c>
    </row>
    <row r="13" spans="1:10">
      <c r="A13" s="33" t="s">
        <v>654</v>
      </c>
      <c r="B13" s="225">
        <v>0</v>
      </c>
      <c r="D13"/>
      <c r="E13" s="5"/>
      <c r="F13" s="1"/>
      <c r="G13"/>
    </row>
    <row r="14" spans="1:10">
      <c r="A14" s="2" t="s">
        <v>652</v>
      </c>
      <c r="D14"/>
      <c r="E14" s="5"/>
      <c r="F14" s="1"/>
      <c r="G14"/>
    </row>
    <row r="15" spans="1:10">
      <c r="A15" s="33" t="s">
        <v>655</v>
      </c>
      <c r="B15" s="225">
        <v>0</v>
      </c>
      <c r="D15"/>
      <c r="E15" s="5"/>
      <c r="F15" s="1"/>
      <c r="G15"/>
    </row>
    <row r="16" spans="1:10">
      <c r="A16" s="224" t="s">
        <v>656</v>
      </c>
      <c r="C16" s="224" t="s">
        <v>657</v>
      </c>
      <c r="D16">
        <v>0</v>
      </c>
      <c r="E16" s="5">
        <v>93</v>
      </c>
      <c r="F16" s="1">
        <f t="shared" ref="F16:F17" si="1">+D16*E16</f>
        <v>0</v>
      </c>
      <c r="G16"/>
    </row>
    <row r="17" spans="1:12">
      <c r="A17" s="33" t="s">
        <v>658</v>
      </c>
      <c r="B17" s="225">
        <v>500</v>
      </c>
      <c r="D17"/>
      <c r="E17" s="5"/>
      <c r="F17" s="1">
        <f t="shared" si="1"/>
        <v>0</v>
      </c>
      <c r="G17"/>
    </row>
    <row r="18" spans="1:12">
      <c r="A18" s="224" t="s">
        <v>659</v>
      </c>
      <c r="C18" s="224" t="s">
        <v>660</v>
      </c>
      <c r="D18">
        <v>2</v>
      </c>
      <c r="E18" s="5">
        <v>47.98</v>
      </c>
      <c r="F18" s="1">
        <f>+D18*E18</f>
        <v>95.96</v>
      </c>
      <c r="G18"/>
    </row>
    <row r="19" spans="1:12">
      <c r="A19" s="2" t="s">
        <v>661</v>
      </c>
      <c r="C19" s="2" t="s">
        <v>662</v>
      </c>
      <c r="D19">
        <v>1</v>
      </c>
      <c r="E19" s="5">
        <v>48.98</v>
      </c>
      <c r="F19" s="1">
        <f t="shared" ref="F19:F20" si="2">+D19*E19</f>
        <v>48.98</v>
      </c>
      <c r="G19"/>
    </row>
    <row r="20" spans="1:12">
      <c r="A20" s="2" t="s">
        <v>663</v>
      </c>
      <c r="D20">
        <v>1</v>
      </c>
      <c r="E20" s="5">
        <v>97.13</v>
      </c>
      <c r="F20" s="5">
        <f t="shared" si="2"/>
        <v>97.13</v>
      </c>
    </row>
    <row r="21" spans="1:12" ht="15.75" thickBot="1">
      <c r="D21"/>
      <c r="E21" s="5"/>
      <c r="F21" s="30">
        <f>+D20*E20</f>
        <v>97.13</v>
      </c>
      <c r="G21" s="30"/>
    </row>
    <row r="22" spans="1:12">
      <c r="D22"/>
      <c r="E22" s="5"/>
      <c r="F22" s="1"/>
      <c r="L22" s="2"/>
    </row>
    <row r="23" spans="1:12">
      <c r="D23" s="556" t="s">
        <v>664</v>
      </c>
      <c r="E23" s="557"/>
      <c r="F23" s="557"/>
      <c r="G23" s="1">
        <f>SUM(F4:F21)</f>
        <v>1332.94</v>
      </c>
    </row>
    <row r="24" spans="1:12">
      <c r="A24" s="2" t="s">
        <v>263</v>
      </c>
      <c r="D24"/>
      <c r="E24" s="5"/>
      <c r="F24" s="1">
        <v>0</v>
      </c>
      <c r="G24">
        <v>0</v>
      </c>
    </row>
    <row r="25" spans="1:12">
      <c r="A25" s="224" t="s">
        <v>263</v>
      </c>
      <c r="B25" s="299">
        <f>+$B$3</f>
        <v>1899</v>
      </c>
      <c r="C25" s="224" t="s">
        <v>665</v>
      </c>
      <c r="D25" s="223" t="s">
        <v>177</v>
      </c>
      <c r="E25" s="5">
        <v>2.04</v>
      </c>
      <c r="F25" s="1">
        <v>0</v>
      </c>
      <c r="G25"/>
    </row>
    <row r="26" spans="1:12">
      <c r="A26" s="224" t="s">
        <v>263</v>
      </c>
      <c r="B26" s="299">
        <f t="shared" ref="B26:B27" si="3">+$B$3</f>
        <v>1899</v>
      </c>
      <c r="C26" s="224" t="s">
        <v>666</v>
      </c>
      <c r="D26" t="s">
        <v>12</v>
      </c>
      <c r="E26" s="5">
        <v>1</v>
      </c>
      <c r="F26" s="1">
        <f t="shared" ref="F26:F27" si="4">IF(D26="yes",E26*B26,0)</f>
        <v>0</v>
      </c>
      <c r="G26"/>
    </row>
    <row r="27" spans="1:12" ht="15.75" thickBot="1">
      <c r="A27" s="224" t="s">
        <v>263</v>
      </c>
      <c r="B27" s="299">
        <f t="shared" si="3"/>
        <v>1899</v>
      </c>
      <c r="C27" s="224" t="s">
        <v>667</v>
      </c>
      <c r="D27" t="s">
        <v>12</v>
      </c>
      <c r="E27" s="5">
        <v>1</v>
      </c>
      <c r="F27" s="1">
        <f t="shared" si="4"/>
        <v>0</v>
      </c>
      <c r="G27" s="23"/>
    </row>
    <row r="28" spans="1:12">
      <c r="D28"/>
      <c r="E28" s="5"/>
      <c r="F28" s="1"/>
      <c r="G28" s="1">
        <f>+SUM(F25:F27)+G23</f>
        <v>1332.94</v>
      </c>
    </row>
    <row r="29" spans="1:12">
      <c r="D29"/>
      <c r="E29" s="5"/>
    </row>
    <row r="30" spans="1:12">
      <c r="D30"/>
      <c r="E30" s="5"/>
    </row>
  </sheetData>
  <mergeCells count="1">
    <mergeCell ref="D23:F23"/>
  </mergeCells>
  <printOptions headings="1" gridLines="1"/>
  <pageMargins left="0.7" right="0.7" top="0.75" bottom="0.75" header="0.3" footer="0.3"/>
  <pageSetup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9"/>
  <dimension ref="A1:G9"/>
  <sheetViews>
    <sheetView workbookViewId="0">
      <selection activeCell="E9" sqref="E9"/>
    </sheetView>
  </sheetViews>
  <sheetFormatPr defaultRowHeight="15"/>
  <cols>
    <col min="1" max="1" width="45.28515625" style="2" customWidth="1"/>
    <col min="2" max="2" width="6.28515625" style="2" customWidth="1"/>
    <col min="3" max="3" width="21.5703125" style="2" bestFit="1" customWidth="1"/>
    <col min="4" max="4" width="5" style="2" bestFit="1" customWidth="1"/>
    <col min="5" max="5" width="9.5703125" bestFit="1" customWidth="1"/>
    <col min="6" max="6" width="16.85546875" style="5" customWidth="1"/>
    <col min="7" max="7" width="9.140625" style="1"/>
  </cols>
  <sheetData>
    <row r="1" spans="1:7">
      <c r="A1" s="33" t="s">
        <v>668</v>
      </c>
      <c r="B1" s="33"/>
    </row>
    <row r="2" spans="1:7" s="3" customFormat="1">
      <c r="A2" s="3" t="s">
        <v>393</v>
      </c>
      <c r="B2" s="3" t="s">
        <v>639</v>
      </c>
      <c r="C2" s="3" t="s">
        <v>411</v>
      </c>
      <c r="D2" s="3" t="s">
        <v>337</v>
      </c>
      <c r="E2" s="8" t="s">
        <v>502</v>
      </c>
      <c r="F2" s="6" t="s">
        <v>503</v>
      </c>
      <c r="G2" s="3" t="s">
        <v>504</v>
      </c>
    </row>
    <row r="3" spans="1:7">
      <c r="B3" s="299">
        <f>+Profit!K8</f>
        <v>1899</v>
      </c>
      <c r="D3"/>
      <c r="E3" s="5"/>
      <c r="F3" s="1"/>
      <c r="G3"/>
    </row>
    <row r="4" spans="1:7">
      <c r="A4" s="224" t="s">
        <v>669</v>
      </c>
      <c r="B4" s="316">
        <f>+B3</f>
        <v>1899</v>
      </c>
      <c r="C4" s="224" t="s">
        <v>665</v>
      </c>
      <c r="D4" t="s">
        <v>108</v>
      </c>
      <c r="E4" s="5">
        <v>6.5</v>
      </c>
      <c r="F4" s="1">
        <f>IF(D4="yes",E4*B4,0)</f>
        <v>0</v>
      </c>
      <c r="G4"/>
    </row>
    <row r="5" spans="1:7">
      <c r="A5" s="224" t="s">
        <v>670</v>
      </c>
      <c r="B5" s="316">
        <f>+B3</f>
        <v>1899</v>
      </c>
      <c r="C5" s="224"/>
      <c r="D5" t="s">
        <v>12</v>
      </c>
      <c r="E5" s="5">
        <v>1</v>
      </c>
      <c r="F5" s="1">
        <v>571.79999999999995</v>
      </c>
      <c r="G5"/>
    </row>
    <row r="6" spans="1:7" ht="15.75" thickBot="1">
      <c r="A6" s="224" t="s">
        <v>671</v>
      </c>
      <c r="B6" s="316">
        <f>+B3</f>
        <v>1899</v>
      </c>
      <c r="C6" s="224"/>
      <c r="D6" t="s">
        <v>12</v>
      </c>
      <c r="E6" s="5">
        <v>1</v>
      </c>
      <c r="F6" s="1">
        <v>4527</v>
      </c>
      <c r="G6" s="23">
        <v>3191.7</v>
      </c>
    </row>
    <row r="7" spans="1:7">
      <c r="D7"/>
      <c r="E7" s="5"/>
      <c r="F7" s="1"/>
      <c r="G7" s="1">
        <f>SUM(F4:F6)</f>
        <v>5098.8</v>
      </c>
    </row>
    <row r="8" spans="1:7">
      <c r="D8"/>
      <c r="E8" s="5"/>
    </row>
    <row r="9" spans="1:7">
      <c r="A9" s="2" t="s">
        <v>178</v>
      </c>
      <c r="D9" t="s">
        <v>178</v>
      </c>
      <c r="E9" s="5" t="s">
        <v>178</v>
      </c>
    </row>
  </sheetData>
  <printOptions headings="1" gridLines="1"/>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D2798-1CF0-4948-ADBE-D10FD0B7B811}">
  <sheetPr codeName="Sheet20"/>
  <dimension ref="A1:N20"/>
  <sheetViews>
    <sheetView workbookViewId="0">
      <selection activeCell="E5" sqref="E5"/>
    </sheetView>
  </sheetViews>
  <sheetFormatPr defaultColWidth="9.140625" defaultRowHeight="15"/>
  <cols>
    <col min="1" max="2" width="26.85546875" style="2" bestFit="1" customWidth="1"/>
    <col min="3" max="3" width="12.7109375" bestFit="1" customWidth="1"/>
    <col min="4" max="4" width="10.140625" style="5" bestFit="1" customWidth="1"/>
    <col min="5" max="5" width="9.140625" style="26"/>
    <col min="7" max="7" width="5.7109375" customWidth="1"/>
    <col min="9" max="9" width="12.7109375" bestFit="1" customWidth="1"/>
    <col min="10" max="10" width="9.7109375" bestFit="1" customWidth="1"/>
  </cols>
  <sheetData>
    <row r="1" spans="1:14" s="3" customFormat="1">
      <c r="E1" s="16"/>
    </row>
    <row r="2" spans="1:14">
      <c r="A2" s="33" t="s">
        <v>347</v>
      </c>
    </row>
    <row r="3" spans="1:14" s="22" customFormat="1">
      <c r="A3" s="3" t="s">
        <v>393</v>
      </c>
      <c r="B3" s="3" t="s">
        <v>672</v>
      </c>
      <c r="C3" s="3" t="s">
        <v>501</v>
      </c>
      <c r="D3" s="8" t="s">
        <v>502</v>
      </c>
      <c r="E3" s="16" t="s">
        <v>541</v>
      </c>
      <c r="F3" s="3" t="s">
        <v>504</v>
      </c>
      <c r="H3" s="3"/>
      <c r="I3" s="3"/>
    </row>
    <row r="4" spans="1:14">
      <c r="A4" t="s">
        <v>673</v>
      </c>
      <c r="B4" s="2" t="s">
        <v>674</v>
      </c>
      <c r="C4" s="11">
        <v>1</v>
      </c>
      <c r="D4" s="5">
        <v>13062</v>
      </c>
      <c r="E4" s="26">
        <f>+C4*D4</f>
        <v>13062</v>
      </c>
    </row>
    <row r="5" spans="1:14">
      <c r="A5" t="s">
        <v>675</v>
      </c>
      <c r="B5" s="2" t="s">
        <v>676</v>
      </c>
      <c r="C5" s="11">
        <v>0</v>
      </c>
      <c r="D5" s="5">
        <v>8.98</v>
      </c>
      <c r="E5" s="26">
        <f t="shared" ref="E5:E12" si="0">+C5*D5</f>
        <v>0</v>
      </c>
    </row>
    <row r="6" spans="1:14">
      <c r="A6" t="s">
        <v>675</v>
      </c>
      <c r="B6" s="2" t="s">
        <v>677</v>
      </c>
      <c r="C6" s="11">
        <v>0</v>
      </c>
      <c r="D6" s="5">
        <v>7.98</v>
      </c>
      <c r="E6" s="26">
        <f t="shared" ref="E6:E11" si="1">+C6*D6</f>
        <v>0</v>
      </c>
    </row>
    <row r="7" spans="1:14">
      <c r="A7" t="s">
        <v>678</v>
      </c>
      <c r="B7" s="2" t="s">
        <v>679</v>
      </c>
      <c r="C7" s="11">
        <v>0</v>
      </c>
      <c r="D7" s="5">
        <v>44.93</v>
      </c>
      <c r="E7" s="26">
        <f t="shared" si="1"/>
        <v>0</v>
      </c>
    </row>
    <row r="8" spans="1:14">
      <c r="A8" t="s">
        <v>680</v>
      </c>
      <c r="B8" s="2" t="s">
        <v>681</v>
      </c>
      <c r="C8" s="11">
        <v>0</v>
      </c>
      <c r="D8" s="5">
        <v>4.47</v>
      </c>
      <c r="E8" s="26">
        <f t="shared" si="1"/>
        <v>0</v>
      </c>
    </row>
    <row r="9" spans="1:14">
      <c r="A9" t="s">
        <v>680</v>
      </c>
      <c r="B9" s="2" t="s">
        <v>682</v>
      </c>
      <c r="C9" s="11">
        <v>0</v>
      </c>
      <c r="D9" s="5">
        <v>4.97</v>
      </c>
      <c r="E9" s="26">
        <f t="shared" si="1"/>
        <v>0</v>
      </c>
      <c r="I9" s="33"/>
      <c r="J9" s="2"/>
      <c r="L9" s="5"/>
      <c r="M9" s="26"/>
    </row>
    <row r="10" spans="1:14">
      <c r="A10" t="s">
        <v>683</v>
      </c>
      <c r="B10" s="2" t="s">
        <v>684</v>
      </c>
      <c r="C10" s="11">
        <v>0</v>
      </c>
      <c r="D10" s="5">
        <v>23</v>
      </c>
      <c r="E10" s="26">
        <f t="shared" si="1"/>
        <v>0</v>
      </c>
      <c r="I10" s="3"/>
      <c r="J10" s="3"/>
      <c r="K10" s="3"/>
      <c r="L10" s="8"/>
      <c r="M10" s="16"/>
      <c r="N10" s="3"/>
    </row>
    <row r="11" spans="1:14">
      <c r="A11"/>
      <c r="C11" s="11"/>
      <c r="E11" s="26">
        <f t="shared" si="1"/>
        <v>0</v>
      </c>
      <c r="J11" s="2"/>
      <c r="K11" s="11"/>
      <c r="L11" s="5"/>
      <c r="M11" s="26"/>
    </row>
    <row r="12" spans="1:14" ht="15.75" thickBot="1">
      <c r="A12" s="2" t="s">
        <v>685</v>
      </c>
      <c r="C12">
        <v>0</v>
      </c>
      <c r="D12" s="5">
        <v>11504</v>
      </c>
      <c r="E12" s="30">
        <f t="shared" si="0"/>
        <v>0</v>
      </c>
      <c r="F12" s="30"/>
      <c r="J12" s="2"/>
      <c r="K12" s="11"/>
      <c r="L12" s="5"/>
      <c r="M12" s="26"/>
    </row>
    <row r="13" spans="1:14">
      <c r="C13" s="556"/>
      <c r="D13" s="557"/>
      <c r="E13" s="557"/>
      <c r="F13" s="4">
        <f>+SUM(E4:E12)</f>
        <v>13062</v>
      </c>
      <c r="J13" s="2"/>
      <c r="K13" s="11"/>
      <c r="L13" s="5"/>
      <c r="M13" s="26"/>
    </row>
    <row r="14" spans="1:14">
      <c r="J14" s="2"/>
      <c r="K14" s="11"/>
      <c r="L14" s="5"/>
      <c r="M14" s="26"/>
    </row>
    <row r="15" spans="1:14">
      <c r="E15" s="2"/>
      <c r="F15" s="2"/>
      <c r="J15" s="2"/>
      <c r="K15" s="11"/>
      <c r="L15" s="5"/>
      <c r="M15" s="26"/>
    </row>
    <row r="16" spans="1:14">
      <c r="F16" s="4"/>
      <c r="J16" s="2"/>
      <c r="K16" s="11"/>
      <c r="L16" s="5"/>
      <c r="M16" s="26"/>
    </row>
    <row r="17" spans="9:14">
      <c r="J17" s="2"/>
      <c r="K17" s="11"/>
      <c r="L17" s="5"/>
      <c r="M17" s="26"/>
    </row>
    <row r="18" spans="9:14">
      <c r="J18" s="2"/>
      <c r="K18" s="11"/>
      <c r="L18" s="5"/>
      <c r="M18" s="26"/>
    </row>
    <row r="19" spans="9:14">
      <c r="I19" s="2"/>
      <c r="J19" s="2"/>
      <c r="L19" s="5"/>
      <c r="M19" s="26"/>
    </row>
    <row r="20" spans="9:14">
      <c r="I20" s="2"/>
      <c r="J20" s="2"/>
      <c r="K20" s="556"/>
      <c r="L20" s="557"/>
      <c r="M20" s="557"/>
      <c r="N20" s="4"/>
    </row>
  </sheetData>
  <mergeCells count="2">
    <mergeCell ref="C13:E13"/>
    <mergeCell ref="K20:M20"/>
  </mergeCells>
  <printOptions headings="1" gridLines="1"/>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3C5C-DDBF-4C05-AE64-44FB543BB6BD}">
  <sheetPr codeName="Sheet21"/>
  <dimension ref="A1:I29"/>
  <sheetViews>
    <sheetView workbookViewId="0">
      <selection activeCell="A18" sqref="A18"/>
    </sheetView>
  </sheetViews>
  <sheetFormatPr defaultColWidth="9.140625" defaultRowHeight="15"/>
  <cols>
    <col min="1" max="1" width="28" style="2" bestFit="1" customWidth="1"/>
    <col min="2" max="2" width="23.85546875" style="2" customWidth="1"/>
    <col min="4" max="4" width="10.140625" style="5" bestFit="1" customWidth="1"/>
    <col min="5" max="6" width="9.140625" style="14"/>
  </cols>
  <sheetData>
    <row r="1" spans="1:6">
      <c r="A1" s="3" t="s">
        <v>686</v>
      </c>
      <c r="B1" s="3"/>
    </row>
    <row r="2" spans="1:6">
      <c r="C2" s="3"/>
      <c r="D2" s="8"/>
      <c r="E2" s="13"/>
      <c r="F2" s="13"/>
    </row>
    <row r="3" spans="1:6">
      <c r="A3" s="3" t="s">
        <v>393</v>
      </c>
      <c r="B3" s="3" t="s">
        <v>553</v>
      </c>
      <c r="C3" s="3" t="s">
        <v>501</v>
      </c>
      <c r="D3" s="8" t="s">
        <v>502</v>
      </c>
      <c r="E3" s="13" t="s">
        <v>503</v>
      </c>
      <c r="F3" s="13" t="s">
        <v>504</v>
      </c>
    </row>
    <row r="4" spans="1:6">
      <c r="A4" s="3"/>
      <c r="B4" s="3"/>
      <c r="C4" s="31"/>
      <c r="D4" s="8"/>
      <c r="E4" s="14">
        <f>+C4*D4</f>
        <v>0</v>
      </c>
      <c r="F4" s="13"/>
    </row>
    <row r="5" spans="1:6">
      <c r="A5" s="31" t="s">
        <v>687</v>
      </c>
      <c r="B5" s="31">
        <v>2599776</v>
      </c>
      <c r="C5">
        <v>3</v>
      </c>
      <c r="D5" s="5">
        <v>124.98</v>
      </c>
      <c r="E5" s="14">
        <f>+C5*D5</f>
        <v>374.94</v>
      </c>
    </row>
    <row r="6" spans="1:6">
      <c r="A6" s="31" t="s">
        <v>688</v>
      </c>
      <c r="B6" s="31">
        <v>807421</v>
      </c>
      <c r="C6">
        <v>1</v>
      </c>
      <c r="D6" s="5">
        <v>112.48</v>
      </c>
      <c r="E6" s="14">
        <f>+C6*D6</f>
        <v>112.48</v>
      </c>
    </row>
    <row r="7" spans="1:6">
      <c r="A7" s="31" t="s">
        <v>689</v>
      </c>
      <c r="B7" s="31">
        <v>321702</v>
      </c>
      <c r="C7">
        <v>2</v>
      </c>
      <c r="D7" s="5">
        <v>89.98</v>
      </c>
      <c r="E7" s="14">
        <f>+C7*D7</f>
        <v>179.96</v>
      </c>
    </row>
    <row r="8" spans="1:6">
      <c r="A8" s="31" t="s">
        <v>690</v>
      </c>
      <c r="B8" s="31">
        <v>649829</v>
      </c>
      <c r="C8">
        <v>1</v>
      </c>
      <c r="D8" s="5">
        <v>129.97999999999999</v>
      </c>
      <c r="E8" s="14">
        <f>+C8*D8</f>
        <v>129.97999999999999</v>
      </c>
    </row>
    <row r="9" spans="1:6">
      <c r="A9" s="31" t="s">
        <v>691</v>
      </c>
      <c r="B9" s="31">
        <v>2296055</v>
      </c>
      <c r="C9">
        <v>1</v>
      </c>
      <c r="D9" s="5">
        <v>179.98</v>
      </c>
      <c r="E9" s="14">
        <f t="shared" ref="E9:E22" si="0">+C9*D9</f>
        <v>179.98</v>
      </c>
    </row>
    <row r="10" spans="1:6">
      <c r="A10" s="31" t="s">
        <v>692</v>
      </c>
      <c r="B10" s="31">
        <v>482287</v>
      </c>
      <c r="C10">
        <v>2</v>
      </c>
      <c r="D10" s="5">
        <v>62.98</v>
      </c>
      <c r="E10" s="14">
        <f t="shared" si="0"/>
        <v>125.96</v>
      </c>
    </row>
    <row r="11" spans="1:6">
      <c r="A11" s="31" t="s">
        <v>693</v>
      </c>
      <c r="B11" s="31">
        <v>2535475</v>
      </c>
      <c r="C11">
        <v>1</v>
      </c>
      <c r="D11" s="5">
        <v>24.98</v>
      </c>
      <c r="E11" s="14">
        <f t="shared" si="0"/>
        <v>24.98</v>
      </c>
    </row>
    <row r="12" spans="1:6">
      <c r="A12" s="31" t="s">
        <v>694</v>
      </c>
      <c r="B12" s="31" t="s">
        <v>695</v>
      </c>
      <c r="C12">
        <v>10</v>
      </c>
      <c r="D12" s="5">
        <v>10.9</v>
      </c>
      <c r="E12" s="14">
        <f t="shared" si="0"/>
        <v>109</v>
      </c>
    </row>
    <row r="13" spans="1:6">
      <c r="A13" s="31" t="s">
        <v>696</v>
      </c>
      <c r="B13" s="31" t="s">
        <v>697</v>
      </c>
      <c r="C13">
        <v>1</v>
      </c>
      <c r="D13" s="5">
        <v>14.97</v>
      </c>
      <c r="E13" s="14">
        <f t="shared" si="0"/>
        <v>14.97</v>
      </c>
    </row>
    <row r="14" spans="1:6">
      <c r="A14" s="31" t="s">
        <v>698</v>
      </c>
      <c r="B14" s="31" t="s">
        <v>699</v>
      </c>
      <c r="C14">
        <v>2</v>
      </c>
      <c r="D14" s="5">
        <v>19.97</v>
      </c>
      <c r="E14" s="14">
        <f t="shared" si="0"/>
        <v>39.94</v>
      </c>
    </row>
    <row r="15" spans="1:6">
      <c r="A15" s="31" t="s">
        <v>700</v>
      </c>
      <c r="B15" s="31" t="s">
        <v>701</v>
      </c>
      <c r="C15">
        <v>1</v>
      </c>
      <c r="D15" s="5">
        <v>17.97</v>
      </c>
      <c r="E15" s="14">
        <f t="shared" si="0"/>
        <v>17.97</v>
      </c>
    </row>
    <row r="16" spans="1:6">
      <c r="A16" s="31" t="s">
        <v>702</v>
      </c>
      <c r="B16" s="31" t="s">
        <v>703</v>
      </c>
      <c r="C16">
        <v>2</v>
      </c>
      <c r="D16" s="5">
        <v>16.98</v>
      </c>
      <c r="E16" s="14">
        <f t="shared" si="0"/>
        <v>33.96</v>
      </c>
    </row>
    <row r="17" spans="1:9">
      <c r="A17" s="31" t="s">
        <v>704</v>
      </c>
      <c r="B17" s="31" t="s">
        <v>705</v>
      </c>
      <c r="C17">
        <v>4</v>
      </c>
      <c r="D17" s="5">
        <v>3.27</v>
      </c>
      <c r="E17" s="14">
        <f t="shared" si="0"/>
        <v>13.08</v>
      </c>
    </row>
    <row r="18" spans="1:9">
      <c r="A18" s="31"/>
      <c r="B18" s="31"/>
      <c r="E18" s="14">
        <f t="shared" si="0"/>
        <v>0</v>
      </c>
    </row>
    <row r="19" spans="1:9">
      <c r="A19" s="31"/>
      <c r="B19" s="31"/>
      <c r="E19" s="14">
        <f t="shared" si="0"/>
        <v>0</v>
      </c>
    </row>
    <row r="20" spans="1:9">
      <c r="A20" s="31"/>
      <c r="B20" s="31" t="s">
        <v>499</v>
      </c>
      <c r="C20">
        <v>0</v>
      </c>
      <c r="D20" s="5">
        <v>700</v>
      </c>
      <c r="E20" s="14">
        <f t="shared" si="0"/>
        <v>0</v>
      </c>
    </row>
    <row r="21" spans="1:9">
      <c r="A21" s="31"/>
      <c r="B21" s="31"/>
      <c r="E21" s="14">
        <f t="shared" si="0"/>
        <v>0</v>
      </c>
    </row>
    <row r="22" spans="1:9" ht="15.75" thickBot="1">
      <c r="A22" s="31"/>
      <c r="B22" s="31"/>
      <c r="E22" s="21">
        <f t="shared" si="0"/>
        <v>0</v>
      </c>
      <c r="F22" s="21"/>
    </row>
    <row r="23" spans="1:9">
      <c r="F23" s="14">
        <f>SUM(E4:E22)</f>
        <v>1357.2</v>
      </c>
      <c r="I23" s="1"/>
    </row>
    <row r="26" spans="1:9">
      <c r="F26"/>
    </row>
    <row r="27" spans="1:9">
      <c r="F27"/>
    </row>
    <row r="28" spans="1:9">
      <c r="F28"/>
    </row>
    <row r="29" spans="1:9">
      <c r="F29"/>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dimension ref="A1:H17"/>
  <sheetViews>
    <sheetView workbookViewId="0">
      <selection activeCell="L12" sqref="L12"/>
    </sheetView>
  </sheetViews>
  <sheetFormatPr defaultRowHeight="15"/>
  <cols>
    <col min="1" max="1" width="16.28515625" bestFit="1" customWidth="1"/>
    <col min="2" max="2" width="24.7109375" style="2" bestFit="1" customWidth="1"/>
    <col min="3" max="3" width="15.28515625" style="18" customWidth="1"/>
    <col min="4" max="4" width="15.28515625" style="2" customWidth="1"/>
    <col min="6" max="6" width="9.140625" style="5"/>
    <col min="7" max="7" width="9.140625" style="1"/>
  </cols>
  <sheetData>
    <row r="1" spans="1:8" s="3" customFormat="1">
      <c r="B1" s="3" t="s">
        <v>425</v>
      </c>
      <c r="C1" s="16"/>
    </row>
    <row r="2" spans="1:8" s="15" customFormat="1">
      <c r="A2" s="15" t="s">
        <v>327</v>
      </c>
      <c r="B2" s="3" t="s">
        <v>390</v>
      </c>
      <c r="C2" s="17" t="s">
        <v>706</v>
      </c>
      <c r="D2" s="31" t="s">
        <v>707</v>
      </c>
      <c r="E2" s="3" t="s">
        <v>501</v>
      </c>
      <c r="F2" s="8" t="s">
        <v>708</v>
      </c>
      <c r="G2" s="6" t="s">
        <v>709</v>
      </c>
      <c r="H2" s="15" t="s">
        <v>504</v>
      </c>
    </row>
    <row r="4" spans="1:8">
      <c r="A4" s="12">
        <v>44355</v>
      </c>
      <c r="B4" s="2" t="s">
        <v>710</v>
      </c>
      <c r="C4" s="18">
        <v>0.79</v>
      </c>
      <c r="D4" s="2">
        <v>500</v>
      </c>
      <c r="E4">
        <v>1</v>
      </c>
      <c r="F4" s="5">
        <v>110</v>
      </c>
      <c r="G4" s="1">
        <f>+E4*F4</f>
        <v>110</v>
      </c>
    </row>
    <row r="5" spans="1:8">
      <c r="A5" s="12">
        <v>44407</v>
      </c>
      <c r="B5" s="2" t="s">
        <v>710</v>
      </c>
      <c r="C5" s="18">
        <v>1</v>
      </c>
      <c r="D5" s="2">
        <f>24*10</f>
        <v>240</v>
      </c>
      <c r="E5">
        <v>1</v>
      </c>
      <c r="F5" s="5">
        <v>890</v>
      </c>
      <c r="G5" s="1">
        <f t="shared" ref="G5:G10" si="0">+E5*F5</f>
        <v>890</v>
      </c>
    </row>
    <row r="6" spans="1:8">
      <c r="A6" s="12">
        <v>44435</v>
      </c>
      <c r="B6" s="2" t="s">
        <v>710</v>
      </c>
      <c r="E6">
        <v>1</v>
      </c>
      <c r="F6" s="5">
        <v>200</v>
      </c>
      <c r="G6" s="1">
        <f t="shared" si="0"/>
        <v>200</v>
      </c>
    </row>
    <row r="7" spans="1:8">
      <c r="A7" s="12">
        <v>44454</v>
      </c>
      <c r="B7" s="2" t="s">
        <v>710</v>
      </c>
      <c r="E7">
        <v>1</v>
      </c>
      <c r="F7" s="5">
        <v>200</v>
      </c>
      <c r="G7" s="1">
        <f t="shared" si="0"/>
        <v>200</v>
      </c>
    </row>
    <row r="8" spans="1:8">
      <c r="A8" t="s">
        <v>711</v>
      </c>
      <c r="B8" s="2" t="s">
        <v>712</v>
      </c>
      <c r="E8">
        <v>1</v>
      </c>
      <c r="F8" s="5">
        <v>1485</v>
      </c>
      <c r="G8" s="1">
        <f t="shared" si="0"/>
        <v>1485</v>
      </c>
    </row>
    <row r="9" spans="1:8">
      <c r="B9" s="2" t="s">
        <v>713</v>
      </c>
      <c r="E9">
        <v>1</v>
      </c>
      <c r="F9" s="5">
        <v>140</v>
      </c>
      <c r="G9" s="1">
        <f t="shared" si="0"/>
        <v>140</v>
      </c>
    </row>
    <row r="10" spans="1:8">
      <c r="B10" s="2" t="s">
        <v>714</v>
      </c>
      <c r="E10">
        <v>1</v>
      </c>
      <c r="F10" s="5">
        <v>70</v>
      </c>
      <c r="G10" s="1">
        <f t="shared" si="0"/>
        <v>70</v>
      </c>
    </row>
    <row r="11" spans="1:8">
      <c r="B11" s="2" t="s">
        <v>715</v>
      </c>
      <c r="E11">
        <v>1</v>
      </c>
      <c r="F11" s="5">
        <v>70</v>
      </c>
      <c r="G11" s="1">
        <f t="shared" ref="G11" si="1">+E11*F11</f>
        <v>70</v>
      </c>
    </row>
    <row r="12" spans="1:8">
      <c r="B12" s="2" t="s">
        <v>716</v>
      </c>
      <c r="E12">
        <v>1</v>
      </c>
      <c r="F12" s="5">
        <v>70</v>
      </c>
      <c r="G12" s="1">
        <f t="shared" ref="G12:G15" si="2">+E12*F12</f>
        <v>70</v>
      </c>
    </row>
    <row r="13" spans="1:8">
      <c r="B13" s="2" t="s">
        <v>717</v>
      </c>
      <c r="E13">
        <v>1</v>
      </c>
      <c r="F13" s="5">
        <v>70</v>
      </c>
      <c r="G13" s="1">
        <f t="shared" si="2"/>
        <v>70</v>
      </c>
    </row>
    <row r="14" spans="1:8">
      <c r="B14" s="2" t="s">
        <v>178</v>
      </c>
      <c r="C14" s="18" t="s">
        <v>178</v>
      </c>
      <c r="E14">
        <v>0</v>
      </c>
      <c r="F14" s="5">
        <v>0</v>
      </c>
      <c r="G14" s="1">
        <f t="shared" si="2"/>
        <v>0</v>
      </c>
    </row>
    <row r="15" spans="1:8">
      <c r="B15" s="2" t="s">
        <v>178</v>
      </c>
      <c r="E15">
        <v>0</v>
      </c>
      <c r="F15" s="5">
        <v>0</v>
      </c>
      <c r="G15" s="1">
        <f t="shared" si="2"/>
        <v>0</v>
      </c>
    </row>
    <row r="16" spans="1:8" ht="15.75" thickBot="1">
      <c r="G16" s="30"/>
      <c r="H16" s="23"/>
    </row>
    <row r="17" spans="4:8">
      <c r="D17" s="2">
        <f>+SUM(D4:D16)</f>
        <v>740</v>
      </c>
      <c r="G17" s="15" t="s">
        <v>504</v>
      </c>
      <c r="H17" s="1">
        <f>+SUM(G4:G16)</f>
        <v>3305</v>
      </c>
    </row>
  </sheetData>
  <printOptions headings="1" gridLines="1"/>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dimension ref="A1:G16"/>
  <sheetViews>
    <sheetView workbookViewId="0">
      <selection activeCell="B6" sqref="B6"/>
    </sheetView>
  </sheetViews>
  <sheetFormatPr defaultRowHeight="15"/>
  <cols>
    <col min="1" max="1" width="24.7109375" style="2" bestFit="1" customWidth="1"/>
    <col min="2" max="2" width="24.7109375" style="2" customWidth="1"/>
    <col min="3" max="3" width="15.28515625" style="18" customWidth="1"/>
    <col min="4" max="4" width="10.140625" bestFit="1" customWidth="1"/>
  </cols>
  <sheetData>
    <row r="1" spans="1:7" s="3" customFormat="1">
      <c r="A1" s="33" t="s">
        <v>464</v>
      </c>
      <c r="B1" s="33"/>
      <c r="C1" s="16"/>
    </row>
    <row r="2" spans="1:7" s="15" customFormat="1">
      <c r="A2" s="3" t="s">
        <v>390</v>
      </c>
      <c r="B2" s="3" t="s">
        <v>337</v>
      </c>
      <c r="C2" s="17" t="s">
        <v>718</v>
      </c>
      <c r="D2" s="15" t="s">
        <v>504</v>
      </c>
      <c r="E2" s="557" t="s">
        <v>719</v>
      </c>
      <c r="F2" s="609"/>
      <c r="G2" s="27">
        <v>20</v>
      </c>
    </row>
    <row r="4" spans="1:7">
      <c r="A4" s="2" t="s">
        <v>352</v>
      </c>
      <c r="B4" s="2">
        <v>0</v>
      </c>
      <c r="C4" s="18">
        <v>800</v>
      </c>
      <c r="D4" s="5">
        <f>+B4*C4</f>
        <v>0</v>
      </c>
    </row>
    <row r="5" spans="1:7">
      <c r="A5" s="2" t="s">
        <v>720</v>
      </c>
      <c r="B5" s="2">
        <v>0</v>
      </c>
      <c r="C5" s="18">
        <v>28.46</v>
      </c>
      <c r="D5" s="5">
        <f t="shared" ref="D5:D14" si="0">+B5*C5</f>
        <v>0</v>
      </c>
    </row>
    <row r="6" spans="1:7">
      <c r="A6" s="2" t="s">
        <v>721</v>
      </c>
      <c r="B6" s="2" t="s">
        <v>722</v>
      </c>
      <c r="C6" s="18">
        <v>1</v>
      </c>
      <c r="D6" s="5">
        <v>32.979999999999997</v>
      </c>
    </row>
    <row r="7" spans="1:7">
      <c r="A7" s="2" t="s">
        <v>723</v>
      </c>
      <c r="D7" s="5">
        <f t="shared" si="0"/>
        <v>0</v>
      </c>
    </row>
    <row r="8" spans="1:7">
      <c r="A8" s="2" t="s">
        <v>723</v>
      </c>
      <c r="D8" s="5">
        <f t="shared" si="0"/>
        <v>0</v>
      </c>
    </row>
    <row r="9" spans="1:7">
      <c r="A9" s="2" t="s">
        <v>724</v>
      </c>
      <c r="C9" s="18">
        <v>1000</v>
      </c>
      <c r="D9" s="5">
        <f t="shared" si="0"/>
        <v>0</v>
      </c>
    </row>
    <row r="10" spans="1:7">
      <c r="A10" s="2" t="s">
        <v>725</v>
      </c>
      <c r="D10" s="5">
        <f t="shared" si="0"/>
        <v>0</v>
      </c>
    </row>
    <row r="11" spans="1:7">
      <c r="A11" s="2" t="s">
        <v>726</v>
      </c>
      <c r="B11" s="2">
        <v>1</v>
      </c>
      <c r="C11" s="18">
        <v>19156.97</v>
      </c>
      <c r="D11" s="5">
        <f t="shared" si="0"/>
        <v>19156.97</v>
      </c>
    </row>
    <row r="12" spans="1:7">
      <c r="A12" s="2" t="s">
        <v>727</v>
      </c>
      <c r="B12" s="2">
        <v>0</v>
      </c>
      <c r="C12" s="18">
        <v>5500</v>
      </c>
      <c r="D12" s="5">
        <f t="shared" si="0"/>
        <v>0</v>
      </c>
    </row>
    <row r="13" spans="1:7">
      <c r="A13" s="2" t="s">
        <v>728</v>
      </c>
      <c r="C13" s="18">
        <v>1604326</v>
      </c>
      <c r="D13" s="5">
        <f t="shared" si="0"/>
        <v>0</v>
      </c>
    </row>
    <row r="14" spans="1:7">
      <c r="A14" s="2" t="s">
        <v>729</v>
      </c>
      <c r="C14" s="18">
        <v>228556</v>
      </c>
      <c r="D14" s="5">
        <f t="shared" si="0"/>
        <v>0</v>
      </c>
    </row>
    <row r="15" spans="1:7" ht="15.75" thickBot="1">
      <c r="A15" s="2" t="s">
        <v>730</v>
      </c>
      <c r="B15" s="2">
        <v>0</v>
      </c>
      <c r="C15" s="18">
        <v>400</v>
      </c>
      <c r="D15" s="23">
        <v>0</v>
      </c>
    </row>
    <row r="16" spans="1:7">
      <c r="D16" s="1">
        <f>SUM(D4:D15)</f>
        <v>19189.95</v>
      </c>
    </row>
  </sheetData>
  <mergeCells count="1">
    <mergeCell ref="E2:F2"/>
  </mergeCells>
  <printOptions headings="1" gridLine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DC7FDB1C8256C4EA4678CC05D188078" ma:contentTypeVersion="20" ma:contentTypeDescription="Create a new document." ma:contentTypeScope="" ma:versionID="2a9650d830cc67299a1a440994d8139a">
  <xsd:schema xmlns:xsd="http://www.w3.org/2001/XMLSchema" xmlns:xs="http://www.w3.org/2001/XMLSchema" xmlns:p="http://schemas.microsoft.com/office/2006/metadata/properties" xmlns:ns2="ab9fedca-001d-4cc9-b244-d9c3be5a27d3" xmlns:ns3="42cc25d9-27fe-4f07-accb-ded05ec47eee" targetNamespace="http://schemas.microsoft.com/office/2006/metadata/properties" ma:root="true" ma:fieldsID="b7be75ccca685a650eabb79854d6018f" ns2:_="" ns3:_="">
    <xsd:import namespace="ab9fedca-001d-4cc9-b244-d9c3be5a27d3"/>
    <xsd:import namespace="42cc25d9-27fe-4f07-accb-ded05ec47ee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fedca-001d-4cc9-b244-d9c3be5a2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a4e1b19-6222-46f4-80f6-9f16169dd19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cc25d9-27fe-4f07-accb-ded05ec47ee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1f183bb4-81c9-4515-ba45-227c7445c609}" ma:internalName="TaxCatchAll" ma:showField="CatchAllData" ma:web="42cc25d9-27fe-4f07-accb-ded05ec47eee">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TaxCatchAll xmlns="42cc25d9-27fe-4f07-accb-ded05ec47eee" xsi:nil="true"/>
    <lcf76f155ced4ddcb4097134ff3c332f xmlns="ab9fedca-001d-4cc9-b244-d9c3be5a27d3">
      <Terms xmlns="http://schemas.microsoft.com/office/infopath/2007/PartnerControls"/>
    </lcf76f155ced4ddcb4097134ff3c332f>
    <_Flow_SignoffStatus xmlns="ab9fedca-001d-4cc9-b244-d9c3be5a27d3" xsi:nil="true"/>
  </documentManagement>
</p:properties>
</file>

<file path=customXml/item6.xml>��
</file>

<file path=customXml/item7.xml>��
</file>

<file path=customXml/itemProps1.xml><?xml version="1.0" encoding="utf-8"?>
<ds:datastoreItem xmlns:ds="http://schemas.openxmlformats.org/officeDocument/2006/customXml" ds:itemID="{B1340FEE-1606-4067-BF1E-AF47E6C4120D}"/>
</file>

<file path=customXml/itemProps2.xml><?xml version="1.0" encoding="utf-8"?>
<ds:datastoreItem xmlns:ds="http://schemas.openxmlformats.org/officeDocument/2006/customXml" ds:itemID="{17F5EC78-4FFD-486F-8437-514CC02DB5A6}"/>
</file>

<file path=customXml/itemProps3.xml><?xml version="1.0" encoding="utf-8"?>
<ds:datastoreItem xmlns:ds="http://schemas.openxmlformats.org/officeDocument/2006/customXml" ds:itemID="{C8DEC3D8-E357-4A8C-AFF9-645AD3C1C068}"/>
</file>

<file path=customXml/itemProps4.xml><?xml version="1.0" encoding="utf-8"?>
<ds:datastoreItem xmlns:ds="http://schemas.openxmlformats.org/officeDocument/2006/customXml" ds:itemID="{B9BB8BBB-3EF8-4D4F-B500-A2E6B5335F5B}"/>
</file>

<file path=customXml/itemProps5.xml><?xml version="1.0" encoding="utf-8"?>
<ds:datastoreItem xmlns:ds="http://schemas.openxmlformats.org/officeDocument/2006/customXml" ds:itemID="{98C4DA37-4AFD-4CD2-9A66-0C8B8DF4AF27}"/>
</file>

<file path=customXml/itemProps6.xml><?xml version="1.0" encoding="utf-8"?>
<ds:datastoreItem xmlns:ds="http://schemas.openxmlformats.org/officeDocument/2006/customXml" ds:itemID="{5C886D52-C60B-4622-9743-EA10E7087D96}"/>
</file>

<file path=customXml/itemProps7.xml><?xml version="1.0" encoding="utf-8"?>
<ds:datastoreItem xmlns:ds="http://schemas.openxmlformats.org/officeDocument/2006/customXml" ds:itemID="{B54C4136-DFE3-4AB2-9ADD-5C061DFB4DE7}"/>
</file>

<file path=docProps/app.xml><?xml version="1.0" encoding="utf-8"?>
<Properties xmlns="http://schemas.openxmlformats.org/officeDocument/2006/extended-properties" xmlns:vt="http://schemas.openxmlformats.org/officeDocument/2006/docPropsVTypes">
  <Application>Microsoft Excel Online</Application>
  <Manager/>
  <Company>First Citizens Bank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Browning, Wes</dc:creator>
  <cp:keywords/>
  <dc:description/>
  <cp:lastModifiedBy>Jenny Hollinger Browning</cp:lastModifiedBy>
  <cp:revision/>
  <dcterms:created xsi:type="dcterms:W3CDTF">2019-07-25T11:32:14Z</dcterms:created>
  <dcterms:modified xsi:type="dcterms:W3CDTF">2026-05-25T19:13:59Z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0x010100DDC7FDB1C8256C4EA4678CC05D188078</vt:lpwstr>
  </property>
  <property fmtid="{D5CDD505-2E9C-101B-9397-08002B2CF9AE}" pid="3" name="MediaServiceImageTags">
    <vt:lpwstr/>
  </property>
</Properties>
</file>