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drawings/drawing4.xml" ContentType="application/vnd.openxmlformats-officedocument.drawing+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3.xml" ContentType="application/vnd.ms-excel.controlproperties+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write\sources\all-project-workbooks\"/>
    </mc:Choice>
  </mc:AlternateContent>
  <xr:revisionPtr revIDLastSave="0" documentId="13_ncr:1_{ADBB5D27-1E1C-4241-9475-E49AA12BB029}" xr6:coauthVersionLast="47" xr6:coauthVersionMax="47" xr10:uidLastSave="{00000000-0000-0000-0000-000000000000}"/>
  <bookViews>
    <workbookView xWindow="-120" yWindow="-120" windowWidth="38640" windowHeight="15720" tabRatio="889" firstSheet="7" activeTab="7" xr2:uid="{00000000-000D-0000-FFFF-FFFF00000000}"/>
  </bookViews>
  <sheets>
    <sheet name="Profit" sheetId="1" r:id="rId1"/>
    <sheet name="Amortization" sheetId="63" r:id="rId2"/>
    <sheet name="Docs" sheetId="64" r:id="rId3"/>
    <sheet name="MOG" sheetId="33" r:id="rId4"/>
    <sheet name="Todo" sheetId="19" r:id="rId5"/>
    <sheet name="Past" sheetId="53" r:id="rId6"/>
    <sheet name="Contact" sheetId="10" r:id="rId7"/>
    <sheet name="Carrying" sheetId="57" r:id="rId8"/>
    <sheet name="Contract" sheetId="36" r:id="rId9"/>
    <sheet name="UpdateContract" sheetId="47" r:id="rId10"/>
    <sheet name="Gnatt Chart" sheetId="37"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STR" sheetId="59" r:id="rId25"/>
    <sheet name="Landscape" sheetId="13" r:id="rId26"/>
    <sheet name="Exterior" sheetId="16" r:id="rId27"/>
    <sheet name="Furnishing" sheetId="61" r:id="rId28"/>
  </sheets>
  <externalReferences>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s>
  <definedNames>
    <definedName name="_xlnm._FilterDatabase" localSheetId="10" hidden="1">'Gnatt Chart'!$A$1:$DU$26</definedName>
    <definedName name="_xleta.COUNT" hidden="1" xlm="1">#NAME?</definedName>
    <definedName name="_xleta.FIXED" hidden="1" xlm="1">#NAME?</definedName>
    <definedName name="_xleta.IF" hidden="1" xlm="1">#NAME?</definedName>
    <definedName name="_xleta.NOW" hidden="1" xlm="1">#NAME?</definedName>
    <definedName name="_xleta.SUM" hidden="1" xlm="1">#NAME?</definedName>
    <definedName name="ExternalData_2" localSheetId="11" hidden="1">'Recap'!$N$4:$S$5</definedName>
    <definedName name="ExternalData_3" localSheetId="9" hidden="1">UpdateContract!$B$4:$H$27</definedName>
    <definedName name="ExternalData_4" localSheetId="10" hidden="1">'Gnatt Chart'!$A$27:$O$50</definedName>
    <definedName name="Milestone_Marker">'Gnatt Chart'!$G$4</definedName>
    <definedName name="Project_Start">'Gnatt Chart'!$F$2</definedName>
    <definedName name="ProposalToGnatt__2" localSheetId="11" hidden="1">'Recap'!$A$4:$G$12</definedName>
    <definedName name="Scrolling_Increment">'Gnatt Chart'!$AB$24</definedName>
    <definedName name="Today" localSheetId="10">TODAY()</definedName>
  </definedNames>
  <calcPr calcId="191029" calcMode="manual" iterate="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47" l="1"/>
  <c r="A6" i="47"/>
  <c r="A7" i="47"/>
  <c r="A8" i="47"/>
  <c r="A9" i="47"/>
  <c r="A10" i="47"/>
  <c r="A11" i="47"/>
  <c r="A12" i="47"/>
  <c r="A13" i="47"/>
  <c r="A14" i="47"/>
  <c r="A15" i="47"/>
  <c r="A16" i="47"/>
  <c r="A17" i="47"/>
  <c r="A18" i="47"/>
  <c r="A19" i="47"/>
  <c r="A20" i="47"/>
  <c r="A21" i="47"/>
  <c r="A22" i="47"/>
  <c r="A23" i="47"/>
  <c r="A24" i="47"/>
  <c r="A25" i="47"/>
  <c r="A26" i="47"/>
  <c r="A27" i="47"/>
  <c r="E14" i="16"/>
  <c r="D23" i="36" l="1"/>
  <c r="D13" i="36"/>
  <c r="G6" i="57" l="1"/>
  <c r="F4" i="3"/>
  <c r="B5" i="3"/>
  <c r="F5" i="3" s="1"/>
  <c r="J6" i="3" l="1"/>
  <c r="E13" i="16"/>
  <c r="F29" i="20"/>
  <c r="G29" i="20" s="1"/>
  <c r="J1" i="16"/>
  <c r="J67" i="1"/>
  <c r="F5" i="20"/>
  <c r="H16" i="4"/>
  <c r="H6" i="57" l="1"/>
  <c r="I49" i="6"/>
  <c r="I39" i="6"/>
  <c r="J4" i="53"/>
  <c r="J5" i="53" s="1"/>
  <c r="J6" i="53" s="1"/>
  <c r="J7" i="53" s="1"/>
  <c r="J8" i="53" s="1"/>
  <c r="J9" i="53" s="1"/>
  <c r="J10" i="53" s="1"/>
  <c r="J11" i="53" s="1"/>
  <c r="J12" i="53" s="1"/>
  <c r="J13" i="53" s="1"/>
  <c r="J14" i="53" s="1"/>
  <c r="J15" i="53" s="1"/>
  <c r="J16" i="53" s="1"/>
  <c r="J17" i="53" s="1"/>
  <c r="J18" i="53" s="1"/>
  <c r="P18" i="53" l="1"/>
  <c r="P17" i="53"/>
  <c r="C77" i="53" l="1"/>
  <c r="O18" i="53"/>
  <c r="O17" i="53"/>
  <c r="N18" i="53"/>
  <c r="N17" i="53"/>
  <c r="M18" i="53"/>
  <c r="M17" i="53"/>
  <c r="K18" i="53"/>
  <c r="K17" i="53"/>
  <c r="O16" i="53"/>
  <c r="O15" i="53"/>
  <c r="N16" i="53"/>
  <c r="N15" i="53"/>
  <c r="M16" i="53"/>
  <c r="M15" i="53"/>
  <c r="O14" i="53"/>
  <c r="O13" i="53"/>
  <c r="N14" i="53"/>
  <c r="M14" i="53"/>
  <c r="M13" i="53"/>
  <c r="O12" i="53"/>
  <c r="O11" i="53"/>
  <c r="O10" i="53"/>
  <c r="O9" i="53"/>
  <c r="N12" i="53"/>
  <c r="N11" i="53"/>
  <c r="N10" i="53"/>
  <c r="N9" i="53"/>
  <c r="M12" i="53"/>
  <c r="M11" i="53"/>
  <c r="M10" i="53"/>
  <c r="M9" i="53"/>
  <c r="O8" i="53"/>
  <c r="O7" i="53"/>
  <c r="O6" i="53"/>
  <c r="N8" i="53"/>
  <c r="N7" i="53"/>
  <c r="N6" i="53"/>
  <c r="M8" i="53"/>
  <c r="M7" i="53"/>
  <c r="M6" i="53"/>
  <c r="O5" i="53"/>
  <c r="O4" i="53"/>
  <c r="O3" i="53"/>
  <c r="N5" i="53"/>
  <c r="N4" i="53"/>
  <c r="N3" i="53"/>
  <c r="M5" i="53"/>
  <c r="M4" i="53"/>
  <c r="M3" i="53"/>
  <c r="P16" i="53" l="1"/>
  <c r="P15" i="53"/>
  <c r="K16" i="53"/>
  <c r="K15" i="53"/>
  <c r="K14" i="53"/>
  <c r="K13" i="53"/>
  <c r="P12" i="53"/>
  <c r="P10" i="53"/>
  <c r="H35" i="53"/>
  <c r="P9" i="53" s="1"/>
  <c r="K12" i="53" l="1"/>
  <c r="K11" i="53"/>
  <c r="K10" i="53"/>
  <c r="K9" i="53"/>
  <c r="K8" i="53"/>
  <c r="K7" i="53"/>
  <c r="K6" i="53"/>
  <c r="P3" i="53"/>
  <c r="P4" i="53"/>
  <c r="P5" i="53"/>
  <c r="Q5" i="53" s="1"/>
  <c r="G78" i="53"/>
  <c r="Q4" i="53" l="1"/>
  <c r="Q3" i="53" s="1"/>
  <c r="C63" i="53"/>
  <c r="E49" i="53"/>
  <c r="P14" i="53" s="1"/>
  <c r="F49" i="53" l="1"/>
  <c r="C49" i="53" l="1"/>
  <c r="P13" i="53"/>
  <c r="F35" i="53"/>
  <c r="P11" i="53" s="1"/>
  <c r="C35" i="53" l="1"/>
  <c r="E21" i="53"/>
  <c r="P8" i="53" s="1"/>
  <c r="F21" i="53" l="1"/>
  <c r="P7" i="53" s="1"/>
  <c r="G21" i="53" l="1"/>
  <c r="C7" i="53"/>
  <c r="C21" i="53" l="1"/>
  <c r="P6" i="53"/>
  <c r="Q6" i="53" s="1"/>
  <c r="Q7" i="53" s="1"/>
  <c r="Q8" i="53" s="1"/>
  <c r="Q9" i="53" s="1"/>
  <c r="Q10" i="53" s="1"/>
  <c r="Q11" i="53" s="1"/>
  <c r="Q12" i="53" s="1"/>
  <c r="Q13" i="53" s="1"/>
  <c r="Q14" i="53" s="1"/>
  <c r="Q15" i="53" s="1"/>
  <c r="Q16" i="53" s="1"/>
  <c r="Q17" i="53" s="1"/>
  <c r="Q18" i="53" s="1"/>
  <c r="C73" i="53"/>
  <c r="C74" i="53"/>
  <c r="C75" i="53"/>
  <c r="C76" i="53"/>
  <c r="C78" i="53"/>
  <c r="C79" i="53"/>
  <c r="C80" i="53"/>
  <c r="C81" i="53"/>
  <c r="C82" i="53"/>
  <c r="C59" i="53"/>
  <c r="C60" i="53"/>
  <c r="C61" i="53"/>
  <c r="C62" i="53"/>
  <c r="C64" i="53"/>
  <c r="C65" i="53"/>
  <c r="C66" i="53"/>
  <c r="C67" i="53"/>
  <c r="C68" i="53"/>
  <c r="S43" i="19"/>
  <c r="C45" i="53"/>
  <c r="C46" i="53"/>
  <c r="F47" i="53"/>
  <c r="C48" i="53"/>
  <c r="C50" i="53"/>
  <c r="C51" i="53"/>
  <c r="C52" i="53"/>
  <c r="C54" i="53"/>
  <c r="C31" i="53"/>
  <c r="C32" i="53"/>
  <c r="C33" i="53"/>
  <c r="C34" i="53"/>
  <c r="C36" i="53"/>
  <c r="C37" i="53"/>
  <c r="C38" i="53"/>
  <c r="C39" i="53"/>
  <c r="C40" i="53"/>
  <c r="C17" i="53"/>
  <c r="C18" i="53"/>
  <c r="C19" i="53"/>
  <c r="C20" i="53"/>
  <c r="C22" i="53"/>
  <c r="C23" i="53"/>
  <c r="C24" i="53"/>
  <c r="C25" i="53"/>
  <c r="C26" i="53"/>
  <c r="C47" i="53" l="1"/>
  <c r="N13" i="53"/>
  <c r="C53" i="53"/>
  <c r="O52" i="19" l="1"/>
  <c r="N52" i="19"/>
  <c r="M52" i="19"/>
  <c r="L52" i="19"/>
  <c r="K52" i="19"/>
  <c r="J52" i="19"/>
  <c r="I52" i="19"/>
  <c r="H52" i="19"/>
  <c r="G52" i="19"/>
  <c r="F52" i="19"/>
  <c r="O51" i="19"/>
  <c r="N51" i="19"/>
  <c r="M51" i="19"/>
  <c r="L51" i="19"/>
  <c r="K51" i="19"/>
  <c r="J51" i="19"/>
  <c r="I51" i="19"/>
  <c r="H51" i="19"/>
  <c r="G51" i="19"/>
  <c r="F51" i="19"/>
  <c r="O50" i="19"/>
  <c r="N50" i="19"/>
  <c r="M50" i="19"/>
  <c r="L50" i="19"/>
  <c r="K50" i="19"/>
  <c r="J50" i="19"/>
  <c r="I50" i="19"/>
  <c r="H50" i="19"/>
  <c r="O49" i="19"/>
  <c r="N49" i="19"/>
  <c r="M49" i="19"/>
  <c r="L49" i="19"/>
  <c r="J49" i="19"/>
  <c r="I49" i="19"/>
  <c r="H49" i="19"/>
  <c r="G49" i="19"/>
  <c r="O48" i="19"/>
  <c r="N48" i="19"/>
  <c r="M48" i="19"/>
  <c r="L48" i="19"/>
  <c r="K48" i="19"/>
  <c r="J48" i="19"/>
  <c r="I48" i="19"/>
  <c r="H48" i="19"/>
  <c r="O47" i="19"/>
  <c r="N47" i="19" l="1"/>
  <c r="M47" i="19" l="1"/>
  <c r="L47" i="19" l="1"/>
  <c r="K47" i="19" l="1"/>
  <c r="J47" i="19"/>
  <c r="I47" i="19"/>
  <c r="H47" i="19"/>
  <c r="F49" i="19" l="1"/>
  <c r="F48" i="19"/>
  <c r="C60" i="19" l="1"/>
  <c r="G47" i="19" l="1"/>
  <c r="F47" i="19"/>
  <c r="E47" i="19" l="1"/>
  <c r="C47" i="19" s="1"/>
  <c r="K46" i="19"/>
  <c r="K45" i="19"/>
  <c r="K44" i="19"/>
  <c r="K41" i="19"/>
  <c r="K40" i="19"/>
  <c r="K39" i="19"/>
  <c r="K38" i="19"/>
  <c r="K37" i="19"/>
  <c r="K36" i="19"/>
  <c r="K35" i="19"/>
  <c r="K34" i="19"/>
  <c r="K33" i="19"/>
  <c r="K32" i="19"/>
  <c r="K31" i="19"/>
  <c r="K30" i="19"/>
  <c r="K29" i="19"/>
  <c r="K28" i="19"/>
  <c r="K27" i="19"/>
  <c r="K26" i="19"/>
  <c r="K25" i="19"/>
  <c r="K24" i="19"/>
  <c r="K23" i="19"/>
  <c r="K22" i="19"/>
  <c r="K21" i="19"/>
  <c r="K20" i="19"/>
  <c r="K19" i="19"/>
  <c r="K18" i="19"/>
  <c r="K17" i="19"/>
  <c r="K16" i="19"/>
  <c r="K15" i="19"/>
  <c r="K14" i="19"/>
  <c r="K13" i="19"/>
  <c r="K12" i="19"/>
  <c r="K11" i="19"/>
  <c r="K10" i="19"/>
  <c r="K9" i="19"/>
  <c r="K8" i="19"/>
  <c r="K7" i="19"/>
  <c r="K6" i="19"/>
  <c r="K5" i="19"/>
  <c r="K4" i="19"/>
  <c r="K3" i="19"/>
  <c r="E39" i="1"/>
  <c r="F39" i="1" s="1"/>
  <c r="C5" i="10"/>
  <c r="B5" i="10"/>
  <c r="B30" i="64"/>
  <c r="Q43" i="19"/>
  <c r="R43" i="19"/>
  <c r="Q44" i="19"/>
  <c r="R52" i="19"/>
  <c r="R51" i="19"/>
  <c r="R46" i="19"/>
  <c r="R45" i="19"/>
  <c r="R44" i="19"/>
  <c r="Q51" i="19"/>
  <c r="Q46" i="19"/>
  <c r="Q45" i="19"/>
  <c r="B46" i="64" l="1"/>
  <c r="CY2" i="64"/>
  <c r="DG2" i="64"/>
  <c r="DF2" i="64"/>
  <c r="DE2" i="64"/>
  <c r="B63" i="64"/>
  <c r="DJ2" i="64" s="1"/>
  <c r="B62" i="64"/>
  <c r="DI2" i="64" s="1"/>
  <c r="B61" i="64"/>
  <c r="DH2" i="64" s="1"/>
  <c r="D20" i="1"/>
  <c r="B139" i="64"/>
  <c r="DA2" i="64" s="1"/>
  <c r="CZ2" i="64"/>
  <c r="B140" i="64"/>
  <c r="DB2" i="64" s="1"/>
  <c r="T2" i="64"/>
  <c r="CX2" i="64"/>
  <c r="CW2" i="64"/>
  <c r="CV2" i="64"/>
  <c r="CU2" i="64"/>
  <c r="CT2" i="64"/>
  <c r="CS2" i="64"/>
  <c r="CR2" i="64"/>
  <c r="C52" i="19"/>
  <c r="G43" i="19"/>
  <c r="I46" i="19"/>
  <c r="I45" i="19"/>
  <c r="I44" i="19"/>
  <c r="J46" i="19"/>
  <c r="J45" i="19"/>
  <c r="J44" i="19"/>
  <c r="J42" i="19"/>
  <c r="J41" i="19"/>
  <c r="J40" i="19"/>
  <c r="J39" i="19"/>
  <c r="J38" i="19"/>
  <c r="J37" i="19"/>
  <c r="J36" i="19"/>
  <c r="J35" i="19"/>
  <c r="J34" i="19"/>
  <c r="J33" i="19"/>
  <c r="J32" i="19"/>
  <c r="J31" i="19"/>
  <c r="J30" i="19"/>
  <c r="J29" i="19"/>
  <c r="J28" i="19"/>
  <c r="J27" i="19"/>
  <c r="J26" i="19"/>
  <c r="J25" i="19"/>
  <c r="J24" i="19"/>
  <c r="J23" i="19"/>
  <c r="J22" i="19"/>
  <c r="J21" i="19"/>
  <c r="J20" i="19"/>
  <c r="J19" i="19"/>
  <c r="J18" i="19"/>
  <c r="J17" i="19"/>
  <c r="J16" i="19"/>
  <c r="J15" i="19"/>
  <c r="J14" i="19"/>
  <c r="J13" i="19"/>
  <c r="J12" i="19"/>
  <c r="J11" i="19"/>
  <c r="J10" i="19"/>
  <c r="J9" i="19"/>
  <c r="J8" i="19"/>
  <c r="J7" i="19"/>
  <c r="J6" i="19"/>
  <c r="J5" i="19"/>
  <c r="J4" i="19"/>
  <c r="J3" i="19"/>
  <c r="F46" i="19"/>
  <c r="F45" i="19"/>
  <c r="F44" i="19"/>
  <c r="F43" i="19"/>
  <c r="B141" i="64" l="1"/>
  <c r="DC2" i="64" s="1"/>
  <c r="BU2" i="64"/>
  <c r="BT2" i="64"/>
  <c r="BS2" i="64"/>
  <c r="BR2" i="64"/>
  <c r="BQ2" i="64"/>
  <c r="BP2" i="64"/>
  <c r="B111" i="64"/>
  <c r="BB2" i="64" s="1"/>
  <c r="B110" i="64"/>
  <c r="BA2" i="64" s="1"/>
  <c r="BC2" i="64"/>
  <c r="CG2" i="64"/>
  <c r="B34" i="64"/>
  <c r="K2" i="64" s="1"/>
  <c r="J2" i="64"/>
  <c r="B35" i="64"/>
  <c r="D2" i="64"/>
  <c r="E2" i="64"/>
  <c r="BV2" i="64"/>
  <c r="V2" i="64"/>
  <c r="U2" i="64"/>
  <c r="CF2" i="64"/>
  <c r="Y2" i="64" l="1"/>
  <c r="B73" i="64"/>
  <c r="W2" i="64" s="1"/>
  <c r="B71" i="64"/>
  <c r="BX2" i="64" s="1"/>
  <c r="B66" i="64"/>
  <c r="B67" i="64" s="1"/>
  <c r="AM2" i="64" s="1"/>
  <c r="B51" i="64"/>
  <c r="B106" i="64"/>
  <c r="B27" i="64"/>
  <c r="BN2" i="64" s="1"/>
  <c r="F8" i="6"/>
  <c r="F7" i="6"/>
  <c r="F6" i="6"/>
  <c r="G6" i="6" s="1"/>
  <c r="H6" i="6" s="1"/>
  <c r="F5" i="6"/>
  <c r="G5" i="6" s="1"/>
  <c r="F4" i="6"/>
  <c r="G4" i="6" s="1"/>
  <c r="I43" i="19"/>
  <c r="H43" i="19"/>
  <c r="J43" i="19"/>
  <c r="K43" i="19"/>
  <c r="E44" i="19"/>
  <c r="F17" i="1"/>
  <c r="E17" i="1"/>
  <c r="D17" i="1"/>
  <c r="AG2" i="64"/>
  <c r="AF2" i="64"/>
  <c r="B101" i="64"/>
  <c r="Z2" i="64" s="1"/>
  <c r="F2" i="64"/>
  <c r="AO2" i="64"/>
  <c r="H5" i="6" l="1"/>
  <c r="B108" i="64"/>
  <c r="B107" i="64"/>
  <c r="BD2" i="64" s="1"/>
  <c r="H4" i="6"/>
  <c r="G7" i="6"/>
  <c r="H7" i="6" s="1"/>
  <c r="G8" i="6"/>
  <c r="H8" i="6" s="1"/>
  <c r="B115" i="64"/>
  <c r="AZ2" i="64" s="1"/>
  <c r="CP2" i="64"/>
  <c r="CO2" i="64"/>
  <c r="AE2" i="64"/>
  <c r="AD2" i="64"/>
  <c r="AC2" i="64"/>
  <c r="AB2" i="64"/>
  <c r="AK2" i="64"/>
  <c r="AJ2" i="64"/>
  <c r="AP2" i="64"/>
  <c r="M2" i="64"/>
  <c r="L2" i="64"/>
  <c r="I2" i="64"/>
  <c r="BW2" i="64"/>
  <c r="AN2" i="64"/>
  <c r="CN2" i="64"/>
  <c r="G5" i="64"/>
  <c r="CA2" i="64"/>
  <c r="G2" i="64"/>
  <c r="BZ2" i="64"/>
  <c r="DD2" i="64"/>
  <c r="B47" i="64"/>
  <c r="CC2" i="64" s="1"/>
  <c r="O2" i="64"/>
  <c r="B48" i="64"/>
  <c r="R2" i="64" s="1"/>
  <c r="S7" i="57"/>
  <c r="S8" i="57" s="1"/>
  <c r="S9" i="57" s="1"/>
  <c r="S10" i="57" s="1"/>
  <c r="S11" i="57" s="1"/>
  <c r="S12" i="57" s="1"/>
  <c r="S13" i="57" s="1"/>
  <c r="S14" i="57" s="1"/>
  <c r="S15" i="57" s="1"/>
  <c r="S16" i="57" s="1"/>
  <c r="S17" i="57" s="1"/>
  <c r="S18" i="57" s="1"/>
  <c r="S19" i="57" s="1"/>
  <c r="S20" i="57" s="1"/>
  <c r="S21" i="57" s="1"/>
  <c r="S22" i="57" s="1"/>
  <c r="S23" i="57" s="1"/>
  <c r="C3" i="63"/>
  <c r="AC6" i="63" s="1"/>
  <c r="C2" i="63"/>
  <c r="BJ2" i="64"/>
  <c r="B22" i="64"/>
  <c r="AT2" i="64" s="1"/>
  <c r="B21" i="64"/>
  <c r="AR2" i="64" s="1"/>
  <c r="B23" i="64"/>
  <c r="AU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S2" i="64"/>
  <c r="B18" i="64"/>
  <c r="CK2" i="64" s="1"/>
  <c r="AY2" i="64"/>
  <c r="CQ2" i="64"/>
  <c r="CM2" i="64"/>
  <c r="AS2" i="64"/>
  <c r="CI2" i="64"/>
  <c r="AL2" i="64"/>
  <c r="N2" i="64"/>
  <c r="B100" i="64"/>
  <c r="AA2" i="64" s="1"/>
  <c r="B76" i="64"/>
  <c r="BH2" i="64" s="1"/>
  <c r="B52" i="64" l="1"/>
  <c r="X2" i="64" s="1"/>
  <c r="AB6" i="63"/>
  <c r="AA9" i="63" s="1"/>
  <c r="Y9" i="63" s="1"/>
  <c r="B109" i="64"/>
  <c r="BF2" i="64" s="1"/>
  <c r="BE2" i="64"/>
  <c r="BO2" i="64"/>
  <c r="AA8" i="63"/>
  <c r="Y8" i="63" s="1"/>
  <c r="AD6" i="63"/>
  <c r="Z506" i="63"/>
  <c r="Z499" i="63"/>
  <c r="AM515" i="63"/>
  <c r="Z9" i="63"/>
  <c r="B15" i="64" s="1"/>
  <c r="B19" i="64"/>
  <c r="CJ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Z534" i="63"/>
  <c r="AM542" i="63"/>
  <c r="AM513" i="63"/>
  <c r="AM537" i="63"/>
  <c r="AM495" i="63"/>
  <c r="Z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I2" i="64"/>
  <c r="B75" i="64"/>
  <c r="B96" i="64" s="1"/>
  <c r="H2" i="64"/>
  <c r="Z518" i="63" l="1"/>
  <c r="Z15" i="63"/>
  <c r="Z498" i="63"/>
  <c r="Z514" i="63"/>
  <c r="Z536" i="63"/>
  <c r="Z507" i="63"/>
  <c r="Z517" i="63"/>
  <c r="Z504" i="63"/>
  <c r="Z524" i="63"/>
  <c r="Z492" i="63"/>
  <c r="Z542" i="63"/>
  <c r="Z502" i="63"/>
  <c r="Z512" i="63"/>
  <c r="Z493" i="63"/>
  <c r="Z491" i="63"/>
  <c r="Z510" i="63"/>
  <c r="Z531" i="63"/>
  <c r="Z538" i="63"/>
  <c r="Z494" i="63"/>
  <c r="Z526" i="63"/>
  <c r="Z520" i="63"/>
  <c r="Z496" i="63"/>
  <c r="Z541" i="63"/>
  <c r="Z516" i="63"/>
  <c r="Z537" i="63"/>
  <c r="Z530" i="63"/>
  <c r="Z525" i="63"/>
  <c r="Z508" i="63"/>
  <c r="Z521" i="63"/>
  <c r="Z513" i="63"/>
  <c r="Z528" i="63"/>
  <c r="Y12" i="63"/>
  <c r="Z509" i="63"/>
  <c r="Z539" i="63"/>
  <c r="Z497" i="63"/>
  <c r="Z505" i="63"/>
  <c r="Z532" i="63"/>
  <c r="Z523" i="63"/>
  <c r="Z535" i="63"/>
  <c r="B53" i="64"/>
  <c r="AH2" i="64" s="1"/>
  <c r="Z501" i="63"/>
  <c r="Z500" i="63"/>
  <c r="Z522" i="63"/>
  <c r="Z503" i="63"/>
  <c r="Z543" i="63"/>
  <c r="Z533" i="63"/>
  <c r="Z540" i="63"/>
  <c r="Z515" i="63"/>
  <c r="Z529" i="63"/>
  <c r="Z511" i="63"/>
  <c r="Z527" i="63"/>
  <c r="Z519" i="63"/>
  <c r="AE15" i="63"/>
  <c r="AF15" i="63" s="1"/>
  <c r="CL2" i="64"/>
  <c r="BG2" i="64"/>
  <c r="U6" i="57"/>
  <c r="U5" i="57"/>
  <c r="T7" i="57" l="1"/>
  <c r="U7" i="57" s="1"/>
  <c r="G14" i="1"/>
  <c r="E8" i="3"/>
  <c r="F8" i="3" s="1"/>
  <c r="G8" i="3" s="1"/>
  <c r="F19" i="3"/>
  <c r="F18" i="3"/>
  <c r="F17" i="3"/>
  <c r="F16" i="3"/>
  <c r="F15" i="3"/>
  <c r="F14" i="3"/>
  <c r="F13" i="3"/>
  <c r="F12" i="3"/>
  <c r="F11" i="3"/>
  <c r="F10" i="3"/>
  <c r="F9" i="3"/>
  <c r="J1" i="35"/>
  <c r="K1" i="18"/>
  <c r="K1" i="3"/>
  <c r="M1" i="4"/>
  <c r="L2" i="6"/>
  <c r="L2" i="20"/>
  <c r="L5" i="22"/>
  <c r="K4" i="15"/>
  <c r="I3" i="21"/>
  <c r="F13" i="21" s="1"/>
  <c r="A9" i="1"/>
  <c r="B5" i="1"/>
  <c r="O2" i="63"/>
  <c r="B7" i="1" s="1"/>
  <c r="Q6" i="63"/>
  <c r="I9" i="6" l="1"/>
  <c r="T8" i="57"/>
  <c r="U8" i="57" s="1"/>
  <c r="P6" i="63"/>
  <c r="R6" i="63"/>
  <c r="T9" i="57" l="1"/>
  <c r="U9" i="57" s="1"/>
  <c r="H52" i="1"/>
  <c r="F11" i="1"/>
  <c r="U51" i="19"/>
  <c r="T51" i="19"/>
  <c r="S51" i="19"/>
  <c r="B59" i="19"/>
  <c r="T10" i="57" l="1"/>
  <c r="U10" i="57" s="1"/>
  <c r="T11" i="57" l="1"/>
  <c r="U11" i="57" s="1"/>
  <c r="T12" i="57" l="1"/>
  <c r="U12" i="57" s="1"/>
  <c r="N46" i="19"/>
  <c r="N45" i="19"/>
  <c r="N44" i="19"/>
  <c r="N41" i="19"/>
  <c r="N40" i="19"/>
  <c r="N39" i="19"/>
  <c r="N38" i="19"/>
  <c r="N37" i="19"/>
  <c r="N36" i="19"/>
  <c r="N35" i="19"/>
  <c r="N34" i="19"/>
  <c r="N33" i="19"/>
  <c r="N32"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6" i="19"/>
  <c r="N5" i="19"/>
  <c r="N4" i="19"/>
  <c r="N3" i="19"/>
  <c r="M46" i="19"/>
  <c r="M45" i="19"/>
  <c r="M44" i="19"/>
  <c r="M41" i="19"/>
  <c r="M40" i="19"/>
  <c r="M39" i="19"/>
  <c r="M38" i="19"/>
  <c r="M37" i="19"/>
  <c r="M36" i="19"/>
  <c r="M35" i="19"/>
  <c r="M34" i="19"/>
  <c r="M33" i="19"/>
  <c r="M32" i="19"/>
  <c r="M31" i="19"/>
  <c r="M30" i="19"/>
  <c r="M29" i="19"/>
  <c r="M28" i="19"/>
  <c r="M27" i="19"/>
  <c r="M26" i="19"/>
  <c r="M25" i="19"/>
  <c r="M24" i="19"/>
  <c r="M23" i="19"/>
  <c r="M22" i="19"/>
  <c r="M21" i="19"/>
  <c r="M20" i="19"/>
  <c r="M19" i="19"/>
  <c r="M18" i="19"/>
  <c r="M17" i="19"/>
  <c r="M16" i="19"/>
  <c r="M15" i="19"/>
  <c r="M14" i="19"/>
  <c r="M13" i="19"/>
  <c r="M12" i="19"/>
  <c r="M11" i="19"/>
  <c r="M10" i="19"/>
  <c r="M9" i="19"/>
  <c r="M8" i="19"/>
  <c r="M7" i="19"/>
  <c r="M6" i="19"/>
  <c r="M5" i="19"/>
  <c r="M4" i="19"/>
  <c r="M3" i="19"/>
  <c r="L46" i="19"/>
  <c r="L45" i="19"/>
  <c r="L44"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7" i="19"/>
  <c r="L6" i="19"/>
  <c r="L5" i="19"/>
  <c r="L4" i="19"/>
  <c r="L3" i="19"/>
  <c r="O46" i="19"/>
  <c r="O45" i="19"/>
  <c r="O44" i="19"/>
  <c r="O41" i="19"/>
  <c r="O40" i="19"/>
  <c r="O39" i="19"/>
  <c r="O38"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T13" i="57" l="1"/>
  <c r="U13" i="57" s="1"/>
  <c r="D14" i="1"/>
  <c r="I52" i="33"/>
  <c r="B37" i="33"/>
  <c r="C37" i="33" s="1"/>
  <c r="B24" i="33"/>
  <c r="O15" i="1"/>
  <c r="O12" i="1"/>
  <c r="O11" i="1"/>
  <c r="F5" i="58"/>
  <c r="F12" i="58"/>
  <c r="F11" i="58"/>
  <c r="F10" i="58"/>
  <c r="F9" i="58"/>
  <c r="J2" i="58"/>
  <c r="G8" i="58" s="1"/>
  <c r="T14" i="57" l="1"/>
  <c r="U14" i="57" s="1"/>
  <c r="D6" i="57"/>
  <c r="E19" i="1"/>
  <c r="O16" i="1" s="1"/>
  <c r="D19" i="1"/>
  <c r="E7" i="35"/>
  <c r="F7" i="35" s="1"/>
  <c r="E6" i="35"/>
  <c r="F6" i="35" s="1"/>
  <c r="E5" i="35"/>
  <c r="F5" i="35" s="1"/>
  <c r="E4" i="35"/>
  <c r="F4" i="35" s="1"/>
  <c r="G8" i="35"/>
  <c r="G4" i="18"/>
  <c r="H5" i="18" s="1"/>
  <c r="I41" i="4"/>
  <c r="J41" i="4" s="1"/>
  <c r="I40" i="4"/>
  <c r="J40" i="4" s="1"/>
  <c r="I39" i="4"/>
  <c r="J39" i="4" s="1"/>
  <c r="I38" i="4"/>
  <c r="J38" i="4" s="1"/>
  <c r="I37" i="4"/>
  <c r="J37" i="4" s="1"/>
  <c r="I34" i="4"/>
  <c r="J34" i="4" s="1"/>
  <c r="I33" i="4"/>
  <c r="J33" i="4" s="1"/>
  <c r="I31" i="4"/>
  <c r="J31" i="4" s="1"/>
  <c r="I30" i="4"/>
  <c r="J30" i="4" s="1"/>
  <c r="I28" i="4"/>
  <c r="J28" i="4" s="1"/>
  <c r="I27" i="4"/>
  <c r="J27" i="4" s="1"/>
  <c r="I25" i="4"/>
  <c r="J25" i="4" s="1"/>
  <c r="I22" i="4"/>
  <c r="J22" i="4" s="1"/>
  <c r="I18" i="4"/>
  <c r="J18" i="4" s="1"/>
  <c r="I17" i="4"/>
  <c r="J17" i="4" s="1"/>
  <c r="I16" i="4"/>
  <c r="J16" i="4" s="1"/>
  <c r="I15" i="4"/>
  <c r="J15" i="4" s="1"/>
  <c r="I12" i="4"/>
  <c r="J12" i="4" s="1"/>
  <c r="I21" i="4"/>
  <c r="G7" i="4"/>
  <c r="I7" i="4" s="1"/>
  <c r="H6" i="4"/>
  <c r="A12" i="57" l="1"/>
  <c r="B10" i="57"/>
  <c r="G7" i="57"/>
  <c r="E6" i="57"/>
  <c r="D7" i="57"/>
  <c r="D8" i="57" s="1"/>
  <c r="D11" i="57" s="1"/>
  <c r="D12" i="57" s="1"/>
  <c r="D13" i="57" s="1"/>
  <c r="D16" i="57" s="1"/>
  <c r="D17" i="57" s="1"/>
  <c r="D18" i="57" s="1"/>
  <c r="D19" i="57" s="1"/>
  <c r="D20" i="57" s="1"/>
  <c r="D21" i="57" s="1"/>
  <c r="D22" i="57" s="1"/>
  <c r="D23" i="57" s="1"/>
  <c r="T15" i="57"/>
  <c r="U15" i="57" s="1"/>
  <c r="G8" i="57" l="1"/>
  <c r="G9" i="57" s="1"/>
  <c r="H7" i="57"/>
  <c r="H8" i="57" s="1"/>
  <c r="A13" i="57"/>
  <c r="A14" i="57" s="1"/>
  <c r="A15" i="57" s="1"/>
  <c r="A16" i="57" s="1"/>
  <c r="A17" i="57" s="1"/>
  <c r="A18" i="57" s="1"/>
  <c r="A19" i="57" s="1"/>
  <c r="A20" i="57" s="1"/>
  <c r="A21" i="57" s="1"/>
  <c r="A22" i="57" s="1"/>
  <c r="A23" i="57" s="1"/>
  <c r="E7" i="57"/>
  <c r="E8" i="57" s="1"/>
  <c r="E11" i="57" s="1"/>
  <c r="E12" i="57" s="1"/>
  <c r="E13" i="57" s="1"/>
  <c r="J6" i="57"/>
  <c r="T16" i="57"/>
  <c r="U16" i="57" s="1"/>
  <c r="E3" i="4"/>
  <c r="G9" i="22"/>
  <c r="H9" i="22" s="1"/>
  <c r="H8" i="22"/>
  <c r="G7" i="22"/>
  <c r="H7" i="22" s="1"/>
  <c r="G6" i="22"/>
  <c r="H6" i="22" s="1"/>
  <c r="G5" i="22"/>
  <c r="H5" i="22" s="1"/>
  <c r="F7" i="15"/>
  <c r="G7" i="15" s="1"/>
  <c r="F6" i="15"/>
  <c r="G6" i="15" s="1"/>
  <c r="F5" i="15"/>
  <c r="G5" i="15" s="1"/>
  <c r="E14" i="57" l="1"/>
  <c r="E15" i="57" s="1"/>
  <c r="E16" i="57" s="1"/>
  <c r="E17" i="57" s="1"/>
  <c r="E18" i="57" s="1"/>
  <c r="E19" i="57" s="1"/>
  <c r="E20" i="57" s="1"/>
  <c r="E21" i="57" s="1"/>
  <c r="E22" i="57" s="1"/>
  <c r="E23" i="57" s="1"/>
  <c r="B13" i="57"/>
  <c r="B14" i="57" s="1"/>
  <c r="B15" i="57" s="1"/>
  <c r="B16" i="57" s="1"/>
  <c r="B17" i="57" s="1"/>
  <c r="B18" i="57" s="1"/>
  <c r="B19" i="57" s="1"/>
  <c r="B20" i="57" s="1"/>
  <c r="B21" i="57" s="1"/>
  <c r="B22" i="57" s="1"/>
  <c r="B23" i="57" s="1"/>
  <c r="G10" i="57"/>
  <c r="H9" i="57"/>
  <c r="G4" i="4"/>
  <c r="I4" i="4" s="1"/>
  <c r="J4" i="4" s="1"/>
  <c r="G6" i="4"/>
  <c r="I6" i="4" s="1"/>
  <c r="J6" i="4" s="1"/>
  <c r="G5" i="4"/>
  <c r="I5" i="4" s="1"/>
  <c r="J5" i="4" s="1"/>
  <c r="H8" i="15"/>
  <c r="J7" i="57"/>
  <c r="K6" i="57"/>
  <c r="P5" i="57"/>
  <c r="P6" i="57" s="1"/>
  <c r="M7" i="57"/>
  <c r="M10" i="57" s="1"/>
  <c r="M13" i="57" s="1"/>
  <c r="M14" i="57" s="1"/>
  <c r="M15" i="57" s="1"/>
  <c r="M16" i="57" s="1"/>
  <c r="M17" i="57" s="1"/>
  <c r="M18" i="57" s="1"/>
  <c r="M19" i="57" s="1"/>
  <c r="M20" i="57" s="1"/>
  <c r="M21" i="57" s="1"/>
  <c r="M22" i="57" s="1"/>
  <c r="M23" i="57" s="1"/>
  <c r="T17" i="57"/>
  <c r="U17" i="57" s="1"/>
  <c r="F19" i="21"/>
  <c r="I8" i="4"/>
  <c r="J7" i="4"/>
  <c r="E8" i="4"/>
  <c r="I10" i="22"/>
  <c r="F15" i="21"/>
  <c r="F8" i="21"/>
  <c r="F16" i="21"/>
  <c r="F14" i="21"/>
  <c r="F9" i="21"/>
  <c r="F17" i="21"/>
  <c r="F7" i="21"/>
  <c r="F10" i="21"/>
  <c r="F18" i="21"/>
  <c r="F5" i="21"/>
  <c r="F11" i="21"/>
  <c r="F4" i="21"/>
  <c r="F6" i="21"/>
  <c r="F3" i="21"/>
  <c r="G11" i="57" l="1"/>
  <c r="H10" i="57"/>
  <c r="P7" i="57"/>
  <c r="Q6" i="57"/>
  <c r="J8" i="57"/>
  <c r="K7" i="57"/>
  <c r="T18" i="57"/>
  <c r="U18" i="57" s="1"/>
  <c r="G5" i="21"/>
  <c r="K9" i="4"/>
  <c r="G13" i="57" l="1"/>
  <c r="G14" i="57" s="1"/>
  <c r="G15" i="57" s="1"/>
  <c r="G16" i="57" s="1"/>
  <c r="H11" i="57"/>
  <c r="H12" i="57" s="1"/>
  <c r="H13" i="57" s="1"/>
  <c r="H14" i="57" s="1"/>
  <c r="H15" i="57" s="1"/>
  <c r="J9" i="57"/>
  <c r="J10" i="57" s="1"/>
  <c r="J11" i="57" s="1"/>
  <c r="J12" i="57" s="1"/>
  <c r="J13" i="57" s="1"/>
  <c r="J14" i="57" s="1"/>
  <c r="J15" i="57" s="1"/>
  <c r="J16" i="57" s="1"/>
  <c r="J17" i="57" s="1"/>
  <c r="J18" i="57" s="1"/>
  <c r="J19" i="57" s="1"/>
  <c r="J20" i="57" s="1"/>
  <c r="J21" i="57" s="1"/>
  <c r="J22" i="57" s="1"/>
  <c r="J23" i="57" s="1"/>
  <c r="K8" i="57"/>
  <c r="P8" i="57"/>
  <c r="Q7" i="57"/>
  <c r="T19" i="57"/>
  <c r="U19" i="57" s="1"/>
  <c r="F42" i="1"/>
  <c r="F16" i="1"/>
  <c r="E15" i="1"/>
  <c r="D15" i="1"/>
  <c r="Q3" i="63"/>
  <c r="R3" i="63" s="1"/>
  <c r="B1" i="1"/>
  <c r="C1" i="1"/>
  <c r="D1" i="1"/>
  <c r="G17" i="57" l="1"/>
  <c r="H16" i="57"/>
  <c r="P9" i="57"/>
  <c r="Q8" i="57"/>
  <c r="T20" i="57"/>
  <c r="U20" i="57" s="1"/>
  <c r="C22" i="1"/>
  <c r="H22" i="1" s="1"/>
  <c r="G8" i="1"/>
  <c r="F22" i="1"/>
  <c r="B54" i="1"/>
  <c r="G18" i="57" l="1"/>
  <c r="H17" i="57"/>
  <c r="P10" i="57"/>
  <c r="Q9" i="57"/>
  <c r="T21" i="57"/>
  <c r="U21" i="57" s="1"/>
  <c r="O3" i="63"/>
  <c r="O6" i="63"/>
  <c r="G19" i="57" l="1"/>
  <c r="H18" i="57"/>
  <c r="P4" i="63"/>
  <c r="P5" i="63" s="1"/>
  <c r="AB4" i="63"/>
  <c r="AA4" i="63" s="1"/>
  <c r="P11" i="57"/>
  <c r="Q10" i="57"/>
  <c r="B54" i="64"/>
  <c r="AI2" i="64" s="1"/>
  <c r="N12" i="63"/>
  <c r="AC4" i="63"/>
  <c r="AD4" i="63"/>
  <c r="B6" i="1"/>
  <c r="C39" i="1" s="1"/>
  <c r="T22" i="57"/>
  <c r="U22" i="57" s="1"/>
  <c r="R4" i="63"/>
  <c r="R5" i="63" s="1"/>
  <c r="Q4" i="63"/>
  <c r="Q5" i="63" s="1"/>
  <c r="E69" i="19"/>
  <c r="E75" i="1"/>
  <c r="G76" i="1"/>
  <c r="D76" i="1"/>
  <c r="B19" i="1"/>
  <c r="G20" i="57" l="1"/>
  <c r="H19" i="57"/>
  <c r="O4" i="63"/>
  <c r="C7" i="1"/>
  <c r="E7" i="1" s="1"/>
  <c r="E10" i="1" s="1"/>
  <c r="B11" i="64"/>
  <c r="BY2" i="64" s="1"/>
  <c r="P12" i="57"/>
  <c r="Q11" i="57"/>
  <c r="G6" i="1"/>
  <c r="T23" i="57"/>
  <c r="U23" i="57" s="1"/>
  <c r="U25" i="57" s="1"/>
  <c r="O5" i="63"/>
  <c r="F19" i="1"/>
  <c r="G21" i="57" l="1"/>
  <c r="H20" i="57"/>
  <c r="P13" i="57"/>
  <c r="Q12" i="57"/>
  <c r="V15" i="63"/>
  <c r="O15" i="63"/>
  <c r="P7" i="63"/>
  <c r="B15" i="63"/>
  <c r="E15" i="63" s="1"/>
  <c r="J15" i="63" s="1"/>
  <c r="D4" i="63"/>
  <c r="C5" i="63" s="1"/>
  <c r="C15" i="63" s="1"/>
  <c r="G22" i="57" l="1"/>
  <c r="H21" i="57"/>
  <c r="P14" i="57"/>
  <c r="Q13" i="57"/>
  <c r="AN15" i="63"/>
  <c r="AP15" i="63"/>
  <c r="R15" i="63"/>
  <c r="P15" i="63"/>
  <c r="AI15" i="63" s="1"/>
  <c r="Q52" i="19"/>
  <c r="G23" i="57" l="1"/>
  <c r="H23" i="57" s="1"/>
  <c r="H22" i="57"/>
  <c r="P15" i="57"/>
  <c r="Q14" i="57"/>
  <c r="S15" i="63"/>
  <c r="T15" i="63" s="1"/>
  <c r="D15" i="63"/>
  <c r="K15" i="63" s="1"/>
  <c r="I15" i="63"/>
  <c r="AS15" i="63"/>
  <c r="AT15" i="63" s="1"/>
  <c r="U15" i="63"/>
  <c r="P16" i="57" l="1"/>
  <c r="Q15" i="57"/>
  <c r="C16" i="63"/>
  <c r="B16" i="63"/>
  <c r="E16" i="63" s="1"/>
  <c r="J16" i="63" s="1"/>
  <c r="P17" i="57" l="1"/>
  <c r="Q16" i="57"/>
  <c r="D16" i="63"/>
  <c r="I16" i="63" s="1"/>
  <c r="P18" i="57" l="1"/>
  <c r="Q17" i="57"/>
  <c r="K16" i="63"/>
  <c r="C17" i="63" s="1"/>
  <c r="P19" i="57" l="1"/>
  <c r="Q18" i="57"/>
  <c r="B17" i="63"/>
  <c r="E17" i="63" s="1"/>
  <c r="D17" i="63" s="1"/>
  <c r="A16" i="63"/>
  <c r="P20" i="57" l="1"/>
  <c r="Q19" i="57"/>
  <c r="AA16" i="63"/>
  <c r="X16" i="63"/>
  <c r="AC16" i="63"/>
  <c r="O16" i="63"/>
  <c r="J17" i="63"/>
  <c r="Q16" i="63"/>
  <c r="V16" i="63" s="1"/>
  <c r="I17" i="63"/>
  <c r="K17" i="63"/>
  <c r="C18" i="63" s="1"/>
  <c r="P21" i="57" l="1"/>
  <c r="Q20" i="57"/>
  <c r="AN16" i="63"/>
  <c r="AS16" i="63" s="1"/>
  <c r="AP16" i="63"/>
  <c r="AI16" i="63"/>
  <c r="AB16" i="63"/>
  <c r="R16" i="63"/>
  <c r="K9" i="57"/>
  <c r="K10" i="57" s="1"/>
  <c r="K11" i="57" s="1"/>
  <c r="K12" i="57" s="1"/>
  <c r="K13" i="57" s="1"/>
  <c r="K14" i="57" s="1"/>
  <c r="K15" i="57" s="1"/>
  <c r="K16" i="57" s="1"/>
  <c r="K17" i="57" s="1"/>
  <c r="K18" i="57" s="1"/>
  <c r="K19" i="57" s="1"/>
  <c r="K20" i="57" s="1"/>
  <c r="K21" i="57" s="1"/>
  <c r="K22" i="57" s="1"/>
  <c r="K23" i="57" s="1"/>
  <c r="P16" i="63"/>
  <c r="S16" i="63" s="1"/>
  <c r="B18" i="63"/>
  <c r="E18" i="63" s="1"/>
  <c r="A17" i="63"/>
  <c r="P22" i="57" l="1"/>
  <c r="Q21" i="57"/>
  <c r="AA17" i="63"/>
  <c r="X17" i="63"/>
  <c r="T16" i="63"/>
  <c r="AC17" i="63"/>
  <c r="U16" i="63"/>
  <c r="D18" i="63"/>
  <c r="J18" i="63"/>
  <c r="P23" i="57" l="1"/>
  <c r="Q23" i="57" s="1"/>
  <c r="Q22" i="57"/>
  <c r="AB17" i="63"/>
  <c r="I18" i="63"/>
  <c r="K18" i="63"/>
  <c r="C19" i="63" s="1"/>
  <c r="B19" i="63" l="1"/>
  <c r="E19" i="63" s="1"/>
  <c r="A18" i="63"/>
  <c r="AA18" i="63" l="1"/>
  <c r="X18" i="63"/>
  <c r="AC18" i="63"/>
  <c r="J19" i="63"/>
  <c r="D19" i="63"/>
  <c r="AB18" i="63" l="1"/>
  <c r="I19" i="63"/>
  <c r="K19" i="63"/>
  <c r="C20" i="63" s="1"/>
  <c r="N13" i="57" l="1"/>
  <c r="B20" i="63"/>
  <c r="E20" i="63" s="1"/>
  <c r="A19" i="63"/>
  <c r="R25" i="57"/>
  <c r="AA19" i="63" l="1"/>
  <c r="X19" i="63"/>
  <c r="AC19" i="63"/>
  <c r="N14" i="57"/>
  <c r="D20" i="63"/>
  <c r="J20" i="63"/>
  <c r="AB19" i="63" l="1"/>
  <c r="N15" i="57"/>
  <c r="I20" i="63"/>
  <c r="K20" i="63"/>
  <c r="C21" i="63" s="1"/>
  <c r="C25" i="57"/>
  <c r="E13" i="59"/>
  <c r="N16" i="57" l="1"/>
  <c r="B21" i="63"/>
  <c r="E21" i="63" s="1"/>
  <c r="A20" i="63"/>
  <c r="H13" i="59"/>
  <c r="AA20" i="63" l="1"/>
  <c r="X20" i="63"/>
  <c r="AC20" i="63"/>
  <c r="N17" i="57"/>
  <c r="D21" i="63"/>
  <c r="J21" i="63"/>
  <c r="A20" i="37"/>
  <c r="G20" i="37"/>
  <c r="H20" i="37" s="1"/>
  <c r="E3" i="59"/>
  <c r="C4" i="59"/>
  <c r="I48" i="4"/>
  <c r="I47" i="4"/>
  <c r="E20" i="16"/>
  <c r="D74" i="1"/>
  <c r="D72" i="1"/>
  <c r="D73" i="1" s="1"/>
  <c r="E72" i="1"/>
  <c r="E73" i="1" s="1"/>
  <c r="E74" i="1" s="1"/>
  <c r="F6" i="20"/>
  <c r="F37" i="6"/>
  <c r="F36" i="6"/>
  <c r="F35" i="6"/>
  <c r="F34" i="6"/>
  <c r="F33" i="6"/>
  <c r="F29" i="6"/>
  <c r="F28" i="6"/>
  <c r="F27" i="6"/>
  <c r="F26" i="6"/>
  <c r="F25" i="6"/>
  <c r="F24" i="6"/>
  <c r="F23" i="6"/>
  <c r="F22" i="6"/>
  <c r="F21" i="6"/>
  <c r="F20" i="6"/>
  <c r="F19" i="6"/>
  <c r="F18" i="6"/>
  <c r="F17" i="6"/>
  <c r="F16" i="6"/>
  <c r="F15" i="6"/>
  <c r="F14" i="6"/>
  <c r="F13" i="6"/>
  <c r="F11" i="6"/>
  <c r="F12" i="6"/>
  <c r="G19" i="3"/>
  <c r="G18" i="3"/>
  <c r="G17" i="3"/>
  <c r="G16" i="3"/>
  <c r="G15" i="3"/>
  <c r="G14" i="3"/>
  <c r="G13" i="3"/>
  <c r="G12" i="3"/>
  <c r="G11" i="3"/>
  <c r="G9" i="3"/>
  <c r="F28" i="15"/>
  <c r="G28" i="15" s="1"/>
  <c r="F27" i="15"/>
  <c r="F26" i="15"/>
  <c r="F25" i="15"/>
  <c r="G25" i="15" s="1"/>
  <c r="F24" i="15"/>
  <c r="G24" i="15" s="1"/>
  <c r="I14" i="4"/>
  <c r="J14" i="4" s="1"/>
  <c r="H13" i="4"/>
  <c r="I13" i="4" s="1"/>
  <c r="J13" i="4" s="1"/>
  <c r="I26" i="4"/>
  <c r="J26" i="4" s="1"/>
  <c r="I24" i="4"/>
  <c r="F17" i="58"/>
  <c r="F16" i="58"/>
  <c r="F15" i="58"/>
  <c r="F14" i="58"/>
  <c r="F13" i="58"/>
  <c r="E19" i="16"/>
  <c r="J24" i="4" l="1"/>
  <c r="AB20" i="63"/>
  <c r="G6" i="20"/>
  <c r="H39" i="1"/>
  <c r="N18" i="57"/>
  <c r="G24" i="58"/>
  <c r="I21" i="63"/>
  <c r="K21" i="63"/>
  <c r="C22" i="63" s="1"/>
  <c r="C13" i="59"/>
  <c r="I14" i="59"/>
  <c r="F14" i="59"/>
  <c r="C14" i="59"/>
  <c r="L3" i="59"/>
  <c r="M4" i="59" s="1"/>
  <c r="I13" i="59" s="1"/>
  <c r="H3" i="59"/>
  <c r="I4" i="59" s="1"/>
  <c r="F4" i="59"/>
  <c r="F13" i="59" s="1"/>
  <c r="D27" i="1"/>
  <c r="F67"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T52" i="19"/>
  <c r="T43" i="19"/>
  <c r="T46" i="19"/>
  <c r="U52" i="19"/>
  <c r="U43" i="19"/>
  <c r="V43" i="19"/>
  <c r="U44" i="19"/>
  <c r="S52" i="19"/>
  <c r="S46" i="19"/>
  <c r="S45" i="19"/>
  <c r="S44" i="19"/>
  <c r="T45" i="19"/>
  <c r="T44" i="19"/>
  <c r="U46" i="19"/>
  <c r="U45" i="19"/>
  <c r="J16" i="59" l="1"/>
  <c r="N19" i="57"/>
  <c r="B35" i="1"/>
  <c r="B22" i="63"/>
  <c r="E22" i="63" s="1"/>
  <c r="A21" i="63"/>
  <c r="G16" i="59"/>
  <c r="K14" i="59"/>
  <c r="D16" i="59"/>
  <c r="K13" i="59"/>
  <c r="N6" i="59"/>
  <c r="G16" i="37"/>
  <c r="H16" i="37" s="1"/>
  <c r="N16" i="37" s="1"/>
  <c r="C6" i="53"/>
  <c r="V51" i="19" s="1"/>
  <c r="C51" i="19" s="1"/>
  <c r="C12" i="53"/>
  <c r="C11" i="53"/>
  <c r="C10" i="53"/>
  <c r="C9" i="53"/>
  <c r="C5" i="53"/>
  <c r="V46" i="19" s="1"/>
  <c r="C4" i="53"/>
  <c r="V45" i="19" s="1"/>
  <c r="C3" i="53"/>
  <c r="V44" i="19" s="1"/>
  <c r="L43" i="19"/>
  <c r="M43" i="19"/>
  <c r="K17" i="59" l="1"/>
  <c r="AA21" i="63"/>
  <c r="X21" i="63"/>
  <c r="AC21" i="63"/>
  <c r="B34" i="1"/>
  <c r="N20" i="57"/>
  <c r="J22" i="63"/>
  <c r="D22" i="63"/>
  <c r="B29" i="1"/>
  <c r="H29" i="1" s="1"/>
  <c r="C8" i="53"/>
  <c r="V52" i="19" s="1"/>
  <c r="O4" i="37"/>
  <c r="M4" i="37" a="1"/>
  <c r="M4" i="37" s="1"/>
  <c r="E33" i="35"/>
  <c r="F33" i="35" s="1"/>
  <c r="E32" i="35"/>
  <c r="F32" i="35" s="1"/>
  <c r="E30" i="35"/>
  <c r="F30" i="35" s="1"/>
  <c r="E29" i="35"/>
  <c r="F29" i="35" s="1"/>
  <c r="F38" i="20"/>
  <c r="F37" i="20"/>
  <c r="G37" i="20" s="1"/>
  <c r="F36" i="20"/>
  <c r="G36" i="20" s="1"/>
  <c r="F35" i="20"/>
  <c r="G35" i="20" s="1"/>
  <c r="E18" i="16"/>
  <c r="F34" i="20"/>
  <c r="E17" i="16"/>
  <c r="E16" i="16"/>
  <c r="F33" i="20"/>
  <c r="G33" i="20" s="1"/>
  <c r="F32" i="20"/>
  <c r="F31" i="20"/>
  <c r="G31" i="20" s="1"/>
  <c r="F30" i="20"/>
  <c r="G30" i="20" s="1"/>
  <c r="G29" i="22"/>
  <c r="H29" i="22" s="1"/>
  <c r="G28" i="22"/>
  <c r="H28" i="22" s="1"/>
  <c r="G27" i="22"/>
  <c r="H27" i="22" s="1"/>
  <c r="G26" i="22"/>
  <c r="H26" i="22" s="1"/>
  <c r="G25" i="22"/>
  <c r="H25" i="22" s="1"/>
  <c r="G24" i="22"/>
  <c r="H24" i="22" s="1"/>
  <c r="G23" i="22"/>
  <c r="H23" i="22" s="1"/>
  <c r="G22" i="22"/>
  <c r="H22" i="22" s="1"/>
  <c r="G21" i="22"/>
  <c r="H21" i="22" s="1"/>
  <c r="G20" i="22"/>
  <c r="H20" i="22" s="1"/>
  <c r="G19" i="22"/>
  <c r="H19" i="22" s="1"/>
  <c r="G18" i="22"/>
  <c r="A4" i="37"/>
  <c r="N2" i="52"/>
  <c r="E15" i="16"/>
  <c r="E12" i="16"/>
  <c r="E11" i="16"/>
  <c r="E10" i="16"/>
  <c r="E9" i="16"/>
  <c r="E8" i="16"/>
  <c r="E7" i="16"/>
  <c r="E6" i="16"/>
  <c r="E5" i="16"/>
  <c r="E4" i="16"/>
  <c r="F15" i="13"/>
  <c r="F14" i="13"/>
  <c r="F13" i="13"/>
  <c r="F11" i="13"/>
  <c r="F10" i="13"/>
  <c r="F9" i="13"/>
  <c r="F8" i="13"/>
  <c r="F7" i="13"/>
  <c r="F6" i="13"/>
  <c r="C5" i="13"/>
  <c r="F5"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H29" i="4"/>
  <c r="I29" i="4" s="1"/>
  <c r="J29" i="4" s="1"/>
  <c r="H23" i="4"/>
  <c r="I23" i="4" s="1"/>
  <c r="E46" i="4"/>
  <c r="I46" i="4" s="1"/>
  <c r="K49" i="4" s="1"/>
  <c r="F48" i="6"/>
  <c r="G48" i="6" s="1"/>
  <c r="F47" i="6"/>
  <c r="G47" i="6" s="1"/>
  <c r="F46" i="6"/>
  <c r="G46" i="6" s="1"/>
  <c r="F45" i="6"/>
  <c r="G45" i="6" s="1"/>
  <c r="F44" i="6"/>
  <c r="G44" i="6" s="1"/>
  <c r="F43" i="6"/>
  <c r="G37" i="6"/>
  <c r="G35" i="6"/>
  <c r="G34" i="6"/>
  <c r="G33" i="6"/>
  <c r="G29" i="6"/>
  <c r="G28" i="6"/>
  <c r="G27" i="6"/>
  <c r="G26" i="6"/>
  <c r="G25" i="6"/>
  <c r="G24" i="6"/>
  <c r="G23" i="6"/>
  <c r="G22" i="6"/>
  <c r="G21" i="6"/>
  <c r="G20" i="6"/>
  <c r="G19" i="6"/>
  <c r="G18" i="6"/>
  <c r="G17" i="6"/>
  <c r="G16" i="6"/>
  <c r="G15" i="6"/>
  <c r="G14" i="6"/>
  <c r="G13" i="6"/>
  <c r="G11"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G30" i="22"/>
  <c r="H30" i="22" s="1"/>
  <c r="H17" i="22"/>
  <c r="G16" i="22"/>
  <c r="H16" i="22" s="1"/>
  <c r="G15" i="22"/>
  <c r="H15" i="22" s="1"/>
  <c r="G14" i="22"/>
  <c r="G13" i="22"/>
  <c r="F29" i="15"/>
  <c r="G29" i="15" s="1"/>
  <c r="F23" i="15"/>
  <c r="G23" i="15" s="1"/>
  <c r="F22" i="15"/>
  <c r="G22" i="15" s="1"/>
  <c r="F20" i="15"/>
  <c r="G20" i="15" s="1"/>
  <c r="F19" i="15"/>
  <c r="G19" i="15" s="1"/>
  <c r="F18" i="15"/>
  <c r="F17" i="15"/>
  <c r="F16" i="15"/>
  <c r="G14" i="15"/>
  <c r="F11" i="15"/>
  <c r="F10" i="15"/>
  <c r="G10" i="15" s="1"/>
  <c r="F9" i="15"/>
  <c r="F12" i="21"/>
  <c r="G20" i="21" s="1"/>
  <c r="G24"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E11" i="9" s="1"/>
  <c r="E26" i="37"/>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O43" i="19"/>
  <c r="N43" i="19"/>
  <c r="B1" i="19"/>
  <c r="E43" i="19" s="1"/>
  <c r="I74" i="33"/>
  <c r="A57" i="33"/>
  <c r="I61" i="33" s="1"/>
  <c r="C38" i="33"/>
  <c r="I31" i="33"/>
  <c r="H19" i="33"/>
  <c r="H25" i="33" s="1"/>
  <c r="H32" i="33" s="1"/>
  <c r="H41" i="33" s="1"/>
  <c r="I16" i="33"/>
  <c r="C14" i="33"/>
  <c r="I1" i="33"/>
  <c r="D93" i="1"/>
  <c r="B48" i="1" s="1"/>
  <c r="F48" i="1" s="1"/>
  <c r="F46" i="1"/>
  <c r="D41" i="1"/>
  <c r="D26" i="1"/>
  <c r="F18" i="1"/>
  <c r="B21" i="1" s="1"/>
  <c r="B49" i="64" s="1"/>
  <c r="P2" i="64" s="1"/>
  <c r="H16" i="1"/>
  <c r="G17" i="13" l="1"/>
  <c r="G18" i="37" s="1"/>
  <c r="H18" i="37" s="1"/>
  <c r="H17" i="18"/>
  <c r="G22" i="16"/>
  <c r="G17" i="37" s="1"/>
  <c r="J23" i="4"/>
  <c r="D7" i="9"/>
  <c r="C17" i="13"/>
  <c r="I30" i="6"/>
  <c r="G43" i="6"/>
  <c r="H6" i="3"/>
  <c r="AB21" i="63"/>
  <c r="I18" i="18"/>
  <c r="G24" i="37" s="1"/>
  <c r="H24" i="37" s="1"/>
  <c r="O3" i="37" s="1"/>
  <c r="I34" i="1"/>
  <c r="H34" i="1"/>
  <c r="G32" i="20"/>
  <c r="N21" i="57"/>
  <c r="F24" i="33"/>
  <c r="I26" i="33" s="1"/>
  <c r="F14" i="33"/>
  <c r="H14" i="22"/>
  <c r="F15" i="35"/>
  <c r="G35" i="35" s="1"/>
  <c r="H36" i="35" s="1"/>
  <c r="G15" i="37" s="1"/>
  <c r="H15" i="37" s="1"/>
  <c r="N15" i="37" s="1"/>
  <c r="G15" i="20"/>
  <c r="G9" i="15"/>
  <c r="G8" i="37"/>
  <c r="H8" i="37" s="1"/>
  <c r="I22" i="63"/>
  <c r="K22" i="63"/>
  <c r="C23" i="63" s="1"/>
  <c r="B20" i="3"/>
  <c r="F20" i="3" s="1"/>
  <c r="G20" i="3" s="1"/>
  <c r="B17" i="37"/>
  <c r="B18" i="37" s="1"/>
  <c r="B19" i="37" s="1"/>
  <c r="B20" i="37" s="1"/>
  <c r="B22" i="37" s="1"/>
  <c r="B16" i="37"/>
  <c r="J21" i="4"/>
  <c r="K43" i="4" s="1"/>
  <c r="F10" i="1"/>
  <c r="G7" i="20"/>
  <c r="E48" i="4"/>
  <c r="G11" i="15"/>
  <c r="P37" i="37"/>
  <c r="P7" i="37"/>
  <c r="H17" i="37"/>
  <c r="N17" i="37" s="1"/>
  <c r="G36" i="6"/>
  <c r="H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I31" i="22" l="1"/>
  <c r="J31" i="22" s="1"/>
  <c r="G10" i="37" s="1"/>
  <c r="H38" i="20"/>
  <c r="G11" i="37" s="1"/>
  <c r="H11" i="37" s="1"/>
  <c r="G19" i="37"/>
  <c r="H19" i="37" s="1"/>
  <c r="I51" i="6"/>
  <c r="G12" i="37" s="1"/>
  <c r="H12" i="37" s="1"/>
  <c r="N22" i="57"/>
  <c r="H10" i="37"/>
  <c r="N10" i="37" s="1"/>
  <c r="H30" i="15"/>
  <c r="N8" i="37"/>
  <c r="B23" i="37"/>
  <c r="B24" i="37" s="1"/>
  <c r="B25" i="37" s="1"/>
  <c r="H13" i="15"/>
  <c r="F43" i="1"/>
  <c r="F44" i="1"/>
  <c r="K42" i="1"/>
  <c r="E22" i="1"/>
  <c r="B23" i="63"/>
  <c r="E23" i="63" s="1"/>
  <c r="A22" i="63"/>
  <c r="F25" i="57"/>
  <c r="B31" i="1" s="1"/>
  <c r="G10" i="3"/>
  <c r="H21" i="3" s="1"/>
  <c r="I22" i="3" s="1"/>
  <c r="G14" i="37" s="1"/>
  <c r="J3" i="37"/>
  <c r="M3" i="37"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E45" i="19" l="1"/>
  <c r="B80" i="1"/>
  <c r="D82" i="1" s="1"/>
  <c r="B47" i="1" s="1"/>
  <c r="D47" i="1" s="1"/>
  <c r="I31" i="15"/>
  <c r="G9" i="37" s="1"/>
  <c r="H9" i="37" s="1"/>
  <c r="N23" i="57"/>
  <c r="O25" i="57" s="1"/>
  <c r="B36" i="1" s="1"/>
  <c r="AA22" i="63"/>
  <c r="X22" i="63"/>
  <c r="AC22" i="63"/>
  <c r="I31" i="1"/>
  <c r="H31" i="1"/>
  <c r="L50" i="4"/>
  <c r="G13" i="37" s="1"/>
  <c r="H13" i="37" s="1"/>
  <c r="N13" i="37" s="1"/>
  <c r="M2" i="37" s="1"/>
  <c r="D14" i="33"/>
  <c r="B14" i="33" s="1"/>
  <c r="I20" i="33" s="1"/>
  <c r="D23" i="63"/>
  <c r="J23" i="63"/>
  <c r="I33" i="33"/>
  <c r="H14" i="37"/>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59" i="1" s="1"/>
  <c r="D59"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1" i="1" l="1"/>
  <c r="D61" i="1" s="1"/>
  <c r="D62" i="1" s="1"/>
  <c r="B40" i="1" s="1"/>
  <c r="D40"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AA23" i="63" l="1"/>
  <c r="X23" i="63"/>
  <c r="AC23" i="63"/>
  <c r="C30" i="1"/>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AB23" i="63" l="1"/>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A52" i="63"/>
  <c r="E53" i="63"/>
  <c r="L25" i="57"/>
  <c r="B33" i="1" s="1"/>
  <c r="AA52" i="63" l="1"/>
  <c r="X52" i="63"/>
  <c r="AC52" i="63"/>
  <c r="I33" i="1"/>
  <c r="H33" i="1"/>
  <c r="H49" i="1" s="1"/>
  <c r="J53" i="63"/>
  <c r="D53" i="63"/>
  <c r="AB52" i="63" l="1"/>
  <c r="I53" i="63"/>
  <c r="K53" i="63"/>
  <c r="C54" i="63" s="1"/>
  <c r="B54" i="63" l="1"/>
  <c r="E54" i="63" s="1"/>
  <c r="A53" i="63"/>
  <c r="AA53" i="63" l="1"/>
  <c r="X53" i="63"/>
  <c r="AC53" i="63"/>
  <c r="J54" i="63"/>
  <c r="D54" i="63"/>
  <c r="K74" i="1"/>
  <c r="K72" i="1"/>
  <c r="AB53" i="63" l="1"/>
  <c r="K73" i="1"/>
  <c r="I54" i="63"/>
  <c r="K54" i="63"/>
  <c r="C55" i="63" s="1"/>
  <c r="B55" i="63" l="1"/>
  <c r="E55" i="63" s="1"/>
  <c r="A54" i="63"/>
  <c r="AA54" i="63" l="1"/>
  <c r="X54" i="63"/>
  <c r="AC54" i="63"/>
  <c r="J55" i="63"/>
  <c r="D55" i="63"/>
  <c r="AB54" i="63" l="1"/>
  <c r="K71" i="1"/>
  <c r="K76"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N16" i="63" l="1"/>
  <c r="M16" i="63" s="1"/>
  <c r="AO15" i="63"/>
  <c r="W16" i="63" l="1"/>
  <c r="O17" i="63" s="1"/>
  <c r="AI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U16" i="63" l="1"/>
  <c r="AV16" i="63" s="1"/>
  <c r="N17" i="63"/>
  <c r="Q17" i="63" s="1"/>
  <c r="V17" i="63" s="1"/>
  <c r="AT16" i="63"/>
  <c r="AO16" i="63"/>
  <c r="AN17" i="63"/>
  <c r="AS17" i="63" s="1"/>
  <c r="R17" i="63"/>
  <c r="AP17" i="63"/>
  <c r="Z16" i="63"/>
  <c r="AM16" i="63"/>
  <c r="M17" i="63" l="1"/>
  <c r="P17" i="63"/>
  <c r="W17" i="63" s="1"/>
  <c r="O18" i="63" s="1"/>
  <c r="AI18" i="63" s="1"/>
  <c r="L17" i="63"/>
  <c r="AG16" i="63"/>
  <c r="AD17" i="63"/>
  <c r="U17" i="63"/>
  <c r="AO17" i="63" s="1"/>
  <c r="S17" i="63"/>
  <c r="T17" i="63" s="1"/>
  <c r="AE16" i="63"/>
  <c r="AF16" i="63" s="1"/>
  <c r="N18" i="63" l="1"/>
  <c r="Q18" i="63" s="1"/>
  <c r="V18" i="63" s="1"/>
  <c r="AU17" i="63"/>
  <c r="AV17" i="63" s="1"/>
  <c r="AT17" i="63"/>
  <c r="AN18" i="63"/>
  <c r="AS18" i="63" s="1"/>
  <c r="R18" i="63"/>
  <c r="AP18" i="63"/>
  <c r="Z17" i="63"/>
  <c r="AM17" i="63"/>
  <c r="AG17" i="63"/>
  <c r="AE17" i="63"/>
  <c r="AF17" i="63" s="1"/>
  <c r="P18" i="63"/>
  <c r="W18" i="63" s="1"/>
  <c r="O19" i="63" s="1"/>
  <c r="M18" i="63"/>
  <c r="AI19" i="63" l="1"/>
  <c r="AP19" i="63"/>
  <c r="R19" i="63"/>
  <c r="AN19" i="63"/>
  <c r="AS19" i="63" s="1"/>
  <c r="L18" i="63"/>
  <c r="AD18" i="63"/>
  <c r="U18" i="63"/>
  <c r="AO18" i="63" s="1"/>
  <c r="S18" i="63"/>
  <c r="T18" i="63" s="1"/>
  <c r="AU18" i="63"/>
  <c r="AV18" i="63" s="1"/>
  <c r="AT18" i="63"/>
  <c r="N19" i="63"/>
  <c r="Q19" i="63" s="1"/>
  <c r="V19" i="63" s="1"/>
  <c r="Z18" i="63" l="1"/>
  <c r="AM18" i="63"/>
  <c r="AE18" i="63"/>
  <c r="AF18" i="63" s="1"/>
  <c r="AG18" i="63"/>
  <c r="P19" i="63"/>
  <c r="W19" i="63" s="1"/>
  <c r="O20" i="63" s="1"/>
  <c r="M19" i="63"/>
  <c r="AI20" i="63" l="1"/>
  <c r="AP20" i="63"/>
  <c r="R20" i="63"/>
  <c r="AN20" i="63"/>
  <c r="AS20" i="63" s="1"/>
  <c r="L19" i="63"/>
  <c r="AD19" i="63"/>
  <c r="U19" i="63"/>
  <c r="AO19" i="63" s="1"/>
  <c r="S19" i="63"/>
  <c r="T19" i="63" s="1"/>
  <c r="AU19" i="63"/>
  <c r="AV19" i="63" s="1"/>
  <c r="AT19" i="63"/>
  <c r="N20" i="63"/>
  <c r="Q20" i="63" s="1"/>
  <c r="V20" i="63" s="1"/>
  <c r="Z19" i="63" l="1"/>
  <c r="AM19" i="63"/>
  <c r="AG19" i="63"/>
  <c r="AE19" i="63"/>
  <c r="AF19" i="63" s="1"/>
  <c r="P20" i="63"/>
  <c r="W20" i="63" s="1"/>
  <c r="O21" i="63" s="1"/>
  <c r="M20" i="63"/>
  <c r="AI21" i="63" l="1"/>
  <c r="AP21" i="63"/>
  <c r="R21" i="63"/>
  <c r="AN21" i="63"/>
  <c r="AS21" i="63" s="1"/>
  <c r="L20" i="63"/>
  <c r="AD20" i="63"/>
  <c r="U20" i="63"/>
  <c r="AO20" i="63" s="1"/>
  <c r="S20" i="63"/>
  <c r="T20" i="63" s="1"/>
  <c r="AU20" i="63"/>
  <c r="AV20" i="63" s="1"/>
  <c r="AT20" i="63"/>
  <c r="N21" i="63"/>
  <c r="Q21" i="63" s="1"/>
  <c r="V21" i="63" s="1"/>
  <c r="Z20" i="63" l="1"/>
  <c r="AM20" i="63"/>
  <c r="AE20" i="63"/>
  <c r="AF20" i="63" s="1"/>
  <c r="AG20" i="63"/>
  <c r="P21" i="63"/>
  <c r="W21" i="63" s="1"/>
  <c r="O22" i="63" s="1"/>
  <c r="M21" i="63"/>
  <c r="AI22" i="63" l="1"/>
  <c r="AP22" i="63"/>
  <c r="R22" i="63"/>
  <c r="AN22" i="63"/>
  <c r="AS22" i="63" s="1"/>
  <c r="L21" i="63"/>
  <c r="U21" i="63"/>
  <c r="AO21" i="63" s="1"/>
  <c r="S21" i="63"/>
  <c r="T21" i="63" s="1"/>
  <c r="AT21" i="63"/>
  <c r="AU21" i="63"/>
  <c r="AV21" i="63" s="1"/>
  <c r="N22" i="63"/>
  <c r="Q22" i="63" s="1"/>
  <c r="V22" i="63" s="1"/>
  <c r="Z21" i="63" l="1"/>
  <c r="AM21" i="63"/>
  <c r="AD21" i="63"/>
  <c r="P22" i="63"/>
  <c r="W22" i="63" s="1"/>
  <c r="O23" i="63" s="1"/>
  <c r="M22" i="63"/>
  <c r="AI23" i="63" l="1"/>
  <c r="AP23" i="63"/>
  <c r="R23" i="63"/>
  <c r="AN23" i="63"/>
  <c r="AS23" i="63" s="1"/>
  <c r="L22" i="63"/>
  <c r="Z22" i="63" s="1"/>
  <c r="U22" i="63"/>
  <c r="AO22" i="63" s="1"/>
  <c r="S22" i="63"/>
  <c r="T22" i="63" s="1"/>
  <c r="AE21" i="63"/>
  <c r="AF21" i="63" s="1"/>
  <c r="AG21" i="63"/>
  <c r="AT22" i="63"/>
  <c r="AU22" i="63"/>
  <c r="AV22" i="63" s="1"/>
  <c r="N23" i="63"/>
  <c r="Q23" i="63" s="1"/>
  <c r="V23" i="63" s="1"/>
  <c r="AM22" i="63" l="1"/>
  <c r="AD22" i="63"/>
  <c r="AG22" i="63"/>
  <c r="P23" i="63"/>
  <c r="W23" i="63" s="1"/>
  <c r="O24" i="63" s="1"/>
  <c r="M23" i="63"/>
  <c r="AI24" i="63" l="1"/>
  <c r="AP24" i="63"/>
  <c r="R24" i="63"/>
  <c r="AN24" i="63"/>
  <c r="AS24" i="63" s="1"/>
  <c r="L23" i="63"/>
  <c r="Z23" i="63" s="1"/>
  <c r="AE22" i="63"/>
  <c r="AF22" i="63" s="1"/>
  <c r="U23" i="63"/>
  <c r="AO23" i="63" s="1"/>
  <c r="S23" i="63"/>
  <c r="T23" i="63" s="1"/>
  <c r="AT23" i="63"/>
  <c r="AU23" i="63"/>
  <c r="AV23" i="63" s="1"/>
  <c r="N24" i="63"/>
  <c r="Q24" i="63" s="1"/>
  <c r="V24" i="63" s="1"/>
  <c r="AM23" i="63" l="1"/>
  <c r="AD23" i="63"/>
  <c r="P24" i="63"/>
  <c r="M24" i="63"/>
  <c r="W24" i="63"/>
  <c r="O25" i="63" s="1"/>
  <c r="AI25" i="63" l="1"/>
  <c r="AP25" i="63"/>
  <c r="R25" i="63"/>
  <c r="AN25" i="63"/>
  <c r="AS25" i="63" s="1"/>
  <c r="L24" i="63"/>
  <c r="Z24" i="63" s="1"/>
  <c r="U24" i="63"/>
  <c r="AO24" i="63" s="1"/>
  <c r="S24" i="63"/>
  <c r="T24" i="63" s="1"/>
  <c r="AE23" i="63"/>
  <c r="AF23" i="63" s="1"/>
  <c r="AG23" i="63"/>
  <c r="AU24" i="63"/>
  <c r="AV24" i="63" s="1"/>
  <c r="AT24" i="63"/>
  <c r="N25" i="63"/>
  <c r="Q25" i="63" s="1"/>
  <c r="V25" i="63" s="1"/>
  <c r="AM24" i="63" l="1"/>
  <c r="AD24" i="63"/>
  <c r="AG24" i="63"/>
  <c r="P25" i="63"/>
  <c r="W25" i="63" s="1"/>
  <c r="O26" i="63" s="1"/>
  <c r="M25" i="63"/>
  <c r="AI26" i="63" l="1"/>
  <c r="AP26" i="63"/>
  <c r="R26" i="63"/>
  <c r="AN26" i="63"/>
  <c r="AS26" i="63" s="1"/>
  <c r="L25" i="63"/>
  <c r="Z25" i="63" s="1"/>
  <c r="U25" i="63"/>
  <c r="AO25" i="63" s="1"/>
  <c r="S25" i="63"/>
  <c r="T25" i="63" s="1"/>
  <c r="AE24" i="63"/>
  <c r="AF24" i="63" s="1"/>
  <c r="AT25" i="63"/>
  <c r="AU25" i="63"/>
  <c r="AV25" i="63" s="1"/>
  <c r="N26" i="63"/>
  <c r="Q26" i="63" s="1"/>
  <c r="V26" i="63" s="1"/>
  <c r="AM25" i="63" l="1"/>
  <c r="AD25" i="63"/>
  <c r="P26" i="63"/>
  <c r="M26" i="63"/>
  <c r="W26" i="63"/>
  <c r="O27" i="63" s="1"/>
  <c r="AI27" i="63" l="1"/>
  <c r="AP27" i="63"/>
  <c r="R27" i="63"/>
  <c r="AN27" i="63"/>
  <c r="AS27" i="63" s="1"/>
  <c r="L26" i="63"/>
  <c r="Z26" i="63" s="1"/>
  <c r="U26" i="63"/>
  <c r="AO26" i="63" s="1"/>
  <c r="S26" i="63"/>
  <c r="T26" i="63" s="1"/>
  <c r="AE25" i="63"/>
  <c r="AF25" i="63" s="1"/>
  <c r="AG25" i="63"/>
  <c r="AT26" i="63"/>
  <c r="AU26" i="63"/>
  <c r="AV26" i="63" s="1"/>
  <c r="N27" i="63"/>
  <c r="Q27" i="63" s="1"/>
  <c r="V27" i="63" s="1"/>
  <c r="AM26" i="63" l="1"/>
  <c r="AD26" i="63"/>
  <c r="P27" i="63"/>
  <c r="M27" i="63"/>
  <c r="W27" i="63"/>
  <c r="O28" i="63" s="1"/>
  <c r="AI28" i="63" l="1"/>
  <c r="AP28" i="63"/>
  <c r="R28" i="63"/>
  <c r="AN28" i="63"/>
  <c r="AS28" i="63" s="1"/>
  <c r="L27" i="63"/>
  <c r="Z27" i="63" s="1"/>
  <c r="AE26" i="63"/>
  <c r="AF26" i="63" s="1"/>
  <c r="U27" i="63"/>
  <c r="AO27" i="63" s="1"/>
  <c r="S27" i="63"/>
  <c r="T27" i="63" s="1"/>
  <c r="AG26" i="63"/>
  <c r="AT27" i="63"/>
  <c r="AU27" i="63"/>
  <c r="AV27" i="63" s="1"/>
  <c r="N28" i="63"/>
  <c r="Q28" i="63" s="1"/>
  <c r="V28" i="63" s="1"/>
  <c r="AM27" i="63" l="1"/>
  <c r="AD27" i="63"/>
  <c r="P28" i="63"/>
  <c r="W28" i="63" s="1"/>
  <c r="O29" i="63" s="1"/>
  <c r="M28" i="63"/>
  <c r="AI29" i="63" l="1"/>
  <c r="AP29" i="63"/>
  <c r="R29" i="63"/>
  <c r="AN29" i="63"/>
  <c r="AS29" i="63" s="1"/>
  <c r="L28" i="63"/>
  <c r="Z28" i="63" s="1"/>
  <c r="U28" i="63"/>
  <c r="AO28" i="63" s="1"/>
  <c r="S28" i="63"/>
  <c r="T28" i="63" s="1"/>
  <c r="AE27" i="63"/>
  <c r="AF27" i="63" s="1"/>
  <c r="AG27" i="63"/>
  <c r="AT28" i="63"/>
  <c r="AU28" i="63"/>
  <c r="AV28" i="63" s="1"/>
  <c r="N29" i="63"/>
  <c r="Q29" i="63" s="1"/>
  <c r="V29" i="63" s="1"/>
  <c r="AM28" i="63" l="1"/>
  <c r="AD28" i="63"/>
  <c r="P29" i="63"/>
  <c r="M29" i="63"/>
  <c r="W29" i="63"/>
  <c r="O30" i="63" s="1"/>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M30" i="63"/>
  <c r="W30" i="63"/>
  <c r="O31" i="63" s="1"/>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M31" i="63"/>
  <c r="W31" i="63"/>
  <c r="O32" i="63" s="1"/>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M32" i="63"/>
  <c r="W32" i="63"/>
  <c r="O33" i="63" s="1"/>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U35" i="63"/>
  <c r="AV35" i="63" s="1"/>
  <c r="N36" i="63"/>
  <c r="AT35" i="63"/>
  <c r="AI36" i="63" l="1"/>
  <c r="AP36" i="63"/>
  <c r="R36" i="63"/>
  <c r="AN36" i="63"/>
  <c r="AS36" i="63" s="1"/>
  <c r="AE35" i="63"/>
  <c r="AF35" i="63" s="1"/>
  <c r="AG35" i="63"/>
  <c r="Q36" i="63"/>
  <c r="V36" i="63" s="1"/>
  <c r="M36" i="63"/>
  <c r="P36" i="63" l="1"/>
  <c r="U36" i="63" s="1"/>
  <c r="L36" i="63"/>
  <c r="Z36" i="63" s="1"/>
  <c r="W36" i="63" l="1"/>
  <c r="N37" i="63" s="1"/>
  <c r="S36" i="63"/>
  <c r="T36" i="63" s="1"/>
  <c r="AM36" i="63"/>
  <c r="AD36" i="63"/>
  <c r="O37" i="63"/>
  <c r="AU36" i="63"/>
  <c r="AV36" i="63" s="1"/>
  <c r="AI37" i="63" l="1"/>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U39" i="63"/>
  <c r="AV39" i="63" s="1"/>
  <c r="N40" i="63"/>
  <c r="AT39" i="63" l="1"/>
  <c r="AI40" i="63"/>
  <c r="AP40" i="63"/>
  <c r="R40" i="63"/>
  <c r="AN40" i="63"/>
  <c r="AS40" i="63" s="1"/>
  <c r="AE39" i="63"/>
  <c r="AF39" i="63" s="1"/>
  <c r="AG39" i="63"/>
  <c r="Q40" i="63"/>
  <c r="V40" i="63" s="1"/>
  <c r="M40" i="63"/>
  <c r="P40" i="63" l="1"/>
  <c r="U40" i="63" s="1"/>
  <c r="L40" i="63"/>
  <c r="Z40" i="63" s="1"/>
  <c r="S40" i="63" l="1"/>
  <c r="T40" i="63" s="1"/>
  <c r="W40" i="63"/>
  <c r="AO40" i="63" s="1"/>
  <c r="AM40" i="63"/>
  <c r="AD40" i="63"/>
  <c r="O41" i="63"/>
  <c r="AU40" i="63"/>
  <c r="AV40" i="63" s="1"/>
  <c r="AT40" i="63"/>
  <c r="N41" i="63"/>
  <c r="AI41" i="63" l="1"/>
  <c r="AP41" i="63"/>
  <c r="R41" i="63"/>
  <c r="AN41" i="63"/>
  <c r="AS41" i="63" s="1"/>
  <c r="AE40" i="63"/>
  <c r="AF40" i="63" s="1"/>
  <c r="AG40" i="63"/>
  <c r="Q41" i="63"/>
  <c r="V41" i="63" s="1"/>
  <c r="M41" i="63"/>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l="1"/>
  <c r="M44" i="63" s="1"/>
  <c r="AI44" i="63"/>
  <c r="AP44" i="63"/>
  <c r="AO43" i="63"/>
  <c r="AU43" i="63"/>
  <c r="AV43" i="63" s="1"/>
  <c r="R44" i="63"/>
  <c r="AN44" i="63"/>
  <c r="AS44" i="63" s="1"/>
  <c r="AE43" i="63"/>
  <c r="AF43" i="63" s="1"/>
  <c r="AG43" i="63"/>
  <c r="Q44" i="63"/>
  <c r="V44" i="63" s="1"/>
  <c r="P44" i="63" l="1"/>
  <c r="U44" i="63" s="1"/>
  <c r="L44" i="63"/>
  <c r="Z44" i="63" s="1"/>
  <c r="W44" i="63"/>
  <c r="S44" i="63" l="1"/>
  <c r="T44" i="63" s="1"/>
  <c r="AM44" i="63"/>
  <c r="AD44" i="63"/>
  <c r="O45" i="63"/>
  <c r="AT44" i="63"/>
  <c r="N45" i="63"/>
  <c r="AO44" i="63"/>
  <c r="AU44" i="63"/>
  <c r="AV44" i="63" s="1"/>
  <c r="AI45" i="63" l="1"/>
  <c r="AP45" i="63"/>
  <c r="R45" i="63"/>
  <c r="AN45" i="63"/>
  <c r="AS45" i="63" s="1"/>
  <c r="AE44" i="63"/>
  <c r="AF44" i="63" s="1"/>
  <c r="AG44" i="63"/>
  <c r="Q45" i="63"/>
  <c r="V45" i="63" s="1"/>
  <c r="M45" i="63"/>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M46" i="63"/>
  <c r="AD46" i="63"/>
  <c r="O47" i="63"/>
  <c r="AU46" i="63"/>
  <c r="AV46" i="63" s="1"/>
  <c r="AT46" i="63"/>
  <c r="N47" i="63"/>
  <c r="AI47" i="63" l="1"/>
  <c r="AP47" i="63"/>
  <c r="R47" i="63"/>
  <c r="AN47" i="63"/>
  <c r="AS47" i="63" s="1"/>
  <c r="AE46" i="63"/>
  <c r="AF46" i="63" s="1"/>
  <c r="AG46" i="63"/>
  <c r="Q47" i="63"/>
  <c r="V47" i="63" s="1"/>
  <c r="M47" i="63"/>
  <c r="P47" i="63" l="1"/>
  <c r="U47" i="63" s="1"/>
  <c r="L47" i="63"/>
  <c r="Z47" i="63" s="1"/>
  <c r="W47" i="63" l="1"/>
  <c r="AT47" i="63" s="1"/>
  <c r="S47" i="63"/>
  <c r="T47" i="63" s="1"/>
  <c r="AM47" i="63"/>
  <c r="AD47" i="63"/>
  <c r="O48" i="63"/>
  <c r="N48" i="63"/>
  <c r="AU47" i="63"/>
  <c r="AV47" i="63" s="1"/>
  <c r="AI48" i="63" l="1"/>
  <c r="AP48" i="63"/>
  <c r="R48" i="63"/>
  <c r="AN48" i="63"/>
  <c r="AS48" i="63" s="1"/>
  <c r="AE47" i="63"/>
  <c r="AF47" i="63" s="1"/>
  <c r="AG47" i="63"/>
  <c r="Q48" i="63"/>
  <c r="V48" i="63" s="1"/>
  <c r="M48" i="63"/>
  <c r="P48" i="63" l="1"/>
  <c r="U48" i="63" s="1"/>
  <c r="L48" i="63"/>
  <c r="Z48" i="63" s="1"/>
  <c r="S48" i="63" l="1"/>
  <c r="T48" i="63" s="1"/>
  <c r="W48" i="63"/>
  <c r="AT48" i="63" s="1"/>
  <c r="AM48" i="63"/>
  <c r="AD48" i="63"/>
  <c r="O49" i="63"/>
  <c r="N49" i="63"/>
  <c r="AU48" i="63"/>
  <c r="AV48" i="63" s="1"/>
  <c r="AI49" i="63" l="1"/>
  <c r="AP49" i="63"/>
  <c r="R49" i="63"/>
  <c r="AN49" i="63"/>
  <c r="AS49" i="63" s="1"/>
  <c r="AE48" i="63"/>
  <c r="AF48" i="63" s="1"/>
  <c r="AG48" i="63"/>
  <c r="Q49" i="63"/>
  <c r="V49" i="63" s="1"/>
  <c r="M49" i="63"/>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U51" i="63" s="1"/>
  <c r="L51" i="63"/>
  <c r="Z51" i="63" s="1"/>
  <c r="W51" i="63" l="1"/>
  <c r="S51" i="63"/>
  <c r="T51" i="63" s="1"/>
  <c r="AM51" i="63"/>
  <c r="AD51" i="63"/>
  <c r="O52" i="63"/>
  <c r="AU51" i="63"/>
  <c r="AV51" i="63" s="1"/>
  <c r="AT51" i="63"/>
  <c r="N52" i="63"/>
  <c r="AI52" i="63" l="1"/>
  <c r="AP52" i="63"/>
  <c r="R52" i="63"/>
  <c r="AN52" i="63"/>
  <c r="AS52" i="63" s="1"/>
  <c r="AE51" i="63"/>
  <c r="AF51" i="63" s="1"/>
  <c r="AG51" i="63"/>
  <c r="Q52" i="63"/>
  <c r="V52" i="63" s="1"/>
  <c r="M52" i="63"/>
  <c r="L52" i="63" l="1"/>
  <c r="Z52" i="63" s="1"/>
  <c r="P52" i="63"/>
  <c r="W52" i="63" s="1"/>
  <c r="AM52" i="63" l="1"/>
  <c r="U52" i="63"/>
  <c r="S52" i="63"/>
  <c r="T52" i="63" s="1"/>
  <c r="AD52" i="63"/>
  <c r="O53" i="63"/>
  <c r="AT52" i="63"/>
  <c r="N53" i="63"/>
  <c r="AU52" i="63"/>
  <c r="AV52" i="63" s="1"/>
  <c r="AI53" i="63" l="1"/>
  <c r="AP53" i="63"/>
  <c r="R53" i="63"/>
  <c r="AN53" i="63"/>
  <c r="AS53" i="63" s="1"/>
  <c r="AE52" i="63"/>
  <c r="AF52" i="63" s="1"/>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U54" i="63" s="1"/>
  <c r="L54" i="63"/>
  <c r="Z54" i="63" s="1"/>
  <c r="S54" i="63"/>
  <c r="T54" i="63" s="1"/>
  <c r="W54" i="63"/>
  <c r="AM54" i="63" l="1"/>
  <c r="AD54" i="63"/>
  <c r="O55" i="63"/>
  <c r="AT54" i="63"/>
  <c r="AU54" i="63"/>
  <c r="AV54" i="63" s="1"/>
  <c r="N55" i="63"/>
  <c r="AI55" i="63" l="1"/>
  <c r="AP55" i="63"/>
  <c r="R55" i="63"/>
  <c r="AN55" i="63"/>
  <c r="AS55" i="63" s="1"/>
  <c r="AE54" i="63"/>
  <c r="AF54" i="63" s="1"/>
  <c r="AG54" i="63"/>
  <c r="Q55" i="63"/>
  <c r="V55" i="63" s="1"/>
  <c r="M55" i="63"/>
  <c r="P55" i="63" l="1"/>
  <c r="U55" i="63" s="1"/>
  <c r="L55" i="63"/>
  <c r="Z55" i="63" s="1"/>
  <c r="S55" i="63"/>
  <c r="T55" i="63" s="1"/>
  <c r="W55" i="63"/>
  <c r="AM55" i="63" l="1"/>
  <c r="AD55" i="63"/>
  <c r="O56" i="63"/>
  <c r="AU55" i="63"/>
  <c r="AV55" i="63" s="1"/>
  <c r="N56" i="63"/>
  <c r="AT55" i="63"/>
  <c r="AI56" i="63" l="1"/>
  <c r="AP56" i="63"/>
  <c r="R56" i="63"/>
  <c r="AN56" i="63"/>
  <c r="AS56" i="63" s="1"/>
  <c r="AE55" i="63"/>
  <c r="AF55" i="63" s="1"/>
  <c r="AG55" i="63"/>
  <c r="Q56" i="63"/>
  <c r="V56" i="63" s="1"/>
  <c r="M56" i="63"/>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R59" i="63"/>
  <c r="AM58" i="63"/>
  <c r="AD58" i="63"/>
  <c r="AS59"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N61" i="63" s="1"/>
  <c r="AT60" i="63"/>
  <c r="AU60" i="63"/>
  <c r="AV60" i="63" s="1"/>
  <c r="N61" i="63"/>
  <c r="Q61" i="63" s="1"/>
  <c r="R61" i="63" l="1"/>
  <c r="AS61" i="63"/>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Q62" i="63"/>
  <c r="V62" i="63" s="1"/>
  <c r="M62" i="63"/>
  <c r="L62" i="63" s="1"/>
  <c r="AS62" i="63"/>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c r="L64" i="63" s="1"/>
  <c r="Z64" i="63" l="1"/>
  <c r="AM64" i="63"/>
  <c r="P64" i="63"/>
  <c r="U64" i="63" l="1"/>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M66" i="63"/>
  <c r="L66" i="63" s="1"/>
  <c r="Q66" i="63"/>
  <c r="V66" i="63" s="1"/>
  <c r="AS66" i="63"/>
  <c r="Z66" i="63" l="1"/>
  <c r="AM66" i="63"/>
  <c r="P66" i="63"/>
  <c r="W66" i="63" s="1"/>
  <c r="N67" i="63" l="1"/>
  <c r="M67" i="63" s="1"/>
  <c r="L67" i="63" s="1"/>
  <c r="O67" i="63"/>
  <c r="AU66" i="63"/>
  <c r="AV66" i="63" s="1"/>
  <c r="U66" i="63"/>
  <c r="AT66" i="63"/>
  <c r="Q67" i="63" l="1"/>
  <c r="V67" i="63" s="1"/>
  <c r="AN67" i="63"/>
  <c r="AS67" i="63" s="1"/>
  <c r="Z67" i="63"/>
  <c r="AM67" i="63"/>
  <c r="P67" i="63" l="1"/>
  <c r="U67" i="63" s="1"/>
  <c r="W67" i="63" l="1"/>
  <c r="O68" i="63" s="1"/>
  <c r="AN68" i="63" s="1"/>
  <c r="AS68" i="63" s="1"/>
  <c r="AT67" i="63" l="1"/>
  <c r="AU67" i="63"/>
  <c r="AV67" i="63" s="1"/>
  <c r="N68" i="63"/>
  <c r="M68" i="63" l="1"/>
  <c r="L68" i="63" s="1"/>
  <c r="Q68" i="63"/>
  <c r="V68" i="63" l="1"/>
  <c r="P68" i="63"/>
  <c r="Z68" i="63"/>
  <c r="AM68" i="63"/>
  <c r="W68" i="63" l="1"/>
  <c r="U68" i="63"/>
  <c r="N69" i="63" l="1"/>
  <c r="AU68" i="63"/>
  <c r="AV68" i="63" s="1"/>
  <c r="O69" i="63"/>
  <c r="AT68" i="63"/>
  <c r="AN69" i="63" l="1"/>
  <c r="AS69" i="63" s="1"/>
  <c r="M69" i="63"/>
  <c r="L69" i="63" s="1"/>
  <c r="Q69" i="63"/>
  <c r="V69" i="63" s="1"/>
  <c r="AM69" i="63" l="1"/>
  <c r="Z69" i="63"/>
  <c r="P69" i="63"/>
  <c r="U69" i="63" l="1"/>
  <c r="W69" i="63"/>
  <c r="O70" i="63" l="1"/>
  <c r="AU69" i="63"/>
  <c r="AV69" i="63" s="1"/>
  <c r="AT69" i="63"/>
  <c r="N70" i="63"/>
  <c r="M70" i="63" l="1"/>
  <c r="L70" i="63" s="1"/>
  <c r="Q70" i="63"/>
  <c r="V70" i="63" s="1"/>
  <c r="AN70" i="63"/>
  <c r="AS70" i="63" s="1"/>
  <c r="P70" i="63" l="1"/>
  <c r="U70" i="63" s="1"/>
  <c r="W70" i="63"/>
  <c r="Z70" i="63"/>
  <c r="AM70" i="63"/>
  <c r="O71" i="63" l="1"/>
  <c r="N71" i="63"/>
  <c r="AT70" i="63"/>
  <c r="AU70" i="63"/>
  <c r="AV70" i="63" s="1"/>
  <c r="Q71" i="63" l="1"/>
  <c r="V71" i="63" s="1"/>
  <c r="M71" i="63"/>
  <c r="L71" i="63" s="1"/>
  <c r="AN71" i="63"/>
  <c r="AS71" i="63" s="1"/>
  <c r="P71" i="63" l="1"/>
  <c r="W71" i="63" s="1"/>
  <c r="AM71" i="63"/>
  <c r="Z71" i="63"/>
  <c r="U71" i="63" l="1"/>
  <c r="O72" i="63"/>
  <c r="AN72" i="63" s="1"/>
  <c r="AS72" i="63" s="1"/>
  <c r="N72" i="63"/>
  <c r="AT71" i="63"/>
  <c r="AU71" i="63"/>
  <c r="AV71" i="63" s="1"/>
  <c r="M72" i="63" l="1"/>
  <c r="L72" i="63" s="1"/>
  <c r="Q72" i="63"/>
  <c r="V72" i="63" l="1"/>
  <c r="P72" i="63"/>
  <c r="Z72" i="63"/>
  <c r="AM72" i="63"/>
  <c r="W72" i="63" l="1"/>
  <c r="U72" i="63"/>
  <c r="AU72" i="63" l="1"/>
  <c r="AV72" i="63" s="1"/>
  <c r="N73" i="63"/>
  <c r="AT72" i="63"/>
  <c r="O73" i="63"/>
  <c r="AN73" i="63" l="1"/>
  <c r="AS73" i="63" s="1"/>
  <c r="M73" i="63"/>
  <c r="L73" i="63" s="1"/>
  <c r="Q73" i="63"/>
  <c r="V73" i="63" s="1"/>
  <c r="AM73" i="63" l="1"/>
  <c r="Z73" i="63"/>
  <c r="P73" i="63"/>
  <c r="U73" i="63" l="1"/>
  <c r="W73" i="63"/>
  <c r="AU73" i="63" l="1"/>
  <c r="AV73" i="63" s="1"/>
  <c r="N74" i="63"/>
  <c r="AT73" i="63"/>
  <c r="O74" i="63"/>
  <c r="AN74" i="63" l="1"/>
  <c r="AS74" i="63" s="1"/>
  <c r="M74" i="63"/>
  <c r="L74" i="63" s="1"/>
  <c r="Q74" i="63"/>
  <c r="V74" i="63" s="1"/>
  <c r="AM74" i="63" l="1"/>
  <c r="Z74" i="63"/>
  <c r="P74" i="63"/>
  <c r="W74" i="63" l="1"/>
  <c r="U74" i="63"/>
  <c r="N75" i="63" l="1"/>
  <c r="AT74" i="63"/>
  <c r="AU74" i="63"/>
  <c r="AV74" i="63" s="1"/>
  <c r="O75" i="63"/>
  <c r="M75" i="63" l="1"/>
  <c r="L75" i="63" s="1"/>
  <c r="Q75" i="63"/>
  <c r="V75" i="63" s="1"/>
  <c r="AN75" i="63"/>
  <c r="AS75" i="63" s="1"/>
  <c r="P75" i="63" l="1"/>
  <c r="U75" i="63" s="1"/>
  <c r="AM75" i="63"/>
  <c r="Z75" i="63"/>
  <c r="W75" i="63" l="1"/>
  <c r="AU75" i="63" s="1"/>
  <c r="AV75" i="63" s="1"/>
  <c r="O76" i="63"/>
  <c r="N76" i="63" l="1"/>
  <c r="AT75" i="63"/>
  <c r="AN76" i="63"/>
  <c r="AS76" i="63" s="1"/>
  <c r="M76" i="63"/>
  <c r="L76" i="63" s="1"/>
  <c r="Q76" i="63"/>
  <c r="V76" i="63" s="1"/>
  <c r="Z76" i="63" l="1"/>
  <c r="AM76" i="63"/>
  <c r="P76" i="63"/>
  <c r="W76" i="63" l="1"/>
  <c r="U76" i="63"/>
  <c r="O77" i="63" l="1"/>
  <c r="N77" i="63"/>
  <c r="AT76" i="63"/>
  <c r="AU76" i="63"/>
  <c r="AV76" i="63" s="1"/>
  <c r="M77" i="63" l="1"/>
  <c r="L77" i="63" s="1"/>
  <c r="Q77" i="63"/>
  <c r="V77" i="63" s="1"/>
  <c r="AN77" i="63"/>
  <c r="AS77" i="63" s="1"/>
  <c r="P77" i="63" l="1"/>
  <c r="U77" i="63" s="1"/>
  <c r="Z77" i="63"/>
  <c r="AM77" i="63"/>
  <c r="W77" i="63" l="1"/>
  <c r="O78" i="63" s="1"/>
  <c r="N78" i="63"/>
  <c r="AT77" i="63"/>
  <c r="AU77" i="63" l="1"/>
  <c r="AV77" i="63" s="1"/>
  <c r="Q78" i="63"/>
  <c r="V78" i="63" s="1"/>
  <c r="M78" i="63"/>
  <c r="L78" i="63" s="1"/>
  <c r="AN78" i="63"/>
  <c r="AS78" i="63" s="1"/>
  <c r="P78" i="63" l="1"/>
  <c r="U78" i="63" s="1"/>
  <c r="Z78" i="63"/>
  <c r="AM78" i="63"/>
  <c r="W78" i="63" l="1"/>
  <c r="N79" i="63"/>
  <c r="AU78" i="63"/>
  <c r="AV78" i="63" s="1"/>
  <c r="AT78" i="63"/>
  <c r="O79" i="63"/>
  <c r="AN79" i="63" l="1"/>
  <c r="AS79" i="63" s="1"/>
  <c r="M79" i="63"/>
  <c r="L79" i="63" s="1"/>
  <c r="Q79" i="63"/>
  <c r="V79" i="63" s="1"/>
  <c r="P79" i="63" l="1"/>
  <c r="AM79" i="63"/>
  <c r="Z79" i="63"/>
  <c r="U79" i="63" l="1"/>
  <c r="W79" i="63"/>
  <c r="O80" i="63" l="1"/>
  <c r="AT79" i="63"/>
  <c r="AU79" i="63"/>
  <c r="AV79" i="63" s="1"/>
  <c r="N80" i="63"/>
  <c r="M80" i="63" l="1"/>
  <c r="L80" i="63" s="1"/>
  <c r="Q80" i="63"/>
  <c r="V80" i="63" s="1"/>
  <c r="AN80" i="63"/>
  <c r="AS80" i="63" s="1"/>
  <c r="P80" i="63" l="1"/>
  <c r="Z80" i="63"/>
  <c r="AM80" i="63"/>
  <c r="U80" i="63" l="1"/>
  <c r="W80" i="63"/>
  <c r="AU80" i="63" l="1"/>
  <c r="AV80" i="63" s="1"/>
  <c r="AT80" i="63"/>
  <c r="O81" i="63"/>
  <c r="N81" i="63"/>
  <c r="M81" i="63" l="1"/>
  <c r="L81" i="63" s="1"/>
  <c r="Q81" i="63"/>
  <c r="V81" i="63" s="1"/>
  <c r="AN81" i="63"/>
  <c r="AS81" i="63" s="1"/>
  <c r="P81" i="63" l="1"/>
  <c r="U81" i="63" s="1"/>
  <c r="W81" i="63"/>
  <c r="AM81" i="63"/>
  <c r="Z81" i="63"/>
  <c r="AT81" i="63" l="1"/>
  <c r="N82" i="63"/>
  <c r="AU81" i="63"/>
  <c r="AV81" i="63" s="1"/>
  <c r="O82" i="63"/>
  <c r="AN82" i="63" l="1"/>
  <c r="AS82" i="63" s="1"/>
  <c r="Q82" i="63"/>
  <c r="V82" i="63" s="1"/>
  <c r="M82" i="63"/>
  <c r="L82" i="63" s="1"/>
  <c r="Z82" i="63" l="1"/>
  <c r="AM82" i="63"/>
  <c r="P82" i="63"/>
  <c r="U82" i="63" l="1"/>
  <c r="W82" i="63"/>
  <c r="AT82" i="63" l="1"/>
  <c r="O83" i="63"/>
  <c r="AU82" i="63"/>
  <c r="AV82" i="63" s="1"/>
  <c r="N83" i="63"/>
  <c r="AN83" i="63" l="1"/>
  <c r="AS83" i="63" s="1"/>
  <c r="M83" i="63"/>
  <c r="L83" i="63" s="1"/>
  <c r="Q83" i="63"/>
  <c r="V83" i="63" s="1"/>
  <c r="Z83" i="63" l="1"/>
  <c r="AM83" i="63"/>
  <c r="P83" i="63"/>
  <c r="U83" i="63" l="1"/>
  <c r="W83" i="63"/>
  <c r="AU83" i="63" l="1"/>
  <c r="AV83" i="63" s="1"/>
  <c r="N84" i="63"/>
  <c r="O84" i="63"/>
  <c r="AT83" i="63"/>
  <c r="AN84" i="63" l="1"/>
  <c r="AS84" i="63" s="1"/>
  <c r="M84" i="63"/>
  <c r="L84" i="63" s="1"/>
  <c r="Q84" i="63"/>
  <c r="V84" i="63" s="1"/>
  <c r="AM84" i="63" l="1"/>
  <c r="Z84" i="63"/>
  <c r="P84" i="63"/>
  <c r="U84" i="63" l="1"/>
  <c r="W84" i="63"/>
  <c r="N85" i="63" l="1"/>
  <c r="O85" i="63"/>
  <c r="AU84" i="63"/>
  <c r="AV84" i="63" s="1"/>
  <c r="AT84" i="63"/>
  <c r="M85" i="63" l="1"/>
  <c r="L85" i="63" s="1"/>
  <c r="Q85" i="63"/>
  <c r="V85" i="63" s="1"/>
  <c r="AN85" i="63"/>
  <c r="AS85" i="63" s="1"/>
  <c r="P85" i="63" l="1"/>
  <c r="W85" i="63"/>
  <c r="U85" i="63"/>
  <c r="AM85" i="63"/>
  <c r="Z85" i="63"/>
  <c r="AU85" i="63" l="1"/>
  <c r="AV85" i="63" s="1"/>
  <c r="AT85" i="63"/>
  <c r="N86" i="63"/>
  <c r="O86" i="63"/>
  <c r="M86" i="63" l="1"/>
  <c r="L86" i="63" s="1"/>
  <c r="Q86" i="63"/>
  <c r="V86" i="63" s="1"/>
  <c r="AN86" i="63"/>
  <c r="AS86" i="63" s="1"/>
  <c r="P86" i="63" l="1"/>
  <c r="U86" i="63" s="1"/>
  <c r="Z86" i="63"/>
  <c r="AM86" i="63"/>
  <c r="W86" i="63" l="1"/>
  <c r="O87" i="63" s="1"/>
  <c r="AU86" i="63"/>
  <c r="AV86" i="63" s="1"/>
  <c r="AT86" i="63"/>
  <c r="N87" i="63"/>
  <c r="M87" i="63" l="1"/>
  <c r="L87" i="63" s="1"/>
  <c r="Q87" i="63"/>
  <c r="V87" i="63" s="1"/>
  <c r="AN87" i="63"/>
  <c r="AS87" i="63" s="1"/>
  <c r="P87" i="63" l="1"/>
  <c r="U87" i="63" s="1"/>
  <c r="Z87" i="63"/>
  <c r="AM87" i="63"/>
  <c r="W87" i="63" l="1"/>
  <c r="AT87" i="63"/>
  <c r="AU87" i="63"/>
  <c r="AV87" i="63" s="1"/>
  <c r="O88" i="63"/>
  <c r="N88" i="63"/>
  <c r="M88" i="63" l="1"/>
  <c r="L88" i="63" s="1"/>
  <c r="Q88" i="63"/>
  <c r="V88" i="63" s="1"/>
  <c r="AN88" i="63"/>
  <c r="AS88" i="63" s="1"/>
  <c r="P88" i="63" l="1"/>
  <c r="U88" i="63" s="1"/>
  <c r="W88" i="63"/>
  <c r="Z88" i="63"/>
  <c r="AM88" i="63"/>
  <c r="AU88" i="63" l="1"/>
  <c r="AV88" i="63" s="1"/>
  <c r="AT88" i="63"/>
  <c r="O89" i="63"/>
  <c r="N89" i="63"/>
  <c r="M89" i="63" l="1"/>
  <c r="L89" i="63" s="1"/>
  <c r="Q89" i="63"/>
  <c r="V89" i="63" s="1"/>
  <c r="AN89" i="63"/>
  <c r="AS89" i="63" s="1"/>
  <c r="P89" i="63" l="1"/>
  <c r="Z89" i="63"/>
  <c r="AM89" i="63"/>
  <c r="U89" i="63" l="1"/>
  <c r="W89" i="63"/>
  <c r="AU89" i="63" l="1"/>
  <c r="AV89" i="63" s="1"/>
  <c r="O90" i="63"/>
  <c r="AT89" i="63"/>
  <c r="N90" i="63"/>
  <c r="AN90" i="63" l="1"/>
  <c r="AS90" i="63" s="1"/>
  <c r="M90" i="63"/>
  <c r="L90" i="63" s="1"/>
  <c r="Q90" i="63"/>
  <c r="V90" i="63" s="1"/>
  <c r="AM90" i="63" l="1"/>
  <c r="Z90" i="63"/>
  <c r="P90" i="63"/>
  <c r="U90" i="63" l="1"/>
  <c r="W90" i="63"/>
  <c r="AU90" i="63" l="1"/>
  <c r="AV90" i="63" s="1"/>
  <c r="AT90" i="63"/>
  <c r="N91" i="63"/>
  <c r="O91" i="63"/>
  <c r="AN91" i="63" l="1"/>
  <c r="AS91" i="63" s="1"/>
  <c r="M91" i="63"/>
  <c r="L91" i="63" s="1"/>
  <c r="Q91" i="63"/>
  <c r="V91" i="63" s="1"/>
  <c r="AM91" i="63" l="1"/>
  <c r="Z91" i="63"/>
  <c r="P91" i="63"/>
  <c r="U91" i="63" l="1"/>
  <c r="W91" i="63"/>
  <c r="O92" i="63" l="1"/>
  <c r="AT91" i="63"/>
  <c r="AU91" i="63"/>
  <c r="AV91" i="63" s="1"/>
  <c r="N92" i="63"/>
  <c r="Q92" i="63" l="1"/>
  <c r="V92" i="63" s="1"/>
  <c r="M92" i="63"/>
  <c r="L92" i="63" s="1"/>
  <c r="AN92" i="63"/>
  <c r="AS92" i="63" s="1"/>
  <c r="P92" i="63"/>
  <c r="U92" i="63" s="1"/>
  <c r="W92" i="63" l="1"/>
  <c r="Z92" i="63"/>
  <c r="AM92" i="63"/>
  <c r="O93" i="63" l="1"/>
  <c r="AT92" i="63"/>
  <c r="AU92" i="63"/>
  <c r="AV92" i="63" s="1"/>
  <c r="N93" i="63"/>
  <c r="Q93" i="63" l="1"/>
  <c r="V93" i="63" s="1"/>
  <c r="M93" i="63"/>
  <c r="L93" i="63" s="1"/>
  <c r="AN93" i="63"/>
  <c r="AS93" i="63" s="1"/>
  <c r="P93" i="63"/>
  <c r="U93" i="63" s="1"/>
  <c r="AM93" i="63" l="1"/>
  <c r="Z93" i="63"/>
  <c r="W93" i="63"/>
  <c r="O94" i="63" l="1"/>
  <c r="AU93" i="63"/>
  <c r="AV93" i="63" s="1"/>
  <c r="N94" i="63"/>
  <c r="AT93" i="63"/>
  <c r="M94" i="63" l="1"/>
  <c r="L94" i="63" s="1"/>
  <c r="Q94" i="63"/>
  <c r="V94" i="63" s="1"/>
  <c r="AN94" i="63"/>
  <c r="AS94" i="63" s="1"/>
  <c r="P94" i="63" l="1"/>
  <c r="U94" i="63" s="1"/>
  <c r="Z94" i="63"/>
  <c r="AM94" i="63"/>
  <c r="W94" i="63" l="1"/>
  <c r="N95" i="63"/>
  <c r="AT94" i="63"/>
  <c r="O95" i="63"/>
  <c r="AU94" i="63"/>
  <c r="AV94" i="63" s="1"/>
  <c r="AN95" i="63" l="1"/>
  <c r="AS95" i="63" s="1"/>
  <c r="M95" i="63"/>
  <c r="L95" i="63" s="1"/>
  <c r="Q95" i="63"/>
  <c r="V95" i="63" s="1"/>
  <c r="Z95" i="63" l="1"/>
  <c r="AM95" i="63"/>
  <c r="P95" i="63"/>
  <c r="U95" i="63" l="1"/>
  <c r="W95" i="63"/>
  <c r="O96" i="63" l="1"/>
  <c r="AU95" i="63"/>
  <c r="AV95" i="63" s="1"/>
  <c r="N96" i="63"/>
  <c r="AT95" i="63"/>
  <c r="Q96" i="63" l="1"/>
  <c r="V96" i="63" s="1"/>
  <c r="M96" i="63"/>
  <c r="L96" i="63" s="1"/>
  <c r="AN96" i="63"/>
  <c r="AS96" i="63" s="1"/>
  <c r="P96" i="63"/>
  <c r="U96" i="63" s="1"/>
  <c r="AM96" i="63" l="1"/>
  <c r="Z96" i="63"/>
  <c r="W96" i="63"/>
  <c r="O97" i="63" l="1"/>
  <c r="N97" i="63"/>
  <c r="AU96" i="63"/>
  <c r="AV96" i="63" s="1"/>
  <c r="AT96" i="63"/>
  <c r="M97" i="63" l="1"/>
  <c r="L97" i="63" s="1"/>
  <c r="Q97" i="63"/>
  <c r="V97" i="63" s="1"/>
  <c r="AN97" i="63"/>
  <c r="AS97" i="63" s="1"/>
  <c r="P97" i="63" l="1"/>
  <c r="U97" i="63" s="1"/>
  <c r="W97" i="63"/>
  <c r="Z97" i="63"/>
  <c r="AM97" i="63"/>
  <c r="O98" i="63" l="1"/>
  <c r="AT97" i="63"/>
  <c r="N98" i="63"/>
  <c r="AU97" i="63"/>
  <c r="AV97" i="63" s="1"/>
  <c r="Q98" i="63" l="1"/>
  <c r="V98" i="63" s="1"/>
  <c r="M98" i="63"/>
  <c r="L98" i="63" s="1"/>
  <c r="AN98" i="63"/>
  <c r="AS98" i="63" s="1"/>
  <c r="P98" i="63" l="1"/>
  <c r="U98" i="63" s="1"/>
  <c r="W98" i="63"/>
  <c r="AT98" i="63"/>
  <c r="AU98" i="63"/>
  <c r="AV98" i="63" s="1"/>
  <c r="N99" i="63"/>
  <c r="O99" i="63"/>
  <c r="AN99" i="63" s="1"/>
  <c r="AS99" i="63" s="1"/>
  <c r="Z98" i="63"/>
  <c r="AM98" i="63"/>
  <c r="M99" i="63" l="1"/>
  <c r="L99" i="63" s="1"/>
  <c r="Q99" i="63"/>
  <c r="V99" i="63" s="1"/>
  <c r="P99" i="63" l="1"/>
  <c r="Z99" i="63"/>
  <c r="AM99" i="63"/>
  <c r="U99" i="63" l="1"/>
  <c r="W99" i="63"/>
  <c r="N100" i="63" l="1"/>
  <c r="AT99" i="63"/>
  <c r="O100" i="63"/>
  <c r="AN100" i="63" s="1"/>
  <c r="AS100" i="63" s="1"/>
  <c r="AU99" i="63"/>
  <c r="AV99" i="63" s="1"/>
  <c r="Q100" i="63" l="1"/>
  <c r="M100" i="63"/>
  <c r="L100" i="63" s="1"/>
  <c r="Z100" i="63" l="1"/>
  <c r="AM100" i="63"/>
  <c r="V100" i="63"/>
  <c r="P100" i="63"/>
  <c r="U100" i="63" l="1"/>
  <c r="W100" i="63"/>
  <c r="O101" i="63" l="1"/>
  <c r="AN101" i="63" s="1"/>
  <c r="AS101" i="63" s="1"/>
  <c r="N101" i="63"/>
  <c r="AT100" i="63"/>
  <c r="AU100" i="63"/>
  <c r="AV100" i="63" s="1"/>
  <c r="Q101" i="63" l="1"/>
  <c r="M101" i="63"/>
  <c r="L101" i="63" s="1"/>
  <c r="AM101" i="63" l="1"/>
  <c r="Z101" i="63"/>
  <c r="V101" i="63"/>
  <c r="P101" i="63"/>
  <c r="U101" i="63" l="1"/>
  <c r="W101" i="63"/>
  <c r="O102" i="63" l="1"/>
  <c r="N102" i="63"/>
  <c r="AU101" i="63"/>
  <c r="AV101" i="63" s="1"/>
  <c r="AT101" i="63"/>
  <c r="M102" i="63" l="1"/>
  <c r="L102" i="63" s="1"/>
  <c r="Q102" i="63"/>
  <c r="V102" i="63" s="1"/>
  <c r="AN102" i="63"/>
  <c r="AS102" i="63" s="1"/>
  <c r="P102" i="63" l="1"/>
  <c r="U102" i="63" s="1"/>
  <c r="Z102" i="63"/>
  <c r="AM102" i="63"/>
  <c r="W102" i="63" l="1"/>
  <c r="AT102" i="63" s="1"/>
  <c r="O103" i="63"/>
  <c r="AN103" i="63" s="1"/>
  <c r="AS103" i="63" s="1"/>
  <c r="N103" i="63"/>
  <c r="AU102" i="63" l="1"/>
  <c r="AV102" i="63" s="1"/>
  <c r="M103" i="63"/>
  <c r="L103" i="63" s="1"/>
  <c r="Q103" i="63"/>
  <c r="V103" i="63" s="1"/>
  <c r="Z103" i="63" l="1"/>
  <c r="AM103" i="63"/>
  <c r="P103" i="63"/>
  <c r="U103" i="63" l="1"/>
  <c r="W103" i="63"/>
  <c r="N104" i="63" l="1"/>
  <c r="AT103" i="63"/>
  <c r="O104" i="63"/>
  <c r="AU103" i="63"/>
  <c r="AV103" i="63" s="1"/>
  <c r="AN104" i="63" l="1"/>
  <c r="AS104" i="63" s="1"/>
  <c r="M104" i="63"/>
  <c r="L104" i="63" s="1"/>
  <c r="Q104" i="63"/>
  <c r="V104" i="63" s="1"/>
  <c r="P104" i="63" l="1"/>
  <c r="Z104" i="63"/>
  <c r="AM104" i="63"/>
  <c r="U104" i="63" l="1"/>
  <c r="W104" i="63"/>
  <c r="AU104" i="63" l="1"/>
  <c r="AV104" i="63" s="1"/>
  <c r="O105" i="63"/>
  <c r="N105" i="63"/>
  <c r="AT104" i="63"/>
  <c r="AN105" i="63" l="1"/>
  <c r="AS105" i="63" s="1"/>
  <c r="Q105" i="63"/>
  <c r="V105" i="63" s="1"/>
  <c r="M105" i="63"/>
  <c r="L105" i="63" s="1"/>
  <c r="AM105" i="63" l="1"/>
  <c r="Z105" i="63"/>
  <c r="P105" i="63"/>
  <c r="W105" i="63" l="1"/>
  <c r="U105" i="63"/>
  <c r="AT105" i="63" l="1"/>
  <c r="AU105" i="63"/>
  <c r="AV105" i="63" s="1"/>
  <c r="O106" i="63"/>
  <c r="N106" i="63"/>
  <c r="AN106" i="63" l="1"/>
  <c r="AS106" i="63" s="1"/>
  <c r="M106" i="63"/>
  <c r="L106" i="63" s="1"/>
  <c r="Q106" i="63"/>
  <c r="V106" i="63" s="1"/>
  <c r="P106" i="63" l="1"/>
  <c r="Z106" i="63"/>
  <c r="AM106" i="63"/>
  <c r="U106" i="63" l="1"/>
  <c r="W106" i="63"/>
  <c r="AT106" i="63" l="1"/>
  <c r="AU106" i="63"/>
  <c r="AV106" i="63" s="1"/>
  <c r="O107" i="63"/>
  <c r="N107" i="63"/>
  <c r="M107" i="63" l="1"/>
  <c r="L107" i="63" s="1"/>
  <c r="Q107" i="63"/>
  <c r="V107" i="63" s="1"/>
  <c r="AN107" i="63"/>
  <c r="AS107" i="63" s="1"/>
  <c r="P107" i="63" l="1"/>
  <c r="U107" i="63" s="1"/>
  <c r="Z107" i="63"/>
  <c r="AM107" i="63"/>
  <c r="W107" i="63" l="1"/>
  <c r="AU107" i="63"/>
  <c r="AV107" i="63" s="1"/>
  <c r="N108" i="63"/>
  <c r="AT107" i="63"/>
  <c r="O108" i="63"/>
  <c r="M108" i="63" l="1"/>
  <c r="L108" i="63" s="1"/>
  <c r="Q108" i="63"/>
  <c r="V108" i="63" s="1"/>
  <c r="AN108" i="63"/>
  <c r="AS108" i="63" s="1"/>
  <c r="P108" i="63" l="1"/>
  <c r="U108" i="63" s="1"/>
  <c r="AM108" i="63"/>
  <c r="Z108" i="63"/>
  <c r="W108" i="63" l="1"/>
  <c r="AT108" i="63" s="1"/>
  <c r="O109" i="63"/>
  <c r="AU108" i="63"/>
  <c r="AV108" i="63" s="1"/>
  <c r="N109" i="63"/>
  <c r="M109" i="63" l="1"/>
  <c r="L109" i="63" s="1"/>
  <c r="Q109" i="63"/>
  <c r="V109" i="63" s="1"/>
  <c r="AN109" i="63"/>
  <c r="AS109" i="63" s="1"/>
  <c r="P109" i="63" l="1"/>
  <c r="U109" i="63" s="1"/>
  <c r="W109" i="63"/>
  <c r="AM109" i="63"/>
  <c r="Z109" i="63"/>
  <c r="AU109" i="63" l="1"/>
  <c r="AV109" i="63" s="1"/>
  <c r="N110" i="63"/>
  <c r="AT109" i="63"/>
  <c r="O110" i="63"/>
  <c r="AN110" i="63" s="1"/>
  <c r="AS110" i="63" s="1"/>
  <c r="Q110" i="63" l="1"/>
  <c r="M110" i="63"/>
  <c r="L110" i="63" s="1"/>
  <c r="AM110" i="63" l="1"/>
  <c r="Z110" i="63"/>
  <c r="V110" i="63"/>
  <c r="P110" i="63"/>
  <c r="U110" i="63" l="1"/>
  <c r="W110" i="63"/>
  <c r="AT110" i="63" l="1"/>
  <c r="AU110" i="63"/>
  <c r="AV110" i="63" s="1"/>
  <c r="O111" i="63"/>
  <c r="N111" i="63"/>
  <c r="M111" i="63" l="1"/>
  <c r="L111" i="63" s="1"/>
  <c r="Q111" i="63"/>
  <c r="V111" i="63" s="1"/>
  <c r="AN111" i="63"/>
  <c r="AS111" i="63" s="1"/>
  <c r="P111" i="63" l="1"/>
  <c r="U111" i="63" s="1"/>
  <c r="Z111" i="63"/>
  <c r="AM111" i="63"/>
  <c r="W111" i="63" l="1"/>
  <c r="AU111" i="63" s="1"/>
  <c r="AV111" i="63" s="1"/>
  <c r="N112" i="63"/>
  <c r="O112" i="63"/>
  <c r="AN112" i="63" s="1"/>
  <c r="AS112" i="63" s="1"/>
  <c r="AT111" i="63" l="1"/>
  <c r="M112" i="63"/>
  <c r="L112" i="63" s="1"/>
  <c r="Q112" i="63"/>
  <c r="V112" i="63" l="1"/>
  <c r="P112" i="63"/>
  <c r="Z112" i="63"/>
  <c r="AM112" i="63"/>
  <c r="W112" i="63" l="1"/>
  <c r="U112" i="63"/>
  <c r="AT112" i="63" l="1"/>
  <c r="N113" i="63"/>
  <c r="AU112" i="63"/>
  <c r="AV112" i="63" s="1"/>
  <c r="O113" i="63"/>
  <c r="AN113" i="63" l="1"/>
  <c r="AS113" i="63" s="1"/>
  <c r="M113" i="63"/>
  <c r="L113" i="63" s="1"/>
  <c r="Q113" i="63"/>
  <c r="V113" i="63" s="1"/>
  <c r="Z113" i="63" l="1"/>
  <c r="AM113" i="63"/>
  <c r="P113" i="63"/>
  <c r="U113" i="63" l="1"/>
  <c r="W113" i="63"/>
  <c r="N114" i="63" l="1"/>
  <c r="O114" i="63"/>
  <c r="AT113" i="63"/>
  <c r="AU113" i="63"/>
  <c r="AV113" i="63" s="1"/>
  <c r="AN114" i="63" l="1"/>
  <c r="AS114" i="63" s="1"/>
  <c r="M114" i="63"/>
  <c r="L114" i="63" s="1"/>
  <c r="Q114" i="63"/>
  <c r="V114" i="63" s="1"/>
  <c r="Z114" i="63" l="1"/>
  <c r="AM114" i="63"/>
  <c r="P114" i="63"/>
  <c r="U114" i="63" l="1"/>
  <c r="W114" i="63"/>
  <c r="AT114" i="63" l="1"/>
  <c r="N115" i="63"/>
  <c r="O115" i="63"/>
  <c r="AU114" i="63"/>
  <c r="AV114" i="63" s="1"/>
  <c r="AN115" i="63" l="1"/>
  <c r="AS115" i="63" s="1"/>
  <c r="M115" i="63"/>
  <c r="L115" i="63" s="1"/>
  <c r="Q115" i="63"/>
  <c r="V115" i="63" s="1"/>
  <c r="Z115" i="63" l="1"/>
  <c r="AM115" i="63"/>
  <c r="P115" i="63"/>
  <c r="W115" i="63" l="1"/>
  <c r="U115" i="63"/>
  <c r="AT115" i="63" l="1"/>
  <c r="O116" i="63"/>
  <c r="AU115" i="63"/>
  <c r="AV115" i="63" s="1"/>
  <c r="N116" i="63"/>
  <c r="M116" i="63" l="1"/>
  <c r="L116" i="63" s="1"/>
  <c r="Q116" i="63"/>
  <c r="V116" i="63" s="1"/>
  <c r="AN116" i="63"/>
  <c r="AS116" i="63" s="1"/>
  <c r="P116" i="63" l="1"/>
  <c r="W116" i="63" s="1"/>
  <c r="Z116" i="63"/>
  <c r="AM116" i="63"/>
  <c r="U116" i="63" l="1"/>
  <c r="AU116" i="63"/>
  <c r="AV116" i="63" s="1"/>
  <c r="N117" i="63"/>
  <c r="AT116" i="63"/>
  <c r="O117" i="63"/>
  <c r="AN117" i="63" s="1"/>
  <c r="AS117" i="63" s="1"/>
  <c r="Q117" i="63" l="1"/>
  <c r="M117" i="63"/>
  <c r="L117" i="63" s="1"/>
  <c r="Z117" i="63" l="1"/>
  <c r="AM117" i="63"/>
  <c r="V117" i="63"/>
  <c r="P117" i="63"/>
  <c r="U117" i="63" l="1"/>
  <c r="W117" i="63"/>
  <c r="AT117" i="63" l="1"/>
  <c r="N118" i="63"/>
  <c r="O118" i="63"/>
  <c r="AN118" i="63" s="1"/>
  <c r="AS118" i="63" s="1"/>
  <c r="AU117" i="63"/>
  <c r="AV117" i="63" s="1"/>
  <c r="M118" i="63" l="1"/>
  <c r="L118" i="63" s="1"/>
  <c r="Q118" i="63"/>
  <c r="V118" i="63" l="1"/>
  <c r="P118" i="63"/>
  <c r="Z118" i="63"/>
  <c r="AM118" i="63"/>
  <c r="W118" i="63" l="1"/>
  <c r="U118" i="63"/>
  <c r="N119" i="63" l="1"/>
  <c r="O119" i="63"/>
  <c r="AN119" i="63" s="1"/>
  <c r="AS119" i="63" s="1"/>
  <c r="AU118" i="63"/>
  <c r="AV118" i="63" s="1"/>
  <c r="AT118" i="63"/>
  <c r="Q119" i="63" l="1"/>
  <c r="M119" i="63"/>
  <c r="L119" i="63" s="1"/>
  <c r="V119" i="63" l="1"/>
  <c r="P119" i="63"/>
  <c r="AM119" i="63"/>
  <c r="Z119" i="63"/>
  <c r="U119" i="63" l="1"/>
  <c r="W119" i="63"/>
  <c r="AU119" i="63" l="1"/>
  <c r="AV119" i="63" s="1"/>
  <c r="O120" i="63"/>
  <c r="AN120" i="63" s="1"/>
  <c r="AS120" i="63" s="1"/>
  <c r="AT119" i="63"/>
  <c r="N120" i="63"/>
  <c r="M120" i="63" l="1"/>
  <c r="L120" i="63" s="1"/>
  <c r="Q120" i="63"/>
  <c r="V120" i="63" l="1"/>
  <c r="P120" i="63"/>
  <c r="Z120" i="63"/>
  <c r="AM120" i="63"/>
  <c r="U120" i="63" l="1"/>
  <c r="W120" i="63"/>
  <c r="AU120" i="63" l="1"/>
  <c r="AV120" i="63" s="1"/>
  <c r="AT120" i="63"/>
  <c r="N121" i="63"/>
  <c r="O121" i="63"/>
  <c r="AN121" i="63" s="1"/>
  <c r="AS121" i="63" s="1"/>
  <c r="M121" i="63" l="1"/>
  <c r="L121" i="63" s="1"/>
  <c r="Q121" i="63"/>
  <c r="V121" i="63" l="1"/>
  <c r="P121" i="63"/>
  <c r="Z121" i="63"/>
  <c r="AM121" i="63"/>
  <c r="U121" i="63" l="1"/>
  <c r="W121" i="63"/>
  <c r="N122" i="63" l="1"/>
  <c r="AT121" i="63"/>
  <c r="AU121" i="63"/>
  <c r="AV121" i="63" s="1"/>
  <c r="O122" i="63"/>
  <c r="AN122" i="63" s="1"/>
  <c r="AS122" i="63" s="1"/>
  <c r="M122" i="63" l="1"/>
  <c r="L122" i="63" s="1"/>
  <c r="Q122" i="63"/>
  <c r="V122" i="63" l="1"/>
  <c r="P122" i="63"/>
  <c r="Z122" i="63"/>
  <c r="AM122" i="63"/>
  <c r="U122" i="63" l="1"/>
  <c r="W122" i="63"/>
  <c r="N123" i="63" l="1"/>
  <c r="O123" i="63"/>
  <c r="AN123" i="63" s="1"/>
  <c r="AS123" i="63" s="1"/>
  <c r="AT122" i="63"/>
  <c r="AU122" i="63"/>
  <c r="AV122" i="63" s="1"/>
  <c r="M123" i="63" l="1"/>
  <c r="L123" i="63" s="1"/>
  <c r="Q123" i="63"/>
  <c r="V123" i="63" l="1"/>
  <c r="P123" i="63"/>
  <c r="AM123" i="63"/>
  <c r="Z123" i="63"/>
  <c r="U123" i="63" l="1"/>
  <c r="W123" i="63"/>
  <c r="O124" i="63" l="1"/>
  <c r="AN124" i="63" s="1"/>
  <c r="AS124" i="63" s="1"/>
  <c r="AT123" i="63"/>
  <c r="AU123" i="63"/>
  <c r="AV123" i="63" s="1"/>
  <c r="N124" i="63"/>
  <c r="Q124" i="63" l="1"/>
  <c r="M124" i="63"/>
  <c r="L124" i="63" s="1"/>
  <c r="Z124" i="63" l="1"/>
  <c r="AM124" i="63"/>
  <c r="V124" i="63"/>
  <c r="P124" i="63"/>
  <c r="U124" i="63" l="1"/>
  <c r="W124" i="63"/>
  <c r="AT124" i="63" l="1"/>
  <c r="N125" i="63"/>
  <c r="O125" i="63"/>
  <c r="AU124" i="63"/>
  <c r="AV124" i="63" s="1"/>
  <c r="AN125" i="63" l="1"/>
  <c r="AS125" i="63" s="1"/>
  <c r="Q125" i="63"/>
  <c r="V125" i="63" s="1"/>
  <c r="M125" i="63"/>
  <c r="L125" i="63" s="1"/>
  <c r="Z125" i="63" l="1"/>
  <c r="AM125" i="63"/>
  <c r="P125" i="63"/>
  <c r="U125" i="63" l="1"/>
  <c r="W125" i="63"/>
  <c r="AT125" i="63" l="1"/>
  <c r="O126" i="63"/>
  <c r="N126" i="63"/>
  <c r="AU125" i="63"/>
  <c r="AV125" i="63" s="1"/>
  <c r="AN126" i="63" l="1"/>
  <c r="AS126" i="63" s="1"/>
  <c r="Q126" i="63"/>
  <c r="V126" i="63" s="1"/>
  <c r="M126" i="63"/>
  <c r="L126" i="63" s="1"/>
  <c r="Z126" i="63" l="1"/>
  <c r="AM126" i="63"/>
  <c r="P126" i="63"/>
  <c r="U126" i="63" l="1"/>
  <c r="W126" i="63"/>
  <c r="N127" i="63" l="1"/>
  <c r="AT126" i="63"/>
  <c r="O127" i="63"/>
  <c r="AU126" i="63"/>
  <c r="AV126" i="63" s="1"/>
  <c r="AN127" i="63" l="1"/>
  <c r="AS127" i="63" s="1"/>
  <c r="M127" i="63"/>
  <c r="L127" i="63" s="1"/>
  <c r="Q127" i="63"/>
  <c r="V127" i="63" s="1"/>
  <c r="Z127" i="63" l="1"/>
  <c r="AM127" i="63"/>
  <c r="P127" i="63"/>
  <c r="U127" i="63" l="1"/>
  <c r="W127" i="63"/>
  <c r="AT127" i="63" l="1"/>
  <c r="O128" i="63"/>
  <c r="AU127" i="63"/>
  <c r="AV127" i="63" s="1"/>
  <c r="N128" i="63"/>
  <c r="Q128" i="63" l="1"/>
  <c r="V128" i="63" s="1"/>
  <c r="M128" i="63"/>
  <c r="L128" i="63" s="1"/>
  <c r="AN128" i="63"/>
  <c r="AS128" i="63" s="1"/>
  <c r="P128" i="63"/>
  <c r="U128" i="63" l="1"/>
  <c r="W128" i="63"/>
  <c r="Z128" i="63"/>
  <c r="AM128" i="63"/>
  <c r="N129" i="63" l="1"/>
  <c r="AU128" i="63"/>
  <c r="AV128" i="63" s="1"/>
  <c r="AT128" i="63"/>
  <c r="O129" i="63"/>
  <c r="AN129" i="63" s="1"/>
  <c r="AS129" i="63" s="1"/>
  <c r="M129" i="63" l="1"/>
  <c r="L129" i="63" s="1"/>
  <c r="Q129" i="63"/>
  <c r="V129" i="63" l="1"/>
  <c r="P129" i="63"/>
  <c r="AM129" i="63"/>
  <c r="Z129" i="63"/>
  <c r="W129" i="63" l="1"/>
  <c r="U129" i="63"/>
  <c r="AT129" i="63" l="1"/>
  <c r="O130" i="63"/>
  <c r="AN130" i="63" s="1"/>
  <c r="AS130" i="63" s="1"/>
  <c r="AU129" i="63"/>
  <c r="AV129" i="63" s="1"/>
  <c r="N130" i="63"/>
  <c r="M130" i="63" l="1"/>
  <c r="L130" i="63" s="1"/>
  <c r="Q130" i="63"/>
  <c r="V130" i="63" l="1"/>
  <c r="P130" i="63"/>
  <c r="Z130" i="63"/>
  <c r="AM130" i="63"/>
  <c r="U130" i="63" l="1"/>
  <c r="W130" i="63"/>
  <c r="O131" i="63" l="1"/>
  <c r="AN131" i="63" s="1"/>
  <c r="AS131" i="63" s="1"/>
  <c r="N131" i="63"/>
  <c r="AU130" i="63"/>
  <c r="AV130" i="63" s="1"/>
  <c r="AT130" i="63"/>
  <c r="M131" i="63" l="1"/>
  <c r="L131" i="63" s="1"/>
  <c r="Q131" i="63"/>
  <c r="V131" i="63" l="1"/>
  <c r="P131" i="63"/>
  <c r="Z131" i="63"/>
  <c r="AM131" i="63"/>
  <c r="U131" i="63" l="1"/>
  <c r="W131" i="63"/>
  <c r="O132" i="63" l="1"/>
  <c r="AN132" i="63" s="1"/>
  <c r="AS132" i="63" s="1"/>
  <c r="AT131" i="63"/>
  <c r="AU131" i="63"/>
  <c r="AV131" i="63" s="1"/>
  <c r="N132" i="63"/>
  <c r="M132" i="63" l="1"/>
  <c r="L132" i="63" s="1"/>
  <c r="Q132" i="63"/>
  <c r="V132" i="63" l="1"/>
  <c r="P132" i="63"/>
  <c r="Z132" i="63"/>
  <c r="AM132" i="63"/>
  <c r="U132" i="63" l="1"/>
  <c r="W132" i="63"/>
  <c r="AU132" i="63" l="1"/>
  <c r="AV132" i="63" s="1"/>
  <c r="AT132" i="63"/>
  <c r="O133" i="63"/>
  <c r="N133" i="63"/>
  <c r="Q133" i="63" l="1"/>
  <c r="V133" i="63" s="1"/>
  <c r="M133" i="63"/>
  <c r="L133" i="63" s="1"/>
  <c r="AN133" i="63"/>
  <c r="AS133" i="63" s="1"/>
  <c r="P133" i="63" l="1"/>
  <c r="U133" i="63" s="1"/>
  <c r="W133" i="63"/>
  <c r="Z133" i="63"/>
  <c r="AM133" i="63"/>
  <c r="AU133" i="63" l="1"/>
  <c r="AV133" i="63" s="1"/>
  <c r="AT133" i="63"/>
  <c r="N134" i="63"/>
  <c r="O134" i="63"/>
  <c r="AN134" i="63" s="1"/>
  <c r="AS134" i="63" s="1"/>
  <c r="Q134" i="63" l="1"/>
  <c r="M134" i="63"/>
  <c r="L134" i="63" s="1"/>
  <c r="Z134" i="63" l="1"/>
  <c r="AM134" i="63"/>
  <c r="V134" i="63"/>
  <c r="P134" i="63"/>
  <c r="U134" i="63" l="1"/>
  <c r="W134" i="63"/>
  <c r="N135" i="63" l="1"/>
  <c r="AU134" i="63"/>
  <c r="AV134" i="63" s="1"/>
  <c r="O135" i="63"/>
  <c r="AN135" i="63" s="1"/>
  <c r="AS135" i="63" s="1"/>
  <c r="AT134" i="63"/>
  <c r="M135" i="63" l="1"/>
  <c r="L135" i="63" s="1"/>
  <c r="Q135" i="63"/>
  <c r="V135" i="63" l="1"/>
  <c r="P135" i="63"/>
  <c r="Z135" i="63"/>
  <c r="AM135" i="63"/>
  <c r="U135" i="63" l="1"/>
  <c r="W135" i="63"/>
  <c r="O136" i="63" l="1"/>
  <c r="AN136" i="63" s="1"/>
  <c r="AS136" i="63" s="1"/>
  <c r="AU135" i="63"/>
  <c r="AV135" i="63" s="1"/>
  <c r="N136" i="63"/>
  <c r="AT135" i="63"/>
  <c r="M136" i="63" l="1"/>
  <c r="L136" i="63" s="1"/>
  <c r="Q136" i="63"/>
  <c r="V136" i="63" l="1"/>
  <c r="P136" i="63"/>
  <c r="Z136" i="63"/>
  <c r="AM136" i="63"/>
  <c r="W136" i="63" l="1"/>
  <c r="U136" i="63"/>
  <c r="AU136" i="63" l="1"/>
  <c r="AV136" i="63" s="1"/>
  <c r="N137" i="63"/>
  <c r="AT136" i="63"/>
  <c r="O137" i="63"/>
  <c r="Q137" i="63" l="1"/>
  <c r="V137" i="63" s="1"/>
  <c r="M137" i="63"/>
  <c r="L137" i="63" s="1"/>
  <c r="AN137" i="63"/>
  <c r="AS137" i="63" s="1"/>
  <c r="P137" i="63"/>
  <c r="U137" i="63" s="1"/>
  <c r="Z137" i="63" l="1"/>
  <c r="AM137" i="63"/>
  <c r="W137" i="63"/>
  <c r="AU137" i="63" l="1"/>
  <c r="AV137" i="63" s="1"/>
  <c r="N138" i="63"/>
  <c r="AT137" i="63"/>
  <c r="O138" i="63"/>
  <c r="Q138" i="63" l="1"/>
  <c r="V138" i="63" s="1"/>
  <c r="M138" i="63"/>
  <c r="L138" i="63" s="1"/>
  <c r="AN138" i="63"/>
  <c r="AS138" i="63" s="1"/>
  <c r="P138" i="63"/>
  <c r="Z138" i="63" l="1"/>
  <c r="AM138" i="63"/>
  <c r="W138" i="63"/>
  <c r="U138" i="63"/>
  <c r="AT138" i="63" l="1"/>
  <c r="O139" i="63"/>
  <c r="N139" i="63"/>
  <c r="AU138" i="63"/>
  <c r="AV138" i="63" s="1"/>
  <c r="M139" i="63" l="1"/>
  <c r="L139" i="63" s="1"/>
  <c r="Q139" i="63"/>
  <c r="V139" i="63" s="1"/>
  <c r="AN139" i="63"/>
  <c r="AS139" i="63" s="1"/>
  <c r="P139" i="63" l="1"/>
  <c r="W139" i="63" s="1"/>
  <c r="Z139" i="63"/>
  <c r="AM139" i="63"/>
  <c r="U139" i="63" l="1"/>
  <c r="AU139" i="63"/>
  <c r="AV139" i="63" s="1"/>
  <c r="N140" i="63"/>
  <c r="O140" i="63"/>
  <c r="AN140" i="63" s="1"/>
  <c r="AS140" i="63" s="1"/>
  <c r="AT139" i="63"/>
  <c r="M140" i="63" l="1"/>
  <c r="L140" i="63" s="1"/>
  <c r="Q140" i="63"/>
  <c r="V140" i="63" l="1"/>
  <c r="P140" i="63"/>
  <c r="Z140" i="63"/>
  <c r="AM140" i="63"/>
  <c r="U140" i="63" l="1"/>
  <c r="W140" i="63"/>
  <c r="AU140" i="63" l="1"/>
  <c r="AV140" i="63" s="1"/>
  <c r="AT140" i="63"/>
  <c r="O141" i="63"/>
  <c r="N141" i="63"/>
  <c r="Q141" i="63" l="1"/>
  <c r="V141" i="63" s="1"/>
  <c r="M141" i="63"/>
  <c r="L141" i="63" s="1"/>
  <c r="AN141" i="63"/>
  <c r="AS141" i="63" s="1"/>
  <c r="P141" i="63"/>
  <c r="U141" i="63" l="1"/>
  <c r="W141" i="63"/>
  <c r="Z141" i="63"/>
  <c r="AM141" i="63"/>
  <c r="O142" i="63" l="1"/>
  <c r="AN142" i="63" s="1"/>
  <c r="AS142" i="63" s="1"/>
  <c r="N142" i="63"/>
  <c r="AT141" i="63"/>
  <c r="AU141" i="63"/>
  <c r="AV141" i="63" s="1"/>
  <c r="M142" i="63" l="1"/>
  <c r="L142" i="63" s="1"/>
  <c r="Q142" i="63"/>
  <c r="V142" i="63" l="1"/>
  <c r="P142" i="63"/>
  <c r="Z142" i="63"/>
  <c r="AM142" i="63"/>
  <c r="U142" i="63" l="1"/>
  <c r="W142" i="63"/>
  <c r="AT142" i="63" l="1"/>
  <c r="O143" i="63"/>
  <c r="N143" i="63"/>
  <c r="AU142" i="63"/>
  <c r="AV142" i="63" s="1"/>
  <c r="Q143" i="63" l="1"/>
  <c r="V143" i="63" s="1"/>
  <c r="M143" i="63"/>
  <c r="L143" i="63" s="1"/>
  <c r="AN143" i="63"/>
  <c r="AS143" i="63" s="1"/>
  <c r="P143" i="63"/>
  <c r="U143" i="63" l="1"/>
  <c r="W143" i="63"/>
  <c r="Z143" i="63"/>
  <c r="AM143" i="63"/>
  <c r="N144" i="63" l="1"/>
  <c r="O144" i="63"/>
  <c r="AN144" i="63" s="1"/>
  <c r="AS144" i="63" s="1"/>
  <c r="AT143" i="63"/>
  <c r="AU143" i="63"/>
  <c r="AV143" i="63" s="1"/>
  <c r="M144" i="63" l="1"/>
  <c r="L144" i="63" s="1"/>
  <c r="Q144" i="63"/>
  <c r="V144" i="63" l="1"/>
  <c r="P144" i="63"/>
  <c r="AM144" i="63"/>
  <c r="Z144" i="63"/>
  <c r="U144" i="63" l="1"/>
  <c r="W144" i="63"/>
  <c r="AU144" i="63" l="1"/>
  <c r="AV144" i="63" s="1"/>
  <c r="AT144" i="63"/>
  <c r="O145" i="63"/>
  <c r="AN145" i="63" s="1"/>
  <c r="AS145" i="63" s="1"/>
  <c r="N145" i="63"/>
  <c r="M145" i="63" l="1"/>
  <c r="L145" i="63" s="1"/>
  <c r="Q145" i="63"/>
  <c r="V145" i="63" l="1"/>
  <c r="P145" i="63"/>
  <c r="Z145" i="63"/>
  <c r="AM145" i="63"/>
  <c r="U145" i="63" l="1"/>
  <c r="W145" i="63"/>
  <c r="AT145" i="63" l="1"/>
  <c r="N146" i="63"/>
  <c r="O146" i="63"/>
  <c r="AN146" i="63" s="1"/>
  <c r="AS146" i="63" s="1"/>
  <c r="AU145" i="63"/>
  <c r="AV145" i="63" s="1"/>
  <c r="Q146" i="63" l="1"/>
  <c r="V146" i="63" s="1"/>
  <c r="M146" i="63"/>
  <c r="L146" i="63" s="1"/>
  <c r="Z146" i="63" l="1"/>
  <c r="AM146" i="63"/>
  <c r="P146" i="63"/>
  <c r="U146" i="63" l="1"/>
  <c r="W146" i="63"/>
  <c r="N147" i="63" l="1"/>
  <c r="O147" i="63"/>
  <c r="AN147" i="63" s="1"/>
  <c r="AS147" i="63" s="1"/>
  <c r="AU146" i="63"/>
  <c r="AV146" i="63" s="1"/>
  <c r="AT146" i="63"/>
  <c r="M147" i="63" l="1"/>
  <c r="L147" i="63" s="1"/>
  <c r="Q147" i="63"/>
  <c r="V147" i="63" l="1"/>
  <c r="P147" i="63"/>
  <c r="Z147" i="63"/>
  <c r="AM147" i="63"/>
  <c r="U147" i="63" l="1"/>
  <c r="W147" i="63"/>
  <c r="N148" i="63" l="1"/>
  <c r="AU147" i="63"/>
  <c r="AV147" i="63" s="1"/>
  <c r="O148" i="63"/>
  <c r="AN148" i="63" s="1"/>
  <c r="AS148" i="63" s="1"/>
  <c r="AT147" i="63"/>
  <c r="Q148" i="63" l="1"/>
  <c r="V148" i="63" s="1"/>
  <c r="M148" i="63"/>
  <c r="L148" i="63" s="1"/>
  <c r="Z148" i="63" l="1"/>
  <c r="AM148" i="63"/>
  <c r="P148" i="63"/>
  <c r="U148" i="63" l="1"/>
  <c r="W148" i="63"/>
  <c r="N149" i="63" l="1"/>
  <c r="O149" i="63"/>
  <c r="AN149" i="63" s="1"/>
  <c r="AS149" i="63" s="1"/>
  <c r="AT148" i="63"/>
  <c r="AU148" i="63"/>
  <c r="AV148" i="63" s="1"/>
  <c r="Q149" i="63" l="1"/>
  <c r="M149" i="63"/>
  <c r="L149" i="63" s="1"/>
  <c r="Z149" i="63" l="1"/>
  <c r="AM149" i="63"/>
  <c r="V149" i="63"/>
  <c r="P149" i="63"/>
  <c r="U149" i="63" l="1"/>
  <c r="W149" i="63"/>
  <c r="AU149" i="63" l="1"/>
  <c r="AV149" i="63" s="1"/>
  <c r="N150" i="63"/>
  <c r="AT149" i="63"/>
  <c r="O150" i="63"/>
  <c r="AN150" i="63" s="1"/>
  <c r="AS150" i="63" s="1"/>
  <c r="Q150" i="63" l="1"/>
  <c r="M150" i="63"/>
  <c r="L150" i="63" s="1"/>
  <c r="AM150" i="63" l="1"/>
  <c r="Z150" i="63"/>
  <c r="V150" i="63"/>
  <c r="P150" i="63"/>
  <c r="W150" i="63" l="1"/>
  <c r="U150" i="63"/>
  <c r="AT150" i="63" l="1"/>
  <c r="AU150" i="63"/>
  <c r="AV150" i="63" s="1"/>
  <c r="N151" i="63"/>
  <c r="O151" i="63"/>
  <c r="AN151" i="63" l="1"/>
  <c r="AS151" i="63" s="1"/>
  <c r="Q151" i="63"/>
  <c r="V151" i="63" s="1"/>
  <c r="M151" i="63"/>
  <c r="L151" i="63" s="1"/>
  <c r="Z151" i="63" l="1"/>
  <c r="AM151" i="63"/>
  <c r="P151" i="63"/>
  <c r="W151" i="63" l="1"/>
  <c r="U151" i="63"/>
  <c r="AT151" i="63" l="1"/>
  <c r="N152" i="63"/>
  <c r="AU151" i="63"/>
  <c r="AV151" i="63" s="1"/>
  <c r="O152" i="63"/>
  <c r="AN152" i="63" l="1"/>
  <c r="AS152" i="63" s="1"/>
  <c r="M152" i="63"/>
  <c r="L152" i="63" s="1"/>
  <c r="Q152" i="63"/>
  <c r="V152" i="63" s="1"/>
  <c r="P152" i="63" l="1"/>
  <c r="Z152" i="63"/>
  <c r="AM152" i="63"/>
  <c r="U152" i="63" l="1"/>
  <c r="W152" i="63"/>
  <c r="AU152" i="63" l="1"/>
  <c r="AV152" i="63" s="1"/>
  <c r="AT152" i="63"/>
  <c r="N153" i="63"/>
  <c r="O153" i="63"/>
  <c r="AN153" i="63" l="1"/>
  <c r="AS153" i="63" s="1"/>
  <c r="Q153" i="63"/>
  <c r="V153" i="63" s="1"/>
  <c r="M153" i="63"/>
  <c r="L153" i="63" s="1"/>
  <c r="Z153" i="63" l="1"/>
  <c r="AM153" i="63"/>
  <c r="P153" i="63"/>
  <c r="W153" i="63" l="1"/>
  <c r="U153" i="63"/>
  <c r="AT153" i="63" l="1"/>
  <c r="N154" i="63"/>
  <c r="O154" i="63"/>
  <c r="AU153" i="63"/>
  <c r="AV153" i="63" s="1"/>
  <c r="AN154" i="63" l="1"/>
  <c r="AS154" i="63" s="1"/>
  <c r="Q154" i="63"/>
  <c r="V154" i="63" s="1"/>
  <c r="M154" i="63"/>
  <c r="L154" i="63" s="1"/>
  <c r="Z154" i="63" l="1"/>
  <c r="AM154" i="63"/>
  <c r="P154" i="63"/>
  <c r="U154" i="63" l="1"/>
  <c r="W154" i="63"/>
  <c r="AU154" i="63" l="1"/>
  <c r="AV154" i="63" s="1"/>
  <c r="O155" i="63"/>
  <c r="AT154" i="63"/>
  <c r="N155" i="63"/>
  <c r="AN155" i="63" l="1"/>
  <c r="AS155" i="63" s="1"/>
  <c r="Q155" i="63"/>
  <c r="V155" i="63" s="1"/>
  <c r="M155" i="63"/>
  <c r="L155" i="63" s="1"/>
  <c r="Z155" i="63" l="1"/>
  <c r="AM155" i="63"/>
  <c r="P155" i="63"/>
  <c r="U155" i="63" l="1"/>
  <c r="W155" i="63"/>
  <c r="O156" i="63" l="1"/>
  <c r="AU155" i="63"/>
  <c r="AV155" i="63" s="1"/>
  <c r="N156" i="63"/>
  <c r="AT155" i="63"/>
  <c r="M156" i="63" l="1"/>
  <c r="L156" i="63" s="1"/>
  <c r="Q156" i="63"/>
  <c r="V156" i="63" s="1"/>
  <c r="AN156" i="63"/>
  <c r="AS156" i="63" s="1"/>
  <c r="P156" i="63" l="1"/>
  <c r="U156" i="63" s="1"/>
  <c r="W156" i="63"/>
  <c r="Z156" i="63"/>
  <c r="AM156" i="63"/>
  <c r="O157" i="63" l="1"/>
  <c r="N157" i="63"/>
  <c r="AU156" i="63"/>
  <c r="AV156" i="63" s="1"/>
  <c r="AT156" i="63"/>
  <c r="M157" i="63" l="1"/>
  <c r="L157" i="63" s="1"/>
  <c r="Q157" i="63"/>
  <c r="V157" i="63" s="1"/>
  <c r="AN157" i="63"/>
  <c r="AS157" i="63" s="1"/>
  <c r="P157" i="63" l="1"/>
  <c r="Z157" i="63"/>
  <c r="AM157" i="63"/>
  <c r="W157" i="63" l="1"/>
  <c r="U157" i="63"/>
  <c r="N158" i="63" l="1"/>
  <c r="O158" i="63"/>
  <c r="AU157" i="63"/>
  <c r="AV157" i="63" s="1"/>
  <c r="AT157" i="63"/>
  <c r="AN158" i="63" l="1"/>
  <c r="AS158" i="63" s="1"/>
  <c r="M158" i="63"/>
  <c r="L158" i="63" s="1"/>
  <c r="Q158" i="63"/>
  <c r="V158" i="63" s="1"/>
  <c r="P158" i="63" l="1"/>
  <c r="Z158" i="63"/>
  <c r="AM158" i="63"/>
  <c r="U158" i="63" l="1"/>
  <c r="W158" i="63"/>
  <c r="AU158" i="63" l="1"/>
  <c r="AV158" i="63" s="1"/>
  <c r="N159" i="63"/>
  <c r="O159" i="63"/>
  <c r="AT158" i="63"/>
  <c r="AN159" i="63" l="1"/>
  <c r="AS159" i="63" s="1"/>
  <c r="M159" i="63"/>
  <c r="L159" i="63" s="1"/>
  <c r="Q159" i="63"/>
  <c r="V159" i="63" s="1"/>
  <c r="P159" i="63" l="1"/>
  <c r="Z159" i="63"/>
  <c r="AM159" i="63"/>
  <c r="U159" i="63" l="1"/>
  <c r="W159" i="63"/>
  <c r="N160" i="63" l="1"/>
  <c r="AU159" i="63"/>
  <c r="AV159" i="63" s="1"/>
  <c r="AT159" i="63"/>
  <c r="O160" i="63"/>
  <c r="AN160" i="63" l="1"/>
  <c r="AS160" i="63" s="1"/>
  <c r="Q160" i="63"/>
  <c r="V160" i="63" s="1"/>
  <c r="M160" i="63"/>
  <c r="L160" i="63" s="1"/>
  <c r="Z160" i="63" l="1"/>
  <c r="AM160" i="63"/>
  <c r="P160" i="63"/>
  <c r="U160" i="63" l="1"/>
  <c r="W160" i="63"/>
  <c r="O161" i="63" l="1"/>
  <c r="AU160" i="63"/>
  <c r="AV160" i="63" s="1"/>
  <c r="AT160" i="63"/>
  <c r="N161" i="63"/>
  <c r="M161" i="63" l="1"/>
  <c r="L161" i="63" s="1"/>
  <c r="Q161" i="63"/>
  <c r="V161" i="63" s="1"/>
  <c r="AN161" i="63"/>
  <c r="AS161" i="63" s="1"/>
  <c r="P161" i="63" l="1"/>
  <c r="U161" i="63" s="1"/>
  <c r="Z161" i="63"/>
  <c r="AM161" i="63"/>
  <c r="W161" i="63" l="1"/>
  <c r="AT161" i="63" s="1"/>
  <c r="O162" i="63"/>
  <c r="N162" i="63"/>
  <c r="AU161" i="63"/>
  <c r="AV161" i="63" s="1"/>
  <c r="M162" i="63" l="1"/>
  <c r="L162" i="63" s="1"/>
  <c r="Q162" i="63"/>
  <c r="V162" i="63" s="1"/>
  <c r="AN162" i="63"/>
  <c r="AS162" i="63" s="1"/>
  <c r="P162" i="63" l="1"/>
  <c r="U162" i="63" s="1"/>
  <c r="Z162" i="63"/>
  <c r="AM162" i="63"/>
  <c r="W162" i="63" l="1"/>
  <c r="AT162" i="63"/>
  <c r="AU162" i="63"/>
  <c r="AV162" i="63" s="1"/>
  <c r="N163" i="63"/>
  <c r="O163" i="63"/>
  <c r="M163" i="63" l="1"/>
  <c r="L163" i="63" s="1"/>
  <c r="Q163" i="63"/>
  <c r="V163" i="63" s="1"/>
  <c r="AN163" i="63"/>
  <c r="AS163" i="63" s="1"/>
  <c r="P163" i="63" l="1"/>
  <c r="U163" i="63" s="1"/>
  <c r="W163" i="63"/>
  <c r="Z163" i="63"/>
  <c r="AM163" i="63"/>
  <c r="O164" i="63" l="1"/>
  <c r="AU163" i="63"/>
  <c r="AV163" i="63" s="1"/>
  <c r="AT163" i="63"/>
  <c r="N164" i="63"/>
  <c r="M164" i="63" l="1"/>
  <c r="L164" i="63" s="1"/>
  <c r="Q164" i="63"/>
  <c r="V164" i="63" s="1"/>
  <c r="AN164" i="63"/>
  <c r="AS164" i="63" s="1"/>
  <c r="P164" i="63" l="1"/>
  <c r="U164" i="63" s="1"/>
  <c r="W164" i="63"/>
  <c r="Z164" i="63"/>
  <c r="AM164" i="63"/>
  <c r="AT164" i="63" l="1"/>
  <c r="N165" i="63"/>
  <c r="O165" i="63"/>
  <c r="AU164" i="63"/>
  <c r="AV164" i="63" s="1"/>
  <c r="M165" i="63" l="1"/>
  <c r="L165" i="63" s="1"/>
  <c r="Q165" i="63"/>
  <c r="V165" i="63" s="1"/>
  <c r="AN165" i="63"/>
  <c r="AS165" i="63" s="1"/>
  <c r="P165" i="63" l="1"/>
  <c r="AM165" i="63"/>
  <c r="Z165" i="63"/>
  <c r="U165" i="63" l="1"/>
  <c r="W165" i="63"/>
  <c r="AT165" i="63" l="1"/>
  <c r="O166" i="63"/>
  <c r="AU165" i="63"/>
  <c r="AV165" i="63" s="1"/>
  <c r="N166" i="63"/>
  <c r="AN166" i="63" l="1"/>
  <c r="AS166" i="63" s="1"/>
  <c r="Q166" i="63"/>
  <c r="V166" i="63" s="1"/>
  <c r="M166" i="63"/>
  <c r="L166" i="63" s="1"/>
  <c r="P166" i="63" l="1"/>
  <c r="Z166" i="63"/>
  <c r="AM166" i="63"/>
  <c r="U166" i="63" l="1"/>
  <c r="W166" i="63"/>
  <c r="O167" i="63" l="1"/>
  <c r="N167" i="63"/>
  <c r="AU166" i="63"/>
  <c r="AV166" i="63" s="1"/>
  <c r="AT166" i="63"/>
  <c r="Q167" i="63" l="1"/>
  <c r="V167" i="63" s="1"/>
  <c r="M167" i="63"/>
  <c r="L167" i="63" s="1"/>
  <c r="AN167" i="63"/>
  <c r="AS167" i="63" s="1"/>
  <c r="P167" i="63"/>
  <c r="U167" i="63" s="1"/>
  <c r="W167" i="63" l="1"/>
  <c r="Z167" i="63"/>
  <c r="AM167" i="63"/>
  <c r="N168" i="63" l="1"/>
  <c r="AT167" i="63"/>
  <c r="O168" i="63"/>
  <c r="AU167" i="63"/>
  <c r="AV167" i="63" s="1"/>
  <c r="AN168" i="63" l="1"/>
  <c r="AS168" i="63" s="1"/>
  <c r="M168" i="63"/>
  <c r="L168" i="63" s="1"/>
  <c r="Q168" i="63"/>
  <c r="V168" i="63" s="1"/>
  <c r="Z168" i="63" l="1"/>
  <c r="AM168" i="63"/>
  <c r="P168" i="63"/>
  <c r="U168" i="63" l="1"/>
  <c r="W168" i="63"/>
  <c r="AU168" i="63" l="1"/>
  <c r="AV168" i="63" s="1"/>
  <c r="AT168" i="63"/>
  <c r="O169" i="63"/>
  <c r="N169" i="63"/>
  <c r="M169" i="63" l="1"/>
  <c r="L169" i="63" s="1"/>
  <c r="Q169" i="63"/>
  <c r="V169" i="63" s="1"/>
  <c r="AN169" i="63"/>
  <c r="AS169" i="63" s="1"/>
  <c r="P169" i="63" l="1"/>
  <c r="U169" i="63" s="1"/>
  <c r="Z169" i="63"/>
  <c r="AM169" i="63"/>
  <c r="W169" i="63" l="1"/>
  <c r="AT169" i="63" s="1"/>
  <c r="N170" i="63"/>
  <c r="O170" i="63"/>
  <c r="AU169" i="63" l="1"/>
  <c r="AV169" i="63" s="1"/>
  <c r="AN170" i="63"/>
  <c r="AS170" i="63" s="1"/>
  <c r="M170" i="63"/>
  <c r="L170" i="63" s="1"/>
  <c r="Q170" i="63"/>
  <c r="V170" i="63" s="1"/>
  <c r="Z170" i="63" l="1"/>
  <c r="AM170" i="63"/>
  <c r="P170" i="63"/>
  <c r="U170" i="63" l="1"/>
  <c r="W170" i="63"/>
  <c r="AU170" i="63" l="1"/>
  <c r="AV170" i="63" s="1"/>
  <c r="O171" i="63"/>
  <c r="N171" i="63"/>
  <c r="AT170" i="63"/>
  <c r="Q171" i="63" l="1"/>
  <c r="V171" i="63" s="1"/>
  <c r="M171" i="63"/>
  <c r="L171" i="63" s="1"/>
  <c r="AN171" i="63"/>
  <c r="AS171" i="63" s="1"/>
  <c r="P171" i="63" l="1"/>
  <c r="U171" i="63" s="1"/>
  <c r="W171" i="63"/>
  <c r="Z171" i="63"/>
  <c r="AM171" i="63"/>
  <c r="N172" i="63" l="1"/>
  <c r="O172" i="63"/>
  <c r="AT171" i="63"/>
  <c r="AU171" i="63"/>
  <c r="AV171" i="63" s="1"/>
  <c r="AN172" i="63" l="1"/>
  <c r="AS172" i="63" s="1"/>
  <c r="Q172" i="63"/>
  <c r="V172" i="63" s="1"/>
  <c r="M172" i="63"/>
  <c r="L172" i="63" s="1"/>
  <c r="Z172" i="63" l="1"/>
  <c r="AM172" i="63"/>
  <c r="P172" i="63"/>
  <c r="U172" i="63" l="1"/>
  <c r="W172" i="63"/>
  <c r="O173" i="63" l="1"/>
  <c r="AT172" i="63"/>
  <c r="AU172" i="63"/>
  <c r="AV172" i="63" s="1"/>
  <c r="N173" i="63"/>
  <c r="Q173" i="63" l="1"/>
  <c r="V173" i="63" s="1"/>
  <c r="M173" i="63"/>
  <c r="L173" i="63" s="1"/>
  <c r="AN173" i="63"/>
  <c r="AS173" i="63" s="1"/>
  <c r="P173" i="63" l="1"/>
  <c r="U173" i="63" s="1"/>
  <c r="Z173" i="63"/>
  <c r="AM173" i="63"/>
  <c r="W173" i="63" l="1"/>
  <c r="AT173" i="63" s="1"/>
  <c r="AU173" i="63"/>
  <c r="AV173" i="63" s="1"/>
  <c r="N174" i="63" l="1"/>
  <c r="O174" i="63"/>
  <c r="AN174" i="63"/>
  <c r="AS174" i="63" s="1"/>
  <c r="M174" i="63"/>
  <c r="L174" i="63" s="1"/>
  <c r="Q174" i="63"/>
  <c r="V174" i="63" s="1"/>
  <c r="Z174" i="63" l="1"/>
  <c r="AM174" i="63"/>
  <c r="P174" i="63"/>
  <c r="W174" i="63" l="1"/>
  <c r="U174" i="63"/>
  <c r="AU174" i="63" l="1"/>
  <c r="AV174" i="63" s="1"/>
  <c r="AT174" i="63"/>
  <c r="O175" i="63"/>
  <c r="N175" i="63"/>
  <c r="M175" i="63" l="1"/>
  <c r="L175" i="63" s="1"/>
  <c r="Q175" i="63"/>
  <c r="V175" i="63" s="1"/>
  <c r="AN175" i="63"/>
  <c r="AS175" i="63" s="1"/>
  <c r="P175" i="63" l="1"/>
  <c r="U175" i="63" s="1"/>
  <c r="Z175" i="63"/>
  <c r="AM175" i="63"/>
  <c r="W175" i="63" l="1"/>
  <c r="N176" i="63" s="1"/>
  <c r="AT175" i="63"/>
  <c r="O176" i="63"/>
  <c r="AU175" i="63" l="1"/>
  <c r="AV175" i="63" s="1"/>
  <c r="AN176" i="63"/>
  <c r="AS176" i="63" s="1"/>
  <c r="Q176" i="63"/>
  <c r="V176" i="63" s="1"/>
  <c r="M176" i="63"/>
  <c r="L176" i="63" s="1"/>
  <c r="Z176" i="63" l="1"/>
  <c r="AM176" i="63"/>
  <c r="P176" i="63"/>
  <c r="U176" i="63" l="1"/>
  <c r="W176" i="63"/>
  <c r="O177" i="63" l="1"/>
  <c r="N177" i="63"/>
  <c r="AT176" i="63"/>
  <c r="AU176" i="63"/>
  <c r="AV176" i="63" s="1"/>
  <c r="M177" i="63" l="1"/>
  <c r="L177" i="63" s="1"/>
  <c r="Q177" i="63"/>
  <c r="V177" i="63" s="1"/>
  <c r="AN177" i="63"/>
  <c r="AS177" i="63" s="1"/>
  <c r="P177" i="63" l="1"/>
  <c r="Z177" i="63"/>
  <c r="AM177" i="63"/>
  <c r="U177" i="63" l="1"/>
  <c r="W177" i="63"/>
  <c r="N178" i="63" l="1"/>
  <c r="O178" i="63"/>
  <c r="AU177" i="63"/>
  <c r="AV177" i="63" s="1"/>
  <c r="AT177" i="63"/>
  <c r="AN178" i="63" l="1"/>
  <c r="AS178" i="63" s="1"/>
  <c r="M178" i="63"/>
  <c r="L178" i="63" s="1"/>
  <c r="Q178" i="63"/>
  <c r="V178" i="63" s="1"/>
  <c r="Z178" i="63" l="1"/>
  <c r="AM178" i="63"/>
  <c r="P178" i="63"/>
  <c r="U178" i="63" l="1"/>
  <c r="W178" i="63"/>
  <c r="N179" i="63" l="1"/>
  <c r="AU178" i="63"/>
  <c r="AV178" i="63" s="1"/>
  <c r="O179" i="63"/>
  <c r="AT178" i="63"/>
  <c r="AN179" i="63" l="1"/>
  <c r="AS179" i="63" s="1"/>
  <c r="M179" i="63"/>
  <c r="L179" i="63" s="1"/>
  <c r="Q179" i="63"/>
  <c r="V179" i="63" s="1"/>
  <c r="Z179" i="63" l="1"/>
  <c r="AM179" i="63"/>
  <c r="P179" i="63"/>
  <c r="U179" i="63" l="1"/>
  <c r="W179" i="63"/>
  <c r="AU179" i="63" l="1"/>
  <c r="AV179" i="63" s="1"/>
  <c r="AT179" i="63"/>
  <c r="O180" i="63"/>
  <c r="N180" i="63"/>
  <c r="M180" i="63" l="1"/>
  <c r="L180" i="63" s="1"/>
  <c r="Q180" i="63"/>
  <c r="V180" i="63" s="1"/>
  <c r="AN180" i="63"/>
  <c r="AS180" i="63" s="1"/>
  <c r="P180" i="63" l="1"/>
  <c r="U180" i="63" s="1"/>
  <c r="Z180" i="63"/>
  <c r="AM180" i="63"/>
  <c r="W180" i="63" l="1"/>
  <c r="N181" i="63"/>
  <c r="AU180" i="63"/>
  <c r="AV180" i="63" s="1"/>
  <c r="O181" i="63"/>
  <c r="AT180" i="63"/>
  <c r="AN181" i="63" l="1"/>
  <c r="AS181" i="63" s="1"/>
  <c r="M181" i="63"/>
  <c r="L181" i="63" s="1"/>
  <c r="Q181" i="63"/>
  <c r="V181" i="63" s="1"/>
  <c r="Z181" i="63" l="1"/>
  <c r="AM181" i="63"/>
  <c r="P181" i="63"/>
  <c r="U181" i="63" l="1"/>
  <c r="W181" i="63"/>
  <c r="AU181" i="63" l="1"/>
  <c r="AV181" i="63" s="1"/>
  <c r="AT181" i="63"/>
  <c r="O182" i="63"/>
  <c r="N182" i="63"/>
  <c r="M182" i="63" l="1"/>
  <c r="L182" i="63" s="1"/>
  <c r="Q182" i="63"/>
  <c r="V182" i="63" s="1"/>
  <c r="AN182" i="63"/>
  <c r="AS182" i="63" s="1"/>
  <c r="P182" i="63" l="1"/>
  <c r="U182" i="63" s="1"/>
  <c r="Z182" i="63"/>
  <c r="AM182" i="63"/>
  <c r="W182" i="63" l="1"/>
  <c r="N183" i="63" s="1"/>
  <c r="O183" i="63" l="1"/>
  <c r="AT182" i="63"/>
  <c r="AU182" i="63"/>
  <c r="AV182" i="63" s="1"/>
  <c r="AN183" i="63"/>
  <c r="AS183" i="63" s="1"/>
  <c r="M183" i="63"/>
  <c r="L183" i="63" s="1"/>
  <c r="Q183" i="63"/>
  <c r="V183" i="63" s="1"/>
  <c r="Z183" i="63" l="1"/>
  <c r="AM183" i="63"/>
  <c r="P183" i="63"/>
  <c r="U183" i="63" l="1"/>
  <c r="W183" i="63"/>
  <c r="O184" i="63" l="1"/>
  <c r="N184" i="63"/>
  <c r="AT183" i="63"/>
  <c r="AU183" i="63"/>
  <c r="AV183" i="63" s="1"/>
  <c r="M184" i="63" l="1"/>
  <c r="L184" i="63" s="1"/>
  <c r="Q184" i="63"/>
  <c r="V184" i="63" s="1"/>
  <c r="AN184" i="63"/>
  <c r="AS184" i="63" s="1"/>
  <c r="P184" i="63" l="1"/>
  <c r="U184" i="63" s="1"/>
  <c r="Z184" i="63"/>
  <c r="AM184" i="63"/>
  <c r="W184" i="63" l="1"/>
  <c r="AT184" i="63" s="1"/>
  <c r="N185" i="63"/>
  <c r="AU184" i="63"/>
  <c r="AV184" i="63" s="1"/>
  <c r="O185" i="63"/>
  <c r="AN185" i="63" l="1"/>
  <c r="AS185" i="63" s="1"/>
  <c r="Q185" i="63"/>
  <c r="V185" i="63" s="1"/>
  <c r="M185" i="63"/>
  <c r="L185" i="63" s="1"/>
  <c r="Z185" i="63" l="1"/>
  <c r="AM185" i="63"/>
  <c r="P185" i="63"/>
  <c r="U185" i="63" l="1"/>
  <c r="W185" i="63"/>
  <c r="AT185" i="63" l="1"/>
  <c r="AU185" i="63"/>
  <c r="AV185" i="63" s="1"/>
  <c r="O186" i="63"/>
  <c r="N186" i="63"/>
  <c r="AN186" i="63" l="1"/>
  <c r="AS186" i="63" s="1"/>
  <c r="Q186" i="63"/>
  <c r="V186" i="63" s="1"/>
  <c r="M186" i="63"/>
  <c r="L186" i="63" s="1"/>
  <c r="Z186" i="63" l="1"/>
  <c r="AM186" i="63"/>
  <c r="P186" i="63"/>
  <c r="W186" i="63" l="1"/>
  <c r="U186" i="63"/>
  <c r="N187" i="63" l="1"/>
  <c r="AU186" i="63"/>
  <c r="AV186" i="63" s="1"/>
  <c r="O187" i="63"/>
  <c r="AT186" i="63"/>
  <c r="AN187" i="63" l="1"/>
  <c r="AS187" i="63" s="1"/>
  <c r="M187" i="63"/>
  <c r="L187" i="63" s="1"/>
  <c r="Q187" i="63"/>
  <c r="V187" i="63" s="1"/>
  <c r="Z187" i="63" l="1"/>
  <c r="AM187" i="63"/>
  <c r="P187" i="63"/>
  <c r="U187" i="63" l="1"/>
  <c r="W187" i="63"/>
  <c r="AU187" i="63" l="1"/>
  <c r="AV187" i="63" s="1"/>
  <c r="O188" i="63"/>
  <c r="N188" i="63"/>
  <c r="AT187" i="63"/>
  <c r="M188" i="63" l="1"/>
  <c r="L188" i="63" s="1"/>
  <c r="Q188" i="63"/>
  <c r="V188" i="63" s="1"/>
  <c r="AN188" i="63"/>
  <c r="AS188" i="63" s="1"/>
  <c r="P188" i="63" l="1"/>
  <c r="W188" i="63" s="1"/>
  <c r="U188" i="63"/>
  <c r="Z188" i="63"/>
  <c r="AM188" i="63"/>
  <c r="O189" i="63" l="1"/>
  <c r="AT188" i="63"/>
  <c r="N189" i="63"/>
  <c r="AU188" i="63"/>
  <c r="AV188" i="63" s="1"/>
  <c r="M189" i="63" l="1"/>
  <c r="L189" i="63" s="1"/>
  <c r="Q189" i="63"/>
  <c r="V189" i="63" s="1"/>
  <c r="AN189" i="63"/>
  <c r="AS189" i="63" s="1"/>
  <c r="P189" i="63" l="1"/>
  <c r="Z189" i="63"/>
  <c r="AM189" i="63"/>
  <c r="U189" i="63" l="1"/>
  <c r="W189" i="63"/>
  <c r="O190" i="63" l="1"/>
  <c r="N190" i="63"/>
  <c r="AU189" i="63"/>
  <c r="AV189" i="63" s="1"/>
  <c r="AT189" i="63"/>
  <c r="Q190" i="63" l="1"/>
  <c r="V190" i="63" s="1"/>
  <c r="M190" i="63"/>
  <c r="L190" i="63" s="1"/>
  <c r="AN190" i="63"/>
  <c r="AS190" i="63" s="1"/>
  <c r="P190" i="63"/>
  <c r="Z190" i="63" l="1"/>
  <c r="AM190" i="63"/>
  <c r="U190" i="63"/>
  <c r="W190" i="63"/>
  <c r="N191" i="63" l="1"/>
  <c r="AU190" i="63"/>
  <c r="AV190" i="63" s="1"/>
  <c r="O191" i="63"/>
  <c r="AT190" i="63"/>
  <c r="AN191" i="63" l="1"/>
  <c r="AS191" i="63" s="1"/>
  <c r="M191" i="63"/>
  <c r="L191" i="63" s="1"/>
  <c r="Q191" i="63"/>
  <c r="V191" i="63" s="1"/>
  <c r="P191" i="63" l="1"/>
  <c r="Z191" i="63"/>
  <c r="AM191" i="63"/>
  <c r="U191" i="63" l="1"/>
  <c r="W191" i="63"/>
  <c r="AT191" i="63" l="1"/>
  <c r="N192" i="63"/>
  <c r="AU191" i="63"/>
  <c r="AV191" i="63" s="1"/>
  <c r="O192" i="63"/>
  <c r="AN192" i="63" l="1"/>
  <c r="AS192" i="63" s="1"/>
  <c r="M192" i="63"/>
  <c r="L192" i="63" s="1"/>
  <c r="Q192" i="63"/>
  <c r="V192" i="63" s="1"/>
  <c r="P192" i="63" l="1"/>
  <c r="Z192" i="63"/>
  <c r="AM192" i="63"/>
  <c r="U192" i="63" l="1"/>
  <c r="W192" i="63"/>
  <c r="N193" i="63" l="1"/>
  <c r="AU192" i="63"/>
  <c r="AV192" i="63" s="1"/>
  <c r="O193" i="63"/>
  <c r="AT192" i="63"/>
  <c r="AN193" i="63" l="1"/>
  <c r="AS193" i="63" s="1"/>
  <c r="M193" i="63"/>
  <c r="L193" i="63" s="1"/>
  <c r="Q193" i="63"/>
  <c r="V193" i="63" s="1"/>
  <c r="Z193" i="63" l="1"/>
  <c r="AM193" i="63"/>
  <c r="P193" i="63"/>
  <c r="U193" i="63" l="1"/>
  <c r="W193" i="63"/>
  <c r="N194" i="63" l="1"/>
  <c r="AU193" i="63"/>
  <c r="AV193" i="63" s="1"/>
  <c r="O194" i="63"/>
  <c r="AT193" i="63"/>
  <c r="AN194" i="63" l="1"/>
  <c r="AS194" i="63" s="1"/>
  <c r="Q194" i="63"/>
  <c r="V194" i="63" s="1"/>
  <c r="M194" i="63"/>
  <c r="L194" i="63" s="1"/>
  <c r="Z194" i="63" l="1"/>
  <c r="AM194" i="63"/>
  <c r="P194" i="63"/>
  <c r="W194" i="63" l="1"/>
  <c r="U194" i="63"/>
  <c r="AT194" i="63" l="1"/>
  <c r="O195" i="63"/>
  <c r="AU194" i="63"/>
  <c r="AV194" i="63" s="1"/>
  <c r="N195" i="63"/>
  <c r="Q195" i="63" l="1"/>
  <c r="V195" i="63" s="1"/>
  <c r="M195" i="63"/>
  <c r="L195" i="63" s="1"/>
  <c r="AN195" i="63"/>
  <c r="AS195" i="63" s="1"/>
  <c r="P195" i="63"/>
  <c r="AM195" i="63" l="1"/>
  <c r="Z195" i="63"/>
  <c r="W195" i="63"/>
  <c r="U195" i="63"/>
  <c r="N196" i="63" l="1"/>
  <c r="AT195" i="63"/>
  <c r="AU195" i="63"/>
  <c r="AV195" i="63" s="1"/>
  <c r="O196" i="63"/>
  <c r="AN196" i="63" l="1"/>
  <c r="AS196" i="63" s="1"/>
  <c r="M196" i="63"/>
  <c r="L196" i="63" s="1"/>
  <c r="Q196" i="63"/>
  <c r="V196" i="63" s="1"/>
  <c r="P196" i="63" l="1"/>
  <c r="AM196" i="63"/>
  <c r="Z196" i="63"/>
  <c r="U196" i="63" l="1"/>
  <c r="W196" i="63"/>
  <c r="AT196" i="63" l="1"/>
  <c r="AU196" i="63"/>
  <c r="AV196" i="63" s="1"/>
  <c r="O197" i="63"/>
  <c r="N197" i="63"/>
  <c r="Q197" i="63" l="1"/>
  <c r="V197" i="63" s="1"/>
  <c r="M197" i="63"/>
  <c r="L197" i="63" s="1"/>
  <c r="AN197" i="63"/>
  <c r="AS197" i="63" s="1"/>
  <c r="P197" i="63" l="1"/>
  <c r="U197" i="63" s="1"/>
  <c r="Z197" i="63"/>
  <c r="AM197" i="63"/>
  <c r="W197" i="63"/>
  <c r="AT197" i="63" l="1"/>
  <c r="O198" i="63"/>
  <c r="N198" i="63"/>
  <c r="AU197" i="63"/>
  <c r="AV197" i="63" s="1"/>
  <c r="AN198" i="63" l="1"/>
  <c r="AS198" i="63" s="1"/>
  <c r="M198" i="63"/>
  <c r="L198" i="63" s="1"/>
  <c r="Q198" i="63"/>
  <c r="V198" i="63" s="1"/>
  <c r="P198" i="63" l="1"/>
  <c r="AM198" i="63"/>
  <c r="Z198" i="63"/>
  <c r="W198" i="63" l="1"/>
  <c r="U198" i="63"/>
  <c r="AU198" i="63" l="1"/>
  <c r="AV198" i="63" s="1"/>
  <c r="O199" i="63"/>
  <c r="AT198" i="63"/>
  <c r="N199" i="63"/>
  <c r="Q199" i="63" l="1"/>
  <c r="V199" i="63" s="1"/>
  <c r="M199" i="63"/>
  <c r="L199" i="63" s="1"/>
  <c r="AN199" i="63"/>
  <c r="AS199" i="63" s="1"/>
  <c r="P199" i="63"/>
  <c r="U199" i="63" s="1"/>
  <c r="W199" i="63" l="1"/>
  <c r="Z199" i="63"/>
  <c r="AM199" i="63"/>
  <c r="AU199" i="63" l="1"/>
  <c r="AV199" i="63" s="1"/>
  <c r="N200" i="63"/>
  <c r="O200" i="63"/>
  <c r="AT199" i="63"/>
  <c r="AN200" i="63" l="1"/>
  <c r="AS200" i="63" s="1"/>
  <c r="Q200" i="63"/>
  <c r="V200" i="63" s="1"/>
  <c r="M200" i="63"/>
  <c r="L200" i="63" s="1"/>
  <c r="AM200" i="63" l="1"/>
  <c r="Z200" i="63"/>
  <c r="P200" i="63"/>
  <c r="U200" i="63" l="1"/>
  <c r="W200" i="63"/>
  <c r="O201" i="63" l="1"/>
  <c r="AT200" i="63"/>
  <c r="N201" i="63"/>
  <c r="AU200" i="63"/>
  <c r="AV200" i="63" s="1"/>
  <c r="M201" i="63" l="1"/>
  <c r="L201" i="63" s="1"/>
  <c r="Q201" i="63"/>
  <c r="V201" i="63" s="1"/>
  <c r="AN201" i="63"/>
  <c r="AS201" i="63" s="1"/>
  <c r="P201" i="63" l="1"/>
  <c r="U201" i="63" s="1"/>
  <c r="Z201" i="63"/>
  <c r="AM201" i="63"/>
  <c r="W201" i="63" l="1"/>
  <c r="AU201" i="63" s="1"/>
  <c r="AV201" i="63" s="1"/>
  <c r="N202" i="63" l="1"/>
  <c r="AT201" i="63"/>
  <c r="O202" i="63"/>
  <c r="AN202" i="63"/>
  <c r="AS202" i="63" s="1"/>
  <c r="Q202" i="63"/>
  <c r="V202" i="63" s="1"/>
  <c r="M202" i="63"/>
  <c r="L202" i="63" s="1"/>
  <c r="Z202" i="63" l="1"/>
  <c r="AM202" i="63"/>
  <c r="P202" i="63"/>
  <c r="U202" i="63" l="1"/>
  <c r="W202" i="63"/>
  <c r="AT202" i="63" l="1"/>
  <c r="AU202" i="63"/>
  <c r="AV202" i="63" s="1"/>
  <c r="N203" i="63"/>
  <c r="O203" i="63"/>
  <c r="AN203" i="63" l="1"/>
  <c r="AS203" i="63" s="1"/>
  <c r="Q203" i="63"/>
  <c r="V203" i="63" s="1"/>
  <c r="M203" i="63"/>
  <c r="L203" i="63" s="1"/>
  <c r="Z203" i="63" l="1"/>
  <c r="AM203" i="63"/>
  <c r="P203" i="63"/>
  <c r="U203" i="63" l="1"/>
  <c r="W203" i="63"/>
  <c r="AU203" i="63" l="1"/>
  <c r="AV203" i="63" s="1"/>
  <c r="AT203" i="63"/>
  <c r="O204" i="63"/>
  <c r="N204" i="63"/>
  <c r="Q204" i="63" l="1"/>
  <c r="V204" i="63" s="1"/>
  <c r="M204" i="63"/>
  <c r="L204" i="63" s="1"/>
  <c r="AN204" i="63"/>
  <c r="AS204" i="63" s="1"/>
  <c r="P204" i="63"/>
  <c r="U204" i="63" s="1"/>
  <c r="W204" i="63" l="1"/>
  <c r="Z204" i="63"/>
  <c r="AM204" i="63"/>
  <c r="O205" i="63" l="1"/>
  <c r="AU204" i="63"/>
  <c r="AV204" i="63" s="1"/>
  <c r="N205" i="63"/>
  <c r="AT204" i="63"/>
  <c r="Q205" i="63" l="1"/>
  <c r="V205" i="63" s="1"/>
  <c r="M205" i="63"/>
  <c r="L205" i="63" s="1"/>
  <c r="AN205" i="63"/>
  <c r="AS205" i="63" s="1"/>
  <c r="P205" i="63" l="1"/>
  <c r="U205" i="63" s="1"/>
  <c r="W205" i="63"/>
  <c r="Z205" i="63"/>
  <c r="AM205" i="63"/>
  <c r="AU205" i="63" l="1"/>
  <c r="AV205" i="63" s="1"/>
  <c r="O206" i="63"/>
  <c r="N206" i="63"/>
  <c r="AT205" i="63"/>
  <c r="AN206" i="63" l="1"/>
  <c r="AS206" i="63" s="1"/>
  <c r="M206" i="63"/>
  <c r="L206" i="63" s="1"/>
  <c r="Q206" i="63"/>
  <c r="V206" i="63" s="1"/>
  <c r="P206" i="63" l="1"/>
  <c r="Z206" i="63"/>
  <c r="AM206" i="63"/>
  <c r="U206" i="63" l="1"/>
  <c r="W206" i="63"/>
  <c r="AU206" i="63" l="1"/>
  <c r="AV206" i="63" s="1"/>
  <c r="AT206" i="63"/>
  <c r="N207" i="63"/>
  <c r="O207" i="63"/>
  <c r="AN207" i="63" l="1"/>
  <c r="AS207" i="63" s="1"/>
  <c r="M207" i="63"/>
  <c r="L207" i="63" s="1"/>
  <c r="Q207" i="63"/>
  <c r="V207" i="63" s="1"/>
  <c r="P207" i="63" l="1"/>
  <c r="AM207" i="63"/>
  <c r="Z207" i="63"/>
  <c r="U207" i="63" l="1"/>
  <c r="W207" i="63"/>
  <c r="AU207" i="63" l="1"/>
  <c r="AV207" i="63" s="1"/>
  <c r="N208" i="63"/>
  <c r="AT207" i="63"/>
  <c r="O208" i="63"/>
  <c r="Q208" i="63" l="1"/>
  <c r="V208" i="63" s="1"/>
  <c r="M208" i="63"/>
  <c r="L208" i="63" s="1"/>
  <c r="AN208" i="63"/>
  <c r="AS208" i="63" s="1"/>
  <c r="P208" i="63" l="1"/>
  <c r="U208" i="63" s="1"/>
  <c r="Z208" i="63"/>
  <c r="AM208" i="63"/>
  <c r="W208" i="63"/>
  <c r="AU208" i="63" l="1"/>
  <c r="AV208" i="63" s="1"/>
  <c r="O209" i="63"/>
  <c r="N209" i="63"/>
  <c r="AT208" i="63"/>
  <c r="AN209" i="63" l="1"/>
  <c r="AS209" i="63" s="1"/>
  <c r="M209" i="63"/>
  <c r="L209" i="63" s="1"/>
  <c r="Q209" i="63"/>
  <c r="V209" i="63" s="1"/>
  <c r="P209" i="63" l="1"/>
  <c r="AM209" i="63"/>
  <c r="Z209" i="63"/>
  <c r="W209" i="63" l="1"/>
  <c r="U209" i="63"/>
  <c r="N210" i="63" l="1"/>
  <c r="O210" i="63"/>
  <c r="AU209" i="63"/>
  <c r="AV209" i="63" s="1"/>
  <c r="AT209" i="63"/>
  <c r="AN210" i="63" l="1"/>
  <c r="AS210" i="63" s="1"/>
  <c r="M210" i="63"/>
  <c r="L210" i="63" s="1"/>
  <c r="Q210" i="63"/>
  <c r="V210" i="63" s="1"/>
  <c r="AM210" i="63" l="1"/>
  <c r="Z210" i="63"/>
  <c r="P210" i="63"/>
  <c r="U210" i="63" l="1"/>
  <c r="W210" i="63"/>
  <c r="N211" i="63" l="1"/>
  <c r="AT210" i="63"/>
  <c r="AU210" i="63"/>
  <c r="AV210" i="63" s="1"/>
  <c r="O211" i="63"/>
  <c r="AN211" i="63" l="1"/>
  <c r="AS211" i="63" s="1"/>
  <c r="M211" i="63"/>
  <c r="L211" i="63" s="1"/>
  <c r="Q211" i="63"/>
  <c r="V211" i="63" s="1"/>
  <c r="AM211" i="63" l="1"/>
  <c r="Z211" i="63"/>
  <c r="P211" i="63"/>
  <c r="U211" i="63" l="1"/>
  <c r="W211" i="63"/>
  <c r="N212" i="63" l="1"/>
  <c r="AU211" i="63"/>
  <c r="AV211" i="63" s="1"/>
  <c r="AT211" i="63"/>
  <c r="O212" i="63"/>
  <c r="AN212" i="63" l="1"/>
  <c r="AS212" i="63" s="1"/>
  <c r="M212" i="63"/>
  <c r="L212" i="63" s="1"/>
  <c r="Q212" i="63"/>
  <c r="V212" i="63" s="1"/>
  <c r="P212" i="63" l="1"/>
  <c r="Z212" i="63"/>
  <c r="AM212" i="63"/>
  <c r="U212" i="63" l="1"/>
  <c r="W212" i="63"/>
  <c r="AT212" i="63" l="1"/>
  <c r="N213" i="63"/>
  <c r="O213" i="63"/>
  <c r="AU212" i="63"/>
  <c r="AV212" i="63" s="1"/>
  <c r="AN213" i="63" l="1"/>
  <c r="AS213" i="63" s="1"/>
  <c r="Q213" i="63"/>
  <c r="V213" i="63" s="1"/>
  <c r="M213" i="63"/>
  <c r="L213" i="63" s="1"/>
  <c r="AM213" i="63" l="1"/>
  <c r="Z213" i="63"/>
  <c r="P213" i="63"/>
  <c r="U213" i="63" l="1"/>
  <c r="W213" i="63"/>
  <c r="O214" i="63" l="1"/>
  <c r="AT213" i="63"/>
  <c r="AU213" i="63"/>
  <c r="AV213" i="63" s="1"/>
  <c r="N214" i="63"/>
  <c r="M214" i="63" l="1"/>
  <c r="L214" i="63" s="1"/>
  <c r="Q214" i="63"/>
  <c r="V214" i="63" s="1"/>
  <c r="AN214" i="63"/>
  <c r="AS214" i="63" s="1"/>
  <c r="P214" i="63" l="1"/>
  <c r="U214" i="63" s="1"/>
  <c r="W214" i="63"/>
  <c r="Z214" i="63"/>
  <c r="AM214" i="63"/>
  <c r="O215" i="63" l="1"/>
  <c r="AT214" i="63"/>
  <c r="N215" i="63"/>
  <c r="AU214" i="63"/>
  <c r="AV214" i="63" s="1"/>
  <c r="Q215" i="63" l="1"/>
  <c r="V215" i="63" s="1"/>
  <c r="M215" i="63"/>
  <c r="L215" i="63" s="1"/>
  <c r="AN215" i="63"/>
  <c r="AS215" i="63" s="1"/>
  <c r="P215" i="63" l="1"/>
  <c r="Z215" i="63"/>
  <c r="AM215" i="63"/>
  <c r="W215" i="63"/>
  <c r="U215" i="63"/>
  <c r="AT215" i="63" l="1"/>
  <c r="N216" i="63"/>
  <c r="O216" i="63"/>
  <c r="AU215" i="63"/>
  <c r="AV215" i="63" s="1"/>
  <c r="AN216" i="63" l="1"/>
  <c r="AS216" i="63" s="1"/>
  <c r="Q216" i="63"/>
  <c r="V216" i="63" s="1"/>
  <c r="M216" i="63"/>
  <c r="L216" i="63" s="1"/>
  <c r="Z216" i="63" l="1"/>
  <c r="AM216" i="63"/>
  <c r="P216" i="63"/>
  <c r="U216" i="63" l="1"/>
  <c r="W216" i="63"/>
  <c r="O217" i="63" l="1"/>
  <c r="N217" i="63"/>
  <c r="AU216" i="63"/>
  <c r="AV216" i="63" s="1"/>
  <c r="AT216" i="63"/>
  <c r="Q217" i="63" l="1"/>
  <c r="V217" i="63" s="1"/>
  <c r="M217" i="63"/>
  <c r="L217" i="63" s="1"/>
  <c r="AN217" i="63"/>
  <c r="AS217" i="63" s="1"/>
  <c r="P217" i="63"/>
  <c r="U217" i="63" s="1"/>
  <c r="Z217" i="63" l="1"/>
  <c r="AM217" i="63"/>
  <c r="W217" i="63"/>
  <c r="AT217" i="63" l="1"/>
  <c r="AU217" i="63"/>
  <c r="AV217" i="63" s="1"/>
  <c r="O218" i="63"/>
  <c r="N218" i="63"/>
  <c r="Q218" i="63" l="1"/>
  <c r="V218" i="63" s="1"/>
  <c r="M218" i="63"/>
  <c r="L218" i="63" s="1"/>
  <c r="AN218" i="63"/>
  <c r="AS218" i="63" s="1"/>
  <c r="P218" i="63" l="1"/>
  <c r="U218" i="63" s="1"/>
  <c r="Z218" i="63"/>
  <c r="AM218" i="63"/>
  <c r="W218" i="63"/>
  <c r="N219" i="63" l="1"/>
  <c r="O219" i="63"/>
  <c r="AT218" i="63"/>
  <c r="AU218" i="63"/>
  <c r="AV218" i="63" s="1"/>
  <c r="AN219" i="63" l="1"/>
  <c r="AS219" i="63" s="1"/>
  <c r="Q219" i="63"/>
  <c r="V219" i="63" s="1"/>
  <c r="M219" i="63"/>
  <c r="L219" i="63" s="1"/>
  <c r="Z219" i="63" l="1"/>
  <c r="AM219" i="63"/>
  <c r="P219" i="63"/>
  <c r="U219" i="63" l="1"/>
  <c r="W219" i="63"/>
  <c r="AU219" i="63" l="1"/>
  <c r="AV219" i="63" s="1"/>
  <c r="O220" i="63"/>
  <c r="N220" i="63"/>
  <c r="AT219" i="63"/>
  <c r="Q220" i="63" l="1"/>
  <c r="V220" i="63" s="1"/>
  <c r="M220" i="63"/>
  <c r="L220" i="63" s="1"/>
  <c r="AN220" i="63"/>
  <c r="AS220" i="63" s="1"/>
  <c r="P220" i="63"/>
  <c r="W220" i="63" l="1"/>
  <c r="U220" i="63"/>
  <c r="Z220" i="63"/>
  <c r="AM220" i="63"/>
  <c r="AT220" i="63" l="1"/>
  <c r="N221" i="63"/>
  <c r="AU220" i="63"/>
  <c r="AV220" i="63" s="1"/>
  <c r="O221" i="63"/>
  <c r="Q221" i="63" l="1"/>
  <c r="V221" i="63" s="1"/>
  <c r="M221" i="63"/>
  <c r="L221" i="63" s="1"/>
  <c r="AN221" i="63"/>
  <c r="AS221" i="63" s="1"/>
  <c r="P221" i="63"/>
  <c r="U221" i="63" s="1"/>
  <c r="Z221" i="63" l="1"/>
  <c r="AM221" i="63"/>
  <c r="W221" i="63"/>
  <c r="N222" i="63" l="1"/>
  <c r="O222" i="63"/>
  <c r="AU221" i="63"/>
  <c r="AV221" i="63" s="1"/>
  <c r="AT221" i="63"/>
  <c r="AN222" i="63" l="1"/>
  <c r="AS222" i="63" s="1"/>
  <c r="Q222" i="63"/>
  <c r="V222" i="63" s="1"/>
  <c r="M222" i="63"/>
  <c r="L222" i="63" s="1"/>
  <c r="AM222" i="63" l="1"/>
  <c r="Z222" i="63"/>
  <c r="P222" i="63"/>
  <c r="U222" i="63" l="1"/>
  <c r="W222" i="63"/>
  <c r="AT222" i="63" l="1"/>
  <c r="N223" i="63"/>
  <c r="O223" i="63"/>
  <c r="AU222" i="63"/>
  <c r="AV222" i="63" s="1"/>
  <c r="AN223" i="63" l="1"/>
  <c r="AS223" i="63" s="1"/>
  <c r="Q223" i="63"/>
  <c r="V223" i="63" s="1"/>
  <c r="M223" i="63"/>
  <c r="L223" i="63" s="1"/>
  <c r="Z223" i="63" l="1"/>
  <c r="AM223" i="63"/>
  <c r="P223" i="63"/>
  <c r="U223" i="63" l="1"/>
  <c r="W223" i="63"/>
  <c r="O224" i="63" l="1"/>
  <c r="N224" i="63"/>
  <c r="AU223" i="63"/>
  <c r="AV223" i="63" s="1"/>
  <c r="AT223" i="63"/>
  <c r="M224" i="63" l="1"/>
  <c r="L224" i="63" s="1"/>
  <c r="Q224" i="63"/>
  <c r="V224" i="63" s="1"/>
  <c r="AN224" i="63"/>
  <c r="AS224" i="63" s="1"/>
  <c r="P224" i="63" l="1"/>
  <c r="U224" i="63" s="1"/>
  <c r="Z224" i="63"/>
  <c r="AM224" i="63"/>
  <c r="W224" i="63" l="1"/>
  <c r="N225" i="63"/>
  <c r="O225" i="63"/>
  <c r="AU224" i="63"/>
  <c r="AV224" i="63" s="1"/>
  <c r="AT224" i="63"/>
  <c r="AN225" i="63" l="1"/>
  <c r="AS225" i="63" s="1"/>
  <c r="Q225" i="63"/>
  <c r="V225" i="63" s="1"/>
  <c r="M225" i="63"/>
  <c r="L225" i="63" s="1"/>
  <c r="Z225" i="63" l="1"/>
  <c r="AM225" i="63"/>
  <c r="P225" i="63"/>
  <c r="U225" i="63" l="1"/>
  <c r="W225" i="63"/>
  <c r="AU225" i="63" l="1"/>
  <c r="AV225" i="63" s="1"/>
  <c r="O226" i="63"/>
  <c r="AT225" i="63"/>
  <c r="N226" i="63"/>
  <c r="Q226" i="63" l="1"/>
  <c r="V226" i="63" s="1"/>
  <c r="M226" i="63"/>
  <c r="L226" i="63" s="1"/>
  <c r="AN226" i="63"/>
  <c r="AS226" i="63" s="1"/>
  <c r="P226" i="63"/>
  <c r="U226" i="63" s="1"/>
  <c r="W226" i="63" l="1"/>
  <c r="Z226" i="63"/>
  <c r="AM226" i="63"/>
  <c r="O227" i="63" l="1"/>
  <c r="AT226" i="63"/>
  <c r="N227" i="63"/>
  <c r="AU226" i="63"/>
  <c r="AV226" i="63" s="1"/>
  <c r="M227" i="63" l="1"/>
  <c r="L227" i="63" s="1"/>
  <c r="Q227" i="63"/>
  <c r="V227" i="63" s="1"/>
  <c r="AN227" i="63"/>
  <c r="AS227" i="63" s="1"/>
  <c r="P227" i="63" l="1"/>
  <c r="U227" i="63" s="1"/>
  <c r="Z227" i="63"/>
  <c r="AM227" i="63"/>
  <c r="W227" i="63" l="1"/>
  <c r="N228" i="63" s="1"/>
  <c r="O228" i="63"/>
  <c r="AT227" i="63" l="1"/>
  <c r="AU227" i="63"/>
  <c r="AV227" i="63" s="1"/>
  <c r="AN228" i="63"/>
  <c r="AS228" i="63" s="1"/>
  <c r="Q228" i="63"/>
  <c r="V228" i="63" s="1"/>
  <c r="M228" i="63"/>
  <c r="L228" i="63" s="1"/>
  <c r="Z228" i="63" l="1"/>
  <c r="AM228" i="63"/>
  <c r="P228" i="63"/>
  <c r="U228" i="63" l="1"/>
  <c r="W228" i="63"/>
  <c r="AT228" i="63" l="1"/>
  <c r="O229" i="63"/>
  <c r="N229" i="63"/>
  <c r="AU228" i="63"/>
  <c r="AV228" i="63" s="1"/>
  <c r="M229" i="63" l="1"/>
  <c r="L229" i="63" s="1"/>
  <c r="Q229" i="63"/>
  <c r="V229" i="63" s="1"/>
  <c r="AN229" i="63"/>
  <c r="AS229" i="63" s="1"/>
  <c r="P229" i="63" l="1"/>
  <c r="U229" i="63" s="1"/>
  <c r="W229" i="63"/>
  <c r="Z229" i="63"/>
  <c r="AM229" i="63"/>
  <c r="N230" i="63" l="1"/>
  <c r="AT229" i="63"/>
  <c r="AU229" i="63"/>
  <c r="AV229" i="63" s="1"/>
  <c r="O230" i="63"/>
  <c r="AN230" i="63" l="1"/>
  <c r="AS230" i="63" s="1"/>
  <c r="M230" i="63"/>
  <c r="L230" i="63" s="1"/>
  <c r="Q230" i="63"/>
  <c r="V230" i="63" s="1"/>
  <c r="Z230" i="63" l="1"/>
  <c r="AM230" i="63"/>
  <c r="P230" i="63"/>
  <c r="U230" i="63" l="1"/>
  <c r="W230" i="63"/>
  <c r="N231" i="63" l="1"/>
  <c r="O231" i="63"/>
  <c r="AU230" i="63"/>
  <c r="AV230" i="63" s="1"/>
  <c r="AT230" i="63"/>
  <c r="AN231" i="63" l="1"/>
  <c r="AS231" i="63" s="1"/>
  <c r="M231" i="63"/>
  <c r="L231" i="63" s="1"/>
  <c r="Q231" i="63"/>
  <c r="V231" i="63" s="1"/>
  <c r="AM231" i="63" l="1"/>
  <c r="Z231" i="63"/>
  <c r="P231" i="63"/>
  <c r="U231" i="63" l="1"/>
  <c r="W231" i="63"/>
  <c r="AT231" i="63" l="1"/>
  <c r="AU231" i="63"/>
  <c r="AV231" i="63" s="1"/>
  <c r="N232" i="63"/>
  <c r="O232" i="63"/>
  <c r="AN232" i="63" l="1"/>
  <c r="AS232" i="63" s="1"/>
  <c r="Q232" i="63"/>
  <c r="V232" i="63" s="1"/>
  <c r="M232" i="63"/>
  <c r="L232" i="63" s="1"/>
  <c r="P232" i="63" l="1"/>
  <c r="Z232" i="63"/>
  <c r="AM232" i="63"/>
  <c r="U232" i="63" l="1"/>
  <c r="W232" i="63"/>
  <c r="O233" i="63" l="1"/>
  <c r="AT232" i="63"/>
  <c r="N233" i="63"/>
  <c r="AU232" i="63"/>
  <c r="AV232" i="63" s="1"/>
  <c r="M233" i="63" l="1"/>
  <c r="L233" i="63" s="1"/>
  <c r="Q233" i="63"/>
  <c r="V233" i="63" s="1"/>
  <c r="AN233" i="63"/>
  <c r="AS233" i="63" s="1"/>
  <c r="P233" i="63" l="1"/>
  <c r="U233" i="63" s="1"/>
  <c r="W233" i="63"/>
  <c r="Z233" i="63"/>
  <c r="AM233" i="63"/>
  <c r="AU233" i="63" l="1"/>
  <c r="AV233" i="63" s="1"/>
  <c r="N234" i="63"/>
  <c r="AT233" i="63"/>
  <c r="O234" i="63"/>
  <c r="Q234" i="63" l="1"/>
  <c r="V234" i="63" s="1"/>
  <c r="M234" i="63"/>
  <c r="L234" i="63" s="1"/>
  <c r="AN234" i="63"/>
  <c r="AS234" i="63" s="1"/>
  <c r="P234" i="63" l="1"/>
  <c r="U234" i="63" s="1"/>
  <c r="Z234" i="63"/>
  <c r="AM234" i="63"/>
  <c r="W234" i="63"/>
  <c r="N235" i="63" l="1"/>
  <c r="O235" i="63"/>
  <c r="AU234" i="63"/>
  <c r="AV234" i="63" s="1"/>
  <c r="AT234" i="63"/>
  <c r="AN235" i="63" l="1"/>
  <c r="AS235" i="63" s="1"/>
  <c r="Q235" i="63"/>
  <c r="V235" i="63" s="1"/>
  <c r="M235" i="63"/>
  <c r="L235" i="63" s="1"/>
  <c r="AM235" i="63" l="1"/>
  <c r="Z235" i="63"/>
  <c r="P235" i="63"/>
  <c r="U235" i="63" l="1"/>
  <c r="W235" i="63"/>
  <c r="AU235" i="63" l="1"/>
  <c r="AV235" i="63" s="1"/>
  <c r="N236" i="63"/>
  <c r="AT235" i="63"/>
  <c r="O236" i="63"/>
  <c r="AN236" i="63" l="1"/>
  <c r="AS236" i="63" s="1"/>
  <c r="M236" i="63"/>
  <c r="L236" i="63" s="1"/>
  <c r="Q236" i="63"/>
  <c r="V236" i="63" s="1"/>
  <c r="P236" i="63" l="1"/>
  <c r="Z236" i="63"/>
  <c r="AM236" i="63"/>
  <c r="U236" i="63" l="1"/>
  <c r="W236" i="63"/>
  <c r="N237" i="63" l="1"/>
  <c r="AU236" i="63"/>
  <c r="AV236" i="63" s="1"/>
  <c r="AT236" i="63"/>
  <c r="O237" i="63"/>
  <c r="AN237" i="63" l="1"/>
  <c r="AS237" i="63" s="1"/>
  <c r="Q237" i="63"/>
  <c r="V237" i="63" s="1"/>
  <c r="M237" i="63"/>
  <c r="L237" i="63" s="1"/>
  <c r="P237" i="63" l="1"/>
  <c r="Z237" i="63"/>
  <c r="AM237" i="63"/>
  <c r="W237" i="63" l="1"/>
  <c r="U237" i="63"/>
  <c r="N238" i="63" l="1"/>
  <c r="O238" i="63"/>
  <c r="AU237" i="63"/>
  <c r="AV237" i="63" s="1"/>
  <c r="AT237" i="63"/>
  <c r="AN238" i="63" l="1"/>
  <c r="AS238" i="63" s="1"/>
  <c r="Q238" i="63"/>
  <c r="V238" i="63" s="1"/>
  <c r="M238" i="63"/>
  <c r="L238" i="63" s="1"/>
  <c r="Z238" i="63" l="1"/>
  <c r="AM238" i="63"/>
  <c r="P238" i="63"/>
  <c r="W238" i="63" l="1"/>
  <c r="U238" i="63"/>
  <c r="N239" i="63" l="1"/>
  <c r="AT238" i="63"/>
  <c r="O239" i="63"/>
  <c r="AU238" i="63"/>
  <c r="AV238" i="63" s="1"/>
  <c r="AN239" i="63" l="1"/>
  <c r="AS239" i="63" s="1"/>
  <c r="M239" i="63"/>
  <c r="L239" i="63" s="1"/>
  <c r="Q239" i="63"/>
  <c r="V239" i="63" s="1"/>
  <c r="P239" i="63" l="1"/>
  <c r="Z239" i="63"/>
  <c r="AM239" i="63"/>
  <c r="W239" i="63" l="1"/>
  <c r="U239" i="63"/>
  <c r="AT239" i="63" l="1"/>
  <c r="AU239" i="63"/>
  <c r="AV239" i="63" s="1"/>
  <c r="O240" i="63"/>
  <c r="N240" i="63"/>
  <c r="AN240" i="63" l="1"/>
  <c r="AS240" i="63" s="1"/>
  <c r="Q240" i="63"/>
  <c r="V240" i="63" s="1"/>
  <c r="M240" i="63"/>
  <c r="L240" i="63" s="1"/>
  <c r="P240" i="63" l="1"/>
  <c r="AM240" i="63"/>
  <c r="Z240" i="63"/>
  <c r="U240" i="63" l="1"/>
  <c r="W240" i="63"/>
  <c r="O241" i="63" l="1"/>
  <c r="N241" i="63"/>
  <c r="AT240" i="63"/>
  <c r="AU240" i="63"/>
  <c r="AV240" i="63" s="1"/>
  <c r="M241" i="63" l="1"/>
  <c r="L241" i="63" s="1"/>
  <c r="Q241" i="63"/>
  <c r="V241" i="63" s="1"/>
  <c r="AN241" i="63"/>
  <c r="AS241" i="63" s="1"/>
  <c r="P241" i="63" l="1"/>
  <c r="U241" i="63" s="1"/>
  <c r="Z241" i="63"/>
  <c r="AM241" i="63"/>
  <c r="W241" i="63" l="1"/>
  <c r="O242" i="63"/>
  <c r="AT241" i="63"/>
  <c r="AU241" i="63"/>
  <c r="AV241" i="63" s="1"/>
  <c r="N242" i="63"/>
  <c r="M242" i="63" l="1"/>
  <c r="L242" i="63" s="1"/>
  <c r="Q242" i="63"/>
  <c r="V242" i="63" s="1"/>
  <c r="AN242" i="63"/>
  <c r="AS242" i="63" s="1"/>
  <c r="P242" i="63" l="1"/>
  <c r="U242" i="63" s="1"/>
  <c r="W242" i="63"/>
  <c r="Z242" i="63"/>
  <c r="AM242" i="63"/>
  <c r="AT242" i="63" l="1"/>
  <c r="AU242" i="63"/>
  <c r="AV242" i="63" s="1"/>
  <c r="O243" i="63"/>
  <c r="N243" i="63"/>
  <c r="AN243" i="63" l="1"/>
  <c r="AS243" i="63" s="1"/>
  <c r="Q243" i="63"/>
  <c r="V243" i="63" s="1"/>
  <c r="M243" i="63"/>
  <c r="L243" i="63" s="1"/>
  <c r="Z243" i="63" l="1"/>
  <c r="AM243" i="63"/>
  <c r="P243" i="63"/>
  <c r="U243" i="63" l="1"/>
  <c r="W243" i="63"/>
  <c r="AU243" i="63" l="1"/>
  <c r="AV243" i="63" s="1"/>
  <c r="N244" i="63"/>
  <c r="AT243" i="63"/>
  <c r="O244" i="63"/>
  <c r="AN244" i="63" l="1"/>
  <c r="AS244" i="63" s="1"/>
  <c r="M244" i="63"/>
  <c r="L244" i="63" s="1"/>
  <c r="Q244" i="63"/>
  <c r="V244" i="63" s="1"/>
  <c r="Z244" i="63" l="1"/>
  <c r="AM244" i="63"/>
  <c r="P244" i="63"/>
  <c r="U244" i="63" l="1"/>
  <c r="W244" i="63"/>
  <c r="N245" i="63" l="1"/>
  <c r="O245" i="63"/>
  <c r="AU244" i="63"/>
  <c r="AV244" i="63" s="1"/>
  <c r="AT244" i="63"/>
  <c r="AN245" i="63" l="1"/>
  <c r="AS245" i="63" s="1"/>
  <c r="Q245" i="63"/>
  <c r="V245" i="63" s="1"/>
  <c r="M245" i="63"/>
  <c r="L245" i="63" s="1"/>
  <c r="Z245" i="63" l="1"/>
  <c r="AM245" i="63"/>
  <c r="P245" i="63"/>
  <c r="U245" i="63" l="1"/>
  <c r="W245" i="63"/>
  <c r="N246" i="63" l="1"/>
  <c r="O246" i="63"/>
  <c r="AT245" i="63"/>
  <c r="AU245" i="63"/>
  <c r="AV245" i="63" s="1"/>
  <c r="AN246" i="63" l="1"/>
  <c r="AS246" i="63" s="1"/>
  <c r="Q246" i="63"/>
  <c r="V246" i="63" s="1"/>
  <c r="M246" i="63"/>
  <c r="L246" i="63" s="1"/>
  <c r="Z246" i="63" l="1"/>
  <c r="AM246" i="63"/>
  <c r="P246" i="63"/>
  <c r="U246" i="63" l="1"/>
  <c r="W246" i="63"/>
  <c r="AT246" i="63" l="1"/>
  <c r="O247" i="63"/>
  <c r="AU246" i="63"/>
  <c r="AV246" i="63" s="1"/>
  <c r="N247" i="63"/>
  <c r="Q247" i="63" l="1"/>
  <c r="V247" i="63" s="1"/>
  <c r="M247" i="63"/>
  <c r="L247" i="63" s="1"/>
  <c r="AN247" i="63"/>
  <c r="AS247" i="63" s="1"/>
  <c r="P247" i="63"/>
  <c r="U247" i="63" s="1"/>
  <c r="Z247" i="63" l="1"/>
  <c r="AM247" i="63"/>
  <c r="W247" i="63"/>
  <c r="O248" i="63" l="1"/>
  <c r="AT247" i="63"/>
  <c r="N248" i="63"/>
  <c r="AU247" i="63"/>
  <c r="AV247" i="63" s="1"/>
  <c r="M248" i="63" l="1"/>
  <c r="L248" i="63" s="1"/>
  <c r="Q248" i="63"/>
  <c r="V248" i="63" s="1"/>
  <c r="AN248" i="63"/>
  <c r="AS248" i="63" s="1"/>
  <c r="P248" i="63" l="1"/>
  <c r="Z248" i="63"/>
  <c r="AM248" i="63"/>
  <c r="W248" i="63" l="1"/>
  <c r="U248" i="63"/>
  <c r="AT248" i="63" l="1"/>
  <c r="N249" i="63"/>
  <c r="AU248" i="63"/>
  <c r="AV248" i="63" s="1"/>
  <c r="O249" i="63"/>
  <c r="AN249" i="63" l="1"/>
  <c r="AS249" i="63" s="1"/>
  <c r="Q249" i="63"/>
  <c r="V249" i="63" s="1"/>
  <c r="M249" i="63"/>
  <c r="L249" i="63" s="1"/>
  <c r="Z249" i="63" l="1"/>
  <c r="AM249" i="63"/>
  <c r="P249" i="63"/>
  <c r="U249" i="63" l="1"/>
  <c r="W249" i="63"/>
  <c r="AU249" i="63" l="1"/>
  <c r="AV249" i="63" s="1"/>
  <c r="N250" i="63"/>
  <c r="O250" i="63"/>
  <c r="AT249" i="63"/>
  <c r="Q250" i="63" l="1"/>
  <c r="V250" i="63" s="1"/>
  <c r="M250" i="63"/>
  <c r="L250" i="63" s="1"/>
  <c r="AN250" i="63"/>
  <c r="AS250" i="63" s="1"/>
  <c r="P250" i="63"/>
  <c r="Z250" i="63" l="1"/>
  <c r="AM250" i="63"/>
  <c r="W250" i="63"/>
  <c r="U250" i="63"/>
  <c r="O251" i="63" l="1"/>
  <c r="AU250" i="63"/>
  <c r="AV250" i="63" s="1"/>
  <c r="N251" i="63"/>
  <c r="AT250" i="63"/>
  <c r="M251" i="63" l="1"/>
  <c r="L251" i="63" s="1"/>
  <c r="Q251" i="63"/>
  <c r="V251" i="63" s="1"/>
  <c r="AN251" i="63"/>
  <c r="AS251" i="63" s="1"/>
  <c r="P251" i="63" l="1"/>
  <c r="U251" i="63" s="1"/>
  <c r="Z251" i="63"/>
  <c r="AM251" i="63"/>
  <c r="W251" i="63" l="1"/>
  <c r="AT251" i="63" s="1"/>
  <c r="N252" i="63" l="1"/>
  <c r="O252" i="63"/>
  <c r="AU251" i="63"/>
  <c r="AV251" i="63" s="1"/>
  <c r="AN252" i="63"/>
  <c r="AS252" i="63" s="1"/>
  <c r="M252" i="63"/>
  <c r="L252" i="63" s="1"/>
  <c r="Q252" i="63"/>
  <c r="V252" i="63" s="1"/>
  <c r="P252" i="63" l="1"/>
  <c r="Z252" i="63"/>
  <c r="AM252" i="63"/>
  <c r="U252" i="63" l="1"/>
  <c r="W252" i="63"/>
  <c r="O253" i="63" l="1"/>
  <c r="AT252" i="63"/>
  <c r="N253" i="63"/>
  <c r="AU252" i="63"/>
  <c r="AV252" i="63" s="1"/>
  <c r="M253" i="63" l="1"/>
  <c r="L253" i="63" s="1"/>
  <c r="Q253" i="63"/>
  <c r="V253" i="63" s="1"/>
  <c r="AN253" i="63"/>
  <c r="AS253" i="63" s="1"/>
  <c r="P253" i="63" l="1"/>
  <c r="W253" i="63" s="1"/>
  <c r="Z253" i="63"/>
  <c r="AM253" i="63"/>
  <c r="U253" i="63" l="1"/>
  <c r="AT253" i="63"/>
  <c r="AU253" i="63"/>
  <c r="AV253" i="63" s="1"/>
  <c r="O254" i="63"/>
  <c r="N254" i="63"/>
  <c r="M254" i="63" l="1"/>
  <c r="L254" i="63" s="1"/>
  <c r="Q254" i="63"/>
  <c r="V254" i="63" s="1"/>
  <c r="AN254" i="63"/>
  <c r="AS254" i="63" s="1"/>
  <c r="P254" i="63" l="1"/>
  <c r="Z254" i="63"/>
  <c r="AM254" i="63"/>
  <c r="W254" i="63" l="1"/>
  <c r="U254" i="63"/>
  <c r="O255" i="63" l="1"/>
  <c r="AU254" i="63"/>
  <c r="AV254" i="63" s="1"/>
  <c r="N255" i="63"/>
  <c r="AT254" i="63"/>
  <c r="M255" i="63" l="1"/>
  <c r="L255" i="63" s="1"/>
  <c r="Q255" i="63"/>
  <c r="V255" i="63" s="1"/>
  <c r="AN255" i="63"/>
  <c r="AS255" i="63" s="1"/>
  <c r="P255" i="63" l="1"/>
  <c r="Z255" i="63"/>
  <c r="AM255" i="63"/>
  <c r="U255" i="63" l="1"/>
  <c r="W255" i="63"/>
  <c r="N256" i="63" l="1"/>
  <c r="AT255" i="63"/>
  <c r="AU255" i="63"/>
  <c r="AV255" i="63" s="1"/>
  <c r="O256" i="63"/>
  <c r="AN256" i="63" l="1"/>
  <c r="AS256" i="63" s="1"/>
  <c r="M256" i="63"/>
  <c r="L256" i="63" s="1"/>
  <c r="Q256" i="63"/>
  <c r="V256" i="63" s="1"/>
  <c r="P256" i="63" l="1"/>
  <c r="AM256" i="63"/>
  <c r="Z256" i="63"/>
  <c r="U256" i="63" l="1"/>
  <c r="W256" i="63"/>
  <c r="N257" i="63" l="1"/>
  <c r="O257" i="63"/>
  <c r="AU256" i="63"/>
  <c r="AV256" i="63" s="1"/>
  <c r="AT256" i="63"/>
  <c r="AN257" i="63" l="1"/>
  <c r="AS257" i="63" s="1"/>
  <c r="M257" i="63"/>
  <c r="L257" i="63" s="1"/>
  <c r="Q257" i="63"/>
  <c r="V257" i="63" s="1"/>
  <c r="Z257" i="63" l="1"/>
  <c r="AM257" i="63"/>
  <c r="P257" i="63"/>
  <c r="U257" i="63" l="1"/>
  <c r="W257" i="63"/>
  <c r="AT257" i="63" l="1"/>
  <c r="O258" i="63"/>
  <c r="N258" i="63"/>
  <c r="AU257" i="63"/>
  <c r="AV257" i="63" s="1"/>
  <c r="Q258" i="63" l="1"/>
  <c r="V258" i="63" s="1"/>
  <c r="M258" i="63"/>
  <c r="L258" i="63" s="1"/>
  <c r="AN258" i="63"/>
  <c r="AS258" i="63" s="1"/>
  <c r="P258" i="63" l="1"/>
  <c r="U258" i="63" s="1"/>
  <c r="W258" i="63"/>
  <c r="AM258" i="63"/>
  <c r="Z258" i="63"/>
  <c r="AT258" i="63" l="1"/>
  <c r="AU258" i="63"/>
  <c r="AV258" i="63" s="1"/>
  <c r="N259" i="63"/>
  <c r="O259" i="63"/>
  <c r="Q259" i="63" l="1"/>
  <c r="V259" i="63" s="1"/>
  <c r="M259" i="63"/>
  <c r="L259" i="63" s="1"/>
  <c r="AN259" i="63"/>
  <c r="AS259" i="63" s="1"/>
  <c r="P259" i="63"/>
  <c r="W259" i="63" l="1"/>
  <c r="U259" i="63"/>
  <c r="Z259" i="63"/>
  <c r="AM259" i="63"/>
  <c r="AU259" i="63" l="1"/>
  <c r="AV259" i="63" s="1"/>
  <c r="AT259" i="63"/>
  <c r="O260" i="63"/>
  <c r="N260" i="63"/>
  <c r="Q260" i="63" l="1"/>
  <c r="V260" i="63" s="1"/>
  <c r="M260" i="63"/>
  <c r="L260" i="63" s="1"/>
  <c r="AN260" i="63"/>
  <c r="AS260" i="63" s="1"/>
  <c r="P260" i="63" l="1"/>
  <c r="U260" i="63" s="1"/>
  <c r="Z260" i="63"/>
  <c r="AM260" i="63"/>
  <c r="W260" i="63"/>
  <c r="O261" i="63" l="1"/>
  <c r="AT260" i="63"/>
  <c r="N261" i="63"/>
  <c r="AU260" i="63"/>
  <c r="AV260" i="63" s="1"/>
  <c r="M261" i="63" l="1"/>
  <c r="L261" i="63" s="1"/>
  <c r="Q261" i="63"/>
  <c r="V261" i="63" s="1"/>
  <c r="AN261" i="63"/>
  <c r="AS261" i="63" s="1"/>
  <c r="P261" i="63" l="1"/>
  <c r="U261" i="63" s="1"/>
  <c r="AM261" i="63"/>
  <c r="Z261" i="63"/>
  <c r="W261" i="63" l="1"/>
  <c r="N262" i="63" s="1"/>
  <c r="AU261" i="63" l="1"/>
  <c r="AV261" i="63" s="1"/>
  <c r="O262" i="63"/>
  <c r="AN262" i="63" s="1"/>
  <c r="AS262" i="63" s="1"/>
  <c r="AT261" i="63"/>
  <c r="M262" i="63"/>
  <c r="L262" i="63" s="1"/>
  <c r="Q262" i="63"/>
  <c r="V262" i="63" s="1"/>
  <c r="Z262" i="63" l="1"/>
  <c r="AM262" i="63"/>
  <c r="P262" i="63"/>
  <c r="U262" i="63" l="1"/>
  <c r="W262" i="63"/>
  <c r="N263" i="63" l="1"/>
  <c r="AT262" i="63"/>
  <c r="O263" i="63"/>
  <c r="AU262" i="63"/>
  <c r="AV262" i="63" s="1"/>
  <c r="AN263" i="63" l="1"/>
  <c r="AS263" i="63" s="1"/>
  <c r="Q263" i="63"/>
  <c r="V263" i="63" s="1"/>
  <c r="M263" i="63"/>
  <c r="L263" i="63" s="1"/>
  <c r="Z263" i="63" l="1"/>
  <c r="AM263" i="63"/>
  <c r="P263" i="63"/>
  <c r="U263" i="63" l="1"/>
  <c r="W263" i="63"/>
  <c r="AU263" i="63" l="1"/>
  <c r="AV263" i="63" s="1"/>
  <c r="AT263" i="63"/>
  <c r="N264" i="63"/>
  <c r="O264" i="63"/>
  <c r="AN264" i="63" l="1"/>
  <c r="AS264" i="63" s="1"/>
  <c r="Q264" i="63"/>
  <c r="V264" i="63" s="1"/>
  <c r="M264" i="63"/>
  <c r="L264" i="63" s="1"/>
  <c r="AM264" i="63" l="1"/>
  <c r="Z264" i="63"/>
  <c r="P264" i="63"/>
  <c r="U264" i="63" l="1"/>
  <c r="W264" i="63"/>
  <c r="AU264" i="63" l="1"/>
  <c r="AV264" i="63" s="1"/>
  <c r="N265" i="63"/>
  <c r="AT264" i="63"/>
  <c r="O265" i="63"/>
  <c r="M265" i="63" l="1"/>
  <c r="L265" i="63" s="1"/>
  <c r="Q265" i="63"/>
  <c r="V265" i="63" s="1"/>
  <c r="AN265" i="63"/>
  <c r="AS265" i="63" s="1"/>
  <c r="P265" i="63" l="1"/>
  <c r="AM265" i="63"/>
  <c r="Z265" i="63"/>
  <c r="U265" i="63" l="1"/>
  <c r="W265" i="63"/>
  <c r="AU265" i="63" l="1"/>
  <c r="AV265" i="63" s="1"/>
  <c r="AT265" i="63"/>
  <c r="O266" i="63"/>
  <c r="N266" i="63"/>
  <c r="M266" i="63" l="1"/>
  <c r="L266" i="63" s="1"/>
  <c r="Q266" i="63"/>
  <c r="V266" i="63" s="1"/>
  <c r="AN266" i="63"/>
  <c r="AS266" i="63" s="1"/>
  <c r="P266" i="63" l="1"/>
  <c r="AM266" i="63"/>
  <c r="Z266" i="63"/>
  <c r="U266" i="63" l="1"/>
  <c r="W266" i="63"/>
  <c r="N267" i="63" l="1"/>
  <c r="AT266" i="63"/>
  <c r="O267" i="63"/>
  <c r="AU266" i="63"/>
  <c r="AV266" i="63" s="1"/>
  <c r="AN267" i="63" l="1"/>
  <c r="AS267" i="63" s="1"/>
  <c r="Q267" i="63"/>
  <c r="V267" i="63" s="1"/>
  <c r="M267" i="63"/>
  <c r="L267" i="63" s="1"/>
  <c r="Z267" i="63" l="1"/>
  <c r="AM267" i="63"/>
  <c r="P267" i="63"/>
  <c r="U267" i="63" l="1"/>
  <c r="W267" i="63"/>
  <c r="AU267" i="63" l="1"/>
  <c r="AV267" i="63" s="1"/>
  <c r="N268" i="63"/>
  <c r="AT267" i="63"/>
  <c r="O268" i="63"/>
  <c r="AN268" i="63" l="1"/>
  <c r="AS268" i="63" s="1"/>
  <c r="Q268" i="63"/>
  <c r="V268" i="63" s="1"/>
  <c r="M268" i="63"/>
  <c r="L268" i="63" s="1"/>
  <c r="Z268" i="63" l="1"/>
  <c r="AM268" i="63"/>
  <c r="P268" i="63"/>
  <c r="U268" i="63" l="1"/>
  <c r="W268" i="63"/>
  <c r="N269" i="63" l="1"/>
  <c r="AU268" i="63"/>
  <c r="AV268" i="63" s="1"/>
  <c r="AT268" i="63"/>
  <c r="O269" i="63"/>
  <c r="AN269" i="63" l="1"/>
  <c r="AS269" i="63" s="1"/>
  <c r="Q269" i="63"/>
  <c r="V269" i="63" s="1"/>
  <c r="M269" i="63"/>
  <c r="L269" i="63" s="1"/>
  <c r="Z269" i="63" l="1"/>
  <c r="AM269" i="63"/>
  <c r="P269" i="63"/>
  <c r="U269" i="63" l="1"/>
  <c r="W269" i="63"/>
  <c r="N270" i="63" l="1"/>
  <c r="AT269" i="63"/>
  <c r="O270" i="63"/>
  <c r="AU269" i="63"/>
  <c r="AV269" i="63" s="1"/>
  <c r="AN270" i="63" l="1"/>
  <c r="AS270" i="63" s="1"/>
  <c r="Q270" i="63"/>
  <c r="V270" i="63" s="1"/>
  <c r="M270" i="63"/>
  <c r="L270" i="63" s="1"/>
  <c r="AM270" i="63" l="1"/>
  <c r="Z270" i="63"/>
  <c r="P270" i="63"/>
  <c r="W270" i="63" l="1"/>
  <c r="U270" i="63"/>
  <c r="O271" i="63" l="1"/>
  <c r="N271" i="63"/>
  <c r="AT270" i="63"/>
  <c r="AU270" i="63"/>
  <c r="AV270" i="63" s="1"/>
  <c r="Q271" i="63" l="1"/>
  <c r="V271" i="63" s="1"/>
  <c r="M271" i="63"/>
  <c r="L271" i="63" s="1"/>
  <c r="AN271" i="63"/>
  <c r="AS271" i="63" s="1"/>
  <c r="P271" i="63"/>
  <c r="U271" i="63" l="1"/>
  <c r="W271" i="63"/>
  <c r="Z271" i="63"/>
  <c r="AM271" i="63"/>
  <c r="AT271" i="63" l="1"/>
  <c r="N272" i="63"/>
  <c r="O272" i="63"/>
  <c r="AU271" i="63"/>
  <c r="AV271" i="63" s="1"/>
  <c r="AN272" i="63" l="1"/>
  <c r="AS272" i="63" s="1"/>
  <c r="M272" i="63"/>
  <c r="L272" i="63" s="1"/>
  <c r="Q272" i="63"/>
  <c r="V272" i="63" s="1"/>
  <c r="Z272" i="63" l="1"/>
  <c r="AM272" i="63"/>
  <c r="P272" i="63"/>
  <c r="W272" i="63" l="1"/>
  <c r="U272" i="63"/>
  <c r="AT272" i="63" l="1"/>
  <c r="AU272" i="63"/>
  <c r="AV272" i="63" s="1"/>
  <c r="O273" i="63"/>
  <c r="N273" i="63"/>
  <c r="Q273" i="63" l="1"/>
  <c r="V273" i="63" s="1"/>
  <c r="M273" i="63"/>
  <c r="L273" i="63" s="1"/>
  <c r="AN273" i="63"/>
  <c r="AS273" i="63" s="1"/>
  <c r="P273" i="63"/>
  <c r="U273" i="63" l="1"/>
  <c r="W273" i="63"/>
  <c r="AM273" i="63"/>
  <c r="Z273" i="63"/>
  <c r="AU273" i="63" l="1"/>
  <c r="AV273" i="63" s="1"/>
  <c r="O274" i="63"/>
  <c r="N274" i="63"/>
  <c r="AT273" i="63"/>
  <c r="AN274" i="63" l="1"/>
  <c r="AS274" i="63" s="1"/>
  <c r="M274" i="63"/>
  <c r="L274" i="63" s="1"/>
  <c r="Q274" i="63"/>
  <c r="V274" i="63" s="1"/>
  <c r="P274" i="63" l="1"/>
  <c r="Z274" i="63"/>
  <c r="AM274" i="63"/>
  <c r="U274" i="63" l="1"/>
  <c r="W274" i="63"/>
  <c r="AU274" i="63" l="1"/>
  <c r="AV274" i="63" s="1"/>
  <c r="O275" i="63"/>
  <c r="N275" i="63"/>
  <c r="AT274" i="63"/>
  <c r="Q275" i="63" l="1"/>
  <c r="V275" i="63" s="1"/>
  <c r="M275" i="63"/>
  <c r="L275" i="63" s="1"/>
  <c r="AN275" i="63"/>
  <c r="AS275" i="63" s="1"/>
  <c r="P275" i="63"/>
  <c r="U275" i="63" s="1"/>
  <c r="Z275" i="63" l="1"/>
  <c r="AM275" i="63"/>
  <c r="W275" i="63"/>
  <c r="N276" i="63" l="1"/>
  <c r="O276" i="63"/>
  <c r="AT275" i="63"/>
  <c r="AU275" i="63"/>
  <c r="AV275" i="63" s="1"/>
  <c r="AN276" i="63" l="1"/>
  <c r="AS276" i="63" s="1"/>
  <c r="Q276" i="63"/>
  <c r="V276" i="63" s="1"/>
  <c r="M276" i="63"/>
  <c r="L276" i="63" s="1"/>
  <c r="AM276" i="63" l="1"/>
  <c r="Z276" i="63"/>
  <c r="P276" i="63"/>
  <c r="U276" i="63" l="1"/>
  <c r="W276" i="63"/>
  <c r="AU276" i="63" l="1"/>
  <c r="AV276" i="63" s="1"/>
  <c r="O277" i="63"/>
  <c r="AT276" i="63"/>
  <c r="N277" i="63"/>
  <c r="Q277" i="63" l="1"/>
  <c r="V277" i="63" s="1"/>
  <c r="M277" i="63"/>
  <c r="L277" i="63" s="1"/>
  <c r="AN277" i="63"/>
  <c r="AS277" i="63" s="1"/>
  <c r="P277" i="63"/>
  <c r="Z277" i="63" l="1"/>
  <c r="AM277" i="63"/>
  <c r="U277" i="63"/>
  <c r="W277" i="63"/>
  <c r="AU277" i="63" l="1"/>
  <c r="AV277" i="63" s="1"/>
  <c r="N278" i="63"/>
  <c r="AT277" i="63"/>
  <c r="O278" i="63"/>
  <c r="Q278" i="63" l="1"/>
  <c r="V278" i="63" s="1"/>
  <c r="M278" i="63"/>
  <c r="L278" i="63" s="1"/>
  <c r="AN278" i="63"/>
  <c r="AS278" i="63" s="1"/>
  <c r="P278" i="63" l="1"/>
  <c r="AM278" i="63"/>
  <c r="Z278" i="63"/>
  <c r="U278" i="63"/>
  <c r="W278" i="63"/>
  <c r="AU278" i="63" l="1"/>
  <c r="AV278" i="63" s="1"/>
  <c r="O279" i="63"/>
  <c r="AN279" i="63" s="1"/>
  <c r="AS279" i="63" s="1"/>
  <c r="N279" i="63"/>
  <c r="AT278" i="63"/>
  <c r="Q279" i="63" l="1"/>
  <c r="V279" i="63" s="1"/>
  <c r="M279" i="63"/>
  <c r="L279" i="63" s="1"/>
  <c r="AM279" i="63" l="1"/>
  <c r="Z279" i="63"/>
  <c r="P279" i="63"/>
  <c r="W279" i="63" l="1"/>
  <c r="U279" i="63"/>
  <c r="AU279" i="63" l="1"/>
  <c r="AV279" i="63" s="1"/>
  <c r="AT279" i="63"/>
  <c r="O280" i="63"/>
  <c r="N280" i="63"/>
  <c r="Q280" i="63" l="1"/>
  <c r="V280" i="63" s="1"/>
  <c r="M280" i="63"/>
  <c r="L280" i="63" s="1"/>
  <c r="P280" i="63"/>
  <c r="AN280" i="63"/>
  <c r="AS280" i="63" s="1"/>
  <c r="Z280" i="63" l="1"/>
  <c r="AM280" i="63"/>
  <c r="W280" i="63"/>
  <c r="U280" i="63"/>
  <c r="N281" i="63" l="1"/>
  <c r="AU280" i="63"/>
  <c r="AV280" i="63" s="1"/>
  <c r="O281" i="63"/>
  <c r="AN281" i="63" s="1"/>
  <c r="AS281" i="63" s="1"/>
  <c r="AT280" i="63"/>
  <c r="M281" i="63" l="1"/>
  <c r="L281" i="63" s="1"/>
  <c r="Q281" i="63"/>
  <c r="V281" i="63" l="1"/>
  <c r="P281" i="63"/>
  <c r="Z281" i="63"/>
  <c r="AM281" i="63"/>
  <c r="U281" i="63" l="1"/>
  <c r="W281" i="63"/>
  <c r="AU281" i="63" l="1"/>
  <c r="AV281" i="63" s="1"/>
  <c r="AT281" i="63"/>
  <c r="N282" i="63"/>
  <c r="O282" i="63"/>
  <c r="AN282" i="63" l="1"/>
  <c r="AS282" i="63" s="1"/>
  <c r="Q282" i="63"/>
  <c r="V282" i="63" s="1"/>
  <c r="M282" i="63"/>
  <c r="L282" i="63" s="1"/>
  <c r="Z282" i="63" l="1"/>
  <c r="AM282" i="63"/>
  <c r="P282" i="63"/>
  <c r="U282" i="63" l="1"/>
  <c r="W282" i="63"/>
  <c r="AU282" i="63" l="1"/>
  <c r="AV282" i="63" s="1"/>
  <c r="AT282" i="63"/>
  <c r="N283" i="63"/>
  <c r="O283" i="63"/>
  <c r="AN283" i="63" l="1"/>
  <c r="AS283" i="63" s="1"/>
  <c r="M283" i="63"/>
  <c r="L283" i="63" s="1"/>
  <c r="Q283" i="63"/>
  <c r="V283" i="63" s="1"/>
  <c r="Z283" i="63" l="1"/>
  <c r="AM283" i="63"/>
  <c r="P283" i="63"/>
  <c r="U283" i="63" l="1"/>
  <c r="W283" i="63"/>
  <c r="AT283" i="63" l="1"/>
  <c r="O284" i="63"/>
  <c r="N284" i="63"/>
  <c r="AU283" i="63"/>
  <c r="AV283" i="63" s="1"/>
  <c r="Q284" i="63" l="1"/>
  <c r="V284" i="63" s="1"/>
  <c r="M284" i="63"/>
  <c r="L284" i="63" s="1"/>
  <c r="AN284" i="63"/>
  <c r="AS284" i="63" s="1"/>
  <c r="P284" i="63" l="1"/>
  <c r="U284" i="63" s="1"/>
  <c r="AM284" i="63"/>
  <c r="Z284" i="63"/>
  <c r="W284" i="63"/>
  <c r="AU284" i="63" l="1"/>
  <c r="AV284" i="63" s="1"/>
  <c r="N285" i="63"/>
  <c r="O285" i="63"/>
  <c r="AT284" i="63"/>
  <c r="AN285" i="63" l="1"/>
  <c r="AS285" i="63" s="1"/>
  <c r="Q285" i="63"/>
  <c r="V285" i="63" s="1"/>
  <c r="M285" i="63"/>
  <c r="L285" i="63" s="1"/>
  <c r="AM285" i="63" l="1"/>
  <c r="Z285" i="63"/>
  <c r="P285" i="63"/>
  <c r="U285" i="63" l="1"/>
  <c r="W285" i="63"/>
  <c r="O286" i="63" l="1"/>
  <c r="AU285" i="63"/>
  <c r="AV285" i="63" s="1"/>
  <c r="N286" i="63"/>
  <c r="AT285" i="63"/>
  <c r="Q286" i="63" l="1"/>
  <c r="V286" i="63" s="1"/>
  <c r="M286" i="63"/>
  <c r="L286" i="63" s="1"/>
  <c r="AN286" i="63"/>
  <c r="AS286" i="63" s="1"/>
  <c r="P286" i="63" l="1"/>
  <c r="U286" i="63" s="1"/>
  <c r="Z286" i="63"/>
  <c r="AM286" i="63"/>
  <c r="W286" i="63" l="1"/>
  <c r="O287" i="63" s="1"/>
  <c r="AT286" i="63"/>
  <c r="N287" i="63"/>
  <c r="AU286" i="63"/>
  <c r="AV286" i="63" s="1"/>
  <c r="M287" i="63" l="1"/>
  <c r="L287" i="63" s="1"/>
  <c r="Q287" i="63"/>
  <c r="V287" i="63" s="1"/>
  <c r="AN287" i="63"/>
  <c r="AS287" i="63" s="1"/>
  <c r="P287" i="63" l="1"/>
  <c r="U287" i="63" s="1"/>
  <c r="W287" i="63"/>
  <c r="Z287" i="63"/>
  <c r="AM287" i="63"/>
  <c r="N288" i="63" l="1"/>
  <c r="AT287" i="63"/>
  <c r="O288" i="63"/>
  <c r="AU287" i="63"/>
  <c r="AV287" i="63" s="1"/>
  <c r="AN288" i="63" l="1"/>
  <c r="AS288" i="63" s="1"/>
  <c r="Q288" i="63"/>
  <c r="V288" i="63" s="1"/>
  <c r="M288" i="63"/>
  <c r="L288" i="63" s="1"/>
  <c r="Z288" i="63" l="1"/>
  <c r="AM288" i="63"/>
  <c r="P288" i="63"/>
  <c r="W288" i="63" l="1"/>
  <c r="U288" i="63"/>
  <c r="O289" i="63" l="1"/>
  <c r="AU288" i="63"/>
  <c r="AV288" i="63" s="1"/>
  <c r="AT288" i="63"/>
  <c r="N289" i="63"/>
  <c r="M289" i="63" l="1"/>
  <c r="L289" i="63" s="1"/>
  <c r="Q289" i="63"/>
  <c r="V289" i="63" s="1"/>
  <c r="AN289" i="63"/>
  <c r="AS289" i="63" s="1"/>
  <c r="P289" i="63" l="1"/>
  <c r="Z289" i="63"/>
  <c r="AM289" i="63"/>
  <c r="U289" i="63" l="1"/>
  <c r="W289" i="63"/>
  <c r="N290" i="63" l="1"/>
  <c r="O290" i="63"/>
  <c r="AU289" i="63"/>
  <c r="AV289" i="63" s="1"/>
  <c r="AT289" i="63"/>
  <c r="AN290" i="63" l="1"/>
  <c r="AS290" i="63" s="1"/>
  <c r="Q290" i="63"/>
  <c r="V290" i="63" s="1"/>
  <c r="M290" i="63"/>
  <c r="L290" i="63" s="1"/>
  <c r="Z290" i="63" l="1"/>
  <c r="AM290" i="63"/>
  <c r="P290" i="63"/>
  <c r="U290" i="63" l="1"/>
  <c r="W290" i="63"/>
  <c r="AU290" i="63" l="1"/>
  <c r="AV290" i="63" s="1"/>
  <c r="AT290" i="63"/>
  <c r="N291" i="63"/>
  <c r="O291" i="63"/>
  <c r="AN291" i="63" l="1"/>
  <c r="AS291" i="63" s="1"/>
  <c r="Q291" i="63"/>
  <c r="V291" i="63" s="1"/>
  <c r="M291" i="63"/>
  <c r="L291" i="63" s="1"/>
  <c r="Z291" i="63" l="1"/>
  <c r="AM291" i="63"/>
  <c r="P291" i="63"/>
  <c r="U291" i="63" l="1"/>
  <c r="W291" i="63"/>
  <c r="N292" i="63" l="1"/>
  <c r="AT291" i="63"/>
  <c r="O292" i="63"/>
  <c r="AU291" i="63"/>
  <c r="AV291" i="63" s="1"/>
  <c r="AN292" i="63" l="1"/>
  <c r="AS292" i="63" s="1"/>
  <c r="Q292" i="63"/>
  <c r="V292" i="63" s="1"/>
  <c r="M292" i="63"/>
  <c r="L292" i="63" s="1"/>
  <c r="AM292" i="63" l="1"/>
  <c r="Z292" i="63"/>
  <c r="P292" i="63"/>
  <c r="U292" i="63" l="1"/>
  <c r="W292" i="63"/>
  <c r="O293" i="63" l="1"/>
  <c r="AT292" i="63"/>
  <c r="N293" i="63"/>
  <c r="AU292" i="63"/>
  <c r="AV292" i="63" s="1"/>
  <c r="Q293" i="63" l="1"/>
  <c r="V293" i="63" s="1"/>
  <c r="M293" i="63"/>
  <c r="L293" i="63" s="1"/>
  <c r="AN293" i="63"/>
  <c r="AS293" i="63" s="1"/>
  <c r="P293" i="63" l="1"/>
  <c r="U293" i="63" s="1"/>
  <c r="Z293" i="63"/>
  <c r="AM293" i="63"/>
  <c r="W293" i="63"/>
  <c r="AU293" i="63" l="1"/>
  <c r="AV293" i="63" s="1"/>
  <c r="N294" i="63"/>
  <c r="AT293" i="63"/>
  <c r="O294" i="63"/>
  <c r="AN294" i="63" l="1"/>
  <c r="AS294" i="63" s="1"/>
  <c r="Q294" i="63"/>
  <c r="V294" i="63" s="1"/>
  <c r="M294" i="63"/>
  <c r="L294" i="63" s="1"/>
  <c r="Z294" i="63" l="1"/>
  <c r="AM294" i="63"/>
  <c r="P294" i="63"/>
  <c r="U294" i="63" l="1"/>
  <c r="W294" i="63"/>
  <c r="AT294" i="63" l="1"/>
  <c r="O295" i="63"/>
  <c r="N295" i="63"/>
  <c r="AU294" i="63"/>
  <c r="AV294" i="63" s="1"/>
  <c r="M295" i="63" l="1"/>
  <c r="L295" i="63" s="1"/>
  <c r="Q295" i="63"/>
  <c r="V295" i="63" s="1"/>
  <c r="AN295" i="63"/>
  <c r="AS295" i="63" s="1"/>
  <c r="P295" i="63" l="1"/>
  <c r="AM295" i="63"/>
  <c r="Z295" i="63"/>
  <c r="U295" i="63" l="1"/>
  <c r="W295" i="63"/>
  <c r="N296" i="63" l="1"/>
  <c r="AT295" i="63"/>
  <c r="O296" i="63"/>
  <c r="AU295" i="63"/>
  <c r="AV295" i="63" s="1"/>
  <c r="AN296" i="63" l="1"/>
  <c r="AS296" i="63" s="1"/>
  <c r="M296" i="63"/>
  <c r="L296" i="63" s="1"/>
  <c r="Q296" i="63"/>
  <c r="V296" i="63" s="1"/>
  <c r="P296" i="63" l="1"/>
  <c r="Z296" i="63"/>
  <c r="AM296" i="63"/>
  <c r="U296" i="63" l="1"/>
  <c r="W296" i="63"/>
  <c r="O297" i="63" l="1"/>
  <c r="AU296" i="63"/>
  <c r="AV296" i="63" s="1"/>
  <c r="AT296" i="63"/>
  <c r="N297" i="63"/>
  <c r="M297" i="63" l="1"/>
  <c r="L297" i="63" s="1"/>
  <c r="Q297" i="63"/>
  <c r="V297" i="63" s="1"/>
  <c r="AN297" i="63"/>
  <c r="AS297" i="63" s="1"/>
  <c r="P297" i="63" l="1"/>
  <c r="Z297" i="63"/>
  <c r="AM297" i="63"/>
  <c r="U297" i="63" l="1"/>
  <c r="W297" i="63"/>
  <c r="AT297" i="63" l="1"/>
  <c r="O298" i="63"/>
  <c r="N298" i="63"/>
  <c r="AU297" i="63"/>
  <c r="AV297" i="63" s="1"/>
  <c r="Q298" i="63" l="1"/>
  <c r="V298" i="63" s="1"/>
  <c r="M298" i="63"/>
  <c r="L298" i="63" s="1"/>
  <c r="AN298" i="63"/>
  <c r="AS298" i="63" s="1"/>
  <c r="P298" i="63"/>
  <c r="U298" i="63" s="1"/>
  <c r="Z298" i="63" l="1"/>
  <c r="AM298" i="63"/>
  <c r="W298" i="63"/>
  <c r="AT298" i="63" l="1"/>
  <c r="O299" i="63"/>
  <c r="N299" i="63"/>
  <c r="AU298" i="63"/>
  <c r="AV298" i="63" s="1"/>
  <c r="M299" i="63" l="1"/>
  <c r="L299" i="63" s="1"/>
  <c r="Q299" i="63"/>
  <c r="V299" i="63" s="1"/>
  <c r="AN299" i="63"/>
  <c r="AS299" i="63" s="1"/>
  <c r="P299" i="63" l="1"/>
  <c r="U299" i="63" s="1"/>
  <c r="Z299" i="63"/>
  <c r="AM299" i="63"/>
  <c r="W299" i="63" l="1"/>
  <c r="AU299" i="63" s="1"/>
  <c r="AV299" i="63" s="1"/>
  <c r="AT299" i="63"/>
  <c r="N300" i="63"/>
  <c r="O300" i="63"/>
  <c r="AN300" i="63" l="1"/>
  <c r="AS300" i="63" s="1"/>
  <c r="M300" i="63"/>
  <c r="L300" i="63" s="1"/>
  <c r="Q300" i="63"/>
  <c r="V300" i="63" s="1"/>
  <c r="AM300" i="63" l="1"/>
  <c r="Z300" i="63"/>
  <c r="P300" i="63"/>
  <c r="U300" i="63" l="1"/>
  <c r="W300" i="63"/>
  <c r="AU300" i="63" l="1"/>
  <c r="AV300" i="63" s="1"/>
  <c r="O301" i="63"/>
  <c r="N301" i="63"/>
  <c r="AT300" i="63"/>
  <c r="AN301" i="63" l="1"/>
  <c r="AS301" i="63" s="1"/>
  <c r="Q301" i="63"/>
  <c r="V301" i="63" s="1"/>
  <c r="M301" i="63"/>
  <c r="L301" i="63" s="1"/>
  <c r="Z301" i="63" l="1"/>
  <c r="AM301" i="63"/>
  <c r="P301" i="63"/>
  <c r="U301" i="63" l="1"/>
  <c r="W301" i="63"/>
  <c r="AT301" i="63" l="1"/>
  <c r="AU301" i="63"/>
  <c r="AV301" i="63" s="1"/>
  <c r="O302" i="63"/>
  <c r="N302" i="63"/>
  <c r="Q302" i="63" l="1"/>
  <c r="V302" i="63" s="1"/>
  <c r="M302" i="63"/>
  <c r="L302" i="63" s="1"/>
  <c r="AN302" i="63"/>
  <c r="AS302" i="63" s="1"/>
  <c r="P302" i="63"/>
  <c r="U302" i="63" s="1"/>
  <c r="Z302" i="63" l="1"/>
  <c r="AM302" i="63"/>
  <c r="W302" i="63"/>
  <c r="AT302" i="63" l="1"/>
  <c r="O303" i="63"/>
  <c r="N303" i="63"/>
  <c r="AU302" i="63"/>
  <c r="AV302" i="63" s="1"/>
  <c r="Q303" i="63" l="1"/>
  <c r="V303" i="63" s="1"/>
  <c r="M303" i="63"/>
  <c r="L303" i="63" s="1"/>
  <c r="AN303" i="63"/>
  <c r="AS303" i="63" s="1"/>
  <c r="P303" i="63" l="1"/>
  <c r="U303" i="63" s="1"/>
  <c r="Z303" i="63"/>
  <c r="AM303" i="63"/>
  <c r="W303" i="63"/>
  <c r="N304" i="63" l="1"/>
  <c r="AU303" i="63"/>
  <c r="AV303" i="63" s="1"/>
  <c r="O304" i="63"/>
  <c r="AT303" i="63"/>
  <c r="AN304" i="63" l="1"/>
  <c r="AS304" i="63" s="1"/>
  <c r="M304" i="63"/>
  <c r="L304" i="63" s="1"/>
  <c r="Q304" i="63"/>
  <c r="V304" i="63" s="1"/>
  <c r="P304" i="63" l="1"/>
  <c r="Z304" i="63"/>
  <c r="AM304" i="63"/>
  <c r="U304" i="63" l="1"/>
  <c r="W304" i="63"/>
  <c r="AU304" i="63" l="1"/>
  <c r="AV304" i="63" s="1"/>
  <c r="AT304" i="63"/>
  <c r="O305" i="63"/>
  <c r="N305" i="63"/>
  <c r="M305" i="63" l="1"/>
  <c r="L305" i="63" s="1"/>
  <c r="Q305" i="63"/>
  <c r="V305" i="63" s="1"/>
  <c r="AN305" i="63"/>
  <c r="AS305" i="63" s="1"/>
  <c r="P305" i="63" l="1"/>
  <c r="U305" i="63" s="1"/>
  <c r="Z305" i="63"/>
  <c r="AM305" i="63"/>
  <c r="W305" i="63" l="1"/>
  <c r="AU305" i="63" s="1"/>
  <c r="AV305" i="63" s="1"/>
  <c r="N306" i="63"/>
  <c r="AT305" i="63"/>
  <c r="O306" i="63" l="1"/>
  <c r="M306" i="63"/>
  <c r="L306" i="63" s="1"/>
  <c r="Q306" i="63"/>
  <c r="V306" i="63" s="1"/>
  <c r="AN306" i="63"/>
  <c r="AS306" i="63" s="1"/>
  <c r="P306" i="63" l="1"/>
  <c r="Z306" i="63"/>
  <c r="AM306" i="63"/>
  <c r="U306" i="63" l="1"/>
  <c r="W306" i="63"/>
  <c r="AT306" i="63" l="1"/>
  <c r="N307" i="63"/>
  <c r="AU306" i="63"/>
  <c r="AV306" i="63" s="1"/>
  <c r="O307" i="63"/>
  <c r="AN307" i="63" l="1"/>
  <c r="AS307" i="63" s="1"/>
  <c r="Q307" i="63"/>
  <c r="V307" i="63" s="1"/>
  <c r="M307" i="63"/>
  <c r="L307" i="63" s="1"/>
  <c r="Z307" i="63" l="1"/>
  <c r="AM307" i="63"/>
  <c r="P307" i="63"/>
  <c r="U307" i="63" l="1"/>
  <c r="W307" i="63"/>
  <c r="N308" i="63" l="1"/>
  <c r="O308" i="63"/>
  <c r="AU307" i="63"/>
  <c r="AV307" i="63" s="1"/>
  <c r="AT307" i="63"/>
  <c r="AN308" i="63" l="1"/>
  <c r="AS308" i="63" s="1"/>
  <c r="M308" i="63"/>
  <c r="L308" i="63" s="1"/>
  <c r="Q308" i="63"/>
  <c r="V308" i="63" s="1"/>
  <c r="P308" i="63" l="1"/>
  <c r="AM308" i="63"/>
  <c r="Z308" i="63"/>
  <c r="U308" i="63" l="1"/>
  <c r="W308" i="63"/>
  <c r="AU308" i="63" l="1"/>
  <c r="AV308" i="63" s="1"/>
  <c r="O309" i="63"/>
  <c r="AT308" i="63"/>
  <c r="N309" i="63"/>
  <c r="AN309" i="63" l="1"/>
  <c r="AS309" i="63" s="1"/>
  <c r="M309" i="63"/>
  <c r="L309" i="63" s="1"/>
  <c r="Q309" i="63"/>
  <c r="V309" i="63" s="1"/>
  <c r="P309" i="63" l="1"/>
  <c r="Z309" i="63"/>
  <c r="AM309" i="63"/>
  <c r="U309" i="63" l="1"/>
  <c r="W309" i="63"/>
  <c r="O310" i="63" l="1"/>
  <c r="AU309" i="63"/>
  <c r="AV309" i="63" s="1"/>
  <c r="AT309" i="63"/>
  <c r="N310" i="63"/>
  <c r="M310" i="63" l="1"/>
  <c r="L310" i="63" s="1"/>
  <c r="Q310" i="63"/>
  <c r="V310" i="63" s="1"/>
  <c r="AN310" i="63"/>
  <c r="AS310" i="63" s="1"/>
  <c r="P310" i="63" l="1"/>
  <c r="AM310" i="63"/>
  <c r="Z310" i="63"/>
  <c r="U310" i="63" l="1"/>
  <c r="W310" i="63"/>
  <c r="AT310" i="63" l="1"/>
  <c r="N311" i="63"/>
  <c r="AU310" i="63"/>
  <c r="AV310" i="63" s="1"/>
  <c r="O311" i="63"/>
  <c r="AN311" i="63" l="1"/>
  <c r="AS311" i="63" s="1"/>
  <c r="M311" i="63"/>
  <c r="L311" i="63" s="1"/>
  <c r="Q311" i="63"/>
  <c r="V311" i="63" s="1"/>
  <c r="P311" i="63" l="1"/>
  <c r="Z311" i="63"/>
  <c r="AM311" i="63"/>
  <c r="U311" i="63" l="1"/>
  <c r="W311" i="63"/>
  <c r="N312" i="63" l="1"/>
  <c r="AT311" i="63"/>
  <c r="AU311" i="63"/>
  <c r="AV311" i="63" s="1"/>
  <c r="O312" i="63"/>
  <c r="AN312" i="63" l="1"/>
  <c r="AS312" i="63" s="1"/>
  <c r="M312" i="63"/>
  <c r="L312" i="63" s="1"/>
  <c r="Q312" i="63"/>
  <c r="V312" i="63" s="1"/>
  <c r="Z312" i="63" l="1"/>
  <c r="AM312" i="63"/>
  <c r="P312" i="63"/>
  <c r="U312" i="63" l="1"/>
  <c r="W312" i="63"/>
  <c r="O313" i="63" l="1"/>
  <c r="AT312" i="63"/>
  <c r="AU312" i="63"/>
  <c r="AV312" i="63" s="1"/>
  <c r="N313" i="63"/>
  <c r="M313" i="63" l="1"/>
  <c r="L313" i="63" s="1"/>
  <c r="Q313" i="63"/>
  <c r="V313" i="63" s="1"/>
  <c r="AN313" i="63"/>
  <c r="AS313" i="63" s="1"/>
  <c r="P313" i="63" l="1"/>
  <c r="Z313" i="63"/>
  <c r="AM313" i="63"/>
  <c r="U313" i="63" l="1"/>
  <c r="W313" i="63"/>
  <c r="N314" i="63" l="1"/>
  <c r="AU313" i="63"/>
  <c r="AV313" i="63" s="1"/>
  <c r="O314" i="63"/>
  <c r="AT313" i="63"/>
  <c r="AN314" i="63" l="1"/>
  <c r="AS314" i="63" s="1"/>
  <c r="Q314" i="63"/>
  <c r="V314" i="63" s="1"/>
  <c r="M314" i="63"/>
  <c r="L314" i="63" s="1"/>
  <c r="Z314" i="63" l="1"/>
  <c r="AM314" i="63"/>
  <c r="P314" i="63"/>
  <c r="U314" i="63" l="1"/>
  <c r="W314" i="63"/>
  <c r="N315" i="63" l="1"/>
  <c r="O315" i="63"/>
  <c r="AU314" i="63"/>
  <c r="AV314" i="63" s="1"/>
  <c r="AT314" i="63"/>
  <c r="AN315" i="63" l="1"/>
  <c r="AS315" i="63" s="1"/>
  <c r="M315" i="63"/>
  <c r="L315" i="63" s="1"/>
  <c r="Q315" i="63"/>
  <c r="V315" i="63" s="1"/>
  <c r="Z315" i="63" l="1"/>
  <c r="AM315" i="63"/>
  <c r="P315" i="63"/>
  <c r="U315" i="63" l="1"/>
  <c r="W315" i="63"/>
  <c r="AU315" i="63" l="1"/>
  <c r="AV315" i="63" s="1"/>
  <c r="AT315" i="63"/>
  <c r="N316" i="63"/>
  <c r="O316" i="63"/>
  <c r="AN316" i="63" l="1"/>
  <c r="AS316" i="63" s="1"/>
  <c r="Q316" i="63"/>
  <c r="V316" i="63" s="1"/>
  <c r="M316" i="63"/>
  <c r="L316" i="63" s="1"/>
  <c r="Z316" i="63" l="1"/>
  <c r="AM316" i="63"/>
  <c r="P316" i="63"/>
  <c r="U316" i="63" l="1"/>
  <c r="W316" i="63"/>
  <c r="O317" i="63" l="1"/>
  <c r="N317" i="63"/>
  <c r="AT316" i="63"/>
  <c r="AU316" i="63"/>
  <c r="AV316" i="63" s="1"/>
  <c r="M317" i="63" l="1"/>
  <c r="L317" i="63" s="1"/>
  <c r="Q317" i="63"/>
  <c r="V317" i="63" s="1"/>
  <c r="AN317" i="63"/>
  <c r="AS317" i="63" s="1"/>
  <c r="P317" i="63" l="1"/>
  <c r="U317" i="63" s="1"/>
  <c r="Z317" i="63"/>
  <c r="AM317" i="63"/>
  <c r="W317" i="63" l="1"/>
  <c r="AU317" i="63" s="1"/>
  <c r="AV317" i="63" s="1"/>
  <c r="O318" i="63" l="1"/>
  <c r="AN318" i="63" s="1"/>
  <c r="AS318" i="63" s="1"/>
  <c r="N318" i="63"/>
  <c r="AT317" i="63"/>
  <c r="M318" i="63"/>
  <c r="L318" i="63" s="1"/>
  <c r="Q318" i="63"/>
  <c r="V318" i="63" s="1"/>
  <c r="AM318" i="63" l="1"/>
  <c r="Z318" i="63"/>
  <c r="P318" i="63"/>
  <c r="U318" i="63" l="1"/>
  <c r="W318" i="63"/>
  <c r="AU318" i="63" l="1"/>
  <c r="AV318" i="63" s="1"/>
  <c r="AT318" i="63"/>
  <c r="O319" i="63"/>
  <c r="N319" i="63"/>
  <c r="Q319" i="63" l="1"/>
  <c r="V319" i="63" s="1"/>
  <c r="M319" i="63"/>
  <c r="L319" i="63" s="1"/>
  <c r="AN319" i="63"/>
  <c r="AS319" i="63" s="1"/>
  <c r="P319" i="63"/>
  <c r="U319" i="63" s="1"/>
  <c r="Z319" i="63" l="1"/>
  <c r="AM319" i="63"/>
  <c r="W319" i="63"/>
  <c r="AT319" i="63" l="1"/>
  <c r="N320" i="63"/>
  <c r="AU319" i="63"/>
  <c r="AV319" i="63" s="1"/>
  <c r="O320" i="63"/>
  <c r="AN320" i="63" l="1"/>
  <c r="AS320" i="63" s="1"/>
  <c r="M320" i="63"/>
  <c r="L320" i="63" s="1"/>
  <c r="Q320" i="63"/>
  <c r="V320" i="63" s="1"/>
  <c r="AM320" i="63" l="1"/>
  <c r="Z320" i="63"/>
  <c r="P320" i="63"/>
  <c r="U320" i="63" l="1"/>
  <c r="W320" i="63"/>
  <c r="N321" i="63" l="1"/>
  <c r="AU320" i="63"/>
  <c r="AV320" i="63" s="1"/>
  <c r="O321" i="63"/>
  <c r="AT320" i="63"/>
  <c r="AN321" i="63" l="1"/>
  <c r="AS321" i="63" s="1"/>
  <c r="Q321" i="63"/>
  <c r="V321" i="63" s="1"/>
  <c r="M321" i="63"/>
  <c r="L321" i="63" s="1"/>
  <c r="Z321" i="63" l="1"/>
  <c r="AM321" i="63"/>
  <c r="P321" i="63"/>
  <c r="U321" i="63" l="1"/>
  <c r="W321" i="63"/>
  <c r="AT321" i="63" l="1"/>
  <c r="AU321" i="63"/>
  <c r="AV321" i="63" s="1"/>
  <c r="O322" i="63"/>
  <c r="N322" i="63"/>
  <c r="M322" i="63" l="1"/>
  <c r="L322" i="63" s="1"/>
  <c r="Q322" i="63"/>
  <c r="V322" i="63" s="1"/>
  <c r="AN322" i="63"/>
  <c r="AS322" i="63" s="1"/>
  <c r="P322" i="63" l="1"/>
  <c r="U322" i="63" s="1"/>
  <c r="Z322" i="63"/>
  <c r="AM322" i="63"/>
  <c r="W322" i="63" l="1"/>
  <c r="O323" i="63" s="1"/>
  <c r="AT322" i="63"/>
  <c r="N323" i="63"/>
  <c r="AU322" i="63"/>
  <c r="AV322" i="63" s="1"/>
  <c r="M323" i="63" l="1"/>
  <c r="L323" i="63" s="1"/>
  <c r="Q323" i="63"/>
  <c r="V323" i="63" s="1"/>
  <c r="AN323" i="63"/>
  <c r="AS323" i="63" s="1"/>
  <c r="P323" i="63"/>
  <c r="U323" i="63" s="1"/>
  <c r="W323" i="63" l="1"/>
  <c r="Z323" i="63"/>
  <c r="AM323" i="63"/>
  <c r="AT323" i="63" l="1"/>
  <c r="AU323" i="63"/>
  <c r="AV323" i="63" s="1"/>
  <c r="N324" i="63"/>
  <c r="O324" i="63"/>
  <c r="Q324" i="63" l="1"/>
  <c r="V324" i="63" s="1"/>
  <c r="M324" i="63"/>
  <c r="L324" i="63" s="1"/>
  <c r="AN324" i="63"/>
  <c r="AS324" i="63" s="1"/>
  <c r="P324" i="63" l="1"/>
  <c r="U324" i="63" s="1"/>
  <c r="Z324" i="63"/>
  <c r="AM324" i="63"/>
  <c r="W324" i="63"/>
  <c r="N325" i="63" l="1"/>
  <c r="AU324" i="63"/>
  <c r="AV324" i="63" s="1"/>
  <c r="O325" i="63"/>
  <c r="AT324" i="63"/>
  <c r="AN325" i="63" l="1"/>
  <c r="AS325" i="63" s="1"/>
  <c r="Q325" i="63"/>
  <c r="V325" i="63" s="1"/>
  <c r="M325" i="63"/>
  <c r="L325" i="63" s="1"/>
  <c r="Z325" i="63" l="1"/>
  <c r="AM325" i="63"/>
  <c r="P325" i="63"/>
  <c r="U325" i="63" l="1"/>
  <c r="W325" i="63"/>
  <c r="AU325" i="63" l="1"/>
  <c r="AV325" i="63" s="1"/>
  <c r="O326" i="63"/>
  <c r="N326" i="63"/>
  <c r="AT325" i="63"/>
  <c r="AN326" i="63" l="1"/>
  <c r="AS326" i="63" s="1"/>
  <c r="Q326" i="63"/>
  <c r="V326" i="63" s="1"/>
  <c r="M326" i="63"/>
  <c r="L326" i="63" s="1"/>
  <c r="Z326" i="63" l="1"/>
  <c r="AM326" i="63"/>
  <c r="P326" i="63"/>
  <c r="U326" i="63" l="1"/>
  <c r="W326" i="63"/>
  <c r="N327" i="63" l="1"/>
  <c r="AT326" i="63"/>
  <c r="AU326" i="63"/>
  <c r="AV326" i="63" s="1"/>
  <c r="O327" i="63"/>
  <c r="AN327" i="63" l="1"/>
  <c r="AS327" i="63" s="1"/>
  <c r="Q327" i="63"/>
  <c r="V327" i="63" s="1"/>
  <c r="M327" i="63"/>
  <c r="L327" i="63" s="1"/>
  <c r="AM327" i="63" l="1"/>
  <c r="Z327" i="63"/>
  <c r="P327" i="63"/>
  <c r="U327" i="63" l="1"/>
  <c r="W327" i="63"/>
  <c r="N328" i="63" l="1"/>
  <c r="AT327" i="63"/>
  <c r="O328" i="63"/>
  <c r="AU327" i="63"/>
  <c r="AV327" i="63" s="1"/>
  <c r="AN328" i="63" l="1"/>
  <c r="AS328" i="63" s="1"/>
  <c r="M328" i="63"/>
  <c r="L328" i="63" s="1"/>
  <c r="Q328" i="63"/>
  <c r="V328" i="63" s="1"/>
  <c r="P328" i="63" l="1"/>
  <c r="AM328" i="63"/>
  <c r="Z328" i="63"/>
  <c r="U328" i="63" l="1"/>
  <c r="W328" i="63"/>
  <c r="AT328" i="63" l="1"/>
  <c r="O329" i="63"/>
  <c r="N329" i="63"/>
  <c r="AU328" i="63"/>
  <c r="AV328" i="63" s="1"/>
  <c r="Q329" i="63" l="1"/>
  <c r="V329" i="63" s="1"/>
  <c r="M329" i="63"/>
  <c r="L329" i="63" s="1"/>
  <c r="AN329" i="63"/>
  <c r="AS329" i="63" s="1"/>
  <c r="P329" i="63" l="1"/>
  <c r="U329" i="63" s="1"/>
  <c r="Z329" i="63"/>
  <c r="AM329" i="63"/>
  <c r="W329" i="63"/>
  <c r="N330" i="63" l="1"/>
  <c r="AU329" i="63"/>
  <c r="AV329" i="63" s="1"/>
  <c r="AT329" i="63"/>
  <c r="O330" i="63"/>
  <c r="AN330" i="63" l="1"/>
  <c r="AS330" i="63" s="1"/>
  <c r="M330" i="63"/>
  <c r="L330" i="63" s="1"/>
  <c r="Q330" i="63"/>
  <c r="V330" i="63" s="1"/>
  <c r="P330" i="63" l="1"/>
  <c r="Z330" i="63"/>
  <c r="AM330" i="63"/>
  <c r="U330" i="63" l="1"/>
  <c r="W330" i="63"/>
  <c r="AT330" i="63" l="1"/>
  <c r="N331" i="63"/>
  <c r="AU330" i="63"/>
  <c r="AV330" i="63" s="1"/>
  <c r="O331" i="63"/>
  <c r="AN331" i="63" l="1"/>
  <c r="AS331" i="63" s="1"/>
  <c r="Q331" i="63"/>
  <c r="V331" i="63" s="1"/>
  <c r="M331" i="63"/>
  <c r="L331" i="63" s="1"/>
  <c r="Z331" i="63" l="1"/>
  <c r="AM331" i="63"/>
  <c r="P331" i="63"/>
  <c r="U331" i="63" l="1"/>
  <c r="W331" i="63"/>
  <c r="AU331" i="63" l="1"/>
  <c r="AV331" i="63" s="1"/>
  <c r="O332" i="63"/>
  <c r="N332" i="63"/>
  <c r="AT331" i="63"/>
  <c r="AN332" i="63" l="1"/>
  <c r="AS332" i="63" s="1"/>
  <c r="Q332" i="63"/>
  <c r="V332" i="63" s="1"/>
  <c r="M332" i="63"/>
  <c r="L332" i="63" s="1"/>
  <c r="Z332" i="63" l="1"/>
  <c r="AM332" i="63"/>
  <c r="P332" i="63"/>
  <c r="U332" i="63" l="1"/>
  <c r="W332" i="63"/>
  <c r="O333" i="63" l="1"/>
  <c r="N333" i="63"/>
  <c r="AT332" i="63"/>
  <c r="AU332" i="63"/>
  <c r="AV332" i="63" s="1"/>
  <c r="Q333" i="63" l="1"/>
  <c r="V333" i="63" s="1"/>
  <c r="M333" i="63"/>
  <c r="L333" i="63" s="1"/>
  <c r="AN333" i="63"/>
  <c r="AS333" i="63" s="1"/>
  <c r="P333" i="63" l="1"/>
  <c r="U333" i="63" s="1"/>
  <c r="Z333" i="63"/>
  <c r="AM333" i="63"/>
  <c r="W333" i="63"/>
  <c r="O334" i="63" l="1"/>
  <c r="AT333" i="63"/>
  <c r="AU333" i="63"/>
  <c r="AV333" i="63" s="1"/>
  <c r="N334" i="63"/>
  <c r="Q334" i="63" l="1"/>
  <c r="V334" i="63" s="1"/>
  <c r="M334" i="63"/>
  <c r="L334" i="63" s="1"/>
  <c r="AN334" i="63"/>
  <c r="AS334" i="63" s="1"/>
  <c r="P334" i="63" l="1"/>
  <c r="U334" i="63" s="1"/>
  <c r="Z334" i="63"/>
  <c r="AM334" i="63"/>
  <c r="W334" i="63" l="1"/>
  <c r="AT334" i="63"/>
  <c r="O335" i="63"/>
  <c r="N335" i="63"/>
  <c r="AU334" i="63"/>
  <c r="AV334" i="63" s="1"/>
  <c r="M335" i="63" l="1"/>
  <c r="L335" i="63" s="1"/>
  <c r="Q335" i="63"/>
  <c r="V335" i="63" s="1"/>
  <c r="AN335" i="63"/>
  <c r="AS335" i="63" s="1"/>
  <c r="P335" i="63" l="1"/>
  <c r="AM335" i="63"/>
  <c r="Z335" i="63"/>
  <c r="U335" i="63" l="1"/>
  <c r="W335" i="63"/>
  <c r="AU335" i="63" l="1"/>
  <c r="AV335" i="63" s="1"/>
  <c r="N336" i="63"/>
  <c r="O336" i="63"/>
  <c r="AT335" i="63"/>
  <c r="Q336" i="63" l="1"/>
  <c r="V336" i="63" s="1"/>
  <c r="M336" i="63"/>
  <c r="L336" i="63" s="1"/>
  <c r="AN336" i="63"/>
  <c r="AS336" i="63" s="1"/>
  <c r="P336" i="63"/>
  <c r="U336" i="63" s="1"/>
  <c r="Z336" i="63" l="1"/>
  <c r="AM336" i="63"/>
  <c r="W336" i="63"/>
  <c r="O337" i="63" l="1"/>
  <c r="AT336" i="63"/>
  <c r="N337" i="63"/>
  <c r="AU336" i="63"/>
  <c r="AV336" i="63" s="1"/>
  <c r="Q337" i="63" l="1"/>
  <c r="V337" i="63" s="1"/>
  <c r="M337" i="63"/>
  <c r="L337" i="63" s="1"/>
  <c r="AN337" i="63"/>
  <c r="AS337" i="63" s="1"/>
  <c r="P337" i="63"/>
  <c r="U337" i="63" s="1"/>
  <c r="Z337" i="63" l="1"/>
  <c r="AM337" i="63"/>
  <c r="W337" i="63"/>
  <c r="N338" i="63" l="1"/>
  <c r="AU337" i="63"/>
  <c r="AV337" i="63" s="1"/>
  <c r="AT337" i="63"/>
  <c r="O338" i="63"/>
  <c r="AN338" i="63" l="1"/>
  <c r="AS338" i="63" s="1"/>
  <c r="M338" i="63"/>
  <c r="L338" i="63" s="1"/>
  <c r="Q338" i="63"/>
  <c r="V338" i="63" s="1"/>
  <c r="P338" i="63" l="1"/>
  <c r="AM338" i="63"/>
  <c r="Z338" i="63"/>
  <c r="U338" i="63" l="1"/>
  <c r="W338" i="63"/>
  <c r="O339" i="63" l="1"/>
  <c r="AU338" i="63"/>
  <c r="AV338" i="63" s="1"/>
  <c r="AT338" i="63"/>
  <c r="N339" i="63"/>
  <c r="Q339" i="63" l="1"/>
  <c r="V339" i="63" s="1"/>
  <c r="M339" i="63"/>
  <c r="L339" i="63" s="1"/>
  <c r="AN339" i="63"/>
  <c r="AS339" i="63" s="1"/>
  <c r="P339" i="63" l="1"/>
  <c r="U339" i="63" s="1"/>
  <c r="Z339" i="63"/>
  <c r="AM339" i="63"/>
  <c r="W339" i="63"/>
  <c r="O340" i="63" l="1"/>
  <c r="N340" i="63"/>
  <c r="AT339" i="63"/>
  <c r="AU339" i="63"/>
  <c r="AV339" i="63" s="1"/>
  <c r="M340" i="63" l="1"/>
  <c r="L340" i="63" s="1"/>
  <c r="Q340" i="63"/>
  <c r="V340" i="63" s="1"/>
  <c r="AN340" i="63"/>
  <c r="AS340" i="63" s="1"/>
  <c r="P340" i="63" l="1"/>
  <c r="AM340" i="63"/>
  <c r="Z340" i="63"/>
  <c r="U340" i="63" l="1"/>
  <c r="W340" i="63"/>
  <c r="O341" i="63" l="1"/>
  <c r="AU340" i="63"/>
  <c r="AV340" i="63" s="1"/>
  <c r="AT340" i="63"/>
  <c r="N341" i="63"/>
  <c r="M341" i="63" l="1"/>
  <c r="L341" i="63" s="1"/>
  <c r="Q341" i="63"/>
  <c r="V341" i="63" s="1"/>
  <c r="AN341" i="63"/>
  <c r="AS341" i="63" s="1"/>
  <c r="P341" i="63" l="1"/>
  <c r="AM341" i="63"/>
  <c r="Z341" i="63"/>
  <c r="U341" i="63" l="1"/>
  <c r="W341" i="63"/>
  <c r="AT341" i="63" l="1"/>
  <c r="O342" i="63"/>
  <c r="N342" i="63"/>
  <c r="AU341" i="63"/>
  <c r="AV341" i="63" s="1"/>
  <c r="Q342" i="63" l="1"/>
  <c r="V342" i="63" s="1"/>
  <c r="M342" i="63"/>
  <c r="L342" i="63" s="1"/>
  <c r="AN342" i="63"/>
  <c r="AS342" i="63" s="1"/>
  <c r="P342" i="63"/>
  <c r="U342" i="63" s="1"/>
  <c r="Z342" i="63" l="1"/>
  <c r="AM342" i="63"/>
  <c r="W342" i="63"/>
  <c r="N343" i="63" l="1"/>
  <c r="AU342" i="63"/>
  <c r="AV342" i="63" s="1"/>
  <c r="AT342" i="63"/>
  <c r="O343" i="63"/>
  <c r="AN343" i="63" l="1"/>
  <c r="AS343" i="63" s="1"/>
  <c r="Q343" i="63"/>
  <c r="V343" i="63" s="1"/>
  <c r="M343" i="63"/>
  <c r="L343" i="63" s="1"/>
  <c r="P343" i="63" l="1"/>
  <c r="Z343" i="63"/>
  <c r="AM343" i="63"/>
  <c r="U343" i="63" l="1"/>
  <c r="W343" i="63"/>
  <c r="AT343" i="63" l="1"/>
  <c r="N344" i="63"/>
  <c r="AU343" i="63"/>
  <c r="AV343" i="63" s="1"/>
  <c r="O344" i="63"/>
  <c r="AN344" i="63" l="1"/>
  <c r="AS344" i="63" s="1"/>
  <c r="Q344" i="63"/>
  <c r="V344" i="63" s="1"/>
  <c r="M344" i="63"/>
  <c r="L344" i="63" s="1"/>
  <c r="Z344" i="63" l="1"/>
  <c r="AM344" i="63"/>
  <c r="P344" i="63"/>
  <c r="U344" i="63" l="1"/>
  <c r="W344" i="63"/>
  <c r="AU344" i="63" l="1"/>
  <c r="AV344" i="63" s="1"/>
  <c r="O345" i="63"/>
  <c r="N345" i="63"/>
  <c r="AT344" i="63"/>
  <c r="AN345" i="63" l="1"/>
  <c r="AS345" i="63" s="1"/>
  <c r="M345" i="63"/>
  <c r="L345" i="63" s="1"/>
  <c r="Q345" i="63"/>
  <c r="V345" i="63" s="1"/>
  <c r="Z345" i="63" l="1"/>
  <c r="AM345" i="63"/>
  <c r="P345" i="63"/>
  <c r="U345" i="63" l="1"/>
  <c r="W345" i="63"/>
  <c r="AU345" i="63" l="1"/>
  <c r="AV345" i="63" s="1"/>
  <c r="O346" i="63"/>
  <c r="N346" i="63"/>
  <c r="AT345" i="63"/>
  <c r="Q346" i="63" l="1"/>
  <c r="V346" i="63" s="1"/>
  <c r="M346" i="63"/>
  <c r="L346" i="63" s="1"/>
  <c r="AN346" i="63"/>
  <c r="AS346" i="63" s="1"/>
  <c r="P346" i="63"/>
  <c r="U346" i="63" s="1"/>
  <c r="AM346" i="63" l="1"/>
  <c r="Z346" i="63"/>
  <c r="W346" i="63"/>
  <c r="N347" i="63" l="1"/>
  <c r="AT346" i="63"/>
  <c r="AU346" i="63"/>
  <c r="AV346" i="63" s="1"/>
  <c r="O347" i="63"/>
  <c r="AN347" i="63" l="1"/>
  <c r="AS347" i="63" s="1"/>
  <c r="M347" i="63"/>
  <c r="L347" i="63" s="1"/>
  <c r="Q347" i="63"/>
  <c r="V347" i="63" s="1"/>
  <c r="AM347" i="63" l="1"/>
  <c r="Z347" i="63"/>
  <c r="P347" i="63"/>
  <c r="U347" i="63" l="1"/>
  <c r="W347" i="63"/>
  <c r="O348" i="63" l="1"/>
  <c r="AT347" i="63"/>
  <c r="AU347" i="63"/>
  <c r="AV347" i="63" s="1"/>
  <c r="N348" i="63"/>
  <c r="M348" i="63" l="1"/>
  <c r="L348" i="63" s="1"/>
  <c r="Q348" i="63"/>
  <c r="V348" i="63" s="1"/>
  <c r="AN348" i="63"/>
  <c r="AS348" i="63" s="1"/>
  <c r="P348" i="63" l="1"/>
  <c r="AM348" i="63"/>
  <c r="Z348" i="63"/>
  <c r="U348" i="63" l="1"/>
  <c r="W348" i="63"/>
  <c r="O349" i="63" l="1"/>
  <c r="N349" i="63"/>
  <c r="AU348" i="63"/>
  <c r="AV348" i="63" s="1"/>
  <c r="AT348" i="63"/>
  <c r="M349" i="63" l="1"/>
  <c r="L349" i="63" s="1"/>
  <c r="Q349" i="63"/>
  <c r="V349" i="63" s="1"/>
  <c r="AN349" i="63"/>
  <c r="AS349" i="63" s="1"/>
  <c r="P349" i="63" l="1"/>
  <c r="U349" i="63" s="1"/>
  <c r="Z349" i="63"/>
  <c r="AM349" i="63"/>
  <c r="W349" i="63" l="1"/>
  <c r="AU349" i="63" s="1"/>
  <c r="AV349" i="63" s="1"/>
  <c r="N350" i="63"/>
  <c r="O350" i="63"/>
  <c r="AT349" i="63"/>
  <c r="AN350" i="63" l="1"/>
  <c r="AS350" i="63" s="1"/>
  <c r="M350" i="63"/>
  <c r="L350" i="63" s="1"/>
  <c r="Q350" i="63"/>
  <c r="V350" i="63" s="1"/>
  <c r="Z350" i="63" l="1"/>
  <c r="AM350" i="63"/>
  <c r="P350" i="63"/>
  <c r="U350" i="63" l="1"/>
  <c r="W350" i="63"/>
  <c r="O351" i="63" l="1"/>
  <c r="AT350" i="63"/>
  <c r="AU350" i="63"/>
  <c r="AV350" i="63" s="1"/>
  <c r="N351" i="63"/>
  <c r="Q351" i="63" l="1"/>
  <c r="V351" i="63" s="1"/>
  <c r="M351" i="63"/>
  <c r="L351" i="63" s="1"/>
  <c r="AN351" i="63"/>
  <c r="AS351" i="63" s="1"/>
  <c r="P351" i="63"/>
  <c r="U351" i="63" s="1"/>
  <c r="Z351" i="63" l="1"/>
  <c r="AM351" i="63"/>
  <c r="W351" i="63"/>
  <c r="AU351" i="63" l="1"/>
  <c r="AV351" i="63" s="1"/>
  <c r="O352" i="63"/>
  <c r="AT351" i="63"/>
  <c r="N352" i="63"/>
  <c r="Q352" i="63" l="1"/>
  <c r="V352" i="63" s="1"/>
  <c r="M352" i="63"/>
  <c r="L352" i="63" s="1"/>
  <c r="AN352" i="63"/>
  <c r="AS352" i="63" s="1"/>
  <c r="P352" i="63" l="1"/>
  <c r="U352" i="63" s="1"/>
  <c r="W352" i="63"/>
  <c r="Z352" i="63"/>
  <c r="AM352" i="63"/>
  <c r="AT352" i="63" l="1"/>
  <c r="AU352" i="63"/>
  <c r="AV352" i="63" s="1"/>
  <c r="O353" i="63"/>
  <c r="N353" i="63"/>
  <c r="Q353" i="63" l="1"/>
  <c r="V353" i="63" s="1"/>
  <c r="M353" i="63"/>
  <c r="L353" i="63" s="1"/>
  <c r="AN353" i="63"/>
  <c r="AS353" i="63" s="1"/>
  <c r="P353" i="63"/>
  <c r="U353" i="63" s="1"/>
  <c r="W353" i="63" l="1"/>
  <c r="AM353" i="63"/>
  <c r="Z353" i="63"/>
  <c r="AU353" i="63" l="1"/>
  <c r="AV353" i="63" s="1"/>
  <c r="AT353" i="63"/>
  <c r="O354" i="63"/>
  <c r="N354" i="63"/>
  <c r="M354" i="63" l="1"/>
  <c r="L354" i="63" s="1"/>
  <c r="Q354" i="63"/>
  <c r="V354" i="63" s="1"/>
  <c r="AN354" i="63"/>
  <c r="AS354" i="63" s="1"/>
  <c r="P354" i="63" l="1"/>
  <c r="Z354" i="63"/>
  <c r="AM354" i="63"/>
  <c r="U354" i="63" l="1"/>
  <c r="W354" i="63"/>
  <c r="AU354" i="63" l="1"/>
  <c r="AV354" i="63" s="1"/>
  <c r="N355" i="63"/>
  <c r="O355" i="63"/>
  <c r="AT354" i="63"/>
  <c r="AN355" i="63" l="1"/>
  <c r="AS355" i="63" s="1"/>
  <c r="M355" i="63"/>
  <c r="L355" i="63" s="1"/>
  <c r="Q355" i="63"/>
  <c r="V355" i="63" s="1"/>
  <c r="AM355" i="63" l="1"/>
  <c r="Z355" i="63"/>
  <c r="P355" i="63"/>
  <c r="U355" i="63" l="1"/>
  <c r="W355" i="63"/>
  <c r="AU355" i="63" l="1"/>
  <c r="AV355" i="63" s="1"/>
  <c r="O356" i="63"/>
  <c r="N356" i="63"/>
  <c r="AT355" i="63"/>
  <c r="M356" i="63" l="1"/>
  <c r="L356" i="63" s="1"/>
  <c r="Q356" i="63"/>
  <c r="V356" i="63" s="1"/>
  <c r="AN356" i="63"/>
  <c r="AS356" i="63" s="1"/>
  <c r="P356" i="63" l="1"/>
  <c r="Z356" i="63"/>
  <c r="AM356" i="63"/>
  <c r="U356" i="63" l="1"/>
  <c r="W356" i="63"/>
  <c r="O357" i="63" l="1"/>
  <c r="N357" i="63"/>
  <c r="AT356" i="63"/>
  <c r="AU356" i="63"/>
  <c r="AV356" i="63" s="1"/>
  <c r="M357" i="63" l="1"/>
  <c r="L357" i="63" s="1"/>
  <c r="Q357" i="63"/>
  <c r="V357" i="63" s="1"/>
  <c r="AN357" i="63"/>
  <c r="AS357" i="63" s="1"/>
  <c r="P357" i="63" l="1"/>
  <c r="Z357" i="63"/>
  <c r="AM357" i="63"/>
  <c r="U357" i="63" l="1"/>
  <c r="W357" i="63"/>
  <c r="AU357" i="63" l="1"/>
  <c r="AV357" i="63" s="1"/>
  <c r="AT357" i="63"/>
  <c r="N358" i="63"/>
  <c r="O358" i="63"/>
  <c r="AN358" i="63" l="1"/>
  <c r="AS358" i="63" s="1"/>
  <c r="M358" i="63"/>
  <c r="L358" i="63" s="1"/>
  <c r="Q358" i="63"/>
  <c r="V358" i="63" s="1"/>
  <c r="Z358" i="63" l="1"/>
  <c r="AM358" i="63"/>
  <c r="P358" i="63"/>
  <c r="U358" i="63" l="1"/>
  <c r="W358" i="63"/>
  <c r="AT358" i="63" l="1"/>
  <c r="O359" i="63"/>
  <c r="N359" i="63"/>
  <c r="AU358" i="63"/>
  <c r="AV358" i="63" s="1"/>
  <c r="M359" i="63" l="1"/>
  <c r="L359" i="63" s="1"/>
  <c r="Q359" i="63"/>
  <c r="V359" i="63" s="1"/>
  <c r="AN359" i="63"/>
  <c r="AS359" i="63" s="1"/>
  <c r="P359" i="63" l="1"/>
  <c r="Z359" i="63"/>
  <c r="AM359" i="63"/>
  <c r="U359" i="63" l="1"/>
  <c r="W359" i="63"/>
  <c r="AT359" i="63" l="1"/>
  <c r="AU359" i="63"/>
  <c r="AV359" i="63" s="1"/>
  <c r="O360" i="63"/>
  <c r="N360" i="63"/>
  <c r="M360" i="63" l="1"/>
  <c r="L360" i="63" s="1"/>
  <c r="Q360" i="63"/>
  <c r="V360" i="63" s="1"/>
  <c r="AN360" i="63"/>
  <c r="AS360" i="63" s="1"/>
  <c r="P360" i="63" l="1"/>
  <c r="Z360" i="63"/>
  <c r="AM360" i="63"/>
  <c r="U360" i="63" l="1"/>
  <c r="W360" i="63"/>
  <c r="AT360" i="63" l="1"/>
  <c r="AU360" i="63"/>
  <c r="AV360" i="63" s="1"/>
  <c r="N361" i="63"/>
  <c r="O361" i="63"/>
  <c r="AN361" i="63" l="1"/>
  <c r="AS361" i="63" s="1"/>
  <c r="M361" i="63"/>
  <c r="L361" i="63" s="1"/>
  <c r="Q361" i="63"/>
  <c r="V361" i="63" s="1"/>
  <c r="P361" i="63" l="1"/>
  <c r="AM361" i="63"/>
  <c r="Z361" i="63"/>
  <c r="U361" i="63" l="1"/>
  <c r="W361" i="63"/>
  <c r="O362" i="63" l="1"/>
  <c r="AT361" i="63"/>
  <c r="N362" i="63"/>
  <c r="AU361" i="63"/>
  <c r="AV361" i="63" s="1"/>
  <c r="M362" i="63" l="1"/>
  <c r="L362" i="63" s="1"/>
  <c r="Q362" i="63"/>
  <c r="V362" i="63" s="1"/>
  <c r="AN362" i="63"/>
  <c r="AS362" i="63" s="1"/>
  <c r="P362" i="63" l="1"/>
  <c r="Z362" i="63"/>
  <c r="AM362" i="63"/>
  <c r="U362" i="63" l="1"/>
  <c r="W362" i="63"/>
  <c r="N363" i="63" l="1"/>
  <c r="O363" i="63"/>
  <c r="AT362" i="63"/>
  <c r="AU362" i="63"/>
  <c r="AV362" i="63" s="1"/>
  <c r="AN363" i="63" l="1"/>
  <c r="AS363" i="63" s="1"/>
  <c r="M363" i="63"/>
  <c r="L363" i="63" s="1"/>
  <c r="Q363" i="63"/>
  <c r="V363" i="63" s="1"/>
  <c r="Z363" i="63" l="1"/>
  <c r="AM363" i="63"/>
  <c r="P363" i="63"/>
  <c r="U363" i="63" l="1"/>
  <c r="W363" i="63"/>
  <c r="AT363" i="63" l="1"/>
  <c r="O364" i="63"/>
  <c r="N364" i="63"/>
  <c r="AU363" i="63"/>
  <c r="AV363" i="63" s="1"/>
  <c r="M364" i="63" l="1"/>
  <c r="L364" i="63" s="1"/>
  <c r="Q364" i="63"/>
  <c r="V364" i="63" s="1"/>
  <c r="AN364" i="63"/>
  <c r="AS364" i="63" s="1"/>
  <c r="P364" i="63" l="1"/>
  <c r="AM364" i="63"/>
  <c r="Z364" i="63"/>
  <c r="U364" i="63" l="1"/>
  <c r="W364" i="63"/>
  <c r="AU364" i="63" l="1"/>
  <c r="AV364" i="63" s="1"/>
  <c r="AT364" i="63"/>
  <c r="N365" i="63"/>
  <c r="O365" i="63"/>
  <c r="AN365" i="63" l="1"/>
  <c r="AS365" i="63" s="1"/>
  <c r="Q365" i="63"/>
  <c r="V365" i="63" s="1"/>
  <c r="M365" i="63"/>
  <c r="L365" i="63" s="1"/>
  <c r="Z365" i="63" l="1"/>
  <c r="AM365" i="63"/>
  <c r="P365" i="63"/>
  <c r="U365" i="63" l="1"/>
  <c r="W365" i="63"/>
  <c r="N366" i="63" l="1"/>
  <c r="AU365" i="63"/>
  <c r="AV365" i="63" s="1"/>
  <c r="AT365" i="63"/>
  <c r="O366" i="63"/>
  <c r="AN366" i="63" l="1"/>
  <c r="AS366" i="63" s="1"/>
  <c r="Q366" i="63"/>
  <c r="V366" i="63" s="1"/>
  <c r="M366" i="63"/>
  <c r="L366" i="63" s="1"/>
  <c r="P366" i="63" l="1"/>
  <c r="AM366" i="63"/>
  <c r="Z366" i="63"/>
  <c r="U366" i="63" l="1"/>
  <c r="W366" i="63"/>
  <c r="N367" i="63" l="1"/>
  <c r="AT366" i="63"/>
  <c r="O367" i="63"/>
  <c r="AU366" i="63"/>
  <c r="AV366" i="63" s="1"/>
  <c r="AN367" i="63" l="1"/>
  <c r="AS367" i="63" s="1"/>
  <c r="Q367" i="63"/>
  <c r="V367" i="63" s="1"/>
  <c r="M367" i="63"/>
  <c r="L367" i="63" s="1"/>
  <c r="Z367" i="63" l="1"/>
  <c r="AM367" i="63"/>
  <c r="P367" i="63"/>
  <c r="U367" i="63" l="1"/>
  <c r="W367" i="63"/>
  <c r="AU367" i="63" l="1"/>
  <c r="AV367" i="63" s="1"/>
  <c r="N368" i="63"/>
  <c r="AT367" i="63"/>
  <c r="O368" i="63"/>
  <c r="M368" i="63" l="1"/>
  <c r="L368" i="63" s="1"/>
  <c r="Q368" i="63"/>
  <c r="V368" i="63" s="1"/>
  <c r="AN368" i="63"/>
  <c r="AS368" i="63" s="1"/>
  <c r="P368" i="63" l="1"/>
  <c r="AM368" i="63"/>
  <c r="Z368" i="63"/>
  <c r="U368" i="63" l="1"/>
  <c r="W368" i="63"/>
  <c r="AT368" i="63" l="1"/>
  <c r="N369" i="63"/>
  <c r="AU368" i="63"/>
  <c r="AV368" i="63" s="1"/>
  <c r="O369" i="63"/>
  <c r="AN369" i="63" l="1"/>
  <c r="AS369" i="63" s="1"/>
  <c r="M369" i="63"/>
  <c r="L369" i="63" s="1"/>
  <c r="Q369" i="63"/>
  <c r="V369" i="63" s="1"/>
  <c r="Z369" i="63" l="1"/>
  <c r="AM369" i="63"/>
  <c r="P369" i="63"/>
  <c r="U369" i="63" l="1"/>
  <c r="W369" i="63"/>
  <c r="N370" i="63" l="1"/>
  <c r="AT369" i="63"/>
  <c r="O370" i="63"/>
  <c r="AU369" i="63"/>
  <c r="AV369" i="63" s="1"/>
  <c r="AN370" i="63" l="1"/>
  <c r="AS370" i="63" s="1"/>
  <c r="M370" i="63"/>
  <c r="L370" i="63" s="1"/>
  <c r="Q370" i="63"/>
  <c r="V370" i="63" s="1"/>
  <c r="Z370" i="63" l="1"/>
  <c r="AM370" i="63"/>
  <c r="P370" i="63"/>
  <c r="U370" i="63" l="1"/>
  <c r="W370" i="63"/>
  <c r="O371" i="63" l="1"/>
  <c r="AT370" i="63"/>
  <c r="N371" i="63"/>
  <c r="AU370" i="63"/>
  <c r="AV370" i="63" s="1"/>
  <c r="Q371" i="63" l="1"/>
  <c r="V371" i="63" s="1"/>
  <c r="M371" i="63"/>
  <c r="L371" i="63" s="1"/>
  <c r="P371" i="63"/>
  <c r="U371" i="63" s="1"/>
  <c r="AN371" i="63"/>
  <c r="AS371" i="63" s="1"/>
  <c r="W371" i="63" l="1"/>
  <c r="AM371" i="63"/>
  <c r="Z371" i="63"/>
  <c r="O372" i="63" l="1"/>
  <c r="N372" i="63"/>
  <c r="AT371" i="63"/>
  <c r="AU371" i="63"/>
  <c r="AV371" i="63" s="1"/>
  <c r="M372" i="63" l="1"/>
  <c r="L372" i="63" s="1"/>
  <c r="Q372" i="63"/>
  <c r="V372" i="63" s="1"/>
  <c r="AN372" i="63"/>
  <c r="AS372" i="63" s="1"/>
  <c r="P372" i="63" l="1"/>
  <c r="Z372" i="63"/>
  <c r="AM372" i="63"/>
  <c r="U372" i="63" l="1"/>
  <c r="W372" i="63"/>
  <c r="AU372" i="63" l="1"/>
  <c r="AV372" i="63" s="1"/>
  <c r="N373" i="63"/>
  <c r="O373" i="63"/>
  <c r="AT372" i="63"/>
  <c r="M373" i="63" l="1"/>
  <c r="L373" i="63" s="1"/>
  <c r="Q373" i="63"/>
  <c r="V373" i="63" s="1"/>
  <c r="AN373" i="63"/>
  <c r="AS373" i="63" s="1"/>
  <c r="P373" i="63" l="1"/>
  <c r="U373" i="63" s="1"/>
  <c r="W373" i="63"/>
  <c r="Z373" i="63"/>
  <c r="AM373" i="63"/>
  <c r="AT373" i="63" l="1"/>
  <c r="N374" i="63"/>
  <c r="AU373" i="63"/>
  <c r="AV373" i="63" s="1"/>
  <c r="O374" i="63"/>
  <c r="AN374" i="63" l="1"/>
  <c r="AS374" i="63" s="1"/>
  <c r="Q374" i="63"/>
  <c r="V374" i="63" s="1"/>
  <c r="M374" i="63"/>
  <c r="L374" i="63" s="1"/>
  <c r="P374" i="63" l="1"/>
  <c r="AM374" i="63"/>
  <c r="Z374" i="63"/>
  <c r="U374" i="63" l="1"/>
  <c r="W374" i="63"/>
  <c r="AT374" i="63" l="1"/>
  <c r="N375" i="63"/>
  <c r="O375" i="63"/>
  <c r="AU374" i="63"/>
  <c r="AV374" i="63" s="1"/>
  <c r="AN375" i="63" l="1"/>
  <c r="AS375" i="63" s="1"/>
  <c r="M375" i="63"/>
  <c r="L375" i="63" s="1"/>
  <c r="Q375" i="63"/>
  <c r="V375" i="63" s="1"/>
  <c r="Z375" i="63" l="1"/>
  <c r="AM375" i="63"/>
  <c r="P375" i="63"/>
  <c r="U375" i="63" l="1"/>
  <c r="W375" i="63"/>
  <c r="N376" i="63" l="1"/>
  <c r="O376" i="63"/>
  <c r="AT375" i="63"/>
  <c r="AU375" i="63"/>
  <c r="AV375" i="63" s="1"/>
  <c r="AN376" i="63" l="1"/>
  <c r="AS376" i="63" s="1"/>
  <c r="Q376" i="63"/>
  <c r="V376" i="63" s="1"/>
  <c r="M376" i="63"/>
  <c r="L376" i="63" s="1"/>
  <c r="Z376" i="63" l="1"/>
  <c r="AM376" i="63"/>
  <c r="P376" i="63"/>
  <c r="U376" i="63" l="1"/>
  <c r="W376" i="63"/>
  <c r="N377" i="63" l="1"/>
  <c r="O377" i="63"/>
  <c r="AT376" i="63"/>
  <c r="AU376" i="63"/>
  <c r="AV376" i="63" s="1"/>
  <c r="AN377" i="63" l="1"/>
  <c r="AS377" i="63" s="1"/>
  <c r="M377" i="63"/>
  <c r="L377" i="63" s="1"/>
  <c r="Q377" i="63"/>
  <c r="V377" i="63" s="1"/>
  <c r="Z377" i="63" l="1"/>
  <c r="AM377" i="63"/>
  <c r="P377" i="63"/>
  <c r="U377" i="63" l="1"/>
  <c r="W377" i="63"/>
  <c r="O378" i="63" l="1"/>
  <c r="AU377" i="63"/>
  <c r="AV377" i="63" s="1"/>
  <c r="AT377" i="63"/>
  <c r="N378" i="63"/>
  <c r="M378" i="63" l="1"/>
  <c r="L378" i="63" s="1"/>
  <c r="Q378" i="63"/>
  <c r="V378" i="63" s="1"/>
  <c r="AN378" i="63"/>
  <c r="AS378" i="63" s="1"/>
  <c r="P378" i="63" l="1"/>
  <c r="U378" i="63" s="1"/>
  <c r="AM378" i="63"/>
  <c r="Z378" i="63"/>
  <c r="W378" i="63" l="1"/>
  <c r="AT378" i="63" s="1"/>
  <c r="O379" i="63"/>
  <c r="AU378" i="63" l="1"/>
  <c r="AV378" i="63" s="1"/>
  <c r="N379" i="63"/>
  <c r="AN379" i="63"/>
  <c r="AS379" i="63" s="1"/>
  <c r="Q379" i="63"/>
  <c r="V379" i="63" s="1"/>
  <c r="M379" i="63"/>
  <c r="L379" i="63" s="1"/>
  <c r="Z379" i="63" l="1"/>
  <c r="AM379" i="63"/>
  <c r="P379" i="63"/>
  <c r="U379" i="63" l="1"/>
  <c r="W379" i="63"/>
  <c r="AU379" i="63" l="1"/>
  <c r="AV379" i="63" s="1"/>
  <c r="N380" i="63"/>
  <c r="O380" i="63"/>
  <c r="AT379" i="63"/>
  <c r="AN380" i="63" l="1"/>
  <c r="AS380" i="63" s="1"/>
  <c r="M380" i="63"/>
  <c r="L380" i="63" s="1"/>
  <c r="Q380" i="63"/>
  <c r="V380" i="63" s="1"/>
  <c r="AM380" i="63" l="1"/>
  <c r="Z380" i="63"/>
  <c r="P380" i="63"/>
  <c r="U380" i="63" l="1"/>
  <c r="W380" i="63"/>
  <c r="N381" i="63" l="1"/>
  <c r="AT380" i="63"/>
  <c r="O381" i="63"/>
  <c r="AU380" i="63"/>
  <c r="AV380" i="63" s="1"/>
  <c r="AN381" i="63" l="1"/>
  <c r="AS381" i="63" s="1"/>
  <c r="Q381" i="63"/>
  <c r="V381" i="63" s="1"/>
  <c r="M381" i="63"/>
  <c r="L381" i="63" s="1"/>
  <c r="AM381" i="63" l="1"/>
  <c r="Z381" i="63"/>
  <c r="P381" i="63"/>
  <c r="U381" i="63" l="1"/>
  <c r="W381" i="63"/>
  <c r="AT381" i="63" l="1"/>
  <c r="O382" i="63"/>
  <c r="AU381" i="63"/>
  <c r="AV381" i="63" s="1"/>
  <c r="N382" i="63"/>
  <c r="M382" i="63" l="1"/>
  <c r="L382" i="63" s="1"/>
  <c r="Q382" i="63"/>
  <c r="V382" i="63" s="1"/>
  <c r="AN382" i="63"/>
  <c r="AS382" i="63" s="1"/>
  <c r="P382" i="63" l="1"/>
  <c r="U382" i="63" s="1"/>
  <c r="Z382" i="63"/>
  <c r="AM382" i="63"/>
  <c r="W382" i="63" l="1"/>
  <c r="AT382" i="63" s="1"/>
  <c r="N383" i="63"/>
  <c r="AU382" i="63"/>
  <c r="AV382" i="63" s="1"/>
  <c r="O383" i="63"/>
  <c r="AN383" i="63" l="1"/>
  <c r="AS383" i="63" s="1"/>
  <c r="M383" i="63"/>
  <c r="L383" i="63" s="1"/>
  <c r="Q383" i="63"/>
  <c r="V383" i="63" s="1"/>
  <c r="Z383" i="63" l="1"/>
  <c r="AM383" i="63"/>
  <c r="P383" i="63"/>
  <c r="U383" i="63" l="1"/>
  <c r="W383" i="63"/>
  <c r="AU383" i="63" l="1"/>
  <c r="AV383" i="63" s="1"/>
  <c r="N384" i="63"/>
  <c r="AT383" i="63"/>
  <c r="O384" i="63"/>
  <c r="AN384" i="63" l="1"/>
  <c r="AS384" i="63" s="1"/>
  <c r="Q384" i="63"/>
  <c r="V384" i="63" s="1"/>
  <c r="M384" i="63"/>
  <c r="L384" i="63" s="1"/>
  <c r="AM384" i="63" l="1"/>
  <c r="Z384" i="63"/>
  <c r="P384" i="63"/>
  <c r="U384" i="63" l="1"/>
  <c r="W384" i="63"/>
  <c r="AU384" i="63" l="1"/>
  <c r="AV384" i="63" s="1"/>
  <c r="N385" i="63"/>
  <c r="AT384" i="63"/>
  <c r="O385" i="63"/>
  <c r="AN385" i="63" l="1"/>
  <c r="AS385" i="63" s="1"/>
  <c r="M385" i="63"/>
  <c r="L385" i="63" s="1"/>
  <c r="Q385" i="63"/>
  <c r="V385" i="63" s="1"/>
  <c r="Z385" i="63" l="1"/>
  <c r="AM385" i="63"/>
  <c r="P385" i="63"/>
  <c r="U385" i="63" l="1"/>
  <c r="W385" i="63"/>
  <c r="AT385" i="63" l="1"/>
  <c r="O386" i="63"/>
  <c r="AU385" i="63"/>
  <c r="AV385" i="63" s="1"/>
  <c r="N386" i="63"/>
  <c r="M386" i="63" l="1"/>
  <c r="L386" i="63" s="1"/>
  <c r="Q386" i="63"/>
  <c r="V386" i="63" s="1"/>
  <c r="AN386" i="63"/>
  <c r="AS386" i="63" s="1"/>
  <c r="P386" i="63" l="1"/>
  <c r="Z386" i="63"/>
  <c r="AM386" i="63"/>
  <c r="U386" i="63" l="1"/>
  <c r="W386" i="63"/>
  <c r="O387" i="63" l="1"/>
  <c r="AT386" i="63"/>
  <c r="N387" i="63"/>
  <c r="AU386" i="63"/>
  <c r="AV386" i="63" s="1"/>
  <c r="Q387" i="63" l="1"/>
  <c r="V387" i="63" s="1"/>
  <c r="M387" i="63"/>
  <c r="L387" i="63" s="1"/>
  <c r="AN387" i="63"/>
  <c r="AS387" i="63" s="1"/>
  <c r="P387" i="63" l="1"/>
  <c r="U387" i="63" s="1"/>
  <c r="Z387" i="63"/>
  <c r="AM387" i="63"/>
  <c r="W387" i="63" l="1"/>
  <c r="AU387" i="63"/>
  <c r="AV387" i="63" s="1"/>
  <c r="AT387" i="63"/>
  <c r="O388" i="63"/>
  <c r="N388" i="63"/>
  <c r="M388" i="63" l="1"/>
  <c r="L388" i="63" s="1"/>
  <c r="Q388" i="63"/>
  <c r="V388" i="63" s="1"/>
  <c r="AN388" i="63"/>
  <c r="AS388" i="63" s="1"/>
  <c r="P388" i="63" l="1"/>
  <c r="Z388" i="63"/>
  <c r="AM388" i="63"/>
  <c r="U388" i="63" l="1"/>
  <c r="W388" i="63"/>
  <c r="AT388" i="63" l="1"/>
  <c r="N389" i="63"/>
  <c r="O389" i="63"/>
  <c r="AU388" i="63"/>
  <c r="AV388" i="63" s="1"/>
  <c r="AN389" i="63" l="1"/>
  <c r="AS389" i="63" s="1"/>
  <c r="M389" i="63"/>
  <c r="L389" i="63" s="1"/>
  <c r="Q389" i="63"/>
  <c r="V389" i="63" s="1"/>
  <c r="AM389" i="63" l="1"/>
  <c r="Z389" i="63"/>
  <c r="P389" i="63"/>
  <c r="U389" i="63" l="1"/>
  <c r="W389" i="63"/>
  <c r="N390" i="63" l="1"/>
  <c r="AT389" i="63"/>
  <c r="AU389" i="63"/>
  <c r="AV389" i="63" s="1"/>
  <c r="O390" i="63"/>
  <c r="AN390" i="63" l="1"/>
  <c r="AS390" i="63" s="1"/>
  <c r="M390" i="63"/>
  <c r="L390" i="63" s="1"/>
  <c r="Q390" i="63"/>
  <c r="V390" i="63" s="1"/>
  <c r="AM390" i="63" l="1"/>
  <c r="Z390" i="63"/>
  <c r="P390" i="63"/>
  <c r="U390" i="63" l="1"/>
  <c r="W390" i="63"/>
  <c r="N391" i="63" l="1"/>
  <c r="AT390" i="63"/>
  <c r="AU390" i="63"/>
  <c r="AV390" i="63" s="1"/>
  <c r="O391" i="63"/>
  <c r="AN391" i="63" l="1"/>
  <c r="AS391" i="63" s="1"/>
  <c r="Q391" i="63"/>
  <c r="V391" i="63" s="1"/>
  <c r="M391" i="63"/>
  <c r="L391" i="63" s="1"/>
  <c r="AM391" i="63" l="1"/>
  <c r="Z391" i="63"/>
  <c r="P391" i="63"/>
  <c r="U391" i="63" l="1"/>
  <c r="W391" i="63"/>
  <c r="AT391" i="63" l="1"/>
  <c r="O392" i="63"/>
  <c r="AU391" i="63"/>
  <c r="AV391" i="63" s="1"/>
  <c r="N392" i="63"/>
  <c r="M392" i="63" l="1"/>
  <c r="L392" i="63" s="1"/>
  <c r="Q392" i="63"/>
  <c r="V392" i="63" s="1"/>
  <c r="AN392" i="63"/>
  <c r="AS392" i="63" s="1"/>
  <c r="P392" i="63" l="1"/>
  <c r="U392" i="63" s="1"/>
  <c r="W392" i="63"/>
  <c r="Z392" i="63"/>
  <c r="AM392" i="63"/>
  <c r="AT392" i="63" l="1"/>
  <c r="N393" i="63"/>
  <c r="O393" i="63"/>
  <c r="AU392" i="63"/>
  <c r="AV392" i="63" s="1"/>
  <c r="AN393" i="63" l="1"/>
  <c r="AS393" i="63" s="1"/>
  <c r="M393" i="63"/>
  <c r="L393" i="63" s="1"/>
  <c r="Q393" i="63"/>
  <c r="V393" i="63" s="1"/>
  <c r="Z393" i="63" l="1"/>
  <c r="AM393" i="63"/>
  <c r="P393" i="63"/>
  <c r="U393" i="63" l="1"/>
  <c r="W393" i="63"/>
  <c r="AT393" i="63" l="1"/>
  <c r="N394" i="63"/>
  <c r="AU393" i="63"/>
  <c r="AV393" i="63" s="1"/>
  <c r="O394" i="63"/>
  <c r="AN394" i="63" l="1"/>
  <c r="AS394" i="63" s="1"/>
  <c r="Q394" i="63"/>
  <c r="V394" i="63" s="1"/>
  <c r="M394" i="63"/>
  <c r="L394" i="63" s="1"/>
  <c r="Z394" i="63" l="1"/>
  <c r="AM394" i="63"/>
  <c r="P394" i="63"/>
  <c r="U394" i="63" l="1"/>
  <c r="W394" i="63"/>
  <c r="O395" i="63" l="1"/>
  <c r="AU394" i="63"/>
  <c r="AV394" i="63" s="1"/>
  <c r="AT394" i="63"/>
  <c r="N395" i="63"/>
  <c r="M395" i="63" l="1"/>
  <c r="L395" i="63" s="1"/>
  <c r="Q395" i="63"/>
  <c r="V395" i="63" s="1"/>
  <c r="AN395" i="63"/>
  <c r="AS395" i="63" s="1"/>
  <c r="P395" i="63" l="1"/>
  <c r="Z395" i="63"/>
  <c r="AM395" i="63"/>
  <c r="U395" i="63" l="1"/>
  <c r="W395" i="63"/>
  <c r="AT395" i="63" l="1"/>
  <c r="O396" i="63"/>
  <c r="AU395" i="63"/>
  <c r="AV395" i="63" s="1"/>
  <c r="N396" i="63"/>
  <c r="M396" i="63" l="1"/>
  <c r="L396" i="63" s="1"/>
  <c r="Q396" i="63"/>
  <c r="V396" i="63" s="1"/>
  <c r="AN396" i="63"/>
  <c r="AS396" i="63" s="1"/>
  <c r="P396" i="63" l="1"/>
  <c r="Z396" i="63"/>
  <c r="AM396" i="63"/>
  <c r="U396" i="63" l="1"/>
  <c r="W396" i="63"/>
  <c r="AT396" i="63" l="1"/>
  <c r="N397" i="63"/>
  <c r="AU396" i="63"/>
  <c r="AV396" i="63" s="1"/>
  <c r="O397" i="63"/>
  <c r="AN397" i="63" l="1"/>
  <c r="AS397" i="63" s="1"/>
  <c r="Q397" i="63"/>
  <c r="V397" i="63" s="1"/>
  <c r="M397" i="63"/>
  <c r="L397" i="63" s="1"/>
  <c r="Z397" i="63" l="1"/>
  <c r="AM397" i="63"/>
  <c r="P397" i="63"/>
  <c r="U397" i="63" l="1"/>
  <c r="W397" i="63"/>
  <c r="N398" i="63" l="1"/>
  <c r="AU397" i="63"/>
  <c r="AV397" i="63" s="1"/>
  <c r="O398" i="63"/>
  <c r="AT397" i="63"/>
  <c r="AN398" i="63" l="1"/>
  <c r="AS398" i="63" s="1"/>
  <c r="M398" i="63"/>
  <c r="L398" i="63" s="1"/>
  <c r="Q398" i="63"/>
  <c r="V398" i="63" s="1"/>
  <c r="Z398" i="63" l="1"/>
  <c r="AM398" i="63"/>
  <c r="P398" i="63"/>
  <c r="U398" i="63" l="1"/>
  <c r="W398" i="63"/>
  <c r="N399" i="63" l="1"/>
  <c r="O399" i="63"/>
  <c r="AU398" i="63"/>
  <c r="AV398" i="63" s="1"/>
  <c r="AT398" i="63"/>
  <c r="AN399" i="63" l="1"/>
  <c r="AS399" i="63" s="1"/>
  <c r="M399" i="63"/>
  <c r="L399" i="63" s="1"/>
  <c r="Q399" i="63"/>
  <c r="V399" i="63" s="1"/>
  <c r="Z399" i="63" l="1"/>
  <c r="AM399" i="63"/>
  <c r="P399" i="63"/>
  <c r="U399" i="63" l="1"/>
  <c r="W399" i="63"/>
  <c r="AU399" i="63" l="1"/>
  <c r="AV399" i="63" s="1"/>
  <c r="AT399" i="63"/>
  <c r="O400" i="63"/>
  <c r="N400" i="63"/>
  <c r="Q400" i="63" l="1"/>
  <c r="V400" i="63" s="1"/>
  <c r="M400" i="63"/>
  <c r="L400" i="63" s="1"/>
  <c r="P400" i="63"/>
  <c r="U400" i="63" s="1"/>
  <c r="AN400" i="63"/>
  <c r="AS400" i="63" s="1"/>
  <c r="Z400" i="63" l="1"/>
  <c r="AM400" i="63"/>
  <c r="W400" i="63"/>
  <c r="N401" i="63" l="1"/>
  <c r="O401" i="63"/>
  <c r="AU400" i="63"/>
  <c r="AV400" i="63" s="1"/>
  <c r="AT400" i="63"/>
  <c r="AN401" i="63" l="1"/>
  <c r="AS401" i="63" s="1"/>
  <c r="Q401" i="63"/>
  <c r="V401" i="63" s="1"/>
  <c r="M401" i="63"/>
  <c r="L401" i="63" s="1"/>
  <c r="AM401" i="63" l="1"/>
  <c r="Z401" i="63"/>
  <c r="P401" i="63"/>
  <c r="U401" i="63" l="1"/>
  <c r="W401" i="63"/>
  <c r="O402" i="63" l="1"/>
  <c r="AT401" i="63"/>
  <c r="AU401" i="63"/>
  <c r="AV401" i="63" s="1"/>
  <c r="N402" i="63"/>
  <c r="M402" i="63" l="1"/>
  <c r="L402" i="63" s="1"/>
  <c r="Q402" i="63"/>
  <c r="V402" i="63" s="1"/>
  <c r="AN402" i="63"/>
  <c r="AS402" i="63" s="1"/>
  <c r="P402" i="63" l="1"/>
  <c r="AM402" i="63"/>
  <c r="Z402" i="63"/>
  <c r="U402" i="63" l="1"/>
  <c r="W402" i="63"/>
  <c r="N403" i="63" l="1"/>
  <c r="O403" i="63"/>
  <c r="AU402" i="63"/>
  <c r="AV402" i="63" s="1"/>
  <c r="AT402" i="63"/>
  <c r="Q403" i="63" l="1"/>
  <c r="V403" i="63" s="1"/>
  <c r="M403" i="63"/>
  <c r="L403" i="63" s="1"/>
  <c r="AN403" i="63"/>
  <c r="AS403" i="63" s="1"/>
  <c r="P403" i="63" l="1"/>
  <c r="U403" i="63" s="1"/>
  <c r="W403" i="63"/>
  <c r="Z403" i="63"/>
  <c r="AM403" i="63"/>
  <c r="AU403" i="63" l="1"/>
  <c r="AV403" i="63" s="1"/>
  <c r="N404" i="63"/>
  <c r="O404" i="63"/>
  <c r="AT403" i="63"/>
  <c r="AN404" i="63" l="1"/>
  <c r="AS404" i="63" s="1"/>
  <c r="Q404" i="63"/>
  <c r="V404" i="63" s="1"/>
  <c r="M404" i="63"/>
  <c r="L404" i="63" s="1"/>
  <c r="Z404" i="63" l="1"/>
  <c r="AM404" i="63"/>
  <c r="P404" i="63"/>
  <c r="U404" i="63" l="1"/>
  <c r="W404" i="63"/>
  <c r="O405" i="63" l="1"/>
  <c r="AU404" i="63"/>
  <c r="AV404" i="63" s="1"/>
  <c r="AT404" i="63"/>
  <c r="N405" i="63"/>
  <c r="Q405" i="63" l="1"/>
  <c r="V405" i="63" s="1"/>
  <c r="M405" i="63"/>
  <c r="L405" i="63" s="1"/>
  <c r="AN405" i="63"/>
  <c r="AS405" i="63" s="1"/>
  <c r="P405" i="63" l="1"/>
  <c r="U405" i="63" s="1"/>
  <c r="W405" i="63"/>
  <c r="Z405" i="63"/>
  <c r="AM405" i="63"/>
  <c r="AU405" i="63" l="1"/>
  <c r="AV405" i="63" s="1"/>
  <c r="AT405" i="63"/>
  <c r="O406" i="63"/>
  <c r="N406" i="63"/>
  <c r="Q406" i="63" l="1"/>
  <c r="V406" i="63" s="1"/>
  <c r="M406" i="63"/>
  <c r="L406" i="63" s="1"/>
  <c r="AN406" i="63"/>
  <c r="AS406" i="63" s="1"/>
  <c r="P406" i="63"/>
  <c r="U406" i="63" s="1"/>
  <c r="Z406" i="63" l="1"/>
  <c r="AM406" i="63"/>
  <c r="W406" i="63"/>
  <c r="AT406" i="63" l="1"/>
  <c r="AU406" i="63"/>
  <c r="AV406" i="63" s="1"/>
  <c r="O407" i="63"/>
  <c r="N407" i="63"/>
  <c r="M407" i="63" l="1"/>
  <c r="L407" i="63" s="1"/>
  <c r="Q407" i="63"/>
  <c r="V407" i="63" s="1"/>
  <c r="AN407" i="63"/>
  <c r="AS407" i="63" s="1"/>
  <c r="P407" i="63" l="1"/>
  <c r="Z407" i="63"/>
  <c r="AM407" i="63"/>
  <c r="U407" i="63" l="1"/>
  <c r="W407" i="63"/>
  <c r="O408" i="63" l="1"/>
  <c r="AT407" i="63"/>
  <c r="N408" i="63"/>
  <c r="AU407" i="63"/>
  <c r="AV407" i="63" s="1"/>
  <c r="M408" i="63" l="1"/>
  <c r="L408" i="63" s="1"/>
  <c r="Q408" i="63"/>
  <c r="V408" i="63" s="1"/>
  <c r="AN408" i="63"/>
  <c r="AS408" i="63" s="1"/>
  <c r="P408" i="63" l="1"/>
  <c r="Z408" i="63"/>
  <c r="AM408" i="63"/>
  <c r="U408" i="63" l="1"/>
  <c r="W408" i="63"/>
  <c r="AU408" i="63" l="1"/>
  <c r="AV408" i="63" s="1"/>
  <c r="AT408" i="63"/>
  <c r="O409" i="63"/>
  <c r="N409" i="63"/>
  <c r="M409" i="63" l="1"/>
  <c r="L409" i="63" s="1"/>
  <c r="Q409" i="63"/>
  <c r="V409" i="63" s="1"/>
  <c r="AN409" i="63"/>
  <c r="AS409" i="63" s="1"/>
  <c r="P409" i="63" l="1"/>
  <c r="AM409" i="63"/>
  <c r="Z409" i="63"/>
  <c r="U409" i="63" l="1"/>
  <c r="W409" i="63"/>
  <c r="O410" i="63" l="1"/>
  <c r="AU409" i="63"/>
  <c r="AV409" i="63" s="1"/>
  <c r="N410" i="63"/>
  <c r="AT409" i="63"/>
  <c r="M410" i="63" l="1"/>
  <c r="L410" i="63" s="1"/>
  <c r="Q410" i="63"/>
  <c r="V410" i="63" s="1"/>
  <c r="AN410" i="63"/>
  <c r="AS410" i="63" s="1"/>
  <c r="P410" i="63" l="1"/>
  <c r="Z410" i="63"/>
  <c r="AM410" i="63"/>
  <c r="U410" i="63" l="1"/>
  <c r="W410" i="63"/>
  <c r="AT410" i="63" l="1"/>
  <c r="O411" i="63"/>
  <c r="N411" i="63"/>
  <c r="AU410" i="63"/>
  <c r="AV410" i="63" s="1"/>
  <c r="M411" i="63" l="1"/>
  <c r="L411" i="63" s="1"/>
  <c r="Q411" i="63"/>
  <c r="V411" i="63" s="1"/>
  <c r="AN411" i="63"/>
  <c r="AS411" i="63" s="1"/>
  <c r="P411" i="63" l="1"/>
  <c r="Z411" i="63"/>
  <c r="AM411" i="63"/>
  <c r="U411" i="63" l="1"/>
  <c r="W411" i="63"/>
  <c r="AT411" i="63" l="1"/>
  <c r="AU411" i="63"/>
  <c r="AV411" i="63" s="1"/>
  <c r="O412" i="63"/>
  <c r="N412" i="63"/>
  <c r="Q412" i="63" l="1"/>
  <c r="V412" i="63" s="1"/>
  <c r="M412" i="63"/>
  <c r="L412" i="63" s="1"/>
  <c r="AN412" i="63"/>
  <c r="AS412" i="63" s="1"/>
  <c r="P412" i="63"/>
  <c r="U412" i="63" s="1"/>
  <c r="Z412" i="63" l="1"/>
  <c r="AM412" i="63"/>
  <c r="W412" i="63"/>
  <c r="AT412" i="63" l="1"/>
  <c r="O413" i="63"/>
  <c r="AU412" i="63"/>
  <c r="AV412" i="63" s="1"/>
  <c r="N413" i="63"/>
  <c r="AN413" i="63" l="1"/>
  <c r="AS413" i="63" s="1"/>
  <c r="M413" i="63"/>
  <c r="L413" i="63" s="1"/>
  <c r="Q413" i="63"/>
  <c r="V413" i="63" s="1"/>
  <c r="P413" i="63" l="1"/>
  <c r="Z413" i="63"/>
  <c r="AM413" i="63"/>
  <c r="U413" i="63" l="1"/>
  <c r="W413" i="63"/>
  <c r="AT413" i="63" l="1"/>
  <c r="O414" i="63"/>
  <c r="AU413" i="63"/>
  <c r="AV413" i="63" s="1"/>
  <c r="N414" i="63"/>
  <c r="M414" i="63" l="1"/>
  <c r="L414" i="63" s="1"/>
  <c r="Q414" i="63"/>
  <c r="V414" i="63" s="1"/>
  <c r="AN414" i="63"/>
  <c r="AS414" i="63" s="1"/>
  <c r="P414" i="63" l="1"/>
  <c r="Z414" i="63"/>
  <c r="AM414" i="63"/>
  <c r="U414" i="63" l="1"/>
  <c r="W414" i="63"/>
  <c r="AT414" i="63" l="1"/>
  <c r="AU414" i="63"/>
  <c r="AV414" i="63" s="1"/>
  <c r="O415" i="63"/>
  <c r="N415" i="63"/>
  <c r="M415" i="63" l="1"/>
  <c r="L415" i="63" s="1"/>
  <c r="Q415" i="63"/>
  <c r="V415" i="63" s="1"/>
  <c r="AN415" i="63"/>
  <c r="AS415" i="63" s="1"/>
  <c r="P415" i="63" l="1"/>
  <c r="Z415" i="63"/>
  <c r="AM415" i="63"/>
  <c r="U415" i="63" l="1"/>
  <c r="W415" i="63"/>
  <c r="N416" i="63" l="1"/>
  <c r="O416" i="63"/>
  <c r="AU415" i="63"/>
  <c r="AV415" i="63" s="1"/>
  <c r="AT415" i="63"/>
  <c r="AN416" i="63" l="1"/>
  <c r="AS416" i="63" s="1"/>
  <c r="Q416" i="63"/>
  <c r="V416" i="63" s="1"/>
  <c r="M416" i="63"/>
  <c r="L416" i="63" s="1"/>
  <c r="Z416" i="63" l="1"/>
  <c r="AM416" i="63"/>
  <c r="P416" i="63"/>
  <c r="U416" i="63" l="1"/>
  <c r="W416" i="63"/>
  <c r="N417" i="63" l="1"/>
  <c r="AT416" i="63"/>
  <c r="O417" i="63"/>
  <c r="AU416" i="63"/>
  <c r="AV416" i="63" s="1"/>
  <c r="AN417" i="63" l="1"/>
  <c r="AS417" i="63" s="1"/>
  <c r="Q417" i="63"/>
  <c r="V417" i="63" s="1"/>
  <c r="M417" i="63"/>
  <c r="L417" i="63" s="1"/>
  <c r="Z417" i="63" l="1"/>
  <c r="AM417" i="63"/>
  <c r="P417" i="63"/>
  <c r="U417" i="63" l="1"/>
  <c r="W417" i="63"/>
  <c r="O418" i="63" l="1"/>
  <c r="N418" i="63"/>
  <c r="AU417" i="63"/>
  <c r="AV417" i="63" s="1"/>
  <c r="AT417" i="63"/>
  <c r="M418" i="63" l="1"/>
  <c r="L418" i="63" s="1"/>
  <c r="Q418" i="63"/>
  <c r="V418" i="63" s="1"/>
  <c r="AN418" i="63"/>
  <c r="AS418" i="63" s="1"/>
  <c r="P418" i="63" l="1"/>
  <c r="U418" i="63" s="1"/>
  <c r="W418" i="63"/>
  <c r="Z418" i="63"/>
  <c r="AM418" i="63"/>
  <c r="AT418" i="63" l="1"/>
  <c r="O419" i="63"/>
  <c r="N419" i="63"/>
  <c r="AU418" i="63"/>
  <c r="AV418" i="63" s="1"/>
  <c r="M419" i="63" l="1"/>
  <c r="L419" i="63" s="1"/>
  <c r="Q419" i="63"/>
  <c r="V419" i="63" s="1"/>
  <c r="AN419" i="63"/>
  <c r="AS419" i="63" s="1"/>
  <c r="P419" i="63" l="1"/>
  <c r="AM419" i="63"/>
  <c r="Z419" i="63"/>
  <c r="U419" i="63" l="1"/>
  <c r="W419" i="63"/>
  <c r="AO419" i="63" l="1"/>
  <c r="O420" i="63"/>
  <c r="AU419" i="63"/>
  <c r="AT419" i="63"/>
  <c r="AV419" i="63"/>
  <c r="N420" i="63"/>
  <c r="M420" i="63" l="1"/>
  <c r="L420" i="63" s="1"/>
  <c r="Q420" i="63"/>
  <c r="V420" i="63" s="1"/>
  <c r="AN420" i="63"/>
  <c r="AS420" i="63" s="1"/>
  <c r="AP420" i="63"/>
  <c r="P420" i="63" l="1"/>
  <c r="U420" i="63" s="1"/>
  <c r="Z420" i="63"/>
  <c r="AM420" i="63"/>
  <c r="W420" i="63" l="1"/>
  <c r="AO420" i="63" s="1"/>
  <c r="O421" i="63"/>
  <c r="AV420" i="63" l="1"/>
  <c r="N421" i="63"/>
  <c r="AU420" i="63"/>
  <c r="AT420" i="63"/>
  <c r="AP421" i="63"/>
  <c r="AN421" i="63"/>
  <c r="AS421" i="63" s="1"/>
  <c r="M421" i="63"/>
  <c r="L421" i="63" s="1"/>
  <c r="Q421" i="63"/>
  <c r="V421" i="63" s="1"/>
  <c r="P421" i="63" l="1"/>
  <c r="Z421" i="63"/>
  <c r="AM421" i="63"/>
  <c r="U421" i="63" l="1"/>
  <c r="W421" i="63"/>
  <c r="AO421" i="63" l="1"/>
  <c r="AV421" i="63"/>
  <c r="AU421" i="63"/>
  <c r="O422" i="63"/>
  <c r="N422" i="63"/>
  <c r="AT421" i="63"/>
  <c r="M422" i="63" l="1"/>
  <c r="L422" i="63" s="1"/>
  <c r="Q422" i="63"/>
  <c r="V422" i="63" s="1"/>
  <c r="AN422" i="63"/>
  <c r="AS422" i="63" s="1"/>
  <c r="AP422" i="63"/>
  <c r="P422" i="63" l="1"/>
  <c r="Z422" i="63"/>
  <c r="AM422" i="63"/>
  <c r="U422" i="63" l="1"/>
  <c r="W422" i="63"/>
  <c r="N423" i="63" l="1"/>
  <c r="AV422" i="63"/>
  <c r="AT422" i="63"/>
  <c r="O423" i="63"/>
  <c r="AO422" i="63"/>
  <c r="AU422" i="63"/>
  <c r="AP423" i="63" l="1"/>
  <c r="AN423" i="63"/>
  <c r="AS423" i="63" s="1"/>
  <c r="Q423" i="63"/>
  <c r="V423" i="63" s="1"/>
  <c r="M423" i="63"/>
  <c r="L423" i="63" s="1"/>
  <c r="AM423" i="63" l="1"/>
  <c r="Z423" i="63"/>
  <c r="P423" i="63"/>
  <c r="U423" i="63" l="1"/>
  <c r="W423" i="63"/>
  <c r="N424" i="63" l="1"/>
  <c r="AT423" i="63"/>
  <c r="AU423" i="63"/>
  <c r="O424" i="63"/>
  <c r="AO423" i="63"/>
  <c r="AV423" i="63"/>
  <c r="AN424" i="63" l="1"/>
  <c r="AS424" i="63" s="1"/>
  <c r="AP424" i="63"/>
  <c r="Q424" i="63"/>
  <c r="V424" i="63" s="1"/>
  <c r="M424" i="63"/>
  <c r="L424" i="63" s="1"/>
  <c r="Z424" i="63" l="1"/>
  <c r="AM424" i="63"/>
  <c r="P424" i="63"/>
  <c r="U424" i="63" l="1"/>
  <c r="W424" i="63"/>
  <c r="O425" i="63" l="1"/>
  <c r="N425" i="63"/>
  <c r="AV424" i="63"/>
  <c r="AU424" i="63"/>
  <c r="AO424" i="63"/>
  <c r="AT424" i="63"/>
  <c r="M425" i="63" l="1"/>
  <c r="L425" i="63" s="1"/>
  <c r="Q425" i="63"/>
  <c r="V425" i="63" s="1"/>
  <c r="AN425" i="63"/>
  <c r="AS425" i="63" s="1"/>
  <c r="AP425" i="63"/>
  <c r="P425" i="63" l="1"/>
  <c r="U425" i="63" s="1"/>
  <c r="AM425" i="63"/>
  <c r="Z425" i="63"/>
  <c r="W425" i="63" l="1"/>
  <c r="N426" i="63" s="1"/>
  <c r="O426" i="63"/>
  <c r="AT425" i="63"/>
  <c r="AU425" i="63"/>
  <c r="AO425" i="63"/>
  <c r="AV425" i="63"/>
  <c r="AP426" i="63" l="1"/>
  <c r="AN426" i="63"/>
  <c r="AS426" i="63" s="1"/>
  <c r="M426" i="63"/>
  <c r="L426" i="63" s="1"/>
  <c r="Q426" i="63"/>
  <c r="V426" i="63" s="1"/>
  <c r="Z426" i="63" l="1"/>
  <c r="AM426" i="63"/>
  <c r="P426" i="63"/>
  <c r="U426" i="63" l="1"/>
  <c r="W426" i="63"/>
  <c r="N427" i="63" l="1"/>
  <c r="AO426" i="63"/>
  <c r="O427" i="63"/>
  <c r="AV426" i="63"/>
  <c r="AT426" i="63"/>
  <c r="AU426" i="63"/>
  <c r="AN427" i="63" l="1"/>
  <c r="AS427" i="63" s="1"/>
  <c r="AP427" i="63"/>
  <c r="M427" i="63"/>
  <c r="L427" i="63" s="1"/>
  <c r="Q427" i="63"/>
  <c r="V427" i="63" s="1"/>
  <c r="Z427" i="63" l="1"/>
  <c r="AM427" i="63"/>
  <c r="P427" i="63"/>
  <c r="U427" i="63" l="1"/>
  <c r="W427" i="63"/>
  <c r="O428" i="63" l="1"/>
  <c r="AO427" i="63"/>
  <c r="AV427" i="63"/>
  <c r="N428" i="63"/>
  <c r="AU427" i="63"/>
  <c r="AT427" i="63"/>
  <c r="Q428" i="63" l="1"/>
  <c r="V428" i="63" s="1"/>
  <c r="M428" i="63"/>
  <c r="L428" i="63" s="1"/>
  <c r="AN428" i="63"/>
  <c r="AS428" i="63" s="1"/>
  <c r="AP428" i="63"/>
  <c r="P428" i="63" l="1"/>
  <c r="U428" i="63" s="1"/>
  <c r="AM428" i="63"/>
  <c r="Z428" i="63"/>
  <c r="W428" i="63" l="1"/>
  <c r="AO428" i="63" s="1"/>
  <c r="O429" i="63"/>
  <c r="N429" i="63"/>
  <c r="AV428" i="63"/>
  <c r="AT428" i="63"/>
  <c r="AU428" i="63" l="1"/>
  <c r="M429" i="63"/>
  <c r="L429" i="63" s="1"/>
  <c r="Q429" i="63"/>
  <c r="V429" i="63" s="1"/>
  <c r="AN429" i="63"/>
  <c r="AS429" i="63" s="1"/>
  <c r="AP429" i="63"/>
  <c r="P429" i="63" l="1"/>
  <c r="Z429" i="63"/>
  <c r="AM429" i="63"/>
  <c r="U429" i="63" l="1"/>
  <c r="W429" i="63"/>
  <c r="O430" i="63" l="1"/>
  <c r="AO429" i="63"/>
  <c r="AU429" i="63"/>
  <c r="N430" i="63"/>
  <c r="AT429" i="63"/>
  <c r="AV429" i="63"/>
  <c r="M430" i="63" l="1"/>
  <c r="L430" i="63" s="1"/>
  <c r="Q430" i="63"/>
  <c r="V430" i="63" s="1"/>
  <c r="AN430" i="63"/>
  <c r="AS430" i="63" s="1"/>
  <c r="AP430" i="63"/>
  <c r="P430" i="63"/>
  <c r="U430" i="63" s="1"/>
  <c r="W430" i="63" l="1"/>
  <c r="Z430" i="63"/>
  <c r="AM430" i="63"/>
  <c r="AT430" i="63" l="1"/>
  <c r="AO430" i="63"/>
  <c r="N431" i="63"/>
  <c r="O431" i="63"/>
  <c r="AU430" i="63"/>
  <c r="AV430" i="63"/>
  <c r="AP431" i="63" l="1"/>
  <c r="AN431" i="63"/>
  <c r="AS431" i="63" s="1"/>
  <c r="M431" i="63"/>
  <c r="L431" i="63" s="1"/>
  <c r="Q431" i="63"/>
  <c r="V431" i="63" s="1"/>
  <c r="Z431" i="63" l="1"/>
  <c r="AM431" i="63"/>
  <c r="P431" i="63"/>
  <c r="U431" i="63" l="1"/>
  <c r="W431" i="63"/>
  <c r="AT431" i="63" l="1"/>
  <c r="AO431" i="63"/>
  <c r="O432" i="63"/>
  <c r="AV431" i="63"/>
  <c r="AU431" i="63"/>
  <c r="N432" i="63"/>
  <c r="Q432" i="63" l="1"/>
  <c r="V432" i="63" s="1"/>
  <c r="M432" i="63"/>
  <c r="L432" i="63" s="1"/>
  <c r="AN432" i="63"/>
  <c r="AS432" i="63" s="1"/>
  <c r="AP432" i="63"/>
  <c r="P432" i="63" l="1"/>
  <c r="U432" i="63" s="1"/>
  <c r="Z432" i="63"/>
  <c r="AM432" i="63"/>
  <c r="W432" i="63" l="1"/>
  <c r="AT432" i="63" s="1"/>
  <c r="AO432" i="63"/>
  <c r="AV432" i="63"/>
  <c r="N433" i="63"/>
  <c r="AU432" i="63"/>
  <c r="O433" i="63"/>
  <c r="AP433" i="63" l="1"/>
  <c r="AN433" i="63"/>
  <c r="AS433" i="63" s="1"/>
  <c r="Q433" i="63"/>
  <c r="V433" i="63" s="1"/>
  <c r="M433" i="63"/>
  <c r="L433" i="63" s="1"/>
  <c r="Z433" i="63" l="1"/>
  <c r="AM433" i="63"/>
  <c r="P433" i="63"/>
  <c r="U433" i="63" l="1"/>
  <c r="W433" i="63"/>
  <c r="AO433" i="63" l="1"/>
  <c r="AT433" i="63"/>
  <c r="AU433" i="63"/>
  <c r="O434" i="63"/>
  <c r="N434" i="63"/>
  <c r="AV433" i="63"/>
  <c r="Q434" i="63" l="1"/>
  <c r="V434" i="63" s="1"/>
  <c r="M434" i="63"/>
  <c r="L434" i="63" s="1"/>
  <c r="AN434" i="63"/>
  <c r="AS434" i="63" s="1"/>
  <c r="AP434" i="63"/>
  <c r="P434" i="63"/>
  <c r="U434" i="63" s="1"/>
  <c r="AM434" i="63" l="1"/>
  <c r="Z434" i="63"/>
  <c r="W434" i="63"/>
  <c r="N435" i="63" l="1"/>
  <c r="O435" i="63"/>
  <c r="AT434" i="63"/>
  <c r="AV434" i="63"/>
  <c r="AO434" i="63"/>
  <c r="AU434" i="63"/>
  <c r="AN435" i="63" l="1"/>
  <c r="AS435" i="63" s="1"/>
  <c r="AP435" i="63"/>
  <c r="Q435" i="63"/>
  <c r="V435" i="63" s="1"/>
  <c r="M435" i="63"/>
  <c r="L435" i="63" s="1"/>
  <c r="Z435" i="63" l="1"/>
  <c r="AM435" i="63"/>
  <c r="P435" i="63"/>
  <c r="U435" i="63" l="1"/>
  <c r="W435" i="63"/>
  <c r="AU435" i="63" l="1"/>
  <c r="AO435" i="63"/>
  <c r="AV435" i="63"/>
  <c r="O436" i="63"/>
  <c r="N436" i="63"/>
  <c r="AT435" i="63"/>
  <c r="M436" i="63" l="1"/>
  <c r="L436" i="63" s="1"/>
  <c r="Q436" i="63"/>
  <c r="V436" i="63" s="1"/>
  <c r="AP436" i="63"/>
  <c r="AN436" i="63"/>
  <c r="AS436" i="63" s="1"/>
  <c r="P436" i="63" l="1"/>
  <c r="Z436" i="63"/>
  <c r="AM436" i="63"/>
  <c r="U436" i="63" l="1"/>
  <c r="W436" i="63"/>
  <c r="AU436" i="63" l="1"/>
  <c r="AV436" i="63"/>
  <c r="N437" i="63"/>
  <c r="O437" i="63"/>
  <c r="AT436" i="63"/>
  <c r="AO436" i="63"/>
  <c r="AN437" i="63" l="1"/>
  <c r="AS437" i="63" s="1"/>
  <c r="AP437" i="63"/>
  <c r="M437" i="63"/>
  <c r="L437" i="63" s="1"/>
  <c r="Q437" i="63"/>
  <c r="V437" i="63" s="1"/>
  <c r="Z437" i="63" l="1"/>
  <c r="AM437" i="63"/>
  <c r="P437" i="63"/>
  <c r="U437" i="63" l="1"/>
  <c r="W437" i="63"/>
  <c r="O438" i="63" l="1"/>
  <c r="AO437" i="63"/>
  <c r="N438" i="63"/>
  <c r="AT437" i="63"/>
  <c r="AV437" i="63"/>
  <c r="AU437" i="63"/>
  <c r="Q438" i="63" l="1"/>
  <c r="V438" i="63" s="1"/>
  <c r="M438" i="63"/>
  <c r="L438" i="63" s="1"/>
  <c r="AN438" i="63"/>
  <c r="AS438" i="63" s="1"/>
  <c r="AP438" i="63"/>
  <c r="P438" i="63"/>
  <c r="U438" i="63" s="1"/>
  <c r="Z438" i="63" l="1"/>
  <c r="AM438" i="63"/>
  <c r="W438" i="63"/>
  <c r="AT438" i="63" l="1"/>
  <c r="AO438" i="63"/>
  <c r="N439" i="63"/>
  <c r="O439" i="63"/>
  <c r="AU438" i="63"/>
  <c r="AV438" i="63"/>
  <c r="AN439" i="63" l="1"/>
  <c r="AS439" i="63" s="1"/>
  <c r="AP439" i="63"/>
  <c r="Q439" i="63"/>
  <c r="V439" i="63" s="1"/>
  <c r="M439" i="63"/>
  <c r="L439" i="63" s="1"/>
  <c r="Z439" i="63" l="1"/>
  <c r="AM439" i="63"/>
  <c r="P439" i="63"/>
  <c r="U439" i="63" l="1"/>
  <c r="W439" i="63"/>
  <c r="AO439" i="63" l="1"/>
  <c r="AU439" i="63"/>
  <c r="O440" i="63"/>
  <c r="AT439" i="63"/>
  <c r="N440" i="63"/>
  <c r="AV439" i="63"/>
  <c r="M440" i="63" l="1"/>
  <c r="L440" i="63" s="1"/>
  <c r="Q440" i="63"/>
  <c r="V440" i="63" s="1"/>
  <c r="AN440" i="63"/>
  <c r="AS440" i="63" s="1"/>
  <c r="AP440" i="63"/>
  <c r="P440" i="63" l="1"/>
  <c r="Z440" i="63"/>
  <c r="AM440" i="63"/>
  <c r="U440" i="63" l="1"/>
  <c r="W440" i="63"/>
  <c r="O441" i="63" l="1"/>
  <c r="AO440" i="63"/>
  <c r="AU440" i="63"/>
  <c r="AV440" i="63"/>
  <c r="AT440" i="63"/>
  <c r="N441" i="63"/>
  <c r="M441" i="63" l="1"/>
  <c r="L441" i="63" s="1"/>
  <c r="Q441" i="63"/>
  <c r="V441" i="63" s="1"/>
  <c r="AP441" i="63"/>
  <c r="AN441" i="63"/>
  <c r="AS441" i="63" s="1"/>
  <c r="P441" i="63" l="1"/>
  <c r="AM441" i="63"/>
  <c r="Z441" i="63"/>
  <c r="U441" i="63" l="1"/>
  <c r="W441" i="63"/>
  <c r="AO441" i="63" l="1"/>
  <c r="AV441" i="63"/>
  <c r="AU441" i="63"/>
  <c r="AT441" i="63"/>
  <c r="N442" i="63"/>
  <c r="O442" i="63"/>
  <c r="AN442" i="63" l="1"/>
  <c r="AS442" i="63" s="1"/>
  <c r="AP442" i="63"/>
  <c r="Q442" i="63"/>
  <c r="V442" i="63" s="1"/>
  <c r="M442" i="63"/>
  <c r="L442" i="63" s="1"/>
  <c r="Z442" i="63" l="1"/>
  <c r="AM442" i="63"/>
  <c r="P442" i="63"/>
  <c r="U442" i="63" l="1"/>
  <c r="W442" i="63"/>
  <c r="AO442" i="63" l="1"/>
  <c r="N443" i="63"/>
  <c r="AT442" i="63"/>
  <c r="AU442" i="63"/>
  <c r="O443" i="63"/>
  <c r="AV442" i="63"/>
  <c r="AN443" i="63" l="1"/>
  <c r="AS443" i="63" s="1"/>
  <c r="AP443" i="63"/>
  <c r="M443" i="63"/>
  <c r="L443" i="63" s="1"/>
  <c r="Q443" i="63"/>
  <c r="V443" i="63" s="1"/>
  <c r="Z443" i="63" l="1"/>
  <c r="AM443" i="63"/>
  <c r="P443" i="63"/>
  <c r="U443" i="63" l="1"/>
  <c r="W443" i="63"/>
  <c r="AO443" i="63" l="1"/>
  <c r="AU443" i="63"/>
  <c r="O444" i="63"/>
  <c r="N444" i="63"/>
  <c r="AT443" i="63"/>
  <c r="AV443" i="63"/>
  <c r="Q444" i="63" l="1"/>
  <c r="V444" i="63" s="1"/>
  <c r="M444" i="63"/>
  <c r="L444" i="63" s="1"/>
  <c r="AN444" i="63"/>
  <c r="AS444" i="63" s="1"/>
  <c r="AP444" i="63"/>
  <c r="P444" i="63"/>
  <c r="U444" i="63" s="1"/>
  <c r="AM444" i="63" l="1"/>
  <c r="Z444" i="63"/>
  <c r="W444" i="63"/>
  <c r="N445" i="63" l="1"/>
  <c r="AO444" i="63"/>
  <c r="AT444" i="63"/>
  <c r="AU444" i="63"/>
  <c r="AV444" i="63"/>
  <c r="O445" i="63"/>
  <c r="AN445" i="63" l="1"/>
  <c r="AS445" i="63" s="1"/>
  <c r="AP445" i="63"/>
  <c r="M445" i="63"/>
  <c r="L445" i="63" s="1"/>
  <c r="Q445" i="63"/>
  <c r="V445" i="63" s="1"/>
  <c r="Z445" i="63" l="1"/>
  <c r="AM445" i="63"/>
  <c r="P445" i="63"/>
  <c r="U445" i="63" l="1"/>
  <c r="W445" i="63"/>
  <c r="O446" i="63" l="1"/>
  <c r="AT445" i="63"/>
  <c r="AU445" i="63"/>
  <c r="AV445" i="63"/>
  <c r="N446" i="63"/>
  <c r="AO445" i="63"/>
  <c r="Q446" i="63" l="1"/>
  <c r="V446" i="63" s="1"/>
  <c r="M446" i="63"/>
  <c r="L446" i="63" s="1"/>
  <c r="AN446" i="63"/>
  <c r="AS446" i="63" s="1"/>
  <c r="AP446" i="63"/>
  <c r="P446" i="63"/>
  <c r="U446" i="63" s="1"/>
  <c r="Z446" i="63" l="1"/>
  <c r="AM446" i="63"/>
  <c r="W446" i="63"/>
  <c r="I25" i="57"/>
  <c r="B32" i="1" s="1"/>
  <c r="B37" i="1" s="1"/>
  <c r="D37" i="1" s="1"/>
  <c r="N447" i="63" l="1"/>
  <c r="AV446" i="63"/>
  <c r="AT446" i="63"/>
  <c r="AU446" i="63"/>
  <c r="O447" i="63"/>
  <c r="AO446" i="63"/>
  <c r="E48" i="19"/>
  <c r="E50" i="1"/>
  <c r="D49" i="1"/>
  <c r="AN447" i="63" l="1"/>
  <c r="AS447" i="63" s="1"/>
  <c r="AP447" i="63"/>
  <c r="M447" i="63"/>
  <c r="L447" i="63" s="1"/>
  <c r="Q447" i="63"/>
  <c r="V447" i="63" s="1"/>
  <c r="K44" i="1"/>
  <c r="E46" i="19"/>
  <c r="G75" i="1"/>
  <c r="G14" i="33"/>
  <c r="P447" i="63" l="1"/>
  <c r="Z447" i="63"/>
  <c r="AM447" i="63"/>
  <c r="G77" i="1"/>
  <c r="H75" i="1" s="1"/>
  <c r="E17" i="33"/>
  <c r="E39" i="33"/>
  <c r="E15" i="33"/>
  <c r="E16" i="33" s="1"/>
  <c r="E25" i="33"/>
  <c r="E52" i="33"/>
  <c r="U447" i="63" l="1"/>
  <c r="W447" i="63"/>
  <c r="H71" i="1"/>
  <c r="H72" i="1"/>
  <c r="H73" i="1"/>
  <c r="H74" i="1"/>
  <c r="AO447" i="63" l="1"/>
  <c r="AV447" i="63"/>
  <c r="O448" i="63"/>
  <c r="AU447" i="63"/>
  <c r="AT447" i="63"/>
  <c r="N448" i="63"/>
  <c r="H76" i="1"/>
  <c r="H77" i="1"/>
  <c r="M448" i="63" l="1"/>
  <c r="L448" i="63" s="1"/>
  <c r="Q448" i="63"/>
  <c r="V448" i="63" s="1"/>
  <c r="AN448" i="63"/>
  <c r="AS448" i="63" s="1"/>
  <c r="AP448" i="63"/>
  <c r="P448" i="63" l="1"/>
  <c r="AM448" i="63"/>
  <c r="Z448" i="63"/>
  <c r="U448" i="63" l="1"/>
  <c r="W448" i="63"/>
  <c r="AT448" i="63" l="1"/>
  <c r="AO448" i="63"/>
  <c r="AV448" i="63"/>
  <c r="AU448" i="63"/>
  <c r="O449" i="63"/>
  <c r="N449" i="63"/>
  <c r="AP449" i="63" l="1"/>
  <c r="AN449" i="63"/>
  <c r="AS449" i="63" s="1"/>
  <c r="Q449" i="63"/>
  <c r="V449" i="63" s="1"/>
  <c r="M449" i="63"/>
  <c r="L449" i="63" s="1"/>
  <c r="Z449" i="63" l="1"/>
  <c r="AM449" i="63"/>
  <c r="P449" i="63"/>
  <c r="U449" i="63" l="1"/>
  <c r="W449" i="63"/>
  <c r="O450" i="63" l="1"/>
  <c r="AO449" i="63"/>
  <c r="AT449" i="63"/>
  <c r="N450" i="63"/>
  <c r="AV449" i="63"/>
  <c r="AU449" i="63"/>
  <c r="B79" i="64"/>
  <c r="B78" i="64" s="1"/>
  <c r="BK2" i="64" s="1"/>
  <c r="M450" i="63" l="1"/>
  <c r="L450" i="63" s="1"/>
  <c r="Q450" i="63"/>
  <c r="V450" i="63" s="1"/>
  <c r="AN450" i="63"/>
  <c r="AS450" i="63" s="1"/>
  <c r="AP450" i="63"/>
  <c r="CH2" i="64"/>
  <c r="P450" i="63" l="1"/>
  <c r="U450" i="63" s="1"/>
  <c r="Z450" i="63"/>
  <c r="AM450" i="63"/>
  <c r="W450" i="63" l="1"/>
  <c r="N451" i="63"/>
  <c r="AO450" i="63"/>
  <c r="AV450" i="63"/>
  <c r="AU450" i="63"/>
  <c r="AT450" i="63"/>
  <c r="O451" i="63"/>
  <c r="AN451" i="63" l="1"/>
  <c r="AS451" i="63" s="1"/>
  <c r="AP451" i="63"/>
  <c r="Q451" i="63"/>
  <c r="V451" i="63" s="1"/>
  <c r="M451" i="63"/>
  <c r="L451" i="63" s="1"/>
  <c r="AM451" i="63" l="1"/>
  <c r="Z451" i="63"/>
  <c r="P451" i="63"/>
  <c r="U451" i="63" l="1"/>
  <c r="W451" i="63"/>
  <c r="AT451" i="63" l="1"/>
  <c r="AO451" i="63"/>
  <c r="AU451" i="63"/>
  <c r="AV451" i="63"/>
  <c r="N452" i="63"/>
  <c r="O452" i="63"/>
  <c r="AN452" i="63" l="1"/>
  <c r="AS452" i="63" s="1"/>
  <c r="AP452" i="63"/>
  <c r="M452" i="63"/>
  <c r="L452" i="63" s="1"/>
  <c r="Q452" i="63"/>
  <c r="V452" i="63" s="1"/>
  <c r="Z452" i="63" l="1"/>
  <c r="AM452" i="63"/>
  <c r="P452" i="63"/>
  <c r="U452" i="63" l="1"/>
  <c r="W452" i="63"/>
  <c r="AT452" i="63" l="1"/>
  <c r="AO452" i="63"/>
  <c r="O453" i="63"/>
  <c r="N453" i="63"/>
  <c r="AU452" i="63"/>
  <c r="AV452" i="63"/>
  <c r="Q453" i="63" l="1"/>
  <c r="V453" i="63" s="1"/>
  <c r="M453" i="63"/>
  <c r="L453" i="63" s="1"/>
  <c r="AN453" i="63"/>
  <c r="AS453" i="63" s="1"/>
  <c r="P453" i="63"/>
  <c r="U453" i="63" s="1"/>
  <c r="AP453" i="63"/>
  <c r="AM453" i="63" l="1"/>
  <c r="Z453" i="63"/>
  <c r="W453" i="63"/>
  <c r="AV453" i="63" l="1"/>
  <c r="AO453" i="63"/>
  <c r="O454" i="63"/>
  <c r="AT453" i="63"/>
  <c r="N454" i="63"/>
  <c r="AU453" i="63"/>
  <c r="M454" i="63" l="1"/>
  <c r="L454" i="63" s="1"/>
  <c r="Q454" i="63"/>
  <c r="V454" i="63" s="1"/>
  <c r="AP454" i="63"/>
  <c r="AN454" i="63"/>
  <c r="AS454" i="63" s="1"/>
  <c r="P454" i="63" l="1"/>
  <c r="AM454" i="63"/>
  <c r="Z454" i="63"/>
  <c r="U454" i="63" l="1"/>
  <c r="W454" i="63"/>
  <c r="AU454" i="63" l="1"/>
  <c r="O455" i="63"/>
  <c r="AT454" i="63"/>
  <c r="N455" i="63"/>
  <c r="AO454" i="63"/>
  <c r="AV454" i="63"/>
  <c r="AP455" i="63" l="1"/>
  <c r="AN455" i="63"/>
  <c r="AS455" i="63" s="1"/>
  <c r="M455" i="63"/>
  <c r="L455" i="63" s="1"/>
  <c r="Q455" i="63"/>
  <c r="V455" i="63" s="1"/>
  <c r="Z455" i="63" l="1"/>
  <c r="AM455" i="63"/>
  <c r="P455" i="63"/>
  <c r="U455" i="63" l="1"/>
  <c r="W455" i="63"/>
  <c r="AV455" i="63" l="1"/>
  <c r="N456" i="63"/>
  <c r="AU455" i="63"/>
  <c r="O456" i="63"/>
  <c r="AO455" i="63"/>
  <c r="AT455" i="63"/>
  <c r="AN456" i="63" l="1"/>
  <c r="AS456" i="63" s="1"/>
  <c r="AP456" i="63"/>
  <c r="Q456" i="63"/>
  <c r="V456" i="63" s="1"/>
  <c r="M456" i="63"/>
  <c r="L456" i="63" s="1"/>
  <c r="Z456" i="63" l="1"/>
  <c r="AM456" i="63"/>
  <c r="P456" i="63"/>
  <c r="U456" i="63" l="1"/>
  <c r="W456" i="63"/>
  <c r="AT456" i="63" l="1"/>
  <c r="N457" i="63"/>
  <c r="AU456" i="63"/>
  <c r="AO456" i="63"/>
  <c r="O457" i="63"/>
  <c r="AV456" i="63"/>
  <c r="AN457" i="63" l="1"/>
  <c r="AS457" i="63" s="1"/>
  <c r="AP457" i="63"/>
  <c r="M457" i="63"/>
  <c r="L457" i="63" s="1"/>
  <c r="Q457" i="63"/>
  <c r="V457" i="63" s="1"/>
  <c r="Z457" i="63" l="1"/>
  <c r="AM457" i="63"/>
  <c r="P457" i="63"/>
  <c r="U457" i="63" l="1"/>
  <c r="W457" i="63"/>
  <c r="N458" i="63" l="1"/>
  <c r="O458" i="63"/>
  <c r="AU457" i="63"/>
  <c r="AT457" i="63"/>
  <c r="AV457" i="63"/>
  <c r="AO457" i="63"/>
  <c r="AN458" i="63" l="1"/>
  <c r="AS458" i="63" s="1"/>
  <c r="AP458" i="63"/>
  <c r="Q458" i="63"/>
  <c r="V458" i="63" s="1"/>
  <c r="M458" i="63"/>
  <c r="L458" i="63" s="1"/>
  <c r="Z458" i="63" l="1"/>
  <c r="AM458" i="63"/>
  <c r="P458" i="63"/>
  <c r="U458" i="63" l="1"/>
  <c r="W458" i="63"/>
  <c r="AU458" i="63" l="1"/>
  <c r="AT458" i="63"/>
  <c r="N459" i="63"/>
  <c r="AO458" i="63"/>
  <c r="AV458" i="63"/>
  <c r="O459" i="63"/>
  <c r="AN459" i="63" l="1"/>
  <c r="AS459" i="63" s="1"/>
  <c r="AP459" i="63"/>
  <c r="Q459" i="63"/>
  <c r="V459" i="63" s="1"/>
  <c r="M459" i="63"/>
  <c r="L459" i="63" s="1"/>
  <c r="Z459" i="63" l="1"/>
  <c r="AM459" i="63"/>
  <c r="P459" i="63"/>
  <c r="U459" i="63" l="1"/>
  <c r="W459" i="63"/>
  <c r="AO459" i="63" l="1"/>
  <c r="O460" i="63"/>
  <c r="AV459" i="63"/>
  <c r="AU459" i="63"/>
  <c r="AT459" i="63"/>
  <c r="N460" i="63"/>
  <c r="M460" i="63" l="1"/>
  <c r="L460" i="63" s="1"/>
  <c r="Q460" i="63"/>
  <c r="V460" i="63" s="1"/>
  <c r="AP460" i="63"/>
  <c r="AN460" i="63"/>
  <c r="AS460" i="63" s="1"/>
  <c r="P460" i="63" l="1"/>
  <c r="U460" i="63" s="1"/>
  <c r="W460" i="63"/>
  <c r="Z460" i="63"/>
  <c r="AM460" i="63"/>
  <c r="AU460" i="63" l="1"/>
  <c r="AO460" i="63"/>
  <c r="AV460" i="63"/>
  <c r="N461" i="63"/>
  <c r="AT460" i="63"/>
  <c r="O461" i="63"/>
  <c r="AN461" i="63" l="1"/>
  <c r="AS461" i="63" s="1"/>
  <c r="AP461" i="63"/>
  <c r="Q461" i="63"/>
  <c r="V461" i="63" s="1"/>
  <c r="M461" i="63"/>
  <c r="L461" i="63" s="1"/>
  <c r="Z461" i="63" l="1"/>
  <c r="AM461" i="63"/>
  <c r="P461" i="63"/>
  <c r="U461" i="63" l="1"/>
  <c r="W461" i="63"/>
  <c r="AO461" i="63" l="1"/>
  <c r="AV461" i="63"/>
  <c r="N462" i="63"/>
  <c r="AT461" i="63"/>
  <c r="AU461" i="63"/>
  <c r="O462" i="63"/>
  <c r="AP462" i="63" l="1"/>
  <c r="AN462" i="63"/>
  <c r="AS462" i="63" s="1"/>
  <c r="M462" i="63"/>
  <c r="L462" i="63" s="1"/>
  <c r="Q462" i="63"/>
  <c r="V462" i="63" s="1"/>
  <c r="Z462" i="63" l="1"/>
  <c r="AM462" i="63"/>
  <c r="P462" i="63"/>
  <c r="U462" i="63" l="1"/>
  <c r="W462" i="63"/>
  <c r="AO462" i="63" l="1"/>
  <c r="AU462" i="63"/>
  <c r="N463" i="63"/>
  <c r="AV462" i="63"/>
  <c r="O463" i="63"/>
  <c r="AT462" i="63"/>
  <c r="AP463" i="63" l="1"/>
  <c r="AN463" i="63"/>
  <c r="AS463" i="63" s="1"/>
  <c r="M463" i="63"/>
  <c r="L463" i="63" s="1"/>
  <c r="Q463" i="63"/>
  <c r="V463" i="63" s="1"/>
  <c r="AM463" i="63" l="1"/>
  <c r="Z463" i="63"/>
  <c r="P463" i="63"/>
  <c r="U463" i="63" l="1"/>
  <c r="W463" i="63"/>
  <c r="AO463" i="63" l="1"/>
  <c r="AU463" i="63"/>
  <c r="O464" i="63"/>
  <c r="AT463" i="63"/>
  <c r="AV463" i="63"/>
  <c r="N464" i="63"/>
  <c r="Q464" i="63" l="1"/>
  <c r="V464" i="63" s="1"/>
  <c r="M464" i="63"/>
  <c r="L464" i="63" s="1"/>
  <c r="AN464" i="63"/>
  <c r="AS464" i="63" s="1"/>
  <c r="AP464" i="63"/>
  <c r="P464" i="63"/>
  <c r="U464" i="63" s="1"/>
  <c r="W464" i="63" l="1"/>
  <c r="Z464" i="63"/>
  <c r="AM464" i="63"/>
  <c r="AU464" i="63" l="1"/>
  <c r="AT464" i="63"/>
  <c r="N465" i="63"/>
  <c r="AV464" i="63"/>
  <c r="AO464" i="63"/>
  <c r="O465" i="63"/>
  <c r="AN465" i="63" l="1"/>
  <c r="AS465" i="63" s="1"/>
  <c r="AP465" i="63"/>
  <c r="M465" i="63"/>
  <c r="L465" i="63" s="1"/>
  <c r="Q465" i="63"/>
  <c r="V465" i="63" s="1"/>
  <c r="AM465" i="63" l="1"/>
  <c r="Z465" i="63"/>
  <c r="P465" i="63"/>
  <c r="U465" i="63" l="1"/>
  <c r="W465" i="63"/>
  <c r="N466" i="63" l="1"/>
  <c r="AU465" i="63"/>
  <c r="O466" i="63"/>
  <c r="AT465" i="63"/>
  <c r="AO465" i="63"/>
  <c r="AV465" i="63"/>
  <c r="M466" i="63" l="1"/>
  <c r="L466" i="63" s="1"/>
  <c r="Q466" i="63"/>
  <c r="V466" i="63" s="1"/>
  <c r="AN466" i="63"/>
  <c r="AS466" i="63" s="1"/>
  <c r="AP466" i="63"/>
  <c r="P466" i="63"/>
  <c r="U466" i="63" s="1"/>
  <c r="W466" i="63" l="1"/>
  <c r="Z466" i="63"/>
  <c r="AM466" i="63"/>
  <c r="AU466" i="63" l="1"/>
  <c r="N467" i="63"/>
  <c r="AV466" i="63"/>
  <c r="O467" i="63"/>
  <c r="AO466" i="63"/>
  <c r="AT466" i="63"/>
  <c r="Q467" i="63" l="1"/>
  <c r="V467" i="63" s="1"/>
  <c r="M467" i="63"/>
  <c r="L467" i="63" s="1"/>
  <c r="AN467" i="63"/>
  <c r="AS467" i="63" s="1"/>
  <c r="AP467" i="63"/>
  <c r="P467" i="63"/>
  <c r="U467" i="63" s="1"/>
  <c r="W467" i="63" l="1"/>
  <c r="Z467" i="63"/>
  <c r="AM467" i="63"/>
  <c r="AV467" i="63" l="1"/>
  <c r="O468" i="63"/>
  <c r="N468" i="63"/>
  <c r="AT467" i="63"/>
  <c r="AU467" i="63"/>
  <c r="AO467" i="63"/>
  <c r="M468" i="63" l="1"/>
  <c r="L468" i="63" s="1"/>
  <c r="Q468" i="63"/>
  <c r="V468" i="63" s="1"/>
  <c r="AN468" i="63"/>
  <c r="AS468" i="63" s="1"/>
  <c r="AP468" i="63"/>
  <c r="P468" i="63" l="1"/>
  <c r="U468" i="63" s="1"/>
  <c r="AM468" i="63"/>
  <c r="Z468" i="63"/>
  <c r="W468" i="63" l="1"/>
  <c r="AV468" i="63"/>
  <c r="N469" i="63"/>
  <c r="AT468" i="63"/>
  <c r="O469" i="63"/>
  <c r="AO468" i="63"/>
  <c r="AU468" i="63"/>
  <c r="AN469" i="63" l="1"/>
  <c r="AS469" i="63" s="1"/>
  <c r="AP469" i="63"/>
  <c r="M469" i="63"/>
  <c r="L469" i="63" s="1"/>
  <c r="Q469" i="63"/>
  <c r="V469" i="63" s="1"/>
  <c r="Z469" i="63" l="1"/>
  <c r="AM469" i="63"/>
  <c r="P469" i="63"/>
  <c r="U469" i="63" l="1"/>
  <c r="W469" i="63"/>
  <c r="N470" i="63" l="1"/>
  <c r="AV469" i="63"/>
  <c r="O470" i="63"/>
  <c r="AO469" i="63"/>
  <c r="AT469" i="63"/>
  <c r="AU469" i="63"/>
  <c r="AN470" i="63" l="1"/>
  <c r="AS470" i="63" s="1"/>
  <c r="AP470" i="63"/>
  <c r="Q470" i="63"/>
  <c r="V470" i="63" s="1"/>
  <c r="M470" i="63"/>
  <c r="L470" i="63" s="1"/>
  <c r="Z470" i="63" l="1"/>
  <c r="AM470" i="63"/>
  <c r="P470" i="63"/>
  <c r="U470" i="63" l="1"/>
  <c r="W470" i="63"/>
  <c r="AU470" i="63" l="1"/>
  <c r="AT470" i="63"/>
  <c r="N471" i="63"/>
  <c r="AO470" i="63"/>
  <c r="AV470" i="63"/>
  <c r="O471" i="63"/>
  <c r="AN471" i="63" l="1"/>
  <c r="AS471" i="63" s="1"/>
  <c r="AP471" i="63"/>
  <c r="Q471" i="63"/>
  <c r="V471" i="63" s="1"/>
  <c r="M471" i="63"/>
  <c r="L471" i="63" s="1"/>
  <c r="AM471" i="63" l="1"/>
  <c r="Z471" i="63"/>
  <c r="P471" i="63"/>
  <c r="U471" i="63" l="1"/>
  <c r="W471" i="63"/>
  <c r="AT471" i="63" l="1"/>
  <c r="AU471" i="63"/>
  <c r="AV471" i="63"/>
  <c r="N472" i="63"/>
  <c r="O472" i="63"/>
  <c r="AO471" i="63"/>
  <c r="AN472" i="63" l="1"/>
  <c r="AS472" i="63" s="1"/>
  <c r="AP472" i="63"/>
  <c r="Q472" i="63"/>
  <c r="V472" i="63" s="1"/>
  <c r="M472" i="63"/>
  <c r="L472" i="63" s="1"/>
  <c r="Z472" i="63" l="1"/>
  <c r="AM472" i="63"/>
  <c r="P472" i="63"/>
  <c r="U472" i="63" l="1"/>
  <c r="W472" i="63"/>
  <c r="AV472" i="63" l="1"/>
  <c r="AT472" i="63"/>
  <c r="AU472" i="63"/>
  <c r="O473" i="63"/>
  <c r="AO472" i="63"/>
  <c r="N473" i="63"/>
  <c r="M473" i="63" l="1"/>
  <c r="L473" i="63" s="1"/>
  <c r="Q473" i="63"/>
  <c r="V473" i="63" s="1"/>
  <c r="AN473" i="63"/>
  <c r="AS473" i="63" s="1"/>
  <c r="AP473" i="63"/>
  <c r="P473" i="63" l="1"/>
  <c r="U473" i="63" s="1"/>
  <c r="AM473" i="63"/>
  <c r="Z473" i="63"/>
  <c r="W473" i="63" l="1"/>
  <c r="AV473" i="63"/>
  <c r="N474" i="63"/>
  <c r="AT473" i="63"/>
  <c r="O474" i="63"/>
  <c r="AU473" i="63"/>
  <c r="AO473" i="63"/>
  <c r="M474" i="63" l="1"/>
  <c r="L474" i="63" s="1"/>
  <c r="Q474" i="63"/>
  <c r="V474" i="63" s="1"/>
  <c r="AP474" i="63"/>
  <c r="AN474" i="63"/>
  <c r="AS474" i="63" s="1"/>
  <c r="AI7" i="63"/>
  <c r="AI8" i="63" s="1"/>
  <c r="X5" i="63" s="1"/>
  <c r="AB3" i="63" s="1"/>
  <c r="P474" i="63" l="1"/>
  <c r="U474" i="63" s="1"/>
  <c r="Z474" i="63"/>
  <c r="AM474" i="63"/>
  <c r="AR9" i="63"/>
  <c r="AR8" i="63"/>
  <c r="AI10" i="63"/>
  <c r="AB5" i="63"/>
  <c r="AA5" i="63" s="1"/>
  <c r="AO418" i="63" s="1"/>
  <c r="AC3" i="63"/>
  <c r="AA3" i="63"/>
  <c r="AR4" i="63"/>
  <c r="AT3" i="63"/>
  <c r="AU5" i="63"/>
  <c r="AU3" i="63"/>
  <c r="AS3" i="63"/>
  <c r="AT5" i="63"/>
  <c r="AU4" i="63"/>
  <c r="AT4" i="63"/>
  <c r="AS4" i="63"/>
  <c r="AR3" i="63"/>
  <c r="AR5" i="63"/>
  <c r="AS5" i="63"/>
  <c r="AI9" i="63"/>
  <c r="W474" i="63" l="1"/>
  <c r="O475" i="63"/>
  <c r="AT474" i="63"/>
  <c r="N475" i="63"/>
  <c r="AU474" i="63"/>
  <c r="AO474" i="63"/>
  <c r="AV474" i="63"/>
  <c r="F15" i="1"/>
  <c r="F49" i="1" s="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14" i="64" s="1"/>
  <c r="BL2" i="64" s="1"/>
  <c r="AO48" i="63"/>
  <c r="Y15" i="63"/>
  <c r="AL15" i="63" s="1"/>
  <c r="AO59" i="63"/>
  <c r="AO68" i="63"/>
  <c r="AO51" i="63"/>
  <c r="B10" i="64"/>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B80" i="64"/>
  <c r="BM2" i="64" s="1"/>
  <c r="Q475" i="63" l="1"/>
  <c r="V475" i="63" s="1"/>
  <c r="M475" i="63"/>
  <c r="L475" i="63" s="1"/>
  <c r="AP475" i="63"/>
  <c r="AN475" i="63"/>
  <c r="AS475" i="63" s="1"/>
  <c r="P475" i="63"/>
  <c r="U475" i="63" s="1"/>
  <c r="B13" i="64"/>
  <c r="AW2" i="64" s="1"/>
  <c r="Y16" i="63"/>
  <c r="AL16" i="63" s="1"/>
  <c r="AJ15" i="63"/>
  <c r="CB2" i="64"/>
  <c r="B12" i="64"/>
  <c r="AQ2" i="64" s="1"/>
  <c r="B16" i="64"/>
  <c r="AX2" i="64" s="1"/>
  <c r="R63" i="63"/>
  <c r="W475" i="63" l="1"/>
  <c r="Z475" i="63"/>
  <c r="AM475" i="63"/>
  <c r="Y17" i="63"/>
  <c r="AL17" i="63" s="1"/>
  <c r="AJ16" i="63"/>
  <c r="AV2" i="64"/>
  <c r="R64" i="63"/>
  <c r="T63" i="63"/>
  <c r="O476" i="63" l="1"/>
  <c r="N476" i="63"/>
  <c r="AV475" i="63"/>
  <c r="AU475" i="63"/>
  <c r="AO475" i="63"/>
  <c r="AT475" i="63"/>
  <c r="Y18" i="63"/>
  <c r="AL18" i="63" s="1"/>
  <c r="AJ17" i="63"/>
  <c r="T64" i="63"/>
  <c r="R65" i="63"/>
  <c r="Q476" i="63" l="1"/>
  <c r="V476" i="63" s="1"/>
  <c r="M476" i="63"/>
  <c r="L476" i="63" s="1"/>
  <c r="AN476" i="63"/>
  <c r="AS476" i="63" s="1"/>
  <c r="AP476" i="63"/>
  <c r="P476" i="63"/>
  <c r="U476" i="63" s="1"/>
  <c r="Y19" i="63"/>
  <c r="AL19" i="63" s="1"/>
  <c r="AJ18" i="63"/>
  <c r="R66" i="63"/>
  <c r="T65" i="63"/>
  <c r="AM476" i="63" l="1"/>
  <c r="Z476" i="63"/>
  <c r="W476" i="63"/>
  <c r="AJ19" i="63"/>
  <c r="Y20" i="63"/>
  <c r="AL20" i="63" s="1"/>
  <c r="T66" i="63"/>
  <c r="R67" i="63"/>
  <c r="AU476" i="63" l="1"/>
  <c r="O477" i="63"/>
  <c r="N477" i="63"/>
  <c r="AT476" i="63"/>
  <c r="AO476" i="63"/>
  <c r="AV476" i="63"/>
  <c r="AJ20" i="63"/>
  <c r="Y21" i="63"/>
  <c r="AL21" i="63" s="1"/>
  <c r="T67" i="63"/>
  <c r="R68" i="63"/>
  <c r="AN477" i="63" l="1"/>
  <c r="AS477" i="63" s="1"/>
  <c r="AP477" i="63"/>
  <c r="Q477" i="63"/>
  <c r="V477" i="63" s="1"/>
  <c r="M477" i="63"/>
  <c r="L477" i="63" s="1"/>
  <c r="Y22" i="63"/>
  <c r="AL22" i="63" s="1"/>
  <c r="AJ21" i="63"/>
  <c r="T68" i="63"/>
  <c r="R69" i="63"/>
  <c r="Z477" i="63" l="1"/>
  <c r="AM477" i="63"/>
  <c r="P477" i="63"/>
  <c r="Y23" i="63"/>
  <c r="AL23" i="63" s="1"/>
  <c r="AJ22" i="63"/>
  <c r="T69" i="63"/>
  <c r="R70" i="63"/>
  <c r="U477" i="63" l="1"/>
  <c r="W477" i="63"/>
  <c r="Y24" i="63"/>
  <c r="AL24" i="63" s="1"/>
  <c r="AJ23" i="63"/>
  <c r="R71" i="63"/>
  <c r="T70" i="63"/>
  <c r="O478" i="63" l="1"/>
  <c r="N478" i="63"/>
  <c r="AU477" i="63"/>
  <c r="AT477" i="63"/>
  <c r="AO477" i="63"/>
  <c r="AV477" i="63"/>
  <c r="Y25" i="63"/>
  <c r="AL25" i="63" s="1"/>
  <c r="AJ24" i="63"/>
  <c r="R72" i="63"/>
  <c r="T71" i="63"/>
  <c r="Q478" i="63" l="1"/>
  <c r="V478" i="63" s="1"/>
  <c r="M478" i="63"/>
  <c r="L478" i="63" s="1"/>
  <c r="AN478" i="63"/>
  <c r="AS478" i="63" s="1"/>
  <c r="AP478" i="63"/>
  <c r="P478" i="63"/>
  <c r="U478" i="63" s="1"/>
  <c r="Y26" i="63"/>
  <c r="AL26" i="63" s="1"/>
  <c r="AJ25" i="63"/>
  <c r="T72" i="63"/>
  <c r="R73" i="63"/>
  <c r="Z478" i="63" l="1"/>
  <c r="AM478" i="63"/>
  <c r="W478" i="63"/>
  <c r="Y27" i="63"/>
  <c r="AL27" i="63" s="1"/>
  <c r="AJ26" i="63"/>
  <c r="R74" i="63"/>
  <c r="T73" i="63"/>
  <c r="AO478" i="63" l="1"/>
  <c r="AV478" i="63"/>
  <c r="N479" i="63"/>
  <c r="AT478" i="63"/>
  <c r="AU478" i="63"/>
  <c r="O479" i="63"/>
  <c r="Y28" i="63"/>
  <c r="AL28" i="63" s="1"/>
  <c r="AJ27" i="63"/>
  <c r="R75" i="63"/>
  <c r="T74" i="63"/>
  <c r="AN479" i="63" l="1"/>
  <c r="AS479" i="63" s="1"/>
  <c r="AP479" i="63"/>
  <c r="M479" i="63"/>
  <c r="L479" i="63" s="1"/>
  <c r="Q479" i="63"/>
  <c r="V479" i="63" s="1"/>
  <c r="Y29" i="63"/>
  <c r="AL29" i="63" s="1"/>
  <c r="AJ28" i="63"/>
  <c r="R76" i="63"/>
  <c r="T75" i="63"/>
  <c r="P479" i="63" l="1"/>
  <c r="AM479" i="63"/>
  <c r="Z479" i="63"/>
  <c r="Y30" i="63"/>
  <c r="AL30" i="63" s="1"/>
  <c r="AJ29" i="63"/>
  <c r="T76" i="63"/>
  <c r="R77" i="63"/>
  <c r="U479" i="63" l="1"/>
  <c r="W479" i="63"/>
  <c r="Y31" i="63"/>
  <c r="AL31" i="63" s="1"/>
  <c r="AJ30" i="63"/>
  <c r="R78" i="63"/>
  <c r="T77" i="63"/>
  <c r="AT479" i="63" l="1"/>
  <c r="AO479" i="63"/>
  <c r="O480" i="63"/>
  <c r="AV479" i="63"/>
  <c r="AU479" i="63"/>
  <c r="N480" i="63"/>
  <c r="Y32" i="63"/>
  <c r="AL32" i="63" s="1"/>
  <c r="AJ31" i="63"/>
  <c r="R79" i="63"/>
  <c r="T78" i="63"/>
  <c r="Q480" i="63" l="1"/>
  <c r="V480" i="63" s="1"/>
  <c r="M480" i="63"/>
  <c r="L480" i="63" s="1"/>
  <c r="AN480" i="63"/>
  <c r="AS480" i="63" s="1"/>
  <c r="AP480" i="63"/>
  <c r="Y33" i="63"/>
  <c r="AL33" i="63" s="1"/>
  <c r="AJ32" i="63"/>
  <c r="R80" i="63"/>
  <c r="T79" i="63"/>
  <c r="P480" i="63" l="1"/>
  <c r="U480" i="63" s="1"/>
  <c r="Z480" i="63"/>
  <c r="AM480" i="63"/>
  <c r="W480" i="63"/>
  <c r="Y34" i="63"/>
  <c r="AL34" i="63" s="1"/>
  <c r="AJ33" i="63"/>
  <c r="T80" i="63"/>
  <c r="R81" i="63"/>
  <c r="N481" i="63" l="1"/>
  <c r="AT480" i="63"/>
  <c r="AU480" i="63"/>
  <c r="AO480" i="63"/>
  <c r="O481" i="63"/>
  <c r="AV480" i="63"/>
  <c r="Y35" i="63"/>
  <c r="AL35" i="63" s="1"/>
  <c r="AJ34" i="63"/>
  <c r="R82" i="63"/>
  <c r="T81" i="63"/>
  <c r="AN481" i="63" l="1"/>
  <c r="AS481" i="63" s="1"/>
  <c r="AP481" i="63"/>
  <c r="M481" i="63"/>
  <c r="L481" i="63" s="1"/>
  <c r="Q481" i="63"/>
  <c r="V481" i="63" s="1"/>
  <c r="Y36" i="63"/>
  <c r="AL36" i="63" s="1"/>
  <c r="AJ35" i="63"/>
  <c r="R83" i="63"/>
  <c r="T82" i="63"/>
  <c r="Z481" i="63" l="1"/>
  <c r="AM481" i="63"/>
  <c r="P481" i="63"/>
  <c r="Y37" i="63"/>
  <c r="AL37" i="63" s="1"/>
  <c r="AJ36" i="63"/>
  <c r="R84" i="63"/>
  <c r="T83" i="63"/>
  <c r="U481" i="63" l="1"/>
  <c r="W481" i="63"/>
  <c r="Y38" i="63"/>
  <c r="AL38" i="63" s="1"/>
  <c r="AJ37" i="63"/>
  <c r="T84" i="63"/>
  <c r="R85" i="63"/>
  <c r="AV481" i="63" l="1"/>
  <c r="AU481" i="63"/>
  <c r="N482" i="63"/>
  <c r="AO481" i="63"/>
  <c r="O482" i="63"/>
  <c r="AT481" i="63"/>
  <c r="AJ9" i="63"/>
  <c r="Y39" i="63"/>
  <c r="AL39" i="63" s="1"/>
  <c r="AJ38" i="63"/>
  <c r="R86" i="63"/>
  <c r="T85" i="63"/>
  <c r="AN482" i="63" l="1"/>
  <c r="AS482" i="63" s="1"/>
  <c r="AP482" i="63"/>
  <c r="M482" i="63"/>
  <c r="L482" i="63" s="1"/>
  <c r="Q482" i="63"/>
  <c r="V482" i="63" s="1"/>
  <c r="Y40" i="63"/>
  <c r="AL40" i="63" s="1"/>
  <c r="AJ39" i="63"/>
  <c r="R87" i="63"/>
  <c r="T86" i="63"/>
  <c r="Z482" i="63" l="1"/>
  <c r="AM482" i="63"/>
  <c r="P482" i="63"/>
  <c r="Y41" i="63"/>
  <c r="AL41" i="63" s="1"/>
  <c r="AJ40" i="63"/>
  <c r="R88" i="63"/>
  <c r="T87" i="63"/>
  <c r="U482" i="63" l="1"/>
  <c r="W482" i="63"/>
  <c r="AJ41" i="63"/>
  <c r="Y42" i="63"/>
  <c r="AL42" i="63" s="1"/>
  <c r="T88" i="63"/>
  <c r="R89" i="63"/>
  <c r="AT482" i="63" l="1"/>
  <c r="AV482" i="63"/>
  <c r="N483" i="63"/>
  <c r="AO482" i="63"/>
  <c r="O483" i="63"/>
  <c r="AU482" i="63"/>
  <c r="Y43" i="63"/>
  <c r="AL43" i="63" s="1"/>
  <c r="AJ42" i="63"/>
  <c r="R90" i="63"/>
  <c r="T89" i="63"/>
  <c r="AN483" i="63" l="1"/>
  <c r="AS483" i="63" s="1"/>
  <c r="AP483" i="63"/>
  <c r="M483" i="63"/>
  <c r="L483" i="63" s="1"/>
  <c r="Q483" i="63"/>
  <c r="V483" i="63" s="1"/>
  <c r="Y44" i="63"/>
  <c r="AL44" i="63" s="1"/>
  <c r="AJ43" i="63"/>
  <c r="R91" i="63"/>
  <c r="T90" i="63"/>
  <c r="AM483" i="63" l="1"/>
  <c r="Z483" i="63"/>
  <c r="P483" i="63"/>
  <c r="Y45" i="63"/>
  <c r="AL45" i="63" s="1"/>
  <c r="AJ44" i="63"/>
  <c r="R92" i="63"/>
  <c r="T91" i="63"/>
  <c r="U483" i="63" l="1"/>
  <c r="W483" i="63"/>
  <c r="Y46" i="63"/>
  <c r="AL46" i="63" s="1"/>
  <c r="AJ45" i="63"/>
  <c r="T92" i="63"/>
  <c r="R93" i="63"/>
  <c r="O484" i="63" l="1"/>
  <c r="N484" i="63"/>
  <c r="AO483" i="63"/>
  <c r="AT483" i="63"/>
  <c r="AV483" i="63"/>
  <c r="AU483" i="63"/>
  <c r="Y47" i="63"/>
  <c r="AL47" i="63" s="1"/>
  <c r="AJ46" i="63"/>
  <c r="R94" i="63"/>
  <c r="T93" i="63"/>
  <c r="Q484" i="63" l="1"/>
  <c r="V484" i="63" s="1"/>
  <c r="M484" i="63"/>
  <c r="L484" i="63" s="1"/>
  <c r="AN484" i="63"/>
  <c r="AS484" i="63" s="1"/>
  <c r="AP484" i="63"/>
  <c r="P484" i="63"/>
  <c r="U484" i="63" s="1"/>
  <c r="Y48" i="63"/>
  <c r="AL48" i="63" s="1"/>
  <c r="AJ47" i="63"/>
  <c r="R95" i="63"/>
  <c r="T94" i="63"/>
  <c r="AM484" i="63" l="1"/>
  <c r="Z484" i="63"/>
  <c r="W484" i="63"/>
  <c r="Y49" i="63"/>
  <c r="AL49" i="63" s="1"/>
  <c r="AJ48" i="63"/>
  <c r="R96" i="63"/>
  <c r="T95" i="63"/>
  <c r="AU484" i="63" l="1"/>
  <c r="O485" i="63"/>
  <c r="AO484" i="63"/>
  <c r="N485" i="63"/>
  <c r="AV484" i="63"/>
  <c r="AT484" i="63"/>
  <c r="Y50" i="63"/>
  <c r="AL50" i="63" s="1"/>
  <c r="AJ49" i="63"/>
  <c r="T96" i="63"/>
  <c r="R97" i="63"/>
  <c r="AN485" i="63" l="1"/>
  <c r="AS485" i="63" s="1"/>
  <c r="AP485" i="63"/>
  <c r="M485" i="63"/>
  <c r="L485" i="63" s="1"/>
  <c r="Q485" i="63"/>
  <c r="V485" i="63" s="1"/>
  <c r="Y51" i="63"/>
  <c r="AL51" i="63" s="1"/>
  <c r="AJ50" i="63"/>
  <c r="R98" i="63"/>
  <c r="T97" i="63"/>
  <c r="AM485" i="63" l="1"/>
  <c r="Z485" i="63"/>
  <c r="P485" i="63"/>
  <c r="AJ51" i="63"/>
  <c r="Y52" i="63"/>
  <c r="AL52" i="63" s="1"/>
  <c r="R99" i="63"/>
  <c r="T98" i="63"/>
  <c r="U485" i="63" l="1"/>
  <c r="W485" i="63"/>
  <c r="Y53" i="63"/>
  <c r="AL53" i="63" s="1"/>
  <c r="AJ52" i="63"/>
  <c r="R100" i="63"/>
  <c r="T99" i="63"/>
  <c r="AU485" i="63" l="1"/>
  <c r="N486" i="63"/>
  <c r="AO485" i="63"/>
  <c r="AV485" i="63"/>
  <c r="AT485" i="63"/>
  <c r="O486" i="63"/>
  <c r="Y54" i="63"/>
  <c r="AL54" i="63" s="1"/>
  <c r="AJ53" i="63"/>
  <c r="T100" i="63"/>
  <c r="R101" i="63"/>
  <c r="M486" i="63" l="1"/>
  <c r="L486" i="63" s="1"/>
  <c r="Q486" i="63"/>
  <c r="V486" i="63" s="1"/>
  <c r="AN486" i="63"/>
  <c r="AS486" i="63" s="1"/>
  <c r="AP486" i="63"/>
  <c r="Y55" i="63"/>
  <c r="AL55" i="63" s="1"/>
  <c r="AJ54" i="63"/>
  <c r="R102" i="63"/>
  <c r="T101" i="63"/>
  <c r="P486" i="63" l="1"/>
  <c r="U486" i="63" s="1"/>
  <c r="AM486" i="63"/>
  <c r="Z486" i="63"/>
  <c r="Y56" i="63"/>
  <c r="AL56" i="63" s="1"/>
  <c r="AJ55" i="63"/>
  <c r="R103" i="63"/>
  <c r="T102" i="63"/>
  <c r="W486" i="63" l="1"/>
  <c r="AV486" i="63" s="1"/>
  <c r="AO486" i="63"/>
  <c r="N487" i="63"/>
  <c r="AT486" i="63"/>
  <c r="Y57" i="63"/>
  <c r="AL57" i="63" s="1"/>
  <c r="AJ56" i="63"/>
  <c r="R104" i="63"/>
  <c r="T103" i="63"/>
  <c r="O487" i="63" l="1"/>
  <c r="AU486" i="63"/>
  <c r="AN487" i="63"/>
  <c r="AS487" i="63" s="1"/>
  <c r="AP487" i="63"/>
  <c r="Q487" i="63"/>
  <c r="V487" i="63" s="1"/>
  <c r="M487" i="63"/>
  <c r="L487" i="63" s="1"/>
  <c r="Y58" i="63"/>
  <c r="AL58" i="63" s="1"/>
  <c r="AJ57" i="63"/>
  <c r="T104" i="63"/>
  <c r="R105" i="63"/>
  <c r="AM487" i="63" l="1"/>
  <c r="Z487" i="63"/>
  <c r="P487" i="63"/>
  <c r="AJ58" i="63"/>
  <c r="Y59" i="63"/>
  <c r="AA59" i="63"/>
  <c r="AP59" i="63" s="1"/>
  <c r="R106" i="63"/>
  <c r="T105" i="63"/>
  <c r="U487" i="63" l="1"/>
  <c r="W487"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AO487" i="63" l="1"/>
  <c r="O488" i="63"/>
  <c r="AU487" i="63"/>
  <c r="N488" i="63"/>
  <c r="AT487" i="63"/>
  <c r="AV487" i="63"/>
  <c r="AB59" i="63"/>
  <c r="AD492" i="63"/>
  <c r="R108" i="63"/>
  <c r="T107" i="63"/>
  <c r="AN488" i="63" l="1"/>
  <c r="AS488" i="63" s="1"/>
  <c r="AP488" i="63"/>
  <c r="Q488" i="63"/>
  <c r="V488" i="63" s="1"/>
  <c r="M488" i="63"/>
  <c r="L488" i="63" s="1"/>
  <c r="AD493" i="63"/>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AM488" i="63" l="1"/>
  <c r="Z488" i="63"/>
  <c r="P488" i="63"/>
  <c r="AF59" i="63"/>
  <c r="Y60" i="63"/>
  <c r="AA60" i="63"/>
  <c r="AP60" i="63" s="1"/>
  <c r="AJ59" i="63"/>
  <c r="AK59" i="63" s="1"/>
  <c r="AE492" i="63"/>
  <c r="AF491" i="63"/>
  <c r="AD494" i="63"/>
  <c r="R110" i="63"/>
  <c r="T109" i="63"/>
  <c r="U488" i="63" l="1"/>
  <c r="W488" i="63"/>
  <c r="AE493" i="63"/>
  <c r="AF492" i="63"/>
  <c r="AD495" i="63"/>
  <c r="AI60" i="63"/>
  <c r="AC60" i="63"/>
  <c r="AH60" i="63" s="1"/>
  <c r="R111" i="63"/>
  <c r="T110" i="63"/>
  <c r="N489" i="63" l="1"/>
  <c r="AO488" i="63"/>
  <c r="O489" i="63"/>
  <c r="AV488" i="63"/>
  <c r="AU488" i="63"/>
  <c r="AT488" i="63"/>
  <c r="AB60" i="63"/>
  <c r="AD496" i="63"/>
  <c r="AE494" i="63"/>
  <c r="AF493" i="63"/>
  <c r="R112" i="63"/>
  <c r="T111" i="63"/>
  <c r="AN489" i="63" l="1"/>
  <c r="AS489" i="63" s="1"/>
  <c r="AP489" i="63"/>
  <c r="Q489" i="63"/>
  <c r="V489" i="63" s="1"/>
  <c r="M489" i="63"/>
  <c r="L489" i="63" s="1"/>
  <c r="AE495" i="63"/>
  <c r="AF494" i="63"/>
  <c r="AD497" i="63"/>
  <c r="AF60" i="63"/>
  <c r="AG60" i="63"/>
  <c r="AL60" i="63"/>
  <c r="T112" i="63"/>
  <c r="R113" i="63"/>
  <c r="AM489" i="63" l="1"/>
  <c r="Z489" i="63"/>
  <c r="P489" i="63"/>
  <c r="AJ60" i="63"/>
  <c r="AK60" i="63" s="1"/>
  <c r="Y61" i="63"/>
  <c r="AA61" i="63"/>
  <c r="AP61" i="63" s="1"/>
  <c r="AD498" i="63"/>
  <c r="AE496" i="63"/>
  <c r="AF495" i="63"/>
  <c r="R114" i="63"/>
  <c r="T113" i="63"/>
  <c r="U489" i="63" l="1"/>
  <c r="W489" i="63"/>
  <c r="AE497" i="63"/>
  <c r="AF496" i="63"/>
  <c r="AD499" i="63"/>
  <c r="AI61" i="63"/>
  <c r="AC61" i="63"/>
  <c r="AH61" i="63" s="1"/>
  <c r="R115" i="63"/>
  <c r="T114" i="63"/>
  <c r="AU489" i="63" l="1"/>
  <c r="AO489" i="63"/>
  <c r="O490" i="63"/>
  <c r="N490" i="63"/>
  <c r="AT489" i="63"/>
  <c r="AV489" i="63"/>
  <c r="AB61" i="63"/>
  <c r="AD500" i="63"/>
  <c r="AE498" i="63"/>
  <c r="AF497" i="63"/>
  <c r="R116" i="63"/>
  <c r="T115" i="63"/>
  <c r="Q490" i="63" l="1"/>
  <c r="V490" i="63" s="1"/>
  <c r="M490" i="63"/>
  <c r="L490" i="63" s="1"/>
  <c r="AN490" i="63"/>
  <c r="AS490" i="63" s="1"/>
  <c r="AP490" i="63"/>
  <c r="P490" i="63"/>
  <c r="U490" i="63" s="1"/>
  <c r="AE499" i="63"/>
  <c r="AF498" i="63"/>
  <c r="AD501" i="63"/>
  <c r="AF61" i="63"/>
  <c r="AG61" i="63"/>
  <c r="AL61" i="63"/>
  <c r="T116" i="63"/>
  <c r="R117" i="63"/>
  <c r="AM490" i="63" l="1"/>
  <c r="Z490" i="63"/>
  <c r="W490" i="63"/>
  <c r="AJ61" i="63"/>
  <c r="AK61" i="63" s="1"/>
  <c r="AA62" i="63"/>
  <c r="AP62" i="63" s="1"/>
  <c r="Y62" i="63"/>
  <c r="AD502" i="63"/>
  <c r="AE500" i="63"/>
  <c r="AF499" i="63"/>
  <c r="R118" i="63"/>
  <c r="T117" i="63"/>
  <c r="AO490" i="63" l="1"/>
  <c r="AT490" i="63"/>
  <c r="AV490" i="63"/>
  <c r="AU490" i="63"/>
  <c r="AE501" i="63"/>
  <c r="AF500" i="63"/>
  <c r="AD503" i="63"/>
  <c r="AC62" i="63"/>
  <c r="AH62" i="63" s="1"/>
  <c r="AI62" i="63"/>
  <c r="R119" i="63"/>
  <c r="T118" i="63"/>
  <c r="AB62" i="63" l="1"/>
  <c r="AD504" i="63"/>
  <c r="AE502" i="63"/>
  <c r="AF501" i="63"/>
  <c r="R120" i="63"/>
  <c r="T119" i="63"/>
  <c r="AE503" i="63" l="1"/>
  <c r="AF502" i="63"/>
  <c r="AD505" i="63"/>
  <c r="AG62" i="63"/>
  <c r="AF62" i="63"/>
  <c r="AL62" i="63"/>
  <c r="T120" i="63"/>
  <c r="R121" i="63"/>
  <c r="AJ62" i="63" l="1"/>
  <c r="AK62" i="63" s="1"/>
  <c r="Y63" i="63"/>
  <c r="AA63" i="63"/>
  <c r="AP63" i="63" s="1"/>
  <c r="AD506" i="63"/>
  <c r="AE504" i="63"/>
  <c r="AF503" i="63"/>
  <c r="R122" i="63"/>
  <c r="T121" i="63"/>
  <c r="AE505" i="63" l="1"/>
  <c r="AF504" i="63"/>
  <c r="AD507" i="63"/>
  <c r="AI63" i="63"/>
  <c r="AC63" i="63"/>
  <c r="AH63" i="63" s="1"/>
  <c r="R123" i="63"/>
  <c r="T122" i="63"/>
  <c r="AB63" i="63" l="1"/>
  <c r="AD508" i="63"/>
  <c r="AE506" i="63"/>
  <c r="AF505" i="63"/>
  <c r="R124" i="63"/>
  <c r="T123" i="63"/>
  <c r="AE507" i="63" l="1"/>
  <c r="AF506" i="63"/>
  <c r="AD509" i="63"/>
  <c r="AF63" i="63"/>
  <c r="AG63" i="63"/>
  <c r="AL63" i="63"/>
  <c r="T124" i="63"/>
  <c r="R125" i="63"/>
  <c r="Y64" i="63" l="1"/>
  <c r="AA64" i="63"/>
  <c r="AP64" i="63" s="1"/>
  <c r="AJ63" i="63"/>
  <c r="AK63" i="63" s="1"/>
  <c r="AD510" i="63"/>
  <c r="AE508" i="63"/>
  <c r="AF507" i="63"/>
  <c r="R126" i="63"/>
  <c r="T125" i="63"/>
  <c r="AE509" i="63" l="1"/>
  <c r="AF508" i="63"/>
  <c r="AD511" i="63"/>
  <c r="AI64" i="63"/>
  <c r="AC64" i="63"/>
  <c r="AH64" i="63" s="1"/>
  <c r="R127" i="63"/>
  <c r="T126" i="63"/>
  <c r="AB64" i="63" l="1"/>
  <c r="AD512" i="63"/>
  <c r="AE510" i="63"/>
  <c r="AF509" i="63"/>
  <c r="R128" i="63"/>
  <c r="T127" i="63"/>
  <c r="AE511" i="63" l="1"/>
  <c r="AF510" i="63"/>
  <c r="AD513" i="63"/>
  <c r="AG64" i="63"/>
  <c r="AF64" i="63"/>
  <c r="AL64" i="63"/>
  <c r="T128" i="63"/>
  <c r="R129" i="63"/>
  <c r="AJ64" i="63" l="1"/>
  <c r="AK64" i="63" s="1"/>
  <c r="Y65" i="63"/>
  <c r="AA65" i="63"/>
  <c r="AP65" i="63" s="1"/>
  <c r="AD514" i="63"/>
  <c r="AE512" i="63"/>
  <c r="AF511" i="63"/>
  <c r="R130" i="63"/>
  <c r="T129" i="63"/>
  <c r="AD515" i="63" l="1"/>
  <c r="AI65" i="63"/>
  <c r="AC65" i="63"/>
  <c r="AH65" i="63" s="1"/>
  <c r="AE513" i="63"/>
  <c r="AF512" i="63"/>
  <c r="R131" i="63"/>
  <c r="T130" i="63"/>
  <c r="AE514" i="63" l="1"/>
  <c r="AF513" i="63"/>
  <c r="AB65" i="63"/>
  <c r="AD516" i="63"/>
  <c r="R132" i="63"/>
  <c r="T131" i="63"/>
  <c r="AD517" i="63" l="1"/>
  <c r="AF65" i="63"/>
  <c r="AG65" i="63"/>
  <c r="AL65" i="63"/>
  <c r="AE515" i="63"/>
  <c r="AF514" i="63"/>
  <c r="T132" i="63"/>
  <c r="R133" i="63"/>
  <c r="AJ65" i="63" l="1"/>
  <c r="AK65" i="63" s="1"/>
  <c r="Y66" i="63"/>
  <c r="AA66" i="63"/>
  <c r="AP66" i="63" s="1"/>
  <c r="AE516" i="63"/>
  <c r="AF515" i="63"/>
  <c r="AD518" i="63"/>
  <c r="R134" i="63"/>
  <c r="T133" i="63"/>
  <c r="AD519" i="63" l="1"/>
  <c r="AE517" i="63"/>
  <c r="AF516" i="63"/>
  <c r="AC66" i="63"/>
  <c r="AH66" i="63" s="1"/>
  <c r="AI66" i="63"/>
  <c r="R135" i="63"/>
  <c r="T134" i="63"/>
  <c r="AB66" i="63" l="1"/>
  <c r="AE518" i="63"/>
  <c r="AF517" i="63"/>
  <c r="AD520" i="63"/>
  <c r="R136" i="63"/>
  <c r="T135" i="63"/>
  <c r="AD521" i="63" l="1"/>
  <c r="AE519" i="63"/>
  <c r="AF518" i="63"/>
  <c r="AF66" i="63"/>
  <c r="AG66" i="63"/>
  <c r="AL66" i="63"/>
  <c r="T136" i="63"/>
  <c r="R137" i="63"/>
  <c r="AJ66" i="63" l="1"/>
  <c r="AK66" i="63" s="1"/>
  <c r="AA67" i="63"/>
  <c r="AP67" i="63" s="1"/>
  <c r="Y67" i="63"/>
  <c r="AE520" i="63"/>
  <c r="AF519" i="63"/>
  <c r="AD522" i="63"/>
  <c r="R138" i="63"/>
  <c r="T137" i="63"/>
  <c r="AI67" i="63" l="1"/>
  <c r="AD523" i="63"/>
  <c r="AE521" i="63"/>
  <c r="AF520" i="63"/>
  <c r="AC67" i="63"/>
  <c r="AH67" i="63" s="1"/>
  <c r="R139" i="63"/>
  <c r="T138" i="63"/>
  <c r="AE522" i="63" l="1"/>
  <c r="AF521" i="63"/>
  <c r="AB67" i="63"/>
  <c r="AD524" i="63"/>
  <c r="R140" i="63"/>
  <c r="T139" i="63"/>
  <c r="AD525" i="63" l="1"/>
  <c r="AF67" i="63"/>
  <c r="AG67" i="63"/>
  <c r="AL67" i="63"/>
  <c r="AE523" i="63"/>
  <c r="AF522" i="63"/>
  <c r="T140" i="63"/>
  <c r="R141" i="63"/>
  <c r="AE524" i="63" l="1"/>
  <c r="AF523" i="63"/>
  <c r="AJ67" i="63"/>
  <c r="AK67" i="63" s="1"/>
  <c r="Y68" i="63"/>
  <c r="AA68" i="63"/>
  <c r="AP68" i="63" s="1"/>
  <c r="AD526" i="63"/>
  <c r="R142" i="63"/>
  <c r="T141" i="63"/>
  <c r="AD527" i="63" l="1"/>
  <c r="AC68" i="63"/>
  <c r="AH68" i="63" s="1"/>
  <c r="AI68" i="63"/>
  <c r="AE525" i="63"/>
  <c r="AF524" i="63"/>
  <c r="R143" i="63"/>
  <c r="T142" i="63"/>
  <c r="AB68" i="63" l="1"/>
  <c r="AG68" i="63" s="1"/>
  <c r="AE526" i="63"/>
  <c r="AF525" i="63"/>
  <c r="AD528" i="63"/>
  <c r="R144" i="63"/>
  <c r="T143" i="63"/>
  <c r="AF68" i="63" l="1"/>
  <c r="AL68" i="63"/>
  <c r="AA69" i="63" s="1"/>
  <c r="AP69" i="63" s="1"/>
  <c r="AD529" i="63"/>
  <c r="AE527" i="63"/>
  <c r="AF526" i="63"/>
  <c r="T144" i="63"/>
  <c r="R145" i="63"/>
  <c r="Y69" i="63" l="1"/>
  <c r="AC69" i="63" s="1"/>
  <c r="AH69" i="63" s="1"/>
  <c r="AJ68" i="63"/>
  <c r="AK68" i="63" s="1"/>
  <c r="AE528" i="63"/>
  <c r="AF527" i="63"/>
  <c r="AD530" i="63"/>
  <c r="AI69" i="63"/>
  <c r="R146" i="63"/>
  <c r="T145" i="63"/>
  <c r="AB69" i="63" l="1"/>
  <c r="AD531" i="63"/>
  <c r="AE529" i="63"/>
  <c r="AF528" i="63"/>
  <c r="R147" i="63"/>
  <c r="T146" i="63"/>
  <c r="AE530" i="63" l="1"/>
  <c r="AF529" i="63"/>
  <c r="AD532" i="63"/>
  <c r="AG69" i="63"/>
  <c r="AF69" i="63"/>
  <c r="AL69" i="63"/>
  <c r="R148" i="63"/>
  <c r="T147" i="63"/>
  <c r="AJ69" i="63" l="1"/>
  <c r="AK69" i="63" s="1"/>
  <c r="AA70" i="63"/>
  <c r="AP70" i="63" s="1"/>
  <c r="Y70" i="63"/>
  <c r="AD533" i="63"/>
  <c r="AE531" i="63"/>
  <c r="AF530" i="63"/>
  <c r="T148" i="63"/>
  <c r="R149" i="63"/>
  <c r="AE532" i="63" l="1"/>
  <c r="AF531" i="63"/>
  <c r="AI70" i="63"/>
  <c r="AD534" i="63"/>
  <c r="AC70" i="63"/>
  <c r="AH70" i="63" s="1"/>
  <c r="R150" i="63"/>
  <c r="T149" i="63"/>
  <c r="AD535" i="63" l="1"/>
  <c r="AB70" i="63"/>
  <c r="AE533" i="63"/>
  <c r="AF532" i="63"/>
  <c r="R151" i="63"/>
  <c r="T150" i="63"/>
  <c r="AF70" i="63" l="1"/>
  <c r="AG70" i="63"/>
  <c r="AL70" i="63"/>
  <c r="AE534" i="63"/>
  <c r="AF533" i="63"/>
  <c r="AD536" i="63"/>
  <c r="R152" i="63"/>
  <c r="T151" i="63"/>
  <c r="AD537" i="63" l="1"/>
  <c r="AE535" i="63"/>
  <c r="AF534" i="63"/>
  <c r="AA71" i="63"/>
  <c r="AP71" i="63" s="1"/>
  <c r="AJ7" i="63" s="1"/>
  <c r="AJ70" i="63"/>
  <c r="AK70" i="63" s="1"/>
  <c r="Y71" i="63"/>
  <c r="AC71" i="63" s="1"/>
  <c r="AH71" i="63" s="1"/>
  <c r="T152" i="63"/>
  <c r="R153" i="63"/>
  <c r="AJ8" i="63" l="1"/>
  <c r="I9" i="1"/>
  <c r="H10" i="1" s="1"/>
  <c r="I49" i="1" s="1"/>
  <c r="AI71" i="63"/>
  <c r="AB71" i="63"/>
  <c r="AE536" i="63"/>
  <c r="AF535" i="63"/>
  <c r="AD538" i="63"/>
  <c r="R154" i="63"/>
  <c r="T153" i="63"/>
  <c r="I50" i="1" l="1"/>
  <c r="I52" i="1" s="1"/>
  <c r="E49" i="19"/>
  <c r="AD539" i="63"/>
  <c r="AE537" i="63"/>
  <c r="AF536" i="63"/>
  <c r="AL71" i="63"/>
  <c r="AF71" i="63"/>
  <c r="AG71" i="63"/>
  <c r="R155" i="63"/>
  <c r="T154" i="63"/>
  <c r="Y72" i="63" l="1"/>
  <c r="AJ71" i="63"/>
  <c r="AK71" i="63" s="1"/>
  <c r="AA72" i="63"/>
  <c r="AP72" i="63" s="1"/>
  <c r="AE538" i="63"/>
  <c r="AF537" i="63"/>
  <c r="AD540" i="63"/>
  <c r="R156" i="63"/>
  <c r="T155" i="63"/>
  <c r="AE539" i="63" l="1"/>
  <c r="AF538" i="63"/>
  <c r="AD541" i="63"/>
  <c r="AI72" i="63"/>
  <c r="AC72" i="63"/>
  <c r="AH72" i="63" s="1"/>
  <c r="T156" i="63"/>
  <c r="R157" i="63"/>
  <c r="AB72" i="63" l="1"/>
  <c r="AD542" i="63"/>
  <c r="AE540" i="63"/>
  <c r="AF539" i="63"/>
  <c r="R158" i="63"/>
  <c r="T157" i="63"/>
  <c r="AE541" i="63" l="1"/>
  <c r="AF540" i="63"/>
  <c r="AD543" i="63"/>
  <c r="AF72" i="63"/>
  <c r="AG72" i="63"/>
  <c r="AL72" i="63"/>
  <c r="R159" i="63"/>
  <c r="T158" i="63"/>
  <c r="AJ72" i="63" l="1"/>
  <c r="AK72" i="63" s="1"/>
  <c r="Y73" i="63"/>
  <c r="AA73" i="63"/>
  <c r="AP73" i="63" s="1"/>
  <c r="AE542" i="63"/>
  <c r="AF541" i="63"/>
  <c r="R160" i="63"/>
  <c r="T159" i="63"/>
  <c r="AI73" i="63" l="1"/>
  <c r="AE543" i="63"/>
  <c r="AF543" i="63" s="1"/>
  <c r="AF542" i="63"/>
  <c r="AC73" i="63"/>
  <c r="AH73" i="63" s="1"/>
  <c r="T160" i="63"/>
  <c r="R161" i="63"/>
  <c r="AB73" i="63" l="1"/>
  <c r="R162" i="63"/>
  <c r="T161" i="63"/>
  <c r="AF73" i="63" l="1"/>
  <c r="AG73" i="63"/>
  <c r="AL73" i="63"/>
  <c r="R163" i="63"/>
  <c r="T162" i="63"/>
  <c r="Y74" i="63" l="1"/>
  <c r="AJ73" i="63"/>
  <c r="AK73" i="63" s="1"/>
  <c r="AA74" i="63"/>
  <c r="AP74" i="63" s="1"/>
  <c r="R164" i="63"/>
  <c r="T163" i="63"/>
  <c r="AI74" i="63" l="1"/>
  <c r="AC74" i="63"/>
  <c r="AH74" i="63" s="1"/>
  <c r="T164" i="63"/>
  <c r="R165" i="63"/>
  <c r="AB74" i="63" l="1"/>
  <c r="R166" i="63"/>
  <c r="T165" i="63"/>
  <c r="AG74" i="63" l="1"/>
  <c r="AF74" i="63"/>
  <c r="AL74" i="63"/>
  <c r="R167" i="63"/>
  <c r="T166" i="63"/>
  <c r="AA75" i="63" l="1"/>
  <c r="AP75" i="63" s="1"/>
  <c r="Y75" i="63"/>
  <c r="AJ74" i="63"/>
  <c r="AK74" i="63" s="1"/>
  <c r="R168" i="63"/>
  <c r="T167" i="63"/>
  <c r="AC75" i="63" l="1"/>
  <c r="AH75" i="63" s="1"/>
  <c r="AI75" i="63"/>
  <c r="T168" i="63"/>
  <c r="R169" i="63"/>
  <c r="AB75" i="63" l="1"/>
  <c r="AF75" i="63" s="1"/>
  <c r="R170" i="63"/>
  <c r="T169" i="63"/>
  <c r="AL75" i="63" l="1"/>
  <c r="AG75" i="63"/>
  <c r="AJ75" i="63"/>
  <c r="AK75" i="63" s="1"/>
  <c r="AA76" i="63"/>
  <c r="AP76" i="63" s="1"/>
  <c r="Y76" i="63"/>
  <c r="R171" i="63"/>
  <c r="T170" i="63"/>
  <c r="AC76" i="63" l="1"/>
  <c r="AH76" i="63" s="1"/>
  <c r="AI76" i="63"/>
  <c r="R172" i="63"/>
  <c r="T171" i="63"/>
  <c r="AB76" i="63" l="1"/>
  <c r="AF76" i="63" s="1"/>
  <c r="T172" i="63"/>
  <c r="R173" i="63"/>
  <c r="AL76" i="63" l="1"/>
  <c r="AJ76" i="63" s="1"/>
  <c r="AK76" i="63" s="1"/>
  <c r="AG76" i="63"/>
  <c r="Y77" i="63"/>
  <c r="AA77" i="63"/>
  <c r="AP77" i="63" s="1"/>
  <c r="R174" i="63"/>
  <c r="T173" i="63"/>
  <c r="AI77" i="63" l="1"/>
  <c r="AC77" i="63"/>
  <c r="AH77" i="63" s="1"/>
  <c r="R175" i="63"/>
  <c r="T174" i="63"/>
  <c r="AB77" i="63" l="1"/>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s="1"/>
  <c r="R183" i="63"/>
  <c r="T182" i="63"/>
  <c r="AL79" i="63" l="1"/>
  <c r="AG79" i="63"/>
  <c r="AJ79" i="63"/>
  <c r="AK79" i="63" s="1"/>
  <c r="AA80" i="63"/>
  <c r="AP80" i="63" s="1"/>
  <c r="Y80" i="63"/>
  <c r="R184" i="63"/>
  <c r="T183" i="63"/>
  <c r="AC80" i="63" l="1"/>
  <c r="AH80" i="63" s="1"/>
  <c r="AI80" i="63"/>
  <c r="T184" i="63"/>
  <c r="R185" i="63"/>
  <c r="AB80" i="63" l="1"/>
  <c r="AF80" i="63" s="1"/>
  <c r="R186" i="63"/>
  <c r="T185" i="63"/>
  <c r="AL80" i="63" l="1"/>
  <c r="AA81" i="63" s="1"/>
  <c r="AP81" i="63" s="1"/>
  <c r="AG80" i="63"/>
  <c r="R187" i="63"/>
  <c r="T186" i="63"/>
  <c r="Y81" i="63" l="1"/>
  <c r="AJ80" i="63"/>
  <c r="AK80" i="63" s="1"/>
  <c r="AI81" i="63"/>
  <c r="AC81" i="63"/>
  <c r="AH81" i="63" s="1"/>
  <c r="R188" i="63"/>
  <c r="T187" i="63"/>
  <c r="AB81" i="63" l="1"/>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F83" i="63" s="1"/>
  <c r="T196" i="63"/>
  <c r="R197" i="63"/>
  <c r="AL83" i="63" l="1"/>
  <c r="AJ83" i="63" s="1"/>
  <c r="AK83" i="63" s="1"/>
  <c r="AG83" i="63"/>
  <c r="AA84" i="63"/>
  <c r="AP84" i="63" s="1"/>
  <c r="Y84" i="63"/>
  <c r="R198" i="63"/>
  <c r="T197" i="63"/>
  <c r="AC84" i="63" l="1"/>
  <c r="AH84" i="63" s="1"/>
  <c r="AI84" i="63"/>
  <c r="R199" i="63"/>
  <c r="T198" i="63"/>
  <c r="AB84" i="63" l="1"/>
  <c r="AL84" i="63" s="1"/>
  <c r="AJ84" i="63" s="1"/>
  <c r="AK84" i="63" s="1"/>
  <c r="R200" i="63"/>
  <c r="T199" i="63"/>
  <c r="AF84" i="63" l="1"/>
  <c r="AG84" i="63"/>
  <c r="AA85" i="63"/>
  <c r="AP85" i="63" s="1"/>
  <c r="Y85" i="63"/>
  <c r="AC85" i="63"/>
  <c r="AH85" i="63" s="1"/>
  <c r="T200" i="63"/>
  <c r="R201" i="63"/>
  <c r="AI85" i="63" l="1"/>
  <c r="AB85" i="63"/>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R206" i="63"/>
  <c r="T205" i="63"/>
  <c r="AF86" i="63" l="1"/>
  <c r="AG86" i="63"/>
  <c r="Y87" i="63"/>
  <c r="AJ86" i="63"/>
  <c r="AK86" i="63" s="1"/>
  <c r="AC87" i="63"/>
  <c r="AH87" i="63" s="1"/>
  <c r="AI87" i="63"/>
  <c r="R207" i="63"/>
  <c r="T206" i="63"/>
  <c r="AB87" i="63" l="1"/>
  <c r="AL87" i="63" s="1"/>
  <c r="AJ87" i="63" s="1"/>
  <c r="AK87" i="63" s="1"/>
  <c r="R208" i="63"/>
  <c r="T207" i="63"/>
  <c r="AF87" i="63" l="1"/>
  <c r="AG87" i="63"/>
  <c r="Y88" i="63"/>
  <c r="AA88" i="63"/>
  <c r="AP88" i="63" s="1"/>
  <c r="AC88" i="63"/>
  <c r="AH88" i="63" s="1"/>
  <c r="T208" i="63"/>
  <c r="R209" i="63"/>
  <c r="AI88" i="63" l="1"/>
  <c r="AB88" i="63"/>
  <c r="AF88" i="63" s="1"/>
  <c r="AL88" i="63"/>
  <c r="R210" i="63"/>
  <c r="T209" i="63"/>
  <c r="AG88" i="63" l="1"/>
  <c r="AJ88" i="63"/>
  <c r="AK88" i="63" s="1"/>
  <c r="Y89" i="63"/>
  <c r="AA89" i="63"/>
  <c r="AP89" i="63" s="1"/>
  <c r="R211" i="63"/>
  <c r="T210" i="63"/>
  <c r="AI89" i="63" l="1"/>
  <c r="AC89" i="63"/>
  <c r="AH89" i="63" s="1"/>
  <c r="R212" i="63"/>
  <c r="T211" i="63"/>
  <c r="AB89" i="63" l="1"/>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R220" i="63"/>
  <c r="T219" i="63"/>
  <c r="AL91" i="63" l="1"/>
  <c r="AF91" i="63"/>
  <c r="AJ91" i="63"/>
  <c r="AK91" i="63" s="1"/>
  <c r="AA92" i="63"/>
  <c r="AP92" i="63" s="1"/>
  <c r="Y92" i="63"/>
  <c r="T220" i="63"/>
  <c r="R221" i="63"/>
  <c r="AI92" i="63" l="1"/>
  <c r="AC92" i="63"/>
  <c r="AH92" i="63" s="1"/>
  <c r="R222" i="63"/>
  <c r="T221" i="63"/>
  <c r="AB92" i="63" l="1"/>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R227" i="63"/>
  <c r="T226" i="63"/>
  <c r="AG93" i="63" l="1"/>
  <c r="Y94" i="63"/>
  <c r="AC94" i="63" s="1"/>
  <c r="AH94" i="63" s="1"/>
  <c r="AF93" i="63"/>
  <c r="AA94" i="63"/>
  <c r="AP94" i="63" s="1"/>
  <c r="R228" i="63"/>
  <c r="T227" i="63"/>
  <c r="AB94" i="63" l="1"/>
  <c r="AL94" i="63" s="1"/>
  <c r="AI94" i="63"/>
  <c r="T228" i="63"/>
  <c r="R229" i="63"/>
  <c r="AG94" i="63" l="1"/>
  <c r="AF94" i="63"/>
  <c r="AJ94" i="63"/>
  <c r="AK94" i="63" s="1"/>
  <c r="Y95" i="63"/>
  <c r="AA95" i="63"/>
  <c r="AP95" i="63" s="1"/>
  <c r="R230" i="63"/>
  <c r="T229" i="63"/>
  <c r="AC95" i="63" l="1"/>
  <c r="AH95" i="63" s="1"/>
  <c r="AI95" i="63"/>
  <c r="R231" i="63"/>
  <c r="T230" i="63"/>
  <c r="AB95" i="63" l="1"/>
  <c r="AL95" i="63" s="1"/>
  <c r="AJ95" i="63" s="1"/>
  <c r="AK95" i="63" s="1"/>
  <c r="AG95" i="63"/>
  <c r="AF95" i="63"/>
  <c r="R232" i="63"/>
  <c r="T231" i="63"/>
  <c r="Y96" i="63" l="1"/>
  <c r="AC96" i="63" s="1"/>
  <c r="AH96" i="63" s="1"/>
  <c r="AA96" i="63"/>
  <c r="AP96" i="63" s="1"/>
  <c r="T232" i="63"/>
  <c r="R233" i="63"/>
  <c r="AB96" i="63" l="1"/>
  <c r="AI96" i="63"/>
  <c r="AL96" i="63"/>
  <c r="AF96" i="63"/>
  <c r="AG96" i="63"/>
  <c r="R234" i="63"/>
  <c r="T233" i="63"/>
  <c r="AJ96" i="63" l="1"/>
  <c r="AK96" i="63" s="1"/>
  <c r="Y97" i="63"/>
  <c r="AA97" i="63"/>
  <c r="AP97" i="63" s="1"/>
  <c r="R235" i="63"/>
  <c r="T234" i="63"/>
  <c r="AC97" i="63" l="1"/>
  <c r="AH97" i="63" s="1"/>
  <c r="AI97" i="63"/>
  <c r="R236" i="63"/>
  <c r="T235" i="63"/>
  <c r="AB97" i="63" l="1"/>
  <c r="AG97" i="63" s="1"/>
  <c r="T236" i="63"/>
  <c r="R237" i="63"/>
  <c r="AL97" i="63" l="1"/>
  <c r="AF97" i="63"/>
  <c r="AJ97" i="63"/>
  <c r="AK97" i="63" s="1"/>
  <c r="Y98" i="63"/>
  <c r="AA98" i="63"/>
  <c r="AP98" i="63" s="1"/>
  <c r="R238" i="63"/>
  <c r="T237" i="63"/>
  <c r="AC98" i="63" l="1"/>
  <c r="AH98" i="63" s="1"/>
  <c r="AI98" i="63"/>
  <c r="R239" i="63"/>
  <c r="T238" i="63"/>
  <c r="AB98" i="63" l="1"/>
  <c r="AL98" i="63" s="1"/>
  <c r="Y99" i="63" s="1"/>
  <c r="R240" i="63"/>
  <c r="T239" i="63"/>
  <c r="AG98" i="63" l="1"/>
  <c r="AF98" i="63"/>
  <c r="AA99" i="63"/>
  <c r="AP99" i="63" s="1"/>
  <c r="AJ98" i="63"/>
  <c r="AK98" i="63" s="1"/>
  <c r="AC99" i="63"/>
  <c r="AH99" i="63" s="1"/>
  <c r="T240" i="63"/>
  <c r="R241" i="63"/>
  <c r="AI99" i="63" l="1"/>
  <c r="AB99" i="63"/>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s="1"/>
  <c r="R250" i="63"/>
  <c r="T249" i="63"/>
  <c r="AL101" i="63" l="1"/>
  <c r="AA102" i="63" s="1"/>
  <c r="AP102" i="63" s="1"/>
  <c r="AF101" i="63"/>
  <c r="Y102" i="63"/>
  <c r="AJ101" i="63"/>
  <c r="AK101" i="63" s="1"/>
  <c r="R251" i="63"/>
  <c r="T250" i="63"/>
  <c r="AC102" i="63" l="1"/>
  <c r="AH102" i="63" s="1"/>
  <c r="AI102" i="63"/>
  <c r="R252" i="63"/>
  <c r="T251" i="63"/>
  <c r="AB102" i="63" l="1"/>
  <c r="AG102" i="63" s="1"/>
  <c r="T252" i="63"/>
  <c r="R253" i="63"/>
  <c r="AL102" i="63" l="1"/>
  <c r="AF102" i="63"/>
  <c r="AJ102" i="63"/>
  <c r="AK102" i="63" s="1"/>
  <c r="Y103" i="63"/>
  <c r="AA103" i="63"/>
  <c r="AP103" i="63" s="1"/>
  <c r="R254" i="63"/>
  <c r="T253" i="63"/>
  <c r="AC103" i="63" l="1"/>
  <c r="AH103" i="63" s="1"/>
  <c r="AI103" i="63"/>
  <c r="R255" i="63"/>
  <c r="T254" i="63"/>
  <c r="AB103" i="63" l="1"/>
  <c r="AF103" i="63" s="1"/>
  <c r="R256" i="63"/>
  <c r="T255" i="63"/>
  <c r="AL103" i="63" l="1"/>
  <c r="AG103" i="63"/>
  <c r="AJ103" i="63"/>
  <c r="AK103" i="63" s="1"/>
  <c r="Y104" i="63"/>
  <c r="AA104" i="63"/>
  <c r="AP104" i="63" s="1"/>
  <c r="T256" i="63"/>
  <c r="R257" i="63"/>
  <c r="AC104" i="63" l="1"/>
  <c r="AH104" i="63" s="1"/>
  <c r="AI104" i="63"/>
  <c r="R258" i="63"/>
  <c r="T257" i="63"/>
  <c r="AB104" i="63" l="1"/>
  <c r="AL104" i="63" s="1"/>
  <c r="AJ104" i="63" s="1"/>
  <c r="AK104" i="63" s="1"/>
  <c r="R259" i="63"/>
  <c r="T258" i="63"/>
  <c r="AG104" i="63" l="1"/>
  <c r="AF104" i="63"/>
  <c r="AA105" i="63"/>
  <c r="AP105" i="63" s="1"/>
  <c r="Y105" i="63"/>
  <c r="AC105" i="63" s="1"/>
  <c r="AH105" i="63" s="1"/>
  <c r="R260" i="63"/>
  <c r="T259" i="63"/>
  <c r="AI105" i="63" l="1"/>
  <c r="AB105" i="63"/>
  <c r="AF105" i="63" s="1"/>
  <c r="T260" i="63"/>
  <c r="R261" i="63"/>
  <c r="AL105" i="63" l="1"/>
  <c r="AG105" i="63"/>
  <c r="AJ105" i="63"/>
  <c r="AK105" i="63" s="1"/>
  <c r="Y106" i="63"/>
  <c r="AA106" i="63"/>
  <c r="AP106" i="63" s="1"/>
  <c r="R262" i="63"/>
  <c r="T261" i="63"/>
  <c r="AI106" i="63" l="1"/>
  <c r="AC106" i="63"/>
  <c r="AH106" i="63" s="1"/>
  <c r="R263" i="63"/>
  <c r="T262" i="63"/>
  <c r="AB106" i="63" l="1"/>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s="1"/>
  <c r="AK107" i="63" s="1"/>
  <c r="AA108" i="63"/>
  <c r="AP108" i="63" s="1"/>
  <c r="Y108" i="63"/>
  <c r="AG107" i="63"/>
  <c r="AF107" i="63"/>
  <c r="R268" i="63"/>
  <c r="T267" i="63"/>
  <c r="AC108" i="63" l="1"/>
  <c r="AH108" i="63" s="1"/>
  <c r="AI108" i="63"/>
  <c r="T268" i="63"/>
  <c r="R269" i="63"/>
  <c r="AB108" i="63" l="1"/>
  <c r="AL108" i="63" s="1"/>
  <c r="AJ108" i="63" s="1"/>
  <c r="AK108" i="63" s="1"/>
  <c r="R270" i="63"/>
  <c r="T269" i="63"/>
  <c r="AG108" i="63" l="1"/>
  <c r="AF108" i="63"/>
  <c r="AA109" i="63"/>
  <c r="AP109" i="63" s="1"/>
  <c r="Y109" i="63"/>
  <c r="AC109" i="63" s="1"/>
  <c r="AH109" i="63" s="1"/>
  <c r="R271" i="63"/>
  <c r="T270" i="63"/>
  <c r="AI109" i="63" l="1"/>
  <c r="AB109" i="63"/>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G110" i="63" l="1"/>
  <c r="AF110" i="63"/>
  <c r="AA111" i="63"/>
  <c r="AP111" i="63" s="1"/>
  <c r="Y111" i="63"/>
  <c r="AC111" i="63" s="1"/>
  <c r="AH111" i="63" s="1"/>
  <c r="T276" i="63"/>
  <c r="R277" i="63"/>
  <c r="AI111" i="63" l="1"/>
  <c r="AB111" i="63"/>
  <c r="AG111" i="63" s="1"/>
  <c r="R278" i="63"/>
  <c r="T277" i="63"/>
  <c r="AF111" i="63" l="1"/>
  <c r="AL111" i="63"/>
  <c r="AJ111" i="63" s="1"/>
  <c r="AK111" i="63" s="1"/>
  <c r="AA112" i="63"/>
  <c r="AP112" i="63" s="1"/>
  <c r="R279" i="63"/>
  <c r="T278" i="63"/>
  <c r="Y112" i="63" l="1"/>
  <c r="AC112" i="63" s="1"/>
  <c r="AH112" i="63" s="1"/>
  <c r="AI112" i="63"/>
  <c r="R280" i="63"/>
  <c r="T279" i="63"/>
  <c r="AB112" i="63" l="1"/>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G13" i="1"/>
  <c r="F50" i="1" s="1"/>
  <c r="G51" i="1" s="1"/>
  <c r="I53" i="1" s="1"/>
  <c r="AC120" i="63"/>
  <c r="AH120" i="63" s="1"/>
  <c r="AI120" i="63"/>
  <c r="J53" i="1" l="1"/>
  <c r="K53" i="1" s="1"/>
  <c r="AB120" i="63"/>
  <c r="AL120" i="63" s="1"/>
  <c r="AA121" i="63" s="1"/>
  <c r="AP121" i="63" s="1"/>
  <c r="AF120" i="63" l="1"/>
  <c r="Y121" i="63"/>
  <c r="AC121" i="63" s="1"/>
  <c r="AH121" i="63" s="1"/>
  <c r="AG120" i="63"/>
  <c r="AJ120" i="63"/>
  <c r="AK120" i="63" s="1"/>
  <c r="I74" i="1"/>
  <c r="J74" i="1" s="1"/>
  <c r="I72" i="1"/>
  <c r="J72" i="1" s="1"/>
  <c r="I75" i="1"/>
  <c r="I73" i="1"/>
  <c r="I71" i="1"/>
  <c r="AI121" i="63"/>
  <c r="K75" i="1" l="1"/>
  <c r="K77" i="1" s="1"/>
  <c r="J75" i="1"/>
  <c r="J73" i="1"/>
  <c r="J71" i="1"/>
  <c r="I76" i="1"/>
  <c r="AB121" i="63"/>
  <c r="AL121" i="63" s="1"/>
  <c r="AJ121" i="63" s="1"/>
  <c r="AK121" i="63" s="1"/>
  <c r="J54" i="1" l="1"/>
  <c r="J56" i="1" s="1"/>
  <c r="K54" i="1"/>
  <c r="K55" i="1" s="1"/>
  <c r="K56" i="1" s="1"/>
  <c r="J77" i="1"/>
  <c r="J76" i="1"/>
  <c r="I77" i="1"/>
  <c r="AF121" i="63"/>
  <c r="AG121" i="63"/>
  <c r="Y122" i="63"/>
  <c r="AC122" i="63" s="1"/>
  <c r="AH122" i="63" s="1"/>
  <c r="AA122" i="63"/>
  <c r="AP122" i="63" s="1"/>
  <c r="O14" i="1" l="1"/>
  <c r="O13" i="1"/>
  <c r="K57" i="1"/>
  <c r="E50" i="19" s="1"/>
  <c r="AI122" i="63"/>
  <c r="AB122" i="63"/>
  <c r="AG122" i="63" s="1"/>
  <c r="G24" i="33" l="1"/>
  <c r="G37" i="33"/>
  <c r="C50" i="33"/>
  <c r="D55" i="1"/>
  <c r="AL122" i="63"/>
  <c r="AA123" i="63" s="1"/>
  <c r="AP123" i="63" s="1"/>
  <c r="AF122" i="63"/>
  <c r="AJ122" i="63" l="1"/>
  <c r="AK122" i="63" s="1"/>
  <c r="E50" i="33"/>
  <c r="G50" i="33"/>
  <c r="E53" i="33" s="1"/>
  <c r="E41" i="33"/>
  <c r="E40" i="33"/>
  <c r="Y123" i="63"/>
  <c r="AC123" i="63" s="1"/>
  <c r="AH123" i="63" s="1"/>
  <c r="E26" i="33"/>
  <c r="E27" i="33"/>
  <c r="AI123" i="63"/>
  <c r="F50" i="33" l="1"/>
  <c r="E54" i="33" s="1"/>
  <c r="AB123" i="63"/>
  <c r="AG123" i="63" s="1"/>
  <c r="I42" i="33" l="1"/>
  <c r="AF123" i="63"/>
  <c r="AL123" i="63"/>
  <c r="AJ123" i="63" s="1"/>
  <c r="AK123" i="63" s="1"/>
  <c r="Y124" i="63" l="1"/>
  <c r="AA124" i="63"/>
  <c r="AP124" i="63" s="1"/>
  <c r="AC124" i="63"/>
  <c r="AH124" i="63" s="1"/>
  <c r="AI124" i="63" l="1"/>
  <c r="AB124" i="63"/>
  <c r="AF124" i="63" s="1"/>
  <c r="AG124" i="63" l="1"/>
  <c r="AL124" i="63"/>
  <c r="AA125" i="63" s="1"/>
  <c r="AP125" i="63" s="1"/>
  <c r="Y125" i="63" l="1"/>
  <c r="AJ124" i="63"/>
  <c r="AK124" i="63" s="1"/>
  <c r="AC125" i="63"/>
  <c r="AH125" i="63" s="1"/>
  <c r="AI125" i="63"/>
  <c r="AB125" i="63" l="1"/>
  <c r="AG125" i="63" s="1"/>
  <c r="AL125" i="63"/>
  <c r="AF125" i="63" l="1"/>
  <c r="AJ125" i="63"/>
  <c r="AK125" i="63" s="1"/>
  <c r="AA126" i="63"/>
  <c r="AP126" i="63" s="1"/>
  <c r="Y126" i="63"/>
  <c r="AC126" i="63" l="1"/>
  <c r="AH126" i="63" s="1"/>
  <c r="AI126" i="63"/>
  <c r="AB126" i="63" l="1"/>
  <c r="AF126" i="63" s="1"/>
  <c r="AG126" i="63"/>
  <c r="AL126" i="63"/>
  <c r="AJ126" i="63" l="1"/>
  <c r="AK126" i="63" s="1"/>
  <c r="AA127" i="63"/>
  <c r="AP127" i="63" s="1"/>
  <c r="Y127" i="63"/>
  <c r="AC127" i="63" l="1"/>
  <c r="AH127" i="63" s="1"/>
  <c r="AI127" i="63"/>
  <c r="AB127" i="63" l="1"/>
  <c r="AL127" i="63" s="1"/>
  <c r="AJ127" i="63" s="1"/>
  <c r="AK127" i="63" s="1"/>
  <c r="AG127" i="63"/>
  <c r="AF127" i="63" l="1"/>
  <c r="Y128" i="63"/>
  <c r="AA128" i="63"/>
  <c r="AP128" i="63" s="1"/>
  <c r="AC128" i="63"/>
  <c r="AH128" i="63" s="1"/>
  <c r="AI128" i="63" l="1"/>
  <c r="AB128" i="63"/>
  <c r="AL128" i="63" s="1"/>
  <c r="AJ128" i="63" s="1"/>
  <c r="AA129" i="63"/>
  <c r="AP129" i="63" s="1"/>
  <c r="Y129" i="63"/>
  <c r="AG128" i="63"/>
  <c r="AF128" i="63"/>
  <c r="AK128" i="63" l="1"/>
  <c r="AC129" i="63"/>
  <c r="AH129" i="63" s="1"/>
  <c r="AI129" i="63"/>
  <c r="AB129" i="63" l="1"/>
  <c r="AL129" i="63" s="1"/>
  <c r="AA130" i="63" s="1"/>
  <c r="AP130" i="63" s="1"/>
  <c r="AF129" i="63"/>
  <c r="AG129" i="63"/>
  <c r="AJ129" i="63" l="1"/>
  <c r="AK129" i="63" s="1"/>
  <c r="Y130" i="63"/>
  <c r="AC130" i="63" s="1"/>
  <c r="AH130" i="63" s="1"/>
  <c r="AI130" i="63"/>
  <c r="AB130" i="63" l="1"/>
  <c r="AG130" i="63" s="1"/>
  <c r="AL130" i="63" l="1"/>
  <c r="AA131" i="63" s="1"/>
  <c r="AP131" i="63" s="1"/>
  <c r="AF130" i="63"/>
  <c r="Y131" i="63" l="1"/>
  <c r="AJ130" i="63"/>
  <c r="AK130" i="63" s="1"/>
  <c r="AC131" i="63"/>
  <c r="AH131" i="63" s="1"/>
  <c r="AI131" i="63"/>
  <c r="AB131" i="63" l="1"/>
  <c r="AF131" i="63" s="1"/>
  <c r="AG131" i="63" l="1"/>
  <c r="AL131" i="63"/>
  <c r="AJ131" i="63" s="1"/>
  <c r="AK131" i="63" s="1"/>
  <c r="AA132" i="63"/>
  <c r="AP132" i="63" s="1"/>
  <c r="Y132" i="63"/>
  <c r="AC132" i="63" l="1"/>
  <c r="AH132" i="63" s="1"/>
  <c r="AI132" i="63"/>
  <c r="AB132" i="63" l="1"/>
  <c r="AF132" i="63" s="1"/>
  <c r="AL132" i="63" l="1"/>
  <c r="AG132" i="63"/>
  <c r="AJ132" i="63"/>
  <c r="AK132" i="63" s="1"/>
  <c r="AA133" i="63"/>
  <c r="AP133" i="63" s="1"/>
  <c r="Y133" i="63"/>
  <c r="AC133" i="63" l="1"/>
  <c r="AH133" i="63" s="1"/>
  <c r="AI133" i="63"/>
  <c r="AB133" i="63" l="1"/>
  <c r="AG133" i="63" s="1"/>
  <c r="AF133" i="63" l="1"/>
  <c r="AL133" i="63"/>
  <c r="AJ133" i="63" s="1"/>
  <c r="AK133" i="63" s="1"/>
  <c r="Y134" i="63" l="1"/>
  <c r="AC134" i="63" s="1"/>
  <c r="AH134" i="63" s="1"/>
  <c r="AA134" i="63"/>
  <c r="AP134" i="63" s="1"/>
  <c r="AI134" i="63" l="1"/>
  <c r="AB134" i="63"/>
  <c r="AF134" i="63" s="1"/>
  <c r="AL134" i="63" l="1"/>
  <c r="AG134" i="63"/>
  <c r="AJ134" i="63"/>
  <c r="AK134" i="63" s="1"/>
  <c r="AA135" i="63"/>
  <c r="AP135" i="63" s="1"/>
  <c r="Y135" i="63"/>
  <c r="AC135" i="63" l="1"/>
  <c r="AH135" i="63" s="1"/>
  <c r="AI135" i="63"/>
  <c r="AB135" i="63" l="1"/>
  <c r="AL135" i="63" s="1"/>
  <c r="AJ135" i="63" s="1"/>
  <c r="AK135" i="63" s="1"/>
  <c r="AA136" i="63"/>
  <c r="AP136" i="63" s="1"/>
  <c r="Y136" i="63"/>
  <c r="AG135" i="63"/>
  <c r="AF135" i="63"/>
  <c r="AC136" i="63" l="1"/>
  <c r="AH136" i="63" s="1"/>
  <c r="AI136" i="63"/>
  <c r="AB136" i="63" l="1"/>
  <c r="AF136" i="63" s="1"/>
  <c r="AL136" i="63" l="1"/>
  <c r="AJ136" i="63" s="1"/>
  <c r="AK136" i="63" s="1"/>
  <c r="AG136" i="63"/>
  <c r="AA137" i="63"/>
  <c r="AP137" i="63" s="1"/>
  <c r="Y137" i="63"/>
  <c r="AC137" i="63" l="1"/>
  <c r="AH137" i="63" s="1"/>
  <c r="AI137" i="63"/>
  <c r="AB137" i="63" l="1"/>
  <c r="AG137" i="63" s="1"/>
  <c r="AL137" i="63" l="1"/>
  <c r="AJ137" i="63" s="1"/>
  <c r="AK137" i="63" s="1"/>
  <c r="AF137" i="63"/>
  <c r="Y138" i="63" l="1"/>
  <c r="AA138" i="63"/>
  <c r="AP138" i="63" s="1"/>
  <c r="AC138" i="63"/>
  <c r="AH138" i="63" s="1"/>
  <c r="AI138" i="63"/>
  <c r="AB138" i="63" l="1"/>
  <c r="AG138" i="63" s="1"/>
  <c r="AF138" i="63" l="1"/>
  <c r="AL138" i="63"/>
  <c r="AJ138" i="63" s="1"/>
  <c r="AK138" i="63" s="1"/>
  <c r="Y139" i="63" l="1"/>
  <c r="AC139" i="63" s="1"/>
  <c r="AH139" i="63" s="1"/>
  <c r="AA139" i="63"/>
  <c r="AP139" i="63" s="1"/>
  <c r="AI139" i="63" l="1"/>
  <c r="AB139" i="63"/>
  <c r="AG139" i="63" s="1"/>
  <c r="AF139" i="63"/>
  <c r="AL139" i="63"/>
  <c r="AJ139" i="63" l="1"/>
  <c r="AK139" i="63" s="1"/>
  <c r="AA140" i="63"/>
  <c r="AP140" i="63" s="1"/>
  <c r="Y140" i="63"/>
  <c r="AC140" i="63" l="1"/>
  <c r="AH140" i="63" s="1"/>
  <c r="AI140" i="63"/>
  <c r="AB140" i="63" l="1"/>
  <c r="AF140" i="63" s="1"/>
  <c r="AL140" i="63" l="1"/>
  <c r="AA141" i="63" s="1"/>
  <c r="AP141" i="63" s="1"/>
  <c r="AG140" i="63"/>
  <c r="Y141" i="63" l="1"/>
  <c r="AC141" i="63" s="1"/>
  <c r="AH141" i="63" s="1"/>
  <c r="AJ140" i="63"/>
  <c r="AK140" i="63" s="1"/>
  <c r="AI141" i="63"/>
  <c r="AB141" i="63" l="1"/>
  <c r="AG141" i="63" s="1"/>
  <c r="AL141" i="63" l="1"/>
  <c r="AJ141" i="63" s="1"/>
  <c r="AK141" i="63" s="1"/>
  <c r="AF141" i="63"/>
  <c r="AA142" i="63" l="1"/>
  <c r="AP142" i="63" s="1"/>
  <c r="Y142" i="63"/>
  <c r="AC142" i="63" s="1"/>
  <c r="AH142" i="63" s="1"/>
  <c r="AI142" i="63"/>
  <c r="AB142" i="63" l="1"/>
  <c r="AG142" i="63" s="1"/>
  <c r="AL142" i="63" l="1"/>
  <c r="AJ142" i="63" s="1"/>
  <c r="AK142" i="63" s="1"/>
  <c r="AF142" i="63"/>
  <c r="AA143" i="63"/>
  <c r="AP143" i="63" s="1"/>
  <c r="Y143" i="63" l="1"/>
  <c r="AC143" i="63" s="1"/>
  <c r="AH143" i="63" s="1"/>
  <c r="AI143" i="63"/>
  <c r="AB143" i="63" l="1"/>
  <c r="AF143" i="63" s="1"/>
  <c r="AL143" i="63" l="1"/>
  <c r="AG143" i="63"/>
  <c r="AA144" i="63"/>
  <c r="AP144" i="63" s="1"/>
  <c r="AJ143" i="63"/>
  <c r="AK143" i="63" s="1"/>
  <c r="Y144" i="63"/>
  <c r="AC144" i="63" l="1"/>
  <c r="AH144" i="63" s="1"/>
  <c r="AI144" i="63"/>
  <c r="AB144" i="63" l="1"/>
  <c r="AG144" i="63" s="1"/>
  <c r="AL144" i="63" l="1"/>
  <c r="AF144" i="63"/>
  <c r="AJ144" i="63"/>
  <c r="AK144" i="63" s="1"/>
  <c r="AA145" i="63"/>
  <c r="AP145" i="63" s="1"/>
  <c r="Y145" i="63"/>
  <c r="AC145" i="63" l="1"/>
  <c r="AH145" i="63" s="1"/>
  <c r="AI145" i="63"/>
  <c r="AB145" i="63" l="1"/>
  <c r="AL145" i="63" s="1"/>
  <c r="AJ145" i="63"/>
  <c r="AK145" i="63" s="1"/>
  <c r="AA146" i="63"/>
  <c r="AP146" i="63" s="1"/>
  <c r="Y146" i="63"/>
  <c r="AF145" i="63"/>
  <c r="AG145" i="63"/>
  <c r="AC146" i="63" l="1"/>
  <c r="AH146" i="63" s="1"/>
  <c r="AI146" i="63"/>
  <c r="AB146" i="63" l="1"/>
  <c r="AG146" i="63" s="1"/>
  <c r="AL146" i="63" l="1"/>
  <c r="AJ146" i="63" s="1"/>
  <c r="AK146" i="63" s="1"/>
  <c r="AF146" i="63"/>
  <c r="AA147" i="63"/>
  <c r="AP147" i="63" s="1"/>
  <c r="Y147" i="63"/>
  <c r="AC147" i="63" l="1"/>
  <c r="AH147" i="63" s="1"/>
  <c r="AI147" i="63"/>
  <c r="AB147" i="63" l="1"/>
  <c r="AF147" i="63" s="1"/>
  <c r="AL147" i="63" l="1"/>
  <c r="AG147" i="63"/>
  <c r="AJ147" i="63"/>
  <c r="AK147" i="63" s="1"/>
  <c r="AA148" i="63"/>
  <c r="AP148" i="63" s="1"/>
  <c r="Y148" i="63"/>
  <c r="AC148" i="63" l="1"/>
  <c r="AH148" i="63" s="1"/>
  <c r="AI148" i="63"/>
  <c r="AB148" i="63" l="1"/>
  <c r="AL148" i="63" s="1"/>
  <c r="AA149" i="63" s="1"/>
  <c r="AP149" i="63" s="1"/>
  <c r="AF148" i="63" l="1"/>
  <c r="AG148" i="63"/>
  <c r="Y149" i="63"/>
  <c r="AJ148" i="63"/>
  <c r="AK148" i="63" s="1"/>
  <c r="AC149" i="63"/>
  <c r="AH149" i="63" s="1"/>
  <c r="AI149" i="63"/>
  <c r="AB149" i="63" l="1"/>
  <c r="AF149" i="63" s="1"/>
  <c r="AL149" i="63" l="1"/>
  <c r="AJ149" i="63" s="1"/>
  <c r="AK149" i="63" s="1"/>
  <c r="AG149" i="63"/>
  <c r="Y150" i="63" l="1"/>
  <c r="AA150" i="63"/>
  <c r="AP150" i="63" s="1"/>
  <c r="AC150" i="63"/>
  <c r="AH150" i="63" s="1"/>
  <c r="AI150" i="63"/>
  <c r="AB150" i="63" l="1"/>
  <c r="AF150" i="63" s="1"/>
  <c r="AL150" i="63" l="1"/>
  <c r="AJ150" i="63" s="1"/>
  <c r="AK150" i="63" s="1"/>
  <c r="AG150" i="63"/>
  <c r="Y151" i="63" l="1"/>
  <c r="AA151" i="63"/>
  <c r="AP151" i="63" s="1"/>
  <c r="AC151" i="63"/>
  <c r="AH151" i="63" s="1"/>
  <c r="AI151" i="63"/>
  <c r="AB151" i="63" l="1"/>
  <c r="AF151" i="63" s="1"/>
  <c r="AL151" i="63" l="1"/>
  <c r="AJ151" i="63" s="1"/>
  <c r="AK151" i="63" s="1"/>
  <c r="AG151" i="63"/>
  <c r="Y152" i="63" l="1"/>
  <c r="AA152" i="63"/>
  <c r="AP152" i="63" s="1"/>
  <c r="AC152" i="63"/>
  <c r="AH152" i="63" s="1"/>
  <c r="AI152" i="63" l="1"/>
  <c r="AB152" i="63"/>
  <c r="AF152" i="63" s="1"/>
  <c r="AG152" i="63" l="1"/>
  <c r="AL152" i="63"/>
  <c r="AJ152" i="63"/>
  <c r="AK152" i="63" s="1"/>
  <c r="AA153" i="63"/>
  <c r="AP153" i="63" s="1"/>
  <c r="Y153" i="63"/>
  <c r="AC153" i="63" l="1"/>
  <c r="AH153" i="63" s="1"/>
  <c r="AI153" i="63"/>
  <c r="AB153" i="63" l="1"/>
  <c r="AG153" i="63" s="1"/>
  <c r="AL153" i="63"/>
  <c r="AF153" i="63" l="1"/>
  <c r="AJ153" i="63"/>
  <c r="AK153" i="63" s="1"/>
  <c r="AA154" i="63"/>
  <c r="AP154" i="63" s="1"/>
  <c r="Y154" i="63"/>
  <c r="AC154" i="63" l="1"/>
  <c r="AH154" i="63" s="1"/>
  <c r="AI154" i="63"/>
  <c r="AB154" i="63" l="1"/>
  <c r="AG154" i="63" s="1"/>
  <c r="AF154" i="63"/>
  <c r="AL154" i="63"/>
  <c r="AJ154" i="63" l="1"/>
  <c r="AK154" i="63" s="1"/>
  <c r="AA155" i="63"/>
  <c r="AP155" i="63" s="1"/>
  <c r="Y155" i="63"/>
  <c r="AC155" i="63" l="1"/>
  <c r="AH155" i="63" s="1"/>
  <c r="AI155" i="63"/>
  <c r="AB155" i="63" l="1"/>
  <c r="AF155" i="63" s="1"/>
  <c r="AL155" i="63" l="1"/>
  <c r="AJ155" i="63" s="1"/>
  <c r="AK155" i="63" s="1"/>
  <c r="AG155" i="63"/>
  <c r="Y156" i="63" l="1"/>
  <c r="AA156" i="63"/>
  <c r="AP156" i="63" s="1"/>
  <c r="AC156" i="63"/>
  <c r="AH156" i="63" s="1"/>
  <c r="AI156" i="63" l="1"/>
  <c r="AB156" i="63"/>
  <c r="AL156" i="63" s="1"/>
  <c r="AJ156" i="63" s="1"/>
  <c r="AK156" i="63" s="1"/>
  <c r="AF156" i="63" l="1"/>
  <c r="AA157" i="63"/>
  <c r="AP157" i="63" s="1"/>
  <c r="AG156" i="63"/>
  <c r="Y157" i="63"/>
  <c r="AC157" i="63" s="1"/>
  <c r="AH157" i="63" s="1"/>
  <c r="AI157" i="63"/>
  <c r="AB157" i="63" l="1"/>
  <c r="AG157" i="63" s="1"/>
  <c r="AL157" i="63" l="1"/>
  <c r="AF157" i="63"/>
  <c r="AA158" i="63"/>
  <c r="AP158" i="63" s="1"/>
  <c r="AJ157" i="63"/>
  <c r="AK157" i="63" s="1"/>
  <c r="Y158" i="63"/>
  <c r="AC158" i="63" l="1"/>
  <c r="AH158" i="63" s="1"/>
  <c r="AI158" i="63"/>
  <c r="AB158" i="63" l="1"/>
  <c r="AL158" i="63" s="1"/>
  <c r="AJ158" i="63" s="1"/>
  <c r="AK158" i="63" s="1"/>
  <c r="AG158" i="63" l="1"/>
  <c r="AF158" i="63"/>
  <c r="Y159" i="63"/>
  <c r="AA159" i="63"/>
  <c r="AP159" i="63" s="1"/>
  <c r="AC159" i="63"/>
  <c r="AH159" i="63" s="1"/>
  <c r="AI159" i="63" l="1"/>
  <c r="AB159" i="63"/>
  <c r="AL159" i="63" s="1"/>
  <c r="AJ159" i="63" s="1"/>
  <c r="AK159" i="63" s="1"/>
  <c r="AG159" i="63"/>
  <c r="AF159" i="63"/>
  <c r="Y160" i="63" l="1"/>
  <c r="AA160" i="63"/>
  <c r="AP160" i="63" s="1"/>
  <c r="AC160" i="63"/>
  <c r="AH160" i="63" s="1"/>
  <c r="AI160" i="63"/>
  <c r="AB160" i="63" l="1"/>
  <c r="AF160" i="63" s="1"/>
  <c r="AG160" i="63"/>
  <c r="AL160" i="63"/>
  <c r="AA161" i="63" l="1"/>
  <c r="AP161" i="63" s="1"/>
  <c r="AJ160" i="63"/>
  <c r="AK160" i="63" s="1"/>
  <c r="Y161" i="63"/>
  <c r="AC161" i="63" l="1"/>
  <c r="AH161" i="63" s="1"/>
  <c r="AI161" i="63"/>
  <c r="AB161" i="63" l="1"/>
  <c r="AL161" i="63" s="1"/>
  <c r="AA162" i="63" s="1"/>
  <c r="AP162" i="63" s="1"/>
  <c r="AG161" i="63" l="1"/>
  <c r="AF161" i="63"/>
  <c r="Y162" i="63"/>
  <c r="AJ161" i="63"/>
  <c r="AK161" i="63" s="1"/>
  <c r="AC162" i="63"/>
  <c r="AH162" i="63" s="1"/>
  <c r="AI162" i="63"/>
  <c r="AB162" i="63" l="1"/>
  <c r="AG162" i="63" s="1"/>
  <c r="AL162" i="63" l="1"/>
  <c r="AA163" i="63" s="1"/>
  <c r="AP163" i="63" s="1"/>
  <c r="AF162" i="63"/>
  <c r="Y163" i="63"/>
  <c r="AJ162" i="63" l="1"/>
  <c r="AK162" i="63" s="1"/>
  <c r="AC163" i="63"/>
  <c r="AH163" i="63" s="1"/>
  <c r="AI163" i="63"/>
  <c r="AB163" i="63" l="1"/>
  <c r="AG163" i="63" s="1"/>
  <c r="AL163" i="63" l="1"/>
  <c r="AJ163" i="63" s="1"/>
  <c r="AK163" i="63" s="1"/>
  <c r="AF163" i="63"/>
  <c r="AA164" i="63"/>
  <c r="AP164" i="63" s="1"/>
  <c r="Y164" i="63"/>
  <c r="AC164" i="63" l="1"/>
  <c r="AH164" i="63" s="1"/>
  <c r="AI164" i="63"/>
  <c r="AB164" i="63" l="1"/>
  <c r="AL164" i="63" s="1"/>
  <c r="AA165" i="63" s="1"/>
  <c r="AP165" i="63" s="1"/>
  <c r="AG164" i="63" l="1"/>
  <c r="Y165" i="63"/>
  <c r="AJ164" i="63"/>
  <c r="AK164" i="63" s="1"/>
  <c r="AF164" i="63"/>
  <c r="AC165" i="63"/>
  <c r="AH165" i="63" s="1"/>
  <c r="AI165" i="63"/>
  <c r="AB165" i="63" l="1"/>
  <c r="AL165" i="63" s="1"/>
  <c r="AJ165" i="63" s="1"/>
  <c r="AK165" i="63" s="1"/>
  <c r="AF165" i="63" l="1"/>
  <c r="AG165" i="63"/>
  <c r="Y166" i="63"/>
  <c r="AA166" i="63"/>
  <c r="AP166" i="63" s="1"/>
  <c r="AC166" i="63"/>
  <c r="AH166" i="63" s="1"/>
  <c r="AI166" i="63" l="1"/>
  <c r="AB166" i="63"/>
  <c r="AL166" i="63" s="1"/>
  <c r="AA167" i="63" s="1"/>
  <c r="AP167" i="63" s="1"/>
  <c r="AF166" i="63" l="1"/>
  <c r="AJ166" i="63"/>
  <c r="AK166" i="63" s="1"/>
  <c r="AG166" i="63"/>
  <c r="Y167" i="63"/>
  <c r="AC167" i="63" s="1"/>
  <c r="AH167" i="63" s="1"/>
  <c r="AI167" i="63"/>
  <c r="AB167" i="63" l="1"/>
  <c r="AL167" i="63" s="1"/>
  <c r="AJ167" i="63" s="1"/>
  <c r="AK167" i="63" s="1"/>
  <c r="AG167" i="63" l="1"/>
  <c r="AF167" i="63"/>
  <c r="Y168" i="63"/>
  <c r="AA168" i="63"/>
  <c r="AP168" i="63" s="1"/>
  <c r="AC168" i="63"/>
  <c r="AH168" i="63" s="1"/>
  <c r="AI168" i="63" l="1"/>
  <c r="AB168" i="63"/>
  <c r="AL168" i="63" s="1"/>
  <c r="AJ168" i="63" s="1"/>
  <c r="AK168" i="63" s="1"/>
  <c r="AG168" i="63" l="1"/>
  <c r="AF168" i="63"/>
  <c r="Y169" i="63"/>
  <c r="AA169" i="63"/>
  <c r="AP169" i="63" s="1"/>
  <c r="AC169" i="63"/>
  <c r="AH169" i="63" s="1"/>
  <c r="AI169" i="63" l="1"/>
  <c r="AB169" i="63"/>
  <c r="AG169" i="63" s="1"/>
  <c r="AL169" i="63" l="1"/>
  <c r="AF169" i="63"/>
  <c r="AA170" i="63"/>
  <c r="AP170" i="63" s="1"/>
  <c r="AJ169" i="63"/>
  <c r="AK169" i="63" s="1"/>
  <c r="Y170" i="63"/>
  <c r="AC170" i="63" l="1"/>
  <c r="AH170" i="63" s="1"/>
  <c r="AI170" i="63"/>
  <c r="AB170" i="63" l="1"/>
  <c r="AG170" i="63" s="1"/>
  <c r="AF170" i="63"/>
  <c r="AL170" i="63" l="1"/>
  <c r="AA171" i="63" s="1"/>
  <c r="AP171" i="63" s="1"/>
  <c r="AJ170" i="63" l="1"/>
  <c r="AK170" i="63" s="1"/>
  <c r="Y171" i="63"/>
  <c r="AC171" i="63" s="1"/>
  <c r="AH171" i="63" s="1"/>
  <c r="AI171" i="63"/>
  <c r="AB171" i="63" l="1"/>
  <c r="AL171" i="63" s="1"/>
  <c r="AJ171" i="63" s="1"/>
  <c r="AK171" i="63" s="1"/>
  <c r="Y172" i="63" l="1"/>
  <c r="AG171" i="63"/>
  <c r="AF171" i="63"/>
  <c r="AA172" i="63"/>
  <c r="AC172" i="63"/>
  <c r="AH172" i="63" s="1"/>
  <c r="AI172" i="63" l="1"/>
  <c r="AP172" i="63"/>
  <c r="AB172" i="63"/>
  <c r="AF172" i="63" s="1"/>
  <c r="AG172" i="63" l="1"/>
  <c r="AL172" i="63"/>
  <c r="AA173" i="63" s="1"/>
  <c r="AP173" i="63" s="1"/>
  <c r="Y173" i="63"/>
  <c r="AJ172" i="63" l="1"/>
  <c r="AK172" i="63" s="1"/>
  <c r="AC173" i="63"/>
  <c r="AH173"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K176" i="63" s="1"/>
  <c r="AA177" i="63"/>
  <c r="AP177" i="63" s="1"/>
  <c r="Y177" i="63"/>
  <c r="AG176" i="63"/>
  <c r="AF176" i="63"/>
  <c r="AC177" i="63" l="1"/>
  <c r="AH177" i="63" s="1"/>
  <c r="AI177" i="63"/>
  <c r="AB177" i="63" l="1"/>
  <c r="AL177" i="63" s="1"/>
  <c r="AJ177" i="63" s="1"/>
  <c r="AK177" i="63" s="1"/>
  <c r="AG177" i="63" l="1"/>
  <c r="AF177" i="63"/>
  <c r="Y178" i="63"/>
  <c r="AC178" i="63" s="1"/>
  <c r="AH178" i="63" s="1"/>
  <c r="AA178" i="63"/>
  <c r="AP178" i="63" s="1"/>
  <c r="AI178" i="63" l="1"/>
  <c r="AB178" i="63"/>
  <c r="AG178" i="63" s="1"/>
  <c r="AF178" i="63" l="1"/>
  <c r="AL178" i="63"/>
  <c r="AJ178" i="63" s="1"/>
  <c r="AK178" i="63" s="1"/>
  <c r="Y179" i="63" l="1"/>
  <c r="AA179" i="63"/>
  <c r="AP179" i="63" s="1"/>
  <c r="AC179" i="63"/>
  <c r="AH179" i="63" s="1"/>
  <c r="AI179" i="63"/>
  <c r="AB179" i="63" l="1"/>
  <c r="AF179" i="63" s="1"/>
  <c r="AG179" i="63" l="1"/>
  <c r="AL179" i="63"/>
  <c r="AJ179" i="63" s="1"/>
  <c r="AK179" i="63" s="1"/>
  <c r="AA180" i="63"/>
  <c r="AP180" i="63" s="1"/>
  <c r="Y180" i="63" l="1"/>
  <c r="AC180" i="63" s="1"/>
  <c r="AH180" i="63" s="1"/>
  <c r="AI180" i="63"/>
  <c r="AB180" i="63" l="1"/>
  <c r="AL180" i="63" s="1"/>
  <c r="AJ180" i="63" s="1"/>
  <c r="AK180" i="63" s="1"/>
  <c r="AG180" i="63" l="1"/>
  <c r="AF180" i="63"/>
  <c r="Y181" i="63"/>
  <c r="AC181" i="63" s="1"/>
  <c r="AH181" i="63" s="1"/>
  <c r="AA181" i="63"/>
  <c r="AP181" i="63" s="1"/>
  <c r="AI181" i="63" l="1"/>
  <c r="AB181" i="63"/>
  <c r="AL181" i="63" s="1"/>
  <c r="AJ181" i="63" s="1"/>
  <c r="AK181" i="63" s="1"/>
  <c r="Y182" i="63"/>
  <c r="AF181" i="63"/>
  <c r="AG181" i="63"/>
  <c r="AA182" i="63" l="1"/>
  <c r="AP182" i="63" s="1"/>
  <c r="AC182" i="63"/>
  <c r="AH182" i="63" s="1"/>
  <c r="AI182" i="63"/>
  <c r="AB182" i="63" l="1"/>
  <c r="AF182" i="63"/>
  <c r="AG182" i="63"/>
  <c r="AL182" i="63"/>
  <c r="AJ182" i="63" l="1"/>
  <c r="AK182" i="63" s="1"/>
  <c r="AA183" i="63"/>
  <c r="AP183" i="63" s="1"/>
  <c r="Y183" i="63"/>
  <c r="AC183" i="63" l="1"/>
  <c r="AH183" i="63" s="1"/>
  <c r="AI183" i="63"/>
  <c r="AB183" i="63" l="1"/>
  <c r="AG183" i="63" s="1"/>
  <c r="AF183" i="63" l="1"/>
  <c r="AL183" i="63"/>
  <c r="AA184" i="63" s="1"/>
  <c r="AP184" i="63" s="1"/>
  <c r="Y184" i="63" l="1"/>
  <c r="AJ183" i="63"/>
  <c r="AK183" i="63" s="1"/>
  <c r="AC184" i="63"/>
  <c r="AH184" i="63" s="1"/>
  <c r="AI184" i="63"/>
  <c r="AB184" i="63" l="1"/>
  <c r="AL184" i="63" s="1"/>
  <c r="AJ184" i="63" s="1"/>
  <c r="AK184" i="63" s="1"/>
  <c r="AG184" i="63" l="1"/>
  <c r="AF184" i="63"/>
  <c r="Y185" i="63"/>
  <c r="AA185" i="63"/>
  <c r="AC185" i="63"/>
  <c r="AH185" i="63" s="1"/>
  <c r="AI185" i="63" l="1"/>
  <c r="AP185" i="63"/>
  <c r="AB185" i="63"/>
  <c r="AG185" i="63" s="1"/>
  <c r="AL185" i="63" l="1"/>
  <c r="Y186" i="63" s="1"/>
  <c r="AF185" i="63"/>
  <c r="AA186" i="63" l="1"/>
  <c r="AP186" i="63" s="1"/>
  <c r="AJ185" i="63"/>
  <c r="AK185" i="63" s="1"/>
  <c r="AC186" i="63"/>
  <c r="AH186" i="63" s="1"/>
  <c r="AI186" i="63"/>
  <c r="AB186" i="63" l="1"/>
  <c r="AF186" i="63" s="1"/>
  <c r="AL186" i="63" l="1"/>
  <c r="AG186" i="63"/>
  <c r="AJ186" i="63"/>
  <c r="AK186" i="63" s="1"/>
  <c r="AA187" i="63"/>
  <c r="AP187" i="63" s="1"/>
  <c r="Y187" i="63"/>
  <c r="AC187" i="63" l="1"/>
  <c r="AH187" i="63" s="1"/>
  <c r="AI187" i="63"/>
  <c r="AB187" i="63" l="1"/>
  <c r="AG187" i="63" s="1"/>
  <c r="AL187" i="63" l="1"/>
  <c r="AF187" i="63"/>
  <c r="AA188" i="63"/>
  <c r="AP188" i="63" s="1"/>
  <c r="AJ187" i="63"/>
  <c r="AK187" i="63" s="1"/>
  <c r="Y188" i="63"/>
  <c r="AC188" i="63" l="1"/>
  <c r="AH188" i="63" s="1"/>
  <c r="AI188" i="63"/>
  <c r="AB188" i="63" l="1"/>
  <c r="AF188" i="63" s="1"/>
  <c r="AL188" i="63" l="1"/>
  <c r="AG188" i="63"/>
  <c r="AJ188" i="63"/>
  <c r="AK188" i="63" s="1"/>
  <c r="AA189" i="63"/>
  <c r="AP189" i="63" s="1"/>
  <c r="Y189" i="63"/>
  <c r="AC189" i="63" l="1"/>
  <c r="AH189" i="63" s="1"/>
  <c r="AI189" i="63"/>
  <c r="AB189" i="63" l="1"/>
  <c r="AL189" i="63" s="1"/>
  <c r="AJ189" i="63" s="1"/>
  <c r="AK189" i="63" s="1"/>
  <c r="AF189" i="63"/>
  <c r="AG189" i="63"/>
  <c r="Y190" i="63" l="1"/>
  <c r="AA190" i="63"/>
  <c r="AP190" i="63" s="1"/>
  <c r="AC190" i="63"/>
  <c r="AH190" i="63" s="1"/>
  <c r="AI190" i="63"/>
  <c r="AB190" i="63" l="1"/>
  <c r="AF190" i="63" s="1"/>
  <c r="AL190" i="63" l="1"/>
  <c r="AJ190" i="63" s="1"/>
  <c r="AK190" i="63" s="1"/>
  <c r="AG190" i="63"/>
  <c r="AA191" i="63"/>
  <c r="AP191" i="63" s="1"/>
  <c r="Y191" i="63"/>
  <c r="AC191" i="63" l="1"/>
  <c r="AH191" i="63" s="1"/>
  <c r="AI191" i="63"/>
  <c r="AB191" i="63" l="1"/>
  <c r="AG191" i="63" s="1"/>
  <c r="AL191" i="63" l="1"/>
  <c r="AA192" i="63" s="1"/>
  <c r="AP192" i="63" s="1"/>
  <c r="AF191" i="63"/>
  <c r="Y192" i="63" l="1"/>
  <c r="AC192" i="63" s="1"/>
  <c r="AH192" i="63" s="1"/>
  <c r="AJ191" i="63"/>
  <c r="AK191" i="63" s="1"/>
  <c r="AI192" i="63"/>
  <c r="AB192" i="63" l="1"/>
  <c r="AF192" i="63" s="1"/>
  <c r="AL192" i="63" l="1"/>
  <c r="AJ192" i="63" s="1"/>
  <c r="AK192" i="63" s="1"/>
  <c r="AG192" i="63"/>
  <c r="Y193" i="63"/>
  <c r="AA193" i="63" l="1"/>
  <c r="AP193" i="63" s="1"/>
  <c r="AC193" i="63"/>
  <c r="AH193" i="63" s="1"/>
  <c r="AI193" i="63"/>
  <c r="AB193" i="63" l="1"/>
  <c r="AG193" i="63" s="1"/>
  <c r="AL193" i="63" l="1"/>
  <c r="AJ193" i="63" s="1"/>
  <c r="AK193" i="63" s="1"/>
  <c r="AF193" i="63"/>
  <c r="Y194" i="63" l="1"/>
  <c r="AC194" i="63" s="1"/>
  <c r="AH194" i="63" s="1"/>
  <c r="AA194" i="63"/>
  <c r="AP194" i="63" s="1"/>
  <c r="AI194" i="63" l="1"/>
  <c r="AB194" i="63"/>
  <c r="AF194" i="63" l="1"/>
  <c r="AG194" i="63"/>
  <c r="AL194" i="63"/>
  <c r="AA195" i="63" l="1"/>
  <c r="AP195" i="63" s="1"/>
  <c r="AJ194" i="63"/>
  <c r="AK194" i="63" s="1"/>
  <c r="Y195" i="63"/>
  <c r="AC195" i="63" l="1"/>
  <c r="AH195" i="63" s="1"/>
  <c r="AI195" i="63"/>
  <c r="AB195" i="63" l="1"/>
  <c r="AG195" i="63" s="1"/>
  <c r="AF195" i="63"/>
  <c r="AL195" i="63"/>
  <c r="AJ195" i="63" l="1"/>
  <c r="AK195" i="63" s="1"/>
  <c r="AA196" i="63"/>
  <c r="AP196" i="63" s="1"/>
  <c r="Y196" i="63"/>
  <c r="AC196" i="63" l="1"/>
  <c r="AH196" i="63" s="1"/>
  <c r="AI196" i="63"/>
  <c r="AB196" i="63" l="1"/>
  <c r="AG196" i="63" s="1"/>
  <c r="AL196" i="63" l="1"/>
  <c r="AA197" i="63" s="1"/>
  <c r="AP197" i="63" s="1"/>
  <c r="AF196" i="63"/>
  <c r="AJ196" i="63" l="1"/>
  <c r="AK196" i="63" s="1"/>
  <c r="Y197" i="63"/>
  <c r="AC197" i="63" s="1"/>
  <c r="AH197" i="63" s="1"/>
  <c r="AI197" i="63"/>
  <c r="AB197" i="63" l="1"/>
  <c r="AG197" i="63" s="1"/>
  <c r="AL197" i="63" l="1"/>
  <c r="AJ197" i="63" s="1"/>
  <c r="AK197" i="63" s="1"/>
  <c r="AF197" i="63"/>
  <c r="AA198" i="63"/>
  <c r="AP198" i="63" s="1"/>
  <c r="Y198" i="63" l="1"/>
  <c r="AC198" i="63" s="1"/>
  <c r="AH198" i="63" s="1"/>
  <c r="AI198" i="63"/>
  <c r="AB198" i="63" l="1"/>
  <c r="AG198" i="63" s="1"/>
  <c r="AF198" i="63" l="1"/>
  <c r="AL198" i="63"/>
  <c r="AJ198" i="63" s="1"/>
  <c r="AK198" i="63" s="1"/>
  <c r="AA199" i="63"/>
  <c r="AP199" i="63" s="1"/>
  <c r="Y199" i="63" l="1"/>
  <c r="AC199" i="63" s="1"/>
  <c r="AH199" i="63" s="1"/>
  <c r="AI199" i="63"/>
  <c r="AB199" i="63" l="1"/>
  <c r="AG199" i="63" s="1"/>
  <c r="AL199" i="63" l="1"/>
  <c r="AF199" i="63"/>
  <c r="AJ199" i="63"/>
  <c r="AK199" i="63" s="1"/>
  <c r="AA200" i="63"/>
  <c r="AP200" i="63" s="1"/>
  <c r="Y200" i="63"/>
  <c r="AC200" i="63" l="1"/>
  <c r="AH200" i="63" s="1"/>
  <c r="AI200" i="63"/>
  <c r="AB200" i="63" l="1"/>
  <c r="AG200" i="63" s="1"/>
  <c r="AF200" i="63"/>
  <c r="AL200" i="63" l="1"/>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AJ202" i="63"/>
  <c r="AK202" i="63" s="1"/>
  <c r="Y203" i="63"/>
  <c r="AC203" i="63" l="1"/>
  <c r="AH203" i="63" s="1"/>
  <c r="AI203" i="63"/>
  <c r="AB203" i="63" l="1"/>
  <c r="AF203" i="63" s="1"/>
  <c r="AL203" i="63" l="1"/>
  <c r="AJ203" i="63" s="1"/>
  <c r="AK203" i="63" s="1"/>
  <c r="AG203" i="63"/>
  <c r="AA204" i="63"/>
  <c r="AP204" i="63" s="1"/>
  <c r="Y204" i="63"/>
  <c r="AC204" i="63" l="1"/>
  <c r="AH204" i="63" s="1"/>
  <c r="AI204" i="63"/>
  <c r="AB204" i="63" l="1"/>
  <c r="AL204" i="63" s="1"/>
  <c r="AJ204" i="63" s="1"/>
  <c r="AK204" i="63" s="1"/>
  <c r="AG204" i="63" l="1"/>
  <c r="AA205" i="63"/>
  <c r="AP205" i="63" s="1"/>
  <c r="AF204" i="63"/>
  <c r="Y205" i="63"/>
  <c r="AC205" i="63" s="1"/>
  <c r="AH205" i="63" s="1"/>
  <c r="AI205" i="63" l="1"/>
  <c r="AB205" i="63"/>
  <c r="AL205" i="63" s="1"/>
  <c r="AJ205" i="63" s="1"/>
  <c r="AF205" i="63"/>
  <c r="AK205" i="63" l="1"/>
  <c r="AG205" i="63"/>
  <c r="Y206" i="63"/>
  <c r="AA206" i="63"/>
  <c r="AP206" i="63" s="1"/>
  <c r="AC206" i="63"/>
  <c r="AH206" i="63" s="1"/>
  <c r="AI206" i="63" l="1"/>
  <c r="AB206" i="63"/>
  <c r="AF206" i="63" s="1"/>
  <c r="AL206" i="63" l="1"/>
  <c r="AJ206" i="63" s="1"/>
  <c r="AK206" i="63" s="1"/>
  <c r="AG206" i="63"/>
  <c r="AA207" i="63"/>
  <c r="AP207" i="63" s="1"/>
  <c r="Y207" i="63"/>
  <c r="AC207" i="63" l="1"/>
  <c r="AH207" i="63" s="1"/>
  <c r="AI207" i="63"/>
  <c r="AB207" i="63" l="1"/>
  <c r="AG207" i="63" s="1"/>
  <c r="AL207" i="63" l="1"/>
  <c r="AF207" i="63"/>
  <c r="AJ207" i="63"/>
  <c r="AK207" i="63" s="1"/>
  <c r="AA208" i="63"/>
  <c r="AP208" i="63" s="1"/>
  <c r="Y208" i="63"/>
  <c r="AC208" i="63" l="1"/>
  <c r="AH208" i="63" s="1"/>
  <c r="AI208" i="63"/>
  <c r="AB208" i="63" l="1"/>
  <c r="AF208" i="63" s="1"/>
  <c r="AL208" i="63"/>
  <c r="AG208" i="63" l="1"/>
  <c r="AJ208" i="63"/>
  <c r="AK208" i="63" s="1"/>
  <c r="AA209" i="63"/>
  <c r="AP209" i="63" s="1"/>
  <c r="Y209" i="63"/>
  <c r="AC209" i="63" l="1"/>
  <c r="AH209" i="63" s="1"/>
  <c r="AI209" i="63"/>
  <c r="AB209" i="63" l="1"/>
  <c r="AL209" i="63" s="1"/>
  <c r="AJ209" i="63" s="1"/>
  <c r="AK209" i="63" s="1"/>
  <c r="AG209" i="63" l="1"/>
  <c r="AF209" i="63"/>
  <c r="AA210" i="63"/>
  <c r="AP210" i="63" s="1"/>
  <c r="Y210" i="63"/>
  <c r="AC210" i="63" s="1"/>
  <c r="AH210" i="63" s="1"/>
  <c r="AI210" i="63" l="1"/>
  <c r="AB210" i="63"/>
  <c r="AG210" i="63" s="1"/>
  <c r="AL210" i="63" l="1"/>
  <c r="AJ210" i="63" s="1"/>
  <c r="AK210" i="63" s="1"/>
  <c r="AF210" i="63"/>
  <c r="Y211" i="63" l="1"/>
  <c r="AC211" i="63" s="1"/>
  <c r="AH211" i="63" s="1"/>
  <c r="AA211" i="63"/>
  <c r="AP211" i="63" s="1"/>
  <c r="AI211" i="63" l="1"/>
  <c r="AB211" i="63"/>
  <c r="AG211" i="63" s="1"/>
  <c r="AL211" i="63" l="1"/>
  <c r="AF211" i="63"/>
  <c r="AJ211" i="63"/>
  <c r="AK211" i="63" s="1"/>
  <c r="AA212" i="63"/>
  <c r="AP212" i="63" s="1"/>
  <c r="Y212" i="63"/>
  <c r="AC212" i="63" l="1"/>
  <c r="AH212" i="63" s="1"/>
  <c r="AI212" i="63"/>
  <c r="AB212" i="63" l="1"/>
  <c r="AF212" i="63"/>
  <c r="AG212" i="63"/>
  <c r="AL212" i="63"/>
  <c r="AJ212" i="63" l="1"/>
  <c r="AK212" i="63" s="1"/>
  <c r="AA213" i="63"/>
  <c r="AP213" i="63" s="1"/>
  <c r="Y213" i="63"/>
  <c r="AC213" i="63" l="1"/>
  <c r="AH213" i="63" s="1"/>
  <c r="AI213" i="63"/>
  <c r="AB213" i="63" l="1"/>
  <c r="AL213" i="63" s="1"/>
  <c r="AJ213" i="63" s="1"/>
  <c r="AK213" i="63" s="1"/>
  <c r="AF213" i="63" l="1"/>
  <c r="Y214" i="63"/>
  <c r="AG213" i="63"/>
  <c r="AA214" i="63"/>
  <c r="AP214" i="63" s="1"/>
  <c r="AC214" i="63"/>
  <c r="AH214" i="63" s="1"/>
  <c r="AI214" i="63"/>
  <c r="AB214" i="63" l="1"/>
  <c r="AF214" i="63" s="1"/>
  <c r="AL214" i="63" l="1"/>
  <c r="AG214" i="63"/>
  <c r="AA215" i="63"/>
  <c r="AP215" i="63" s="1"/>
  <c r="AJ214" i="63"/>
  <c r="AK214" i="63" s="1"/>
  <c r="Y215" i="63"/>
  <c r="AC215" i="63" l="1"/>
  <c r="AH215" i="63" s="1"/>
  <c r="AI215" i="63"/>
  <c r="AB215" i="63" l="1"/>
  <c r="AG215" i="63" s="1"/>
  <c r="AL215" i="63" l="1"/>
  <c r="AF215" i="63"/>
  <c r="AA216" i="63"/>
  <c r="AP216" i="63" s="1"/>
  <c r="AJ215" i="63"/>
  <c r="AK215" i="63" s="1"/>
  <c r="Y216" i="63"/>
  <c r="AC216" i="63" l="1"/>
  <c r="AH216" i="63" s="1"/>
  <c r="AI216" i="63"/>
  <c r="AB216" i="63" l="1"/>
  <c r="AF216" i="63" s="1"/>
  <c r="AL216" i="63" l="1"/>
  <c r="AG216" i="63"/>
  <c r="AA217" i="63"/>
  <c r="AP217" i="63" s="1"/>
  <c r="AJ216" i="63"/>
  <c r="AK216" i="63" s="1"/>
  <c r="Y217" i="63"/>
  <c r="AC217" i="63" l="1"/>
  <c r="AH217" i="63" s="1"/>
  <c r="AI217" i="63"/>
  <c r="AB217" i="63" l="1"/>
  <c r="AL217" i="63" s="1"/>
  <c r="AA218" i="63" s="1"/>
  <c r="AP218" i="63" s="1"/>
  <c r="AG217" i="63"/>
  <c r="AF217" i="63"/>
  <c r="Y218" i="63" l="1"/>
  <c r="AC218" i="63" s="1"/>
  <c r="AH218" i="63" s="1"/>
  <c r="AJ217" i="63"/>
  <c r="AK217" i="63" s="1"/>
  <c r="AI218" i="63"/>
  <c r="AB218" i="63" l="1"/>
  <c r="AF218" i="63" s="1"/>
  <c r="AL218" i="63"/>
  <c r="AG218" i="63" l="1"/>
  <c r="AJ218" i="63"/>
  <c r="AK218" i="63" s="1"/>
  <c r="AA219" i="63"/>
  <c r="AP219" i="63" s="1"/>
  <c r="Y219" i="63"/>
  <c r="AC219" i="63" l="1"/>
  <c r="AH219" i="63" s="1"/>
  <c r="AI219" i="63"/>
  <c r="AB219" i="63" l="1"/>
  <c r="AF219" i="63" s="1"/>
  <c r="AL219" i="63" l="1"/>
  <c r="AG219" i="63"/>
  <c r="AJ219" i="63"/>
  <c r="AK219" i="63" s="1"/>
  <c r="AA220" i="63"/>
  <c r="AP220" i="63" s="1"/>
  <c r="Y220" i="63"/>
  <c r="AC220" i="63" l="1"/>
  <c r="AH220" i="63" s="1"/>
  <c r="AI220" i="63"/>
  <c r="AB220" i="63" l="1"/>
  <c r="AG220" i="63" s="1"/>
  <c r="AL220" i="63" l="1"/>
  <c r="AJ220" i="63" s="1"/>
  <c r="AK220" i="63" s="1"/>
  <c r="AF220" i="63"/>
  <c r="Y221" i="63" l="1"/>
  <c r="AA221" i="63"/>
  <c r="AP221" i="63" s="1"/>
  <c r="AC221" i="63"/>
  <c r="AH221" i="63" s="1"/>
  <c r="AI221" i="63"/>
  <c r="AB221" i="63" l="1"/>
  <c r="AL221" i="63" s="1"/>
  <c r="AJ221" i="63" s="1"/>
  <c r="AK221" i="63" s="1"/>
  <c r="AG221" i="63" l="1"/>
  <c r="AF221" i="63"/>
  <c r="Y222" i="63"/>
  <c r="AA222" i="63"/>
  <c r="AP222" i="63" s="1"/>
  <c r="AC222" i="63"/>
  <c r="AH222" i="63" s="1"/>
  <c r="AI222" i="63" l="1"/>
  <c r="AB222" i="63"/>
  <c r="AF222" i="63" s="1"/>
  <c r="AL222" i="63"/>
  <c r="AG222" i="63" l="1"/>
  <c r="AJ222" i="63"/>
  <c r="AK222" i="63" s="1"/>
  <c r="AA223" i="63"/>
  <c r="AP223" i="63" s="1"/>
  <c r="Y223" i="63"/>
  <c r="AC223" i="63" l="1"/>
  <c r="AH223" i="63" s="1"/>
  <c r="AI223" i="63"/>
  <c r="AB223" i="63" l="1"/>
  <c r="AF223" i="63" s="1"/>
  <c r="AL223" i="63" l="1"/>
  <c r="AG223" i="63"/>
  <c r="AJ223" i="63"/>
  <c r="AK223" i="63" s="1"/>
  <c r="AA224" i="63"/>
  <c r="AP224" i="63" s="1"/>
  <c r="Y224" i="63"/>
  <c r="AC224" i="63" l="1"/>
  <c r="AH224" i="63" s="1"/>
  <c r="AI224" i="63"/>
  <c r="AB224" i="63" l="1"/>
  <c r="AL224" i="63" s="1"/>
  <c r="AJ224" i="63" s="1"/>
  <c r="AK224" i="63" s="1"/>
  <c r="AA225" i="63"/>
  <c r="AP225" i="63" s="1"/>
  <c r="Y225" i="63"/>
  <c r="AF224" i="63"/>
  <c r="AG224" i="63"/>
  <c r="AC225" i="63" l="1"/>
  <c r="AH225" i="63" s="1"/>
  <c r="AI225" i="63"/>
  <c r="AB225" i="63" l="1"/>
  <c r="AL225" i="63" s="1"/>
  <c r="AA226" i="63" s="1"/>
  <c r="AP226" i="63" s="1"/>
  <c r="AG225" i="63" l="1"/>
  <c r="AF225" i="63"/>
  <c r="Y226" i="63"/>
  <c r="AJ225" i="63"/>
  <c r="AK225" i="63" s="1"/>
  <c r="AC226" i="63"/>
  <c r="AH226" i="63" s="1"/>
  <c r="AI226" i="63"/>
  <c r="AB226" i="63" l="1"/>
  <c r="AG226" i="63" s="1"/>
  <c r="AF226" i="63"/>
  <c r="AL226" i="63"/>
  <c r="AJ226" i="63" l="1"/>
  <c r="AK226" i="63" s="1"/>
  <c r="AA227" i="63"/>
  <c r="AP227" i="63" s="1"/>
  <c r="Y227" i="63"/>
  <c r="AC227" i="63" l="1"/>
  <c r="AH227" i="63" s="1"/>
  <c r="AI227" i="63"/>
  <c r="AB227" i="63" l="1"/>
  <c r="AL227" i="63" s="1"/>
  <c r="AA228" i="63" s="1"/>
  <c r="AP228" i="63" s="1"/>
  <c r="AF227" i="63"/>
  <c r="AG227" i="63"/>
  <c r="Y228" i="63" l="1"/>
  <c r="AJ227" i="63"/>
  <c r="AK227" i="63" s="1"/>
  <c r="AC228" i="63"/>
  <c r="AH228" i="63" s="1"/>
  <c r="AI228" i="63"/>
  <c r="AB228" i="63" l="1"/>
  <c r="AL228" i="63" s="1"/>
  <c r="AJ228" i="63" s="1"/>
  <c r="AK228" i="63" s="1"/>
  <c r="AG228" i="63" l="1"/>
  <c r="AF228" i="63"/>
  <c r="Y229" i="63"/>
  <c r="AA229" i="63"/>
  <c r="AP229" i="63" s="1"/>
  <c r="AC229" i="63"/>
  <c r="AH229" i="63" s="1"/>
  <c r="AI229" i="63"/>
  <c r="AB229" i="63" l="1"/>
  <c r="AG229" i="63" s="1"/>
  <c r="AL229" i="63" l="1"/>
  <c r="AF229" i="63"/>
  <c r="AA230" i="63"/>
  <c r="AP230" i="63" s="1"/>
  <c r="AJ229" i="63"/>
  <c r="AK229" i="63" s="1"/>
  <c r="Y230" i="63"/>
  <c r="AC230" i="63" l="1"/>
  <c r="AH230" i="63" s="1"/>
  <c r="AI230" i="63"/>
  <c r="AB230" i="63" l="1"/>
  <c r="AF230" i="63" s="1"/>
  <c r="AL230" i="63" l="1"/>
  <c r="AG230" i="63"/>
  <c r="AA231" i="63"/>
  <c r="AP231" i="63" s="1"/>
  <c r="AJ230" i="63"/>
  <c r="AK230" i="63" s="1"/>
  <c r="Y231" i="63"/>
  <c r="AC231" i="63" l="1"/>
  <c r="AH231" i="63" s="1"/>
  <c r="AI231" i="63"/>
  <c r="AB231" i="63" l="1"/>
  <c r="AF231" i="63" s="1"/>
  <c r="AL231" i="63"/>
  <c r="AG231" i="63" l="1"/>
  <c r="AA232" i="63"/>
  <c r="AP232" i="63" s="1"/>
  <c r="AJ231" i="63"/>
  <c r="AK231" i="63" s="1"/>
  <c r="Y232" i="63"/>
  <c r="AC232" i="63" l="1"/>
  <c r="AH232" i="63" s="1"/>
  <c r="AI232" i="63"/>
  <c r="AB232" i="63" l="1"/>
  <c r="AF232" i="63" s="1"/>
  <c r="AG232" i="63" l="1"/>
  <c r="AL232" i="63"/>
  <c r="AJ232" i="63" s="1"/>
  <c r="AK232" i="63" s="1"/>
  <c r="AA233" i="63"/>
  <c r="AP233" i="63" s="1"/>
  <c r="Y233" i="63"/>
  <c r="AC233" i="63" l="1"/>
  <c r="AH233" i="63" s="1"/>
  <c r="AI233" i="63"/>
  <c r="AB233" i="63" l="1"/>
  <c r="AL233" i="63" s="1"/>
  <c r="AJ233" i="63" s="1"/>
  <c r="AK233" i="63" s="1"/>
  <c r="AF233" i="63"/>
  <c r="AG233" i="63" l="1"/>
  <c r="Y234" i="63"/>
  <c r="AA234" i="63"/>
  <c r="AP234" i="63" s="1"/>
  <c r="AC234" i="63"/>
  <c r="AH234" i="63" s="1"/>
  <c r="AI234" i="63" l="1"/>
  <c r="AB234" i="63"/>
  <c r="AF234" i="63" s="1"/>
  <c r="AL234" i="63" l="1"/>
  <c r="AG234" i="63"/>
  <c r="AA235" i="63"/>
  <c r="AP235" i="63" s="1"/>
  <c r="AJ234" i="63"/>
  <c r="AK234" i="63" s="1"/>
  <c r="Y235" i="63"/>
  <c r="AC235" i="63" l="1"/>
  <c r="AH235" i="63" s="1"/>
  <c r="AI235" i="63"/>
  <c r="AB235" i="63" l="1"/>
  <c r="AG235" i="63" s="1"/>
  <c r="AL235" i="63" l="1"/>
  <c r="AJ235" i="63" s="1"/>
  <c r="AK235" i="63" s="1"/>
  <c r="AF235" i="63"/>
  <c r="Y236" i="63" l="1"/>
  <c r="AA236" i="63"/>
  <c r="AP236" i="63" s="1"/>
  <c r="AC236" i="63"/>
  <c r="AH236" i="63" s="1"/>
  <c r="AI236" i="63" l="1"/>
  <c r="AB236" i="63"/>
  <c r="AL236" i="63" s="1"/>
  <c r="AJ236" i="63" s="1"/>
  <c r="AK236" i="63" l="1"/>
  <c r="AF236" i="63"/>
  <c r="AG236" i="63"/>
  <c r="Y237" i="63"/>
  <c r="AA237" i="63"/>
  <c r="AP237" i="63" s="1"/>
  <c r="AC237" i="63"/>
  <c r="AH237" i="63" s="1"/>
  <c r="AI237" i="63" l="1"/>
  <c r="AB237" i="63"/>
  <c r="AL237" i="63" s="1"/>
  <c r="AJ237" i="63" s="1"/>
  <c r="AG237" i="63"/>
  <c r="AK237" i="63" l="1"/>
  <c r="AF237" i="63"/>
  <c r="Y238" i="63"/>
  <c r="AC238" i="63" s="1"/>
  <c r="AH238" i="63" s="1"/>
  <c r="AA238" i="63"/>
  <c r="AP238" i="63" s="1"/>
  <c r="AI238" i="63" l="1"/>
  <c r="AB238" i="63"/>
  <c r="AF238" i="63" s="1"/>
  <c r="AL238" i="63"/>
  <c r="AG238" i="63" l="1"/>
  <c r="AJ238" i="63"/>
  <c r="AK238" i="63" s="1"/>
  <c r="AA239" i="63"/>
  <c r="AP239" i="63" s="1"/>
  <c r="Y239" i="63"/>
  <c r="AC239" i="63" l="1"/>
  <c r="AH239" i="63" s="1"/>
  <c r="AI239" i="63"/>
  <c r="AB239" i="63" l="1"/>
  <c r="AG239" i="63" s="1"/>
  <c r="AL239" i="63" l="1"/>
  <c r="AJ239" i="63" s="1"/>
  <c r="AK239" i="63" s="1"/>
  <c r="AF239" i="63"/>
  <c r="Y240" i="63" l="1"/>
  <c r="AC240" i="63" s="1"/>
  <c r="AH240" i="63" s="1"/>
  <c r="AA240" i="63"/>
  <c r="AP240" i="63" s="1"/>
  <c r="AI240" i="63" l="1"/>
  <c r="AB240" i="63"/>
  <c r="AF240" i="63" s="1"/>
  <c r="AL240" i="63" l="1"/>
  <c r="AJ240" i="63" s="1"/>
  <c r="AK240" i="63" s="1"/>
  <c r="AG240" i="63"/>
  <c r="AA241" i="63" l="1"/>
  <c r="AP241" i="63" s="1"/>
  <c r="Y241" i="63"/>
  <c r="AC241" i="63"/>
  <c r="AH241" i="63" s="1"/>
  <c r="AI241" i="63"/>
  <c r="AB241" i="63" l="1"/>
  <c r="AL241" i="63" s="1"/>
  <c r="AJ241" i="63" s="1"/>
  <c r="AK241" i="63" s="1"/>
  <c r="AG241" i="63" l="1"/>
  <c r="AF241" i="63"/>
  <c r="Y242" i="63"/>
  <c r="AA242" i="63"/>
  <c r="AP242" i="63" s="1"/>
  <c r="AC242" i="63"/>
  <c r="AH242" i="63" s="1"/>
  <c r="AI242" i="63" l="1"/>
  <c r="AB242" i="63"/>
  <c r="AG242" i="63" s="1"/>
  <c r="AF242" i="63" l="1"/>
  <c r="AL242" i="63"/>
  <c r="AA243" i="63" s="1"/>
  <c r="AP243" i="63" s="1"/>
  <c r="Y243" i="63" l="1"/>
  <c r="AC243" i="63" s="1"/>
  <c r="AH243" i="63" s="1"/>
  <c r="AJ242" i="63"/>
  <c r="AK242" i="63" s="1"/>
  <c r="AI243" i="63"/>
  <c r="AB243" i="63" l="1"/>
  <c r="AG243" i="63" s="1"/>
  <c r="AL243" i="63" l="1"/>
  <c r="AF243" i="63"/>
  <c r="AJ243" i="63"/>
  <c r="AK243" i="63" s="1"/>
  <c r="AA244" i="63"/>
  <c r="AP244" i="63" s="1"/>
  <c r="Y244" i="63"/>
  <c r="AC244" i="63" l="1"/>
  <c r="AH244" i="63" s="1"/>
  <c r="AI244" i="63"/>
  <c r="AB244" i="63" l="1"/>
  <c r="AF244" i="63" s="1"/>
  <c r="AL244" i="63" l="1"/>
  <c r="AA245" i="63" s="1"/>
  <c r="AP245" i="63" s="1"/>
  <c r="AG244" i="63"/>
  <c r="AJ244" i="63"/>
  <c r="AK244" i="63" s="1"/>
  <c r="Y245" i="63"/>
  <c r="AC245" i="63" l="1"/>
  <c r="AH245" i="63" s="1"/>
  <c r="AI245" i="63"/>
  <c r="AB245" i="63" l="1"/>
  <c r="AL245" i="63" s="1"/>
  <c r="AJ245" i="63" s="1"/>
  <c r="AK245" i="63" s="1"/>
  <c r="AF245" i="63" l="1"/>
  <c r="AG245" i="63"/>
  <c r="Y246" i="63"/>
  <c r="AA246" i="63"/>
  <c r="AP246" i="63" s="1"/>
  <c r="AC246" i="63"/>
  <c r="AH246" i="63" s="1"/>
  <c r="AI246" i="63" l="1"/>
  <c r="AB246" i="63"/>
  <c r="AL246" i="63" s="1"/>
  <c r="AA247" i="63" s="1"/>
  <c r="AP247" i="63" s="1"/>
  <c r="AF246" i="63"/>
  <c r="AG246" i="63" l="1"/>
  <c r="Y247" i="63"/>
  <c r="AJ246" i="63"/>
  <c r="AK246" i="63" s="1"/>
  <c r="AC247" i="63"/>
  <c r="AH247" i="63" s="1"/>
  <c r="AI247" i="63"/>
  <c r="AB247" i="63" l="1"/>
  <c r="AG247" i="63" s="1"/>
  <c r="AL247" i="63" l="1"/>
  <c r="AF247" i="63"/>
  <c r="AA248" i="63"/>
  <c r="AP248" i="63" s="1"/>
  <c r="AJ247" i="63"/>
  <c r="AK247" i="63" s="1"/>
  <c r="Y248" i="63"/>
  <c r="AC248" i="63" l="1"/>
  <c r="AH248" i="63" s="1"/>
  <c r="AI248" i="63"/>
  <c r="AB248" i="63" l="1"/>
  <c r="AF248" i="63" s="1"/>
  <c r="AL248" i="63" l="1"/>
  <c r="AG248" i="63"/>
  <c r="AJ248" i="63"/>
  <c r="AK248" i="63" s="1"/>
  <c r="AA249" i="63"/>
  <c r="AP249" i="63" s="1"/>
  <c r="Y249" i="63"/>
  <c r="AC249" i="63" l="1"/>
  <c r="AH249" i="63" s="1"/>
  <c r="AI249" i="63"/>
  <c r="AB249" i="63" l="1"/>
  <c r="AL249" i="63" s="1"/>
  <c r="AJ249" i="63" s="1"/>
  <c r="AK249" i="63" s="1"/>
  <c r="AG249" i="63" l="1"/>
  <c r="AF249" i="63"/>
  <c r="Y250" i="63"/>
  <c r="AA250" i="63"/>
  <c r="AP250" i="63" s="1"/>
  <c r="AC250" i="63"/>
  <c r="AH250" i="63" s="1"/>
  <c r="AI250" i="63" l="1"/>
  <c r="AB250" i="63"/>
  <c r="AG250" i="63" s="1"/>
  <c r="AL250" i="63" l="1"/>
  <c r="AA251" i="63" s="1"/>
  <c r="AP251" i="63" s="1"/>
  <c r="AF250" i="63"/>
  <c r="Y251" i="63" l="1"/>
  <c r="AJ250" i="63"/>
  <c r="AK250" i="63" s="1"/>
  <c r="AC251" i="63"/>
  <c r="AH251" i="63" s="1"/>
  <c r="AI251" i="63"/>
  <c r="AB251" i="63" l="1"/>
  <c r="AG251" i="63" s="1"/>
  <c r="AL251" i="63" l="1"/>
  <c r="AF251" i="63"/>
  <c r="AA252" i="63"/>
  <c r="AP252" i="63" s="1"/>
  <c r="AJ251" i="63"/>
  <c r="AK251" i="63" s="1"/>
  <c r="Y252" i="63"/>
  <c r="AC252" i="63" l="1"/>
  <c r="AH252" i="63" s="1"/>
  <c r="AI252" i="63"/>
  <c r="AB252" i="63" l="1"/>
  <c r="AF252" i="63" s="1"/>
  <c r="AL252" i="63" l="1"/>
  <c r="AG252" i="63"/>
  <c r="AJ252" i="63"/>
  <c r="AK252" i="63" s="1"/>
  <c r="AA253" i="63"/>
  <c r="AP253" i="63" s="1"/>
  <c r="Y253" i="63"/>
  <c r="AC253" i="63" l="1"/>
  <c r="AH253" i="63" s="1"/>
  <c r="AI253" i="63"/>
  <c r="AB253" i="63" l="1"/>
  <c r="AL253" i="63" s="1"/>
  <c r="AJ253" i="63" s="1"/>
  <c r="AK253" i="63" s="1"/>
  <c r="AG253" i="63"/>
  <c r="AF253" i="63" l="1"/>
  <c r="Y254" i="63"/>
  <c r="AA254" i="63"/>
  <c r="AP254" i="63" s="1"/>
  <c r="AC254" i="63"/>
  <c r="AH254" i="63" s="1"/>
  <c r="AI254" i="63" l="1"/>
  <c r="AB254" i="63"/>
  <c r="AG254" i="63" s="1"/>
  <c r="AF254" i="63"/>
  <c r="AL254" i="63"/>
  <c r="AJ254" i="63" l="1"/>
  <c r="AK254" i="63" s="1"/>
  <c r="AA255" i="63"/>
  <c r="AP255" i="63" s="1"/>
  <c r="Y255" i="63"/>
  <c r="AC255" i="63" l="1"/>
  <c r="AH255" i="63" s="1"/>
  <c r="AI255" i="63"/>
  <c r="AB255" i="63" l="1"/>
  <c r="AF255" i="63" s="1"/>
  <c r="AG255" i="63" l="1"/>
  <c r="AL255" i="63"/>
  <c r="AA256" i="63"/>
  <c r="AP256" i="63" s="1"/>
  <c r="AJ255" i="63"/>
  <c r="AK255" i="63" s="1"/>
  <c r="Y256" i="63"/>
  <c r="AC256" i="63" l="1"/>
  <c r="AH256" i="63" s="1"/>
  <c r="AI256" i="63"/>
  <c r="AB256" i="63" l="1"/>
  <c r="AG256" i="63" s="1"/>
  <c r="AL256" i="63" l="1"/>
  <c r="AF256" i="63"/>
  <c r="AA257" i="63"/>
  <c r="AP257" i="63" s="1"/>
  <c r="AJ256" i="63"/>
  <c r="AK256" i="63" s="1"/>
  <c r="Y257" i="63"/>
  <c r="AC257" i="63" l="1"/>
  <c r="AH257"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L259" i="63" l="1"/>
  <c r="AF259" i="63"/>
  <c r="AA260" i="63"/>
  <c r="AP260" i="63" s="1"/>
  <c r="AJ259" i="63"/>
  <c r="AK259" i="63" s="1"/>
  <c r="Y260" i="63"/>
  <c r="AC260" i="63" l="1"/>
  <c r="AH260" i="63" s="1"/>
  <c r="AI260" i="63"/>
  <c r="AB260" i="63" l="1"/>
  <c r="AL260" i="63" s="1"/>
  <c r="AJ260" i="63" s="1"/>
  <c r="AK260" i="63" s="1"/>
  <c r="Y261" i="63"/>
  <c r="AF260" i="63"/>
  <c r="AG260" i="63"/>
  <c r="AA261" i="63" l="1"/>
  <c r="AP261" i="63" s="1"/>
  <c r="AC261" i="63"/>
  <c r="AH261" i="63" s="1"/>
  <c r="AI261" i="63"/>
  <c r="AB261" i="63" l="1"/>
  <c r="AL261" i="63" s="1"/>
  <c r="AA262" i="63" s="1"/>
  <c r="AP262" i="63" s="1"/>
  <c r="AG261" i="63" l="1"/>
  <c r="AF261" i="63"/>
  <c r="Y262" i="63"/>
  <c r="AJ261" i="63"/>
  <c r="AK261" i="63" s="1"/>
  <c r="AC262" i="63"/>
  <c r="AH262" i="63" s="1"/>
  <c r="AI262" i="63"/>
  <c r="AB262" i="63" l="1"/>
  <c r="AG262" i="63" s="1"/>
  <c r="AL262" i="63" l="1"/>
  <c r="AJ262" i="63" s="1"/>
  <c r="AK262" i="63" s="1"/>
  <c r="AF262" i="63"/>
  <c r="AA263" i="63"/>
  <c r="AP263" i="63" s="1"/>
  <c r="Y263" i="63"/>
  <c r="AC263" i="63" l="1"/>
  <c r="AH263" i="63" s="1"/>
  <c r="AI263" i="63"/>
  <c r="AB263" i="63" l="1"/>
  <c r="AF263" i="63" s="1"/>
  <c r="AL263" i="63"/>
  <c r="AG263" i="63" l="1"/>
  <c r="AA264" i="63"/>
  <c r="AP264" i="63" s="1"/>
  <c r="AJ263" i="63"/>
  <c r="AK263" i="63" s="1"/>
  <c r="Y264" i="63"/>
  <c r="AC264" i="63" l="1"/>
  <c r="AH264" i="63" s="1"/>
  <c r="AI264" i="63"/>
  <c r="AB264" i="63" l="1"/>
  <c r="AL264" i="63" s="1"/>
  <c r="AJ264" i="63" s="1"/>
  <c r="AK264" i="63" s="1"/>
  <c r="AF264" i="63"/>
  <c r="AG264" i="63" l="1"/>
  <c r="Y265" i="63"/>
  <c r="AA265" i="63"/>
  <c r="AP265" i="63" s="1"/>
  <c r="AC265" i="63"/>
  <c r="AH265" i="63" s="1"/>
  <c r="AI265" i="63" l="1"/>
  <c r="AB265" i="63"/>
  <c r="AF265" i="63" s="1"/>
  <c r="AL265" i="63" l="1"/>
  <c r="AG265" i="63"/>
  <c r="AJ265" i="63"/>
  <c r="AK265" i="63" s="1"/>
  <c r="AA266" i="63"/>
  <c r="AP266" i="63" s="1"/>
  <c r="Y266" i="63"/>
  <c r="AC266" i="63" l="1"/>
  <c r="AH266" i="63" s="1"/>
  <c r="AI266" i="63"/>
  <c r="AB266" i="63" l="1"/>
  <c r="AG266" i="63" s="1"/>
  <c r="AL266" i="63" l="1"/>
  <c r="AJ266" i="63" s="1"/>
  <c r="AK266" i="63" s="1"/>
  <c r="AF266" i="63"/>
  <c r="Y267" i="63" l="1"/>
  <c r="AA267" i="63"/>
  <c r="AP267" i="63" s="1"/>
  <c r="AC267" i="63"/>
  <c r="AH267" i="63" s="1"/>
  <c r="AI267" i="63"/>
  <c r="AB267" i="63" l="1"/>
  <c r="AL267" i="63" s="1"/>
  <c r="AJ267" i="63" s="1"/>
  <c r="AK267" i="63" s="1"/>
  <c r="AG267" i="63" l="1"/>
  <c r="AF267" i="63"/>
  <c r="Y268" i="63"/>
  <c r="AA268" i="63"/>
  <c r="AP268" i="63" s="1"/>
  <c r="AC268" i="63"/>
  <c r="AH268" i="63" s="1"/>
  <c r="AI268" i="63" l="1"/>
  <c r="AB268" i="63"/>
  <c r="AG268" i="63" s="1"/>
  <c r="AL268" i="63"/>
  <c r="AF268" i="63" l="1"/>
  <c r="AJ268" i="63"/>
  <c r="AK268" i="63" s="1"/>
  <c r="AA269" i="63"/>
  <c r="AP269" i="63" s="1"/>
  <c r="Y269" i="63"/>
  <c r="AC269" i="63" l="1"/>
  <c r="AH269" i="63" s="1"/>
  <c r="AI269" i="63"/>
  <c r="AB269" i="63" l="1"/>
  <c r="AL269" i="63" s="1"/>
  <c r="AJ269" i="63" s="1"/>
  <c r="AK269" i="63" s="1"/>
  <c r="AF269" i="63"/>
  <c r="AG269" i="63"/>
  <c r="Y270" i="63" l="1"/>
  <c r="AA270" i="63"/>
  <c r="AP270" i="63" s="1"/>
  <c r="AC270" i="63"/>
  <c r="AH270" i="63" s="1"/>
  <c r="AI270" i="63" l="1"/>
  <c r="AB270" i="63"/>
  <c r="AL270" i="63" s="1"/>
  <c r="AA271" i="63" s="1"/>
  <c r="AP271" i="63" s="1"/>
  <c r="AF270" i="63" l="1"/>
  <c r="AG270" i="63"/>
  <c r="Y271" i="63"/>
  <c r="AC271" i="63" s="1"/>
  <c r="AH271" i="63" s="1"/>
  <c r="AJ270" i="63"/>
  <c r="AK270" i="63" s="1"/>
  <c r="AI271" i="63"/>
  <c r="AB271" i="63" l="1"/>
  <c r="AL271" i="63" s="1"/>
  <c r="AJ271" i="63" s="1"/>
  <c r="AK271" i="63" s="1"/>
  <c r="AG271" i="63"/>
  <c r="AF271" i="63" l="1"/>
  <c r="Y272" i="63"/>
  <c r="AC272" i="63" s="1"/>
  <c r="AH272" i="63" s="1"/>
  <c r="AA272" i="63"/>
  <c r="AP272" i="63" s="1"/>
  <c r="AI272" i="63" l="1"/>
  <c r="AB272" i="63"/>
  <c r="AL272" i="63" s="1"/>
  <c r="AA273" i="63" s="1"/>
  <c r="AP273" i="63" s="1"/>
  <c r="AF272" i="63"/>
  <c r="AG272" i="63" l="1"/>
  <c r="Y273" i="63"/>
  <c r="AJ272" i="63"/>
  <c r="AK272" i="63" s="1"/>
  <c r="AC273" i="63"/>
  <c r="AH273" i="63" s="1"/>
  <c r="AI273" i="63"/>
  <c r="AB273" i="63" l="1"/>
  <c r="AL273" i="63" s="1"/>
  <c r="AJ273" i="63" s="1"/>
  <c r="AK273" i="63" s="1"/>
  <c r="AA274" i="63"/>
  <c r="AP274" i="63" s="1"/>
  <c r="Y274" i="63"/>
  <c r="AG273" i="63"/>
  <c r="AF273" i="63"/>
  <c r="AC274" i="63" l="1"/>
  <c r="AH274" i="63" s="1"/>
  <c r="AI274" i="63"/>
  <c r="AB274" i="63" l="1"/>
  <c r="AF274" i="63" s="1"/>
  <c r="AL274" i="63"/>
  <c r="AG274" i="63" l="1"/>
  <c r="AJ274" i="63"/>
  <c r="AK274" i="63" s="1"/>
  <c r="AA275" i="63"/>
  <c r="AP275" i="63" s="1"/>
  <c r="Y275" i="63"/>
  <c r="AC275" i="63" l="1"/>
  <c r="AH275" i="63" s="1"/>
  <c r="AI275" i="63"/>
  <c r="AB275" i="63" l="1"/>
  <c r="AL275" i="63" s="1"/>
  <c r="AJ275" i="63" s="1"/>
  <c r="AK275" i="63" s="1"/>
  <c r="Y276" i="63"/>
  <c r="AF275" i="63"/>
  <c r="AG275" i="63"/>
  <c r="AA276" i="63" l="1"/>
  <c r="AP276" i="63" s="1"/>
  <c r="AC276" i="63"/>
  <c r="AH276" i="63" s="1"/>
  <c r="AI276" i="63" l="1"/>
  <c r="AB276" i="63"/>
  <c r="AL276" i="63" s="1"/>
  <c r="AJ276" i="63" s="1"/>
  <c r="AK276" i="63" s="1"/>
  <c r="AF276" i="63" l="1"/>
  <c r="AG276" i="63"/>
  <c r="Y277" i="63"/>
  <c r="AC277" i="63" s="1"/>
  <c r="AH277" i="63" s="1"/>
  <c r="AA277" i="63"/>
  <c r="AP277" i="63" s="1"/>
  <c r="AI277" i="63" l="1"/>
  <c r="AB277" i="63"/>
  <c r="AL277" i="63" s="1"/>
  <c r="AA278" i="63" s="1"/>
  <c r="AP278" i="63" s="1"/>
  <c r="AG277" i="63" l="1"/>
  <c r="AF277" i="63"/>
  <c r="Y278" i="63"/>
  <c r="AJ277" i="63"/>
  <c r="AK277" i="63" s="1"/>
  <c r="AC278" i="63"/>
  <c r="AH278" i="63" s="1"/>
  <c r="AI278" i="63"/>
  <c r="AB278" i="63" l="1"/>
  <c r="AF278" i="63" s="1"/>
  <c r="AL278" i="63" l="1"/>
  <c r="AG278" i="63"/>
  <c r="AA279" i="63"/>
  <c r="AP279" i="63" s="1"/>
  <c r="AJ278" i="63"/>
  <c r="AK278" i="63" s="1"/>
  <c r="Y279" i="63"/>
  <c r="AC279" i="63" l="1"/>
  <c r="AH279" i="63" s="1"/>
  <c r="AI279" i="63"/>
  <c r="AB279" i="63" l="1"/>
  <c r="AG279" i="63" s="1"/>
  <c r="AL279" i="63" l="1"/>
  <c r="AF279" i="63"/>
  <c r="AJ279" i="63"/>
  <c r="AK279" i="63" s="1"/>
  <c r="AA280" i="63"/>
  <c r="AP280" i="63" s="1"/>
  <c r="Y280" i="63"/>
  <c r="AC280" i="63" l="1"/>
  <c r="AH280" i="63" s="1"/>
  <c r="AI280" i="63"/>
  <c r="AB280" i="63" l="1"/>
  <c r="AL280" i="63" s="1"/>
  <c r="AJ280" i="63" s="1"/>
  <c r="AK280" i="63" s="1"/>
  <c r="AF280" i="63" l="1"/>
  <c r="AG280" i="63"/>
  <c r="Y281" i="63"/>
  <c r="AA281" i="63"/>
  <c r="AP281" i="63" s="1"/>
  <c r="AC281" i="63"/>
  <c r="AH281" i="63" s="1"/>
  <c r="AB281" i="63" l="1"/>
  <c r="AL281" i="63" s="1"/>
  <c r="AJ281" i="63" s="1"/>
  <c r="AI281" i="63"/>
  <c r="AA282" i="63" l="1"/>
  <c r="AP282" i="63" s="1"/>
  <c r="AG281" i="63"/>
  <c r="AF281" i="63"/>
  <c r="Y282" i="63"/>
  <c r="AC282" i="63" s="1"/>
  <c r="AH282" i="63" s="1"/>
  <c r="AK281" i="63"/>
  <c r="AI282" i="63"/>
  <c r="AB282" i="63" l="1"/>
  <c r="AG282" i="63" s="1"/>
  <c r="AL282" i="63" l="1"/>
  <c r="AA283" i="63" s="1"/>
  <c r="AP283" i="63" s="1"/>
  <c r="AF282" i="63"/>
  <c r="AJ282" i="63"/>
  <c r="AK282" i="63" s="1"/>
  <c r="Y283" i="63"/>
  <c r="AC283" i="63" l="1"/>
  <c r="AH283" i="63" s="1"/>
  <c r="AI283" i="63"/>
  <c r="AB283" i="63" l="1"/>
  <c r="AL283" i="63" s="1"/>
  <c r="AA284" i="63" s="1"/>
  <c r="AP284" i="63" s="1"/>
  <c r="AF283" i="63" l="1"/>
  <c r="AG283" i="63"/>
  <c r="Y284" i="63"/>
  <c r="AJ283" i="63"/>
  <c r="AK283" i="63" s="1"/>
  <c r="AC284" i="63"/>
  <c r="AH284" i="63" s="1"/>
  <c r="AI284" i="63"/>
  <c r="AB284" i="63" l="1"/>
  <c r="AG284" i="63" s="1"/>
  <c r="AL284" i="63" l="1"/>
  <c r="AF284" i="63"/>
  <c r="AJ284" i="63"/>
  <c r="AK284" i="63" s="1"/>
  <c r="AA285" i="63"/>
  <c r="AP285" i="63" s="1"/>
  <c r="Y285" i="63"/>
  <c r="AC285" i="63" l="1"/>
  <c r="AH285" i="63" s="1"/>
  <c r="AI285" i="63"/>
  <c r="AB285" i="63" l="1"/>
  <c r="AL285" i="63" s="1"/>
  <c r="AJ285" i="63" s="1"/>
  <c r="AK285" i="63" s="1"/>
  <c r="AA286" i="63"/>
  <c r="AP286" i="63" s="1"/>
  <c r="Y286" i="63"/>
  <c r="AG285" i="63"/>
  <c r="AF285" i="63"/>
  <c r="AC286" i="63" l="1"/>
  <c r="AH286" i="63" s="1"/>
  <c r="AI286" i="63"/>
  <c r="AB286" i="63" l="1"/>
  <c r="AF286" i="63"/>
  <c r="AG286" i="63"/>
  <c r="AL286" i="63"/>
  <c r="AJ286" i="63" l="1"/>
  <c r="AK286" i="63" s="1"/>
  <c r="AA287" i="63"/>
  <c r="AP287" i="63" s="1"/>
  <c r="Y287" i="63"/>
  <c r="AC287" i="63" l="1"/>
  <c r="AH287" i="63" s="1"/>
  <c r="AI287" i="63"/>
  <c r="AB287" i="63" l="1"/>
  <c r="AG287" i="63" s="1"/>
  <c r="AF287" i="63"/>
  <c r="AL287" i="63"/>
  <c r="AA288" i="63" l="1"/>
  <c r="AP288" i="63" s="1"/>
  <c r="AJ287" i="63"/>
  <c r="AK287" i="63" s="1"/>
  <c r="Y288" i="63"/>
  <c r="AC288" i="63" l="1"/>
  <c r="AH288" i="63" s="1"/>
  <c r="AI288" i="63"/>
  <c r="AB288" i="63" l="1"/>
  <c r="AG288" i="63" s="1"/>
  <c r="AL288" i="63" l="1"/>
  <c r="AF288" i="63"/>
  <c r="AA289" i="63"/>
  <c r="AP289" i="63" s="1"/>
  <c r="AJ288" i="63"/>
  <c r="AK288" i="63" s="1"/>
  <c r="Y289" i="63"/>
  <c r="AC289" i="63" l="1"/>
  <c r="AH289" i="63" s="1"/>
  <c r="AI289" i="63"/>
  <c r="AB289" i="63" l="1"/>
  <c r="AG289" i="63" s="1"/>
  <c r="AL289" i="63"/>
  <c r="AF289" i="63" l="1"/>
  <c r="AA290" i="63"/>
  <c r="AP290" i="63" s="1"/>
  <c r="AJ289" i="63"/>
  <c r="AK289" i="63" s="1"/>
  <c r="Y290" i="63"/>
  <c r="AC290" i="63" l="1"/>
  <c r="AH290" i="63" s="1"/>
  <c r="AI290" i="63"/>
  <c r="AB290" i="63" l="1"/>
  <c r="AG290" i="63" s="1"/>
  <c r="AF290" i="63"/>
  <c r="AL290" i="63" l="1"/>
  <c r="AJ290" i="63"/>
  <c r="AK290" i="63" s="1"/>
  <c r="AA291" i="63"/>
  <c r="AP291" i="63" s="1"/>
  <c r="Y291" i="63"/>
  <c r="AC291" i="63" l="1"/>
  <c r="AH291" i="63" s="1"/>
  <c r="AI291" i="63"/>
  <c r="AB291" i="63" l="1"/>
  <c r="AF291" i="63" s="1"/>
  <c r="AG291" i="63"/>
  <c r="AL291" i="63"/>
  <c r="AA292" i="63" l="1"/>
  <c r="AP292" i="63" s="1"/>
  <c r="AJ291" i="63"/>
  <c r="AK291" i="63" s="1"/>
  <c r="Y292" i="63"/>
  <c r="AC292" i="63" l="1"/>
  <c r="AH292" i="63" s="1"/>
  <c r="AI292" i="63"/>
  <c r="AB292" i="63" l="1"/>
  <c r="AL292" i="63" s="1"/>
  <c r="AJ292" i="63" s="1"/>
  <c r="AK292" i="63" s="1"/>
  <c r="Y293" i="63"/>
  <c r="AF292" i="63"/>
  <c r="AG292" i="63"/>
  <c r="AA293" i="63" l="1"/>
  <c r="AP293" i="63" s="1"/>
  <c r="AC293" i="63"/>
  <c r="AH293" i="63" s="1"/>
  <c r="AI293" i="63"/>
  <c r="AB293" i="63" l="1"/>
  <c r="AL293" i="63" s="1"/>
  <c r="AA294" i="63" s="1"/>
  <c r="AP294" i="63" s="1"/>
  <c r="AG293" i="63" l="1"/>
  <c r="AF293" i="63"/>
  <c r="Y294" i="63"/>
  <c r="AJ293" i="63"/>
  <c r="AK293" i="63" s="1"/>
  <c r="AC294" i="63"/>
  <c r="AH294" i="63" s="1"/>
  <c r="AI294" i="63"/>
  <c r="AB294" i="63" l="1"/>
  <c r="AG294" i="63" s="1"/>
  <c r="AL294" i="63" l="1"/>
  <c r="AF294" i="63"/>
  <c r="AJ294" i="63"/>
  <c r="AK294" i="63" s="1"/>
  <c r="AA295" i="63"/>
  <c r="AP295" i="63" s="1"/>
  <c r="Y295" i="63"/>
  <c r="AC295" i="63" l="1"/>
  <c r="AH295" i="63" s="1"/>
  <c r="AI295" i="63"/>
  <c r="AB295" i="63" l="1"/>
  <c r="AF295" i="63" s="1"/>
  <c r="AG295" i="63"/>
  <c r="AL295" i="63"/>
  <c r="AJ295" i="63" l="1"/>
  <c r="AK295" i="63" s="1"/>
  <c r="AA296" i="63"/>
  <c r="AP296" i="63" s="1"/>
  <c r="Y296" i="63"/>
  <c r="AC296" i="63" l="1"/>
  <c r="AH296" i="63" s="1"/>
  <c r="AI296" i="63"/>
  <c r="AB296" i="63" l="1"/>
  <c r="AG296" i="63" s="1"/>
  <c r="AL296" i="63" l="1"/>
  <c r="AF296" i="63"/>
  <c r="AJ296" i="63"/>
  <c r="AK296" i="63" s="1"/>
  <c r="AA297" i="63"/>
  <c r="AP297" i="63" s="1"/>
  <c r="Y297" i="63"/>
  <c r="AC297" i="63" l="1"/>
  <c r="AH297" i="63" s="1"/>
  <c r="AI297" i="63"/>
  <c r="AB297" i="63" l="1"/>
  <c r="AG297" i="63" s="1"/>
  <c r="AF297" i="63" l="1"/>
  <c r="AL297" i="63"/>
  <c r="AA298" i="63" s="1"/>
  <c r="AP298" i="63" s="1"/>
  <c r="Y298" i="63" l="1"/>
  <c r="AC298" i="63" s="1"/>
  <c r="AH298" i="63" s="1"/>
  <c r="AJ297" i="63"/>
  <c r="AK297" i="63" s="1"/>
  <c r="AI298" i="63"/>
  <c r="AB298" i="63" l="1"/>
  <c r="AF298" i="63" s="1"/>
  <c r="AL298" i="63" l="1"/>
  <c r="AG298" i="63"/>
  <c r="AJ298" i="63"/>
  <c r="AK298" i="63" s="1"/>
  <c r="AA299" i="63"/>
  <c r="AP299" i="63" s="1"/>
  <c r="Y299" i="63"/>
  <c r="AC299" i="63" l="1"/>
  <c r="AH299" i="63" s="1"/>
  <c r="AI299" i="63"/>
  <c r="AB299" i="63" l="1"/>
  <c r="AG299" i="63" s="1"/>
  <c r="AF299" i="63" l="1"/>
  <c r="AL299" i="63"/>
  <c r="AJ299" i="63" s="1"/>
  <c r="AK299" i="63" s="1"/>
  <c r="Y300" i="63" l="1"/>
  <c r="AA300" i="63"/>
  <c r="AP300" i="63" s="1"/>
  <c r="AC300" i="63"/>
  <c r="AH300" i="63" s="1"/>
  <c r="AI300" i="63"/>
  <c r="AB300" i="63" l="1"/>
  <c r="AG300" i="63" s="1"/>
  <c r="AL300" i="63" l="1"/>
  <c r="AF300" i="63"/>
  <c r="AJ300" i="63"/>
  <c r="AK300" i="63" s="1"/>
  <c r="AA301" i="63"/>
  <c r="AP301" i="63" s="1"/>
  <c r="Y301" i="63"/>
  <c r="AC301" i="63" l="1"/>
  <c r="AH301" i="63" s="1"/>
  <c r="AI301" i="63"/>
  <c r="AB301" i="63" l="1"/>
  <c r="AL301" i="63" s="1"/>
  <c r="AJ301" i="63" s="1"/>
  <c r="AK301" i="63" s="1"/>
  <c r="AF301" i="63"/>
  <c r="AG301" i="63" l="1"/>
  <c r="Y302" i="63"/>
  <c r="AA302" i="63"/>
  <c r="AP302" i="63" s="1"/>
  <c r="AC302" i="63"/>
  <c r="AH302" i="63" s="1"/>
  <c r="AI302" i="63"/>
  <c r="AB302" i="63" l="1"/>
  <c r="AF302" i="63" s="1"/>
  <c r="AL302" i="63" l="1"/>
  <c r="AJ302" i="63" s="1"/>
  <c r="AK302" i="63" s="1"/>
  <c r="AG302" i="63"/>
  <c r="AA303" i="63" l="1"/>
  <c r="AP303" i="63" s="1"/>
  <c r="Y303" i="63"/>
  <c r="AC303" i="63" s="1"/>
  <c r="AH303" i="63" s="1"/>
  <c r="AI303" i="63" l="1"/>
  <c r="AB303" i="63"/>
  <c r="AF303" i="63" l="1"/>
  <c r="AG303" i="63"/>
  <c r="AL303" i="63"/>
  <c r="AJ303" i="63" l="1"/>
  <c r="AK303" i="63" s="1"/>
  <c r="AA304" i="63"/>
  <c r="AP304" i="63" s="1"/>
  <c r="Y304" i="63"/>
  <c r="AC304" i="63" l="1"/>
  <c r="AH304" i="63" s="1"/>
  <c r="AI304" i="63"/>
  <c r="AB304" i="63" l="1"/>
  <c r="AG304" i="63" s="1"/>
  <c r="AL304" i="63" l="1"/>
  <c r="AF304" i="63"/>
  <c r="AJ304" i="63"/>
  <c r="AK304" i="63" s="1"/>
  <c r="AA305" i="63"/>
  <c r="AP305" i="63" s="1"/>
  <c r="Y305" i="63"/>
  <c r="AC305" i="63" l="1"/>
  <c r="AH305" i="63" s="1"/>
  <c r="AI305" i="63"/>
  <c r="AB305" i="63" l="1"/>
  <c r="AL305" i="63" s="1"/>
  <c r="AJ305" i="63"/>
  <c r="AK305" i="63" s="1"/>
  <c r="AA306" i="63"/>
  <c r="AP306" i="63" s="1"/>
  <c r="Y306" i="63"/>
  <c r="AG305" i="63"/>
  <c r="AF305" i="63"/>
  <c r="AC306" i="63" l="1"/>
  <c r="AH306" i="63" s="1"/>
  <c r="AI306" i="63"/>
  <c r="AB306" i="63" l="1"/>
  <c r="AF306" i="63" s="1"/>
  <c r="AL306" i="63" l="1"/>
  <c r="AJ306" i="63" s="1"/>
  <c r="AK306" i="63" s="1"/>
  <c r="AG306" i="63"/>
  <c r="AA307" i="63" l="1"/>
  <c r="AP307" i="63" s="1"/>
  <c r="Y307" i="63"/>
  <c r="AC307" i="63" s="1"/>
  <c r="AH307" i="63" s="1"/>
  <c r="AI307" i="63" l="1"/>
  <c r="AB307" i="63"/>
  <c r="AG307" i="63" s="1"/>
  <c r="AL307" i="63" l="1"/>
  <c r="AJ307" i="63" s="1"/>
  <c r="AK307" i="63" s="1"/>
  <c r="AF307" i="63"/>
  <c r="Y308" i="63"/>
  <c r="AA308" i="63" l="1"/>
  <c r="AP308" i="63" s="1"/>
  <c r="AC308" i="63"/>
  <c r="AH308" i="63" s="1"/>
  <c r="AI308" i="63"/>
  <c r="AB308" i="63" l="1"/>
  <c r="AG308" i="63" s="1"/>
  <c r="AL308" i="63" l="1"/>
  <c r="AF308" i="63"/>
  <c r="AA309" i="63"/>
  <c r="AP309" i="63" s="1"/>
  <c r="AJ308" i="63"/>
  <c r="AK308" i="63" s="1"/>
  <c r="Y309" i="63"/>
  <c r="AC309" i="63" l="1"/>
  <c r="AH309" i="63" s="1"/>
  <c r="AI309" i="63"/>
  <c r="AB309" i="63" l="1"/>
  <c r="AL309" i="63" s="1"/>
  <c r="AJ309" i="63" s="1"/>
  <c r="AK309" i="63" s="1"/>
  <c r="AG309" i="63" l="1"/>
  <c r="AA310" i="63"/>
  <c r="AP310" i="63" s="1"/>
  <c r="AF309" i="63"/>
  <c r="Y310" i="63"/>
  <c r="AC310" i="63" s="1"/>
  <c r="AH310" i="63" s="1"/>
  <c r="AI310" i="63"/>
  <c r="AB310" i="63" l="1"/>
  <c r="AL310" i="63" s="1"/>
  <c r="AJ310" i="63" s="1"/>
  <c r="AK310" i="63" s="1"/>
  <c r="Y311" i="63"/>
  <c r="AG310" i="63"/>
  <c r="AF310" i="63"/>
  <c r="AA311" i="63" l="1"/>
  <c r="AP311" i="63" s="1"/>
  <c r="AC311" i="63"/>
  <c r="AH311" i="63" s="1"/>
  <c r="AI311" i="63"/>
  <c r="AB311" i="63" l="1"/>
  <c r="AG311" i="63" s="1"/>
  <c r="AL311" i="63"/>
  <c r="AF311" i="63" l="1"/>
  <c r="AJ311" i="63"/>
  <c r="AK311" i="63" s="1"/>
  <c r="AA312" i="63"/>
  <c r="AP312" i="63" s="1"/>
  <c r="Y312" i="63"/>
  <c r="AC312" i="63" l="1"/>
  <c r="AH312" i="63" s="1"/>
  <c r="AI312" i="63"/>
  <c r="AB312" i="63" l="1"/>
  <c r="AL312" i="63" s="1"/>
  <c r="AJ312" i="63" s="1"/>
  <c r="AK312" i="63" s="1"/>
  <c r="AF312" i="63" l="1"/>
  <c r="AG312" i="63"/>
  <c r="Y313" i="63"/>
  <c r="AA313" i="63"/>
  <c r="AP313" i="63" s="1"/>
  <c r="AC313" i="63"/>
  <c r="AH313" i="63" s="1"/>
  <c r="AI313" i="63" l="1"/>
  <c r="AB313" i="63"/>
  <c r="AL313" i="63" s="1"/>
  <c r="AA314" i="63" s="1"/>
  <c r="AP314" i="63" s="1"/>
  <c r="AF313" i="63"/>
  <c r="AG313" i="63"/>
  <c r="Y314" i="63" l="1"/>
  <c r="AJ313" i="63"/>
  <c r="AK313" i="63" s="1"/>
  <c r="AC314" i="63"/>
  <c r="AH314" i="63" s="1"/>
  <c r="AI314" i="63"/>
  <c r="AB314" i="63" l="1"/>
  <c r="AF314" i="63" s="1"/>
  <c r="AG314" i="63" l="1"/>
  <c r="AL314" i="63"/>
  <c r="AJ314" i="63" s="1"/>
  <c r="AK314" i="63" s="1"/>
  <c r="Y315" i="63" l="1"/>
  <c r="AA315" i="63"/>
  <c r="AP315" i="63" s="1"/>
  <c r="AC315" i="63"/>
  <c r="AH315" i="63" s="1"/>
  <c r="AI315" i="63" l="1"/>
  <c r="AB315" i="63"/>
  <c r="AF315" i="63" s="1"/>
  <c r="AL315" i="63" l="1"/>
  <c r="AG315" i="63"/>
  <c r="AJ315" i="63"/>
  <c r="AK315" i="63" s="1"/>
  <c r="AA316" i="63"/>
  <c r="AP316" i="63" s="1"/>
  <c r="Y316" i="63"/>
  <c r="AC316" i="63" l="1"/>
  <c r="AH316" i="63" s="1"/>
  <c r="AI316" i="63"/>
  <c r="AB316" i="63" l="1"/>
  <c r="AL316" i="63" s="1"/>
  <c r="AJ316" i="63" s="1"/>
  <c r="AK316" i="63" s="1"/>
  <c r="AG316" i="63"/>
  <c r="AF316" i="63"/>
  <c r="Y317" i="63" l="1"/>
  <c r="AA317" i="63"/>
  <c r="AP317" i="63" s="1"/>
  <c r="AC317" i="63"/>
  <c r="AH317" i="63" s="1"/>
  <c r="AI317" i="63"/>
  <c r="AB317" i="63" l="1"/>
  <c r="AL317" i="63" s="1"/>
  <c r="AJ317" i="63" s="1"/>
  <c r="AK317" i="63" s="1"/>
  <c r="AF317" i="63" l="1"/>
  <c r="AG317" i="63"/>
  <c r="Y318" i="63"/>
  <c r="AA318" i="63"/>
  <c r="AP318" i="63" s="1"/>
  <c r="AC318" i="63"/>
  <c r="AH318" i="63" s="1"/>
  <c r="AI318" i="63" l="1"/>
  <c r="AB318" i="63"/>
  <c r="AF318" i="63" s="1"/>
  <c r="AL318" i="63" l="1"/>
  <c r="AG318" i="63"/>
  <c r="AJ318" i="63"/>
  <c r="AK318" i="63" s="1"/>
  <c r="AA319" i="63"/>
  <c r="AP319" i="63" s="1"/>
  <c r="Y319" i="63"/>
  <c r="AC319" i="63" l="1"/>
  <c r="AH319" i="63" s="1"/>
  <c r="AI319" i="63"/>
  <c r="AB319" i="63" l="1"/>
  <c r="AG319" i="63" s="1"/>
  <c r="AL319" i="63" l="1"/>
  <c r="AF319" i="63"/>
  <c r="AJ319" i="63"/>
  <c r="AK319" i="63" s="1"/>
  <c r="AA320" i="63"/>
  <c r="AP320" i="63" s="1"/>
  <c r="Y320" i="63"/>
  <c r="AC320" i="63" l="1"/>
  <c r="AH320" i="63" s="1"/>
  <c r="AI320" i="63"/>
  <c r="AB320" i="63" l="1"/>
  <c r="AL320" i="63" s="1"/>
  <c r="AJ320" i="63" s="1"/>
  <c r="AK320" i="63" s="1"/>
  <c r="AA321" i="63"/>
  <c r="AP321" i="63" s="1"/>
  <c r="Y321" i="63"/>
  <c r="AG320" i="63"/>
  <c r="AF320" i="63"/>
  <c r="AC321" i="63" l="1"/>
  <c r="AH321" i="63" s="1"/>
  <c r="AI321" i="63"/>
  <c r="AB321" i="63" l="1"/>
  <c r="AL321" i="63" s="1"/>
  <c r="AA322" i="63" s="1"/>
  <c r="AP322" i="63" s="1"/>
  <c r="AF321" i="63"/>
  <c r="AG321" i="63"/>
  <c r="Y322" i="63" l="1"/>
  <c r="AC322" i="63" s="1"/>
  <c r="AH322" i="63" s="1"/>
  <c r="AJ321" i="63"/>
  <c r="AK321" i="63" s="1"/>
  <c r="AI322" i="63"/>
  <c r="AB322" i="63" l="1"/>
  <c r="AL322" i="63" s="1"/>
  <c r="AJ322" i="63" s="1"/>
  <c r="AK322" i="63" s="1"/>
  <c r="AA323" i="63"/>
  <c r="AP323" i="63" s="1"/>
  <c r="Y323" i="63"/>
  <c r="AG322" i="63"/>
  <c r="AF322" i="63"/>
  <c r="AC323" i="63" l="1"/>
  <c r="AH323" i="63" s="1"/>
  <c r="AI323" i="63"/>
  <c r="AB323" i="63" l="1"/>
  <c r="AF323" i="63" s="1"/>
  <c r="AL323" i="63" l="1"/>
  <c r="AG323" i="63"/>
  <c r="AA324" i="63"/>
  <c r="AP324" i="63" s="1"/>
  <c r="AJ323" i="63"/>
  <c r="AK323" i="63" s="1"/>
  <c r="Y324" i="63"/>
  <c r="AC324" i="63" l="1"/>
  <c r="AH324" i="63" s="1"/>
  <c r="AI324" i="63"/>
  <c r="AB324" i="63" l="1"/>
  <c r="AG324" i="63" s="1"/>
  <c r="AL324" i="63" l="1"/>
  <c r="AF324" i="63"/>
  <c r="AJ324" i="63"/>
  <c r="AK324" i="63" s="1"/>
  <c r="AA325" i="63"/>
  <c r="AP325" i="63" s="1"/>
  <c r="Y325" i="63"/>
  <c r="AC325" i="63" l="1"/>
  <c r="AH325" i="63" s="1"/>
  <c r="AI325" i="63"/>
  <c r="AB325" i="63" l="1"/>
  <c r="AL325" i="63" s="1"/>
  <c r="AA326" i="63" s="1"/>
  <c r="AP326" i="63" s="1"/>
  <c r="AF325" i="63" l="1"/>
  <c r="AG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F327" i="63"/>
  <c r="AA328" i="63"/>
  <c r="AP328" i="63" s="1"/>
  <c r="AJ327" i="63"/>
  <c r="AK327" i="63" s="1"/>
  <c r="Y328" i="63"/>
  <c r="AC328" i="63" l="1"/>
  <c r="AH328" i="63" s="1"/>
  <c r="AI328" i="63"/>
  <c r="AB328" i="63" l="1"/>
  <c r="AF328" i="63" s="1"/>
  <c r="AL328" i="63" l="1"/>
  <c r="AJ328" i="63" s="1"/>
  <c r="AK328" i="63" s="1"/>
  <c r="AG328" i="63"/>
  <c r="AA329" i="63" l="1"/>
  <c r="AP329" i="63" s="1"/>
  <c r="Y329" i="63"/>
  <c r="AC329" i="63" s="1"/>
  <c r="AH329" i="63" s="1"/>
  <c r="AI329" i="63" l="1"/>
  <c r="AB329" i="63"/>
  <c r="AL329" i="63" s="1"/>
  <c r="AJ329" i="63" s="1"/>
  <c r="AG329" i="63"/>
  <c r="AK329" i="63" l="1"/>
  <c r="Y330" i="63"/>
  <c r="AA330" i="63"/>
  <c r="AP330" i="63" s="1"/>
  <c r="AF329" i="63"/>
  <c r="AC330" i="63"/>
  <c r="AH330" i="63" s="1"/>
  <c r="AI330" i="63"/>
  <c r="AB330" i="63" l="1"/>
  <c r="AF330" i="63" s="1"/>
  <c r="AL330" i="63" l="1"/>
  <c r="AG330" i="63"/>
  <c r="AJ330" i="63"/>
  <c r="AK330" i="63" s="1"/>
  <c r="AA331" i="63"/>
  <c r="AP331" i="63" s="1"/>
  <c r="Y331" i="63"/>
  <c r="AC331" i="63" l="1"/>
  <c r="AH331" i="63" s="1"/>
  <c r="AI331" i="63"/>
  <c r="AB331" i="63" l="1"/>
  <c r="AF331" i="63" s="1"/>
  <c r="AL331" i="63" l="1"/>
  <c r="AA332" i="63" s="1"/>
  <c r="AP332" i="63" s="1"/>
  <c r="AG331" i="63"/>
  <c r="AJ331" i="63"/>
  <c r="AK331" i="63" s="1"/>
  <c r="Y332" i="63"/>
  <c r="AC332" i="63" l="1"/>
  <c r="AH332" i="63" s="1"/>
  <c r="AI332" i="63"/>
  <c r="AB332" i="63" l="1"/>
  <c r="AG332" i="63" s="1"/>
  <c r="AL332" i="63" l="1"/>
  <c r="AJ332" i="63" s="1"/>
  <c r="AK332" i="63" s="1"/>
  <c r="AF332" i="63"/>
  <c r="Y333" i="63" l="1"/>
  <c r="AA333" i="63"/>
  <c r="AP333" i="63" s="1"/>
  <c r="AC333" i="63"/>
  <c r="AH333" i="63" s="1"/>
  <c r="AI333" i="63" l="1"/>
  <c r="AB333" i="63"/>
  <c r="AL333" i="63" s="1"/>
  <c r="AJ333" i="63" s="1"/>
  <c r="AK333" i="63" l="1"/>
  <c r="AG333" i="63"/>
  <c r="AF333" i="63"/>
  <c r="Y334" i="63"/>
  <c r="AA334" i="63"/>
  <c r="AP334" i="63" s="1"/>
  <c r="AC334" i="63"/>
  <c r="AH334" i="63" s="1"/>
  <c r="AI334" i="63" l="1"/>
  <c r="AB334" i="63"/>
  <c r="AF334" i="63" s="1"/>
  <c r="AL334" i="63" l="1"/>
  <c r="AJ334" i="63" s="1"/>
  <c r="AK334" i="63" s="1"/>
  <c r="AG334" i="63"/>
  <c r="Y335" i="63" l="1"/>
  <c r="AA335" i="63"/>
  <c r="AP335" i="63" s="1"/>
  <c r="AC335" i="63"/>
  <c r="AH335" i="63" s="1"/>
  <c r="AI335" i="63"/>
  <c r="AB335" i="63" l="1"/>
  <c r="AG335" i="63" s="1"/>
  <c r="AL335" i="63" l="1"/>
  <c r="AF335" i="63"/>
  <c r="AA336" i="63"/>
  <c r="AP336" i="63" s="1"/>
  <c r="AJ335" i="63"/>
  <c r="AK335" i="63" s="1"/>
  <c r="Y336" i="63"/>
  <c r="AC336" i="63" l="1"/>
  <c r="AH336" i="63" s="1"/>
  <c r="AI336" i="63"/>
  <c r="AB336" i="63" l="1"/>
  <c r="AL336" i="63" s="1"/>
  <c r="AJ336" i="63" s="1"/>
  <c r="AK336" i="63" s="1"/>
  <c r="AG336" i="63"/>
  <c r="AF336" i="63" l="1"/>
  <c r="Y337" i="63"/>
  <c r="AA337" i="63"/>
  <c r="AP337" i="63" s="1"/>
  <c r="AC337" i="63"/>
  <c r="AH337" i="63" s="1"/>
  <c r="AI337" i="63" l="1"/>
  <c r="AB337" i="63"/>
  <c r="AF337" i="63" s="1"/>
  <c r="AL337" i="63" l="1"/>
  <c r="AA338" i="63" s="1"/>
  <c r="AP338" i="63" s="1"/>
  <c r="AG337" i="63"/>
  <c r="Y338" i="63" l="1"/>
  <c r="AC338" i="63" s="1"/>
  <c r="AH338" i="63" s="1"/>
  <c r="AJ337" i="63"/>
  <c r="AK337" i="63" s="1"/>
  <c r="AI338" i="63"/>
  <c r="AB338" i="63" l="1"/>
  <c r="AL338" i="63" s="1"/>
  <c r="AJ338" i="63" s="1"/>
  <c r="AK338" i="63" s="1"/>
  <c r="AF338" i="63" l="1"/>
  <c r="AG338" i="63"/>
  <c r="Y339" i="63"/>
  <c r="AA339" i="63"/>
  <c r="AP339" i="63" s="1"/>
  <c r="AC339" i="63"/>
  <c r="AH339" i="63" s="1"/>
  <c r="AI339" i="63" l="1"/>
  <c r="AB339" i="63"/>
  <c r="AF339" i="63" s="1"/>
  <c r="AL339" i="63" l="1"/>
  <c r="AG339" i="63"/>
  <c r="AA340" i="63"/>
  <c r="AP340" i="63" s="1"/>
  <c r="AJ339" i="63"/>
  <c r="AK339" i="63" s="1"/>
  <c r="Y340" i="63"/>
  <c r="AC340" i="63" l="1"/>
  <c r="AH340" i="63" s="1"/>
  <c r="AI340" i="63"/>
  <c r="AB340" i="63" l="1"/>
  <c r="AL340" i="63" s="1"/>
  <c r="AJ340" i="63" s="1"/>
  <c r="AK340" i="63" s="1"/>
  <c r="AG340" i="63"/>
  <c r="AF340" i="63"/>
  <c r="Y341" i="63" l="1"/>
  <c r="AA341" i="63"/>
  <c r="AP341" i="63" s="1"/>
  <c r="AC341" i="63"/>
  <c r="AH341" i="63" s="1"/>
  <c r="AI341" i="63" l="1"/>
  <c r="AB341" i="63"/>
  <c r="AF341" i="63" s="1"/>
  <c r="AL341" i="63" l="1"/>
  <c r="AJ341" i="63" s="1"/>
  <c r="AK341" i="63" s="1"/>
  <c r="AG341" i="63"/>
  <c r="AA342" i="63"/>
  <c r="AP342" i="63" s="1"/>
  <c r="Y342" i="63"/>
  <c r="AC342" i="63" l="1"/>
  <c r="AH342" i="63" s="1"/>
  <c r="AI342" i="63"/>
  <c r="AB342" i="63" l="1"/>
  <c r="AF342" i="63" s="1"/>
  <c r="AG342" i="63" l="1"/>
  <c r="AL342" i="63"/>
  <c r="AJ342" i="63" s="1"/>
  <c r="AK342" i="63" s="1"/>
  <c r="Y343" i="63"/>
  <c r="AA343" i="63" l="1"/>
  <c r="AP343" i="63" s="1"/>
  <c r="AC343" i="63"/>
  <c r="AH343" i="63" s="1"/>
  <c r="AI343" i="63" l="1"/>
  <c r="AB343" i="63"/>
  <c r="AG343" i="63" s="1"/>
  <c r="AL343" i="63" l="1"/>
  <c r="AF343" i="63"/>
  <c r="AA344" i="63"/>
  <c r="AP344" i="63" s="1"/>
  <c r="AJ343" i="63"/>
  <c r="AK343" i="63" s="1"/>
  <c r="Y344" i="63"/>
  <c r="AC344" i="63" l="1"/>
  <c r="AH344" i="63" s="1"/>
  <c r="AI344" i="63"/>
  <c r="AB344" i="63" l="1"/>
  <c r="AL344" i="63" s="1"/>
  <c r="AJ344" i="63" s="1"/>
  <c r="AK344" i="63" s="1"/>
  <c r="AA345" i="63"/>
  <c r="AP345" i="63" s="1"/>
  <c r="Y345" i="63"/>
  <c r="AG344" i="63"/>
  <c r="AF344" i="63"/>
  <c r="AC345" i="63" l="1"/>
  <c r="AH345" i="63" s="1"/>
  <c r="AI345" i="63"/>
  <c r="AB345" i="63" l="1"/>
  <c r="AG345" i="63" s="1"/>
  <c r="AL345" i="63" l="1"/>
  <c r="AF345" i="63"/>
  <c r="AA346" i="63"/>
  <c r="AP346" i="63" s="1"/>
  <c r="AJ345" i="63"/>
  <c r="AK345" i="63" s="1"/>
  <c r="Y346" i="63"/>
  <c r="AC346" i="63" l="1"/>
  <c r="AH346" i="63" s="1"/>
  <c r="AI346" i="63"/>
  <c r="AB346" i="63" l="1"/>
  <c r="AL346" i="63" s="1"/>
  <c r="AJ346" i="63" s="1"/>
  <c r="AK346" i="63" s="1"/>
  <c r="AA347" i="63"/>
  <c r="AP347" i="63" s="1"/>
  <c r="AF346" i="63"/>
  <c r="AG346" i="63"/>
  <c r="Y347" i="63" l="1"/>
  <c r="AC347" i="63" s="1"/>
  <c r="AH347" i="63" s="1"/>
  <c r="AI347" i="63"/>
  <c r="AB347" i="63" l="1"/>
  <c r="AG347" i="63" s="1"/>
  <c r="AL347" i="63" l="1"/>
  <c r="AF347" i="63"/>
  <c r="AA348" i="63"/>
  <c r="AP348" i="63" s="1"/>
  <c r="AJ347" i="63"/>
  <c r="AK347" i="63" s="1"/>
  <c r="Y348" i="63"/>
  <c r="AC348" i="63" l="1"/>
  <c r="AH348" i="63" s="1"/>
  <c r="AI348" i="63"/>
  <c r="AB348" i="63" l="1"/>
  <c r="AG348" i="63" s="1"/>
  <c r="AL348" i="63" l="1"/>
  <c r="AJ348" i="63" s="1"/>
  <c r="AK348" i="63" s="1"/>
  <c r="AF348" i="63"/>
  <c r="AA349" i="63"/>
  <c r="AP349" i="63" s="1"/>
  <c r="Y349" i="63"/>
  <c r="AC349" i="63" l="1"/>
  <c r="AH349" i="63" s="1"/>
  <c r="AI349" i="63"/>
  <c r="AB349" i="63" l="1"/>
  <c r="AG349" i="63" s="1"/>
  <c r="AL349" i="63" l="1"/>
  <c r="AJ349" i="63" s="1"/>
  <c r="AK349" i="63" s="1"/>
  <c r="AF349" i="63"/>
  <c r="AA350" i="63" l="1"/>
  <c r="AP350" i="63" s="1"/>
  <c r="Y350" i="63"/>
  <c r="AC350" i="63" s="1"/>
  <c r="AH350" i="63" s="1"/>
  <c r="AI350" i="63" l="1"/>
  <c r="AB350" i="63"/>
  <c r="AG350" i="63" s="1"/>
  <c r="AF350" i="63"/>
  <c r="AL350" i="63"/>
  <c r="AJ350" i="63" l="1"/>
  <c r="AK350" i="63" s="1"/>
  <c r="AA351" i="63"/>
  <c r="AP351" i="63" s="1"/>
  <c r="Y351" i="63"/>
  <c r="AI351" i="63" l="1"/>
  <c r="AC351" i="63"/>
  <c r="AH351" i="63" s="1"/>
  <c r="AB351" i="63" l="1"/>
  <c r="AG351" i="63" l="1"/>
  <c r="AF351" i="63"/>
  <c r="AL351" i="63"/>
  <c r="AA352" i="63" l="1"/>
  <c r="AP352" i="63" s="1"/>
  <c r="AJ351" i="63"/>
  <c r="AK351" i="63" s="1"/>
  <c r="Y352" i="63"/>
  <c r="AC352" i="63" l="1"/>
  <c r="AH352" i="63" s="1"/>
  <c r="AI352" i="63"/>
  <c r="AB352" i="63" l="1"/>
  <c r="AL352" i="63" s="1"/>
  <c r="AA353" i="63" s="1"/>
  <c r="AP353" i="63" s="1"/>
  <c r="AG352" i="63" l="1"/>
  <c r="AF352" i="63"/>
  <c r="AJ352" i="63"/>
  <c r="AK352" i="63" s="1"/>
  <c r="Y353" i="63"/>
  <c r="AC353" i="63" s="1"/>
  <c r="AH353" i="63" s="1"/>
  <c r="AI353" i="63"/>
  <c r="AB353" i="63" l="1"/>
  <c r="AF353" i="63"/>
  <c r="AG353" i="63"/>
  <c r="AL353" i="63"/>
  <c r="AA354" i="63" l="1"/>
  <c r="AP354" i="63" s="1"/>
  <c r="AJ353" i="63"/>
  <c r="AK353" i="63" s="1"/>
  <c r="Y354" i="63"/>
  <c r="AC354" i="63" l="1"/>
  <c r="AH354" i="63" s="1"/>
  <c r="AI354" i="63"/>
  <c r="AB354" i="63" l="1"/>
  <c r="AF354" i="63"/>
  <c r="AG354" i="63"/>
  <c r="AL354" i="63"/>
  <c r="AJ354" i="63" l="1"/>
  <c r="AK354" i="63" s="1"/>
  <c r="AA355" i="63"/>
  <c r="AP355" i="63" s="1"/>
  <c r="Y355" i="63"/>
  <c r="AC355" i="63" l="1"/>
  <c r="AH355" i="63" s="1"/>
  <c r="AI355" i="63"/>
  <c r="AB355" i="63" l="1"/>
  <c r="AF355" i="63" s="1"/>
  <c r="AL355" i="63"/>
  <c r="AG355" i="63" l="1"/>
  <c r="AA356" i="63"/>
  <c r="AP356" i="63" s="1"/>
  <c r="AJ355" i="63"/>
  <c r="AK355" i="63" s="1"/>
  <c r="Y356" i="63"/>
  <c r="AC356" i="63" l="1"/>
  <c r="AH356" i="63" s="1"/>
  <c r="AI356" i="63"/>
  <c r="AB356" i="63" l="1"/>
  <c r="AF356" i="63" s="1"/>
  <c r="AG356" i="63" l="1"/>
  <c r="AL356" i="63"/>
  <c r="AA357" i="63" s="1"/>
  <c r="AP357" i="63" s="1"/>
  <c r="Y357" i="63" l="1"/>
  <c r="AJ356" i="63"/>
  <c r="AK356" i="63" s="1"/>
  <c r="AC357" i="63"/>
  <c r="AH357" i="63" s="1"/>
  <c r="AI357" i="63"/>
  <c r="AB357" i="63" l="1"/>
  <c r="AF357" i="63" s="1"/>
  <c r="AL357" i="63" l="1"/>
  <c r="AJ357" i="63" s="1"/>
  <c r="AK357" i="63" s="1"/>
  <c r="AG357" i="63"/>
  <c r="Y358" i="63" l="1"/>
  <c r="AA358" i="63"/>
  <c r="AP358" i="63" s="1"/>
  <c r="AC358" i="63"/>
  <c r="AH358" i="63" s="1"/>
  <c r="AI358" i="63" l="1"/>
  <c r="AB358" i="63"/>
  <c r="AG358" i="63" s="1"/>
  <c r="AL358" i="63" l="1"/>
  <c r="AF358" i="63"/>
  <c r="AJ358" i="63"/>
  <c r="AK358" i="63" s="1"/>
  <c r="AA359" i="63"/>
  <c r="AP359" i="63" s="1"/>
  <c r="Y359" i="63"/>
  <c r="AC359" i="63" l="1"/>
  <c r="AH359" i="63" s="1"/>
  <c r="AI359" i="63"/>
  <c r="AB359" i="63" l="1"/>
  <c r="AL359" i="63" s="1"/>
  <c r="AA360" i="63" s="1"/>
  <c r="AP360" i="63" s="1"/>
  <c r="AF359" i="63" l="1"/>
  <c r="AG359" i="63"/>
  <c r="Y360" i="63"/>
  <c r="AJ359" i="63"/>
  <c r="AK359" i="63" s="1"/>
  <c r="AC360" i="63"/>
  <c r="AH360" i="63" s="1"/>
  <c r="AI360" i="63"/>
  <c r="AB360" i="63" l="1"/>
  <c r="AF360" i="63" s="1"/>
  <c r="AL360" i="63" l="1"/>
  <c r="AJ360" i="63" s="1"/>
  <c r="AK360" i="63" s="1"/>
  <c r="AG360" i="63"/>
  <c r="AA361" i="63"/>
  <c r="AP361" i="63" s="1"/>
  <c r="Y361" i="63"/>
  <c r="AC361" i="63" l="1"/>
  <c r="AH361" i="63" s="1"/>
  <c r="AI361" i="63"/>
  <c r="AB361" i="63" l="1"/>
  <c r="AF361" i="63" s="1"/>
  <c r="AL361" i="63" l="1"/>
  <c r="AA362" i="63" s="1"/>
  <c r="AP362" i="63" s="1"/>
  <c r="AG361" i="63"/>
  <c r="AJ361" i="63"/>
  <c r="AK361" i="63" s="1"/>
  <c r="Y362" i="63"/>
  <c r="AC362" i="63" l="1"/>
  <c r="AH362" i="63" s="1"/>
  <c r="AI362" i="63"/>
  <c r="AB362" i="63" l="1"/>
  <c r="AL362" i="63" s="1"/>
  <c r="AF362" i="63" l="1"/>
  <c r="AG362" i="63"/>
  <c r="AA363" i="63"/>
  <c r="AP363" i="63" s="1"/>
  <c r="AJ362" i="63"/>
  <c r="AK362" i="63" s="1"/>
  <c r="Y363" i="63"/>
  <c r="AC363" i="63" l="1"/>
  <c r="AH363" i="63" s="1"/>
  <c r="AI363" i="63"/>
  <c r="AB363" i="63" l="1"/>
  <c r="AL363" i="63" s="1"/>
  <c r="AA364" i="63" s="1"/>
  <c r="AP364" i="63" s="1"/>
  <c r="AF363" i="63"/>
  <c r="AG363" i="63" l="1"/>
  <c r="Y364" i="63"/>
  <c r="AJ363" i="63"/>
  <c r="AK363" i="63" s="1"/>
  <c r="AC364" i="63"/>
  <c r="AH364" i="63" s="1"/>
  <c r="AI364" i="63"/>
  <c r="AB364" i="63" l="1"/>
  <c r="AF364" i="63" s="1"/>
  <c r="AL364" i="63" l="1"/>
  <c r="AG364" i="63"/>
  <c r="AJ364" i="63"/>
  <c r="AK364" i="63" s="1"/>
  <c r="AA365" i="63"/>
  <c r="AP365" i="63" s="1"/>
  <c r="Y365" i="63"/>
  <c r="AC365" i="63" l="1"/>
  <c r="AH365" i="63" s="1"/>
  <c r="AI365" i="63"/>
  <c r="AB365" i="63" l="1"/>
  <c r="AF365" i="63" s="1"/>
  <c r="AL365" i="63" l="1"/>
  <c r="AG365" i="63"/>
  <c r="AJ365" i="63"/>
  <c r="AK365" i="63" s="1"/>
  <c r="AA366" i="63"/>
  <c r="AP366" i="63" s="1"/>
  <c r="Y366" i="63"/>
  <c r="AC366" i="63" l="1"/>
  <c r="AH366" i="63" s="1"/>
  <c r="AI366" i="63"/>
  <c r="AB366" i="63" l="1"/>
  <c r="AG366" i="63" s="1"/>
  <c r="AF366" i="63"/>
  <c r="AL366" i="63"/>
  <c r="AJ366" i="63" l="1"/>
  <c r="AK366" i="63" s="1"/>
  <c r="AA367" i="63"/>
  <c r="AP367" i="63" s="1"/>
  <c r="Y367" i="63"/>
  <c r="AC367" i="63" l="1"/>
  <c r="AH367" i="63" s="1"/>
  <c r="AI367" i="63"/>
  <c r="AB367" i="63" l="1"/>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F369" i="63"/>
  <c r="AJ369" i="63"/>
  <c r="AK369" i="63" s="1"/>
  <c r="AA370" i="63"/>
  <c r="AP370" i="63" s="1"/>
  <c r="Y370" i="63"/>
  <c r="AC370" i="63" l="1"/>
  <c r="AH370" i="63" s="1"/>
  <c r="AI370" i="63"/>
  <c r="AB370" i="63" l="1"/>
  <c r="AL370" i="63" s="1"/>
  <c r="AJ370" i="63" s="1"/>
  <c r="AK370" i="63" s="1"/>
  <c r="AF370" i="63" l="1"/>
  <c r="AG370" i="63"/>
  <c r="AA371" i="63"/>
  <c r="AP371" i="63" s="1"/>
  <c r="Y371" i="63"/>
  <c r="AC371" i="63" s="1"/>
  <c r="AH371" i="63" s="1"/>
  <c r="AI371" i="63" l="1"/>
  <c r="AB371" i="63"/>
  <c r="AF371" i="63" s="1"/>
  <c r="AL371" i="63" l="1"/>
  <c r="AA372" i="63" s="1"/>
  <c r="AP372" i="63" s="1"/>
  <c r="AG371" i="63"/>
  <c r="AJ371" i="63"/>
  <c r="AK371" i="63" s="1"/>
  <c r="Y372" i="63"/>
  <c r="AC372" i="63" l="1"/>
  <c r="AH372" i="63" s="1"/>
  <c r="AI372" i="63"/>
  <c r="AB372" i="63" l="1"/>
  <c r="AG372" i="63" s="1"/>
  <c r="AL372" i="63" l="1"/>
  <c r="AJ372" i="63" s="1"/>
  <c r="AK372" i="63" s="1"/>
  <c r="AF372" i="63"/>
  <c r="AA373" i="63" l="1"/>
  <c r="AP373" i="63" s="1"/>
  <c r="Y373" i="63"/>
  <c r="AC373" i="63" s="1"/>
  <c r="AH373" i="63" s="1"/>
  <c r="AI373" i="63" l="1"/>
  <c r="AB373" i="63"/>
  <c r="AL373" i="63" s="1"/>
  <c r="AJ373" i="63" s="1"/>
  <c r="AA374" i="63"/>
  <c r="AP374" i="63" s="1"/>
  <c r="AF373" i="63"/>
  <c r="AG373" i="63"/>
  <c r="AK373" i="63" l="1"/>
  <c r="Y374" i="63"/>
  <c r="AC374" i="63"/>
  <c r="AH374" i="63" s="1"/>
  <c r="AI374" i="63"/>
  <c r="AB374" i="63" l="1"/>
  <c r="AL374" i="63" s="1"/>
  <c r="AJ374" i="63" s="1"/>
  <c r="AK374" i="63" s="1"/>
  <c r="AG374" i="63"/>
  <c r="AF374" i="63" l="1"/>
  <c r="Y375" i="63"/>
  <c r="AC375" i="63" s="1"/>
  <c r="AH375" i="63" s="1"/>
  <c r="AA375" i="63"/>
  <c r="AP375" i="63" s="1"/>
  <c r="AI375" i="63" l="1"/>
  <c r="AB375" i="63"/>
  <c r="AG375" i="63" s="1"/>
  <c r="AL375" i="63" l="1"/>
  <c r="AF375" i="63"/>
  <c r="AA376" i="63"/>
  <c r="AP376" i="63" s="1"/>
  <c r="AJ375" i="63"/>
  <c r="AK375" i="63" s="1"/>
  <c r="Y376" i="63"/>
  <c r="AC376" i="63" l="1"/>
  <c r="AH376" i="63" s="1"/>
  <c r="AI376" i="63"/>
  <c r="AB376" i="63" l="1"/>
  <c r="AL376" i="63" s="1"/>
  <c r="AA377" i="63" s="1"/>
  <c r="AP377" i="63" s="1"/>
  <c r="AG376" i="63"/>
  <c r="AF376" i="63" l="1"/>
  <c r="Y377" i="63"/>
  <c r="AJ376" i="63"/>
  <c r="AK376" i="63" s="1"/>
  <c r="AC377" i="63"/>
  <c r="AH377" i="63" s="1"/>
  <c r="AI377" i="63"/>
  <c r="AB377" i="63" l="1"/>
  <c r="AL377" i="63" s="1"/>
  <c r="AJ377" i="63" s="1"/>
  <c r="AK377" i="63" s="1"/>
  <c r="Y378" i="63" l="1"/>
  <c r="AG377" i="63"/>
  <c r="AF377" i="63"/>
  <c r="AA378" i="63"/>
  <c r="AP378" i="63" s="1"/>
  <c r="AC378" i="63"/>
  <c r="AH378" i="63" s="1"/>
  <c r="AI378" i="63" l="1"/>
  <c r="AB378" i="63"/>
  <c r="AG378" i="63" s="1"/>
  <c r="AF378" i="63"/>
  <c r="AL378" i="63"/>
  <c r="AJ378" i="63" l="1"/>
  <c r="AK378" i="63" s="1"/>
  <c r="AA379" i="63"/>
  <c r="AP379" i="63" s="1"/>
  <c r="Y379" i="63"/>
  <c r="AC379" i="63" l="1"/>
  <c r="AH379" i="63" s="1"/>
  <c r="AI379" i="63"/>
  <c r="AB379" i="63" l="1"/>
  <c r="AG379" i="63" s="1"/>
  <c r="AL379" i="63" l="1"/>
  <c r="AF379" i="63"/>
  <c r="AA380" i="63"/>
  <c r="AP380" i="63" s="1"/>
  <c r="AJ379" i="63"/>
  <c r="AK379" i="63" s="1"/>
  <c r="Y380" i="63"/>
  <c r="AC380" i="63" l="1"/>
  <c r="AH380" i="63" s="1"/>
  <c r="AI380" i="63"/>
  <c r="AB380" i="63" l="1"/>
  <c r="AL380" i="63" s="1"/>
  <c r="AA381" i="63" s="1"/>
  <c r="AP381" i="63" s="1"/>
  <c r="AG380" i="63" l="1"/>
  <c r="AF380" i="63"/>
  <c r="Y381" i="63"/>
  <c r="AJ380" i="63"/>
  <c r="AK380" i="63" s="1"/>
  <c r="AC381" i="63"/>
  <c r="AH381" i="63" s="1"/>
  <c r="AI381" i="63"/>
  <c r="AB381" i="63" l="1"/>
  <c r="AL381" i="63" s="1"/>
  <c r="AA382" i="63" s="1"/>
  <c r="AP382" i="63" s="1"/>
  <c r="AF381" i="63"/>
  <c r="AG381" i="63"/>
  <c r="Y382" i="63" l="1"/>
  <c r="AC382" i="63" s="1"/>
  <c r="AH382" i="63" s="1"/>
  <c r="AJ381" i="63"/>
  <c r="AK381" i="63" s="1"/>
  <c r="AI382" i="63"/>
  <c r="AB382" i="63" l="1"/>
  <c r="AL382" i="63" s="1"/>
  <c r="AJ382" i="63" s="1"/>
  <c r="AK382" i="63" s="1"/>
  <c r="AF382" i="63"/>
  <c r="AG382" i="63"/>
  <c r="Y383" i="63" l="1"/>
  <c r="AA383" i="63"/>
  <c r="AP383" i="63" s="1"/>
  <c r="AC383" i="63"/>
  <c r="AH383" i="63" s="1"/>
  <c r="AI383" i="63"/>
  <c r="AB383" i="63" l="1"/>
  <c r="AL383" i="63" s="1"/>
  <c r="AJ383" i="63" s="1"/>
  <c r="AK383" i="63" s="1"/>
  <c r="AA384" i="63"/>
  <c r="AP384" i="63" s="1"/>
  <c r="AF383" i="63"/>
  <c r="AG383" i="63"/>
  <c r="Y384" i="63" l="1"/>
  <c r="AC384" i="63" s="1"/>
  <c r="AH384" i="63" s="1"/>
  <c r="AI384" i="63"/>
  <c r="AB384" i="63" l="1"/>
  <c r="AF384" i="63" s="1"/>
  <c r="AL384" i="63" l="1"/>
  <c r="AG384" i="63"/>
  <c r="AJ384" i="63"/>
  <c r="AK384" i="63" s="1"/>
  <c r="AA385" i="63"/>
  <c r="AP385" i="63" s="1"/>
  <c r="Y385" i="63"/>
  <c r="AC385" i="63" l="1"/>
  <c r="AH385" i="63" s="1"/>
  <c r="AI385" i="63"/>
  <c r="AB385" i="63" l="1"/>
  <c r="AF385" i="63" s="1"/>
  <c r="AL385" i="63" l="1"/>
  <c r="AJ385" i="63" s="1"/>
  <c r="AK385" i="63" s="1"/>
  <c r="AG385" i="63"/>
  <c r="AA386" i="63"/>
  <c r="AP386" i="63" s="1"/>
  <c r="Y386" i="63"/>
  <c r="AC386" i="63" l="1"/>
  <c r="AH386" i="63" s="1"/>
  <c r="AI386" i="63"/>
  <c r="AB386" i="63" l="1"/>
  <c r="AF386" i="63" s="1"/>
  <c r="AL386" i="63" l="1"/>
  <c r="AJ386" i="63" s="1"/>
  <c r="AK386" i="63" s="1"/>
  <c r="AG386" i="63"/>
  <c r="Y387" i="63" l="1"/>
  <c r="AA387" i="63"/>
  <c r="AP387" i="63" s="1"/>
  <c r="AC387" i="63"/>
  <c r="AH387" i="63" s="1"/>
  <c r="AI387" i="63" l="1"/>
  <c r="AB387" i="63"/>
  <c r="AG387" i="63" s="1"/>
  <c r="AL387" i="63" l="1"/>
  <c r="AF387" i="63"/>
  <c r="AA388" i="63"/>
  <c r="AP388" i="63" s="1"/>
  <c r="AJ387" i="63"/>
  <c r="AK387" i="63" s="1"/>
  <c r="Y388" i="63"/>
  <c r="AC388" i="63" l="1"/>
  <c r="AH388" i="63" s="1"/>
  <c r="AI388" i="63"/>
  <c r="AB388" i="63" l="1"/>
  <c r="AL388" i="63" s="1"/>
  <c r="AJ388" i="63" s="1"/>
  <c r="AK388" i="63" s="1"/>
  <c r="AF388" i="63"/>
  <c r="AG388" i="63" l="1"/>
  <c r="Y389" i="63"/>
  <c r="AA389" i="63"/>
  <c r="AP389" i="63" s="1"/>
  <c r="AC389" i="63"/>
  <c r="AH389" i="63" s="1"/>
  <c r="AI389" i="63" l="1"/>
  <c r="AB389" i="63"/>
  <c r="AF389" i="63" s="1"/>
  <c r="AL389" i="63" l="1"/>
  <c r="AG389" i="63"/>
  <c r="AJ389" i="63"/>
  <c r="AK389" i="63" s="1"/>
  <c r="AA390" i="63"/>
  <c r="AP390" i="63" s="1"/>
  <c r="Y390" i="63"/>
  <c r="AC390" i="63" l="1"/>
  <c r="AH390" i="63" s="1"/>
  <c r="AI390" i="63"/>
  <c r="AB390" i="63" l="1"/>
  <c r="AL390" i="63" s="1"/>
  <c r="AJ390" i="63" s="1"/>
  <c r="AK390" i="63" s="1"/>
  <c r="AG390" i="63" l="1"/>
  <c r="AF390" i="63"/>
  <c r="Y391" i="63"/>
  <c r="AA391" i="63"/>
  <c r="AP391" i="63" s="1"/>
  <c r="AC391" i="63"/>
  <c r="AH391" i="63" s="1"/>
  <c r="AI391" i="63" l="1"/>
  <c r="AB391" i="63"/>
  <c r="AF391" i="63"/>
  <c r="AG391" i="63"/>
  <c r="AL391" i="63"/>
  <c r="AA392" i="63" l="1"/>
  <c r="AP392" i="63" s="1"/>
  <c r="AJ391" i="63"/>
  <c r="AK391" i="63" s="1"/>
  <c r="Y392" i="63"/>
  <c r="AC392" i="63" l="1"/>
  <c r="AH392" i="63" s="1"/>
  <c r="AI392" i="63"/>
  <c r="AB392" i="63" l="1"/>
  <c r="AL392" i="63" s="1"/>
  <c r="AA393" i="63" s="1"/>
  <c r="AP393" i="63" s="1"/>
  <c r="AF392" i="63" l="1"/>
  <c r="AG392" i="63"/>
  <c r="AJ392" i="63"/>
  <c r="AK392" i="63" s="1"/>
  <c r="Y393" i="63"/>
  <c r="AC393" i="63" s="1"/>
  <c r="AH393" i="63" s="1"/>
  <c r="AI393" i="63"/>
  <c r="AB393" i="63" l="1"/>
  <c r="AG393" i="63" s="1"/>
  <c r="AL393" i="63"/>
  <c r="AF393" i="63" l="1"/>
  <c r="AA394" i="63"/>
  <c r="AP394" i="63" s="1"/>
  <c r="AJ393" i="63"/>
  <c r="AK393" i="63" s="1"/>
  <c r="Y394" i="63"/>
  <c r="AC394" i="63" l="1"/>
  <c r="AH394" i="63" s="1"/>
  <c r="AI394" i="63"/>
  <c r="AB394" i="63" l="1"/>
  <c r="AG394" i="63" s="1"/>
  <c r="AL394" i="63" l="1"/>
  <c r="AJ394" i="63" s="1"/>
  <c r="AK394" i="63" s="1"/>
  <c r="AF394" i="63"/>
  <c r="AA395" i="63"/>
  <c r="AP395" i="63" s="1"/>
  <c r="Y395" i="63"/>
  <c r="AC395" i="63" l="1"/>
  <c r="AH395" i="63" s="1"/>
  <c r="AI395" i="63"/>
  <c r="AB395" i="63" l="1"/>
  <c r="AF395" i="63" s="1"/>
  <c r="AL395" i="63" l="1"/>
  <c r="AG395" i="63"/>
  <c r="AA396" i="63"/>
  <c r="AP396" i="63" s="1"/>
  <c r="AJ395" i="63"/>
  <c r="AK395" i="63" s="1"/>
  <c r="Y396" i="63"/>
  <c r="AC396" i="63" l="1"/>
  <c r="AH396" i="63" s="1"/>
  <c r="AI396" i="63"/>
  <c r="AB396" i="63" l="1"/>
  <c r="AL396" i="63" s="1"/>
  <c r="AA397" i="63" s="1"/>
  <c r="AP397" i="63" s="1"/>
  <c r="AG396" i="63" l="1"/>
  <c r="AF396" i="63"/>
  <c r="Y397" i="63"/>
  <c r="AJ396" i="63"/>
  <c r="AK396" i="63" s="1"/>
  <c r="AC397" i="63"/>
  <c r="AH397" i="63" s="1"/>
  <c r="AI397" i="63"/>
  <c r="AB397" i="63" l="1"/>
  <c r="AL397" i="63" s="1"/>
  <c r="AJ397" i="63" s="1"/>
  <c r="AK397" i="63" s="1"/>
  <c r="AF397" i="63"/>
  <c r="AG397" i="63"/>
  <c r="Y398" i="63" l="1"/>
  <c r="AA398" i="63"/>
  <c r="AP398" i="63" s="1"/>
  <c r="AC398" i="63"/>
  <c r="AH398" i="63" s="1"/>
  <c r="AI398" i="63"/>
  <c r="AB398" i="63" l="1"/>
  <c r="AL398" i="63" s="1"/>
  <c r="AJ398" i="63" s="1"/>
  <c r="AK398" i="63" s="1"/>
  <c r="AG398" i="63" l="1"/>
  <c r="AF398" i="63"/>
  <c r="Y399" i="63"/>
  <c r="AA399" i="63"/>
  <c r="AP399" i="63" s="1"/>
  <c r="AC399" i="63"/>
  <c r="AH399" i="63" s="1"/>
  <c r="AI399" i="63" l="1"/>
  <c r="AB399" i="63"/>
  <c r="AG399" i="63" s="1"/>
  <c r="AL399" i="63"/>
  <c r="AF399" i="63" l="1"/>
  <c r="AA400" i="63"/>
  <c r="AP400" i="63" s="1"/>
  <c r="AJ399" i="63"/>
  <c r="AK399" i="63" s="1"/>
  <c r="Y400" i="63"/>
  <c r="AC400" i="63" l="1"/>
  <c r="AH400" i="63" s="1"/>
  <c r="AI400" i="63"/>
  <c r="AB400" i="63" l="1"/>
  <c r="AF400" i="63" s="1"/>
  <c r="AL400" i="63" l="1"/>
  <c r="AJ400" i="63" s="1"/>
  <c r="AK400" i="63" s="1"/>
  <c r="AG400" i="63"/>
  <c r="AA401" i="63"/>
  <c r="AP401" i="63" s="1"/>
  <c r="Y401" i="63"/>
  <c r="AC401" i="63" l="1"/>
  <c r="AH401" i="63" s="1"/>
  <c r="AI401" i="63"/>
  <c r="AB401" i="63" l="1"/>
  <c r="AG401" i="63" s="1"/>
  <c r="AF401" i="63" l="1"/>
  <c r="AL401" i="63"/>
  <c r="AA402" i="63" s="1"/>
  <c r="AP402" i="63" s="1"/>
  <c r="AJ401" i="63" l="1"/>
  <c r="AK401" i="63" s="1"/>
  <c r="Y402" i="63"/>
  <c r="AC402" i="63" s="1"/>
  <c r="AH402" i="63" s="1"/>
  <c r="AI402" i="63"/>
  <c r="AB402" i="63" l="1"/>
  <c r="AG402" i="63" s="1"/>
  <c r="AL402" i="63" l="1"/>
  <c r="AA403" i="63" s="1"/>
  <c r="AP403" i="63" s="1"/>
  <c r="AF402" i="63"/>
  <c r="AJ402" i="63" l="1"/>
  <c r="AK402" i="63" s="1"/>
  <c r="Y403" i="63"/>
  <c r="AC403" i="63"/>
  <c r="AH403" i="63" s="1"/>
  <c r="AI403" i="63"/>
  <c r="AB403" i="63" l="1"/>
  <c r="AL403" i="63" s="1"/>
  <c r="AJ403" i="63" s="1"/>
  <c r="AK403" i="63" s="1"/>
  <c r="AG403" i="63"/>
  <c r="AF403" i="63" l="1"/>
  <c r="Y404" i="63"/>
  <c r="AA404" i="63"/>
  <c r="AP404" i="63" s="1"/>
  <c r="AC404" i="63"/>
  <c r="AH404" i="63" s="1"/>
  <c r="AI404" i="63" l="1"/>
  <c r="AB404" i="63"/>
  <c r="AL404" i="63" s="1"/>
  <c r="AJ404" i="63" s="1"/>
  <c r="AK404" i="63" l="1"/>
  <c r="AF404" i="63"/>
  <c r="AG404" i="63"/>
  <c r="Y405" i="63"/>
  <c r="AA405" i="63"/>
  <c r="AP405" i="63" s="1"/>
  <c r="AC405" i="63"/>
  <c r="AH405" i="63" s="1"/>
  <c r="AI405" i="63" l="1"/>
  <c r="AB405" i="63"/>
  <c r="AF405" i="63" s="1"/>
  <c r="AL405" i="63"/>
  <c r="AG405" i="63" l="1"/>
  <c r="AJ405" i="63"/>
  <c r="AK405" i="63" s="1"/>
  <c r="AA406" i="63"/>
  <c r="AP406" i="63" s="1"/>
  <c r="Y406" i="63"/>
  <c r="AC406" i="63" l="1"/>
  <c r="AH406" i="63" s="1"/>
  <c r="AI406" i="63"/>
  <c r="AB406" i="63" l="1"/>
  <c r="AL406" i="63" s="1"/>
  <c r="AA407" i="63" s="1"/>
  <c r="AP407" i="63" s="1"/>
  <c r="AG406" i="63" l="1"/>
  <c r="AF406" i="63"/>
  <c r="Y407" i="63"/>
  <c r="AJ406" i="63"/>
  <c r="AK406" i="63" s="1"/>
  <c r="AC407" i="63"/>
  <c r="AH407" i="63" s="1"/>
  <c r="AI407" i="63"/>
  <c r="AB407" i="63" l="1"/>
  <c r="AG407" i="63" s="1"/>
  <c r="AF407" i="63" l="1"/>
  <c r="AL407" i="63"/>
  <c r="AA408" i="63" s="1"/>
  <c r="AP408" i="63" s="1"/>
  <c r="Y408" i="63"/>
  <c r="AJ407" i="63" l="1"/>
  <c r="AK407" i="63" s="1"/>
  <c r="AC408" i="63"/>
  <c r="AH408" i="63" s="1"/>
  <c r="AI408" i="63"/>
  <c r="AB408" i="63" l="1"/>
  <c r="AF408" i="63" s="1"/>
  <c r="AL408" i="63" l="1"/>
  <c r="AJ408" i="63" s="1"/>
  <c r="AK408" i="63" s="1"/>
  <c r="AG408" i="63"/>
  <c r="Y409" i="63" l="1"/>
  <c r="AA409" i="63"/>
  <c r="AP409" i="63" s="1"/>
  <c r="AC409" i="63"/>
  <c r="AH409" i="63" s="1"/>
  <c r="AI409" i="63"/>
  <c r="AB409" i="63" l="1"/>
  <c r="AG409" i="63" s="1"/>
  <c r="AL409" i="63" l="1"/>
  <c r="AJ409" i="63" s="1"/>
  <c r="AK409" i="63" s="1"/>
  <c r="AF409" i="63"/>
  <c r="AA410" i="63"/>
  <c r="AP410" i="63" s="1"/>
  <c r="Y410" i="63"/>
  <c r="AC410" i="63" l="1"/>
  <c r="AH410" i="63" s="1"/>
  <c r="AI410" i="63"/>
  <c r="AB410" i="63" l="1"/>
  <c r="AG410" i="63" s="1"/>
  <c r="AL410" i="63" l="1"/>
  <c r="AA411" i="63" s="1"/>
  <c r="AP411" i="63" s="1"/>
  <c r="AF410" i="63"/>
  <c r="AJ410" i="63"/>
  <c r="AK410" i="63" s="1"/>
  <c r="Y411" i="63"/>
  <c r="AC411" i="63" l="1"/>
  <c r="AH411" i="63" s="1"/>
  <c r="AI411" i="63"/>
  <c r="AB411" i="63" l="1"/>
  <c r="AL411" i="63" s="1"/>
  <c r="AJ411" i="63" s="1"/>
  <c r="AK411" i="63" s="1"/>
  <c r="AF411" i="63"/>
  <c r="AG411" i="63" l="1"/>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AA414" i="63" s="1"/>
  <c r="AP414" i="63" s="1"/>
  <c r="AG413" i="63"/>
  <c r="Y414" i="63" l="1"/>
  <c r="AJ413" i="63"/>
  <c r="AK413" i="63" s="1"/>
  <c r="AC414" i="63"/>
  <c r="AH414" i="63" s="1"/>
  <c r="AI414" i="63"/>
  <c r="AB414" i="63" l="1"/>
  <c r="AL414" i="63" s="1"/>
  <c r="AJ414" i="63" s="1"/>
  <c r="AK414" i="63" s="1"/>
  <c r="AG414" i="63" l="1"/>
  <c r="AF414" i="63"/>
  <c r="Y415" i="63"/>
  <c r="AA415" i="63"/>
  <c r="AP415" i="63" s="1"/>
  <c r="AC415" i="63"/>
  <c r="AH415" i="63" s="1"/>
  <c r="AI415" i="63" l="1"/>
  <c r="AB415" i="63"/>
  <c r="AL415" i="63" s="1"/>
  <c r="AJ415" i="63" s="1"/>
  <c r="AG415" i="63" l="1"/>
  <c r="AF415" i="63"/>
  <c r="AK415" i="63"/>
  <c r="Y416" i="63"/>
  <c r="AC416" i="63" s="1"/>
  <c r="AH416" i="63" s="1"/>
  <c r="AA416" i="63"/>
  <c r="AP416" i="63" s="1"/>
  <c r="AI416" i="63" l="1"/>
  <c r="AB416" i="63"/>
  <c r="AG416" i="63" s="1"/>
  <c r="AL416" i="63" l="1"/>
  <c r="AF416" i="63"/>
  <c r="AJ416" i="63"/>
  <c r="AK416" i="63" s="1"/>
  <c r="AA417" i="63"/>
  <c r="AP417" i="63" s="1"/>
  <c r="Y417" i="63"/>
  <c r="AC417" i="63" l="1"/>
  <c r="AH417" i="63" s="1"/>
  <c r="AI417" i="63"/>
  <c r="AB417" i="63" l="1"/>
  <c r="AL417" i="63" s="1"/>
  <c r="AJ417" i="63" s="1"/>
  <c r="AK417" i="63" s="1"/>
  <c r="AG417" i="63"/>
  <c r="AF417" i="63"/>
  <c r="AA418" i="63" l="1"/>
  <c r="AP418" i="63" s="1"/>
  <c r="Y418" i="63"/>
  <c r="AC418" i="63" s="1"/>
  <c r="AH418" i="63" s="1"/>
  <c r="AI418" i="63" l="1"/>
  <c r="AB418" i="63"/>
  <c r="AF418" i="63" s="1"/>
  <c r="AL418" i="63" l="1"/>
  <c r="AA419" i="63" s="1"/>
  <c r="AP419" i="63" s="1"/>
  <c r="AG418" i="63"/>
  <c r="Y419" i="63" l="1"/>
  <c r="AC419" i="63" s="1"/>
  <c r="AH419" i="63" s="1"/>
  <c r="AJ418" i="63"/>
  <c r="AK418" i="63" s="1"/>
  <c r="AI419" i="63"/>
  <c r="AB419" i="63" l="1"/>
  <c r="AG419" i="63" s="1"/>
  <c r="AL419" i="63"/>
  <c r="AF419" i="63" l="1"/>
  <c r="AJ419" i="63"/>
  <c r="AK419" i="63" s="1"/>
  <c r="AA420" i="63"/>
  <c r="Y420" i="63"/>
  <c r="AC420" i="63" l="1"/>
  <c r="AH420" i="63" s="1"/>
  <c r="AI420" i="63"/>
  <c r="AB420" i="63" l="1"/>
  <c r="AL420" i="63" s="1"/>
  <c r="AJ420" i="63" s="1"/>
  <c r="AK420" i="63" s="1"/>
  <c r="AA421" i="63" l="1"/>
  <c r="AI421" i="63" s="1"/>
  <c r="AF420" i="63"/>
  <c r="AG420" i="63"/>
  <c r="Y421" i="63"/>
  <c r="AC421" i="63" s="1"/>
  <c r="AH421" i="63" s="1"/>
  <c r="AB421" i="63" l="1"/>
  <c r="AG421" i="63" s="1"/>
  <c r="AL421" i="63" l="1"/>
  <c r="AF421" i="63"/>
  <c r="AJ421" i="63"/>
  <c r="AK421" i="63" s="1"/>
  <c r="AA422" i="63"/>
  <c r="Y422" i="63"/>
  <c r="AC422" i="63" l="1"/>
  <c r="AH422" i="63" s="1"/>
  <c r="AI422" i="63"/>
  <c r="AB422" i="63" l="1"/>
  <c r="AL422" i="63" s="1"/>
  <c r="AJ422" i="63" s="1"/>
  <c r="AK422" i="63" s="1"/>
  <c r="AF422" i="63"/>
  <c r="AG422" i="63"/>
  <c r="Y423" i="63" l="1"/>
  <c r="AA423" i="63"/>
  <c r="AI423" i="63" s="1"/>
  <c r="AC423" i="63"/>
  <c r="AH423" i="63" s="1"/>
  <c r="AB423" i="63" l="1"/>
  <c r="AL423" i="63" s="1"/>
  <c r="AJ423" i="63" s="1"/>
  <c r="AK423" i="63" s="1"/>
  <c r="AF423" i="63" l="1"/>
  <c r="AG423" i="63"/>
  <c r="Y424" i="63"/>
  <c r="AC424" i="63" s="1"/>
  <c r="AH424" i="63" s="1"/>
  <c r="AA424" i="63"/>
  <c r="AI424" i="63" s="1"/>
  <c r="AB424" i="63" l="1"/>
  <c r="AF424" i="63" s="1"/>
  <c r="AL424" i="63" l="1"/>
  <c r="AJ424" i="63" s="1"/>
  <c r="AK424" i="63" s="1"/>
  <c r="AG424" i="63"/>
  <c r="AA425" i="63"/>
  <c r="Y425" i="63"/>
  <c r="AC425" i="63" l="1"/>
  <c r="AH425" i="63" s="1"/>
  <c r="AI425" i="63"/>
  <c r="AB425" i="63" l="1"/>
  <c r="AF425" i="63" s="1"/>
  <c r="AL425" i="63" l="1"/>
  <c r="AJ425" i="63" s="1"/>
  <c r="AK425" i="63" s="1"/>
  <c r="AG425" i="63"/>
  <c r="AA426" i="63"/>
  <c r="Y426" i="63"/>
  <c r="AC426" i="63" l="1"/>
  <c r="AH426" i="63" s="1"/>
  <c r="AI426" i="63"/>
  <c r="AB426" i="63" l="1"/>
  <c r="AF426" i="63" s="1"/>
  <c r="AL426" i="63" l="1"/>
  <c r="AG426" i="63"/>
  <c r="AJ426" i="63"/>
  <c r="AK426" i="63" s="1"/>
  <c r="AA427" i="63"/>
  <c r="Y427" i="63"/>
  <c r="AC427" i="63" l="1"/>
  <c r="AH427" i="63" s="1"/>
  <c r="AI427" i="63"/>
  <c r="AB427" i="63" l="1"/>
  <c r="AG427" i="63" s="1"/>
  <c r="AL427" i="63" l="1"/>
  <c r="AF427" i="63"/>
  <c r="AA428" i="63"/>
  <c r="AJ427" i="63"/>
  <c r="AK427" i="63" s="1"/>
  <c r="Y428" i="63"/>
  <c r="AC428" i="63" l="1"/>
  <c r="AH428" i="63" s="1"/>
  <c r="AI428" i="63"/>
  <c r="AB428" i="63" l="1"/>
  <c r="AF428" i="63" s="1"/>
  <c r="AL428" i="63" l="1"/>
  <c r="AG428" i="63"/>
  <c r="AA429" i="63"/>
  <c r="AJ428" i="63"/>
  <c r="AK428" i="63" s="1"/>
  <c r="Y429" i="63"/>
  <c r="AC429" i="63" l="1"/>
  <c r="AH429" i="63" s="1"/>
  <c r="AI429" i="63"/>
  <c r="AB429" i="63" l="1"/>
  <c r="AG429" i="63" s="1"/>
  <c r="AL429" i="63" l="1"/>
  <c r="AF429" i="63"/>
  <c r="AJ429" i="63"/>
  <c r="AK429" i="63" s="1"/>
  <c r="AA430" i="63"/>
  <c r="Y430" i="63"/>
  <c r="AC430" i="63" l="1"/>
  <c r="AH430" i="63" s="1"/>
  <c r="AI430" i="63"/>
  <c r="AB430" i="63" l="1"/>
  <c r="AF430" i="63" s="1"/>
  <c r="AL430" i="63" l="1"/>
  <c r="AJ430" i="63" s="1"/>
  <c r="AK430" i="63" s="1"/>
  <c r="AG430" i="63"/>
  <c r="AA431" i="63"/>
  <c r="Y431" i="63" l="1"/>
  <c r="AC431" i="63"/>
  <c r="AH431" i="63" s="1"/>
  <c r="AI431" i="63"/>
  <c r="AB431" i="63" l="1"/>
  <c r="AL431" i="63" s="1"/>
  <c r="AJ431" i="63" s="1"/>
  <c r="AK431" i="63" s="1"/>
  <c r="AG431" i="63" l="1"/>
  <c r="AF431" i="63"/>
  <c r="Y432" i="63"/>
  <c r="AA432" i="63"/>
  <c r="AI432" i="63" s="1"/>
  <c r="AC432" i="63"/>
  <c r="AH432" i="63" s="1"/>
  <c r="AB432" i="63" l="1"/>
  <c r="AL432" i="63" s="1"/>
  <c r="AA433" i="63" s="1"/>
  <c r="AJ432" i="63"/>
  <c r="AK432" i="63" s="1"/>
  <c r="Y433" i="63"/>
  <c r="AG432" i="63"/>
  <c r="AF432" i="63"/>
  <c r="AC433" i="63" l="1"/>
  <c r="AH433" i="63" s="1"/>
  <c r="AI433" i="63"/>
  <c r="AB433" i="63" l="1"/>
  <c r="AG433" i="63" s="1"/>
  <c r="AL433" i="63" l="1"/>
  <c r="AJ433" i="63" s="1"/>
  <c r="AK433" i="63" s="1"/>
  <c r="AF433" i="63"/>
  <c r="Y434" i="63" l="1"/>
  <c r="AC434" i="63" s="1"/>
  <c r="AH434" i="63" s="1"/>
  <c r="AA434" i="63"/>
  <c r="AI434" i="63" s="1"/>
  <c r="AB434" i="63" l="1"/>
  <c r="AG434" i="63" s="1"/>
  <c r="AF434" i="63"/>
  <c r="AL434" i="63"/>
  <c r="AA435" i="63" l="1"/>
  <c r="AJ434" i="63"/>
  <c r="AK434" i="63" s="1"/>
  <c r="Y435" i="63"/>
  <c r="AC435" i="63" l="1"/>
  <c r="AH435" i="63" s="1"/>
  <c r="AI435" i="63"/>
  <c r="AB435" i="63" l="1"/>
  <c r="AF435" i="63" s="1"/>
  <c r="AL435" i="63" l="1"/>
  <c r="AG435" i="63"/>
  <c r="AJ435" i="63"/>
  <c r="AK435" i="63" s="1"/>
  <c r="AA436" i="63"/>
  <c r="Y436" i="63"/>
  <c r="AC436" i="63" l="1"/>
  <c r="AH436" i="63" s="1"/>
  <c r="AI436" i="63"/>
  <c r="AB436" i="63" l="1"/>
  <c r="AG436" i="63" s="1"/>
  <c r="AF436" i="63" l="1"/>
  <c r="AL436" i="63"/>
  <c r="AJ436" i="63" s="1"/>
  <c r="AK436" i="63" s="1"/>
  <c r="Y437" i="63" l="1"/>
  <c r="AA437" i="63"/>
  <c r="AI437" i="63" s="1"/>
  <c r="AC437" i="63"/>
  <c r="AH437" i="63" s="1"/>
  <c r="AB437" i="63" l="1"/>
  <c r="AF437" i="63" s="1"/>
  <c r="AL437" i="63" l="1"/>
  <c r="AA438" i="63" s="1"/>
  <c r="AG437" i="63"/>
  <c r="Y438" i="63" l="1"/>
  <c r="AC438" i="63" s="1"/>
  <c r="AH438" i="63" s="1"/>
  <c r="AJ437" i="63"/>
  <c r="AK437" i="63" s="1"/>
  <c r="AI438" i="63"/>
  <c r="AB438" i="63" l="1"/>
  <c r="AL438" i="63" s="1"/>
  <c r="AA439" i="63" s="1"/>
  <c r="AG438" i="63" l="1"/>
  <c r="AF438" i="63"/>
  <c r="Y439" i="63"/>
  <c r="AJ438" i="63"/>
  <c r="AK438" i="63" s="1"/>
  <c r="AC439" i="63"/>
  <c r="AH439" i="63" s="1"/>
  <c r="AI439" i="63"/>
  <c r="AB439" i="63" l="1"/>
  <c r="AL439" i="63" s="1"/>
  <c r="AA440" i="63" s="1"/>
  <c r="AF439" i="63" l="1"/>
  <c r="AG439" i="63"/>
  <c r="Y440" i="63"/>
  <c r="AJ439" i="63"/>
  <c r="AK439" i="63" s="1"/>
  <c r="AC440" i="63"/>
  <c r="AH440" i="63" s="1"/>
  <c r="AI440" i="63"/>
  <c r="AB440" i="63" l="1"/>
  <c r="AG440" i="63" s="1"/>
  <c r="AL440" i="63" l="1"/>
  <c r="AJ440" i="63" s="1"/>
  <c r="AK440" i="63" s="1"/>
  <c r="AF440" i="63"/>
  <c r="AA441" i="63"/>
  <c r="Y441" i="63" l="1"/>
  <c r="AC441" i="63"/>
  <c r="AH441" i="63" s="1"/>
  <c r="AI441" i="63"/>
  <c r="AB441" i="63" l="1"/>
  <c r="AF441" i="63" s="1"/>
  <c r="AL441" i="63" l="1"/>
  <c r="AJ441" i="63" s="1"/>
  <c r="AK441" i="63" s="1"/>
  <c r="AG441" i="63"/>
  <c r="Y442" i="63" l="1"/>
  <c r="AC442" i="63" s="1"/>
  <c r="AH442" i="63" s="1"/>
  <c r="AA442" i="63"/>
  <c r="AI442" i="63" s="1"/>
  <c r="AB442" i="63" l="1"/>
  <c r="AF442" i="63" s="1"/>
  <c r="AL442" i="63" l="1"/>
  <c r="AG442" i="63"/>
  <c r="AA443" i="63"/>
  <c r="AJ442" i="63"/>
  <c r="AK442" i="63" s="1"/>
  <c r="Y443" i="63"/>
  <c r="AC443" i="63" l="1"/>
  <c r="AH443" i="63" s="1"/>
  <c r="AI443" i="63"/>
  <c r="AB443" i="63" l="1"/>
  <c r="AF443" i="63" s="1"/>
  <c r="AL443" i="63" l="1"/>
  <c r="AA444" i="63" s="1"/>
  <c r="AG443" i="63"/>
  <c r="AJ443" i="63"/>
  <c r="AK443" i="63" s="1"/>
  <c r="Y444" i="63"/>
  <c r="AC444" i="63" l="1"/>
  <c r="AH444" i="63" s="1"/>
  <c r="AI444" i="63"/>
  <c r="AB444" i="63" l="1"/>
  <c r="AF444" i="63" s="1"/>
  <c r="AL444" i="63"/>
  <c r="AG444" i="63" l="1"/>
  <c r="AA445" i="63"/>
  <c r="AJ444" i="63"/>
  <c r="AK444" i="63" s="1"/>
  <c r="Y445" i="63"/>
  <c r="AC445" i="63" l="1"/>
  <c r="AH445" i="63" s="1"/>
  <c r="AI445" i="63"/>
  <c r="AB445" i="63" l="1"/>
  <c r="AG445" i="63" s="1"/>
  <c r="AF445" i="63" l="1"/>
  <c r="AL445" i="63"/>
  <c r="AJ445" i="63" s="1"/>
  <c r="AK445" i="63" s="1"/>
  <c r="Y446" i="63" l="1"/>
  <c r="AA446" i="63"/>
  <c r="AC446" i="63"/>
  <c r="AH446" i="63" s="1"/>
  <c r="AI446" i="63"/>
  <c r="AB446" i="63" l="1"/>
  <c r="AL446" i="63" s="1"/>
  <c r="AJ446" i="63" s="1"/>
  <c r="AK446" i="63" s="1"/>
  <c r="AG446" i="63" l="1"/>
  <c r="Y447" i="63"/>
  <c r="AF446" i="63"/>
  <c r="AA447" i="63"/>
  <c r="AI447" i="63" s="1"/>
  <c r="AC447" i="63"/>
  <c r="AH447" i="63" s="1"/>
  <c r="AB447" i="63" l="1"/>
  <c r="AL447" i="63" s="1"/>
  <c r="AA448" i="63" s="1"/>
  <c r="AF447" i="63"/>
  <c r="AG447" i="63"/>
  <c r="Y448" i="63" l="1"/>
  <c r="AC448" i="63" s="1"/>
  <c r="AH448" i="63" s="1"/>
  <c r="AJ447" i="63"/>
  <c r="AK447" i="63" s="1"/>
  <c r="AI448" i="63"/>
  <c r="AB448" i="63" l="1"/>
  <c r="AF448" i="63" s="1"/>
  <c r="AL448" i="63" l="1"/>
  <c r="AG448" i="63"/>
  <c r="AA449" i="63"/>
  <c r="AJ448" i="63"/>
  <c r="AK448" i="63" s="1"/>
  <c r="Y449" i="63"/>
  <c r="AC449" i="63" l="1"/>
  <c r="AH449" i="63" s="1"/>
  <c r="AI449" i="63"/>
  <c r="AB449" i="63" l="1"/>
  <c r="AF449" i="63" s="1"/>
  <c r="AL449" i="63" l="1"/>
  <c r="AG449" i="63"/>
  <c r="AJ449" i="63"/>
  <c r="AK449" i="63" s="1"/>
  <c r="AA450" i="63"/>
  <c r="Y450" i="63"/>
  <c r="AC450" i="63" l="1"/>
  <c r="AH450" i="63" s="1"/>
  <c r="AI450" i="63"/>
  <c r="AB450" i="63" l="1"/>
  <c r="AL450" i="63" s="1"/>
  <c r="AA451" i="63" s="1"/>
  <c r="AJ450" i="63"/>
  <c r="AK450" i="63" s="1"/>
  <c r="Y451" i="63"/>
  <c r="AF450" i="63"/>
  <c r="AG450" i="63"/>
  <c r="AC451" i="63" l="1"/>
  <c r="AH451" i="63" s="1"/>
  <c r="AI451" i="63"/>
  <c r="AB451" i="63" l="1"/>
  <c r="AL451" i="63" s="1"/>
  <c r="AA452" i="63" s="1"/>
  <c r="AG451" i="63" l="1"/>
  <c r="AF451" i="63"/>
  <c r="Y452" i="63"/>
  <c r="AC452" i="63" s="1"/>
  <c r="AH452" i="63" s="1"/>
  <c r="AJ451" i="63"/>
  <c r="AK451"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A456" i="63"/>
  <c r="AI456" i="63" s="1"/>
  <c r="AC456" i="63"/>
  <c r="AH456" i="63" s="1"/>
  <c r="AB456" i="63" l="1"/>
  <c r="AG456" i="63" s="1"/>
  <c r="AL456" i="63" l="1"/>
  <c r="AA457" i="63" s="1"/>
  <c r="AF456" i="63"/>
  <c r="AJ456" i="63" l="1"/>
  <c r="AK456" i="63" s="1"/>
  <c r="Y457" i="63"/>
  <c r="AC457" i="63" s="1"/>
  <c r="AH457" i="63" s="1"/>
  <c r="AI457" i="63"/>
  <c r="AB457" i="63" l="1"/>
  <c r="AG457" i="63" s="1"/>
  <c r="AF457" i="63"/>
  <c r="AL457" i="63"/>
  <c r="AA458" i="63" l="1"/>
  <c r="AJ457" i="63"/>
  <c r="AK457" i="63" s="1"/>
  <c r="Y458" i="63"/>
  <c r="AC458" i="63" l="1"/>
  <c r="AH458" i="63" s="1"/>
  <c r="AI458" i="63"/>
  <c r="AB458" i="63" l="1"/>
  <c r="AG458" i="63" s="1"/>
  <c r="AF458" i="63"/>
  <c r="AL458" i="63" l="1"/>
  <c r="AA459" i="63"/>
  <c r="AJ458" i="63"/>
  <c r="AK458" i="63" s="1"/>
  <c r="Y459" i="63"/>
  <c r="AC459" i="63" l="1"/>
  <c r="AH459" i="63" s="1"/>
  <c r="AI459" i="63"/>
  <c r="AB459" i="63" l="1"/>
  <c r="AG459" i="63" s="1"/>
  <c r="AL459" i="63" l="1"/>
  <c r="Y460" i="63" s="1"/>
  <c r="AF459" i="63"/>
  <c r="AA460" i="63" l="1"/>
  <c r="AJ459" i="63"/>
  <c r="AK459" i="63" s="1"/>
  <c r="AC460" i="63"/>
  <c r="AH460" i="63" s="1"/>
  <c r="AI460" i="63"/>
  <c r="AB460" i="63" l="1"/>
  <c r="AG460" i="63" s="1"/>
  <c r="AF460" i="63"/>
  <c r="AL460" i="63"/>
  <c r="AA461" i="63" l="1"/>
  <c r="AJ460" i="63"/>
  <c r="AK460" i="63" s="1"/>
  <c r="Y461" i="63"/>
  <c r="AC461" i="63" l="1"/>
  <c r="AH461" i="63" s="1"/>
  <c r="AI461" i="63"/>
  <c r="AB461" i="63" l="1"/>
  <c r="AF461" i="63" s="1"/>
  <c r="AL461" i="63" l="1"/>
  <c r="AJ461" i="63" s="1"/>
  <c r="AK461" i="63" s="1"/>
  <c r="AG461" i="63"/>
  <c r="Y462" i="63"/>
  <c r="AA462" i="63"/>
  <c r="AI462" i="63" l="1"/>
  <c r="AC462" i="63"/>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c r="Y464" i="63" l="1"/>
  <c r="AC464" i="63" s="1"/>
  <c r="AH464" i="63" s="1"/>
  <c r="AI464" i="63"/>
  <c r="AB464" i="63" l="1"/>
  <c r="AG464" i="63" l="1"/>
  <c r="AF464" i="63"/>
  <c r="AL464" i="63"/>
  <c r="AA465" i="63" l="1"/>
  <c r="AJ464" i="63"/>
  <c r="AK464" i="63" s="1"/>
  <c r="Y465" i="63"/>
  <c r="AC465" i="63" l="1"/>
  <c r="AH465" i="63" s="1"/>
  <c r="AI465" i="63"/>
  <c r="AB465" i="63" l="1"/>
  <c r="AF465" i="63" s="1"/>
  <c r="AL465" i="63" l="1"/>
  <c r="AA466" i="63" s="1"/>
  <c r="AG465" i="63"/>
  <c r="Y466" i="63"/>
  <c r="AJ465" i="63" l="1"/>
  <c r="AK465" i="63" s="1"/>
  <c r="AC466" i="63"/>
  <c r="AH466" i="63" s="1"/>
  <c r="AI466" i="63"/>
  <c r="AB466" i="63" l="1"/>
  <c r="AG466" i="63" s="1"/>
  <c r="AF466" i="63" l="1"/>
  <c r="AL466" i="63"/>
  <c r="AA467" i="63" s="1"/>
  <c r="AJ466" i="63"/>
  <c r="AK466" i="63" s="1"/>
  <c r="Y467" i="63"/>
  <c r="AC467" i="63" l="1"/>
  <c r="AH467" i="63" s="1"/>
  <c r="AI467" i="63"/>
  <c r="AB467" i="63" l="1"/>
  <c r="AF467" i="63"/>
  <c r="AG467" i="63"/>
  <c r="AL467" i="63"/>
  <c r="AJ467" i="63" l="1"/>
  <c r="AK467" i="63" s="1"/>
  <c r="AA468" i="63"/>
  <c r="Y468" i="63"/>
  <c r="AC468" i="63" l="1"/>
  <c r="AH468" i="63" s="1"/>
  <c r="AI468" i="63"/>
  <c r="AB468" i="63" l="1"/>
  <c r="AF468" i="63" s="1"/>
  <c r="AL468" i="63" l="1"/>
  <c r="AG468" i="63"/>
  <c r="AJ468" i="63"/>
  <c r="AK468" i="63" s="1"/>
  <c r="AA469" i="63"/>
  <c r="Y469" i="63"/>
  <c r="AC469" i="63" l="1"/>
  <c r="AH469" i="63" s="1"/>
  <c r="AI469" i="63"/>
  <c r="AB469" i="63" l="1"/>
  <c r="AG469" i="63" s="1"/>
  <c r="AF469" i="63"/>
  <c r="AL469" i="63"/>
  <c r="AJ469" i="63" l="1"/>
  <c r="AK469" i="63" s="1"/>
  <c r="AA470" i="63"/>
  <c r="Y470" i="63"/>
  <c r="AC470" i="63" l="1"/>
  <c r="AH470" i="63" s="1"/>
  <c r="AI470" i="63"/>
  <c r="AB470" i="63" l="1"/>
  <c r="AG470" i="63"/>
  <c r="AF470" i="63"/>
  <c r="AL470" i="63"/>
  <c r="AA471" i="63" l="1"/>
  <c r="AJ470" i="63"/>
  <c r="AK470" i="63" s="1"/>
  <c r="Y471" i="63"/>
  <c r="AC471" i="63" l="1"/>
  <c r="AH471" i="63" s="1"/>
  <c r="AI471" i="63"/>
  <c r="AB471" i="63" l="1"/>
  <c r="AF471" i="63" s="1"/>
  <c r="AG471" i="63" l="1"/>
  <c r="AL471" i="63"/>
  <c r="AJ471" i="63" s="1"/>
  <c r="AK471" i="63" s="1"/>
  <c r="AA472" i="63"/>
  <c r="Y472" i="63"/>
  <c r="AC472" i="63" l="1"/>
  <c r="AH472" i="63" s="1"/>
  <c r="AI472" i="63"/>
  <c r="AB472" i="63" l="1"/>
  <c r="AG472" i="63" s="1"/>
  <c r="AF472" i="63"/>
  <c r="AL472" i="63"/>
  <c r="AJ472" i="63" l="1"/>
  <c r="AK472" i="63" s="1"/>
  <c r="AA473" i="63"/>
  <c r="Y473" i="63"/>
  <c r="AC473" i="63" l="1"/>
  <c r="AH473" i="63" s="1"/>
  <c r="AI473" i="63"/>
  <c r="AB473" i="63" l="1"/>
  <c r="AF473" i="63" s="1"/>
  <c r="AG473" i="63"/>
  <c r="AL473" i="63"/>
  <c r="AJ473" i="63" l="1"/>
  <c r="AK473" i="63" s="1"/>
  <c r="Y474" i="63"/>
  <c r="AA474" i="63"/>
  <c r="AI474" i="63" l="1"/>
  <c r="AC474" i="63"/>
  <c r="AH474" i="63" s="1"/>
  <c r="AB474" i="63" l="1"/>
  <c r="AG474" i="63" l="1"/>
  <c r="AF474" i="63"/>
  <c r="AL474" i="63"/>
  <c r="AA475" i="63" l="1"/>
  <c r="AJ474" i="63"/>
  <c r="AK474" i="63" s="1"/>
  <c r="Y475" i="63"/>
  <c r="AC475" i="63" l="1"/>
  <c r="AH475" i="63" s="1"/>
  <c r="AI475" i="63"/>
  <c r="AB475" i="63" l="1"/>
  <c r="AF475" i="63" s="1"/>
  <c r="AL475" i="63"/>
  <c r="AG475" i="63" l="1"/>
  <c r="AJ475" i="63"/>
  <c r="AK475" i="63" s="1"/>
  <c r="AA476" i="63"/>
  <c r="Y476" i="63"/>
  <c r="AC476" i="63" l="1"/>
  <c r="AH476" i="63" s="1"/>
  <c r="AI476" i="63"/>
  <c r="AB476" i="63" l="1"/>
  <c r="AG476" i="63" s="1"/>
  <c r="AL476" i="63" l="1"/>
  <c r="AJ476" i="63" s="1"/>
  <c r="AK476" i="63" s="1"/>
  <c r="AF476" i="63"/>
  <c r="Y477" i="63"/>
  <c r="AA477" i="63" l="1"/>
  <c r="AC477" i="63"/>
  <c r="AH477" i="63" s="1"/>
  <c r="AI477" i="63"/>
  <c r="AB477" i="63" l="1"/>
  <c r="AG477" i="63"/>
  <c r="AF477" i="63"/>
  <c r="AL477" i="63"/>
  <c r="AJ477" i="63" l="1"/>
  <c r="AK477" i="63" s="1"/>
  <c r="AA478" i="63"/>
  <c r="Y478" i="63"/>
  <c r="AC478" i="63" l="1"/>
  <c r="AH478" i="63" s="1"/>
  <c r="AI478" i="63"/>
  <c r="AB478" i="63" l="1"/>
  <c r="AF478" i="63" s="1"/>
  <c r="AL478" i="63" l="1"/>
  <c r="AA479" i="63" s="1"/>
  <c r="AG478" i="63"/>
  <c r="AJ478" i="63"/>
  <c r="AK478" i="63" s="1"/>
  <c r="Y479" i="63"/>
  <c r="AC479" i="63" l="1"/>
  <c r="AH479" i="63" s="1"/>
  <c r="AI479" i="63"/>
  <c r="AB479" i="63" l="1"/>
  <c r="AG479" i="63" s="1"/>
  <c r="AL479" i="63" l="1"/>
  <c r="AJ479" i="63" s="1"/>
  <c r="AK479" i="63" s="1"/>
  <c r="AF479" i="63"/>
  <c r="Y480" i="63" l="1"/>
  <c r="AA480" i="63"/>
  <c r="AI480" i="63" s="1"/>
  <c r="AC480" i="63"/>
  <c r="AH480" i="63" s="1"/>
  <c r="AB480" i="63" l="1"/>
  <c r="AG480" i="63" s="1"/>
  <c r="AL480" i="63" l="1"/>
  <c r="AF480" i="63"/>
  <c r="AA481" i="63"/>
  <c r="AJ480" i="63"/>
  <c r="AK480" i="63" s="1"/>
  <c r="Y481" i="63"/>
  <c r="AC481" i="63" l="1"/>
  <c r="AH481" i="63" s="1"/>
  <c r="AI481" i="63"/>
  <c r="AB481" i="63" l="1"/>
  <c r="AF481" i="63" s="1"/>
  <c r="AL481" i="63" l="1"/>
  <c r="AJ481" i="63" s="1"/>
  <c r="AK481" i="63" s="1"/>
  <c r="AG481" i="63"/>
  <c r="Y482" i="63" l="1"/>
  <c r="AA482" i="63"/>
  <c r="AI482" i="63" s="1"/>
  <c r="AC482" i="63"/>
  <c r="AH482" i="63" s="1"/>
  <c r="AB482" i="63" l="1"/>
  <c r="AF482" i="63" l="1"/>
  <c r="AG482" i="63"/>
  <c r="AL482" i="63"/>
  <c r="AA483" i="63" l="1"/>
  <c r="AJ482" i="63"/>
  <c r="AK482" i="63" s="1"/>
  <c r="Y483" i="63"/>
  <c r="AC483" i="63" l="1"/>
  <c r="AH483" i="63" s="1"/>
  <c r="AI483" i="63"/>
  <c r="AB483" i="63" l="1"/>
  <c r="AF483" i="63" s="1"/>
  <c r="AL483" i="63" l="1"/>
  <c r="AG483" i="63"/>
  <c r="AJ483" i="63"/>
  <c r="AK483" i="63" s="1"/>
  <c r="AA484" i="63"/>
  <c r="Y484" i="63"/>
  <c r="AC484" i="63" l="1"/>
  <c r="AH484" i="63" s="1"/>
  <c r="AI484" i="63"/>
  <c r="AB484" i="63" l="1"/>
  <c r="AF484" i="63" s="1"/>
  <c r="AG484" i="63"/>
  <c r="AL484" i="63"/>
  <c r="AA485" i="63" l="1"/>
  <c r="AJ484" i="63"/>
  <c r="AK484" i="63" s="1"/>
  <c r="Y485" i="63"/>
  <c r="AC485" i="63" l="1"/>
  <c r="AH485" i="63" s="1"/>
  <c r="AI485" i="63"/>
  <c r="AB485" i="63" l="1"/>
  <c r="AF485" i="63" s="1"/>
  <c r="AL485" i="63" l="1"/>
  <c r="AJ485" i="63" s="1"/>
  <c r="AK485" i="63" s="1"/>
  <c r="AG485" i="63"/>
  <c r="AA486" i="63"/>
  <c r="Y486" i="63"/>
  <c r="AC486" i="63" l="1"/>
  <c r="AH486" i="63" s="1"/>
  <c r="AI486" i="63"/>
  <c r="AB486" i="63" l="1"/>
  <c r="AF486" i="63"/>
  <c r="AG486" i="63"/>
  <c r="AL486" i="63"/>
  <c r="AA487" i="63" l="1"/>
  <c r="Y487" i="63"/>
  <c r="AJ486" i="63"/>
  <c r="AK486" i="63" s="1"/>
  <c r="AC487" i="63" l="1"/>
  <c r="AH487" i="63" s="1"/>
  <c r="AI487" i="63"/>
  <c r="AB487" i="63" l="1"/>
  <c r="AF487" i="63" s="1"/>
  <c r="AL487" i="63" l="1"/>
  <c r="AG487" i="63"/>
  <c r="AJ487" i="63"/>
  <c r="AK487" i="63" s="1"/>
  <c r="AA488" i="63"/>
  <c r="Y488" i="63"/>
  <c r="AC488" i="63" l="1"/>
  <c r="AH488" i="63" s="1"/>
  <c r="AI488" i="63"/>
  <c r="AB488" i="63" l="1"/>
  <c r="AG488" i="63" s="1"/>
  <c r="AL488" i="63" l="1"/>
  <c r="AJ488" i="63" s="1"/>
  <c r="AK488" i="63" s="1"/>
  <c r="AF488" i="63"/>
  <c r="AA489" i="63"/>
  <c r="Y489" i="63"/>
  <c r="AC489" i="63" l="1"/>
  <c r="AH489" i="63" s="1"/>
  <c r="AI489" i="63"/>
  <c r="AB489" i="63" l="1"/>
  <c r="AG489" i="63" s="1"/>
  <c r="AL489" i="63" l="1"/>
  <c r="AF489" i="63"/>
  <c r="Y490" i="63"/>
  <c r="AA490" i="63"/>
  <c r="AJ489" i="63"/>
  <c r="AK489" i="63" s="1"/>
  <c r="AI490" i="63" l="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H44" i="19" l="1"/>
  <c r="H45" i="19" l="1"/>
  <c r="H46" i="19" l="1"/>
  <c r="F50" i="19" l="1"/>
  <c r="G44" i="19" l="1"/>
  <c r="F54" i="19" l="1"/>
  <c r="C44" i="19"/>
  <c r="C54" i="19"/>
  <c r="B43" i="19"/>
  <c r="O54" i="19"/>
  <c r="E53" i="19"/>
  <c r="G45" i="19" l="1"/>
  <c r="F55" i="19" s="1"/>
  <c r="O55" i="19" l="1"/>
  <c r="C45" i="19"/>
  <c r="C55" i="19"/>
  <c r="G48" i="19" l="1"/>
  <c r="C48" i="19" s="1"/>
  <c r="G46" i="19" l="1"/>
  <c r="C56" i="19" l="1"/>
  <c r="C46" i="19"/>
  <c r="O56" i="19"/>
  <c r="F56" i="19"/>
  <c r="G50" i="19" l="1"/>
  <c r="F57" i="19" l="1"/>
  <c r="C50" i="19"/>
  <c r="C59" i="19" s="1"/>
  <c r="E60" i="19" s="1"/>
  <c r="O57" i="19"/>
  <c r="C57" i="19"/>
  <c r="K49" i="19" l="1"/>
  <c r="C49" i="19" s="1"/>
  <c r="E61" i="19" s="1"/>
  <c r="E63" i="19" l="1"/>
  <c r="E62" i="19"/>
  <c r="B73" i="19" s="1"/>
  <c r="D73" i="1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<sst xmlns="http://schemas.openxmlformats.org/spreadsheetml/2006/main" count="1783" uniqueCount="1153">
  <si>
    <t>Flip, Hold or Slow Flip</t>
  </si>
  <si>
    <t>Heritage Mangement</t>
  </si>
  <si>
    <t>Refinance:</t>
  </si>
  <si>
    <t>7001 Outrigger Dr</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</si>
  <si>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</si>
  <si>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</si>
  <si>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</si>
  <si>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</si>
  <si>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</si>
  <si>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</si>
  <si>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</si>
  <si>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</si>
  <si>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</si>
  <si>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</si>
  <si>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</si>
  <si>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</si>
  <si>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</si>
  <si>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</si>
  <si>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</si>
  <si>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</si>
  <si>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</si>
  <si>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</si>
  <si>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</si>
  <si>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</si>
  <si>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</si>
  <si>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</si>
  <si>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</si>
  <si>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</si>
  <si>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</si>
  <si>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</si>
  <si>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</si>
  <si>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</si>
  <si>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</si>
  <si>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</si>
  <si>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</si>
  <si>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</si>
  <si>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</si>
  <si>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</si>
  <si>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</si>
  <si>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</si>
  <si>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</si>
  <si>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</si>
  <si>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</si>
  <si>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</si>
  <si>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</si>
  <si>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</si>
  <si>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</si>
  <si>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</si>
  <si>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</si>
  <si>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</si>
  <si>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</si>
  <si>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</si>
  <si>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</si>
  <si>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</si>
  <si>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</si>
  <si>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</si>
  <si>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</si>
  <si>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Mortgage Payment:</t>
  </si>
  <si>
    <t>Do not edit Green cells. They are highlighted only to show profit</t>
  </si>
  <si>
    <t>Private Money</t>
  </si>
  <si>
    <t>Property Insurance</t>
  </si>
  <si>
    <t>HOA Fees (monthly)</t>
  </si>
  <si>
    <t>Electric</t>
  </si>
  <si>
    <t>water</t>
  </si>
  <si>
    <t>Carrying Cost</t>
  </si>
  <si>
    <t>Private Lender  Rate:</t>
  </si>
  <si>
    <t>75%ARV-Debt:</t>
  </si>
  <si>
    <t>Rehab:</t>
  </si>
  <si>
    <t>Marketing:</t>
  </si>
  <si>
    <t>Purchase  Cost</t>
  </si>
  <si>
    <t>Out of Pocket</t>
  </si>
  <si>
    <t>Number of Rent Payments :</t>
  </si>
  <si>
    <t>Buyer  Assistance</t>
  </si>
  <si>
    <t>PL Balance +Interest</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</si>
  <si>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</si>
  <si>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</si>
  <si>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</si>
  <si>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</si>
  <si>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</si>
  <si>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</si>
  <si>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</si>
  <si>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</si>
  <si>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</si>
  <si>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</si>
  <si>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</si>
  <si>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</si>
  <si>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</si>
  <si>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</si>
  <si>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</si>
  <si>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</si>
  <si>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</si>
  <si>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</si>
  <si>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</si>
  <si>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</si>
  <si>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</si>
  <si>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</si>
  <si>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</si>
  <si>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</si>
  <si>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</si>
  <si>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</si>
  <si>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</si>
  <si>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</si>
  <si>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</si>
  <si>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</si>
  <si>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</si>
  <si>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</si>
  <si>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</si>
  <si>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</si>
  <si>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</si>
  <si>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</si>
  <si>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</si>
  <si>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</si>
  <si>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</si>
  <si>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</si>
  <si>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</si>
  <si>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Title Search:</t>
  </si>
  <si>
    <t>Cancelation Fee:</t>
  </si>
  <si>
    <t>Overnight Express Fees:</t>
  </si>
  <si>
    <t>Title Insurance:</t>
  </si>
  <si>
    <t>Affadavits:</t>
  </si>
  <si>
    <t>Investor Totals</t>
  </si>
  <si>
    <t>Notice to Creditors Ad</t>
  </si>
  <si>
    <t>Total Investment:</t>
  </si>
  <si>
    <t>Recording Fee Deed:</t>
  </si>
  <si>
    <t>eRecording Fee</t>
  </si>
  <si>
    <t>State Tax/Stamps</t>
  </si>
  <si>
    <t xml:space="preserve">LLC Manager Fee </t>
  </si>
  <si>
    <t>This value is carried up to cell C36,                        Labeled Buying Closing Cost</t>
  </si>
  <si>
    <t>Selling Closing Cost</t>
  </si>
  <si>
    <t>Settlement  Fee to Attorney:</t>
  </si>
  <si>
    <t>Seller concesson:</t>
  </si>
  <si>
    <t>Home Warrenty:</t>
  </si>
  <si>
    <t>Transfer Taxes - Wake County</t>
  </si>
  <si>
    <t>Revenue Stamps</t>
  </si>
  <si>
    <t>This value is carried up to cell C37,                        Labeled Selling Closing Cost</t>
  </si>
  <si>
    <t>Buying Subject To:</t>
  </si>
  <si>
    <t>Points added to Financing:</t>
  </si>
  <si>
    <t>Year 5</t>
  </si>
  <si>
    <t>Year 10</t>
  </si>
  <si>
    <t>Year 20</t>
  </si>
  <si>
    <t>Year 29</t>
  </si>
  <si>
    <t>Loan Amount:</t>
  </si>
  <si>
    <t>Down Payment:</t>
  </si>
  <si>
    <t>Annual Property Appriciation:</t>
  </si>
  <si>
    <t>Interest Rate:</t>
  </si>
  <si>
    <t>Sale Amount:</t>
  </si>
  <si>
    <t>Total  Cumulative Cash Flow:</t>
  </si>
  <si>
    <t>Years(months)</t>
  </si>
  <si>
    <t>Above ARV:</t>
  </si>
  <si>
    <t>Make up for reduced int%</t>
  </si>
  <si>
    <t>Total  Cumulative Principal</t>
  </si>
  <si>
    <t>Payments:</t>
  </si>
  <si>
    <t>Extra Sales Amount</t>
  </si>
  <si>
    <t>Total  Cumulative Appriciation:</t>
  </si>
  <si>
    <t>1st Mort</t>
  </si>
  <si>
    <t>2nd Mort</t>
  </si>
  <si>
    <t>Total  Maximum Value:</t>
  </si>
  <si>
    <t xml:space="preserve"> Monthly Cash Flow:</t>
  </si>
  <si>
    <t>1st Year Insurance</t>
  </si>
  <si>
    <t xml:space="preserve"> Total Cash Flow:</t>
  </si>
  <si>
    <t>1st  Loan Int(5 years)</t>
  </si>
  <si>
    <t>1st Year Property Tax</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</si>
  <si>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</si>
  <si>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</si>
  <si>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</si>
  <si>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</si>
  <si>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</si>
  <si>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</si>
  <si>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</si>
  <si>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</si>
  <si>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</si>
  <si>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</si>
  <si>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</si>
  <si>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</si>
  <si>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</si>
  <si>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</si>
  <si>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</si>
  <si>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</si>
  <si>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</si>
  <si>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</si>
  <si>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</si>
  <si>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</si>
  <si>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</si>
  <si>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</si>
  <si>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</si>
  <si>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</si>
  <si>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</si>
  <si>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</si>
  <si>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</si>
  <si>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</si>
  <si>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</si>
  <si>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</si>
  <si>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</si>
  <si>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</si>
  <si>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</si>
  <si>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</si>
  <si>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</si>
  <si>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</si>
  <si>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</si>
  <si>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</si>
  <si>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</si>
  <si>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</si>
  <si>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</si>
  <si>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</si>
  <si>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</si>
  <si>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</si>
  <si>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</si>
  <si>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</si>
  <si>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BuyingSubjectTo</t>
  </si>
  <si>
    <t>BuyingSeller1Address1</t>
  </si>
  <si>
    <t>BuyingSeller1Address2</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</si>
  <si>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</si>
  <si>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</si>
  <si>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</si>
  <si>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</si>
  <si>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</si>
  <si>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</si>
  <si>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</si>
  <si>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</si>
  <si>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</si>
  <si>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</si>
  <si>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</si>
  <si>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</si>
  <si>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</si>
  <si>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</si>
  <si>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</si>
  <si>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</si>
  <si>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</si>
  <si>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</si>
  <si>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</si>
  <si>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</si>
  <si>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</si>
  <si>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</si>
  <si>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</si>
  <si>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</si>
  <si>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</si>
  <si>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</si>
  <si>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</si>
  <si>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</si>
  <si>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</si>
  <si>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</si>
  <si>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</si>
  <si>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</si>
  <si>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</si>
  <si>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</si>
  <si>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</si>
  <si>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</si>
  <si>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</si>
  <si>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</si>
  <si>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</si>
  <si>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</si>
  <si>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</si>
  <si>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</si>
  <si>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</si>
  <si>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</si>
  <si>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</si>
  <si>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</si>
  <si>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</si>
  <si>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</si>
  <si>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</si>
  <si>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</si>
  <si>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</si>
  <si>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</si>
  <si>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</si>
  <si>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</si>
  <si>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</si>
  <si>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</si>
  <si>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</si>
  <si>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</si>
  <si>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</si>
  <si>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</si>
  <si>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</si>
  <si>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SellerRelationship</t>
  </si>
  <si>
    <t>SellerSecondaryRelationship</t>
  </si>
  <si>
    <t>TaxEscrow</t>
  </si>
  <si>
    <t>Term1</t>
  </si>
  <si>
    <t>Term2</t>
  </si>
  <si>
    <t>TermMonths</t>
  </si>
  <si>
    <t>Trust</t>
  </si>
  <si>
    <t>TrustDate</t>
  </si>
  <si>
    <t>Trustee</t>
  </si>
  <si>
    <t>TrusteeAddress1</t>
  </si>
  <si>
    <t>TrusteeAddress2</t>
  </si>
  <si>
    <t>OptionConsideration1</t>
  </si>
  <si>
    <t>OptionConsideration2</t>
  </si>
  <si>
    <t>OptionConsideration3</t>
  </si>
  <si>
    <t>OptionConsideration4</t>
  </si>
  <si>
    <t>OptionConsideration5</t>
  </si>
  <si>
    <t>OptionConsideration6</t>
  </si>
  <si>
    <t>OptionConsideration7</t>
  </si>
  <si>
    <t>OptionConsideration8</t>
  </si>
  <si>
    <t>OptionBeginDate</t>
  </si>
  <si>
    <t>OptionExpireDate</t>
  </si>
  <si>
    <t>OptionExerciseBeginDate</t>
  </si>
  <si>
    <t>OptionExerciseEndDate</t>
  </si>
  <si>
    <t>Lender</t>
  </si>
  <si>
    <t>LenderAddress</t>
  </si>
  <si>
    <t>LenderPhone</t>
  </si>
  <si>
    <t>Lender Acct No</t>
  </si>
  <si>
    <t>LenderBalance</t>
  </si>
  <si>
    <t>LenderMonthlyPayment</t>
  </si>
  <si>
    <t>LenderIntRate</t>
  </si>
  <si>
    <t>Selling Fields:</t>
  </si>
  <si>
    <t>Selling-Buyer</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</si>
  <si>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</si>
  <si>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</si>
  <si>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</si>
  <si>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</si>
  <si>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</si>
  <si>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</si>
  <si>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</si>
  <si>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</si>
  <si>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</si>
  <si>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</si>
  <si>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</si>
  <si>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</si>
  <si>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</si>
  <si>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</si>
  <si>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</si>
  <si>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HERITAGE MANAGEMENT LLC</t>
  </si>
  <si>
    <t>Buying-Seller1</t>
  </si>
  <si>
    <t>Buying-Seller1Address1</t>
  </si>
  <si>
    <t>4749 Sussex Ln</t>
  </si>
  <si>
    <t>Buying-Seller1Address2</t>
  </si>
  <si>
    <t>Chattanooga, TN 37421</t>
  </si>
  <si>
    <t>Buying-Seller2</t>
  </si>
  <si>
    <t>Buying-Seller2Address1</t>
  </si>
  <si>
    <t>Buying-Seller2Address2</t>
  </si>
  <si>
    <t>Primary Seller:</t>
  </si>
  <si>
    <t>Buying Secondary Seller:</t>
  </si>
  <si>
    <t>Buying-Seller-All</t>
  </si>
  <si>
    <t>Seller Relationship:</t>
  </si>
  <si>
    <t>a married couple</t>
  </si>
  <si>
    <t>Seller Secondary Relationship:</t>
  </si>
  <si>
    <t>:</t>
  </si>
  <si>
    <t>Buying-Seller-SS1</t>
  </si>
  <si>
    <t>X:      -    -       :</t>
  </si>
  <si>
    <t>Buying-Seller-ss2</t>
  </si>
  <si>
    <t>Heir SS</t>
  </si>
  <si>
    <t>Subject To Reinstatement</t>
  </si>
  <si>
    <t>Buying Purchase Price:</t>
  </si>
  <si>
    <t>Binder Deposit:</t>
  </si>
  <si>
    <t>Buying Down Payment:</t>
  </si>
  <si>
    <t>Base Int Rate</t>
  </si>
  <si>
    <t>Interest rate1</t>
  </si>
  <si>
    <t>Interest rate2</t>
  </si>
  <si>
    <t>Additional Conditions1</t>
  </si>
  <si>
    <t xml:space="preserve"> </t>
  </si>
  <si>
    <t>Lender:</t>
  </si>
  <si>
    <t>Village Capital &amp; Investment LLC</t>
  </si>
  <si>
    <t>Lender Address</t>
  </si>
  <si>
    <t>PO Box 679118, Dallas, TX 75267</t>
  </si>
  <si>
    <t>Lender Phone</t>
  </si>
  <si>
    <t>800-919-0068</t>
  </si>
  <si>
    <t>8364802</t>
  </si>
  <si>
    <t>Lender Balance</t>
  </si>
  <si>
    <t>LenderMonthly Payment</t>
  </si>
  <si>
    <t>Lender IntRate</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</si>
  <si>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</si>
  <si>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</si>
  <si>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</si>
  <si>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</si>
  <si>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</si>
  <si>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</si>
  <si>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</si>
  <si>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</si>
  <si>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</si>
  <si>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</si>
  <si>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</si>
  <si>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Property Address</t>
  </si>
  <si>
    <t>Property City-State</t>
  </si>
  <si>
    <t>Property County</t>
  </si>
  <si>
    <t>WAKE</t>
  </si>
  <si>
    <t>Property Tax Bill:</t>
  </si>
  <si>
    <t>Tax Escrow:</t>
  </si>
  <si>
    <t>Property Insurance:</t>
  </si>
  <si>
    <t>HOA:</t>
  </si>
  <si>
    <t>Deed Fields</t>
  </si>
  <si>
    <t>Brief Legal Description</t>
  </si>
  <si>
    <t>LO1 BRIDGEGATE ESTATES P1 MP1 BM1996-246</t>
  </si>
  <si>
    <t>Legal Description</t>
  </si>
  <si>
    <t>BEING all of Lot 1, Phase 1, Bridgegate Subdivision, as depicted in Map Book 1996, beginning at or including Page 246.</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</si>
  <si>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</si>
  <si>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</si>
  <si>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</si>
  <si>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</si>
  <si>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</si>
  <si>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</si>
  <si>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</si>
  <si>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</si>
  <si>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</si>
  <si>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</si>
  <si>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</si>
  <si>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</si>
  <si>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</si>
  <si>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May 2</t>
  </si>
  <si>
    <t>Option Begin Date</t>
  </si>
  <si>
    <t>Option Expire Date</t>
  </si>
  <si>
    <t>Wesley Dale Browning</t>
  </si>
  <si>
    <t>Option Exercise Begin Date</t>
  </si>
  <si>
    <t>Doc Year</t>
  </si>
  <si>
    <t>Option Exercise End Date</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</si>
  <si>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</si>
  <si>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</si>
  <si>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</si>
  <si>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</si>
  <si>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</si>
  <si>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</si>
  <si>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</si>
  <si>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</si>
  <si>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</si>
  <si>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</si>
  <si>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</si>
  <si>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</si>
  <si>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</si>
  <si>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</si>
  <si>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</si>
  <si>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</si>
  <si>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</si>
  <si>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</si>
  <si>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</si>
  <si>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</si>
  <si>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</si>
  <si>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</si>
  <si>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Option Fields</t>
  </si>
  <si>
    <t>Option Consideration 1:</t>
  </si>
  <si>
    <t>Optionee will work with the foreclosure attorneys to stop the sale of the property</t>
  </si>
  <si>
    <t>Option Consideration 2:</t>
  </si>
  <si>
    <t>Optionee will reinstate the mortgage by paying the amount in arrears. This is known to be $12,944.45 on March 17th</t>
  </si>
  <si>
    <t>Option Consideration 3:</t>
  </si>
  <si>
    <t>Optionee will start probate with the aim of becoming the Administrator of the Estate of Janice Neal.</t>
  </si>
  <si>
    <t>Option Consideration 4:</t>
  </si>
  <si>
    <t>Optionee, as the Administrator, I will provide all services to close the estate and sell of its assets.</t>
  </si>
  <si>
    <t>Option Consideration 5:</t>
  </si>
  <si>
    <t>Optionee will make regular monthly payments to the mortgage company, until we are prepared to sell the property.</t>
  </si>
  <si>
    <t>Option Consideration 6:</t>
  </si>
  <si>
    <t>Optionee will manage property insurance company</t>
  </si>
  <si>
    <t>Option Consideration 7:</t>
  </si>
  <si>
    <t>Optionee will pay all expenses of Buying, Administrating Probate, Rehab &amp; Maintenance &amp; Management.</t>
  </si>
  <si>
    <t>Option Consideration  8</t>
  </si>
  <si>
    <t>Multiple Offer Generator</t>
  </si>
  <si>
    <t>Buyers Copy</t>
  </si>
  <si>
    <t>Seller 1:</t>
  </si>
  <si>
    <t>DOUGLAS</t>
  </si>
  <si>
    <t>COUCH</t>
  </si>
  <si>
    <t>Seller 2:</t>
  </si>
  <si>
    <t>SHIELA MARIE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</si>
  <si>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</si>
  <si>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</si>
  <si>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</si>
  <si>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</si>
  <si>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</si>
  <si>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</si>
  <si>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</si>
  <si>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</si>
  <si>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</si>
  <si>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</si>
  <si>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</si>
  <si>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</si>
  <si>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</si>
  <si>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</si>
  <si>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</si>
  <si>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</si>
  <si>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</si>
  <si>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</si>
  <si>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</si>
  <si>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</si>
  <si>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</si>
  <si>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</si>
  <si>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</si>
  <si>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</si>
  <si>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</si>
  <si>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</si>
  <si>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</si>
  <si>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</si>
  <si>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</si>
  <si>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</si>
  <si>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</si>
  <si>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</si>
  <si>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</si>
  <si>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</si>
  <si>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</si>
  <si>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</si>
  <si>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</si>
  <si>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</si>
  <si>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</si>
  <si>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</si>
  <si>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</si>
  <si>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</si>
  <si>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</si>
  <si>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</si>
  <si>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</si>
  <si>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</si>
  <si>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</si>
  <si>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</si>
  <si>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</si>
  <si>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</si>
  <si>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</si>
  <si>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612 Britton  Ct</t>
  </si>
  <si>
    <t>908 Pond St</t>
  </si>
  <si>
    <t>4121 Tensity Dr</t>
  </si>
  <si>
    <t>6316 Willow Dell</t>
  </si>
  <si>
    <t>2325 Cool Springs Rd</t>
  </si>
  <si>
    <t>1343 Old Buckhorn Rd</t>
  </si>
  <si>
    <t>115 Rosebrooks Dr</t>
  </si>
  <si>
    <t>1426 Pleasant Garden</t>
  </si>
  <si>
    <t>3413 Pinetree Ln</t>
  </si>
  <si>
    <t>3325 Banks</t>
  </si>
  <si>
    <t>2025</t>
  </si>
  <si>
    <t>2024</t>
  </si>
  <si>
    <t>2023</t>
  </si>
  <si>
    <t>2022</t>
  </si>
  <si>
    <t>2021</t>
  </si>
  <si>
    <t>2020</t>
  </si>
  <si>
    <t>New Seller</t>
  </si>
  <si>
    <t>Purchase &amp; Sale Agreement</t>
  </si>
  <si>
    <t>Yes</t>
  </si>
  <si>
    <t>Letter of Authorization</t>
  </si>
  <si>
    <t>Reinstatement Quote</t>
  </si>
  <si>
    <t>Bank Acknowledgement</t>
  </si>
  <si>
    <t>yes, changed phone # and mailing address</t>
  </si>
  <si>
    <t>On-Line Bank Access</t>
  </si>
  <si>
    <t>In progress</t>
  </si>
  <si>
    <t>Change Mail</t>
  </si>
  <si>
    <t>Bank Attorney letter of dismisal</t>
  </si>
  <si>
    <t>Get (orignal) Property Authorization(delete)</t>
  </si>
  <si>
    <t>After Purchase</t>
  </si>
  <si>
    <t>Insurance Claim for Roof</t>
  </si>
  <si>
    <t>Locks Changed</t>
  </si>
  <si>
    <t>Gas Service</t>
  </si>
  <si>
    <t>Electrical &amp; Water Service</t>
  </si>
  <si>
    <t>Rehab bids</t>
  </si>
  <si>
    <t>Order Dumpster</t>
  </si>
  <si>
    <t>A/C service</t>
  </si>
  <si>
    <t>Establish Mortgage payment</t>
  </si>
  <si>
    <t>Remove PMI/hazard</t>
  </si>
  <si>
    <t>Claim Property on Zillow</t>
  </si>
  <si>
    <t>Add property to Our Website</t>
  </si>
  <si>
    <t>Make sure deed and agreement are done</t>
  </si>
  <si>
    <t>Change Insurance</t>
  </si>
  <si>
    <t>Get Insurance payments installed</t>
  </si>
  <si>
    <t>Add Private Lender to Insurance</t>
  </si>
  <si>
    <t>Establish Estate</t>
  </si>
  <si>
    <t>Upon Sales Contract</t>
  </si>
  <si>
    <t>Get property on MLS</t>
  </si>
  <si>
    <t>Get Payoff Letter from Mortgage</t>
  </si>
  <si>
    <t>Respond to Closing Attorney</t>
  </si>
  <si>
    <t>Turn off utilities</t>
  </si>
  <si>
    <t>Alert Private Lenders</t>
  </si>
  <si>
    <t>Upon Closing</t>
  </si>
  <si>
    <t>Documents to send to list realtor</t>
  </si>
  <si>
    <t>Send list realtor CD/Alta signed by all</t>
  </si>
  <si>
    <t>Drop Insurance</t>
  </si>
  <si>
    <t>Total CMA:</t>
  </si>
  <si>
    <t>Total Purchase Cost:</t>
  </si>
  <si>
    <t>Total Rehab Expense:</t>
  </si>
  <si>
    <t>Total Debt</t>
  </si>
  <si>
    <t>Monthly Carrying Cost:</t>
  </si>
  <si>
    <t>Monthly Income:</t>
  </si>
  <si>
    <t>Total Expected Profit:</t>
  </si>
  <si>
    <t>Total Realized Profit:</t>
  </si>
  <si>
    <t>Total Chartable Contribution:</t>
  </si>
  <si>
    <t>Averages for Current Year</t>
  </si>
  <si>
    <t>Total for all Years</t>
  </si>
  <si>
    <t>BYH 401K</t>
  </si>
  <si>
    <t>Average CMA:</t>
  </si>
  <si>
    <t>Average Purchase Cost:</t>
  </si>
  <si>
    <t>Sell Your Home</t>
  </si>
  <si>
    <t>Average Rehab Expense:</t>
  </si>
  <si>
    <t>Buy Your Home</t>
  </si>
  <si>
    <t>Average Profit:</t>
  </si>
  <si>
    <t>Completed Previous Years</t>
  </si>
  <si>
    <t>Cash Reserves:</t>
  </si>
  <si>
    <t>Monthly Cash Flow:</t>
  </si>
  <si>
    <t>Credit Card  Monthly Payments</t>
  </si>
  <si>
    <t>Monthly Personal Loan  Payments:</t>
  </si>
  <si>
    <t>Admin:</t>
  </si>
  <si>
    <t>Admin(SYH):</t>
  </si>
  <si>
    <t>Operations:</t>
  </si>
  <si>
    <t>Tech:</t>
  </si>
  <si>
    <t>Monthly Business Expense :</t>
  </si>
  <si>
    <t>Monthly Personal Dispersment:</t>
  </si>
  <si>
    <t>Business Cash Flow</t>
  </si>
  <si>
    <t>Runway (years)</t>
  </si>
  <si>
    <t>Properties Completed in 2020</t>
  </si>
  <si>
    <t>1223 Roffler</t>
  </si>
  <si>
    <t>2025 Metacomet</t>
  </si>
  <si>
    <t xml:space="preserve">5619 Marthonna </t>
  </si>
  <si>
    <t>Property</t>
  </si>
  <si>
    <t xml:space="preserve">Year </t>
  </si>
  <si>
    <t>Purchase   Price</t>
  </si>
  <si>
    <t>Rehab</t>
  </si>
  <si>
    <t>Sale Price</t>
  </si>
  <si>
    <t>Repaid Loans</t>
  </si>
  <si>
    <t>Total Borrowed</t>
  </si>
  <si>
    <t>Total Repaid Debt:</t>
  </si>
  <si>
    <t>Completed for Sell Your Home</t>
  </si>
  <si>
    <t>Completed for Buy Your Home</t>
  </si>
  <si>
    <t>Properties Completed in 2021</t>
  </si>
  <si>
    <t>2153 Haig Point</t>
  </si>
  <si>
    <t>178 Patricia</t>
  </si>
  <si>
    <t>1201 Hazelnut</t>
  </si>
  <si>
    <t>Properties Completed in 2022</t>
  </si>
  <si>
    <t>202 Avery</t>
  </si>
  <si>
    <t>1900 Red Quartz</t>
  </si>
  <si>
    <t>120 Keith</t>
  </si>
  <si>
    <t>3007 Eric</t>
  </si>
  <si>
    <t>Properties Completed in 2023</t>
  </si>
  <si>
    <t>164 Churchill Dr</t>
  </si>
  <si>
    <t>2608 Alton</t>
  </si>
  <si>
    <t>Properties Completed in 2024</t>
  </si>
  <si>
    <t>3021 Pearces Rd</t>
  </si>
  <si>
    <t>6004  Sandy Run</t>
  </si>
  <si>
    <t>Properties Completed in 2025</t>
  </si>
  <si>
    <t>8225 Burgwyn Ln</t>
  </si>
  <si>
    <t>5008 Larchmont</t>
  </si>
  <si>
    <t>Vendor</t>
  </si>
  <si>
    <t>Phone Number</t>
  </si>
  <si>
    <t>Contact</t>
  </si>
  <si>
    <t>Acct/Policy</t>
  </si>
  <si>
    <t>Email</t>
  </si>
  <si>
    <t>Purpose</t>
  </si>
  <si>
    <t>Sellers</t>
  </si>
  <si>
    <t>Janice Neal</t>
  </si>
  <si>
    <t>SS#: 243-78-7461</t>
  </si>
  <si>
    <t>Mortgage</t>
  </si>
  <si>
    <t>Village Capital</t>
  </si>
  <si>
    <t>0008364802</t>
  </si>
  <si>
    <t>https://loansphereservicingdigital.bkiconnect.com/villagecapital/#/login</t>
  </si>
  <si>
    <t>User Name:</t>
  </si>
  <si>
    <t>OutRigger</t>
  </si>
  <si>
    <t>Password:</t>
  </si>
  <si>
    <t>w3638B0#</t>
  </si>
  <si>
    <t>Hutchenson</t>
  </si>
  <si>
    <t>Lisa Norris</t>
  </si>
  <si>
    <t>AstroWatt Electric</t>
  </si>
  <si>
    <t>984 600 0100</t>
  </si>
  <si>
    <t>NREIG</t>
  </si>
  <si>
    <t>770 734 1523</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</si>
  <si>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</si>
  <si>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</si>
  <si>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</si>
  <si>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</si>
  <si>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</si>
  <si>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</si>
  <si>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</si>
  <si>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</si>
  <si>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</si>
  <si>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</si>
  <si>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</si>
  <si>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</si>
  <si>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</si>
  <si>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</si>
  <si>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</si>
  <si>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</si>
  <si>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</si>
  <si>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</si>
  <si>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</si>
  <si>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</si>
  <si>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</si>
  <si>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</si>
  <si>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</si>
  <si>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</si>
  <si>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</si>
  <si>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</si>
  <si>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</si>
  <si>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</si>
  <si>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</si>
  <si>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</si>
  <si>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</si>
  <si>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</si>
  <si>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</si>
  <si>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</si>
  <si>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Duke Electric</t>
  </si>
  <si>
    <t>Mortgage Payment paid after Reinstatement</t>
  </si>
  <si>
    <t>Insurance Payments</t>
  </si>
  <si>
    <t>City of Raleigh Water</t>
  </si>
  <si>
    <t>Property Taxes</t>
  </si>
  <si>
    <t>Paid in Escrow</t>
  </si>
  <si>
    <t>Tax</t>
  </si>
  <si>
    <t>payment</t>
  </si>
  <si>
    <t>dep</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</si>
  <si>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</si>
  <si>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</si>
  <si>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</si>
  <si>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</si>
  <si>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</si>
  <si>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</si>
  <si>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</si>
  <si>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</si>
  <si>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</si>
  <si>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</si>
  <si>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Draws</t>
  </si>
  <si>
    <t>Draw 1 Move appliances 12/15/25</t>
  </si>
  <si>
    <t>Draw</t>
  </si>
  <si>
    <t>Draw 3 Pressue Washing</t>
  </si>
  <si>
    <t>Sell</t>
  </si>
  <si>
    <t>List with MLS</t>
  </si>
  <si>
    <t>Draw 2 - Replace front door 1/5-1/9</t>
  </si>
  <si>
    <t>Draw 6 3/23-3/28------ 25 hours</t>
  </si>
  <si>
    <t>Draw 6 Plumbing materials $256.11</t>
  </si>
  <si>
    <t>Cordinate Sub</t>
  </si>
  <si>
    <t>Countertops</t>
  </si>
  <si>
    <t>Coordinate with Counter Top Instalation</t>
  </si>
  <si>
    <t>Draw 2 for work done 2/20-2/20</t>
  </si>
  <si>
    <t>Materials</t>
  </si>
  <si>
    <t>fridge waterline, stove outlet and cord, box and wire for dishwasher extension, shutoff valve for fridge.</t>
  </si>
  <si>
    <t>Draw 5</t>
  </si>
  <si>
    <t>new shut off valves and $97.45 for deck hangers and hanger fasteners</t>
  </si>
  <si>
    <t>These Cells are updated from the Proposal tab and are protected here.</t>
  </si>
  <si>
    <t>These cells are updated here and carried over to the Gnatt Chart</t>
  </si>
  <si>
    <t>Contracted Task</t>
  </si>
  <si>
    <t>Change Order</t>
  </si>
  <si>
    <t>Not Used</t>
  </si>
  <si>
    <t>Cordinate with Vendor</t>
  </si>
  <si>
    <t>Post Contract</t>
  </si>
  <si>
    <t>Party</t>
  </si>
  <si>
    <t>Item</t>
  </si>
  <si>
    <t>Cost Code</t>
  </si>
  <si>
    <t>Title</t>
  </si>
  <si>
    <t>Description</t>
  </si>
  <si>
    <t>Price</t>
  </si>
  <si>
    <t>Done</t>
  </si>
  <si>
    <t>Group Order</t>
  </si>
  <si>
    <t>Days</t>
  </si>
  <si>
    <t>Paid</t>
  </si>
  <si>
    <t xml:space="preserve"> reversed with CO#2</t>
  </si>
  <si>
    <t>Expense</t>
  </si>
  <si>
    <t>Due</t>
  </si>
  <si>
    <t>ToDo</t>
  </si>
  <si>
    <t xml:space="preserve">Tim Flemming </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</si>
  <si>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</si>
  <si>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</si>
  <si>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</si>
  <si>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</si>
  <si>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</si>
  <si>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</si>
  <si>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</si>
  <si>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</si>
  <si>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</si>
  <si>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</si>
  <si>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</si>
  <si>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</si>
  <si>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</si>
  <si>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</si>
  <si>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</si>
  <si>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</si>
  <si>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</si>
  <si>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Legal</t>
  </si>
  <si>
    <t>Exterior Tab</t>
  </si>
  <si>
    <t>Landscaping Tab</t>
  </si>
  <si>
    <t>HVAC Contractor</t>
  </si>
  <si>
    <t>(furnishing Tab)</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</si>
  <si>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</si>
  <si>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</si>
  <si>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</si>
  <si>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</si>
  <si>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</si>
  <si>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</si>
  <si>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</si>
  <si>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</si>
  <si>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</si>
  <si>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</si>
  <si>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</si>
  <si>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</si>
  <si>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</si>
  <si>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</si>
  <si>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Total shows up on Gnatt Chart</t>
  </si>
  <si>
    <t>Vender</t>
  </si>
  <si>
    <t>Per Event</t>
  </si>
  <si>
    <t>Iterations</t>
  </si>
  <si>
    <t>Charge</t>
  </si>
  <si>
    <t>Sub Total</t>
  </si>
  <si>
    <t>Notary</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</si>
  <si>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</si>
  <si>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</si>
  <si>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</si>
  <si>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</si>
  <si>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</si>
  <si>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</si>
  <si>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</si>
  <si>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</si>
  <si>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</si>
  <si>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</si>
  <si>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</si>
  <si>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</si>
  <si>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</si>
  <si>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</si>
  <si>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</si>
  <si>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</si>
  <si>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</si>
  <si>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</si>
  <si>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</si>
  <si>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</si>
  <si>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</si>
  <si>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</si>
  <si>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</si>
  <si>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</si>
  <si>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</si>
  <si>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</si>
  <si>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</si>
  <si>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</si>
  <si>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</si>
  <si>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</si>
  <si>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</si>
  <si>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</si>
  <si>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</si>
  <si>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</si>
  <si>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</si>
  <si>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</si>
  <si>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</si>
  <si>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</si>
  <si>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</si>
  <si>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</si>
  <si>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</si>
  <si>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</si>
  <si>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</si>
  <si>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</si>
  <si>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</si>
  <si>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</si>
  <si>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</si>
  <si>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</si>
  <si>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</si>
  <si>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</si>
  <si>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</si>
  <si>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</si>
  <si>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</si>
  <si>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</si>
  <si>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Template values</t>
  </si>
  <si>
    <t>Meridian</t>
  </si>
  <si>
    <t>20yd Delivery</t>
  </si>
  <si>
    <t>15 yard Haul swap</t>
  </si>
  <si>
    <t>C&amp;D Disp</t>
  </si>
  <si>
    <t>20yr Haul</t>
  </si>
  <si>
    <t>20yd Haul 2</t>
  </si>
  <si>
    <t>Late Fee</t>
  </si>
  <si>
    <t xml:space="preserve"> Disposal</t>
  </si>
  <si>
    <t>Maria Sarmiento</t>
  </si>
  <si>
    <t>clean tubs &amp; windows</t>
  </si>
  <si>
    <t>inv 2</t>
  </si>
  <si>
    <t>Barnes Restoration</t>
  </si>
  <si>
    <t>Demo</t>
  </si>
  <si>
    <t xml:space="preserve">Araceli Salazar </t>
  </si>
  <si>
    <t xml:space="preserve">Cleaning Pre Painting </t>
  </si>
  <si>
    <t>Gigi'sBuld Removal</t>
  </si>
  <si>
    <t>Refrigerator  Removal</t>
  </si>
  <si>
    <t>Back Yard cleanup</t>
  </si>
  <si>
    <t>dumpster tip</t>
  </si>
  <si>
    <t>Appliances</t>
  </si>
  <si>
    <t>ITEM</t>
  </si>
  <si>
    <t>Template</t>
  </si>
  <si>
    <t xml:space="preserve"> Microwave </t>
  </si>
  <si>
    <t>Range</t>
  </si>
  <si>
    <t>Dishwasher</t>
  </si>
  <si>
    <t>Sub-total for Template</t>
  </si>
  <si>
    <t>HD Microwave White</t>
  </si>
  <si>
    <t>FB Marketplace Ref</t>
  </si>
  <si>
    <t>HD Dishwasher</t>
  </si>
  <si>
    <t>HD DW Parts Kit</t>
  </si>
  <si>
    <t>Sub-total for Lowes</t>
  </si>
  <si>
    <t>Dishwasher Hose</t>
  </si>
  <si>
    <t>HD Range</t>
  </si>
  <si>
    <t>Fridge from marketplace - Zelle - Paid from SYH</t>
  </si>
  <si>
    <t>Range  from marketplace - Zelle - Paid from SYH</t>
  </si>
  <si>
    <t>Washer/Dryer  from marketplace - Zelle - Paid from SYH</t>
  </si>
  <si>
    <t>Lowes Range cord</t>
  </si>
  <si>
    <t>Kitchen Sink</t>
  </si>
  <si>
    <t>HD Range Cord</t>
  </si>
  <si>
    <t>Kitchen faucet</t>
  </si>
  <si>
    <t>Lowes Microwave</t>
  </si>
  <si>
    <t>washer</t>
  </si>
  <si>
    <t>dryer</t>
  </si>
  <si>
    <t>Tim's time  to move  appliances</t>
  </si>
  <si>
    <t>HD Delivery</t>
  </si>
  <si>
    <t>Total for Appliances:</t>
  </si>
  <si>
    <t>Plumbing</t>
  </si>
  <si>
    <t>Kitchen Faucet</t>
  </si>
  <si>
    <t>Bath Accessory Kit</t>
  </si>
  <si>
    <t>Bath Faucets</t>
  </si>
  <si>
    <t>toilets</t>
  </si>
  <si>
    <t xml:space="preserve">Executive Plumbing </t>
  </si>
  <si>
    <t>Install Hot water heater</t>
  </si>
  <si>
    <t>Lowes Bath Accessory Kit</t>
  </si>
  <si>
    <t>Lowes Shower Head</t>
  </si>
  <si>
    <t>Lowes Bath Faucets</t>
  </si>
  <si>
    <t>Amazon TP holders</t>
  </si>
  <si>
    <t>Amazon accessory kit</t>
  </si>
  <si>
    <t>HD732291242868</t>
  </si>
  <si>
    <t xml:space="preserve">Garbage Disposal </t>
  </si>
  <si>
    <t>Resurface tubs</t>
  </si>
  <si>
    <t>Instant Savings on Toilets</t>
  </si>
  <si>
    <t>Doors &amp; Windows</t>
  </si>
  <si>
    <t>garage door</t>
  </si>
  <si>
    <t>Screen Medics Solor Screen</t>
  </si>
  <si>
    <t>36" Exterior (R) Out Swing</t>
  </si>
  <si>
    <t>36" Exterior (L) Out Swing</t>
  </si>
  <si>
    <t>36" Exterior (L) In Swing</t>
  </si>
  <si>
    <t>32" Exterior (R) Out Swing</t>
  </si>
  <si>
    <t>32" Exterior (L)  Out Swing with storm door</t>
  </si>
  <si>
    <t>32" Exterior (L)  In Swing</t>
  </si>
  <si>
    <t>30" Interior (R)</t>
  </si>
  <si>
    <t>30" Interior (L)</t>
  </si>
  <si>
    <t>28" Interior (R)</t>
  </si>
  <si>
    <t>28" Interior (L)</t>
  </si>
  <si>
    <t>24" Interior (R)</t>
  </si>
  <si>
    <t>24" Interior (L)</t>
  </si>
  <si>
    <t>Plank Hollow Door 32x80</t>
  </si>
  <si>
    <t>Plank Hollow Door 28x80</t>
  </si>
  <si>
    <t>Windows 32"x62" Project 640493559</t>
  </si>
  <si>
    <t xml:space="preserve">Windows 59"x4446.562" Project </t>
  </si>
  <si>
    <t>Int Dummy knobs</t>
  </si>
  <si>
    <t>488AO-15</t>
  </si>
  <si>
    <t>Kwikset Deadbolt</t>
  </si>
  <si>
    <t>660--15S.DS</t>
  </si>
  <si>
    <t>Kwikset keyed</t>
  </si>
  <si>
    <t>740L-15S</t>
  </si>
  <si>
    <t>400AO-15S</t>
  </si>
  <si>
    <t>Lowes Front door kw powerbolt</t>
  </si>
  <si>
    <t>Lowes Front door kw door handle</t>
  </si>
  <si>
    <t>Crown molding</t>
  </si>
  <si>
    <t>HD Ext Deadbolt combo</t>
  </si>
  <si>
    <t>HD883351891448</t>
  </si>
  <si>
    <t>Laundry room Fr Doors</t>
  </si>
  <si>
    <t>HD154372</t>
  </si>
  <si>
    <t>passage door knob</t>
  </si>
  <si>
    <t>HD883767</t>
  </si>
  <si>
    <t>returned</t>
  </si>
  <si>
    <t>Bed an dbath door knob</t>
  </si>
  <si>
    <t>door knobs &amp; Trim</t>
  </si>
  <si>
    <t>Untry Door Handle</t>
  </si>
  <si>
    <t>Keypad Deadbolt</t>
  </si>
  <si>
    <t>Exterior Door Handle and lock kit</t>
  </si>
  <si>
    <t>Cabinets</t>
  </si>
  <si>
    <t>Kitchen Counter Tops</t>
  </si>
  <si>
    <t>Paint Kitchen</t>
  </si>
  <si>
    <t>bathroom cabinets</t>
  </si>
  <si>
    <t>Bathroom coutner tops</t>
  </si>
  <si>
    <t>B21R</t>
  </si>
  <si>
    <t>Cabinets  from Marketplace -  paid  from  SYH</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</si>
  <si>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</si>
  <si>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</si>
  <si>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</si>
  <si>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</si>
  <si>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</si>
  <si>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</si>
  <si>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</si>
  <si>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</si>
  <si>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</si>
  <si>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</si>
  <si>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</si>
  <si>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</si>
  <si>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</si>
  <si>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</si>
  <si>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</si>
  <si>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</si>
  <si>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</si>
  <si>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</si>
  <si>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</si>
  <si>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</si>
  <si>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Drywall</t>
  </si>
  <si>
    <t>HD34137</t>
  </si>
  <si>
    <t>Installation</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</si>
  <si>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</si>
  <si>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</si>
  <si>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</si>
  <si>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</si>
  <si>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</si>
  <si>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</si>
  <si>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</si>
  <si>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</si>
  <si>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</si>
  <si>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</si>
  <si>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</si>
  <si>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</si>
  <si>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Paint</t>
  </si>
  <si>
    <t>Color</t>
  </si>
  <si>
    <t>Sq Ft</t>
  </si>
  <si>
    <t>Interior Wall Paint</t>
  </si>
  <si>
    <t>SW</t>
  </si>
  <si>
    <t>6509-48698</t>
  </si>
  <si>
    <t>Ceiling</t>
  </si>
  <si>
    <t>SW 5 gal A27W600 Premium ceiling white</t>
  </si>
  <si>
    <t>6501-93169</t>
  </si>
  <si>
    <t>Primer</t>
  </si>
  <si>
    <t>5 gal Lowes Kilz</t>
  </si>
  <si>
    <t>Trim</t>
  </si>
  <si>
    <t>HD White Int/ext white paint</t>
  </si>
  <si>
    <t>Painter</t>
  </si>
  <si>
    <t>Inside</t>
  </si>
  <si>
    <t xml:space="preserve">Cost for Template </t>
  </si>
  <si>
    <t>SW SuperPaint Interior Acrylic Latex(5 Gal)</t>
  </si>
  <si>
    <t>HGSW7036 Accesable Beige</t>
  </si>
  <si>
    <t>6512-83228</t>
  </si>
  <si>
    <t>SW SuperPaint Interior Acrylic Latex(5 Gal) - reused form previous job</t>
  </si>
  <si>
    <t>SW7507 Stone Lion</t>
  </si>
  <si>
    <t>Sur Home SA Extra with 50% discount</t>
  </si>
  <si>
    <t>Dover White</t>
  </si>
  <si>
    <t>6500-96597</t>
  </si>
  <si>
    <t>Discount</t>
  </si>
  <si>
    <t>Premium Ceiling Paint</t>
  </si>
  <si>
    <t>6512-93177</t>
  </si>
  <si>
    <t>SW 5 gal B31W2151 Procl LTX SG Extra</t>
  </si>
  <si>
    <t>6510-16875</t>
  </si>
  <si>
    <t>SW 1 gal A27W600 Premium ceiling white</t>
  </si>
  <si>
    <t>ProBlock Interior Oil-Based Primer(5 Gal)</t>
  </si>
  <si>
    <t>6501-33390</t>
  </si>
  <si>
    <t>ProBlock Interior Oil-Based Primer(5 Gal) - reused  from previous job</t>
  </si>
  <si>
    <t>SW Proclassic Interior Acrylic Enamal Extra White( 5 gal)</t>
  </si>
  <si>
    <t xml:space="preserve">Touch of Sand - Semi-Gloss </t>
  </si>
  <si>
    <t>6510-28193</t>
  </si>
  <si>
    <t>HD Behr Int/ext black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</si>
  <si>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</si>
  <si>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</si>
  <si>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</si>
  <si>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</si>
  <si>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</si>
  <si>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</si>
  <si>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</si>
  <si>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</si>
  <si>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</si>
  <si>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</si>
  <si>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</si>
  <si>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</si>
  <si>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</si>
  <si>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</si>
  <si>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</si>
  <si>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</si>
  <si>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</si>
  <si>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</si>
  <si>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</si>
  <si>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 is in contract</t>
  </si>
  <si>
    <t>Deck</t>
  </si>
  <si>
    <t>Back Porch</t>
  </si>
  <si>
    <t>Total for paint</t>
  </si>
  <si>
    <t>Floor</t>
  </si>
  <si>
    <t xml:space="preserve">LVP Floor </t>
  </si>
  <si>
    <t>LVP Floor Installation</t>
  </si>
  <si>
    <t>Refinish Floor (Elder)</t>
  </si>
  <si>
    <t>Carpet</t>
  </si>
  <si>
    <t>Register</t>
  </si>
  <si>
    <t>LVP Floor RediCarpet #1</t>
  </si>
  <si>
    <t>LVP Floor</t>
  </si>
  <si>
    <t>HVAC</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</si>
  <si>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</si>
  <si>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</si>
  <si>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</si>
  <si>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</si>
  <si>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</si>
  <si>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</si>
  <si>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</si>
  <si>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</si>
  <si>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</si>
  <si>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</si>
  <si>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</si>
  <si>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</si>
  <si>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</si>
  <si>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</si>
  <si>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Trueheart</t>
  </si>
  <si>
    <t>HVAC Service</t>
  </si>
  <si>
    <t>Electrical</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</si>
  <si>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</si>
  <si>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</si>
  <si>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</si>
  <si>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</si>
  <si>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</si>
  <si>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</si>
  <si>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</si>
  <si>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</si>
  <si>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</si>
  <si>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</si>
  <si>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</si>
  <si>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</si>
  <si>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</si>
  <si>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</si>
  <si>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</si>
  <si>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</si>
  <si>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</si>
  <si>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</si>
  <si>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</si>
  <si>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</si>
  <si>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</si>
  <si>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</si>
  <si>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</si>
  <si>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</si>
  <si>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</si>
  <si>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</si>
  <si>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</si>
  <si>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</si>
  <si>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</si>
  <si>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</si>
  <si>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</si>
  <si>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</si>
  <si>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</si>
  <si>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</si>
  <si>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</si>
  <si>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Studio 1</t>
  </si>
  <si>
    <t>Studio 2</t>
  </si>
  <si>
    <t>Studio 3</t>
  </si>
  <si>
    <t>Studio 4</t>
  </si>
  <si>
    <t>Average Daily:</t>
  </si>
  <si>
    <t>Occupancy:</t>
  </si>
  <si>
    <t>Income:</t>
  </si>
  <si>
    <t>Annual Fees</t>
  </si>
  <si>
    <t>Management Fees</t>
  </si>
  <si>
    <t>Lodging Tax</t>
  </si>
  <si>
    <t>Landscape</t>
  </si>
  <si>
    <t>No</t>
  </si>
  <si>
    <t>Cost/sf</t>
  </si>
  <si>
    <t>Square Feet</t>
  </si>
  <si>
    <t>cost/unit</t>
  </si>
  <si>
    <t>SubTotal</t>
  </si>
  <si>
    <t>Liesure Time Zoysia-pallet</t>
  </si>
  <si>
    <t>Liesure Time Zoysia-roll</t>
  </si>
  <si>
    <t>Delivery Fee</t>
  </si>
  <si>
    <t>Fence</t>
  </si>
  <si>
    <t>organic humis</t>
  </si>
  <si>
    <t>mulch</t>
  </si>
  <si>
    <t>Driveway gravle</t>
  </si>
  <si>
    <t>Straighten landscape stones</t>
  </si>
  <si>
    <t>GrV Works Seed</t>
  </si>
  <si>
    <t>GrV Works Tree Pruning</t>
  </si>
  <si>
    <t>Mow Grass</t>
  </si>
  <si>
    <t>remove debries</t>
  </si>
  <si>
    <t>Exterior</t>
  </si>
  <si>
    <t>Cost/item</t>
  </si>
  <si>
    <t>Hourly Rate:</t>
  </si>
  <si>
    <t>Termite Treatment</t>
  </si>
  <si>
    <t>Lowes Mailbox</t>
  </si>
  <si>
    <t>Mailbox post HD106052</t>
  </si>
  <si>
    <t>Mailbox HD 046462011291</t>
  </si>
  <si>
    <t>Crawl Plumbing</t>
  </si>
  <si>
    <t>Siding Repair</t>
  </si>
  <si>
    <t>Drainage repair</t>
  </si>
  <si>
    <t xml:space="preserve">Siding- D4.5L Warm Sandlewood </t>
  </si>
  <si>
    <t>pressure washing</t>
  </si>
  <si>
    <t>Weatherproof flat cover 852944007702</t>
  </si>
  <si>
    <t>Doorbell 058219105177</t>
  </si>
  <si>
    <t>Deck components</t>
  </si>
  <si>
    <t>Dryer Vent Cap HD060672310234</t>
  </si>
  <si>
    <t>Exterior repair</t>
  </si>
  <si>
    <t>Couch</t>
  </si>
  <si>
    <t>other</t>
  </si>
  <si>
    <t>Total:</t>
  </si>
  <si>
    <t>final clean</t>
  </si>
  <si>
    <t>Draw 7 work done week of 3/30-4/6</t>
  </si>
  <si>
    <t>Draw 7 work done week of 3/30-4/6 Pressure washing</t>
  </si>
  <si>
    <t>Draw 7 work done week of 3/30-4/6 diesel fuel</t>
  </si>
  <si>
    <t>Draw 7 work done week of 3/30-4/6 Materials</t>
  </si>
  <si>
    <t>Washer hoses</t>
  </si>
  <si>
    <t>Lowes246995</t>
  </si>
  <si>
    <t>Shed</t>
  </si>
  <si>
    <t>E</t>
  </si>
  <si>
    <t>Draw 8 work 5/19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</si>
</sst>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
    <numFmt numFmtId="175" formatCode="0.000"/>
    <numFmt numFmtId="176" formatCode="[$-409]mmmm\ d\,\ yyyy;@"/>
    <numFmt numFmtId="177" formatCode="0.000000"/>
  </numFmts>
  <fonts count="56"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sz val="11"/>
      <color theme="1"/>
      <name val="Arial"/>
      <family val="2"/>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name val="Calibri"/>
      <family val="2"/>
      <scheme val="minor"/>
    </font>
    <font>
      <b/>
      <sz val="10"/>
      <color rgb="FF000000"/>
      <name val="Calibri"/>
      <family val="2"/>
      <scheme val="minor"/>
    </font>
    <font>
      <b/>
      <sz val="9"/>
      <color rgb="FFEA6E0D"/>
      <name val="Arial"/>
      <family val="2"/>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1"/>
      <color theme="1"/>
      <name val="Aptos"/>
      <family val="2"/>
    </font>
    <font>
      <sz val="12"/>
      <color theme="1"/>
      <name val="Aptos"/>
      <family val="2"/>
    </font>
    <font>
      <b/>
      <sz val="10"/>
      <color rgb="FF333333"/>
      <name val="Arial"/>
      <family val="2"/>
    </font>
    <font>
      <sz val="11"/>
      <color rgb="FF202124"/>
      <name val="Arial"/>
      <family val="2"/>
    </font>
  </fonts>
  <fills count="3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rgb="FF00B050"/>
        <bgColor indexed="64"/>
      </patternFill>
    </fill>
    <fill>
      <patternFill patternType="solid">
        <fgColor rgb="FFFF0000"/>
        <bgColor indexed="64"/>
      </patternFill>
    </fill>
    <fill>
      <patternFill patternType="solid">
        <fgColor theme="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249977111117893"/>
        <bgColor indexed="64"/>
      </patternFill>
    </fill>
    <fill>
      <patternFill patternType="solid">
        <fgColor rgb="FF7030A0"/>
        <bgColor indexed="64"/>
      </patternFill>
    </fill>
  </fills>
  <borders count="73">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dashed">
        <color auto="1"/>
      </left>
      <right style="dashed">
        <color auto="1"/>
      </right>
      <top/>
      <bottom/>
      <diagonal/>
    </border>
    <border>
      <left style="thin">
        <color auto="1"/>
      </left>
      <right/>
      <top/>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right/>
      <top style="thin">
        <color auto="1"/>
      </top>
      <bottom/>
      <diagonal/>
    </border>
    <border>
      <left/>
      <right style="medium">
        <color auto="1"/>
      </right>
      <top style="thin">
        <color auto="1"/>
      </top>
      <bottom/>
      <diagonal/>
    </border>
  </borders>
  <cellStyleXfs count="15">
    <xf numFmtId="0" fontId="0" fillId="0" borderId="0"/>
    <xf numFmtId="0" fontId="2" fillId="0" borderId="0" applyNumberFormat="0" applyFill="0" applyBorder="0" applyAlignment="0" applyProtection="0"/>
    <xf numFmtId="0" fontId="7" fillId="0" borderId="16" applyNumberFormat="0" applyFill="0" applyAlignment="0" applyProtection="0"/>
    <xf numFmtId="0" fontId="8" fillId="0" borderId="17" applyNumberFormat="0" applyFill="0" applyAlignment="0" applyProtection="0"/>
    <xf numFmtId="0" fontId="8" fillId="0" borderId="0" applyNumberFormat="0" applyFill="0" applyBorder="0" applyAlignment="0" applyProtection="0"/>
    <xf numFmtId="0" fontId="9" fillId="0" borderId="0"/>
    <xf numFmtId="14" fontId="10" fillId="0" borderId="0" applyFill="0" applyBorder="0">
      <alignment horizontal="center" vertical="center"/>
    </xf>
    <xf numFmtId="0" fontId="11" fillId="6" borderId="0" applyNumberFormat="0" applyBorder="0" applyAlignment="0" applyProtection="0"/>
    <xf numFmtId="0" fontId="12" fillId="7" borderId="0" applyNumberFormat="0" applyBorder="0" applyAlignment="0" applyProtection="0"/>
    <xf numFmtId="14" fontId="11" fillId="6" borderId="0" applyBorder="0" applyAlignment="0" applyProtection="0"/>
    <xf numFmtId="0" fontId="12" fillId="7" borderId="0" applyBorder="0" applyAlignment="0" applyProtection="0"/>
    <xf numFmtId="0" fontId="9" fillId="8" borderId="0" applyBorder="0" applyAlignment="0" applyProtection="0"/>
    <xf numFmtId="0" fontId="17" fillId="10" borderId="0" applyNumberFormat="0" applyBorder="0" applyAlignment="0" applyProtection="0"/>
    <xf numFmtId="43" fontId="3" fillId="0" borderId="0" applyFont="0" applyFill="0" applyBorder="0" applyAlignment="0" applyProtection="0"/>
    <xf numFmtId="0" fontId="43" fillId="0" borderId="0"/>
  </cellStyleXfs>
  <cellXfs count="948">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6" fillId="0" borderId="0" xfId="0" applyFont="1"/>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5" fillId="0" borderId="0" xfId="0" applyFont="1"/>
    <xf numFmtId="0" fontId="15" fillId="0" borderId="0" xfId="0" applyFont="1" applyAlignment="1">
      <alignment horizontal="right"/>
    </xf>
    <xf numFmtId="0" fontId="16" fillId="0" borderId="0" xfId="0" applyFont="1" applyAlignment="1">
      <alignment horizontal="right"/>
    </xf>
    <xf numFmtId="0" fontId="0" fillId="0" borderId="0" xfId="0" applyAlignment="1">
      <alignment vertical="center"/>
    </xf>
    <xf numFmtId="2" fontId="19" fillId="0" borderId="0" xfId="12" applyNumberFormat="1" applyFont="1" applyFill="1" applyAlignment="1">
      <alignment horizontal="center" vertical="center"/>
    </xf>
    <xf numFmtId="43" fontId="9" fillId="11" borderId="0" xfId="13" applyFont="1" applyFill="1" applyAlignment="1">
      <alignment horizontal="right" vertical="center"/>
    </xf>
    <xf numFmtId="0" fontId="21" fillId="0" borderId="0" xfId="0" applyFont="1" applyAlignment="1">
      <alignment horizontal="right"/>
    </xf>
    <xf numFmtId="0" fontId="22" fillId="0" borderId="0" xfId="0" applyFont="1" applyAlignment="1">
      <alignment horizontal="right"/>
    </xf>
    <xf numFmtId="0" fontId="5" fillId="0" borderId="0" xfId="0" applyFont="1" applyAlignment="1">
      <alignment horizontal="right"/>
    </xf>
    <xf numFmtId="49" fontId="23" fillId="0" borderId="0" xfId="0" applyNumberFormat="1" applyFont="1" applyAlignment="1">
      <alignment horizontal="right"/>
    </xf>
    <xf numFmtId="0" fontId="24"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4" fillId="3" borderId="0" xfId="0" applyNumberFormat="1" applyFont="1" applyFill="1" applyAlignment="1">
      <alignment vertical="top"/>
    </xf>
    <xf numFmtId="49" fontId="24" fillId="11" borderId="0" xfId="0" applyNumberFormat="1" applyFont="1" applyFill="1" applyAlignment="1">
      <alignment vertical="top"/>
    </xf>
    <xf numFmtId="1" fontId="24" fillId="11" borderId="0" xfId="0" applyNumberFormat="1" applyFont="1" applyFill="1" applyAlignment="1">
      <alignment vertical="top"/>
    </xf>
    <xf numFmtId="4" fontId="24"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5"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8" fillId="0" borderId="18" xfId="4" applyNumberFormat="1" applyBorder="1" applyAlignment="1">
      <alignment horizontal="center" vertical="top"/>
    </xf>
    <xf numFmtId="0" fontId="1" fillId="0" borderId="0" xfId="0" applyFont="1" applyAlignment="1">
      <alignment horizontal="center" wrapText="1"/>
    </xf>
    <xf numFmtId="1" fontId="24" fillId="14" borderId="0" xfId="0" applyNumberFormat="1" applyFont="1" applyFill="1" applyAlignment="1">
      <alignment vertical="top"/>
    </xf>
    <xf numFmtId="4" fontId="24" fillId="3" borderId="0" xfId="0" applyNumberFormat="1" applyFont="1" applyFill="1" applyAlignment="1">
      <alignment vertical="top"/>
    </xf>
    <xf numFmtId="1" fontId="24" fillId="0" borderId="0" xfId="0" applyNumberFormat="1" applyFont="1" applyAlignment="1">
      <alignment horizontal="center" vertical="top"/>
    </xf>
    <xf numFmtId="4" fontId="24" fillId="0" borderId="0" xfId="0" applyNumberFormat="1" applyFont="1" applyAlignment="1">
      <alignment horizontal="center" vertical="top"/>
    </xf>
    <xf numFmtId="0" fontId="32" fillId="0" borderId="0" xfId="3" applyFont="1" applyBorder="1" applyAlignment="1">
      <alignment horizontal="right" vertical="center" indent="1"/>
    </xf>
    <xf numFmtId="1" fontId="13"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9" fillId="0" borderId="0" xfId="5"/>
    <xf numFmtId="1" fontId="9" fillId="0" borderId="0" xfId="5" applyNumberFormat="1"/>
    <xf numFmtId="0" fontId="18" fillId="0" borderId="0" xfId="5" applyFont="1" applyAlignment="1">
      <alignment horizontal="center"/>
    </xf>
    <xf numFmtId="0" fontId="18" fillId="0" borderId="0" xfId="3" applyFont="1" applyBorder="1" applyAlignment="1" applyProtection="1">
      <alignment horizontal="right" vertical="center" wrapText="1" indent="1"/>
    </xf>
    <xf numFmtId="0" fontId="9" fillId="5" borderId="0" xfId="0" applyFont="1" applyFill="1" applyAlignment="1">
      <alignment horizontal="center" wrapText="1"/>
    </xf>
    <xf numFmtId="1" fontId="9" fillId="5" borderId="0" xfId="0" applyNumberFormat="1" applyFont="1" applyFill="1" applyAlignment="1">
      <alignment horizontal="center" wrapText="1"/>
    </xf>
    <xf numFmtId="0" fontId="18" fillId="5" borderId="0" xfId="0" applyFont="1" applyFill="1" applyAlignment="1">
      <alignment horizontal="center" wrapText="1"/>
    </xf>
    <xf numFmtId="0" fontId="27" fillId="5" borderId="0" xfId="0" applyFont="1" applyFill="1" applyAlignment="1">
      <alignment horizontal="center" wrapText="1"/>
    </xf>
    <xf numFmtId="2" fontId="9" fillId="5" borderId="0" xfId="0" applyNumberFormat="1" applyFont="1" applyFill="1" applyAlignment="1">
      <alignment horizontal="center" wrapText="1"/>
    </xf>
    <xf numFmtId="169" fontId="9"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3"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9" fillId="0" borderId="0" xfId="12" applyNumberFormat="1" applyFont="1" applyFill="1" applyAlignment="1" applyProtection="1">
      <alignment horizontal="left" vertical="center"/>
    </xf>
    <xf numFmtId="2" fontId="19" fillId="0" borderId="0" xfId="12" applyNumberFormat="1" applyFont="1" applyFill="1" applyAlignment="1" applyProtection="1">
      <alignment horizontal="right" vertical="center"/>
    </xf>
    <xf numFmtId="2" fontId="19" fillId="0" borderId="0" xfId="12" applyNumberFormat="1" applyFont="1" applyFill="1" applyAlignment="1" applyProtection="1">
      <alignment horizontal="center" vertical="center"/>
    </xf>
    <xf numFmtId="2" fontId="20" fillId="0" borderId="0" xfId="0" applyNumberFormat="1" applyFont="1" applyAlignment="1">
      <alignment horizontal="center" vertical="center"/>
    </xf>
    <xf numFmtId="1" fontId="19" fillId="0" borderId="0" xfId="12" applyNumberFormat="1" applyFont="1" applyFill="1" applyAlignment="1" applyProtection="1">
      <alignment horizontal="center" vertical="center"/>
    </xf>
    <xf numFmtId="169" fontId="19" fillId="0" borderId="0" xfId="12" applyNumberFormat="1" applyFont="1" applyFill="1" applyAlignment="1" applyProtection="1">
      <alignment horizontal="center" vertical="center"/>
    </xf>
    <xf numFmtId="2" fontId="9" fillId="11" borderId="0" xfId="12" applyNumberFormat="1" applyFont="1" applyFill="1" applyBorder="1" applyAlignment="1" applyProtection="1">
      <alignment horizontal="left" vertical="center"/>
    </xf>
    <xf numFmtId="1" fontId="9" fillId="11" borderId="0" xfId="12" applyNumberFormat="1" applyFont="1" applyFill="1" applyAlignment="1" applyProtection="1">
      <alignment horizontal="right" vertical="center"/>
    </xf>
    <xf numFmtId="2" fontId="18" fillId="11" borderId="0" xfId="12" applyNumberFormat="1" applyFont="1" applyFill="1" applyBorder="1" applyAlignment="1" applyProtection="1">
      <alignment horizontal="center" vertical="center"/>
    </xf>
    <xf numFmtId="2" fontId="9" fillId="11" borderId="0" xfId="12" applyNumberFormat="1" applyFont="1" applyFill="1" applyAlignment="1" applyProtection="1">
      <alignment horizontal="left" vertical="center"/>
    </xf>
    <xf numFmtId="2" fontId="18" fillId="11" borderId="0" xfId="12" applyNumberFormat="1" applyFont="1" applyFill="1" applyAlignment="1" applyProtection="1">
      <alignment horizontal="left" vertical="center"/>
    </xf>
    <xf numFmtId="1" fontId="18" fillId="11" borderId="0" xfId="12" applyNumberFormat="1" applyFont="1" applyFill="1" applyAlignment="1" applyProtection="1">
      <alignment horizontal="right" vertical="center"/>
    </xf>
    <xf numFmtId="2" fontId="9" fillId="11" borderId="0" xfId="13" applyNumberFormat="1" applyFont="1" applyFill="1" applyAlignment="1" applyProtection="1">
      <alignment horizontal="right" vertical="center"/>
    </xf>
    <xf numFmtId="43" fontId="9" fillId="11" borderId="0" xfId="13" applyFont="1" applyFill="1" applyAlignment="1" applyProtection="1">
      <alignment horizontal="right" vertical="center"/>
    </xf>
    <xf numFmtId="169" fontId="9" fillId="11" borderId="0" xfId="13" applyNumberFormat="1" applyFont="1" applyFill="1" applyAlignment="1" applyProtection="1">
      <alignment horizontal="right" vertical="center"/>
    </xf>
    <xf numFmtId="2" fontId="13" fillId="0" borderId="0" xfId="0" applyNumberFormat="1" applyFont="1" applyAlignment="1">
      <alignment horizontal="center" vertical="center"/>
    </xf>
    <xf numFmtId="1" fontId="13" fillId="0" borderId="0" xfId="0" applyNumberFormat="1" applyFont="1" applyAlignment="1">
      <alignment horizontal="center" vertical="center"/>
    </xf>
    <xf numFmtId="169" fontId="13" fillId="0" borderId="0" xfId="0" applyNumberFormat="1" applyFont="1" applyAlignment="1">
      <alignment horizontal="center" vertical="center"/>
    </xf>
    <xf numFmtId="167" fontId="0" fillId="0" borderId="0" xfId="0" applyNumberFormat="1" applyProtection="1">
      <protection locked="0"/>
    </xf>
    <xf numFmtId="0" fontId="13" fillId="0" borderId="0" xfId="0" applyFont="1" applyAlignment="1" applyProtection="1">
      <alignment horizontal="center" wrapText="1"/>
      <protection locked="0"/>
    </xf>
    <xf numFmtId="1" fontId="13" fillId="0" borderId="0" xfId="0" applyNumberFormat="1" applyFont="1" applyAlignment="1" applyProtection="1">
      <alignment horizontal="center" wrapText="1"/>
      <protection locked="0"/>
    </xf>
    <xf numFmtId="2" fontId="13" fillId="0" borderId="0" xfId="0" applyNumberFormat="1" applyFont="1" applyAlignment="1" applyProtection="1">
      <alignment horizontal="center" wrapText="1"/>
      <protection locked="0"/>
    </xf>
    <xf numFmtId="2" fontId="0" fillId="0" borderId="0" xfId="0" applyNumberFormat="1" applyProtection="1">
      <protection locked="0"/>
    </xf>
    <xf numFmtId="164" fontId="15" fillId="0" borderId="0" xfId="0" applyNumberFormat="1" applyFont="1"/>
    <xf numFmtId="164" fontId="16" fillId="0" borderId="2" xfId="0" applyNumberFormat="1" applyFont="1" applyBorder="1" applyAlignment="1">
      <alignment horizontal="left"/>
    </xf>
    <xf numFmtId="0" fontId="15" fillId="0" borderId="9" xfId="0" applyFont="1" applyBorder="1"/>
    <xf numFmtId="0" fontId="16" fillId="0" borderId="6" xfId="0" applyFont="1" applyBorder="1" applyAlignment="1">
      <alignment horizontal="center"/>
    </xf>
    <xf numFmtId="0" fontId="16" fillId="0" borderId="0" xfId="0" applyFont="1" applyAlignment="1">
      <alignment horizontal="center"/>
    </xf>
    <xf numFmtId="164" fontId="15" fillId="0" borderId="8" xfId="0" applyNumberFormat="1" applyFont="1" applyBorder="1"/>
    <xf numFmtId="164" fontId="16" fillId="0" borderId="0" xfId="0" applyNumberFormat="1" applyFont="1" applyAlignment="1">
      <alignment horizontal="right"/>
    </xf>
    <xf numFmtId="0" fontId="16" fillId="0" borderId="15" xfId="0" applyFont="1" applyBorder="1" applyAlignment="1">
      <alignment horizontal="right"/>
    </xf>
    <xf numFmtId="0" fontId="16" fillId="0" borderId="13" xfId="0" applyFont="1" applyBorder="1" applyAlignment="1">
      <alignment horizontal="center"/>
    </xf>
    <xf numFmtId="164" fontId="15" fillId="0" borderId="13" xfId="0" applyNumberFormat="1" applyFont="1" applyBorder="1"/>
    <xf numFmtId="0" fontId="15" fillId="0" borderId="2" xfId="0" applyFont="1" applyBorder="1"/>
    <xf numFmtId="0" fontId="15" fillId="0" borderId="2" xfId="0" applyFont="1" applyBorder="1" applyAlignment="1">
      <alignment horizontal="right"/>
    </xf>
    <xf numFmtId="164" fontId="15" fillId="0" borderId="3" xfId="0" applyNumberFormat="1" applyFont="1" applyBorder="1"/>
    <xf numFmtId="0" fontId="15" fillId="0" borderId="5" xfId="0" applyFont="1" applyBorder="1"/>
    <xf numFmtId="0" fontId="15" fillId="0" borderId="4" xfId="0" applyFont="1" applyBorder="1" applyAlignment="1">
      <alignment horizontal="right"/>
    </xf>
    <xf numFmtId="164" fontId="15" fillId="0" borderId="5" xfId="0" applyNumberFormat="1" applyFont="1" applyBorder="1"/>
    <xf numFmtId="6" fontId="35" fillId="4" borderId="9" xfId="0" applyNumberFormat="1" applyFont="1" applyFill="1" applyBorder="1"/>
    <xf numFmtId="164" fontId="15" fillId="0" borderId="7" xfId="0" applyNumberFormat="1" applyFont="1" applyBorder="1"/>
    <xf numFmtId="3" fontId="16" fillId="3" borderId="0" xfId="0" applyNumberFormat="1" applyFont="1" applyFill="1"/>
    <xf numFmtId="164" fontId="16" fillId="3" borderId="30" xfId="0" applyNumberFormat="1" applyFont="1" applyFill="1" applyBorder="1"/>
    <xf numFmtId="164" fontId="16" fillId="3" borderId="31" xfId="0" applyNumberFormat="1" applyFont="1" applyFill="1" applyBorder="1"/>
    <xf numFmtId="0" fontId="15" fillId="0" borderId="13" xfId="0" applyFont="1" applyBorder="1" applyAlignment="1">
      <alignment horizontal="right"/>
    </xf>
    <xf numFmtId="9" fontId="15" fillId="2" borderId="29" xfId="0" applyNumberFormat="1" applyFont="1" applyFill="1" applyBorder="1" applyAlignment="1">
      <alignment horizontal="left"/>
    </xf>
    <xf numFmtId="0" fontId="16" fillId="0" borderId="13" xfId="0" applyFont="1" applyBorder="1" applyAlignment="1">
      <alignment horizontal="center" vertical="center"/>
    </xf>
    <xf numFmtId="164" fontId="16" fillId="3" borderId="14" xfId="0" applyNumberFormat="1" applyFont="1" applyFill="1" applyBorder="1"/>
    <xf numFmtId="49" fontId="0" fillId="0" borderId="0" xfId="0" applyNumberFormat="1"/>
    <xf numFmtId="0" fontId="0" fillId="2" borderId="34" xfId="0" applyFill="1" applyBorder="1"/>
    <xf numFmtId="0" fontId="0" fillId="2" borderId="35" xfId="0" applyFill="1" applyBorder="1"/>
    <xf numFmtId="0" fontId="1" fillId="2" borderId="35" xfId="0" applyFont="1" applyFill="1" applyBorder="1"/>
    <xf numFmtId="0" fontId="15" fillId="9" borderId="0" xfId="0" applyFont="1" applyFill="1" applyAlignment="1">
      <alignment horizontal="right"/>
    </xf>
    <xf numFmtId="0" fontId="35" fillId="0" borderId="0" xfId="0" applyFont="1" applyAlignment="1">
      <alignment horizontal="right"/>
    </xf>
    <xf numFmtId="9" fontId="34" fillId="2" borderId="42" xfId="0" applyNumberFormat="1" applyFont="1" applyFill="1" applyBorder="1" applyAlignment="1">
      <alignment horizontal="center"/>
    </xf>
    <xf numFmtId="165" fontId="35" fillId="4" borderId="0" xfId="0" applyNumberFormat="1" applyFont="1" applyFill="1" applyAlignment="1">
      <alignment horizontal="right"/>
    </xf>
    <xf numFmtId="3" fontId="15" fillId="0" borderId="0" xfId="0" applyNumberFormat="1" applyFont="1"/>
    <xf numFmtId="164" fontId="16" fillId="3" borderId="0" xfId="0" applyNumberFormat="1" applyFont="1" applyFill="1"/>
    <xf numFmtId="0" fontId="15" fillId="3" borderId="0" xfId="0" applyFont="1" applyFill="1" applyAlignment="1">
      <alignment horizontal="right"/>
    </xf>
    <xf numFmtId="164" fontId="15" fillId="3" borderId="0" xfId="0" applyNumberFormat="1" applyFont="1" applyFill="1"/>
    <xf numFmtId="164" fontId="16" fillId="3" borderId="4" xfId="0" applyNumberFormat="1" applyFont="1" applyFill="1" applyBorder="1"/>
    <xf numFmtId="0" fontId="15" fillId="0" borderId="45" xfId="0" applyFont="1" applyBorder="1"/>
    <xf numFmtId="164" fontId="15" fillId="3" borderId="5" xfId="0" applyNumberFormat="1" applyFont="1" applyFill="1" applyBorder="1"/>
    <xf numFmtId="3" fontId="15" fillId="18" borderId="29" xfId="0" applyNumberFormat="1" applyFont="1" applyFill="1" applyBorder="1"/>
    <xf numFmtId="0" fontId="0" fillId="2" borderId="0" xfId="0" applyFill="1" applyAlignment="1">
      <alignment horizontal="right"/>
    </xf>
    <xf numFmtId="0" fontId="1" fillId="2" borderId="49" xfId="0" applyFont="1" applyFill="1" applyBorder="1" applyAlignment="1">
      <alignment horizontal="right"/>
    </xf>
    <xf numFmtId="164" fontId="1" fillId="18" borderId="1" xfId="0" applyNumberFormat="1" applyFont="1" applyFill="1" applyBorder="1"/>
    <xf numFmtId="0" fontId="15" fillId="2" borderId="40"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3" fontId="1" fillId="18" borderId="7" xfId="0" applyNumberFormat="1" applyFont="1" applyFill="1" applyBorder="1"/>
    <xf numFmtId="0" fontId="1" fillId="18" borderId="6" xfId="0" applyFont="1" applyFill="1" applyBorder="1" applyAlignment="1">
      <alignment horizontal="right"/>
    </xf>
    <xf numFmtId="49" fontId="0" fillId="0" borderId="50" xfId="0" applyNumberFormat="1" applyBorder="1"/>
    <xf numFmtId="0" fontId="0" fillId="0" borderId="50" xfId="0" applyBorder="1"/>
    <xf numFmtId="49" fontId="1" fillId="18" borderId="38" xfId="0" quotePrefix="1" applyNumberFormat="1" applyFont="1" applyFill="1" applyBorder="1" applyAlignment="1">
      <alignment horizontal="center" wrapText="1"/>
    </xf>
    <xf numFmtId="0" fontId="0" fillId="0" borderId="2" xfId="0" applyBorder="1"/>
    <xf numFmtId="0" fontId="0" fillId="0" borderId="4" xfId="0" applyBorder="1"/>
    <xf numFmtId="0" fontId="1" fillId="0" borderId="41" xfId="0" applyFont="1" applyBorder="1" applyAlignment="1">
      <alignment horizontal="right" wrapText="1"/>
    </xf>
    <xf numFmtId="0" fontId="1" fillId="0" borderId="40" xfId="0" applyFont="1" applyBorder="1" applyAlignment="1">
      <alignment horizontal="right"/>
    </xf>
    <xf numFmtId="0" fontId="0" fillId="0" borderId="40" xfId="0" applyBorder="1" applyAlignment="1">
      <alignment horizontal="right"/>
    </xf>
    <xf numFmtId="0" fontId="0" fillId="0" borderId="40" xfId="0" applyBorder="1"/>
    <xf numFmtId="0" fontId="9" fillId="0" borderId="2" xfId="5" applyBorder="1"/>
    <xf numFmtId="1" fontId="9" fillId="0" borderId="9" xfId="5" applyNumberFormat="1" applyBorder="1"/>
    <xf numFmtId="0" fontId="18" fillId="0" borderId="9" xfId="5" applyFont="1" applyBorder="1" applyAlignment="1">
      <alignment horizontal="center"/>
    </xf>
    <xf numFmtId="0" fontId="9"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9" fillId="0" borderId="6" xfId="5" applyBorder="1" applyAlignment="1">
      <alignment wrapText="1"/>
    </xf>
    <xf numFmtId="1" fontId="9" fillId="0" borderId="1" xfId="5" applyNumberFormat="1" applyBorder="1" applyAlignment="1">
      <alignment wrapText="1"/>
    </xf>
    <xf numFmtId="0" fontId="18" fillId="0" borderId="1" xfId="5" applyFont="1" applyBorder="1" applyAlignment="1">
      <alignment horizontal="center" wrapText="1"/>
    </xf>
    <xf numFmtId="0" fontId="9" fillId="0" borderId="1" xfId="5" applyBorder="1" applyAlignment="1">
      <alignment wrapText="1"/>
    </xf>
    <xf numFmtId="0" fontId="18" fillId="0" borderId="1" xfId="3" applyFont="1" applyBorder="1" applyAlignment="1" applyProtection="1">
      <alignment horizontal="right" vertical="center" wrapText="1" indent="1"/>
    </xf>
    <xf numFmtId="0" fontId="1" fillId="18" borderId="37"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5" fillId="2" borderId="40" xfId="0" applyNumberFormat="1" applyFont="1" applyFill="1" applyBorder="1"/>
    <xf numFmtId="0" fontId="15" fillId="9" borderId="29" xfId="0" applyFont="1" applyFill="1" applyBorder="1"/>
    <xf numFmtId="0" fontId="0" fillId="18" borderId="40" xfId="0" applyFill="1" applyBorder="1"/>
    <xf numFmtId="49" fontId="1" fillId="18" borderId="40" xfId="0" applyNumberFormat="1" applyFont="1" applyFill="1" applyBorder="1" applyAlignment="1">
      <alignment horizontal="center" vertical="center" wrapText="1"/>
    </xf>
    <xf numFmtId="16" fontId="0" fillId="0" borderId="0" xfId="0" applyNumberFormat="1"/>
    <xf numFmtId="164" fontId="16" fillId="3" borderId="52" xfId="0" applyNumberFormat="1" applyFont="1" applyFill="1" applyBorder="1"/>
    <xf numFmtId="49" fontId="1" fillId="3" borderId="38" xfId="0" quotePrefix="1" applyNumberFormat="1" applyFont="1" applyFill="1" applyBorder="1" applyAlignment="1">
      <alignment horizontal="center" wrapText="1"/>
    </xf>
    <xf numFmtId="0" fontId="1" fillId="18" borderId="53" xfId="0" applyFont="1" applyFill="1" applyBorder="1" applyAlignment="1">
      <alignment horizontal="right"/>
    </xf>
    <xf numFmtId="164" fontId="1" fillId="18" borderId="30" xfId="0" applyNumberFormat="1" applyFont="1" applyFill="1" applyBorder="1"/>
    <xf numFmtId="0" fontId="1" fillId="18" borderId="54" xfId="0" applyFont="1" applyFill="1" applyBorder="1" applyAlignment="1">
      <alignment horizontal="right"/>
    </xf>
    <xf numFmtId="164" fontId="1" fillId="18" borderId="55" xfId="0" applyNumberFormat="1" applyFont="1" applyFill="1" applyBorder="1"/>
    <xf numFmtId="49" fontId="18" fillId="11" borderId="38" xfId="0" quotePrefix="1" applyNumberFormat="1" applyFont="1" applyFill="1" applyBorder="1" applyAlignment="1">
      <alignment horizontal="center" wrapText="1"/>
    </xf>
    <xf numFmtId="0" fontId="4" fillId="2" borderId="56" xfId="0" applyFont="1" applyFill="1" applyBorder="1" applyAlignment="1">
      <alignment horizontal="right"/>
    </xf>
    <xf numFmtId="0" fontId="4" fillId="2" borderId="55" xfId="0" applyFont="1" applyFill="1" applyBorder="1" applyAlignment="1">
      <alignment horizontal="right"/>
    </xf>
    <xf numFmtId="0" fontId="4" fillId="2" borderId="55" xfId="0" applyFont="1" applyFill="1" applyBorder="1"/>
    <xf numFmtId="0" fontId="4" fillId="2" borderId="57" xfId="0" applyFont="1" applyFill="1" applyBorder="1"/>
    <xf numFmtId="3" fontId="15" fillId="2" borderId="4" xfId="0" applyNumberFormat="1" applyFont="1" applyFill="1" applyBorder="1"/>
    <xf numFmtId="3" fontId="15" fillId="2" borderId="5" xfId="0" applyNumberFormat="1" applyFont="1" applyFill="1" applyBorder="1"/>
    <xf numFmtId="3" fontId="1" fillId="9" borderId="49" xfId="0" applyNumberFormat="1" applyFont="1" applyFill="1" applyBorder="1" applyAlignment="1">
      <alignment horizontal="right"/>
    </xf>
    <xf numFmtId="0" fontId="39" fillId="0" borderId="0" xfId="0" applyFont="1" applyAlignment="1">
      <alignment horizontal="right"/>
    </xf>
    <xf numFmtId="1" fontId="35" fillId="19" borderId="36" xfId="0" applyNumberFormat="1" applyFont="1" applyFill="1" applyBorder="1" applyAlignment="1">
      <alignment horizontal="right"/>
    </xf>
    <xf numFmtId="165" fontId="35" fillId="4" borderId="7" xfId="0" applyNumberFormat="1" applyFont="1" applyFill="1" applyBorder="1" applyAlignment="1">
      <alignment horizontal="right"/>
    </xf>
    <xf numFmtId="0" fontId="40" fillId="0" borderId="0" xfId="0" applyFont="1" applyAlignment="1">
      <alignment horizontal="right"/>
    </xf>
    <xf numFmtId="9" fontId="1" fillId="2" borderId="60" xfId="0" applyNumberFormat="1" applyFont="1" applyFill="1" applyBorder="1"/>
    <xf numFmtId="1" fontId="1" fillId="2" borderId="6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6" fillId="3" borderId="2" xfId="0" applyNumberFormat="1" applyFont="1" applyFill="1" applyBorder="1"/>
    <xf numFmtId="3" fontId="15" fillId="3" borderId="1" xfId="0" applyNumberFormat="1" applyFont="1" applyFill="1" applyBorder="1"/>
    <xf numFmtId="166" fontId="1" fillId="2" borderId="60" xfId="0" applyNumberFormat="1" applyFont="1" applyFill="1" applyBorder="1"/>
    <xf numFmtId="3" fontId="1" fillId="2" borderId="49" xfId="0" applyNumberFormat="1" applyFont="1" applyFill="1" applyBorder="1" applyAlignment="1">
      <alignment horizontal="right"/>
    </xf>
    <xf numFmtId="165" fontId="1" fillId="2" borderId="60" xfId="0" applyNumberFormat="1" applyFont="1" applyFill="1" applyBorder="1"/>
    <xf numFmtId="0" fontId="0" fillId="0" borderId="0" xfId="0" applyAlignment="1">
      <alignment horizontal="left" vertical="top"/>
    </xf>
    <xf numFmtId="166" fontId="16" fillId="9" borderId="0" xfId="0" applyNumberFormat="1" applyFont="1" applyFill="1"/>
    <xf numFmtId="9" fontId="34" fillId="2" borderId="4" xfId="0" applyNumberFormat="1" applyFont="1" applyFill="1" applyBorder="1"/>
    <xf numFmtId="164" fontId="34" fillId="2" borderId="5" xfId="0" applyNumberFormat="1" applyFont="1" applyFill="1" applyBorder="1"/>
    <xf numFmtId="18" fontId="0" fillId="0" borderId="0" xfId="0" applyNumberFormat="1"/>
    <xf numFmtId="0" fontId="36" fillId="0" borderId="0" xfId="0" applyFont="1" applyAlignment="1">
      <alignment horizontal="right" vertical="center"/>
    </xf>
    <xf numFmtId="0" fontId="38" fillId="0" borderId="0" xfId="0" applyFont="1" applyAlignment="1">
      <alignment horizontal="right" vertical="center"/>
    </xf>
    <xf numFmtId="0" fontId="37" fillId="0" borderId="0" xfId="0" applyFont="1" applyAlignment="1">
      <alignment horizontal="right" vertical="center"/>
    </xf>
    <xf numFmtId="0" fontId="2" fillId="0" borderId="0" xfId="1" applyAlignment="1">
      <alignment horizontal="right"/>
    </xf>
    <xf numFmtId="0" fontId="36" fillId="0" borderId="0" xfId="0" applyFont="1" applyAlignment="1">
      <alignment horizontal="right" vertical="center" wrapText="1"/>
    </xf>
    <xf numFmtId="0" fontId="38" fillId="0" borderId="0" xfId="0" applyFont="1" applyAlignment="1">
      <alignment horizontal="right" vertical="center" wrapText="1"/>
    </xf>
    <xf numFmtId="0" fontId="37" fillId="0" borderId="0" xfId="0" applyFont="1" applyAlignment="1">
      <alignment horizontal="right" vertical="center" wrapText="1"/>
    </xf>
    <xf numFmtId="0" fontId="2" fillId="0" borderId="0" xfId="1" applyAlignment="1">
      <alignment horizontal="right" vertical="center" wrapText="1"/>
    </xf>
    <xf numFmtId="1" fontId="40"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5"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60" xfId="0" applyNumberFormat="1" applyFont="1" applyFill="1" applyBorder="1" applyAlignment="1">
      <alignment horizontal="center"/>
    </xf>
    <xf numFmtId="0" fontId="14"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60" xfId="0" applyNumberFormat="1" applyFont="1" applyFill="1" applyBorder="1"/>
    <xf numFmtId="9" fontId="0" fillId="2" borderId="0" xfId="0" applyNumberFormat="1" applyFill="1"/>
    <xf numFmtId="166" fontId="1" fillId="18" borderId="0" xfId="0" applyNumberFormat="1" applyFont="1" applyFill="1"/>
    <xf numFmtId="164" fontId="1" fillId="18" borderId="60" xfId="0" applyNumberFormat="1" applyFont="1" applyFill="1" applyBorder="1"/>
    <xf numFmtId="0" fontId="42"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49" fontId="24" fillId="0" borderId="0" xfId="14" applyNumberFormat="1" applyFont="1" applyAlignment="1">
      <alignment vertical="top"/>
    </xf>
    <xf numFmtId="169" fontId="13"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4" fillId="0" borderId="0" xfId="0" applyNumberFormat="1" applyFont="1" applyAlignment="1">
      <alignment vertical="top"/>
    </xf>
    <xf numFmtId="170" fontId="0" fillId="0" borderId="0" xfId="0" applyNumberFormat="1"/>
    <xf numFmtId="1" fontId="24" fillId="16" borderId="0" xfId="0" applyNumberFormat="1" applyFont="1" applyFill="1" applyAlignment="1">
      <alignment vertical="top"/>
    </xf>
    <xf numFmtId="4" fontId="24" fillId="16" borderId="0" xfId="0" applyNumberFormat="1" applyFont="1" applyFill="1" applyAlignment="1">
      <alignment vertical="top"/>
    </xf>
    <xf numFmtId="171" fontId="34" fillId="2" borderId="4" xfId="0" applyNumberFormat="1" applyFont="1" applyFill="1" applyBorder="1"/>
    <xf numFmtId="0" fontId="44"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49" fontId="1" fillId="3" borderId="3" xfId="0" applyNumberFormat="1" applyFont="1" applyFill="1" applyBorder="1" applyAlignment="1">
      <alignment horizontal="center" vertical="center" wrapText="1"/>
    </xf>
    <xf numFmtId="3" fontId="18" fillId="11" borderId="49" xfId="0" applyNumberFormat="1" applyFont="1" applyFill="1" applyBorder="1"/>
    <xf numFmtId="3" fontId="1" fillId="3" borderId="49" xfId="0" applyNumberFormat="1" applyFont="1" applyFill="1" applyBorder="1"/>
    <xf numFmtId="0" fontId="45" fillId="0" borderId="0" xfId="0" applyFont="1"/>
    <xf numFmtId="167" fontId="0" fillId="0" borderId="0" xfId="0" applyNumberFormat="1"/>
    <xf numFmtId="170" fontId="13"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4" fillId="16" borderId="0" xfId="14" applyNumberFormat="1" applyFont="1" applyFill="1" applyAlignment="1">
      <alignment vertical="top"/>
    </xf>
    <xf numFmtId="4" fontId="24"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5" fillId="0" borderId="0" xfId="0" applyNumberFormat="1" applyFont="1"/>
    <xf numFmtId="0" fontId="0" fillId="9" borderId="0" xfId="0" applyFill="1" applyProtection="1">
      <protection locked="0"/>
    </xf>
    <xf numFmtId="0" fontId="31"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0" fontId="46" fillId="2" borderId="0" xfId="0" applyFont="1" applyFill="1"/>
    <xf numFmtId="0" fontId="46"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7" xfId="0" applyNumberFormat="1" applyFont="1" applyFill="1" applyBorder="1" applyAlignment="1">
      <alignment horizontal="center" wrapText="1"/>
    </xf>
    <xf numFmtId="49" fontId="18" fillId="22" borderId="38" xfId="0" quotePrefix="1" applyNumberFormat="1" applyFont="1" applyFill="1" applyBorder="1" applyAlignment="1">
      <alignment horizontal="center" wrapText="1"/>
    </xf>
    <xf numFmtId="3" fontId="18" fillId="22" borderId="49" xfId="0" applyNumberFormat="1" applyFont="1" applyFill="1" applyBorder="1"/>
    <xf numFmtId="1" fontId="18" fillId="22" borderId="38" xfId="0" quotePrefix="1" applyNumberFormat="1" applyFont="1" applyFill="1" applyBorder="1" applyAlignment="1">
      <alignment horizontal="center" wrapText="1"/>
    </xf>
    <xf numFmtId="49" fontId="1" fillId="11" borderId="3" xfId="0" applyNumberFormat="1" applyFont="1" applyFill="1" applyBorder="1" applyAlignment="1">
      <alignment horizontal="center" vertical="center" wrapText="1"/>
    </xf>
    <xf numFmtId="3" fontId="1" fillId="11" borderId="49" xfId="0" applyNumberFormat="1" applyFont="1" applyFill="1" applyBorder="1"/>
    <xf numFmtId="49" fontId="1" fillId="11" borderId="38" xfId="0" quotePrefix="1" applyNumberFormat="1" applyFont="1" applyFill="1" applyBorder="1" applyAlignment="1">
      <alignment horizontal="center" wrapText="1"/>
    </xf>
    <xf numFmtId="3" fontId="1" fillId="3" borderId="62" xfId="0" applyNumberFormat="1" applyFont="1" applyFill="1" applyBorder="1"/>
    <xf numFmtId="3" fontId="18" fillId="11" borderId="63" xfId="0" applyNumberFormat="1" applyFont="1" applyFill="1" applyBorder="1"/>
    <xf numFmtId="3" fontId="18" fillId="11" borderId="64" xfId="0" applyNumberFormat="1" applyFont="1" applyFill="1" applyBorder="1"/>
    <xf numFmtId="3" fontId="18" fillId="11" borderId="7" xfId="0" applyNumberFormat="1" applyFont="1" applyFill="1" applyBorder="1"/>
    <xf numFmtId="49" fontId="18" fillId="3" borderId="38" xfId="0" quotePrefix="1" applyNumberFormat="1" applyFont="1" applyFill="1" applyBorder="1" applyAlignment="1">
      <alignment horizontal="center" wrapText="1"/>
    </xf>
    <xf numFmtId="3" fontId="1" fillId="3" borderId="65" xfId="0" applyNumberFormat="1" applyFont="1" applyFill="1" applyBorder="1"/>
    <xf numFmtId="3" fontId="1" fillId="3" borderId="56" xfId="0" applyNumberFormat="1" applyFont="1" applyFill="1" applyBorder="1"/>
    <xf numFmtId="3" fontId="1" fillId="3" borderId="14" xfId="0" applyNumberFormat="1" applyFont="1" applyFill="1" applyBorder="1"/>
    <xf numFmtId="3" fontId="18" fillId="11" borderId="44" xfId="0" applyNumberFormat="1" applyFont="1" applyFill="1" applyBorder="1"/>
    <xf numFmtId="3" fontId="18" fillId="11" borderId="62" xfId="0" applyNumberFormat="1" applyFont="1" applyFill="1" applyBorder="1"/>
    <xf numFmtId="49" fontId="0" fillId="0" borderId="0" xfId="0" applyNumberFormat="1" applyAlignment="1">
      <alignment horizontal="right"/>
    </xf>
    <xf numFmtId="0" fontId="16" fillId="0" borderId="3" xfId="0" applyFont="1" applyBorder="1" applyAlignment="1">
      <alignment horizontal="center"/>
    </xf>
    <xf numFmtId="0" fontId="15" fillId="0" borderId="9" xfId="0" applyFont="1" applyBorder="1" applyAlignment="1">
      <alignment horizontal="right"/>
    </xf>
    <xf numFmtId="164" fontId="15" fillId="0" borderId="9" xfId="0" applyNumberFormat="1" applyFont="1" applyBorder="1"/>
    <xf numFmtId="0" fontId="15" fillId="0" borderId="4" xfId="0" applyFont="1" applyBorder="1"/>
    <xf numFmtId="3" fontId="18" fillId="22" borderId="34" xfId="0" applyNumberFormat="1" applyFont="1" applyFill="1" applyBorder="1"/>
    <xf numFmtId="0" fontId="18" fillId="23" borderId="2" xfId="0" applyFont="1" applyFill="1" applyBorder="1" applyAlignment="1">
      <alignment horizontal="right"/>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0" fontId="0" fillId="0" borderId="4" xfId="0" applyBorder="1" applyAlignment="1">
      <alignment horizontal="right"/>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18" borderId="1" xfId="0" applyFont="1" applyFill="1" applyBorder="1" applyAlignment="1">
      <alignment horizontal="right"/>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6" fillId="3" borderId="44" xfId="0" applyNumberFormat="1" applyFont="1" applyFill="1" applyBorder="1"/>
    <xf numFmtId="164" fontId="34" fillId="9" borderId="2" xfId="0" applyNumberFormat="1" applyFont="1" applyFill="1" applyBorder="1"/>
    <xf numFmtId="3" fontId="18" fillId="24" borderId="49" xfId="0" applyNumberFormat="1" applyFont="1" applyFill="1" applyBorder="1"/>
    <xf numFmtId="3" fontId="18" fillId="25" borderId="49" xfId="0" applyNumberFormat="1" applyFont="1" applyFill="1" applyBorder="1"/>
    <xf numFmtId="0" fontId="15" fillId="0" borderId="40" xfId="0" applyFont="1" applyBorder="1"/>
    <xf numFmtId="0" fontId="15" fillId="18" borderId="40" xfId="0" applyFont="1" applyFill="1" applyBorder="1"/>
    <xf numFmtId="3" fontId="15" fillId="18" borderId="40" xfId="0" applyNumberFormat="1" applyFont="1" applyFill="1" applyBorder="1"/>
    <xf numFmtId="0" fontId="14" fillId="0" borderId="0" xfId="0" applyFont="1"/>
    <xf numFmtId="9" fontId="15" fillId="2" borderId="37" xfId="0" applyNumberFormat="1" applyFont="1" applyFill="1" applyBorder="1" applyAlignment="1">
      <alignment horizontal="right"/>
    </xf>
    <xf numFmtId="0" fontId="16" fillId="3" borderId="4" xfId="0" applyFont="1" applyFill="1" applyBorder="1" applyAlignment="1">
      <alignment horizontal="right"/>
    </xf>
    <xf numFmtId="0" fontId="16" fillId="3" borderId="0" xfId="0" applyFont="1" applyFill="1" applyAlignment="1">
      <alignment horizontal="right"/>
    </xf>
    <xf numFmtId="164" fontId="18" fillId="24" borderId="39" xfId="0" applyNumberFormat="1" applyFont="1" applyFill="1" applyBorder="1"/>
    <xf numFmtId="164" fontId="18" fillId="24" borderId="38" xfId="0" applyNumberFormat="1" applyFont="1" applyFill="1" applyBorder="1"/>
    <xf numFmtId="164" fontId="15"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4" fillId="18" borderId="29" xfId="0" applyNumberFormat="1" applyFont="1" applyFill="1" applyBorder="1"/>
    <xf numFmtId="164" fontId="34" fillId="18" borderId="29" xfId="0" applyNumberFormat="1" applyFont="1" applyFill="1" applyBorder="1"/>
    <xf numFmtId="164" fontId="15" fillId="20" borderId="4" xfId="0" applyNumberFormat="1" applyFont="1" applyFill="1" applyBorder="1"/>
    <xf numFmtId="3" fontId="15" fillId="20" borderId="47" xfId="0" applyNumberFormat="1" applyFont="1" applyFill="1" applyBorder="1"/>
    <xf numFmtId="164" fontId="15" fillId="26" borderId="4" xfId="0" applyNumberFormat="1" applyFont="1" applyFill="1" applyBorder="1"/>
    <xf numFmtId="3" fontId="15" fillId="26" borderId="47" xfId="0" applyNumberFormat="1" applyFont="1" applyFill="1" applyBorder="1"/>
    <xf numFmtId="9" fontId="34" fillId="2" borderId="29" xfId="0" applyNumberFormat="1" applyFont="1" applyFill="1" applyBorder="1"/>
    <xf numFmtId="3" fontId="15" fillId="26" borderId="4" xfId="0" applyNumberFormat="1" applyFont="1" applyFill="1" applyBorder="1"/>
    <xf numFmtId="0" fontId="15" fillId="26" borderId="47" xfId="0" applyFont="1" applyFill="1" applyBorder="1"/>
    <xf numFmtId="10" fontId="34" fillId="2" borderId="29" xfId="0" applyNumberFormat="1" applyFont="1" applyFill="1" applyBorder="1"/>
    <xf numFmtId="3" fontId="34" fillId="2" borderId="29" xfId="0" applyNumberFormat="1" applyFont="1" applyFill="1" applyBorder="1"/>
    <xf numFmtId="172" fontId="15" fillId="3" borderId="37" xfId="0" applyNumberFormat="1" applyFont="1" applyFill="1" applyBorder="1" applyAlignment="1">
      <alignment horizontal="right"/>
    </xf>
    <xf numFmtId="164" fontId="15" fillId="3" borderId="39" xfId="0" applyNumberFormat="1" applyFont="1" applyFill="1" applyBorder="1"/>
    <xf numFmtId="9" fontId="15" fillId="3" borderId="39" xfId="0" applyNumberFormat="1" applyFont="1" applyFill="1" applyBorder="1"/>
    <xf numFmtId="3" fontId="15" fillId="3" borderId="39" xfId="0" applyNumberFormat="1" applyFont="1" applyFill="1" applyBorder="1"/>
    <xf numFmtId="9" fontId="15" fillId="3" borderId="38" xfId="0" applyNumberFormat="1" applyFont="1" applyFill="1" applyBorder="1"/>
    <xf numFmtId="172" fontId="15" fillId="27" borderId="37" xfId="0" applyNumberFormat="1" applyFont="1" applyFill="1" applyBorder="1" applyAlignment="1">
      <alignment horizontal="right"/>
    </xf>
    <xf numFmtId="164" fontId="15" fillId="27" borderId="39" xfId="0" applyNumberFormat="1" applyFont="1" applyFill="1" applyBorder="1"/>
    <xf numFmtId="9" fontId="15" fillId="27" borderId="39" xfId="0" applyNumberFormat="1" applyFont="1" applyFill="1" applyBorder="1"/>
    <xf numFmtId="9" fontId="15" fillId="27" borderId="38" xfId="0" applyNumberFormat="1" applyFont="1" applyFill="1" applyBorder="1"/>
    <xf numFmtId="0" fontId="15" fillId="18" borderId="6" xfId="0" applyFont="1" applyFill="1" applyBorder="1"/>
    <xf numFmtId="0" fontId="15" fillId="18" borderId="1" xfId="0" applyFont="1" applyFill="1" applyBorder="1" applyAlignment="1">
      <alignment horizontal="right"/>
    </xf>
    <xf numFmtId="0" fontId="0" fillId="18" borderId="1" xfId="0" applyFill="1" applyBorder="1" applyAlignment="1">
      <alignment horizontal="right"/>
    </xf>
    <xf numFmtId="3" fontId="15" fillId="18" borderId="1" xfId="0" applyNumberFormat="1" applyFont="1" applyFill="1" applyBorder="1"/>
    <xf numFmtId="9" fontId="15" fillId="18" borderId="1" xfId="0" applyNumberFormat="1" applyFont="1" applyFill="1" applyBorder="1"/>
    <xf numFmtId="3" fontId="15" fillId="28" borderId="1" xfId="0" applyNumberFormat="1" applyFont="1" applyFill="1" applyBorder="1"/>
    <xf numFmtId="9" fontId="15" fillId="28" borderId="7" xfId="0" applyNumberFormat="1" applyFont="1" applyFill="1" applyBorder="1"/>
    <xf numFmtId="0" fontId="15" fillId="20" borderId="2" xfId="0" applyFont="1" applyFill="1" applyBorder="1"/>
    <xf numFmtId="0" fontId="15" fillId="20" borderId="46" xfId="0" applyFont="1" applyFill="1" applyBorder="1"/>
    <xf numFmtId="3" fontId="15" fillId="20" borderId="4" xfId="0" applyNumberFormat="1" applyFont="1" applyFill="1" applyBorder="1"/>
    <xf numFmtId="3" fontId="15" fillId="20" borderId="0" xfId="0" applyNumberFormat="1" applyFont="1" applyFill="1"/>
    <xf numFmtId="3" fontId="15" fillId="20" borderId="6" xfId="0" applyNumberFormat="1" applyFont="1" applyFill="1" applyBorder="1"/>
    <xf numFmtId="3" fontId="15" fillId="20" borderId="48" xfId="0" applyNumberFormat="1" applyFont="1" applyFill="1" applyBorder="1"/>
    <xf numFmtId="3" fontId="15" fillId="26" borderId="6" xfId="0" applyNumberFormat="1" applyFont="1" applyFill="1" applyBorder="1"/>
    <xf numFmtId="0" fontId="15" fillId="26" borderId="48" xfId="0" applyFont="1" applyFill="1" applyBorder="1"/>
    <xf numFmtId="3" fontId="15" fillId="26" borderId="2" xfId="0" applyNumberFormat="1" applyFont="1" applyFill="1" applyBorder="1"/>
    <xf numFmtId="3" fontId="15" fillId="26" borderId="4" xfId="0" applyNumberFormat="1" applyFont="1" applyFill="1" applyBorder="1" applyAlignment="1">
      <alignment horizontal="center"/>
    </xf>
    <xf numFmtId="0" fontId="15" fillId="29" borderId="2" xfId="0" applyFont="1" applyFill="1" applyBorder="1" applyAlignment="1">
      <alignment horizontal="right"/>
    </xf>
    <xf numFmtId="172" fontId="15" fillId="27" borderId="4" xfId="0" applyNumberFormat="1" applyFont="1" applyFill="1" applyBorder="1" applyAlignment="1">
      <alignment horizontal="right"/>
    </xf>
    <xf numFmtId="164" fontId="15" fillId="27" borderId="0" xfId="0" applyNumberFormat="1" applyFont="1" applyFill="1"/>
    <xf numFmtId="10" fontId="15" fillId="27" borderId="0" xfId="0" applyNumberFormat="1" applyFont="1" applyFill="1"/>
    <xf numFmtId="3" fontId="15" fillId="27" borderId="0" xfId="0" applyNumberFormat="1" applyFont="1" applyFill="1"/>
    <xf numFmtId="4" fontId="15" fillId="27" borderId="0" xfId="0" applyNumberFormat="1" applyFont="1" applyFill="1"/>
    <xf numFmtId="10" fontId="15" fillId="27" borderId="5" xfId="0" applyNumberFormat="1" applyFont="1" applyFill="1" applyBorder="1"/>
    <xf numFmtId="3" fontId="15" fillId="30" borderId="4" xfId="0" applyNumberFormat="1" applyFont="1" applyFill="1" applyBorder="1"/>
    <xf numFmtId="164" fontId="15" fillId="30" borderId="47" xfId="0" applyNumberFormat="1" applyFont="1" applyFill="1" applyBorder="1"/>
    <xf numFmtId="164" fontId="15" fillId="30" borderId="4" xfId="0" applyNumberFormat="1" applyFont="1" applyFill="1" applyBorder="1" applyAlignment="1">
      <alignment horizontal="right"/>
    </xf>
    <xf numFmtId="0" fontId="15" fillId="30" borderId="4" xfId="0" applyFont="1" applyFill="1" applyBorder="1" applyAlignment="1">
      <alignment horizontal="right"/>
    </xf>
    <xf numFmtId="164" fontId="15" fillId="30" borderId="4" xfId="0" applyNumberFormat="1" applyFont="1" applyFill="1" applyBorder="1"/>
    <xf numFmtId="164" fontId="15" fillId="30" borderId="6" xfId="0" applyNumberFormat="1" applyFont="1" applyFill="1" applyBorder="1"/>
    <xf numFmtId="164" fontId="15" fillId="30" borderId="48" xfId="0" applyNumberFormat="1" applyFont="1" applyFill="1" applyBorder="1"/>
    <xf numFmtId="0" fontId="15" fillId="26" borderId="0" xfId="0" applyFont="1" applyFill="1"/>
    <xf numFmtId="164" fontId="15" fillId="26" borderId="0" xfId="0" applyNumberFormat="1" applyFont="1" applyFill="1"/>
    <xf numFmtId="164" fontId="15" fillId="26" borderId="1" xfId="0" applyNumberFormat="1" applyFont="1" applyFill="1" applyBorder="1"/>
    <xf numFmtId="0" fontId="15" fillId="20" borderId="3" xfId="0" applyFont="1" applyFill="1" applyBorder="1"/>
    <xf numFmtId="0" fontId="15" fillId="20" borderId="4" xfId="0" applyFont="1" applyFill="1" applyBorder="1"/>
    <xf numFmtId="0" fontId="15" fillId="20" borderId="5" xfId="0" applyFont="1" applyFill="1" applyBorder="1"/>
    <xf numFmtId="164" fontId="15" fillId="20" borderId="6" xfId="0" applyNumberFormat="1" applyFont="1" applyFill="1" applyBorder="1"/>
    <xf numFmtId="164" fontId="15" fillId="20" borderId="7" xfId="0" applyNumberFormat="1" applyFont="1" applyFill="1" applyBorder="1"/>
    <xf numFmtId="3" fontId="15" fillId="26" borderId="0" xfId="0" applyNumberFormat="1" applyFont="1" applyFill="1"/>
    <xf numFmtId="3" fontId="15" fillId="26" borderId="66" xfId="0" applyNumberFormat="1" applyFont="1" applyFill="1" applyBorder="1"/>
    <xf numFmtId="0" fontId="15" fillId="26" borderId="1" xfId="0" applyFont="1" applyFill="1" applyBorder="1"/>
    <xf numFmtId="0" fontId="15"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9"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6" fillId="18" borderId="37" xfId="0" applyFont="1" applyFill="1" applyBorder="1" applyAlignment="1">
      <alignment horizontal="left" vertical="center" wrapText="1"/>
    </xf>
    <xf numFmtId="0" fontId="16" fillId="18" borderId="29" xfId="0" applyFont="1" applyFill="1" applyBorder="1" applyAlignment="1">
      <alignment horizontal="left" vertical="center" wrapText="1"/>
    </xf>
    <xf numFmtId="164" fontId="15" fillId="9" borderId="48" xfId="0" applyNumberFormat="1" applyFont="1" applyFill="1" applyBorder="1"/>
    <xf numFmtId="0" fontId="15" fillId="20" borderId="47" xfId="0" applyFont="1" applyFill="1" applyBorder="1"/>
    <xf numFmtId="164" fontId="15" fillId="29" borderId="3" xfId="0" applyNumberFormat="1" applyFont="1" applyFill="1" applyBorder="1"/>
    <xf numFmtId="0" fontId="15" fillId="2" borderId="0" xfId="0" applyFont="1" applyFill="1"/>
    <xf numFmtId="3" fontId="16" fillId="0" borderId="4" xfId="0" applyNumberFormat="1" applyFont="1" applyBorder="1"/>
    <xf numFmtId="0" fontId="0" fillId="18" borderId="1" xfId="0" applyFill="1" applyBorder="1"/>
    <xf numFmtId="3" fontId="1" fillId="0" borderId="37" xfId="0" applyNumberFormat="1" applyFont="1" applyBorder="1" applyAlignment="1">
      <alignment horizontal="center" wrapText="1"/>
    </xf>
    <xf numFmtId="0" fontId="0" fillId="20" borderId="40" xfId="0" applyFill="1" applyBorder="1" applyAlignment="1">
      <alignment horizontal="center"/>
    </xf>
    <xf numFmtId="0" fontId="0" fillId="20" borderId="36" xfId="0" applyFill="1" applyBorder="1" applyAlignment="1">
      <alignment horizontal="center"/>
    </xf>
    <xf numFmtId="3" fontId="15" fillId="26" borderId="5" xfId="0" applyNumberFormat="1" applyFont="1" applyFill="1" applyBorder="1"/>
    <xf numFmtId="0" fontId="15" fillId="29" borderId="4" xfId="0" applyFont="1" applyFill="1" applyBorder="1" applyAlignment="1">
      <alignment horizontal="right"/>
    </xf>
    <xf numFmtId="164" fontId="15" fillId="29" borderId="5" xfId="0" applyNumberFormat="1" applyFont="1" applyFill="1" applyBorder="1"/>
    <xf numFmtId="0" fontId="15" fillId="26" borderId="9" xfId="0" applyFont="1" applyFill="1" applyBorder="1"/>
    <xf numFmtId="0" fontId="35" fillId="31" borderId="2" xfId="0" applyFont="1" applyFill="1" applyBorder="1" applyAlignment="1">
      <alignment horizontal="right"/>
    </xf>
    <xf numFmtId="1" fontId="35" fillId="31" borderId="4" xfId="0" applyNumberFormat="1" applyFont="1" applyFill="1" applyBorder="1" applyAlignment="1">
      <alignment horizontal="right"/>
    </xf>
    <xf numFmtId="1" fontId="35" fillId="31" borderId="6" xfId="0" applyNumberFormat="1" applyFont="1" applyFill="1" applyBorder="1" applyAlignment="1">
      <alignment horizontal="right"/>
    </xf>
    <xf numFmtId="164" fontId="16"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9" xfId="0" applyNumberFormat="1" applyFont="1" applyFill="1" applyBorder="1" applyAlignment="1">
      <alignment horizontal="right"/>
    </xf>
    <xf numFmtId="164" fontId="0" fillId="18" borderId="0" xfId="0" applyNumberFormat="1" applyFill="1"/>
    <xf numFmtId="175" fontId="0" fillId="18" borderId="0" xfId="0" applyNumberFormat="1" applyFill="1" applyAlignment="1">
      <alignment horizontal="right"/>
    </xf>
    <xf numFmtId="175"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5" fillId="18" borderId="0" xfId="0" applyFont="1" applyFill="1" applyAlignment="1">
      <alignment horizontal="right"/>
    </xf>
    <xf numFmtId="4" fontId="34" fillId="2" borderId="3" xfId="0" applyNumberFormat="1" applyFont="1" applyFill="1" applyBorder="1"/>
    <xf numFmtId="14" fontId="15" fillId="0" borderId="0" xfId="0" applyNumberFormat="1" applyFont="1"/>
    <xf numFmtId="164" fontId="18" fillId="24" borderId="29" xfId="0" applyNumberFormat="1" applyFont="1" applyFill="1" applyBorder="1"/>
    <xf numFmtId="164" fontId="18" fillId="24" borderId="36" xfId="0" applyNumberFormat="1" applyFont="1" applyFill="1" applyBorder="1"/>
    <xf numFmtId="3" fontId="18" fillId="25" borderId="67" xfId="0" applyNumberFormat="1" applyFont="1" applyFill="1" applyBorder="1"/>
    <xf numFmtId="9" fontId="15" fillId="0" borderId="0" xfId="0" applyNumberFormat="1" applyFont="1"/>
    <xf numFmtId="3" fontId="15" fillId="3" borderId="0" xfId="0" applyNumberFormat="1" applyFont="1" applyFill="1"/>
    <xf numFmtId="3" fontId="15" fillId="3" borderId="29" xfId="0" applyNumberFormat="1" applyFont="1" applyFill="1" applyBorder="1"/>
    <xf numFmtId="164" fontId="15" fillId="3" borderId="9" xfId="0" applyNumberFormat="1" applyFont="1" applyFill="1" applyBorder="1"/>
    <xf numFmtId="164" fontId="15" fillId="3" borderId="3" xfId="0" applyNumberFormat="1" applyFont="1" applyFill="1" applyBorder="1"/>
    <xf numFmtId="165" fontId="34"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1" fontId="16" fillId="3" borderId="0" xfId="0" applyNumberFormat="1" applyFont="1" applyFill="1" applyAlignment="1">
      <alignment horizontal="center"/>
    </xf>
    <xf numFmtId="3" fontId="15" fillId="0" borderId="0" xfId="0" applyNumberFormat="1" applyFont="1" applyAlignment="1">
      <alignment horizontal="right"/>
    </xf>
    <xf numFmtId="14" fontId="15" fillId="2" borderId="29" xfId="0" applyNumberFormat="1" applyFont="1" applyFill="1" applyBorder="1"/>
    <xf numFmtId="171" fontId="0" fillId="29"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5"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6" fillId="9" borderId="29" xfId="0" applyFont="1" applyFill="1" applyBorder="1" applyAlignment="1">
      <alignment horizontal="right" vertical="center" wrapText="1"/>
    </xf>
    <xf numFmtId="0" fontId="15" fillId="26" borderId="47" xfId="0" applyFont="1" applyFill="1" applyBorder="1" applyAlignment="1">
      <alignment horizontal="center"/>
    </xf>
    <xf numFmtId="0" fontId="16"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4" fontId="0" fillId="9" borderId="0" xfId="0" applyNumberFormat="1" applyFill="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6" fillId="2" borderId="29" xfId="0" applyFont="1" applyFill="1" applyBorder="1" applyAlignment="1">
      <alignment horizontal="center"/>
    </xf>
    <xf numFmtId="38" fontId="0" fillId="0" borderId="0" xfId="0" applyNumberFormat="1"/>
    <xf numFmtId="175" fontId="0" fillId="0" borderId="0" xfId="0" applyNumberFormat="1"/>
    <xf numFmtId="176" fontId="0" fillId="0" borderId="0" xfId="0" applyNumberFormat="1"/>
    <xf numFmtId="3" fontId="0" fillId="0" borderId="0" xfId="0" applyNumberFormat="1" applyAlignment="1">
      <alignment horizontal="right"/>
    </xf>
    <xf numFmtId="0" fontId="0" fillId="0" borderId="5" xfId="0" applyBorder="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5"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1" fillId="0" borderId="0" xfId="0" applyNumberFormat="1" applyFont="1"/>
    <xf numFmtId="171" fontId="0" fillId="0" borderId="0" xfId="0" applyNumberFormat="1"/>
    <xf numFmtId="171" fontId="0" fillId="0" borderId="1" xfId="0" applyNumberFormat="1" applyBorder="1"/>
    <xf numFmtId="3" fontId="1" fillId="0" borderId="36"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40"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6"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6"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6" xfId="0" applyNumberFormat="1" applyFont="1" applyFill="1" applyBorder="1" applyAlignment="1">
      <alignment horizontal="center" wrapText="1"/>
    </xf>
    <xf numFmtId="3" fontId="0" fillId="30" borderId="0" xfId="0" applyNumberFormat="1" applyFill="1"/>
    <xf numFmtId="3" fontId="0" fillId="30" borderId="1" xfId="0" applyNumberFormat="1" applyFill="1" applyBorder="1"/>
    <xf numFmtId="14" fontId="16" fillId="2" borderId="29" xfId="0" applyNumberFormat="1" applyFont="1" applyFill="1" applyBorder="1" applyAlignment="1">
      <alignment horizontal="center" vertical="center"/>
    </xf>
    <xf numFmtId="0" fontId="15" fillId="18" borderId="29" xfId="0" applyFont="1" applyFill="1" applyBorder="1"/>
    <xf numFmtId="0" fontId="15" fillId="18" borderId="36" xfId="0" applyFont="1" applyFill="1" applyBorder="1"/>
    <xf numFmtId="0" fontId="1" fillId="0" borderId="29" xfId="0" applyFont="1" applyBorder="1" applyAlignment="1">
      <alignment horizontal="left"/>
    </xf>
    <xf numFmtId="0" fontId="48" fillId="0" borderId="0" xfId="0" applyFont="1" applyAlignment="1">
      <alignment horizontal="left" vertical="center"/>
    </xf>
    <xf numFmtId="0" fontId="47" fillId="2" borderId="0" xfId="0" applyFont="1" applyFill="1"/>
    <xf numFmtId="164" fontId="1" fillId="18" borderId="39" xfId="0" applyNumberFormat="1" applyFont="1" applyFill="1" applyBorder="1"/>
    <xf numFmtId="49" fontId="18" fillId="32" borderId="3" xfId="0" applyNumberFormat="1" applyFont="1" applyFill="1" applyBorder="1" applyAlignment="1">
      <alignment horizontal="center" vertical="center" wrapText="1"/>
    </xf>
    <xf numFmtId="3" fontId="18" fillId="32" borderId="49" xfId="0" applyNumberFormat="1" applyFont="1" applyFill="1" applyBorder="1"/>
    <xf numFmtId="0" fontId="9" fillId="32" borderId="0" xfId="0" applyFont="1" applyFill="1"/>
    <xf numFmtId="0" fontId="9" fillId="32" borderId="0" xfId="0" applyFont="1" applyFill="1" applyAlignment="1">
      <alignment horizontal="left"/>
    </xf>
    <xf numFmtId="0" fontId="9" fillId="32" borderId="51" xfId="0" applyFont="1" applyFill="1" applyBorder="1"/>
    <xf numFmtId="0" fontId="9" fillId="32" borderId="8" xfId="0" applyFont="1" applyFill="1" applyBorder="1"/>
    <xf numFmtId="3" fontId="18" fillId="32" borderId="62" xfId="0" applyNumberFormat="1" applyFont="1" applyFill="1" applyBorder="1"/>
    <xf numFmtId="164" fontId="1" fillId="18" borderId="29" xfId="0" applyNumberFormat="1" applyFont="1" applyFill="1" applyBorder="1"/>
    <xf numFmtId="166" fontId="0" fillId="18" borderId="0" xfId="0" applyNumberFormat="1" applyFill="1" applyAlignment="1">
      <alignment horizontal="right"/>
    </xf>
    <xf numFmtId="166" fontId="1" fillId="18" borderId="0" xfId="0" applyNumberFormat="1" applyFont="1" applyFill="1" applyAlignment="1">
      <alignment horizontal="right"/>
    </xf>
    <xf numFmtId="164" fontId="34" fillId="2" borderId="29" xfId="0" applyNumberFormat="1" applyFont="1" applyFill="1" applyBorder="1"/>
    <xf numFmtId="0" fontId="50" fillId="0" borderId="0" xfId="0" applyFont="1"/>
    <xf numFmtId="0" fontId="50" fillId="0" borderId="0" xfId="0" applyFont="1" applyAlignment="1">
      <alignment horizontal="left"/>
    </xf>
    <xf numFmtId="38" fontId="50" fillId="0" borderId="0" xfId="0" applyNumberFormat="1" applyFont="1" applyAlignment="1">
      <alignment horizontal="left"/>
    </xf>
    <xf numFmtId="4" fontId="50" fillId="0" borderId="0" xfId="0" applyNumberFormat="1" applyFont="1" applyAlignment="1">
      <alignment horizontal="left"/>
    </xf>
    <xf numFmtId="8" fontId="50" fillId="0" borderId="0" xfId="0" applyNumberFormat="1" applyFont="1" applyAlignment="1">
      <alignment horizontal="left"/>
    </xf>
    <xf numFmtId="175" fontId="50" fillId="0" borderId="0" xfId="0" applyNumberFormat="1" applyFont="1" applyAlignment="1">
      <alignment horizontal="left"/>
    </xf>
    <xf numFmtId="0" fontId="50" fillId="2" borderId="0" xfId="0" applyFont="1" applyFill="1" applyAlignment="1">
      <alignment horizontal="left"/>
    </xf>
    <xf numFmtId="176" fontId="50" fillId="2" borderId="0" xfId="0" applyNumberFormat="1" applyFont="1" applyFill="1" applyAlignment="1">
      <alignment horizontal="left"/>
    </xf>
    <xf numFmtId="176" fontId="50" fillId="0" borderId="0" xfId="0" applyNumberFormat="1" applyFont="1" applyAlignment="1">
      <alignment horizontal="left"/>
    </xf>
    <xf numFmtId="3" fontId="50" fillId="0" borderId="0" xfId="0" applyNumberFormat="1" applyFont="1" applyAlignment="1">
      <alignment horizontal="left"/>
    </xf>
    <xf numFmtId="0" fontId="47" fillId="0" borderId="0" xfId="0" applyFont="1" applyAlignment="1">
      <alignment horizontal="left" vertical="center"/>
    </xf>
    <xf numFmtId="0" fontId="49" fillId="0" borderId="0" xfId="0" applyFont="1" applyAlignment="1">
      <alignment horizontal="left"/>
    </xf>
    <xf numFmtId="49" fontId="50" fillId="2" borderId="0" xfId="0" applyNumberFormat="1" applyFont="1" applyFill="1" applyAlignment="1">
      <alignment horizontal="left"/>
    </xf>
    <xf numFmtId="49" fontId="50" fillId="0" borderId="0" xfId="0" applyNumberFormat="1" applyFont="1" applyAlignment="1">
      <alignment horizontal="left"/>
    </xf>
    <xf numFmtId="4" fontId="50" fillId="2" borderId="0" xfId="0" applyNumberFormat="1" applyFont="1" applyFill="1" applyAlignment="1">
      <alignment horizontal="left"/>
    </xf>
    <xf numFmtId="0" fontId="50" fillId="2" borderId="0" xfId="0" applyFont="1" applyFill="1"/>
    <xf numFmtId="0" fontId="49" fillId="0" borderId="0" xfId="0" applyFont="1"/>
    <xf numFmtId="0" fontId="1" fillId="0" borderId="2" xfId="0" applyFont="1" applyBorder="1"/>
    <xf numFmtId="0" fontId="1" fillId="0" borderId="4" xfId="0" applyFont="1" applyBorder="1"/>
    <xf numFmtId="0" fontId="1" fillId="0" borderId="6" xfId="0" applyFont="1" applyBorder="1"/>
    <xf numFmtId="49" fontId="1" fillId="0" borderId="0" xfId="0" applyNumberFormat="1" applyFont="1"/>
    <xf numFmtId="3" fontId="35" fillId="4" borderId="43" xfId="0" applyNumberFormat="1" applyFont="1" applyFill="1" applyBorder="1" applyAlignment="1">
      <alignment horizontal="right"/>
    </xf>
    <xf numFmtId="49" fontId="18" fillId="33" borderId="3" xfId="0" applyNumberFormat="1" applyFont="1" applyFill="1" applyBorder="1" applyAlignment="1">
      <alignment horizontal="center" vertical="center" wrapText="1"/>
    </xf>
    <xf numFmtId="3" fontId="18" fillId="33" borderId="49" xfId="0" applyNumberFormat="1" applyFont="1" applyFill="1" applyBorder="1"/>
    <xf numFmtId="3" fontId="18" fillId="33" borderId="0" xfId="0" applyNumberFormat="1" applyFont="1" applyFill="1"/>
    <xf numFmtId="0" fontId="50" fillId="9" borderId="0" xfId="0" applyFont="1" applyFill="1" applyAlignment="1">
      <alignment horizontal="left"/>
    </xf>
    <xf numFmtId="0" fontId="51" fillId="2" borderId="0" xfId="0" applyFont="1" applyFill="1" applyAlignment="1">
      <alignment vertical="center" wrapText="1"/>
    </xf>
    <xf numFmtId="0" fontId="49"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applyAlignment="1">
      <alignment horizontal="left" vertical="center" indent="2"/>
    </xf>
    <xf numFmtId="176" fontId="50" fillId="0" borderId="0" xfId="0" applyNumberFormat="1" applyFont="1"/>
    <xf numFmtId="176" fontId="50" fillId="2" borderId="0" xfId="0" applyNumberFormat="1" applyFont="1" applyFill="1"/>
    <xf numFmtId="4" fontId="50" fillId="9" borderId="0" xfId="0" applyNumberFormat="1" applyFont="1" applyFill="1" applyAlignment="1">
      <alignment horizontal="left"/>
    </xf>
    <xf numFmtId="0" fontId="53" fillId="0" borderId="0" xfId="0" applyFont="1" applyAlignment="1">
      <alignment horizontal="left" vertical="center" indent="2"/>
    </xf>
    <xf numFmtId="175" fontId="50" fillId="9" borderId="0" xfId="0" applyNumberFormat="1" applyFont="1" applyFill="1" applyAlignment="1">
      <alignment horizontal="left"/>
    </xf>
    <xf numFmtId="0" fontId="47" fillId="0" borderId="0" xfId="0" applyFont="1"/>
    <xf numFmtId="0" fontId="47" fillId="2" borderId="0" xfId="0" applyFont="1" applyFill="1" applyAlignment="1">
      <alignment horizontal="justify" vertical="center"/>
    </xf>
    <xf numFmtId="49" fontId="50" fillId="9" borderId="0" xfId="0" applyNumberFormat="1" applyFont="1" applyFill="1" applyAlignment="1">
      <alignment horizontal="left"/>
    </xf>
    <xf numFmtId="177" fontId="15" fillId="0" borderId="0" xfId="0" applyNumberFormat="1" applyFont="1"/>
    <xf numFmtId="3" fontId="35" fillId="31" borderId="43" xfId="0" applyNumberFormat="1" applyFont="1" applyFill="1" applyBorder="1" applyAlignment="1">
      <alignment horizontal="right"/>
    </xf>
    <xf numFmtId="3" fontId="1" fillId="3" borderId="57" xfId="0" applyNumberFormat="1" applyFont="1" applyFill="1" applyBorder="1"/>
    <xf numFmtId="3" fontId="1" fillId="3" borderId="34" xfId="0" applyNumberFormat="1" applyFont="1" applyFill="1" applyBorder="1"/>
    <xf numFmtId="3" fontId="1" fillId="3" borderId="71" xfId="0" applyNumberFormat="1" applyFont="1" applyFill="1" applyBorder="1"/>
    <xf numFmtId="3" fontId="18" fillId="11" borderId="72" xfId="0" applyNumberFormat="1" applyFont="1" applyFill="1" applyBorder="1"/>
    <xf numFmtId="3" fontId="18" fillId="11" borderId="34" xfId="0" applyNumberFormat="1" applyFont="1" applyFill="1" applyBorder="1"/>
    <xf numFmtId="3" fontId="0" fillId="0" borderId="0" xfId="0" applyNumberFormat="1" applyAlignment="1">
      <alignment horizontal="center"/>
    </xf>
    <xf numFmtId="14" fontId="1" fillId="18" borderId="0" xfId="0" applyNumberFormat="1" applyFont="1" applyFill="1" applyAlignment="1">
      <alignment horizontal="center"/>
    </xf>
    <xf numFmtId="14" fontId="0" fillId="18" borderId="0" xfId="0" applyNumberFormat="1" applyFill="1" applyAlignment="1">
      <alignment horizontal="right"/>
    </xf>
    <xf numFmtId="0" fontId="54" fillId="0" borderId="0" xfId="0" applyFont="1" applyAlignment="1">
      <alignment vertical="center" wrapText="1"/>
    </xf>
    <xf numFmtId="14" fontId="1" fillId="0" borderId="0" xfId="0" applyNumberFormat="1" applyFont="1" applyAlignment="1">
      <alignment horizontal="right"/>
    </xf>
    <xf numFmtId="14" fontId="1" fillId="2" borderId="0" xfId="0" applyNumberFormat="1" applyFont="1" applyFill="1" applyAlignment="1">
      <alignment horizontal="right"/>
    </xf>
    <xf numFmtId="14" fontId="1" fillId="0" borderId="0" xfId="0" applyNumberFormat="1" applyFont="1" applyAlignment="1">
      <alignment horizontal="center" wrapText="1"/>
    </xf>
    <xf numFmtId="0" fontId="55" fillId="0" borderId="0" xfId="0" applyFont="1"/>
    <xf numFmtId="3" fontId="0" fillId="18" borderId="0" xfId="0" applyNumberFormat="1" applyFill="1"/>
    <xf numFmtId="0" fontId="31" fillId="0" borderId="0" xfId="0" applyFont="1" applyAlignment="1">
      <alignment horizontal="center" vertical="center"/>
    </xf>
    <xf numFmtId="0" fontId="0" fillId="0" borderId="0" xfId="0" applyAlignment="1">
      <alignment vertical="center"/>
    </xf>
    <xf numFmtId="0" fontId="30" fillId="0" borderId="17" xfId="3" applyFont="1" applyAlignment="1">
      <alignment horizontal="left" vertical="center"/>
    </xf>
    <xf numFmtId="0" fontId="30" fillId="0" borderId="0" xfId="0" applyFont="1" applyAlignment="1">
      <alignment vertical="center"/>
    </xf>
    <xf numFmtId="0" fontId="31" fillId="0" borderId="9" xfId="0" applyFont="1" applyBorder="1" applyAlignment="1">
      <alignment horizontal="center"/>
    </xf>
    <xf numFmtId="0" fontId="18" fillId="0" borderId="0" xfId="3" applyFont="1" applyBorder="1" applyAlignment="1" applyProtection="1">
      <alignment horizontal="right" vertical="center" indent="1"/>
    </xf>
    <xf numFmtId="0" fontId="9"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9" fillId="0" borderId="4" xfId="5" applyFont="1" applyBorder="1" applyAlignment="1">
      <alignment horizontal="center" wrapText="1"/>
    </xf>
    <xf numFmtId="0" fontId="30"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8" fillId="0" borderId="1" xfId="3" applyFont="1" applyBorder="1" applyAlignment="1" applyProtection="1">
      <alignment horizontal="right" vertical="center" indent="1"/>
    </xf>
    <xf numFmtId="0" fontId="9"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9" xfId="0" applyNumberFormat="1" applyFill="1" applyBorder="1" applyAlignment="1">
      <alignment horizontal="right" vertical="center"/>
    </xf>
    <xf numFmtId="170" fontId="0" fillId="18" borderId="38" xfId="0" applyNumberFormat="1" applyFill="1" applyBorder="1" applyAlignment="1">
      <alignment horizontal="right" vertical="center"/>
    </xf>
    <xf numFmtId="0" fontId="29" fillId="0" borderId="4" xfId="5" applyFont="1" applyBorder="1" applyAlignment="1">
      <alignment horizontal="left" wrapText="1"/>
    </xf>
    <xf numFmtId="0" fontId="0" fillId="0" borderId="5" xfId="0" applyBorder="1" applyAlignment="1">
      <alignment horizontal="left"/>
    </xf>
    <xf numFmtId="0" fontId="30" fillId="0" borderId="0" xfId="0" applyFont="1" applyAlignment="1">
      <alignment horizontal="right"/>
    </xf>
    <xf numFmtId="0" fontId="0" fillId="0" borderId="5" xfId="0" applyBorder="1" applyAlignment="1">
      <alignment horizontal="right"/>
    </xf>
    <xf numFmtId="0" fontId="16" fillId="17" borderId="2"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6"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6" fillId="3" borderId="9" xfId="0" applyFont="1" applyFill="1" applyBorder="1" applyAlignment="1">
      <alignment horizontal="center" wrapText="1"/>
    </xf>
    <xf numFmtId="0" fontId="16" fillId="3" borderId="1" xfId="0" applyFont="1" applyFill="1" applyBorder="1" applyAlignment="1">
      <alignment horizontal="center" wrapText="1"/>
    </xf>
    <xf numFmtId="0" fontId="16" fillId="3" borderId="6" xfId="0" applyFont="1" applyFill="1" applyBorder="1" applyAlignment="1">
      <alignment horizontal="right"/>
    </xf>
    <xf numFmtId="0" fontId="15" fillId="3" borderId="1" xfId="0" applyFont="1" applyFill="1" applyBorder="1"/>
    <xf numFmtId="164" fontId="16"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6" fillId="0" borderId="0" xfId="0" applyNumberFormat="1" applyFont="1" applyAlignment="1">
      <alignment horizontal="center" wrapText="1"/>
    </xf>
    <xf numFmtId="0" fontId="1" fillId="0" borderId="1" xfId="0" applyFont="1" applyBorder="1" applyAlignment="1">
      <alignment horizontal="center" wrapText="1"/>
    </xf>
    <xf numFmtId="0" fontId="16" fillId="3" borderId="4" xfId="0" applyFont="1" applyFill="1" applyBorder="1" applyAlignment="1">
      <alignment horizontal="right"/>
    </xf>
    <xf numFmtId="0" fontId="16" fillId="3" borderId="0" xfId="0" applyFont="1" applyFill="1" applyAlignment="1">
      <alignment horizontal="right"/>
    </xf>
    <xf numFmtId="0" fontId="16" fillId="18"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6" fillId="3" borderId="3" xfId="0" applyFont="1" applyFill="1" applyBorder="1" applyAlignment="1">
      <alignment horizontal="center" wrapText="1"/>
    </xf>
    <xf numFmtId="0" fontId="16" fillId="3" borderId="5" xfId="0" applyFont="1" applyFill="1" applyBorder="1" applyAlignment="1">
      <alignment horizontal="center" wrapText="1"/>
    </xf>
    <xf numFmtId="164" fontId="16" fillId="3" borderId="4" xfId="0" applyNumberFormat="1" applyFont="1" applyFill="1" applyBorder="1" applyAlignment="1">
      <alignment horizontal="right"/>
    </xf>
    <xf numFmtId="0" fontId="15" fillId="3" borderId="0" xfId="0" applyFont="1" applyFill="1" applyAlignment="1">
      <alignment horizontal="right"/>
    </xf>
    <xf numFmtId="164" fontId="15" fillId="17" borderId="37" xfId="0" applyNumberFormat="1" applyFont="1" applyFill="1" applyBorder="1"/>
    <xf numFmtId="164" fontId="15" fillId="17" borderId="38" xfId="0" applyNumberFormat="1" applyFont="1" applyFill="1" applyBorder="1"/>
    <xf numFmtId="3" fontId="15" fillId="0" borderId="0" xfId="0" applyNumberFormat="1" applyFont="1"/>
    <xf numFmtId="0" fontId="15" fillId="27" borderId="39" xfId="0" applyFont="1" applyFill="1" applyBorder="1" applyAlignment="1">
      <alignment horizontal="right"/>
    </xf>
    <xf numFmtId="0" fontId="0" fillId="27" borderId="39" xfId="0" applyFill="1" applyBorder="1"/>
    <xf numFmtId="0" fontId="16" fillId="0" borderId="9" xfId="0" applyFont="1" applyBorder="1" applyAlignment="1">
      <alignment horizontal="center"/>
    </xf>
    <xf numFmtId="0" fontId="16" fillId="0" borderId="37" xfId="0" applyFont="1" applyBorder="1" applyAlignment="1">
      <alignment horizontal="center"/>
    </xf>
    <xf numFmtId="0" fontId="1" fillId="0" borderId="38" xfId="0" applyFont="1" applyBorder="1" applyAlignment="1">
      <alignment horizontal="center"/>
    </xf>
    <xf numFmtId="14" fontId="16" fillId="2" borderId="37" xfId="0" applyNumberFormat="1" applyFont="1" applyFill="1" applyBorder="1" applyAlignment="1">
      <alignment horizontal="center" vertical="center"/>
    </xf>
    <xf numFmtId="0" fontId="0" fillId="2" borderId="38" xfId="0" applyFill="1" applyBorder="1" applyAlignment="1">
      <alignment vertical="center"/>
    </xf>
    <xf numFmtId="3" fontId="15" fillId="2" borderId="4" xfId="0" applyNumberFormat="1" applyFont="1" applyFill="1" applyBorder="1"/>
    <xf numFmtId="3" fontId="15" fillId="2" borderId="5" xfId="0" applyNumberFormat="1" applyFont="1" applyFill="1" applyBorder="1"/>
    <xf numFmtId="14" fontId="15" fillId="2" borderId="41" xfId="0" applyNumberFormat="1" applyFont="1" applyFill="1" applyBorder="1" applyAlignment="1">
      <alignment horizontal="center" vertical="center"/>
    </xf>
    <xf numFmtId="0" fontId="0" fillId="0" borderId="36" xfId="0" applyBorder="1" applyAlignment="1">
      <alignment horizontal="center" vertical="center"/>
    </xf>
    <xf numFmtId="164" fontId="15" fillId="0" borderId="11" xfId="0" applyNumberFormat="1" applyFont="1" applyBorder="1"/>
    <xf numFmtId="0" fontId="15" fillId="0" borderId="12" xfId="0" applyFont="1" applyBorder="1"/>
    <xf numFmtId="3" fontId="15" fillId="3" borderId="9" xfId="0" applyNumberFormat="1" applyFont="1" applyFill="1" applyBorder="1"/>
    <xf numFmtId="3" fontId="15" fillId="3" borderId="0" xfId="0" applyNumberFormat="1" applyFont="1" applyFill="1"/>
    <xf numFmtId="3" fontId="15" fillId="2" borderId="41" xfId="0" applyNumberFormat="1" applyFont="1" applyFill="1" applyBorder="1" applyAlignment="1">
      <alignment horizontal="center" vertical="center"/>
    </xf>
    <xf numFmtId="3" fontId="0" fillId="0" borderId="36" xfId="0" applyNumberFormat="1" applyBorder="1" applyAlignment="1">
      <alignment horizontal="center" vertical="center"/>
    </xf>
    <xf numFmtId="0" fontId="0" fillId="2" borderId="37" xfId="0" applyFill="1" applyBorder="1" applyAlignment="1">
      <alignment vertical="center"/>
    </xf>
    <xf numFmtId="0" fontId="0" fillId="0" borderId="38" xfId="0" applyBorder="1" applyAlignment="1">
      <alignment vertical="center"/>
    </xf>
    <xf numFmtId="164" fontId="16" fillId="0" borderId="37"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9" xfId="0" applyFont="1" applyFill="1" applyBorder="1" applyAlignment="1">
      <alignment horizontal="center"/>
    </xf>
    <xf numFmtId="0" fontId="0" fillId="0" borderId="38" xfId="0" applyBorder="1" applyAlignment="1">
      <alignment horizontal="center"/>
    </xf>
    <xf numFmtId="0" fontId="1" fillId="2" borderId="37" xfId="0" applyFont="1" applyFill="1" applyBorder="1" applyAlignment="1">
      <alignment horizontal="center"/>
    </xf>
    <xf numFmtId="0" fontId="0" fillId="0" borderId="39" xfId="0" applyBorder="1" applyAlignment="1">
      <alignment horizontal="center"/>
    </xf>
    <xf numFmtId="0" fontId="16" fillId="0" borderId="2" xfId="0" applyFont="1" applyBorder="1" applyAlignment="1">
      <alignment horizontal="center"/>
    </xf>
    <xf numFmtId="3" fontId="15" fillId="2" borderId="2" xfId="0" applyNumberFormat="1" applyFont="1" applyFill="1" applyBorder="1"/>
    <xf numFmtId="3" fontId="15" fillId="2" borderId="3" xfId="0" applyNumberFormat="1" applyFont="1" applyFill="1" applyBorder="1"/>
    <xf numFmtId="3" fontId="15" fillId="0" borderId="1" xfId="0" applyNumberFormat="1" applyFont="1" applyBorder="1"/>
    <xf numFmtId="3" fontId="15" fillId="2" borderId="32" xfId="0" applyNumberFormat="1" applyFont="1" applyFill="1" applyBorder="1"/>
    <xf numFmtId="3" fontId="15" fillId="2" borderId="33" xfId="0" applyNumberFormat="1" applyFont="1" applyFill="1" applyBorder="1"/>
    <xf numFmtId="164" fontId="15" fillId="0" borderId="1" xfId="0" applyNumberFormat="1" applyFont="1" applyBorder="1"/>
    <xf numFmtId="0" fontId="15"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5" fillId="18" borderId="41" xfId="0" applyFont="1" applyFill="1" applyBorder="1" applyAlignment="1">
      <alignment horizontal="center" vertical="center" wrapText="1"/>
    </xf>
    <xf numFmtId="0" fontId="0" fillId="18" borderId="36" xfId="0" applyFill="1" applyBorder="1" applyAlignment="1">
      <alignment horizontal="center" vertical="center" wrapText="1"/>
    </xf>
    <xf numFmtId="0" fontId="16" fillId="0" borderId="1" xfId="0" applyFont="1" applyBorder="1" applyAlignment="1">
      <alignment horizontal="center"/>
    </xf>
    <xf numFmtId="0" fontId="15" fillId="27" borderId="0" xfId="0" applyFont="1" applyFill="1" applyAlignment="1">
      <alignment horizontal="right"/>
    </xf>
    <xf numFmtId="0" fontId="0" fillId="27" borderId="0" xfId="0" applyFill="1"/>
    <xf numFmtId="0" fontId="15" fillId="3" borderId="39" xfId="0" applyFont="1" applyFill="1" applyBorder="1" applyAlignment="1">
      <alignment horizontal="right"/>
    </xf>
    <xf numFmtId="0" fontId="0" fillId="3" borderId="39" xfId="0" applyFill="1" applyBorder="1"/>
    <xf numFmtId="3" fontId="15" fillId="2" borderId="6" xfId="0" applyNumberFormat="1" applyFont="1" applyFill="1" applyBorder="1"/>
    <xf numFmtId="3" fontId="15" fillId="2" borderId="7" xfId="0" applyNumberFormat="1" applyFont="1" applyFill="1" applyBorder="1"/>
    <xf numFmtId="164" fontId="16" fillId="0" borderId="9" xfId="0" applyNumberFormat="1" applyFont="1" applyBorder="1" applyAlignment="1">
      <alignment horizontal="right"/>
    </xf>
    <xf numFmtId="0" fontId="16" fillId="0" borderId="9" xfId="0" applyFont="1" applyBorder="1" applyAlignment="1">
      <alignment horizontal="right"/>
    </xf>
    <xf numFmtId="164" fontId="15" fillId="18" borderId="6" xfId="0" applyNumberFormat="1" applyFont="1" applyFill="1" applyBorder="1"/>
    <xf numFmtId="0" fontId="15" fillId="18" borderId="7" xfId="0" applyFont="1" applyFill="1" applyBorder="1"/>
    <xf numFmtId="164" fontId="15" fillId="18" borderId="37" xfId="0" applyNumberFormat="1" applyFont="1" applyFill="1" applyBorder="1"/>
    <xf numFmtId="0" fontId="15" fillId="18" borderId="38" xfId="0" applyFont="1" applyFill="1" applyBorder="1"/>
    <xf numFmtId="164" fontId="15" fillId="0" borderId="6" xfId="0" applyNumberFormat="1" applyFont="1" applyBorder="1"/>
    <xf numFmtId="0" fontId="15" fillId="0" borderId="7" xfId="0" applyFont="1" applyBorder="1"/>
    <xf numFmtId="3" fontId="15" fillId="18" borderId="2" xfId="0" applyNumberFormat="1" applyFont="1" applyFill="1" applyBorder="1"/>
    <xf numFmtId="0" fontId="15" fillId="18" borderId="3" xfId="0" applyFont="1" applyFill="1" applyBorder="1"/>
    <xf numFmtId="164" fontId="15" fillId="2" borderId="6" xfId="0" applyNumberFormat="1" applyFont="1" applyFill="1" applyBorder="1"/>
    <xf numFmtId="0" fontId="0" fillId="2" borderId="7" xfId="0" applyFill="1" applyBorder="1"/>
    <xf numFmtId="9" fontId="15" fillId="2" borderId="37" xfId="0" applyNumberFormat="1" applyFont="1" applyFill="1" applyBorder="1" applyAlignment="1">
      <alignment horizontal="right"/>
    </xf>
    <xf numFmtId="9" fontId="0" fillId="0" borderId="39" xfId="0" applyNumberFormat="1" applyBorder="1" applyAlignment="1">
      <alignment horizontal="right"/>
    </xf>
    <xf numFmtId="164" fontId="16" fillId="3" borderId="58" xfId="0" applyNumberFormat="1" applyFont="1" applyFill="1" applyBorder="1"/>
    <xf numFmtId="0" fontId="0" fillId="0" borderId="59" xfId="0" applyBorder="1"/>
    <xf numFmtId="9" fontId="15" fillId="18" borderId="37" xfId="0" applyNumberFormat="1" applyFont="1" applyFill="1" applyBorder="1" applyAlignment="1">
      <alignment horizontal="right"/>
    </xf>
    <xf numFmtId="9" fontId="0" fillId="18" borderId="38" xfId="0" applyNumberFormat="1" applyFill="1" applyBorder="1" applyAlignment="1">
      <alignment horizontal="right"/>
    </xf>
    <xf numFmtId="0" fontId="16" fillId="0" borderId="0" xfId="0" applyFont="1" applyAlignment="1">
      <alignment horizontal="right"/>
    </xf>
    <xf numFmtId="0" fontId="15" fillId="0" borderId="0" xfId="0" applyFont="1"/>
    <xf numFmtId="164" fontId="15" fillId="18" borderId="41" xfId="0" applyNumberFormat="1" applyFont="1" applyFill="1" applyBorder="1" applyAlignment="1">
      <alignment horizontal="center" vertical="center" wrapText="1"/>
    </xf>
    <xf numFmtId="164" fontId="0" fillId="18" borderId="36" xfId="0" applyNumberFormat="1" applyFill="1" applyBorder="1" applyAlignment="1">
      <alignment horizontal="center" vertical="center" wrapText="1"/>
    </xf>
    <xf numFmtId="0" fontId="16"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30" fillId="2" borderId="6" xfId="0" applyFont="1" applyFill="1" applyBorder="1" applyAlignment="1">
      <alignment horizontal="left"/>
    </xf>
    <xf numFmtId="0" fontId="0" fillId="0" borderId="1" xfId="0" applyBorder="1" applyAlignment="1">
      <alignment horizontal="left"/>
    </xf>
    <xf numFmtId="9" fontId="15" fillId="2" borderId="41" xfId="0" applyNumberFormat="1" applyFont="1" applyFill="1" applyBorder="1" applyAlignment="1">
      <alignment horizontal="center"/>
    </xf>
    <xf numFmtId="9" fontId="0" fillId="0" borderId="36" xfId="0" applyNumberFormat="1" applyBorder="1" applyAlignment="1">
      <alignment horizontal="center"/>
    </xf>
    <xf numFmtId="0" fontId="16"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6" fillId="18" borderId="3" xfId="0" applyFont="1" applyFill="1" applyBorder="1" applyAlignment="1">
      <alignment horizontal="center" vertical="center" wrapText="1"/>
    </xf>
    <xf numFmtId="0" fontId="16" fillId="18" borderId="4" xfId="0" applyFont="1" applyFill="1" applyBorder="1" applyAlignment="1">
      <alignment horizontal="center" vertical="center" wrapText="1"/>
    </xf>
    <xf numFmtId="0" fontId="16" fillId="18" borderId="5" xfId="0" applyFont="1" applyFill="1" applyBorder="1" applyAlignment="1">
      <alignment horizontal="center" vertical="center" wrapText="1"/>
    </xf>
    <xf numFmtId="0" fontId="16" fillId="18" borderId="6" xfId="0" applyFont="1" applyFill="1" applyBorder="1" applyAlignment="1">
      <alignment horizontal="center" vertical="center" wrapText="1"/>
    </xf>
    <xf numFmtId="0" fontId="16" fillId="18" borderId="7" xfId="0" applyFont="1" applyFill="1" applyBorder="1" applyAlignment="1">
      <alignment horizontal="center" vertical="center" wrapText="1"/>
    </xf>
    <xf numFmtId="0" fontId="16" fillId="9" borderId="2" xfId="0" applyFont="1" applyFill="1" applyBorder="1" applyAlignment="1">
      <alignment horizontal="right" vertical="center" wrapText="1"/>
    </xf>
    <xf numFmtId="0" fontId="15" fillId="9" borderId="6" xfId="0" applyFont="1" applyFill="1" applyBorder="1" applyAlignment="1">
      <alignment horizontal="right" vertical="center" wrapText="1"/>
    </xf>
    <xf numFmtId="164" fontId="16" fillId="0" borderId="0" xfId="0" applyNumberFormat="1" applyFont="1" applyAlignment="1">
      <alignment horizontal="right"/>
    </xf>
    <xf numFmtId="0" fontId="15" fillId="18" borderId="37" xfId="0" applyFont="1" applyFill="1" applyBorder="1" applyAlignment="1">
      <alignment horizontal="left"/>
    </xf>
    <xf numFmtId="0" fontId="0" fillId="0" borderId="38" xfId="0" applyBorder="1" applyAlignment="1">
      <alignment horizontal="left"/>
    </xf>
    <xf numFmtId="14" fontId="15" fillId="2" borderId="37" xfId="0" applyNumberFormat="1" applyFont="1" applyFill="1" applyBorder="1" applyAlignment="1">
      <alignment horizontal="center" vertical="center"/>
    </xf>
    <xf numFmtId="3" fontId="15" fillId="18" borderId="37" xfId="0" applyNumberFormat="1" applyFont="1" applyFill="1" applyBorder="1"/>
    <xf numFmtId="0" fontId="0" fillId="18" borderId="38" xfId="0" applyFill="1" applyBorder="1"/>
    <xf numFmtId="0" fontId="15" fillId="2" borderId="1" xfId="0" applyFont="1" applyFill="1" applyBorder="1"/>
    <xf numFmtId="164" fontId="15" fillId="2" borderId="4" xfId="0" applyNumberFormat="1" applyFont="1" applyFill="1" applyBorder="1"/>
    <xf numFmtId="0" fontId="15" fillId="2" borderId="7" xfId="0" applyFont="1" applyFill="1" applyBorder="1"/>
    <xf numFmtId="0" fontId="16" fillId="0" borderId="9" xfId="0" applyFont="1" applyBorder="1" applyAlignment="1">
      <alignment horizontal="center" wrapText="1"/>
    </xf>
    <xf numFmtId="0" fontId="15" fillId="0" borderId="3" xfId="0" applyFont="1" applyBorder="1"/>
    <xf numFmtId="164" fontId="15" fillId="2" borderId="2" xfId="0" applyNumberFormat="1" applyFont="1" applyFill="1" applyBorder="1"/>
    <xf numFmtId="0" fontId="15" fillId="2" borderId="9" xfId="0" applyFont="1" applyFill="1" applyBorder="1"/>
    <xf numFmtId="164" fontId="15" fillId="18" borderId="0" xfId="0" applyNumberFormat="1" applyFont="1" applyFill="1"/>
    <xf numFmtId="0" fontId="15" fillId="18" borderId="0" xfId="0" applyFont="1" applyFill="1"/>
    <xf numFmtId="3" fontId="0" fillId="0" borderId="0" xfId="0" applyNumberFormat="1" applyAlignment="1">
      <alignment horizontal="right"/>
    </xf>
    <xf numFmtId="3" fontId="1" fillId="0" borderId="37"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3" fontId="0" fillId="0" borderId="37" xfId="0" applyNumberFormat="1" applyBorder="1" applyAlignment="1">
      <alignment horizontal="right"/>
    </xf>
    <xf numFmtId="3" fontId="0" fillId="0" borderId="38" xfId="0" applyNumberFormat="1" applyBorder="1" applyAlignment="1">
      <alignment horizontal="right"/>
    </xf>
    <xf numFmtId="4" fontId="1" fillId="0" borderId="37" xfId="0" applyNumberFormat="1" applyFont="1" applyBorder="1" applyAlignment="1">
      <alignment horizontal="center"/>
    </xf>
    <xf numFmtId="4" fontId="1" fillId="0" borderId="39" xfId="0" applyNumberFormat="1" applyFont="1" applyBorder="1" applyAlignment="1">
      <alignment horizontal="center"/>
    </xf>
    <xf numFmtId="4" fontId="0" fillId="0" borderId="39" xfId="0" applyNumberFormat="1" applyBorder="1"/>
    <xf numFmtId="4" fontId="0" fillId="0" borderId="38" xfId="0" applyNumberFormat="1" applyBorder="1"/>
    <xf numFmtId="3" fontId="0" fillId="18" borderId="37" xfId="0" applyNumberFormat="1" applyFill="1" applyBorder="1" applyAlignment="1">
      <alignment horizontal="center" vertical="center"/>
    </xf>
    <xf numFmtId="0" fontId="0" fillId="18" borderId="39" xfId="0" applyFill="1" applyBorder="1" applyAlignment="1">
      <alignment horizontal="center" vertical="center"/>
    </xf>
    <xf numFmtId="0" fontId="0" fillId="18" borderId="38" xfId="0" applyFill="1" applyBorder="1" applyAlignment="1">
      <alignment horizontal="center" vertical="center"/>
    </xf>
    <xf numFmtId="0" fontId="0" fillId="18" borderId="39"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6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18" fillId="23" borderId="37" xfId="0" applyFont="1" applyFill="1" applyBorder="1" applyAlignment="1">
      <alignment horizontal="center" wrapText="1"/>
    </xf>
    <xf numFmtId="0" fontId="0" fillId="0" borderId="38" xfId="0" applyBorder="1" applyAlignment="1">
      <alignment wrapText="1"/>
    </xf>
    <xf numFmtId="174" fontId="18" fillId="24" borderId="37" xfId="0" applyNumberFormat="1" applyFont="1" applyFill="1" applyBorder="1" applyAlignment="1">
      <alignment horizontal="center"/>
    </xf>
    <xf numFmtId="164" fontId="18" fillId="24" borderId="4" xfId="0" applyNumberFormat="1" applyFont="1" applyFill="1" applyBorder="1"/>
    <xf numFmtId="3" fontId="18" fillId="25" borderId="68" xfId="0" applyNumberFormat="1" applyFont="1" applyFill="1" applyBorder="1"/>
    <xf numFmtId="0" fontId="0" fillId="0" borderId="69" xfId="0" applyBorder="1"/>
    <xf numFmtId="164" fontId="1" fillId="18" borderId="39" xfId="0" applyNumberFormat="1" applyFont="1" applyFill="1" applyBorder="1"/>
    <xf numFmtId="0" fontId="0" fillId="0" borderId="38" xfId="0" applyBorder="1"/>
    <xf numFmtId="164" fontId="18" fillId="23" borderId="9" xfId="0" applyNumberFormat="1" applyFont="1" applyFill="1" applyBorder="1"/>
    <xf numFmtId="0" fontId="18" fillId="23" borderId="3" xfId="0" applyFont="1" applyFill="1" applyBorder="1"/>
    <xf numFmtId="0" fontId="0" fillId="0" borderId="70" xfId="0" applyBorder="1"/>
    <xf numFmtId="0" fontId="9" fillId="32" borderId="51" xfId="0" applyFont="1" applyFill="1" applyBorder="1"/>
    <xf numFmtId="0" fontId="9" fillId="32" borderId="8" xfId="0" applyFont="1" applyFill="1" applyBorder="1"/>
    <xf numFmtId="164" fontId="18" fillId="24" borderId="39" xfId="0" applyNumberFormat="1" applyFont="1" applyFill="1" applyBorder="1"/>
    <xf numFmtId="164" fontId="18" fillId="24" borderId="38" xfId="0" applyNumberFormat="1" applyFont="1" applyFill="1" applyBorder="1"/>
    <xf numFmtId="0" fontId="1" fillId="18" borderId="37" xfId="0" applyFont="1" applyFill="1" applyBorder="1" applyAlignment="1">
      <alignment horizontal="center" vertical="center" wrapText="1"/>
    </xf>
    <xf numFmtId="0" fontId="0" fillId="0" borderId="39" xfId="0" applyBorder="1"/>
    <xf numFmtId="0" fontId="18" fillId="22" borderId="6" xfId="0" applyFont="1" applyFill="1" applyBorder="1" applyAlignment="1">
      <alignment horizontal="center"/>
    </xf>
    <xf numFmtId="0" fontId="9" fillId="22" borderId="1" xfId="0" applyFont="1" applyFill="1" applyBorder="1" applyAlignment="1">
      <alignment horizontal="center"/>
    </xf>
    <xf numFmtId="0" fontId="9" fillId="22" borderId="7" xfId="0" applyFont="1" applyFill="1" applyBorder="1" applyAlignment="1">
      <alignment horizontal="center"/>
    </xf>
    <xf numFmtId="0" fontId="1" fillId="0" borderId="40" xfId="0" applyFont="1" applyBorder="1" applyAlignment="1">
      <alignment horizontal="center" vertical="center" wrapText="1"/>
    </xf>
    <xf numFmtId="0" fontId="0" fillId="0" borderId="40" xfId="0" applyBorder="1" applyAlignment="1">
      <alignment horizontal="center" vertical="center" wrapText="1"/>
    </xf>
    <xf numFmtId="0" fontId="1" fillId="18" borderId="6" xfId="0" applyFont="1" applyFill="1" applyBorder="1" applyAlignment="1">
      <alignment horizontal="center" vertical="center" wrapText="1"/>
    </xf>
    <xf numFmtId="164" fontId="18" fillId="22" borderId="37" xfId="0" applyNumberFormat="1" applyFont="1" applyFill="1" applyBorder="1" applyAlignment="1">
      <alignment horizontal="center"/>
    </xf>
    <xf numFmtId="0" fontId="18" fillId="22" borderId="39" xfId="0" applyFont="1" applyFill="1" applyBorder="1" applyAlignment="1">
      <alignment horizontal="center"/>
    </xf>
    <xf numFmtId="0" fontId="18" fillId="22" borderId="38" xfId="0" applyFont="1" applyFill="1" applyBorder="1" applyAlignment="1">
      <alignment horizontal="center"/>
    </xf>
    <xf numFmtId="49" fontId="18" fillId="32" borderId="37" xfId="0" quotePrefix="1" applyNumberFormat="1" applyFont="1" applyFill="1" applyBorder="1" applyAlignment="1">
      <alignment horizontal="center" wrapText="1"/>
    </xf>
    <xf numFmtId="0" fontId="9" fillId="32" borderId="38" xfId="0" applyFont="1" applyFill="1" applyBorder="1" applyAlignment="1">
      <alignment horizontal="center" wrapText="1"/>
    </xf>
    <xf numFmtId="3" fontId="18" fillId="11" borderId="37" xfId="0" applyNumberFormat="1" applyFont="1" applyFill="1" applyBorder="1" applyAlignment="1">
      <alignment horizontal="center"/>
    </xf>
    <xf numFmtId="3" fontId="18" fillId="11" borderId="39" xfId="0" applyNumberFormat="1" applyFont="1" applyFill="1" applyBorder="1" applyAlignment="1">
      <alignment horizontal="center"/>
    </xf>
    <xf numFmtId="3" fontId="13" fillId="3" borderId="37" xfId="0" applyNumberFormat="1" applyFont="1" applyFill="1" applyBorder="1" applyAlignment="1">
      <alignment horizontal="center"/>
    </xf>
    <xf numFmtId="3" fontId="13" fillId="3" borderId="39" xfId="0" applyNumberFormat="1" applyFont="1" applyFill="1" applyBorder="1" applyAlignment="1">
      <alignment horizontal="center"/>
    </xf>
    <xf numFmtId="3" fontId="13" fillId="22" borderId="37" xfId="0" applyNumberFormat="1" applyFont="1" applyFill="1" applyBorder="1" applyAlignment="1">
      <alignment horizontal="center"/>
    </xf>
    <xf numFmtId="3" fontId="13" fillId="22" borderId="39" xfId="0" applyNumberFormat="1" applyFont="1" applyFill="1" applyBorder="1" applyAlignment="1">
      <alignment horizontal="center"/>
    </xf>
    <xf numFmtId="0" fontId="9" fillId="0" borderId="39" xfId="0" applyFont="1" applyBorder="1"/>
    <xf numFmtId="0" fontId="9" fillId="0" borderId="38" xfId="0" applyFont="1" applyBorder="1"/>
    <xf numFmtId="164" fontId="1" fillId="18" borderId="9" xfId="0" applyNumberFormat="1" applyFont="1" applyFill="1" applyBorder="1"/>
    <xf numFmtId="0" fontId="1" fillId="18" borderId="2" xfId="0" applyFont="1" applyFill="1" applyBorder="1" applyAlignment="1">
      <alignment horizontal="right"/>
    </xf>
    <xf numFmtId="0" fontId="0" fillId="0" borderId="9" xfId="0" applyBorder="1"/>
    <xf numFmtId="0" fontId="1" fillId="18" borderId="37" xfId="0" applyFont="1" applyFill="1" applyBorder="1" applyAlignment="1">
      <alignment horizontal="right"/>
    </xf>
    <xf numFmtId="3" fontId="18" fillId="33" borderId="37" xfId="0" applyNumberFormat="1" applyFont="1" applyFill="1" applyBorder="1" applyAlignment="1">
      <alignment horizontal="center"/>
    </xf>
    <xf numFmtId="3" fontId="18" fillId="33" borderId="39" xfId="0" applyNumberFormat="1" applyFont="1" applyFill="1" applyBorder="1" applyAlignment="1">
      <alignment horizontal="center"/>
    </xf>
    <xf numFmtId="0" fontId="9" fillId="33" borderId="39" xfId="0" applyFont="1" applyFill="1" applyBorder="1" applyAlignment="1">
      <alignment horizontal="center"/>
    </xf>
    <xf numFmtId="0" fontId="9" fillId="33" borderId="38" xfId="0" applyFont="1" applyFill="1" applyBorder="1" applyAlignment="1">
      <alignment horizontal="center"/>
    </xf>
    <xf numFmtId="3" fontId="18" fillId="32" borderId="37" xfId="0" applyNumberFormat="1" applyFont="1" applyFill="1" applyBorder="1" applyAlignment="1">
      <alignment horizontal="center"/>
    </xf>
    <xf numFmtId="3" fontId="18" fillId="32" borderId="39" xfId="0" applyNumberFormat="1" applyFont="1" applyFill="1" applyBorder="1" applyAlignment="1">
      <alignment horizontal="center"/>
    </xf>
    <xf numFmtId="0" fontId="0" fillId="32" borderId="39" xfId="0" applyFill="1" applyBorder="1"/>
    <xf numFmtId="0" fontId="0" fillId="32" borderId="38" xfId="0" applyFill="1" applyBorder="1"/>
    <xf numFmtId="0" fontId="0" fillId="0" borderId="38" xfId="0" applyBorder="1" applyAlignment="1">
      <alignment horizontal="center" wrapText="1"/>
    </xf>
    <xf numFmtId="3" fontId="1" fillId="18" borderId="4" xfId="0" applyNumberFormat="1" applyFont="1" applyFill="1" applyBorder="1"/>
    <xf numFmtId="3" fontId="1" fillId="18" borderId="0" xfId="0" applyNumberFormat="1" applyFont="1" applyFill="1"/>
    <xf numFmtId="0" fontId="4" fillId="3" borderId="39" xfId="0" applyFont="1" applyFill="1" applyBorder="1" applyAlignment="1">
      <alignment horizontal="center"/>
    </xf>
    <xf numFmtId="0" fontId="4" fillId="3" borderId="38" xfId="0" applyFont="1" applyFill="1" applyBorder="1" applyAlignment="1">
      <alignment horizontal="center"/>
    </xf>
    <xf numFmtId="164" fontId="1" fillId="18" borderId="38" xfId="0" applyNumberFormat="1" applyFont="1" applyFill="1" applyBorder="1"/>
    <xf numFmtId="3" fontId="13" fillId="3" borderId="38" xfId="0" applyNumberFormat="1" applyFont="1" applyFill="1" applyBorder="1" applyAlignment="1">
      <alignment horizontal="center"/>
    </xf>
    <xf numFmtId="0" fontId="1" fillId="18" borderId="38" xfId="0" applyFont="1" applyFill="1" applyBorder="1" applyAlignment="1">
      <alignment horizontal="center" vertical="center" wrapText="1"/>
    </xf>
    <xf numFmtId="3" fontId="18" fillId="11" borderId="38" xfId="0" applyNumberFormat="1" applyFont="1" applyFill="1" applyBorder="1" applyAlignment="1">
      <alignment horizontal="center"/>
    </xf>
    <xf numFmtId="0" fontId="1" fillId="0" borderId="37" xfId="0" applyFont="1" applyBorder="1" applyAlignment="1">
      <alignment horizontal="center" wrapText="1"/>
    </xf>
    <xf numFmtId="0" fontId="1" fillId="0" borderId="39" xfId="0" applyFont="1" applyBorder="1" applyAlignment="1">
      <alignment horizontal="center" wrapText="1"/>
    </xf>
    <xf numFmtId="0" fontId="1" fillId="0" borderId="38" xfId="0" applyFont="1" applyBorder="1" applyAlignment="1">
      <alignment horizontal="center" wrapText="1"/>
    </xf>
    <xf numFmtId="0" fontId="0" fillId="0" borderId="3" xfId="0" applyBorder="1" applyAlignment="1">
      <alignment horizontal="center" wrapText="1"/>
    </xf>
    <xf numFmtId="0" fontId="0" fillId="0" borderId="5" xfId="0" applyBorder="1" applyAlignment="1">
      <alignment horizontal="center" wrapText="1"/>
    </xf>
    <xf numFmtId="49" fontId="28"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8"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8"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8"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30" fillId="15" borderId="21" xfId="0" applyFont="1" applyFill="1" applyBorder="1" applyAlignment="1" applyProtection="1">
      <alignment horizontal="center" vertical="center" wrapText="1"/>
      <protection locked="0"/>
    </xf>
    <xf numFmtId="0" fontId="33" fillId="0" borderId="22" xfId="0" applyFont="1" applyBorder="1" applyAlignment="1" applyProtection="1">
      <alignment vertical="center" wrapText="1"/>
      <protection locked="0"/>
    </xf>
    <xf numFmtId="0" fontId="33" fillId="0" borderId="23" xfId="0" applyFont="1" applyBorder="1" applyAlignment="1" applyProtection="1">
      <alignment vertical="center" wrapText="1"/>
      <protection locked="0"/>
    </xf>
    <xf numFmtId="0" fontId="30" fillId="15" borderId="27" xfId="0" applyFont="1" applyFill="1" applyBorder="1" applyAlignment="1" applyProtection="1">
      <alignment horizontal="center" vertical="center" wrapText="1"/>
      <protection locked="0"/>
    </xf>
    <xf numFmtId="0" fontId="33" fillId="0" borderId="0" xfId="0" applyFont="1" applyAlignment="1" applyProtection="1">
      <alignment vertical="center" wrapText="1"/>
      <protection locked="0"/>
    </xf>
    <xf numFmtId="0" fontId="33" fillId="0" borderId="28" xfId="0" applyFont="1" applyBorder="1" applyAlignment="1" applyProtection="1">
      <alignment vertical="center" wrapText="1"/>
      <protection locked="0"/>
    </xf>
    <xf numFmtId="0" fontId="33" fillId="0" borderId="24" xfId="0" applyFont="1" applyBorder="1" applyAlignment="1" applyProtection="1">
      <alignment vertical="center" wrapText="1"/>
      <protection locked="0"/>
    </xf>
    <xf numFmtId="0" fontId="33" fillId="0" borderId="25" xfId="0" applyFont="1" applyBorder="1" applyAlignment="1" applyProtection="1">
      <alignment vertical="center" wrapText="1"/>
      <protection locked="0"/>
    </xf>
    <xf numFmtId="0" fontId="33" fillId="0" borderId="26" xfId="0" applyFont="1" applyBorder="1" applyAlignment="1" applyProtection="1">
      <alignment vertical="center" wrapText="1"/>
      <protection locked="0"/>
    </xf>
    <xf numFmtId="0" fontId="30"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6" fillId="18" borderId="41" xfId="0" applyFont="1" applyFill="1" applyBorder="1" applyAlignment="1">
      <alignment horizontal="center" vertical="center" wrapText="1"/>
    </xf>
    <xf numFmtId="0" fontId="1" fillId="18" borderId="36" xfId="0" applyFont="1" applyFill="1" applyBorder="1" applyAlignment="1">
      <alignment horizontal="center" vertical="center" wrapText="1"/>
    </xf>
    <xf numFmtId="0" fontId="16" fillId="2" borderId="41"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6" fillId="2" borderId="41"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6" xfId="0" applyFont="1" applyFill="1" applyBorder="1" applyAlignment="1">
      <alignment horizontal="center" vertical="center" wrapText="1"/>
      <extLst>
        <ext xmlns:xfpb="http://schemas.microsoft.com/office/spreadsheetml/2022/featurepropertybag" uri="{C7286773-470A-42A8-94C5-96B5CB345126}">
          <xfpb:xfComplement i="0"/>
        </ext>
      </extLst>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87">
    <dxf>
      <numFmt numFmtId="3" formatCode="#,##0"/>
    </dxf>
    <dxf>
      <numFmt numFmtId="167" formatCode="m/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86"/>
      <tableStyleElement type="headerRow" dxfId="85"/>
      <tableStyleElement type="firstRowStripe" dxfId="84"/>
    </tableStyle>
    <tableStyle name="Gantt Table Style 2" pivot="0" count="3" xr9:uid="{188EAD57-0217-4B5E-8A07-C858B28862F4}">
      <tableStyleElement type="wholeTable" dxfId="83"/>
      <tableStyleElement type="headerRow" dxfId="82"/>
      <tableStyleElement type="firstRowStripe" dxfId="8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1.xml"/><Relationship Id="rId21" Type="http://schemas.openxmlformats.org/officeDocument/2006/relationships/worksheet" Target="worksheets/sheet21.xml"/><Relationship Id="rId34" Type="http://schemas.openxmlformats.org/officeDocument/2006/relationships/externalLink" Target="externalLinks/externalLink6.xml"/><Relationship Id="rId42" Type="http://schemas.openxmlformats.org/officeDocument/2006/relationships/styles" Target="styles.xml"/><Relationship Id="rId47" Type="http://schemas.openxmlformats.org/officeDocument/2006/relationships/calcChain" Target="calcChain.xml"/><Relationship Id="rId50" Type="http://schemas.openxmlformats.org/officeDocument/2006/relationships/customXml" Target="../customXml/item3.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externalLink" Target="externalLinks/externalLink9.xml"/><Relationship Id="rId40" Type="http://schemas.openxmlformats.org/officeDocument/2006/relationships/theme" Target="theme/theme1.xml"/><Relationship Id="rId45" Type="http://schemas.openxmlformats.org/officeDocument/2006/relationships/powerPivotData" Target="model/item.data"/><Relationship Id="rId53" Type="http://schemas.openxmlformats.org/officeDocument/2006/relationships/customXml" Target="../customXml/item6.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4" Type="http://schemas.openxmlformats.org/officeDocument/2006/relationships/sheetMetadata" Target="metadata.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externalLink" Target="externalLinks/externalLink7.xml"/><Relationship Id="rId43" Type="http://schemas.openxmlformats.org/officeDocument/2006/relationships/sharedStrings" Target="sharedString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5.xml"/><Relationship Id="rId38" Type="http://schemas.openxmlformats.org/officeDocument/2006/relationships/externalLink" Target="externalLinks/externalLink10.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openxmlformats.org/officeDocument/2006/relationships/connections" Target="connections.xml"/><Relationship Id="rId54"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8.xml"/><Relationship Id="rId49" Type="http://schemas.openxmlformats.org/officeDocument/2006/relationships/customXml" Target="../customXml/item2.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AB$24" horiz="1" max="365" page="0" val="0"/>
</file>

<file path=xl/drawings/_rels/drawing3.xml.rels><?xml version="1.0" encoding="UTF-8" standalone="yes"?>
<Relationships xmlns="http://schemas.openxmlformats.org/package/2006/relationships"><Relationship Id="rId26" Type="http://schemas.openxmlformats.org/officeDocument/2006/relationships/customXml" Target="../ink/ink21.xml"/><Relationship Id="rId21" Type="http://schemas.openxmlformats.org/officeDocument/2006/relationships/customXml" Target="../ink/ink16.xml"/><Relationship Id="rId42" Type="http://schemas.openxmlformats.org/officeDocument/2006/relationships/customXml" Target="../ink/ink37.xml"/><Relationship Id="rId47" Type="http://schemas.openxmlformats.org/officeDocument/2006/relationships/customXml" Target="../ink/ink42.xml"/><Relationship Id="rId63" Type="http://schemas.openxmlformats.org/officeDocument/2006/relationships/customXml" Target="../ink/ink58.xml"/><Relationship Id="rId68" Type="http://schemas.openxmlformats.org/officeDocument/2006/relationships/customXml" Target="../ink/ink63.xml"/><Relationship Id="rId84" Type="http://schemas.openxmlformats.org/officeDocument/2006/relationships/customXml" Target="../ink/ink79.xml"/><Relationship Id="rId89" Type="http://schemas.openxmlformats.org/officeDocument/2006/relationships/customXml" Target="../ink/ink84.xml"/><Relationship Id="rId16" Type="http://schemas.openxmlformats.org/officeDocument/2006/relationships/customXml" Target="../ink/ink12.xml"/><Relationship Id="rId107" Type="http://schemas.openxmlformats.org/officeDocument/2006/relationships/customXml" Target="../ink/ink102.xml"/><Relationship Id="rId11" Type="http://schemas.openxmlformats.org/officeDocument/2006/relationships/image" Target="../media/image10.png"/><Relationship Id="rId32" Type="http://schemas.openxmlformats.org/officeDocument/2006/relationships/customXml" Target="../ink/ink27.xml"/><Relationship Id="rId37" Type="http://schemas.openxmlformats.org/officeDocument/2006/relationships/customXml" Target="../ink/ink32.xml"/><Relationship Id="rId53" Type="http://schemas.openxmlformats.org/officeDocument/2006/relationships/customXml" Target="../ink/ink48.xml"/><Relationship Id="rId58" Type="http://schemas.openxmlformats.org/officeDocument/2006/relationships/customXml" Target="../ink/ink53.xml"/><Relationship Id="rId74" Type="http://schemas.openxmlformats.org/officeDocument/2006/relationships/customXml" Target="../ink/ink69.xml"/><Relationship Id="rId79" Type="http://schemas.openxmlformats.org/officeDocument/2006/relationships/customXml" Target="../ink/ink74.xml"/><Relationship Id="rId102" Type="http://schemas.openxmlformats.org/officeDocument/2006/relationships/customXml" Target="../ink/ink97.xml"/><Relationship Id="rId5" Type="http://schemas.openxmlformats.org/officeDocument/2006/relationships/customXml" Target="../ink/ink4.xml"/><Relationship Id="rId90" Type="http://schemas.openxmlformats.org/officeDocument/2006/relationships/customXml" Target="../ink/ink85.xml"/><Relationship Id="rId95" Type="http://schemas.openxmlformats.org/officeDocument/2006/relationships/customXml" Target="../ink/ink90.xml"/><Relationship Id="rId22" Type="http://schemas.openxmlformats.org/officeDocument/2006/relationships/customXml" Target="../ink/ink17.xml"/><Relationship Id="rId27" Type="http://schemas.openxmlformats.org/officeDocument/2006/relationships/customXml" Target="../ink/ink22.xml"/><Relationship Id="rId43" Type="http://schemas.openxmlformats.org/officeDocument/2006/relationships/customXml" Target="../ink/ink38.xml"/><Relationship Id="rId48" Type="http://schemas.openxmlformats.org/officeDocument/2006/relationships/customXml" Target="../ink/ink43.xml"/><Relationship Id="rId64" Type="http://schemas.openxmlformats.org/officeDocument/2006/relationships/customXml" Target="../ink/ink59.xml"/><Relationship Id="rId69" Type="http://schemas.openxmlformats.org/officeDocument/2006/relationships/customXml" Target="../ink/ink64.xml"/><Relationship Id="rId80" Type="http://schemas.openxmlformats.org/officeDocument/2006/relationships/customXml" Target="../ink/ink75.xml"/><Relationship Id="rId85" Type="http://schemas.openxmlformats.org/officeDocument/2006/relationships/customXml" Target="../ink/ink80.xml"/><Relationship Id="rId12" Type="http://schemas.openxmlformats.org/officeDocument/2006/relationships/customXml" Target="../ink/ink9.xml"/><Relationship Id="rId17" Type="http://schemas.openxmlformats.org/officeDocument/2006/relationships/customXml" Target="../ink/ink13.xml"/><Relationship Id="rId33" Type="http://schemas.openxmlformats.org/officeDocument/2006/relationships/customXml" Target="../ink/ink28.xml"/><Relationship Id="rId38" Type="http://schemas.openxmlformats.org/officeDocument/2006/relationships/customXml" Target="../ink/ink33.xml"/><Relationship Id="rId59" Type="http://schemas.openxmlformats.org/officeDocument/2006/relationships/customXml" Target="../ink/ink54.xml"/><Relationship Id="rId103" Type="http://schemas.openxmlformats.org/officeDocument/2006/relationships/customXml" Target="../ink/ink98.xml"/><Relationship Id="rId108" Type="http://schemas.openxmlformats.org/officeDocument/2006/relationships/customXml" Target="../ink/ink103.xml"/><Relationship Id="rId20" Type="http://schemas.openxmlformats.org/officeDocument/2006/relationships/customXml" Target="../ink/ink15.xml"/><Relationship Id="rId41" Type="http://schemas.openxmlformats.org/officeDocument/2006/relationships/customXml" Target="../ink/ink36.xml"/><Relationship Id="rId54" Type="http://schemas.openxmlformats.org/officeDocument/2006/relationships/customXml" Target="../ink/ink49.xml"/><Relationship Id="rId62" Type="http://schemas.openxmlformats.org/officeDocument/2006/relationships/customXml" Target="../ink/ink57.xml"/><Relationship Id="rId70" Type="http://schemas.openxmlformats.org/officeDocument/2006/relationships/customXml" Target="../ink/ink65.xml"/><Relationship Id="rId75" Type="http://schemas.openxmlformats.org/officeDocument/2006/relationships/customXml" Target="../ink/ink70.xml"/><Relationship Id="rId83" Type="http://schemas.openxmlformats.org/officeDocument/2006/relationships/customXml" Target="../ink/ink78.xml"/><Relationship Id="rId88" Type="http://schemas.openxmlformats.org/officeDocument/2006/relationships/customXml" Target="../ink/ink83.xml"/><Relationship Id="rId91" Type="http://schemas.openxmlformats.org/officeDocument/2006/relationships/customXml" Target="../ink/ink86.xml"/><Relationship Id="rId96" Type="http://schemas.openxmlformats.org/officeDocument/2006/relationships/customXml" Target="../ink/ink91.xml"/><Relationship Id="rId1" Type="http://schemas.openxmlformats.org/officeDocument/2006/relationships/customXml" Target="../ink/ink1.xml"/><Relationship Id="rId6" Type="http://schemas.openxmlformats.org/officeDocument/2006/relationships/customXml" Target="../ink/ink5.xml"/><Relationship Id="rId15" Type="http://schemas.openxmlformats.org/officeDocument/2006/relationships/image" Target="../media/image110.png"/><Relationship Id="rId23" Type="http://schemas.openxmlformats.org/officeDocument/2006/relationships/customXml" Target="../ink/ink18.xml"/><Relationship Id="rId28" Type="http://schemas.openxmlformats.org/officeDocument/2006/relationships/customXml" Target="../ink/ink23.xml"/><Relationship Id="rId36" Type="http://schemas.openxmlformats.org/officeDocument/2006/relationships/customXml" Target="../ink/ink31.xml"/><Relationship Id="rId49" Type="http://schemas.openxmlformats.org/officeDocument/2006/relationships/customXml" Target="../ink/ink44.xml"/><Relationship Id="rId57" Type="http://schemas.openxmlformats.org/officeDocument/2006/relationships/customXml" Target="../ink/ink52.xml"/><Relationship Id="rId106" Type="http://schemas.openxmlformats.org/officeDocument/2006/relationships/customXml" Target="../ink/ink101.xml"/><Relationship Id="rId10" Type="http://schemas.openxmlformats.org/officeDocument/2006/relationships/customXml" Target="../ink/ink8.xml"/><Relationship Id="rId31" Type="http://schemas.openxmlformats.org/officeDocument/2006/relationships/customXml" Target="../ink/ink26.xml"/><Relationship Id="rId44" Type="http://schemas.openxmlformats.org/officeDocument/2006/relationships/customXml" Target="../ink/ink39.xml"/><Relationship Id="rId52" Type="http://schemas.openxmlformats.org/officeDocument/2006/relationships/customXml" Target="../ink/ink47.xml"/><Relationship Id="rId60" Type="http://schemas.openxmlformats.org/officeDocument/2006/relationships/customXml" Target="../ink/ink55.xml"/><Relationship Id="rId65" Type="http://schemas.openxmlformats.org/officeDocument/2006/relationships/customXml" Target="../ink/ink60.xml"/><Relationship Id="rId73" Type="http://schemas.openxmlformats.org/officeDocument/2006/relationships/customXml" Target="../ink/ink68.xml"/><Relationship Id="rId78" Type="http://schemas.openxmlformats.org/officeDocument/2006/relationships/customXml" Target="../ink/ink73.xml"/><Relationship Id="rId81" Type="http://schemas.openxmlformats.org/officeDocument/2006/relationships/customXml" Target="../ink/ink76.xml"/><Relationship Id="rId86" Type="http://schemas.openxmlformats.org/officeDocument/2006/relationships/customXml" Target="../ink/ink81.xml"/><Relationship Id="rId94" Type="http://schemas.openxmlformats.org/officeDocument/2006/relationships/customXml" Target="../ink/ink89.xml"/><Relationship Id="rId99" Type="http://schemas.openxmlformats.org/officeDocument/2006/relationships/customXml" Target="../ink/ink94.xml"/><Relationship Id="rId101" Type="http://schemas.openxmlformats.org/officeDocument/2006/relationships/customXml" Target="../ink/ink96.xml"/><Relationship Id="rId4" Type="http://schemas.openxmlformats.org/officeDocument/2006/relationships/customXml" Target="../ink/ink3.xml"/><Relationship Id="rId9" Type="http://schemas.openxmlformats.org/officeDocument/2006/relationships/customXml" Target="../ink/ink7.xml"/><Relationship Id="rId13" Type="http://schemas.openxmlformats.org/officeDocument/2006/relationships/customXml" Target="../ink/ink10.xml"/><Relationship Id="rId18" Type="http://schemas.openxmlformats.org/officeDocument/2006/relationships/image" Target="../media/image100.png"/><Relationship Id="rId39" Type="http://schemas.openxmlformats.org/officeDocument/2006/relationships/customXml" Target="../ink/ink34.xml"/><Relationship Id="rId34" Type="http://schemas.openxmlformats.org/officeDocument/2006/relationships/customXml" Target="../ink/ink29.xml"/><Relationship Id="rId50" Type="http://schemas.openxmlformats.org/officeDocument/2006/relationships/customXml" Target="../ink/ink45.xml"/><Relationship Id="rId55" Type="http://schemas.openxmlformats.org/officeDocument/2006/relationships/customXml" Target="../ink/ink50.xml"/><Relationship Id="rId76" Type="http://schemas.openxmlformats.org/officeDocument/2006/relationships/customXml" Target="../ink/ink71.xml"/><Relationship Id="rId97" Type="http://schemas.openxmlformats.org/officeDocument/2006/relationships/customXml" Target="../ink/ink92.xml"/><Relationship Id="rId104" Type="http://schemas.openxmlformats.org/officeDocument/2006/relationships/customXml" Target="../ink/ink99.xml"/><Relationship Id="rId7" Type="http://schemas.openxmlformats.org/officeDocument/2006/relationships/customXml" Target="../ink/ink6.xml"/><Relationship Id="rId71" Type="http://schemas.openxmlformats.org/officeDocument/2006/relationships/customXml" Target="../ink/ink66.xml"/><Relationship Id="rId92" Type="http://schemas.openxmlformats.org/officeDocument/2006/relationships/customXml" Target="../ink/ink87.xml"/><Relationship Id="rId2" Type="http://schemas.openxmlformats.org/officeDocument/2006/relationships/image" Target="../media/image1.png"/><Relationship Id="rId29" Type="http://schemas.openxmlformats.org/officeDocument/2006/relationships/customXml" Target="../ink/ink24.xml"/><Relationship Id="rId24" Type="http://schemas.openxmlformats.org/officeDocument/2006/relationships/customXml" Target="../ink/ink19.xml"/><Relationship Id="rId40" Type="http://schemas.openxmlformats.org/officeDocument/2006/relationships/customXml" Target="../ink/ink35.xml"/><Relationship Id="rId45" Type="http://schemas.openxmlformats.org/officeDocument/2006/relationships/customXml" Target="../ink/ink40.xml"/><Relationship Id="rId66" Type="http://schemas.openxmlformats.org/officeDocument/2006/relationships/customXml" Target="../ink/ink61.xml"/><Relationship Id="rId87" Type="http://schemas.openxmlformats.org/officeDocument/2006/relationships/customXml" Target="../ink/ink82.xml"/><Relationship Id="rId61" Type="http://schemas.openxmlformats.org/officeDocument/2006/relationships/customXml" Target="../ink/ink56.xml"/><Relationship Id="rId82" Type="http://schemas.openxmlformats.org/officeDocument/2006/relationships/customXml" Target="../ink/ink77.xml"/><Relationship Id="rId19" Type="http://schemas.openxmlformats.org/officeDocument/2006/relationships/customXml" Target="../ink/ink14.xml"/><Relationship Id="rId14" Type="http://schemas.openxmlformats.org/officeDocument/2006/relationships/customXml" Target="../ink/ink11.xml"/><Relationship Id="rId30" Type="http://schemas.openxmlformats.org/officeDocument/2006/relationships/customXml" Target="../ink/ink25.xml"/><Relationship Id="rId35" Type="http://schemas.openxmlformats.org/officeDocument/2006/relationships/customXml" Target="../ink/ink30.xml"/><Relationship Id="rId56" Type="http://schemas.openxmlformats.org/officeDocument/2006/relationships/customXml" Target="../ink/ink51.xml"/><Relationship Id="rId77" Type="http://schemas.openxmlformats.org/officeDocument/2006/relationships/customXml" Target="../ink/ink72.xml"/><Relationship Id="rId100" Type="http://schemas.openxmlformats.org/officeDocument/2006/relationships/customXml" Target="../ink/ink95.xml"/><Relationship Id="rId105" Type="http://schemas.openxmlformats.org/officeDocument/2006/relationships/customXml" Target="../ink/ink100.xml"/><Relationship Id="rId8" Type="http://schemas.openxmlformats.org/officeDocument/2006/relationships/image" Target="../media/image11.png"/><Relationship Id="rId51" Type="http://schemas.openxmlformats.org/officeDocument/2006/relationships/customXml" Target="../ink/ink46.xml"/><Relationship Id="rId72" Type="http://schemas.openxmlformats.org/officeDocument/2006/relationships/customXml" Target="../ink/ink67.xml"/><Relationship Id="rId93" Type="http://schemas.openxmlformats.org/officeDocument/2006/relationships/customXml" Target="../ink/ink88.xml"/><Relationship Id="rId98" Type="http://schemas.openxmlformats.org/officeDocument/2006/relationships/customXml" Target="../ink/ink93.xml"/><Relationship Id="rId3" Type="http://schemas.openxmlformats.org/officeDocument/2006/relationships/customXml" Target="../ink/ink2.xml"/><Relationship Id="rId25" Type="http://schemas.openxmlformats.org/officeDocument/2006/relationships/customXml" Target="../ink/ink20.xml"/><Relationship Id="rId46" Type="http://schemas.openxmlformats.org/officeDocument/2006/relationships/customXml" Target="../ink/ink41.xml"/><Relationship Id="rId67" Type="http://schemas.openxmlformats.org/officeDocument/2006/relationships/customXml" Target="../ink/ink62.xml"/></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ustomXml" Target="../ink/ink105.xml"/><Relationship Id="rId7" Type="http://schemas.openxmlformats.org/officeDocument/2006/relationships/customXml" Target="../ink/ink107.xml"/><Relationship Id="rId12" Type="http://schemas.openxmlformats.org/officeDocument/2006/relationships/image" Target="../media/image1.png"/><Relationship Id="rId2" Type="http://schemas.openxmlformats.org/officeDocument/2006/relationships/image" Target="../media/image1.png"/><Relationship Id="rId1" Type="http://schemas.openxmlformats.org/officeDocument/2006/relationships/customXml" Target="../ink/ink104.xml"/><Relationship Id="rId6" Type="http://schemas.openxmlformats.org/officeDocument/2006/relationships/image" Target="../media/image1.png"/><Relationship Id="rId11" Type="http://schemas.openxmlformats.org/officeDocument/2006/relationships/customXml" Target="../ink/ink109.xml"/><Relationship Id="rId5" Type="http://schemas.openxmlformats.org/officeDocument/2006/relationships/customXml" Target="../ink/ink106.xml"/><Relationship Id="rId10" Type="http://schemas.openxmlformats.org/officeDocument/2006/relationships/image" Target="../media/image1.png"/><Relationship Id="rId4" Type="http://schemas.openxmlformats.org/officeDocument/2006/relationships/image" Target="../media/image1.png"/><Relationship Id="rId9" Type="http://schemas.openxmlformats.org/officeDocument/2006/relationships/customXml" Target="../ink/ink10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40</xdr:row>
          <xdr:rowOff>114300</xdr:rowOff>
        </xdr:from>
        <xdr:to>
          <xdr:col>1</xdr:col>
          <xdr:colOff>390525</xdr:colOff>
          <xdr:row>42</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42</xdr:row>
          <xdr:rowOff>114300</xdr:rowOff>
        </xdr:from>
        <xdr:to>
          <xdr:col>1</xdr:col>
          <xdr:colOff>390525</xdr:colOff>
          <xdr:row>44</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41</xdr:row>
          <xdr:rowOff>114300</xdr:rowOff>
        </xdr:from>
        <xdr:to>
          <xdr:col>1</xdr:col>
          <xdr:colOff>390525</xdr:colOff>
          <xdr:row>43</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14</xdr:col>
      <xdr:colOff>359571</xdr:colOff>
      <xdr:row>55</xdr:row>
      <xdr:rowOff>155606</xdr:rowOff>
    </xdr:from>
    <xdr:to>
      <xdr:col>14</xdr:col>
      <xdr:colOff>403647</xdr:colOff>
      <xdr:row>56</xdr:row>
      <xdr:rowOff>8127</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7" name="Ink 6">
              <a:extLst>
                <a:ext uri="{FF2B5EF4-FFF2-40B4-BE49-F238E27FC236}">
                  <a16:creationId xmlns:a16="http://schemas.microsoft.com/office/drawing/2014/main" id="{00000000-0008-0000-0200-000007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2</xdr:col>
      <xdr:colOff>359571</xdr:colOff>
      <xdr:row>45</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 name="Ink 1">
              <a:extLst>
                <a:ext uri="{FF2B5EF4-FFF2-40B4-BE49-F238E27FC236}">
                  <a16:creationId xmlns:a16="http://schemas.microsoft.com/office/drawing/2014/main" id="{00000000-0008-0000-02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3" name="Ink 2">
              <a:extLst>
                <a:ext uri="{FF2B5EF4-FFF2-40B4-BE49-F238E27FC236}">
                  <a16:creationId xmlns:a16="http://schemas.microsoft.com/office/drawing/2014/main" id="{00000000-0008-0000-02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00000000-0008-0000-0200-000004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5" name="Ink 4">
              <a:extLst>
                <a:ext uri="{FF2B5EF4-FFF2-40B4-BE49-F238E27FC236}">
                  <a16:creationId xmlns:a16="http://schemas.microsoft.com/office/drawing/2014/main" id="{00000000-0008-0000-0200-000005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6" name="Ink 5">
              <a:extLst>
                <a:ext uri="{FF2B5EF4-FFF2-40B4-BE49-F238E27FC236}">
                  <a16:creationId xmlns:a16="http://schemas.microsoft.com/office/drawing/2014/main" id="{00000000-0008-0000-0200-000006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8" name="Ink 7">
              <a:extLst>
                <a:ext uri="{FF2B5EF4-FFF2-40B4-BE49-F238E27FC236}">
                  <a16:creationId xmlns:a16="http://schemas.microsoft.com/office/drawing/2014/main" id="{00000000-0008-0000-0200-000008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9" name="Ink 8">
              <a:extLst>
                <a:ext uri="{FF2B5EF4-FFF2-40B4-BE49-F238E27FC236}">
                  <a16:creationId xmlns:a16="http://schemas.microsoft.com/office/drawing/2014/main" id="{00000000-0008-0000-0200-000009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1"/>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10" name="Ink 9">
              <a:extLst>
                <a:ext uri="{FF2B5EF4-FFF2-40B4-BE49-F238E27FC236}">
                  <a16:creationId xmlns:a16="http://schemas.microsoft.com/office/drawing/2014/main" id="{00000000-0008-0000-0200-00000A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1"/>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11" name="Ink 10">
              <a:extLst>
                <a:ext uri="{FF2B5EF4-FFF2-40B4-BE49-F238E27FC236}">
                  <a16:creationId xmlns:a16="http://schemas.microsoft.com/office/drawing/2014/main" id="{00000000-0008-0000-0200-00000B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12" name="Ink 11">
              <a:extLst>
                <a:ext uri="{FF2B5EF4-FFF2-40B4-BE49-F238E27FC236}">
                  <a16:creationId xmlns:a16="http://schemas.microsoft.com/office/drawing/2014/main" id="{AD395798-7B6E-4B06-8B0F-C93F67F9DCF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13" name="Ink 12">
              <a:extLst>
                <a:ext uri="{FF2B5EF4-FFF2-40B4-BE49-F238E27FC236}">
                  <a16:creationId xmlns:a16="http://schemas.microsoft.com/office/drawing/2014/main" id="{8FA6648B-39B8-430E-94C5-D18E9173A00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4" name="Ink 13">
              <a:extLst>
                <a:ext uri="{FF2B5EF4-FFF2-40B4-BE49-F238E27FC236}">
                  <a16:creationId xmlns:a16="http://schemas.microsoft.com/office/drawing/2014/main" id="{68BE22D2-7C6F-4BA1-AE17-2B1D4A4698A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15" name="Ink 14">
              <a:extLst>
                <a:ext uri="{FF2B5EF4-FFF2-40B4-BE49-F238E27FC236}">
                  <a16:creationId xmlns:a16="http://schemas.microsoft.com/office/drawing/2014/main" id="{6A136B98-2A74-4506-AEF7-CAA6E904E18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16" name="Ink 15">
              <a:extLst>
                <a:ext uri="{FF2B5EF4-FFF2-40B4-BE49-F238E27FC236}">
                  <a16:creationId xmlns:a16="http://schemas.microsoft.com/office/drawing/2014/main" id="{3E3198DA-8D89-4D71-9C90-2C3552E2A12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17" name="Ink 16">
              <a:extLst>
                <a:ext uri="{FF2B5EF4-FFF2-40B4-BE49-F238E27FC236}">
                  <a16:creationId xmlns:a16="http://schemas.microsoft.com/office/drawing/2014/main" id="{0C015C19-E39A-415A-A248-F0683BF132C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18" name="Ink 17">
              <a:extLst>
                <a:ext uri="{FF2B5EF4-FFF2-40B4-BE49-F238E27FC236}">
                  <a16:creationId xmlns:a16="http://schemas.microsoft.com/office/drawing/2014/main" id="{2F44F854-2DA2-4B35-9D6C-52658DEC642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19" name="Ink 18">
              <a:extLst>
                <a:ext uri="{FF2B5EF4-FFF2-40B4-BE49-F238E27FC236}">
                  <a16:creationId xmlns:a16="http://schemas.microsoft.com/office/drawing/2014/main" id="{E9F079B7-FBA7-4843-999F-170EE8E76D0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20" name="Ink 19">
              <a:extLst>
                <a:ext uri="{FF2B5EF4-FFF2-40B4-BE49-F238E27FC236}">
                  <a16:creationId xmlns:a16="http://schemas.microsoft.com/office/drawing/2014/main" id="{A2E124CB-3C67-4036-A63A-D8E9730679C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21" name="Ink 20">
              <a:extLst>
                <a:ext uri="{FF2B5EF4-FFF2-40B4-BE49-F238E27FC236}">
                  <a16:creationId xmlns:a16="http://schemas.microsoft.com/office/drawing/2014/main" id="{38026CF5-0DCF-4599-81B3-921B994D7C3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22" name="Ink 21">
              <a:extLst>
                <a:ext uri="{FF2B5EF4-FFF2-40B4-BE49-F238E27FC236}">
                  <a16:creationId xmlns:a16="http://schemas.microsoft.com/office/drawing/2014/main" id="{DAC1B83E-140E-41F6-989C-7BC22EF1062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23" name="Ink 22">
              <a:extLst>
                <a:ext uri="{FF2B5EF4-FFF2-40B4-BE49-F238E27FC236}">
                  <a16:creationId xmlns:a16="http://schemas.microsoft.com/office/drawing/2014/main" id="{9033907E-A788-45A5-8793-BCEB009683F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24" name="Ink 23">
              <a:extLst>
                <a:ext uri="{FF2B5EF4-FFF2-40B4-BE49-F238E27FC236}">
                  <a16:creationId xmlns:a16="http://schemas.microsoft.com/office/drawing/2014/main" id="{C0DB3CBB-9BF8-498B-8DBD-768DDE30F94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25" name="Ink 24">
              <a:extLst>
                <a:ext uri="{FF2B5EF4-FFF2-40B4-BE49-F238E27FC236}">
                  <a16:creationId xmlns:a16="http://schemas.microsoft.com/office/drawing/2014/main" id="{2819E2C3-1633-423A-AD86-3435ADCABE1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0">
          <xdr14:nvContentPartPr>
            <xdr14:cNvPr id="26" name="Ink 25">
              <a:extLst>
                <a:ext uri="{FF2B5EF4-FFF2-40B4-BE49-F238E27FC236}">
                  <a16:creationId xmlns:a16="http://schemas.microsoft.com/office/drawing/2014/main" id="{3F9ADA49-9108-4EF3-900D-E21D1300092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27" name="Ink 26">
              <a:extLst>
                <a:ext uri="{FF2B5EF4-FFF2-40B4-BE49-F238E27FC236}">
                  <a16:creationId xmlns:a16="http://schemas.microsoft.com/office/drawing/2014/main" id="{D8D8FB3F-1C40-4340-9A4E-3EF8CBDFA28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2">
          <xdr14:nvContentPartPr>
            <xdr14:cNvPr id="28" name="Ink 27">
              <a:extLst>
                <a:ext uri="{FF2B5EF4-FFF2-40B4-BE49-F238E27FC236}">
                  <a16:creationId xmlns:a16="http://schemas.microsoft.com/office/drawing/2014/main" id="{5A8551F9-9B31-4B8F-8ADB-4CB344F499A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29" name="Ink 28">
              <a:extLst>
                <a:ext uri="{FF2B5EF4-FFF2-40B4-BE49-F238E27FC236}">
                  <a16:creationId xmlns:a16="http://schemas.microsoft.com/office/drawing/2014/main" id="{E6C9A754-3F92-4DB4-BF67-48E80893A8F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4">
          <xdr14:nvContentPartPr>
            <xdr14:cNvPr id="30" name="Ink 29">
              <a:extLst>
                <a:ext uri="{FF2B5EF4-FFF2-40B4-BE49-F238E27FC236}">
                  <a16:creationId xmlns:a16="http://schemas.microsoft.com/office/drawing/2014/main" id="{F1579C2A-D52B-4EE6-AA19-9758776A94E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31" name="Ink 30">
              <a:extLst>
                <a:ext uri="{FF2B5EF4-FFF2-40B4-BE49-F238E27FC236}">
                  <a16:creationId xmlns:a16="http://schemas.microsoft.com/office/drawing/2014/main" id="{9BA4423F-9326-4189-B16A-96DB3DA60CE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6">
          <xdr14:nvContentPartPr>
            <xdr14:cNvPr id="32" name="Ink 31">
              <a:extLst>
                <a:ext uri="{FF2B5EF4-FFF2-40B4-BE49-F238E27FC236}">
                  <a16:creationId xmlns:a16="http://schemas.microsoft.com/office/drawing/2014/main" id="{BD9F074A-86F5-4E24-8888-D24984C9261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33" name="Ink 32">
              <a:extLst>
                <a:ext uri="{FF2B5EF4-FFF2-40B4-BE49-F238E27FC236}">
                  <a16:creationId xmlns:a16="http://schemas.microsoft.com/office/drawing/2014/main" id="{82429A2A-8A3F-45EB-A4B3-373FC743323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8">
          <xdr14:nvContentPartPr>
            <xdr14:cNvPr id="34" name="Ink 33">
              <a:extLst>
                <a:ext uri="{FF2B5EF4-FFF2-40B4-BE49-F238E27FC236}">
                  <a16:creationId xmlns:a16="http://schemas.microsoft.com/office/drawing/2014/main" id="{D5B039C7-4BFC-4C78-8518-F3C8D34907F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35" name="Ink 34">
              <a:extLst>
                <a:ext uri="{FF2B5EF4-FFF2-40B4-BE49-F238E27FC236}">
                  <a16:creationId xmlns:a16="http://schemas.microsoft.com/office/drawing/2014/main" id="{ED22D1BA-94EF-42A7-8E7E-4D5F90E608A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0">
          <xdr14:nvContentPartPr>
            <xdr14:cNvPr id="36" name="Ink 35">
              <a:extLst>
                <a:ext uri="{FF2B5EF4-FFF2-40B4-BE49-F238E27FC236}">
                  <a16:creationId xmlns:a16="http://schemas.microsoft.com/office/drawing/2014/main" id="{1BC4B333-4699-4529-ABFA-FE0ED66CEF2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37" name="Ink 36">
              <a:extLst>
                <a:ext uri="{FF2B5EF4-FFF2-40B4-BE49-F238E27FC236}">
                  <a16:creationId xmlns:a16="http://schemas.microsoft.com/office/drawing/2014/main" id="{C87C3582-2741-4EC9-BBE8-2AFB0BDE9E6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2">
          <xdr14:nvContentPartPr>
            <xdr14:cNvPr id="38" name="Ink 37">
              <a:extLst>
                <a:ext uri="{FF2B5EF4-FFF2-40B4-BE49-F238E27FC236}">
                  <a16:creationId xmlns:a16="http://schemas.microsoft.com/office/drawing/2014/main" id="{A938AFB0-4DC7-4589-A8EA-39ABBD17B765}"/>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39" name="Ink 38">
              <a:extLst>
                <a:ext uri="{FF2B5EF4-FFF2-40B4-BE49-F238E27FC236}">
                  <a16:creationId xmlns:a16="http://schemas.microsoft.com/office/drawing/2014/main" id="{37105E04-3E74-40E1-9DD2-F952CECF1F1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4">
          <xdr14:nvContentPartPr>
            <xdr14:cNvPr id="40" name="Ink 39">
              <a:extLst>
                <a:ext uri="{FF2B5EF4-FFF2-40B4-BE49-F238E27FC236}">
                  <a16:creationId xmlns:a16="http://schemas.microsoft.com/office/drawing/2014/main" id="{53EFCF9F-A6D1-4AEB-B4E5-606A8DFA101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41" name="Ink 40">
              <a:extLst>
                <a:ext uri="{FF2B5EF4-FFF2-40B4-BE49-F238E27FC236}">
                  <a16:creationId xmlns:a16="http://schemas.microsoft.com/office/drawing/2014/main" id="{62742EBB-5014-480E-A89A-1E1C7444F683}"/>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6">
          <xdr14:nvContentPartPr>
            <xdr14:cNvPr id="42" name="Ink 41">
              <a:extLst>
                <a:ext uri="{FF2B5EF4-FFF2-40B4-BE49-F238E27FC236}">
                  <a16:creationId xmlns:a16="http://schemas.microsoft.com/office/drawing/2014/main" id="{824EB626-5860-4ACC-9B2E-A6BA9EDAD64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43" name="Ink 42">
              <a:extLst>
                <a:ext uri="{FF2B5EF4-FFF2-40B4-BE49-F238E27FC236}">
                  <a16:creationId xmlns:a16="http://schemas.microsoft.com/office/drawing/2014/main" id="{6B3F4FBE-7C53-49E3-96AB-0998BEE4451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8">
          <xdr14:nvContentPartPr>
            <xdr14:cNvPr id="44" name="Ink 43">
              <a:extLst>
                <a:ext uri="{FF2B5EF4-FFF2-40B4-BE49-F238E27FC236}">
                  <a16:creationId xmlns:a16="http://schemas.microsoft.com/office/drawing/2014/main" id="{A91A61EA-F84F-4DC7-9C4C-10AE126A47E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45" name="Ink 44">
              <a:extLst>
                <a:ext uri="{FF2B5EF4-FFF2-40B4-BE49-F238E27FC236}">
                  <a16:creationId xmlns:a16="http://schemas.microsoft.com/office/drawing/2014/main" id="{24D70E26-B798-4ABB-836D-B9CBE73024B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0">
          <xdr14:nvContentPartPr>
            <xdr14:cNvPr id="46" name="Ink 45">
              <a:extLst>
                <a:ext uri="{FF2B5EF4-FFF2-40B4-BE49-F238E27FC236}">
                  <a16:creationId xmlns:a16="http://schemas.microsoft.com/office/drawing/2014/main" id="{7AD398C5-4F66-4B46-934D-AED6C99B19C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47" name="Ink 46">
              <a:extLst>
                <a:ext uri="{FF2B5EF4-FFF2-40B4-BE49-F238E27FC236}">
                  <a16:creationId xmlns:a16="http://schemas.microsoft.com/office/drawing/2014/main" id="{E296D5B1-FD03-488E-B9C2-C4558E8C04C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2">
          <xdr14:nvContentPartPr>
            <xdr14:cNvPr id="48" name="Ink 47">
              <a:extLst>
                <a:ext uri="{FF2B5EF4-FFF2-40B4-BE49-F238E27FC236}">
                  <a16:creationId xmlns:a16="http://schemas.microsoft.com/office/drawing/2014/main" id="{7F573365-99A7-4B49-B391-0D8C1FDE6C4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49" name="Ink 48">
              <a:extLst>
                <a:ext uri="{FF2B5EF4-FFF2-40B4-BE49-F238E27FC236}">
                  <a16:creationId xmlns:a16="http://schemas.microsoft.com/office/drawing/2014/main" id="{621A5206-5BA0-4846-A8D6-3C477A19C84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4">
          <xdr14:nvContentPartPr>
            <xdr14:cNvPr id="50" name="Ink 49">
              <a:extLst>
                <a:ext uri="{FF2B5EF4-FFF2-40B4-BE49-F238E27FC236}">
                  <a16:creationId xmlns:a16="http://schemas.microsoft.com/office/drawing/2014/main" id="{698F1FC6-45FB-473C-BAB0-18E21F89470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51" name="Ink 50">
              <a:extLst>
                <a:ext uri="{FF2B5EF4-FFF2-40B4-BE49-F238E27FC236}">
                  <a16:creationId xmlns:a16="http://schemas.microsoft.com/office/drawing/2014/main" id="{03A5A910-88D0-4CD8-9F54-CC82BA8D488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6">
          <xdr14:nvContentPartPr>
            <xdr14:cNvPr id="52" name="Ink 51">
              <a:extLst>
                <a:ext uri="{FF2B5EF4-FFF2-40B4-BE49-F238E27FC236}">
                  <a16:creationId xmlns:a16="http://schemas.microsoft.com/office/drawing/2014/main" id="{3D3DB101-C471-453B-82C3-63BA2891A91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53" name="Ink 52">
              <a:extLst>
                <a:ext uri="{FF2B5EF4-FFF2-40B4-BE49-F238E27FC236}">
                  <a16:creationId xmlns:a16="http://schemas.microsoft.com/office/drawing/2014/main" id="{C610934A-7346-410D-8E21-F0AD2DCD90C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8">
          <xdr14:nvContentPartPr>
            <xdr14:cNvPr id="54" name="Ink 53">
              <a:extLst>
                <a:ext uri="{FF2B5EF4-FFF2-40B4-BE49-F238E27FC236}">
                  <a16:creationId xmlns:a16="http://schemas.microsoft.com/office/drawing/2014/main" id="{75A2FFCC-B173-4804-B2D5-DDF3921E7B0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55" name="Ink 54">
              <a:extLst>
                <a:ext uri="{FF2B5EF4-FFF2-40B4-BE49-F238E27FC236}">
                  <a16:creationId xmlns:a16="http://schemas.microsoft.com/office/drawing/2014/main" id="{C9817FED-7D62-413D-98EE-7C96B1057FDC}"/>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0">
          <xdr14:nvContentPartPr>
            <xdr14:cNvPr id="56" name="Ink 55">
              <a:extLst>
                <a:ext uri="{FF2B5EF4-FFF2-40B4-BE49-F238E27FC236}">
                  <a16:creationId xmlns:a16="http://schemas.microsoft.com/office/drawing/2014/main" id="{50A230F0-55A0-4261-9259-6A73C913991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57" name="Ink 56">
              <a:extLst>
                <a:ext uri="{FF2B5EF4-FFF2-40B4-BE49-F238E27FC236}">
                  <a16:creationId xmlns:a16="http://schemas.microsoft.com/office/drawing/2014/main" id="{D3CB355E-1B4B-4012-B42C-50D012EC164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2">
          <xdr14:nvContentPartPr>
            <xdr14:cNvPr id="58" name="Ink 57">
              <a:extLst>
                <a:ext uri="{FF2B5EF4-FFF2-40B4-BE49-F238E27FC236}">
                  <a16:creationId xmlns:a16="http://schemas.microsoft.com/office/drawing/2014/main" id="{99D96F81-22E6-4214-8283-1EA451D7A96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59" name="Ink 58">
              <a:extLst>
                <a:ext uri="{FF2B5EF4-FFF2-40B4-BE49-F238E27FC236}">
                  <a16:creationId xmlns:a16="http://schemas.microsoft.com/office/drawing/2014/main" id="{4F85DD82-4A09-4C9A-97AC-46151890FF6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4">
          <xdr14:nvContentPartPr>
            <xdr14:cNvPr id="60" name="Ink 59">
              <a:extLst>
                <a:ext uri="{FF2B5EF4-FFF2-40B4-BE49-F238E27FC236}">
                  <a16:creationId xmlns:a16="http://schemas.microsoft.com/office/drawing/2014/main" id="{B128AA74-E57A-41AE-827E-9D5940A948C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61" name="Ink 60">
              <a:extLst>
                <a:ext uri="{FF2B5EF4-FFF2-40B4-BE49-F238E27FC236}">
                  <a16:creationId xmlns:a16="http://schemas.microsoft.com/office/drawing/2014/main" id="{386D4F90-EDBC-41C1-A440-744FC8DF458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6">
          <xdr14:nvContentPartPr>
            <xdr14:cNvPr id="62" name="Ink 61">
              <a:extLst>
                <a:ext uri="{FF2B5EF4-FFF2-40B4-BE49-F238E27FC236}">
                  <a16:creationId xmlns:a16="http://schemas.microsoft.com/office/drawing/2014/main" id="{E61506A8-3F00-498E-8CAD-0F40CEB0FE2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63" name="Ink 62">
              <a:extLst>
                <a:ext uri="{FF2B5EF4-FFF2-40B4-BE49-F238E27FC236}">
                  <a16:creationId xmlns:a16="http://schemas.microsoft.com/office/drawing/2014/main" id="{959DFF50-C009-474B-925B-BDC648D19E0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8">
          <xdr14:nvContentPartPr>
            <xdr14:cNvPr id="64" name="Ink 63">
              <a:extLst>
                <a:ext uri="{FF2B5EF4-FFF2-40B4-BE49-F238E27FC236}">
                  <a16:creationId xmlns:a16="http://schemas.microsoft.com/office/drawing/2014/main" id="{1ED71723-2910-4F23-96DF-62FFAD4EDC1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65" name="Ink 64">
              <a:extLst>
                <a:ext uri="{FF2B5EF4-FFF2-40B4-BE49-F238E27FC236}">
                  <a16:creationId xmlns:a16="http://schemas.microsoft.com/office/drawing/2014/main" id="{0B973C5B-E38B-431C-942C-E4CE01DA3EC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0">
          <xdr14:nvContentPartPr>
            <xdr14:cNvPr id="66" name="Ink 65">
              <a:extLst>
                <a:ext uri="{FF2B5EF4-FFF2-40B4-BE49-F238E27FC236}">
                  <a16:creationId xmlns:a16="http://schemas.microsoft.com/office/drawing/2014/main" id="{B7F25056-8CBF-40C6-AD21-50941A64AFC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67" name="Ink 66">
              <a:extLst>
                <a:ext uri="{FF2B5EF4-FFF2-40B4-BE49-F238E27FC236}">
                  <a16:creationId xmlns:a16="http://schemas.microsoft.com/office/drawing/2014/main" id="{52C84BA8-33FE-4AD1-81FB-70C025A9FE2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2">
          <xdr14:nvContentPartPr>
            <xdr14:cNvPr id="68" name="Ink 67">
              <a:extLst>
                <a:ext uri="{FF2B5EF4-FFF2-40B4-BE49-F238E27FC236}">
                  <a16:creationId xmlns:a16="http://schemas.microsoft.com/office/drawing/2014/main" id="{855AC7BB-FAE1-4C07-94CC-76B00764F1A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69" name="Ink 68">
              <a:extLst>
                <a:ext uri="{FF2B5EF4-FFF2-40B4-BE49-F238E27FC236}">
                  <a16:creationId xmlns:a16="http://schemas.microsoft.com/office/drawing/2014/main" id="{86318E33-EC0A-484A-A43C-EDCB4EB0FB3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4">
          <xdr14:nvContentPartPr>
            <xdr14:cNvPr id="70" name="Ink 69">
              <a:extLst>
                <a:ext uri="{FF2B5EF4-FFF2-40B4-BE49-F238E27FC236}">
                  <a16:creationId xmlns:a16="http://schemas.microsoft.com/office/drawing/2014/main" id="{8A53698F-A76B-4D44-83A3-091739DF985C}"/>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71" name="Ink 70">
              <a:extLst>
                <a:ext uri="{FF2B5EF4-FFF2-40B4-BE49-F238E27FC236}">
                  <a16:creationId xmlns:a16="http://schemas.microsoft.com/office/drawing/2014/main" id="{89A52475-1B72-4873-B62C-3A3062C922E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6">
          <xdr14:nvContentPartPr>
            <xdr14:cNvPr id="72" name="Ink 71">
              <a:extLst>
                <a:ext uri="{FF2B5EF4-FFF2-40B4-BE49-F238E27FC236}">
                  <a16:creationId xmlns:a16="http://schemas.microsoft.com/office/drawing/2014/main" id="{8C4C051C-996B-411C-8742-E07776A3AB8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73" name="Ink 72">
              <a:extLst>
                <a:ext uri="{FF2B5EF4-FFF2-40B4-BE49-F238E27FC236}">
                  <a16:creationId xmlns:a16="http://schemas.microsoft.com/office/drawing/2014/main" id="{A34ED099-DC97-4F95-BB9C-06C06F2FDD25}"/>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8">
          <xdr14:nvContentPartPr>
            <xdr14:cNvPr id="74" name="Ink 73">
              <a:extLst>
                <a:ext uri="{FF2B5EF4-FFF2-40B4-BE49-F238E27FC236}">
                  <a16:creationId xmlns:a16="http://schemas.microsoft.com/office/drawing/2014/main" id="{F58F19E4-3914-4FD9-8CF4-BD61A106B70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75" name="Ink 74">
              <a:extLst>
                <a:ext uri="{FF2B5EF4-FFF2-40B4-BE49-F238E27FC236}">
                  <a16:creationId xmlns:a16="http://schemas.microsoft.com/office/drawing/2014/main" id="{FA1FBF88-0353-4298-B32A-311EACFCB63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0">
          <xdr14:nvContentPartPr>
            <xdr14:cNvPr id="76" name="Ink 75">
              <a:extLst>
                <a:ext uri="{FF2B5EF4-FFF2-40B4-BE49-F238E27FC236}">
                  <a16:creationId xmlns:a16="http://schemas.microsoft.com/office/drawing/2014/main" id="{E48C164D-8780-4F18-9A54-822A64F496D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77" name="Ink 76">
              <a:extLst>
                <a:ext uri="{FF2B5EF4-FFF2-40B4-BE49-F238E27FC236}">
                  <a16:creationId xmlns:a16="http://schemas.microsoft.com/office/drawing/2014/main" id="{49BBFCBC-A5AF-44F9-91A6-E311721F5BC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2">
          <xdr14:nvContentPartPr>
            <xdr14:cNvPr id="78" name="Ink 77">
              <a:extLst>
                <a:ext uri="{FF2B5EF4-FFF2-40B4-BE49-F238E27FC236}">
                  <a16:creationId xmlns:a16="http://schemas.microsoft.com/office/drawing/2014/main" id="{8B20E583-4D73-4324-A462-A69FC87DC24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79" name="Ink 78">
              <a:extLst>
                <a:ext uri="{FF2B5EF4-FFF2-40B4-BE49-F238E27FC236}">
                  <a16:creationId xmlns:a16="http://schemas.microsoft.com/office/drawing/2014/main" id="{0CEC2D6B-594E-4D27-8796-E5DCBFABBED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4">
          <xdr14:nvContentPartPr>
            <xdr14:cNvPr id="80" name="Ink 79">
              <a:extLst>
                <a:ext uri="{FF2B5EF4-FFF2-40B4-BE49-F238E27FC236}">
                  <a16:creationId xmlns:a16="http://schemas.microsoft.com/office/drawing/2014/main" id="{11934432-4C93-4C6F-BB34-B1927F6408E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81" name="Ink 80">
              <a:extLst>
                <a:ext uri="{FF2B5EF4-FFF2-40B4-BE49-F238E27FC236}">
                  <a16:creationId xmlns:a16="http://schemas.microsoft.com/office/drawing/2014/main" id="{945BB64D-38CA-4785-85C7-665BA58B245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6">
          <xdr14:nvContentPartPr>
            <xdr14:cNvPr id="82" name="Ink 81">
              <a:extLst>
                <a:ext uri="{FF2B5EF4-FFF2-40B4-BE49-F238E27FC236}">
                  <a16:creationId xmlns:a16="http://schemas.microsoft.com/office/drawing/2014/main" id="{894C1942-1C76-4678-B395-A066A18FCC7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83" name="Ink 82">
              <a:extLst>
                <a:ext uri="{FF2B5EF4-FFF2-40B4-BE49-F238E27FC236}">
                  <a16:creationId xmlns:a16="http://schemas.microsoft.com/office/drawing/2014/main" id="{1353D364-4283-433D-997C-F4B9A24E957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8">
          <xdr14:nvContentPartPr>
            <xdr14:cNvPr id="84" name="Ink 83">
              <a:extLst>
                <a:ext uri="{FF2B5EF4-FFF2-40B4-BE49-F238E27FC236}">
                  <a16:creationId xmlns:a16="http://schemas.microsoft.com/office/drawing/2014/main" id="{1EB1F341-F4FA-4F0F-AA22-0AF71F5EBFF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85" name="Ink 84">
              <a:extLst>
                <a:ext uri="{FF2B5EF4-FFF2-40B4-BE49-F238E27FC236}">
                  <a16:creationId xmlns:a16="http://schemas.microsoft.com/office/drawing/2014/main" id="{50A9815A-1FCC-42ED-AEEA-8CCEAAA74CF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46</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0">
          <xdr14:nvContentPartPr>
            <xdr14:cNvPr id="87" name="Ink 86">
              <a:extLst>
                <a:ext uri="{FF2B5EF4-FFF2-40B4-BE49-F238E27FC236}">
                  <a16:creationId xmlns:a16="http://schemas.microsoft.com/office/drawing/2014/main" id="{9CAE8669-EEA1-4E92-975E-E9F19C8AD10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88" name="Ink 87">
              <a:extLst>
                <a:ext uri="{FF2B5EF4-FFF2-40B4-BE49-F238E27FC236}">
                  <a16:creationId xmlns:a16="http://schemas.microsoft.com/office/drawing/2014/main" id="{532402D7-B18B-4D49-9897-F1A401FEC30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2">
          <xdr14:nvContentPartPr>
            <xdr14:cNvPr id="89" name="Ink 88">
              <a:extLst>
                <a:ext uri="{FF2B5EF4-FFF2-40B4-BE49-F238E27FC236}">
                  <a16:creationId xmlns:a16="http://schemas.microsoft.com/office/drawing/2014/main" id="{17FEB6CD-10C1-41C6-9F16-B7322ADC600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90" name="Ink 89">
              <a:extLst>
                <a:ext uri="{FF2B5EF4-FFF2-40B4-BE49-F238E27FC236}">
                  <a16:creationId xmlns:a16="http://schemas.microsoft.com/office/drawing/2014/main" id="{D24E532C-4E8B-4854-B233-28A119431F2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4">
          <xdr14:nvContentPartPr>
            <xdr14:cNvPr id="91" name="Ink 90">
              <a:extLst>
                <a:ext uri="{FF2B5EF4-FFF2-40B4-BE49-F238E27FC236}">
                  <a16:creationId xmlns:a16="http://schemas.microsoft.com/office/drawing/2014/main" id="{48E1EB27-9BFF-49E0-994E-F6235824E85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92" name="Ink 91">
              <a:extLst>
                <a:ext uri="{FF2B5EF4-FFF2-40B4-BE49-F238E27FC236}">
                  <a16:creationId xmlns:a16="http://schemas.microsoft.com/office/drawing/2014/main" id="{BE7ABA94-31FA-49F7-B0F1-0D1B7BE3768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6">
          <xdr14:nvContentPartPr>
            <xdr14:cNvPr id="93" name="Ink 92">
              <a:extLst>
                <a:ext uri="{FF2B5EF4-FFF2-40B4-BE49-F238E27FC236}">
                  <a16:creationId xmlns:a16="http://schemas.microsoft.com/office/drawing/2014/main" id="{C1BDC8B7-7C89-43FA-BF53-C689619FD83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94" name="Ink 93">
              <a:extLst>
                <a:ext uri="{FF2B5EF4-FFF2-40B4-BE49-F238E27FC236}">
                  <a16:creationId xmlns:a16="http://schemas.microsoft.com/office/drawing/2014/main" id="{85BFFBDD-2DFB-473E-9E82-9C3CC355E09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8">
          <xdr14:nvContentPartPr>
            <xdr14:cNvPr id="95" name="Ink 94">
              <a:extLst>
                <a:ext uri="{FF2B5EF4-FFF2-40B4-BE49-F238E27FC236}">
                  <a16:creationId xmlns:a16="http://schemas.microsoft.com/office/drawing/2014/main" id="{F51688BE-5865-44B7-BD1C-0EAB78F0810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96" name="Ink 95">
              <a:extLst>
                <a:ext uri="{FF2B5EF4-FFF2-40B4-BE49-F238E27FC236}">
                  <a16:creationId xmlns:a16="http://schemas.microsoft.com/office/drawing/2014/main" id="{970C8547-68DB-49DC-AC24-E4057CB3413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0">
          <xdr14:nvContentPartPr>
            <xdr14:cNvPr id="97" name="Ink 96">
              <a:extLst>
                <a:ext uri="{FF2B5EF4-FFF2-40B4-BE49-F238E27FC236}">
                  <a16:creationId xmlns:a16="http://schemas.microsoft.com/office/drawing/2014/main" id="{9A5CDC12-A7C2-4D83-A8B5-E4CED315B05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98" name="Ink 97">
              <a:extLst>
                <a:ext uri="{FF2B5EF4-FFF2-40B4-BE49-F238E27FC236}">
                  <a16:creationId xmlns:a16="http://schemas.microsoft.com/office/drawing/2014/main" id="{5B021EFA-2081-4418-978D-210A0135BC1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2">
          <xdr14:nvContentPartPr>
            <xdr14:cNvPr id="99" name="Ink 98">
              <a:extLst>
                <a:ext uri="{FF2B5EF4-FFF2-40B4-BE49-F238E27FC236}">
                  <a16:creationId xmlns:a16="http://schemas.microsoft.com/office/drawing/2014/main" id="{B0645C12-C325-4E2B-B1B3-44769418D11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100" name="Ink 99">
              <a:extLst>
                <a:ext uri="{FF2B5EF4-FFF2-40B4-BE49-F238E27FC236}">
                  <a16:creationId xmlns:a16="http://schemas.microsoft.com/office/drawing/2014/main" id="{65308827-CE26-4055-B528-2FF3F4095C5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4">
          <xdr14:nvContentPartPr>
            <xdr14:cNvPr id="101" name="Ink 100">
              <a:extLst>
                <a:ext uri="{FF2B5EF4-FFF2-40B4-BE49-F238E27FC236}">
                  <a16:creationId xmlns:a16="http://schemas.microsoft.com/office/drawing/2014/main" id="{57443CC6-DBCF-4D4E-B5B2-1B77F0EDD53F}"/>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102" name="Ink 101">
              <a:extLst>
                <a:ext uri="{FF2B5EF4-FFF2-40B4-BE49-F238E27FC236}">
                  <a16:creationId xmlns:a16="http://schemas.microsoft.com/office/drawing/2014/main" id="{43D2E216-3B51-4F7D-8808-8FC5932A088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6">
          <xdr14:nvContentPartPr>
            <xdr14:cNvPr id="103" name="Ink 102">
              <a:extLst>
                <a:ext uri="{FF2B5EF4-FFF2-40B4-BE49-F238E27FC236}">
                  <a16:creationId xmlns:a16="http://schemas.microsoft.com/office/drawing/2014/main" id="{0438FC29-D9C5-4567-AD4A-E852F15C761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104" name="Ink 103">
              <a:extLst>
                <a:ext uri="{FF2B5EF4-FFF2-40B4-BE49-F238E27FC236}">
                  <a16:creationId xmlns:a16="http://schemas.microsoft.com/office/drawing/2014/main" id="{F51BB49B-3AE1-4132-AEA0-6E40A40CDACF}"/>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8">
          <xdr14:nvContentPartPr>
            <xdr14:cNvPr id="105" name="Ink 104">
              <a:extLst>
                <a:ext uri="{FF2B5EF4-FFF2-40B4-BE49-F238E27FC236}">
                  <a16:creationId xmlns:a16="http://schemas.microsoft.com/office/drawing/2014/main" id="{BEA7C378-63A5-42EB-B208-CD7A7ECD17A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3</xdr:col>
      <xdr:colOff>359571</xdr:colOff>
      <xdr:row>18</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2763CE49-DE98-41C8-8BC2-7E30DD463A8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32</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589F5D97-154C-4443-8062-B30BB1D3562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6"/>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46</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5" name="Ink 4">
              <a:extLst>
                <a:ext uri="{FF2B5EF4-FFF2-40B4-BE49-F238E27FC236}">
                  <a16:creationId xmlns:a16="http://schemas.microsoft.com/office/drawing/2014/main" id="{9A911167-4E6A-48A2-AA1B-F88D70E76023}"/>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8"/>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60</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6" name="Ink 5">
              <a:extLst>
                <a:ext uri="{FF2B5EF4-FFF2-40B4-BE49-F238E27FC236}">
                  <a16:creationId xmlns:a16="http://schemas.microsoft.com/office/drawing/2014/main" id="{672C13DE-4911-49F7-B5B2-F4B392BF4CB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0"/>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74</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7" name="Ink 6">
              <a:extLst>
                <a:ext uri="{FF2B5EF4-FFF2-40B4-BE49-F238E27FC236}">
                  <a16:creationId xmlns:a16="http://schemas.microsoft.com/office/drawing/2014/main" id="{55F0DF1C-75C7-40BB-8233-C4570387ABF5}"/>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2"/>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3_Project%20Management%20-%202325%20Cool%20Springs%20Rd%204.xlsm" TargetMode="External"/><Relationship Id="rId1" Type="http://schemas.openxmlformats.org/officeDocument/2006/relationships/externalLinkPath" Target="https://lifeisanadventure.sharepoint.com/sites/SellYourHome/Shared%20Documents/Property/23_Project%20Management%20-%202325%20Cool%20Springs%20Rd%204.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2_Project%20Management%20-%201343%20Old%20Buckhorn%20Rd.xlsm" TargetMode="External"/><Relationship Id="rId1" Type="http://schemas.openxmlformats.org/officeDocument/2006/relationships/externalLinkPath" Target="https://lifeisanadventure.sharepoint.com/sites/SellYourHome/Shared%20Documents/Property/22_Project%20Management%20-%201343%20Old%20Buckhorn%20Rd.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0_Project%20Management%20-%20115%20Rosebrooks%20Dr.xlsx" TargetMode="External"/><Relationship Id="rId1" Type="http://schemas.openxmlformats.org/officeDocument/2006/relationships/externalLinkPath" Target="20_Project%20Management%20-%20115%20Rosebrooks%20Dr.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9_Project%20Management%20-%201426%20Pleasant%20Garden%20Ln.xlsx" TargetMode="External"/><Relationship Id="rId1" Type="http://schemas.openxmlformats.org/officeDocument/2006/relationships/externalLinkPath" Target="19_Project%20Management%20-%201426%20Pleasant%20Garden%20Ln.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7_Project%20Management%20-%203413%20Pinetree%20Ln.xlsx" TargetMode="External"/><Relationship Id="rId1" Type="http://schemas.openxmlformats.org/officeDocument/2006/relationships/externalLinkPath" Target="17_Project%20Management%20-%203413%20Pinetree%20Ln.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3_Project%20Management%20%20-%203325%20Banks%20Rd.xlsx" TargetMode="External"/><Relationship Id="rId1" Type="http://schemas.openxmlformats.org/officeDocument/2006/relationships/externalLinkPath" Target="13_Project%20Management%20%20-%203325%20Banks%20Rd.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5_Project%20Management%20-%20612%20Britton%20Ct.xlsm" TargetMode="External"/><Relationship Id="rId1" Type="http://schemas.openxmlformats.org/officeDocument/2006/relationships/externalLinkPath" Target="25_Project%20Management%20-%20612%20Britton%20Ct.xlsm"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6_Project%20Management%20-%20908%20Pond%20St%203.xlsm" TargetMode="External"/><Relationship Id="rId1" Type="http://schemas.openxmlformats.org/officeDocument/2006/relationships/externalLinkPath" Target="https://lifeisanadventure.sharepoint.com/sites/SellYourHome/Shared%20Documents/Property/26_Project%20Management%20-%20908%20Pond%20St%203.xlsm"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4_Project%20Management%20-%204121%20Tensity%20Dr%202.xlsm" TargetMode="External"/><Relationship Id="rId1" Type="http://schemas.openxmlformats.org/officeDocument/2006/relationships/externalLinkPath" Target="24_Project%20Management%20-%204121%20Tensity%20Dr%202.xlsm"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3_Project%20Management%20-%206316%20Willowdell%20Dr%204.xlsm" TargetMode="External"/><Relationship Id="rId1" Type="http://schemas.openxmlformats.org/officeDocument/2006/relationships/externalLinkPath" Target="https://lifeisanadventure.sharepoint.com/sites/SellYourHome/Shared%20Documents/Property/23_Project%20Management%20-%206316%20Willowdell%20Dr%204.xlsm"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Credit%20Cards%20Sheet.xlsx" TargetMode="External"/><Relationship Id="rId1" Type="http://schemas.openxmlformats.org/officeDocument/2006/relationships/externalLinkPath" Target="https://lifeisanadventure.sharepoint.com/sites/SellYourHome/Shared%20Documents/Property/Credit%20Cards%20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NVSURGFMGXNBZUOMLQBCSV4MU">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2024"/>
      <sheetName val="STR"/>
      <sheetName val="Landscape"/>
      <sheetName val="Exterior"/>
      <sheetName val="2023"/>
      <sheetName val="2022"/>
      <sheetName val="2021"/>
      <sheetName val="2020"/>
      <sheetName val="Furnishing"/>
      <sheetName val="23_Project Management - 2325 Co"/>
    </sheetNames>
    <sheetDataSet>
      <sheetData sheetId="0"/>
      <sheetData sheetId="1"/>
      <sheetData sheetId="2"/>
      <sheetData sheetId="3"/>
      <sheetData sheetId="4">
        <row r="3">
          <cell r="C3" t="str">
            <v>Yes</v>
          </cell>
        </row>
        <row r="4">
          <cell r="C4" t="str">
            <v>Yes</v>
          </cell>
        </row>
        <row r="5">
          <cell r="C5" t="str">
            <v>Yes</v>
          </cell>
        </row>
        <row r="6">
          <cell r="C6" t="str">
            <v>yes</v>
          </cell>
        </row>
        <row r="7">
          <cell r="C7"/>
        </row>
        <row r="8">
          <cell r="C8"/>
        </row>
        <row r="9">
          <cell r="C9" t="str">
            <v>Yes</v>
          </cell>
        </row>
        <row r="10">
          <cell r="C10" t="str">
            <v>n/a</v>
          </cell>
        </row>
        <row r="11">
          <cell r="C11"/>
        </row>
        <row r="12">
          <cell r="C12"/>
        </row>
        <row r="13">
          <cell r="C13"/>
        </row>
        <row r="14">
          <cell r="C14"/>
        </row>
        <row r="15">
          <cell r="C15"/>
        </row>
        <row r="16">
          <cell r="C16"/>
        </row>
        <row r="17">
          <cell r="C17"/>
        </row>
        <row r="18">
          <cell r="C18"/>
        </row>
        <row r="19">
          <cell r="C19"/>
        </row>
        <row r="20">
          <cell r="C20"/>
        </row>
        <row r="21">
          <cell r="C21"/>
        </row>
        <row r="22">
          <cell r="C22"/>
        </row>
        <row r="23">
          <cell r="C23"/>
        </row>
        <row r="24">
          <cell r="C24"/>
        </row>
        <row r="25">
          <cell r="C25"/>
        </row>
        <row r="26">
          <cell r="C26"/>
        </row>
        <row r="27">
          <cell r="C27"/>
        </row>
        <row r="28">
          <cell r="C28"/>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2">
          <cell r="C42"/>
        </row>
        <row r="44">
          <cell r="E44">
            <v>239000</v>
          </cell>
        </row>
        <row r="45">
          <cell r="E45">
            <v>204823.02</v>
          </cell>
        </row>
        <row r="46">
          <cell r="E46">
            <v>11744.259443010687</v>
          </cell>
        </row>
        <row r="47">
          <cell r="E47">
            <v>174164</v>
          </cell>
        </row>
        <row r="48">
          <cell r="E48">
            <v>1133.9438066465257</v>
          </cell>
        </row>
        <row r="49">
          <cell r="E49">
            <v>1563.5438066465258</v>
          </cell>
        </row>
        <row r="50">
          <cell r="E50">
            <v>68361.07707344096</v>
          </cell>
        </row>
        <row r="51">
          <cell r="E51"/>
        </row>
        <row r="52">
          <cell r="E52">
            <v>6836.1077073440965</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J3S5AVZASJNGLECZJKKVUGZBJ">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Exterior"/>
      <sheetName val="Demo &amp; Trash Haul"/>
      <sheetName val="Appliances"/>
      <sheetName val="Plumbing Fixtures"/>
      <sheetName val="Windows &amp; Doors"/>
      <sheetName val="Cabinets"/>
      <sheetName val="Paint"/>
      <sheetName val="Flooring"/>
      <sheetName val="HVAC"/>
      <sheetName val="Electrical Fixtures"/>
      <sheetName val="STR"/>
      <sheetName val="Landscape"/>
      <sheetName val="2024"/>
      <sheetName val="2023"/>
      <sheetName val="2022"/>
      <sheetName val="2021"/>
      <sheetName val="2020"/>
      <sheetName val="Furnishing"/>
      <sheetName val="22_Project Management - 1343 Ol"/>
      <sheetName val="Sheet1"/>
      <sheetName val="Sheet2"/>
    </sheetNames>
    <sheetDataSet>
      <sheetData sheetId="0"/>
      <sheetData sheetId="1"/>
      <sheetData sheetId="2"/>
      <sheetData sheetId="3"/>
      <sheetData sheetId="4">
        <row r="3">
          <cell r="C3" t="str">
            <v>Yes</v>
          </cell>
        </row>
        <row r="4">
          <cell r="C4" t="str">
            <v>Yes</v>
          </cell>
        </row>
        <row r="5">
          <cell r="C5" t="str">
            <v>Yes</v>
          </cell>
        </row>
        <row r="6">
          <cell r="C6" t="str">
            <v>yes</v>
          </cell>
        </row>
        <row r="7">
          <cell r="C7"/>
        </row>
        <row r="8">
          <cell r="C8"/>
        </row>
        <row r="9">
          <cell r="C9" t="str">
            <v>Yes</v>
          </cell>
        </row>
        <row r="10">
          <cell r="C10" t="str">
            <v>n/a</v>
          </cell>
        </row>
        <row r="11">
          <cell r="C11"/>
        </row>
        <row r="12">
          <cell r="C12"/>
        </row>
        <row r="13">
          <cell r="C13"/>
        </row>
        <row r="14">
          <cell r="C14"/>
        </row>
        <row r="15">
          <cell r="C15"/>
        </row>
        <row r="16">
          <cell r="C16"/>
        </row>
        <row r="17">
          <cell r="C17"/>
        </row>
        <row r="18">
          <cell r="C18"/>
        </row>
        <row r="19">
          <cell r="C19"/>
        </row>
        <row r="20">
          <cell r="C20"/>
        </row>
        <row r="21">
          <cell r="C21"/>
        </row>
        <row r="22">
          <cell r="C22"/>
        </row>
        <row r="23">
          <cell r="C23"/>
        </row>
        <row r="24">
          <cell r="C24"/>
        </row>
        <row r="25">
          <cell r="C25"/>
        </row>
        <row r="26">
          <cell r="C26"/>
        </row>
        <row r="27">
          <cell r="C27"/>
        </row>
        <row r="28">
          <cell r="C28"/>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375000</v>
          </cell>
        </row>
        <row r="45">
          <cell r="E45">
            <v>126750.1</v>
          </cell>
        </row>
        <row r="46">
          <cell r="E46">
            <v>200334.77554999999</v>
          </cell>
        </row>
        <row r="47">
          <cell r="E47">
            <v>197509.1</v>
          </cell>
        </row>
        <row r="48">
          <cell r="E48">
            <v>0</v>
          </cell>
        </row>
        <row r="49">
          <cell r="E49">
            <v>0</v>
          </cell>
        </row>
        <row r="50">
          <cell r="E50">
            <v>124665.22445000004</v>
          </cell>
        </row>
        <row r="51">
          <cell r="E51"/>
        </row>
        <row r="52">
          <cell r="E5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4XSAG27XHWRBZGUMAPNZGIIGX">
      <xxl21:absoluteUrl r:id="rId2"/>
    </xxl21:alternateUrls>
    <sheetNames>
      <sheetName val="Profit"/>
      <sheetName val="MOG"/>
      <sheetName val="Todo"/>
      <sheetName val="Contact"/>
      <sheetName val="Carrying"/>
      <sheetName val="Contract"/>
      <sheetName val="UpdateContract"/>
      <sheetName val="Gnatt Chart"/>
      <sheetName val="Recap"/>
      <sheetName val="Taxes"/>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3"/>
      <sheetName val="2022"/>
      <sheetName val="2021"/>
      <sheetName val="2020"/>
      <sheetName val="20_Project Management - 115 Ros"/>
    </sheetNames>
    <sheetDataSet>
      <sheetData sheetId="0"/>
      <sheetData sheetId="1"/>
      <sheetData sheetId="2">
        <row r="3">
          <cell r="C3" t="str">
            <v>Yes</v>
          </cell>
        </row>
        <row r="4">
          <cell r="C4" t="str">
            <v>Yes</v>
          </cell>
        </row>
        <row r="5">
          <cell r="C5" t="str">
            <v>Yes</v>
          </cell>
        </row>
        <row r="6">
          <cell r="C6" t="str">
            <v>yes</v>
          </cell>
        </row>
        <row r="7">
          <cell r="C7"/>
        </row>
        <row r="8">
          <cell r="C8"/>
        </row>
        <row r="9">
          <cell r="C9"/>
        </row>
        <row r="10">
          <cell r="C10" t="str">
            <v>yes</v>
          </cell>
        </row>
        <row r="11">
          <cell r="C11"/>
        </row>
        <row r="12">
          <cell r="C12"/>
        </row>
        <row r="13">
          <cell r="C13"/>
        </row>
        <row r="14">
          <cell r="C14" t="str">
            <v xml:space="preserve"> </v>
          </cell>
        </row>
        <row r="15">
          <cell r="C15" t="str">
            <v>n/a</v>
          </cell>
        </row>
        <row r="16">
          <cell r="C16" t="str">
            <v xml:space="preserve"> n/a</v>
          </cell>
        </row>
        <row r="17">
          <cell r="C17" t="str">
            <v xml:space="preserve"> </v>
          </cell>
        </row>
        <row r="18">
          <cell r="C18" t="str">
            <v xml:space="preserve"> </v>
          </cell>
        </row>
        <row r="19">
          <cell r="C19" t="str">
            <v xml:space="preserve"> </v>
          </cell>
        </row>
        <row r="20">
          <cell r="C20" t="str">
            <v>yes</v>
          </cell>
        </row>
        <row r="21">
          <cell r="C21" t="str">
            <v xml:space="preserve"> </v>
          </cell>
        </row>
        <row r="22">
          <cell r="C22" t="str">
            <v xml:space="preserve"> </v>
          </cell>
        </row>
        <row r="23">
          <cell r="C23" t="str">
            <v xml:space="preserve"> </v>
          </cell>
        </row>
        <row r="24">
          <cell r="C24" t="str">
            <v>yes</v>
          </cell>
        </row>
        <row r="25">
          <cell r="C25"/>
        </row>
        <row r="26">
          <cell r="C26"/>
        </row>
        <row r="27">
          <cell r="C27"/>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289000</v>
          </cell>
        </row>
        <row r="45">
          <cell r="E45">
            <v>209324.04450000002</v>
          </cell>
        </row>
        <row r="46">
          <cell r="E46">
            <v>37573.025187499996</v>
          </cell>
        </row>
        <row r="47">
          <cell r="E47">
            <v>181057.16</v>
          </cell>
        </row>
        <row r="48">
          <cell r="E48">
            <v>1477.1203178206588</v>
          </cell>
        </row>
        <row r="49">
          <cell r="E49">
            <v>0</v>
          </cell>
        </row>
        <row r="50">
          <cell r="E50">
            <v>191224.29347916669</v>
          </cell>
        </row>
        <row r="51">
          <cell r="E51"/>
        </row>
        <row r="52">
          <cell r="E52">
            <v>19122.42934791667</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KYSK4JAZNXNNHYSFLXXGA45WJR">
      <xxl21:absoluteUrl r:id="rId2"/>
    </xxl21:alternateUrls>
    <sheetNames>
      <sheetName val="Profit"/>
      <sheetName val="MOG"/>
      <sheetName val="Todo"/>
      <sheetName val="Contact"/>
      <sheetName val="Carrying"/>
      <sheetName val="Contract"/>
      <sheetName val="UpdateContract"/>
      <sheetName val="Gnatt Chart"/>
      <sheetName val="Recap"/>
      <sheetName val="Taxes"/>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19_Project Management - 1426 Pl"/>
    </sheetNames>
    <sheetDataSet>
      <sheetData sheetId="0"/>
      <sheetData sheetId="1"/>
      <sheetData sheetId="2">
        <row r="3">
          <cell r="C3" t="str">
            <v>Yes</v>
          </cell>
        </row>
        <row r="4">
          <cell r="C4" t="str">
            <v>Yes</v>
          </cell>
        </row>
        <row r="5">
          <cell r="C5" t="str">
            <v>Yes</v>
          </cell>
        </row>
        <row r="6">
          <cell r="C6" t="str">
            <v>yes</v>
          </cell>
        </row>
        <row r="7">
          <cell r="C7"/>
        </row>
        <row r="8">
          <cell r="C8"/>
        </row>
        <row r="9">
          <cell r="C9"/>
        </row>
        <row r="10">
          <cell r="C10" t="str">
            <v>yes</v>
          </cell>
        </row>
        <row r="11">
          <cell r="C11"/>
        </row>
        <row r="12">
          <cell r="C12"/>
        </row>
        <row r="13">
          <cell r="C13"/>
        </row>
        <row r="14">
          <cell r="C14" t="str">
            <v>yes</v>
          </cell>
        </row>
        <row r="15">
          <cell r="C15" t="str">
            <v>yes</v>
          </cell>
        </row>
        <row r="16">
          <cell r="C16" t="str">
            <v>yes</v>
          </cell>
        </row>
        <row r="17">
          <cell r="C17" t="str">
            <v>yes</v>
          </cell>
        </row>
        <row r="18">
          <cell r="C18" t="str">
            <v>yes</v>
          </cell>
        </row>
        <row r="19">
          <cell r="C19" t="str">
            <v xml:space="preserve"> na</v>
          </cell>
        </row>
        <row r="20">
          <cell r="C20" t="str">
            <v>yes</v>
          </cell>
        </row>
        <row r="21">
          <cell r="C21" t="str">
            <v>na</v>
          </cell>
        </row>
        <row r="22">
          <cell r="C22" t="str">
            <v>yes</v>
          </cell>
        </row>
        <row r="23">
          <cell r="C23" t="str">
            <v>yes</v>
          </cell>
        </row>
        <row r="24">
          <cell r="C24" t="str">
            <v>yes</v>
          </cell>
        </row>
        <row r="25">
          <cell r="C25" t="str">
            <v>yes</v>
          </cell>
        </row>
        <row r="26">
          <cell r="C26" t="str">
            <v>yes</v>
          </cell>
        </row>
        <row r="27">
          <cell r="C27"/>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341700</v>
          </cell>
        </row>
        <row r="45">
          <cell r="E45">
            <v>182784</v>
          </cell>
        </row>
        <row r="46">
          <cell r="E46">
            <v>47412.056299999997</v>
          </cell>
        </row>
        <row r="47">
          <cell r="E47">
            <v>273784</v>
          </cell>
        </row>
        <row r="48">
          <cell r="E48">
            <v>2395.7597826086949</v>
          </cell>
        </row>
        <row r="49">
          <cell r="E49">
            <v>2225</v>
          </cell>
        </row>
        <row r="50">
          <cell r="E50">
            <v>131188.02054500004</v>
          </cell>
        </row>
        <row r="51">
          <cell r="E51">
            <v>13118.802054500004</v>
          </cell>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POZ4WDEWUUXZEYUZSMQ2KG2W3J">
      <xxl21:absoluteUrl r:id="rId2"/>
    </xxl21:alternateUrls>
    <sheetNames>
      <sheetName val="Profit"/>
      <sheetName val="MOG"/>
      <sheetName val="Todo"/>
      <sheetName val="Contact"/>
      <sheetName val="Example Proposal"/>
      <sheetName val="Proposal"/>
      <sheetName val="ProposalUpdate"/>
      <sheetName val="Gnatt Chart"/>
      <sheetName val="Taxes"/>
      <sheetName val="Financing"/>
      <sheetName val="Seller Advance"/>
      <sheetName val="MISC 2"/>
      <sheetName val="Demo &amp; Trash Haul"/>
      <sheetName val="Appliances"/>
      <sheetName val="Plumbing Fixtures"/>
      <sheetName val="Sheet1"/>
      <sheetName val="Sheet2"/>
      <sheetName val="Windows &amp; Doors"/>
      <sheetName val="Cabinets"/>
      <sheetName val="Paint"/>
      <sheetName val="Flooring"/>
      <sheetName val="HVAC"/>
      <sheetName val="Electrical Fixtures"/>
      <sheetName val="Landscape"/>
      <sheetName val="Sheet5"/>
      <sheetName val="Exterior"/>
      <sheetName val="Sheet3"/>
      <sheetName val="Sheet4"/>
      <sheetName val="17_Project Management - 3413 Pi"/>
    </sheetNames>
    <sheetDataSet>
      <sheetData sheetId="0"/>
      <sheetData sheetId="1"/>
      <sheetData sheetId="2">
        <row r="3">
          <cell r="C3" t="str">
            <v>Yes</v>
          </cell>
        </row>
        <row r="4">
          <cell r="C4" t="str">
            <v>Yes</v>
          </cell>
        </row>
        <row r="5">
          <cell r="C5" t="str">
            <v>Yes</v>
          </cell>
        </row>
        <row r="6">
          <cell r="C6" t="str">
            <v>Yes</v>
          </cell>
        </row>
        <row r="7">
          <cell r="C7" t="str">
            <v>yes</v>
          </cell>
        </row>
        <row r="8">
          <cell r="C8" t="str">
            <v>yes</v>
          </cell>
        </row>
        <row r="9">
          <cell r="C9" t="str">
            <v>na</v>
          </cell>
        </row>
        <row r="10">
          <cell r="C10" t="str">
            <v>na</v>
          </cell>
        </row>
        <row r="11">
          <cell r="C11"/>
        </row>
        <row r="12">
          <cell r="C12"/>
        </row>
        <row r="13">
          <cell r="C13"/>
        </row>
        <row r="14">
          <cell r="C14"/>
        </row>
        <row r="15">
          <cell r="C15"/>
        </row>
        <row r="16">
          <cell r="C16"/>
        </row>
        <row r="17">
          <cell r="C17"/>
        </row>
        <row r="18">
          <cell r="C18"/>
        </row>
        <row r="19">
          <cell r="C19" t="str">
            <v xml:space="preserve"> </v>
          </cell>
        </row>
        <row r="20">
          <cell r="C20" t="str">
            <v>yes</v>
          </cell>
        </row>
        <row r="21">
          <cell r="C21"/>
        </row>
        <row r="22">
          <cell r="C22"/>
        </row>
        <row r="23">
          <cell r="C23"/>
        </row>
        <row r="24">
          <cell r="C24" t="str">
            <v>yes</v>
          </cell>
        </row>
        <row r="25">
          <cell r="C25"/>
        </row>
        <row r="26">
          <cell r="C26"/>
        </row>
        <row r="27">
          <cell r="C27"/>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287000</v>
          </cell>
        </row>
        <row r="45">
          <cell r="E45">
            <v>185424.13125000001</v>
          </cell>
        </row>
        <row r="46">
          <cell r="E46">
            <v>5676.2640000000001</v>
          </cell>
        </row>
        <row r="47">
          <cell r="E47">
            <v>142424</v>
          </cell>
        </row>
        <row r="48">
          <cell r="E48">
            <v>890.28000000000009</v>
          </cell>
        </row>
        <row r="49">
          <cell r="E49">
            <v>890.3</v>
          </cell>
        </row>
        <row r="50">
          <cell r="E50">
            <v>104394.49600000001</v>
          </cell>
        </row>
        <row r="51">
          <cell r="E51">
            <v>10439.449600000002</v>
          </cell>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NWO5RG472LJRFJXGO6Y3E27XWB">
      <xxl21:absoluteUrl r:id="rId2"/>
    </xxl21:alternateUrls>
    <sheetNames>
      <sheetName val="Profit"/>
      <sheetName val="MOG"/>
      <sheetName val="Todo"/>
      <sheetName val="Contact"/>
      <sheetName val="Carrying"/>
      <sheetName val="Proposal"/>
      <sheetName val="ProposalUpdate"/>
      <sheetName val="Gnatt Chart"/>
      <sheetName val="Taxes"/>
      <sheetName val="Financing"/>
      <sheetName val="Seller Advance"/>
      <sheetName val="MISC 2"/>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13_Project Management  - 3325 B"/>
    </sheetNames>
    <sheetDataSet>
      <sheetData sheetId="0"/>
      <sheetData sheetId="1"/>
      <sheetData sheetId="2">
        <row r="3">
          <cell r="C3" t="str">
            <v>Yes</v>
          </cell>
        </row>
        <row r="4">
          <cell r="C4" t="str">
            <v>Yes</v>
          </cell>
        </row>
        <row r="5">
          <cell r="C5" t="str">
            <v>Yes</v>
          </cell>
        </row>
        <row r="6">
          <cell r="C6" t="str">
            <v>Yes</v>
          </cell>
        </row>
        <row r="7">
          <cell r="C7" t="str">
            <v>yes</v>
          </cell>
        </row>
        <row r="8">
          <cell r="C8" t="str">
            <v>yes</v>
          </cell>
        </row>
        <row r="9">
          <cell r="C9" t="str">
            <v>na</v>
          </cell>
        </row>
        <row r="10">
          <cell r="C10" t="str">
            <v>na</v>
          </cell>
        </row>
        <row r="11">
          <cell r="C11"/>
        </row>
        <row r="12">
          <cell r="C12"/>
        </row>
        <row r="13">
          <cell r="C13" t="str">
            <v>na</v>
          </cell>
        </row>
        <row r="14">
          <cell r="C14" t="str">
            <v>na</v>
          </cell>
        </row>
        <row r="15">
          <cell r="C15" t="str">
            <v>na</v>
          </cell>
        </row>
        <row r="16">
          <cell r="C16" t="str">
            <v>yes</v>
          </cell>
        </row>
        <row r="17">
          <cell r="C17"/>
        </row>
        <row r="18">
          <cell r="C18" t="str">
            <v>yes</v>
          </cell>
        </row>
        <row r="19">
          <cell r="C19" t="str">
            <v>na</v>
          </cell>
        </row>
        <row r="20">
          <cell r="C20" t="str">
            <v>yes</v>
          </cell>
        </row>
        <row r="21">
          <cell r="C21" t="str">
            <v>na</v>
          </cell>
        </row>
        <row r="22">
          <cell r="C22" t="str">
            <v>yes</v>
          </cell>
        </row>
        <row r="23">
          <cell r="C23" t="str">
            <v>yes</v>
          </cell>
        </row>
        <row r="24">
          <cell r="C24" t="str">
            <v>yes</v>
          </cell>
        </row>
        <row r="25">
          <cell r="C25" t="str">
            <v>yes</v>
          </cell>
        </row>
        <row r="26">
          <cell r="C26" t="str">
            <v>na</v>
          </cell>
        </row>
        <row r="27">
          <cell r="C27"/>
        </row>
        <row r="28">
          <cell r="C28" t="str">
            <v>na</v>
          </cell>
        </row>
        <row r="29">
          <cell r="C29"/>
        </row>
        <row r="30">
          <cell r="C30"/>
        </row>
        <row r="31">
          <cell r="C31"/>
        </row>
        <row r="32">
          <cell r="C32"/>
        </row>
        <row r="33">
          <cell r="C33"/>
        </row>
        <row r="34">
          <cell r="C34"/>
        </row>
        <row r="38">
          <cell r="C38"/>
        </row>
        <row r="39">
          <cell r="C39"/>
        </row>
        <row r="40">
          <cell r="C40"/>
        </row>
        <row r="41">
          <cell r="C41"/>
        </row>
        <row r="44">
          <cell r="E44">
            <v>439000</v>
          </cell>
        </row>
        <row r="45">
          <cell r="E45">
            <v>147682.86124999999</v>
          </cell>
        </row>
        <row r="46">
          <cell r="E46">
            <v>31424.184000000001</v>
          </cell>
        </row>
        <row r="47">
          <cell r="E47">
            <v>200037.72999999998</v>
          </cell>
        </row>
        <row r="48">
          <cell r="E48">
            <v>1277.8908783783791</v>
          </cell>
        </row>
        <row r="49">
          <cell r="E49">
            <v>0</v>
          </cell>
        </row>
        <row r="50">
          <cell r="E50">
            <v>129418.94599999997</v>
          </cell>
        </row>
        <row r="51">
          <cell r="E51">
            <v>12941.894599999998</v>
          </cell>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O5QEQ7M544BRELUSIAOY3CVLKE">
      <xxl21:absoluteUrl r:id="rId2"/>
    </xxl21:alternateUrls>
    <sheetNames>
      <sheetName val="Profit"/>
      <sheetName val="Amortization"/>
      <sheetName val="Docs"/>
      <sheetName val="Sheet1"/>
      <sheetName val="MOG"/>
      <sheetName val="Todo"/>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Exterior"/>
      <sheetName val="Landscape"/>
      <sheetName val="2024"/>
      <sheetName val="STR"/>
      <sheetName val="2023"/>
      <sheetName val="2022"/>
      <sheetName val="2021"/>
      <sheetName val="2020"/>
      <sheetName val="Furnishing"/>
      <sheetName val="Sheet2"/>
      <sheetName val="Sheet3"/>
      <sheetName val="Sheet4"/>
      <sheetName val="Sheet5"/>
      <sheetName val="Sheet6"/>
      <sheetName val="Sheet7"/>
      <sheetName val="Sheet8"/>
      <sheetName val="Sheet9"/>
      <sheetName val="Sheet10"/>
      <sheetName val="Sheet11"/>
      <sheetName val="Sheet12"/>
      <sheetName val="Sheet13"/>
    </sheetNames>
    <sheetDataSet>
      <sheetData sheetId="0"/>
      <sheetData sheetId="1"/>
      <sheetData sheetId="2"/>
      <sheetData sheetId="3"/>
      <sheetData sheetId="4"/>
      <sheetData sheetId="5">
        <row r="44">
          <cell r="E44">
            <v>399000</v>
          </cell>
        </row>
        <row r="45">
          <cell r="E45">
            <v>136402.79</v>
          </cell>
        </row>
        <row r="46">
          <cell r="E46">
            <v>9836.542594999999</v>
          </cell>
        </row>
        <row r="47">
          <cell r="E47">
            <v>223480.66999999998</v>
          </cell>
        </row>
        <row r="48">
          <cell r="E48">
            <v>1519.017685714286</v>
          </cell>
        </row>
        <row r="49">
          <cell r="E49">
            <v>2</v>
          </cell>
        </row>
        <row r="50">
          <cell r="E50">
            <v>193865.39934424998</v>
          </cell>
        </row>
        <row r="51">
          <cell r="E51"/>
        </row>
        <row r="52">
          <cell r="E52"/>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JX4TR5QBFBDBG2RQTZNGHMZVZV">
      <xxl21:absoluteUrl r:id="rId2"/>
    </xxl21:alternateUrls>
    <sheetNames>
      <sheetName val="Profit"/>
      <sheetName val="Amortization"/>
      <sheetName val="Docs"/>
      <sheetName val="MOG"/>
      <sheetName val="Todo"/>
      <sheetName val="Past"/>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STR"/>
      <sheetName val="Landscape"/>
      <sheetName val="Exterior"/>
      <sheetName val="Furnishing"/>
      <sheetName val="Depends"/>
      <sheetName val="Glasgow"/>
      <sheetName val="Tim"/>
      <sheetName val="Others"/>
      <sheetName val="Sheet1"/>
      <sheetName val="Draws"/>
      <sheetName val="Lumber"/>
      <sheetName val="Smart"/>
      <sheetName val="2024"/>
      <sheetName val="2023"/>
      <sheetName val="2022"/>
      <sheetName val="2021"/>
      <sheetName val="2020"/>
    </sheetNames>
    <sheetDataSet>
      <sheetData sheetId="0"/>
      <sheetData sheetId="1"/>
      <sheetData sheetId="2"/>
      <sheetData sheetId="3"/>
      <sheetData sheetId="4">
        <row r="44">
          <cell r="E44"/>
        </row>
        <row r="45">
          <cell r="E45"/>
        </row>
        <row r="46">
          <cell r="E46"/>
        </row>
        <row r="47">
          <cell r="E47"/>
        </row>
        <row r="48">
          <cell r="E48"/>
        </row>
        <row r="49">
          <cell r="E49"/>
        </row>
        <row r="50">
          <cell r="E50"/>
        </row>
        <row r="51">
          <cell r="E51"/>
        </row>
        <row r="52">
          <cell r="E5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NQEWEPX3YGHZFYAFNBA3XOUXD4">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Invoice"/>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STR"/>
      <sheetName val="2024"/>
      <sheetName val="2023"/>
      <sheetName val="2022"/>
      <sheetName val="2021"/>
      <sheetName val="2020"/>
      <sheetName val="Furnishing"/>
    </sheetNames>
    <sheetDataSet>
      <sheetData sheetId="0"/>
      <sheetData sheetId="1"/>
      <sheetData sheetId="2"/>
      <sheetData sheetId="3"/>
      <sheetData sheetId="4">
        <row r="44">
          <cell r="E44">
            <v>276800</v>
          </cell>
        </row>
        <row r="45">
          <cell r="E45">
            <v>130291.26</v>
          </cell>
        </row>
        <row r="46">
          <cell r="E46">
            <v>27991.342402099999</v>
          </cell>
        </row>
        <row r="47">
          <cell r="E47">
            <v>199694</v>
          </cell>
        </row>
        <row r="48">
          <cell r="E48">
            <v>914.8075278688525</v>
          </cell>
        </row>
        <row r="49">
          <cell r="E49">
            <v>1800</v>
          </cell>
        </row>
        <row r="50">
          <cell r="E50">
            <v>139293.48783591992</v>
          </cell>
        </row>
        <row r="51">
          <cell r="E51"/>
        </row>
        <row r="52">
          <cell r="E5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THOTI2KZAVBFL5JLX7SQQKMCB">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4"/>
      <sheetName val="2023"/>
      <sheetName val="2022"/>
      <sheetName val="2021"/>
      <sheetName val="2020"/>
      <sheetName val="STR"/>
      <sheetName val="Furnishing"/>
      <sheetName val="23_Project Management - 6316 Wi"/>
    </sheetNames>
    <sheetDataSet>
      <sheetData sheetId="0"/>
      <sheetData sheetId="1"/>
      <sheetData sheetId="2"/>
      <sheetData sheetId="3"/>
      <sheetData sheetId="4">
        <row r="44">
          <cell r="E44">
            <v>425000</v>
          </cell>
        </row>
        <row r="45">
          <cell r="E45">
            <v>281338.38</v>
          </cell>
        </row>
        <row r="46">
          <cell r="E46">
            <v>56164.766025000004</v>
          </cell>
        </row>
        <row r="47">
          <cell r="E47">
            <v>256982.44</v>
          </cell>
        </row>
        <row r="48">
          <cell r="E48">
            <v>0</v>
          </cell>
        </row>
        <row r="49">
          <cell r="E49">
            <v>0</v>
          </cell>
        </row>
        <row r="50">
          <cell r="E50">
            <v>39419.87397499998</v>
          </cell>
        </row>
        <row r="51">
          <cell r="E51"/>
        </row>
        <row r="52">
          <cell r="E5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N5Z4V4SGGUH5DYEGSHEVYY7PSC">
      <xxl21:absoluteUrl r:id="rId2"/>
    </xxl21:alternateUrls>
    <sheetNames>
      <sheetName val="Cards"/>
      <sheetName val="Balances"/>
      <sheetName val="Mega Success"/>
      <sheetName val="Mortgages"/>
      <sheetName val="Private Lenders"/>
      <sheetName val="Projects"/>
      <sheetName val="Past Projects"/>
    </sheetNames>
    <sheetDataSet>
      <sheetData sheetId="0">
        <row r="65">
          <cell r="O65">
            <v>69700</v>
          </cell>
        </row>
        <row r="66">
          <cell r="O66">
            <v>57000</v>
          </cell>
        </row>
        <row r="67">
          <cell r="J67"/>
        </row>
      </sheetData>
      <sheetData sheetId="1"/>
      <sheetData sheetId="2"/>
      <sheetData sheetId="3"/>
      <sheetData sheetId="4"/>
      <sheetData sheetId="5"/>
      <sheetData sheetId="6"/>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2-04-24T18:21:41.32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14T21:32:22.78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3:55:29.03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5:14:16.71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5:14:16.71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4:54:45.4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6T11:59:44.4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2T20:42:42.93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87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87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87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87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89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89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89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89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89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89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89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91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91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91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91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91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91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3T16:48:32.9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2:52.30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3:34.91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4:41.03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9:33.8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10:08.87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34" totalsRowShown="0" headerRowDxfId="31" headerRowBorderDxfId="30">
  <autoFilter ref="A11:E34" xr:uid="{E8A9C9B7-BAF7-4CAB-9067-DC10D354858C}"/>
  <tableColumns count="5">
    <tableColumn id="1" xr3:uid="{9A4F1599-587C-4C12-AC23-D5B3879D1321}" name="Cost Code" dataDxfId="29"/>
    <tableColumn id="2" xr3:uid="{3ACCA719-70D2-4F0D-A8A3-69AE3272D3C1}" name="Title" dataDxfId="28"/>
    <tableColumn id="3" xr3:uid="{661FF8D2-2D43-4F8B-B73F-EC14A34B7050}" name="Description" dataDxfId="27"/>
    <tableColumn id="5" xr3:uid="{96319F4C-C120-4B14-BEB7-1D271C147258}" name="Qty" dataDxfId="26"/>
    <tableColumn id="6" xr3:uid="{CAFF8447-B9F2-4425-B2CD-C62CE1EB051F}" name="Unit Price" dataDxfId="25"/>
  </tableColumns>
  <tableStyleInfo name="TableStyleLight1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27" tableType="queryTable" totalsRowShown="0" headerRowDxfId="24" dataDxfId="23">
  <autoFilter ref="A4:N27" xr:uid="{4A34AA4E-C13A-41A2-95E8-83E7E9409806}"/>
  <tableColumns count="14">
    <tableColumn id="8" xr3:uid="{96E49A5C-5367-4ACB-B14D-E01CC163A0F1}" uniqueName="8" name="Party" queryTableFieldId="8" dataDxfId="22">
      <calculatedColumnFormula>+IF(FromProposal[[#This Row],[Cost Code]]&lt;&gt;0,+'Gnatt Chart'!$A$2,"")</calculatedColumnFormula>
    </tableColumn>
    <tableColumn id="1" xr3:uid="{6ADBCE42-4844-4052-8DB6-AB34AD671DD5}" uniqueName="1" name="Item" queryTableFieldId="15" dataDxfId="21"/>
    <tableColumn id="2" xr3:uid="{33F8A9BB-342C-4F7D-B125-F381BCB77C64}" uniqueName="2" name="Cost Code" queryTableFieldId="2" dataDxfId="20"/>
    <tableColumn id="3" xr3:uid="{EAE8FFCB-2C04-49B6-85CD-78C67097E902}" uniqueName="3" name="Title" queryTableFieldId="3" dataDxfId="19"/>
    <tableColumn id="4" xr3:uid="{439B82DD-03F8-428D-9245-8543A46F29DC}" uniqueName="4" name="Description" queryTableFieldId="4" dataDxfId="18"/>
    <tableColumn id="5" xr3:uid="{1E080297-D531-4180-92D4-1B19AACF49C1}" uniqueName="5" name="Qty" queryTableFieldId="5" dataDxfId="17"/>
    <tableColumn id="6" xr3:uid="{575B5FBE-3F82-40CD-8A54-810E146EF82F}" uniqueName="6" name="Unit Price" queryTableFieldId="6" dataDxfId="16"/>
    <tableColumn id="7" xr3:uid="{766B7F26-7C49-427A-A617-067C40444D87}" uniqueName="7" name="Price" queryTableFieldId="7" dataDxfId="15"/>
    <tableColumn id="9" xr3:uid="{A5701DF5-B99B-45EC-8FC5-7061E5C93440}" uniqueName="9" name="Done" queryTableFieldId="17" dataDxfId="14"/>
    <tableColumn id="14" xr3:uid="{1C4B67EF-B985-4B9A-9327-556AFBB5C4A1}" uniqueName="14" name="Group Order" queryTableFieldId="20" dataDxfId="13"/>
    <tableColumn id="12" xr3:uid="{A3E3248C-A9FB-45EA-9F9E-83897992215A}" uniqueName="12" name="Start Date" queryTableFieldId="12" dataDxfId="12"/>
    <tableColumn id="15" xr3:uid="{E31CECDC-7A24-4472-8474-4283CEDBD8FC}" uniqueName="15" name="Days" queryTableFieldId="14" dataDxfId="11"/>
    <tableColumn id="10" xr3:uid="{3EA3D46A-2606-48C3-B90D-0603A94FFB2E}" uniqueName="10" name="Paid" queryTableFieldId="18" dataDxfId="10"/>
    <tableColumn id="13" xr3:uid="{7268DDA6-B96D-499B-92E4-F124E0D116A3}" uniqueName="13" name="Notes" queryTableFieldId="19" dataDxfId="9"/>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50" tableType="queryTable" totalsRowShown="0" headerRowDxfId="74" dataDxfId="73">
  <sortState xmlns:xlrd2="http://schemas.microsoft.com/office/spreadsheetml/2017/richdata2" ref="A28:O50">
    <sortCondition ref="J28:J81"/>
    <sortCondition ref="K28:K81"/>
  </sortState>
  <tableColumns count="15">
    <tableColumn id="106" xr3:uid="{88C796C4-2105-4C93-8E7A-CCEA28B0DF71}" uniqueName="106" name="Party" queryTableFieldId="1" dataDxfId="72"/>
    <tableColumn id="107" xr3:uid="{541F33A4-C6A3-44C5-81DB-FAA61B7F72AB}" uniqueName="107" name="Item" queryTableFieldId="2" dataDxfId="71"/>
    <tableColumn id="108" xr3:uid="{3AE45ADE-D247-428D-BB07-058C3457BF76}" uniqueName="108" name="Cost Code" queryTableFieldId="3" dataDxfId="70"/>
    <tableColumn id="109" xr3:uid="{B0D5185D-6AD1-4E8D-B845-F1898A9538BA}" uniqueName="109" name="Title" queryTableFieldId="4" dataDxfId="69"/>
    <tableColumn id="110" xr3:uid="{BF5C7BBF-561F-458E-BF23-5B7C697DF8C9}" uniqueName="110" name="Description" queryTableFieldId="5" dataDxfId="68"/>
    <tableColumn id="111" xr3:uid="{F21AE756-8924-4878-8615-262AB0D00519}" uniqueName="111" name="Qty" queryTableFieldId="6" dataDxfId="67"/>
    <tableColumn id="112" xr3:uid="{0CD8A8A4-BACC-44F4-93A1-F713A821F322}" uniqueName="112" name="Unit Price" queryTableFieldId="7" dataDxfId="66"/>
    <tableColumn id="113" xr3:uid="{26C57DEB-9347-43DE-B22B-A524ED52F9F1}" uniqueName="113" name="Price" queryTableFieldId="8" dataDxfId="65"/>
    <tableColumn id="114" xr3:uid="{EBDB1F65-628C-4940-9612-1C3FD8569DC1}" uniqueName="114" name="Done" queryTableFieldId="9" dataDxfId="64"/>
    <tableColumn id="115" xr3:uid="{12EEE598-AD5C-449D-9592-F3BFFA8A06FB}" uniqueName="115" name="Group Order" queryTableFieldId="10" dataDxfId="63"/>
    <tableColumn id="116" xr3:uid="{C6321B43-2488-4F52-A140-04EF16631EAF}" uniqueName="116" name="Start Date" queryTableFieldId="11" dataDxfId="62"/>
    <tableColumn id="117" xr3:uid="{E22A3266-2A40-492B-9764-940B22EBAEF6}" uniqueName="117" name="Days" queryTableFieldId="12" dataDxfId="61"/>
    <tableColumn id="118" xr3:uid="{DA6448B5-75FA-40C7-BF8D-CB99AC089926}" uniqueName="118" name="Paid" queryTableFieldId="13" dataDxfId="60"/>
    <tableColumn id="3" xr3:uid="{0EAEDA6D-3B4A-4D63-BCE1-6489307C3CA2}" uniqueName="3" name="Due" queryTableFieldId="23" dataDxfId="59"/>
    <tableColumn id="1" xr3:uid="{67811F05-1AA8-4D00-9800-87B33F8463CE}" uniqueName="1" name="Notes" queryTableFieldId="24" dataDxfId="58"/>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12" tableType="queryTable" totalsRowShown="0" headerRowDxfId="8">
  <autoFilter ref="A4:G12" xr:uid="{A9173191-CA76-4BB7-A991-FBCCC52C2E75}"/>
  <tableColumns count="7">
    <tableColumn id="2" xr3:uid="{5315D4CD-9089-41CE-8EE5-55BE99227BDD}" uniqueName="2" name="Item" queryTableFieldId="2"/>
    <tableColumn id="1" xr3:uid="{F94FA115-4496-4EA8-AD0C-0E7350822860}" uniqueName="1" name="Title" queryTableFieldId="26" dataDxfId="7"/>
    <tableColumn id="16" xr3:uid="{2E21600F-1D2E-4263-85CB-0D780BA42B26}" uniqueName="16" name="Description" queryTableFieldId="16" dataDxfId="6"/>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14" totalsRowShown="0" headerRowDxfId="4">
  <autoFilter ref="I4:L14" xr:uid="{AFE18073-5D4F-460C-896E-63518DBAB661}"/>
  <tableColumns count="4">
    <tableColumn id="1" xr3:uid="{D2F6F89B-1339-44BD-B3B6-A0FE4A662111}" name="Item"/>
    <tableColumn id="2" xr3:uid="{6ADF6489-F006-4F7A-ADDC-AC8ADCE4324D}" name="Comment"/>
    <tableColumn id="4" xr3:uid="{B71CFF71-6B28-4E15-A04B-70E2BCF66326}" name="Date" dataDxfId="3"/>
    <tableColumn id="3" xr3:uid="{7F217056-0A60-4E0A-98C9-77B54AED492A}" name="Done"/>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2">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7.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s://loansphereservicingdigital.bkiconnect.com/villagecapital/" TargetMode="External"/><Relationship Id="rId5" Type="http://schemas.openxmlformats.org/officeDocument/2006/relationships/hyperlink" Target="mailto:w3638B0@" TargetMode="External"/><Relationship Id="rId4" Type="http://schemas.openxmlformats.org/officeDocument/2006/relationships/hyperlink" Target="mailto:BMiron@insurancehub.co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11.bin"/><Relationship Id="rId5" Type="http://schemas.openxmlformats.org/officeDocument/2006/relationships/table" Target="../tables/table3.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119"/>
  <sheetViews>
    <sheetView zoomScale="150" zoomScaleNormal="150" workbookViewId="0">
      <pane xSplit="1" ySplit="3" topLeftCell="B19" activePane="bottomRight" state="frozen"/>
      <selection pane="topRight" activeCell="C1" sqref="C1:E1"/>
      <selection pane="bottomLeft" activeCell="C1" sqref="C1:E1"/>
      <selection pane="bottomRight" activeCell="F49" sqref="F49"/>
    </sheetView>
  </sheetViews>
  <sheetFormatPr defaultColWidth="9.140625" defaultRowHeight="15" customHeight="1" x14ac:dyDescent="0.2"/>
  <cols>
    <col min="1" max="1" width="24.7109375" style="39" customWidth="1"/>
    <col min="2" max="2" width="7.28515625" style="39" customWidth="1"/>
    <col min="3" max="3" width="9.28515625" style="113" customWidth="1"/>
    <col min="4" max="4" width="10.140625" style="38" customWidth="1"/>
    <col min="5" max="5" width="11" style="38" customWidth="1"/>
    <col min="6" max="6" width="9.28515625" style="38" bestFit="1" customWidth="1"/>
    <col min="7" max="7" width="9.7109375" style="38" customWidth="1"/>
    <col min="8" max="8" width="8.7109375" style="39" customWidth="1"/>
    <col min="9" max="9" width="8.5703125" style="113" bestFit="1" customWidth="1"/>
    <col min="10" max="10" width="11.5703125" style="38" customWidth="1"/>
    <col min="11" max="11" width="9.5703125" style="38" customWidth="1"/>
    <col min="12" max="12" width="5.28515625" style="38" customWidth="1"/>
    <col min="13" max="13" width="21.140625" style="482" bestFit="1" customWidth="1"/>
    <col min="14" max="14" width="7.42578125" style="146" bestFit="1" customWidth="1"/>
    <col min="15" max="15" width="5.42578125" style="38" bestFit="1" customWidth="1"/>
    <col min="16" max="16" width="23.140625" style="39" bestFit="1" customWidth="1"/>
    <col min="17" max="17" width="5.42578125" style="38" bestFit="1" customWidth="1"/>
    <col min="18" max="18" width="5" style="38" customWidth="1"/>
    <col min="19" max="19" width="10.140625" style="38" bestFit="1" customWidth="1"/>
    <col min="20" max="20" width="11" style="38" bestFit="1" customWidth="1"/>
    <col min="21" max="21" width="11.28515625" style="38" customWidth="1"/>
    <col min="22" max="23" width="11" style="38" customWidth="1"/>
    <col min="24" max="24" width="6.7109375" style="38" customWidth="1"/>
    <col min="25" max="25" width="8.5703125" style="38" customWidth="1"/>
    <col min="26" max="26" width="10.42578125" style="38" customWidth="1"/>
    <col min="27" max="27" width="9.7109375" style="38" customWidth="1"/>
    <col min="28" max="28" width="10.5703125" style="38" customWidth="1"/>
    <col min="29" max="29" width="10.42578125" style="38" customWidth="1"/>
    <col min="30" max="16384" width="9.140625" style="38"/>
  </cols>
  <sheetData>
    <row r="1" spans="1:18" ht="21" customHeight="1" thickBot="1" x14ac:dyDescent="0.35">
      <c r="A1" s="39" t="s">
        <v>0</v>
      </c>
      <c r="B1" s="440" t="str">
        <f>IF(R3=1,"Flip","")</f>
        <v/>
      </c>
      <c r="C1" s="441" t="str">
        <f>IF(R3=2,"Hold","")</f>
        <v>Hold</v>
      </c>
      <c r="D1" s="441" t="str">
        <f>IF(R3=3,"Slow Flip","")</f>
        <v/>
      </c>
      <c r="E1" s="761" t="s">
        <v>1</v>
      </c>
      <c r="F1" s="762"/>
      <c r="G1" s="762"/>
      <c r="H1" s="762"/>
      <c r="P1" s="39" t="s">
        <v>2</v>
      </c>
      <c r="Q1" s="38" t="b">
        <v>0</v>
      </c>
    </row>
    <row r="2" spans="1:18" ht="16.5" customHeight="1" thickBot="1" x14ac:dyDescent="0.3">
      <c r="A2" s="114"/>
      <c r="B2" s="711" t="s">
        <v>3</v>
      </c>
      <c r="C2" s="712"/>
      <c r="D2" s="712"/>
      <c r="E2" s="709" t="s">
        <v>4</v>
      </c>
      <c r="F2" s="710"/>
      <c r="G2" s="512" t="s">
        <v>5</v>
      </c>
      <c r="H2" s="784" t="s">
        <v>6</v>
      </c>
      <c r="I2" s="785"/>
      <c r="J2" s="773" t="s">
        <v>7</v>
      </c>
      <c r="K2" s="696">
        <v>45715</v>
      </c>
      <c r="M2" s="494" t="s">
        <v>8</v>
      </c>
      <c r="N2" s="494"/>
      <c r="P2" s="39" t="s">
        <v>9</v>
      </c>
      <c r="Q2" s="38" t="b">
        <v>0</v>
      </c>
    </row>
    <row r="3" spans="1:18" ht="12" customHeight="1" thickBot="1" x14ac:dyDescent="0.25">
      <c r="A3" s="116" t="s">
        <v>10</v>
      </c>
      <c r="B3" s="117"/>
      <c r="D3" s="726" t="s">
        <v>11</v>
      </c>
      <c r="E3" s="726"/>
      <c r="F3" s="726" t="s">
        <v>12</v>
      </c>
      <c r="G3" s="720"/>
      <c r="H3" s="720"/>
      <c r="I3" s="740"/>
      <c r="J3" s="774"/>
      <c r="K3" s="697"/>
      <c r="P3" s="143" t="s">
        <v>13</v>
      </c>
      <c r="Q3" s="38" t="b">
        <v>0</v>
      </c>
      <c r="R3" s="38">
        <v>2</v>
      </c>
    </row>
    <row r="4" spans="1:18" ht="12" customHeight="1" thickBot="1" x14ac:dyDescent="0.25">
      <c r="A4" s="39" t="s">
        <v>14</v>
      </c>
      <c r="B4" s="786">
        <v>257300</v>
      </c>
      <c r="C4" s="787"/>
      <c r="D4" s="399"/>
      <c r="E4" s="426"/>
      <c r="F4" s="423"/>
      <c r="G4" s="423"/>
      <c r="H4" s="124"/>
      <c r="I4" s="125"/>
      <c r="P4" s="143" t="s">
        <v>15</v>
      </c>
      <c r="Q4" s="38" t="b">
        <v>1</v>
      </c>
    </row>
    <row r="5" spans="1:18" ht="12" customHeight="1" thickBot="1" x14ac:dyDescent="0.25">
      <c r="A5" s="39" t="s">
        <v>16</v>
      </c>
      <c r="B5" s="498">
        <f>+Amortization!M4</f>
        <v>0.05</v>
      </c>
      <c r="C5" s="356">
        <v>0</v>
      </c>
      <c r="D5" s="427"/>
      <c r="E5" s="428"/>
      <c r="F5" s="423"/>
      <c r="G5" s="423"/>
      <c r="H5" s="127"/>
      <c r="I5" s="128"/>
      <c r="N5" s="146" t="s">
        <v>17</v>
      </c>
      <c r="O5" s="288"/>
      <c r="P5" s="143" t="s">
        <v>18</v>
      </c>
      <c r="Q5" s="38" t="b">
        <v>1</v>
      </c>
    </row>
    <row r="6" spans="1:18" ht="12" customHeight="1" thickBot="1" x14ac:dyDescent="0.25">
      <c r="A6" s="39" t="s">
        <v>19</v>
      </c>
      <c r="B6" s="788">
        <f>IF(B1="Flip",B4,IF(C1="hold",B4*(1+C5),+Amortization!O3))</f>
        <v>257300</v>
      </c>
      <c r="C6" s="789"/>
      <c r="D6" s="427"/>
      <c r="E6" s="428"/>
      <c r="F6" s="423"/>
      <c r="G6" s="431">
        <f>IF(OR(R3=1,R3=2),$B$6,0)</f>
        <v>257300</v>
      </c>
      <c r="H6" s="127"/>
      <c r="I6" s="128"/>
      <c r="O6" s="288"/>
      <c r="P6" s="493"/>
      <c r="Q6" s="38" t="b">
        <v>1</v>
      </c>
    </row>
    <row r="7" spans="1:18" ht="12" customHeight="1" thickBot="1" x14ac:dyDescent="0.25">
      <c r="A7" s="39" t="s">
        <v>20</v>
      </c>
      <c r="B7" s="498">
        <f>+Amortization!O2</f>
        <v>0.1</v>
      </c>
      <c r="C7" s="373">
        <f>+B6*B7</f>
        <v>25730</v>
      </c>
      <c r="D7" s="374"/>
      <c r="E7" s="375">
        <f>IF(R3=3,+C7,0)</f>
        <v>0</v>
      </c>
      <c r="F7" s="424"/>
      <c r="G7" s="423"/>
      <c r="H7" s="127"/>
      <c r="I7" s="128"/>
      <c r="J7" s="773" t="s">
        <v>21</v>
      </c>
      <c r="K7" s="763">
        <v>0.03</v>
      </c>
      <c r="O7" s="288"/>
      <c r="P7" s="493"/>
    </row>
    <row r="8" spans="1:18" ht="12" customHeight="1" thickBot="1" x14ac:dyDescent="0.25">
      <c r="A8" s="39" t="s">
        <v>22</v>
      </c>
      <c r="B8" s="361"/>
      <c r="C8" s="445"/>
      <c r="D8" s="374"/>
      <c r="E8" s="428"/>
      <c r="F8" s="424"/>
      <c r="G8" s="432">
        <f>+IF($C$1="hold",$K$7,0)*$C$45/12*B4</f>
        <v>38595</v>
      </c>
      <c r="H8" s="446"/>
      <c r="I8" s="128"/>
      <c r="J8" s="774"/>
      <c r="K8" s="764"/>
    </row>
    <row r="9" spans="1:18" ht="12" customHeight="1" thickBot="1" x14ac:dyDescent="0.25">
      <c r="A9" s="142" t="str">
        <f>IF(R3=3,"Delta Mortgages","Monthly Rent:")</f>
        <v>Monthly Rent:</v>
      </c>
      <c r="B9" s="743">
        <v>2200</v>
      </c>
      <c r="C9" s="781"/>
      <c r="D9" s="429"/>
      <c r="E9" s="430"/>
      <c r="F9" s="425"/>
      <c r="G9" s="433"/>
      <c r="H9" s="434"/>
      <c r="I9" s="442">
        <f>IF(OR(C1="Hold",D1="Slow Flip"),IF(C1="hold",+B9,+Amortization!AJ7),"")</f>
        <v>2200</v>
      </c>
      <c r="J9" s="773" t="s">
        <v>23</v>
      </c>
      <c r="K9" s="702">
        <v>1976</v>
      </c>
    </row>
    <row r="10" spans="1:18" ht="12" customHeight="1" thickBot="1" x14ac:dyDescent="0.25">
      <c r="C10" s="775" t="s">
        <v>24</v>
      </c>
      <c r="D10" s="734" t="s">
        <v>24</v>
      </c>
      <c r="E10" s="118">
        <f>SUM(D4:E9)</f>
        <v>0</v>
      </c>
      <c r="F10" s="698">
        <f>+SUM(F4:G9)</f>
        <v>295895</v>
      </c>
      <c r="G10" s="699"/>
      <c r="H10" s="698">
        <f>SUM(H4:I9)</f>
        <v>2200</v>
      </c>
      <c r="I10" s="699"/>
      <c r="J10" s="774"/>
      <c r="K10" s="703"/>
      <c r="M10" s="482" t="s">
        <v>25</v>
      </c>
      <c r="O10" s="548"/>
    </row>
    <row r="11" spans="1:18" ht="12" customHeight="1" thickBot="1" x14ac:dyDescent="0.3">
      <c r="C11" s="119"/>
      <c r="D11" s="120"/>
      <c r="E11" s="113"/>
      <c r="F11" s="706" t="str">
        <f>IF(R3=3,"Profit calcuations based on selling in 5 years","")</f>
        <v/>
      </c>
      <c r="G11" s="707"/>
      <c r="H11" s="707"/>
      <c r="I11" s="708"/>
      <c r="M11" s="482" t="s">
        <v>26</v>
      </c>
      <c r="N11" s="146">
        <v>250000</v>
      </c>
      <c r="O11" s="353" t="b">
        <f>+$B$4&gt;N11</f>
        <v>1</v>
      </c>
    </row>
    <row r="12" spans="1:18" ht="12" customHeight="1" thickTop="1" thickBot="1" x14ac:dyDescent="0.25">
      <c r="A12" s="121" t="s">
        <v>27</v>
      </c>
      <c r="B12" s="121"/>
      <c r="C12" s="122"/>
      <c r="D12" s="399"/>
      <c r="E12" s="400"/>
      <c r="F12" s="407"/>
      <c r="G12" s="454"/>
      <c r="H12" s="409"/>
      <c r="I12" s="444"/>
      <c r="M12" s="482" t="s">
        <v>28</v>
      </c>
      <c r="N12" s="146">
        <v>700000</v>
      </c>
      <c r="O12" s="353" t="b">
        <f>+$B$4&lt;N12</f>
        <v>1</v>
      </c>
    </row>
    <row r="13" spans="1:18" ht="12" customHeight="1" thickBot="1" x14ac:dyDescent="0.25">
      <c r="A13" s="39" t="s">
        <v>29</v>
      </c>
      <c r="B13" s="117"/>
      <c r="D13" s="427"/>
      <c r="E13" s="443"/>
      <c r="F13" s="379"/>
      <c r="G13" s="451">
        <f>IF(R3=3,+Amortization!AJ10,0)</f>
        <v>0</v>
      </c>
      <c r="H13" s="452"/>
      <c r="I13" s="453"/>
      <c r="J13" s="504" t="s">
        <v>30</v>
      </c>
      <c r="K13" s="506" t="b">
        <v>0</v>
      </c>
      <c r="M13" s="482" t="s">
        <v>31</v>
      </c>
      <c r="N13" s="146">
        <v>100000</v>
      </c>
      <c r="O13" s="353" t="b">
        <f ca="1">N13&lt;K56</f>
        <v>1</v>
      </c>
    </row>
    <row r="14" spans="1:18" ht="11.25" customHeight="1" thickBot="1" x14ac:dyDescent="0.3">
      <c r="A14" s="39" t="s">
        <v>32</v>
      </c>
      <c r="B14" s="349"/>
      <c r="C14" s="481">
        <v>13870.13</v>
      </c>
      <c r="D14" s="401">
        <f>-C14</f>
        <v>-13870.13</v>
      </c>
      <c r="E14" s="375"/>
      <c r="F14" s="408"/>
      <c r="G14" s="153">
        <f>IF(K13,0,0.3*C14)</f>
        <v>4161.0389999999998</v>
      </c>
      <c r="H14" s="776" t="s">
        <v>33</v>
      </c>
      <c r="I14" s="777"/>
      <c r="J14" s="674" t="s">
        <v>34</v>
      </c>
      <c r="K14" s="768"/>
      <c r="M14" s="482" t="s">
        <v>35</v>
      </c>
      <c r="N14" s="486">
        <v>0.35</v>
      </c>
      <c r="O14" s="353" t="b">
        <f ca="1">N14&lt;K56/B4</f>
        <v>1</v>
      </c>
    </row>
    <row r="15" spans="1:18" ht="12" customHeight="1" x14ac:dyDescent="0.2">
      <c r="A15" s="39" t="s">
        <v>36</v>
      </c>
      <c r="B15" s="264">
        <v>4.4999999999999998E-2</v>
      </c>
      <c r="C15" s="226">
        <v>83169.53</v>
      </c>
      <c r="D15" s="401">
        <f>-C15</f>
        <v>-83169.53</v>
      </c>
      <c r="E15" s="375">
        <f>+C15</f>
        <v>83169.53</v>
      </c>
      <c r="F15" s="379">
        <f>IF(OR($R$3=1,$R$3=2,$R$3=3),IF(OR($R$3=1,$R$3=2),-C15,Amortization!AI9),0)</f>
        <v>-83169.53</v>
      </c>
      <c r="G15" s="505"/>
      <c r="H15" s="416"/>
      <c r="I15" s="417"/>
      <c r="J15" s="769"/>
      <c r="K15" s="770"/>
      <c r="M15" s="482" t="s">
        <v>37</v>
      </c>
      <c r="N15" s="146">
        <v>30000</v>
      </c>
      <c r="O15" s="353" t="b">
        <f>+N15&gt;($C$14+$C$20)</f>
        <v>1</v>
      </c>
    </row>
    <row r="16" spans="1:18" ht="12" customHeight="1" x14ac:dyDescent="0.2">
      <c r="A16" s="39" t="s">
        <v>38</v>
      </c>
      <c r="B16" s="225"/>
      <c r="C16" s="226"/>
      <c r="D16" s="401"/>
      <c r="E16" s="375"/>
      <c r="F16" s="379">
        <f>-(120-C44)*(C16/120)</f>
        <v>0</v>
      </c>
      <c r="G16" s="380"/>
      <c r="H16" s="416">
        <f>-(C16*B16/12)</f>
        <v>0</v>
      </c>
      <c r="I16" s="417"/>
      <c r="J16" s="769"/>
      <c r="K16" s="770"/>
      <c r="M16" s="482" t="s">
        <v>39</v>
      </c>
      <c r="N16" s="146">
        <v>140000</v>
      </c>
      <c r="O16" s="353" t="b">
        <f>+N16&gt;($C$14+$C$20+E19)</f>
        <v>1</v>
      </c>
    </row>
    <row r="17" spans="1:17" ht="12" customHeight="1" thickBot="1" x14ac:dyDescent="0.25">
      <c r="A17" s="39" t="s">
        <v>40</v>
      </c>
      <c r="B17" s="225">
        <v>0</v>
      </c>
      <c r="C17" s="226"/>
      <c r="D17" s="401">
        <f>-C17</f>
        <v>0</v>
      </c>
      <c r="E17" s="375">
        <f>+C17</f>
        <v>0</v>
      </c>
      <c r="F17" s="379">
        <f>IF(OR($R$3=1,$R$3=2,$R$3=3),IF(OR($R$3=1,$R$3=2),-C17,),0)</f>
        <v>0</v>
      </c>
      <c r="G17" s="380"/>
      <c r="H17" s="416"/>
      <c r="I17" s="417"/>
      <c r="J17" s="771"/>
      <c r="K17" s="772"/>
      <c r="O17" s="353"/>
    </row>
    <row r="18" spans="1:17" ht="12" customHeight="1" thickBot="1" x14ac:dyDescent="0.25">
      <c r="A18" s="39" t="s">
        <v>41</v>
      </c>
      <c r="B18" s="203"/>
      <c r="C18" s="204"/>
      <c r="D18" s="401"/>
      <c r="E18" s="375"/>
      <c r="F18" s="379">
        <f>-C18</f>
        <v>0</v>
      </c>
      <c r="G18" s="380"/>
      <c r="H18" s="416"/>
      <c r="I18" s="417"/>
      <c r="J18" s="41"/>
      <c r="K18" s="41"/>
      <c r="O18" s="353"/>
    </row>
    <row r="19" spans="1:17" ht="12" customHeight="1" thickBot="1" x14ac:dyDescent="0.25">
      <c r="A19" s="39" t="s">
        <v>42</v>
      </c>
      <c r="B19" s="372">
        <f>+B17</f>
        <v>0</v>
      </c>
      <c r="C19" s="564"/>
      <c r="D19" s="374">
        <f>-C19</f>
        <v>0</v>
      </c>
      <c r="E19" s="375">
        <f>+C19</f>
        <v>0</v>
      </c>
      <c r="F19" s="376">
        <f>IF(B1="flip",-C19,0)</f>
        <v>0</v>
      </c>
      <c r="G19" s="377"/>
      <c r="H19" s="416"/>
      <c r="I19" s="417"/>
      <c r="J19" s="41"/>
      <c r="K19" s="41"/>
      <c r="O19" s="353"/>
      <c r="P19" s="493"/>
    </row>
    <row r="20" spans="1:17" ht="12" customHeight="1" thickBot="1" x14ac:dyDescent="0.25">
      <c r="A20" s="142" t="s">
        <v>43</v>
      </c>
      <c r="B20" s="480"/>
      <c r="C20" s="361">
        <v>15000</v>
      </c>
      <c r="D20" s="374">
        <f>-C20</f>
        <v>-15000</v>
      </c>
      <c r="E20" s="375"/>
      <c r="F20" s="379"/>
      <c r="G20" s="380"/>
      <c r="H20" s="419"/>
      <c r="I20" s="417"/>
      <c r="J20" s="41"/>
      <c r="K20" s="41"/>
      <c r="O20" s="549"/>
      <c r="P20" s="493"/>
    </row>
    <row r="21" spans="1:17" ht="12" customHeight="1" thickBot="1" x14ac:dyDescent="0.3">
      <c r="A21" s="39" t="s">
        <v>44</v>
      </c>
      <c r="B21" s="779">
        <f>-SUM(D14:D20)</f>
        <v>112039.66</v>
      </c>
      <c r="C21" s="780"/>
      <c r="D21" s="401"/>
      <c r="E21" s="375"/>
      <c r="F21" s="379"/>
      <c r="G21" s="380"/>
      <c r="H21" s="419"/>
      <c r="I21" s="417"/>
      <c r="P21" s="493"/>
    </row>
    <row r="22" spans="1:17" ht="12" customHeight="1" thickBot="1" x14ac:dyDescent="0.25">
      <c r="A22" s="39" t="s">
        <v>45</v>
      </c>
      <c r="B22" s="378">
        <v>0.9</v>
      </c>
      <c r="C22" s="373">
        <f>IF(C1="Hold",+B4*B22,0)</f>
        <v>231570</v>
      </c>
      <c r="D22" s="374"/>
      <c r="E22" s="375">
        <f>IF(AND(Q1,R3=2),C22+B21,0)</f>
        <v>0</v>
      </c>
      <c r="F22" s="379" t="str">
        <f>IF(AND(Q1,R3=2),-C22,"")</f>
        <v/>
      </c>
      <c r="G22" s="380"/>
      <c r="H22" s="418">
        <f>IF(AND(Q1,R3=2),IF(Q2,IPMT(B23/12,1,C23*12,C22),PMT(B23/12,12*C23,C22)),0)</f>
        <v>0</v>
      </c>
      <c r="I22" s="417"/>
      <c r="J22" s="704" t="s">
        <v>46</v>
      </c>
      <c r="K22" s="705"/>
      <c r="P22" s="493"/>
    </row>
    <row r="23" spans="1:17" ht="12" customHeight="1" thickBot="1" x14ac:dyDescent="0.25">
      <c r="A23" s="39" t="s">
        <v>47</v>
      </c>
      <c r="B23" s="381">
        <v>6.5000000000000002E-2</v>
      </c>
      <c r="C23" s="382">
        <v>30</v>
      </c>
      <c r="D23" s="374"/>
      <c r="E23" s="375"/>
      <c r="F23" s="379"/>
      <c r="G23" s="380"/>
      <c r="H23" s="419"/>
      <c r="I23" s="417"/>
      <c r="J23" s="704" t="s">
        <v>48</v>
      </c>
      <c r="K23" s="705"/>
      <c r="P23" s="493"/>
    </row>
    <row r="24" spans="1:17" ht="12" customHeight="1" thickBot="1" x14ac:dyDescent="0.25">
      <c r="A24" s="39" t="s">
        <v>49</v>
      </c>
      <c r="B24" s="778">
        <v>45566</v>
      </c>
      <c r="C24" s="693"/>
      <c r="D24" s="374"/>
      <c r="E24" s="375"/>
      <c r="F24" s="379"/>
      <c r="G24" s="380"/>
      <c r="H24" s="419"/>
      <c r="I24" s="417"/>
      <c r="K24" s="41"/>
      <c r="M24" s="482">
        <v>45680</v>
      </c>
      <c r="N24" s="146">
        <v>398800</v>
      </c>
      <c r="P24" s="493"/>
    </row>
    <row r="25" spans="1:17" ht="12" customHeight="1" thickBot="1" x14ac:dyDescent="0.25">
      <c r="A25" s="142" t="s">
        <v>50</v>
      </c>
      <c r="B25" s="187">
        <v>0</v>
      </c>
      <c r="C25" s="188"/>
      <c r="D25" s="401"/>
      <c r="E25" s="375"/>
      <c r="F25" s="379"/>
      <c r="G25" s="380"/>
      <c r="H25" s="418"/>
      <c r="I25" s="417"/>
      <c r="M25" s="482">
        <v>45694</v>
      </c>
      <c r="N25" s="146">
        <v>399400</v>
      </c>
      <c r="Q25" s="146"/>
    </row>
    <row r="26" spans="1:17" ht="12" customHeight="1" thickBot="1" x14ac:dyDescent="0.25">
      <c r="A26" s="142" t="s">
        <v>51</v>
      </c>
      <c r="B26" s="157"/>
      <c r="C26" s="188">
        <v>0</v>
      </c>
      <c r="D26" s="401">
        <f>-B26</f>
        <v>0</v>
      </c>
      <c r="E26" s="375"/>
      <c r="F26" s="379"/>
      <c r="G26" s="380"/>
      <c r="H26" s="419"/>
      <c r="I26" s="417"/>
      <c r="Q26" s="146"/>
    </row>
    <row r="27" spans="1:17" ht="12" customHeight="1" thickBot="1" x14ac:dyDescent="0.25">
      <c r="A27" s="142" t="s">
        <v>52</v>
      </c>
      <c r="B27" s="782">
        <v>5000</v>
      </c>
      <c r="C27" s="783">
        <v>5000</v>
      </c>
      <c r="D27" s="401">
        <f>-B27</f>
        <v>-5000</v>
      </c>
      <c r="E27" s="375"/>
      <c r="F27" s="379"/>
      <c r="G27" s="380"/>
      <c r="H27" s="419"/>
      <c r="I27" s="417"/>
    </row>
    <row r="28" spans="1:17" ht="12" customHeight="1" thickBot="1" x14ac:dyDescent="0.25">
      <c r="A28" s="142" t="s">
        <v>53</v>
      </c>
      <c r="B28" s="354">
        <f ca="1">+F67/30.42</f>
        <v>12.91913214990138</v>
      </c>
      <c r="C28" s="126"/>
      <c r="D28" s="401"/>
      <c r="E28" s="375"/>
      <c r="F28" s="379"/>
      <c r="G28" s="380"/>
      <c r="H28" s="418"/>
      <c r="I28" s="417"/>
      <c r="Q28" s="146"/>
    </row>
    <row r="29" spans="1:17" ht="12" customHeight="1" x14ac:dyDescent="0.2">
      <c r="A29" s="142" t="s">
        <v>54</v>
      </c>
      <c r="B29" s="352">
        <f>+STR!K17/12</f>
        <v>0</v>
      </c>
      <c r="C29" s="126"/>
      <c r="D29" s="401"/>
      <c r="E29" s="375"/>
      <c r="F29" s="379"/>
      <c r="G29" s="380"/>
      <c r="H29" s="418">
        <f>-B29</f>
        <v>0</v>
      </c>
      <c r="I29" s="417"/>
      <c r="J29" s="765" t="s">
        <v>55</v>
      </c>
      <c r="K29" s="676"/>
      <c r="Q29" s="146"/>
    </row>
    <row r="30" spans="1:17" ht="12" customHeight="1" thickBot="1" x14ac:dyDescent="0.25">
      <c r="A30" s="142" t="s">
        <v>56</v>
      </c>
      <c r="C30" s="354">
        <f>+B40/C45</f>
        <v>309.21067266187049</v>
      </c>
      <c r="D30" s="401"/>
      <c r="E30" s="375"/>
      <c r="F30" s="379"/>
      <c r="G30" s="380"/>
      <c r="H30" s="418"/>
      <c r="I30" s="417"/>
      <c r="J30" s="766"/>
      <c r="K30" s="767"/>
      <c r="O30" s="288"/>
      <c r="P30" s="493"/>
    </row>
    <row r="31" spans="1:17" ht="12" customHeight="1" x14ac:dyDescent="0.2">
      <c r="A31" s="142" t="s">
        <v>57</v>
      </c>
      <c r="B31" s="354">
        <f ca="1">+Carrying!F$25/Profit!$B$28</f>
        <v>860.7048732824428</v>
      </c>
      <c r="C31" s="126"/>
      <c r="D31" s="401"/>
      <c r="E31" s="375"/>
      <c r="F31" s="379"/>
      <c r="G31" s="380"/>
      <c r="H31" s="418">
        <f t="shared" ref="H31:H34" si="0">IF($R$3=3,-B31,0)</f>
        <v>0</v>
      </c>
      <c r="I31" s="417">
        <f t="shared" ref="I31:I34" si="1">IF($R$3=3,+B31,0)</f>
        <v>0</v>
      </c>
      <c r="J31" s="755" t="s">
        <v>58</v>
      </c>
      <c r="K31" s="756"/>
      <c r="P31" s="493"/>
    </row>
    <row r="32" spans="1:17" ht="12" customHeight="1" x14ac:dyDescent="0.2">
      <c r="A32" s="142" t="s">
        <v>59</v>
      </c>
      <c r="B32" s="354">
        <f ca="1">+Carrying!I$25/Profit!$B$28</f>
        <v>290.26717557251914</v>
      </c>
      <c r="C32" s="126"/>
      <c r="D32" s="401"/>
      <c r="E32" s="375"/>
      <c r="F32" s="379"/>
      <c r="G32" s="380"/>
      <c r="H32" s="418"/>
      <c r="I32" s="417"/>
      <c r="J32" s="757"/>
      <c r="K32" s="758"/>
      <c r="P32" s="493"/>
    </row>
    <row r="33" spans="1:11" ht="12" customHeight="1" x14ac:dyDescent="0.2">
      <c r="A33" s="142" t="s">
        <v>60</v>
      </c>
      <c r="B33" s="354">
        <f ca="1">+Carrying!L$25/Profit!$B$28</f>
        <v>0</v>
      </c>
      <c r="C33" s="126"/>
      <c r="D33" s="401"/>
      <c r="E33" s="375"/>
      <c r="F33" s="379"/>
      <c r="G33" s="380"/>
      <c r="H33" s="418">
        <f t="shared" si="0"/>
        <v>0</v>
      </c>
      <c r="I33" s="417">
        <f t="shared" si="1"/>
        <v>0</v>
      </c>
      <c r="J33" s="757"/>
      <c r="K33" s="758"/>
    </row>
    <row r="34" spans="1:11" ht="12" customHeight="1" thickBot="1" x14ac:dyDescent="0.25">
      <c r="A34" s="142" t="s">
        <v>61</v>
      </c>
      <c r="B34" s="354">
        <f ca="1">+Carrying!R25/B28</f>
        <v>0</v>
      </c>
      <c r="C34" s="126"/>
      <c r="D34" s="401"/>
      <c r="E34" s="375"/>
      <c r="F34" s="379"/>
      <c r="G34" s="380"/>
      <c r="H34" s="418">
        <f t="shared" si="0"/>
        <v>0</v>
      </c>
      <c r="I34" s="417">
        <f t="shared" si="1"/>
        <v>0</v>
      </c>
      <c r="J34" s="759"/>
      <c r="K34" s="760"/>
    </row>
    <row r="35" spans="1:11" ht="12" customHeight="1" x14ac:dyDescent="0.2">
      <c r="A35" s="142" t="s">
        <v>62</v>
      </c>
      <c r="B35" s="354">
        <f ca="1">+Carrying!C25/Profit!$B$28</f>
        <v>47.752433587786271</v>
      </c>
      <c r="C35" s="126"/>
      <c r="D35" s="401"/>
      <c r="E35" s="375"/>
      <c r="F35" s="379"/>
      <c r="G35" s="380"/>
      <c r="H35" s="418"/>
      <c r="I35" s="417"/>
    </row>
    <row r="36" spans="1:11" ht="12" customHeight="1" thickBot="1" x14ac:dyDescent="0.25">
      <c r="A36" s="142" t="s">
        <v>63</v>
      </c>
      <c r="B36" s="354">
        <f ca="1">+Carrying!O$25/Profit!$B$28</f>
        <v>25.682065648854962</v>
      </c>
      <c r="C36" s="130"/>
      <c r="D36" s="401"/>
      <c r="E36" s="375"/>
      <c r="F36" s="379"/>
      <c r="G36" s="380"/>
      <c r="H36" s="418"/>
      <c r="I36" s="417"/>
    </row>
    <row r="37" spans="1:11" ht="12" customHeight="1" thickBot="1" x14ac:dyDescent="0.25">
      <c r="A37" s="39" t="s">
        <v>64</v>
      </c>
      <c r="B37" s="737">
        <f ca="1">+B28*SUM(B31:B36)</f>
        <v>15818.269999999999</v>
      </c>
      <c r="C37" s="738"/>
      <c r="D37" s="401">
        <f ca="1">-B37</f>
        <v>-15818.269999999999</v>
      </c>
      <c r="E37" s="375"/>
      <c r="F37" s="379"/>
      <c r="G37" s="380"/>
      <c r="H37" s="418"/>
      <c r="I37" s="417"/>
    </row>
    <row r="38" spans="1:11" ht="12" customHeight="1" x14ac:dyDescent="0.2">
      <c r="A38" s="206" t="s">
        <v>65</v>
      </c>
      <c r="B38" s="144">
        <v>0.1</v>
      </c>
      <c r="C38" s="491" t="b">
        <v>1</v>
      </c>
      <c r="D38" s="401"/>
      <c r="E38" s="375"/>
      <c r="F38" s="379"/>
      <c r="G38" s="380"/>
      <c r="H38" s="418"/>
      <c r="I38" s="417"/>
    </row>
    <row r="39" spans="1:11" ht="12" customHeight="1" thickBot="1" x14ac:dyDescent="0.25">
      <c r="A39" s="143" t="s">
        <v>66</v>
      </c>
      <c r="B39" s="586">
        <v>75000</v>
      </c>
      <c r="C39" s="604">
        <f>+(B6*0.75)-SUM(C15:C19)-B39</f>
        <v>34805.47</v>
      </c>
      <c r="D39" s="401"/>
      <c r="E39" s="375">
        <f>IF(C38,B39,0)</f>
        <v>75000</v>
      </c>
      <c r="F39" s="379">
        <f>IF(C38,-E39,0)</f>
        <v>-75000</v>
      </c>
      <c r="G39" s="380"/>
      <c r="H39" s="418">
        <f>IF($R$3=3,-E39*B38/12,0)</f>
        <v>0</v>
      </c>
      <c r="I39" s="417"/>
    </row>
    <row r="40" spans="1:11" ht="12" customHeight="1" thickBot="1" x14ac:dyDescent="0.25">
      <c r="A40" s="39" t="s">
        <v>67</v>
      </c>
      <c r="B40" s="737">
        <f>-D62</f>
        <v>18552.64035971223</v>
      </c>
      <c r="C40" s="738"/>
      <c r="D40" s="401">
        <f>-B40</f>
        <v>-18552.64035971223</v>
      </c>
      <c r="E40" s="375"/>
      <c r="F40" s="379"/>
      <c r="G40" s="380"/>
      <c r="H40" s="419"/>
      <c r="I40" s="417"/>
    </row>
    <row r="41" spans="1:11" ht="12" customHeight="1" thickBot="1" x14ac:dyDescent="0.25">
      <c r="A41" s="39" t="s">
        <v>68</v>
      </c>
      <c r="B41" s="739">
        <v>600</v>
      </c>
      <c r="C41" s="740"/>
      <c r="D41" s="401">
        <f>-B41</f>
        <v>-600</v>
      </c>
      <c r="E41" s="375"/>
      <c r="F41" s="379"/>
      <c r="G41" s="380"/>
      <c r="H41" s="419"/>
      <c r="I41" s="417"/>
    </row>
    <row r="42" spans="1:11" ht="12" customHeight="1" x14ac:dyDescent="0.2">
      <c r="A42" s="143" t="s">
        <v>13</v>
      </c>
      <c r="B42" s="455"/>
      <c r="C42" s="129">
        <v>500</v>
      </c>
      <c r="D42" s="401"/>
      <c r="E42" s="375"/>
      <c r="F42" s="379" t="str">
        <f>IF(Q3,-C42,"")</f>
        <v/>
      </c>
      <c r="G42" s="380"/>
      <c r="H42" s="419"/>
      <c r="I42" s="417"/>
      <c r="J42" s="724" t="s">
        <v>69</v>
      </c>
      <c r="K42" s="753">
        <f>+B21</f>
        <v>112039.66</v>
      </c>
    </row>
    <row r="43" spans="1:11" ht="12" customHeight="1" thickBot="1" x14ac:dyDescent="0.25">
      <c r="A43" s="143" t="s">
        <v>15</v>
      </c>
      <c r="B43" s="456"/>
      <c r="C43" s="145">
        <v>3.5999999999999997E-2</v>
      </c>
      <c r="D43" s="401"/>
      <c r="E43" s="375"/>
      <c r="F43" s="379">
        <f>IF(Q4,IF(OR(R3=1,R3=2),-C43*$F$10,0),"")</f>
        <v>-10652.22</v>
      </c>
      <c r="G43" s="380"/>
      <c r="H43" s="419"/>
      <c r="I43" s="417"/>
      <c r="J43" s="725"/>
      <c r="K43" s="754"/>
    </row>
    <row r="44" spans="1:11" ht="12" customHeight="1" thickBot="1" x14ac:dyDescent="0.25">
      <c r="A44" s="143" t="s">
        <v>18</v>
      </c>
      <c r="B44" s="457"/>
      <c r="C44" s="208">
        <v>0.02</v>
      </c>
      <c r="D44" s="401"/>
      <c r="E44" s="375"/>
      <c r="F44" s="379">
        <f>IF(Q5,IF(OR(R3=1,R3=2),-C44*$F$10,0),"")</f>
        <v>-5917.9000000000005</v>
      </c>
      <c r="G44" s="380"/>
      <c r="H44" s="419"/>
      <c r="I44" s="417"/>
      <c r="J44" s="724" t="s">
        <v>70</v>
      </c>
      <c r="K44" s="753">
        <f ca="1">-E50</f>
        <v>-4385.8803202877689</v>
      </c>
    </row>
    <row r="45" spans="1:11" ht="12" customHeight="1" thickBot="1" x14ac:dyDescent="0.25">
      <c r="A45" s="209" t="s">
        <v>71</v>
      </c>
      <c r="B45" s="207"/>
      <c r="C45" s="236">
        <v>60</v>
      </c>
      <c r="D45" s="401"/>
      <c r="E45" s="375"/>
      <c r="F45" s="379"/>
      <c r="G45" s="380"/>
      <c r="H45" s="419"/>
      <c r="I45" s="417"/>
      <c r="J45" s="725"/>
      <c r="K45" s="754"/>
    </row>
    <row r="46" spans="1:11" ht="12" customHeight="1" thickBot="1" x14ac:dyDescent="0.3">
      <c r="A46" s="39" t="s">
        <v>72</v>
      </c>
      <c r="B46" s="743"/>
      <c r="C46" s="744"/>
      <c r="D46" s="402"/>
      <c r="E46" s="375"/>
      <c r="F46" s="379">
        <f>-C46</f>
        <v>0</v>
      </c>
      <c r="G46" s="380"/>
      <c r="H46" s="420"/>
      <c r="I46" s="417"/>
      <c r="J46" s="654" t="s">
        <v>73</v>
      </c>
      <c r="K46" s="721"/>
    </row>
    <row r="47" spans="1:11" ht="12" customHeight="1" thickBot="1" x14ac:dyDescent="0.25">
      <c r="A47" s="39" t="s">
        <v>74</v>
      </c>
      <c r="B47" s="741">
        <f>+D82</f>
        <v>1773.0793200000001</v>
      </c>
      <c r="C47" s="742"/>
      <c r="D47" s="401">
        <f>-B47</f>
        <v>-1773.0793200000001</v>
      </c>
      <c r="E47" s="375"/>
      <c r="F47" s="379"/>
      <c r="G47" s="380"/>
      <c r="H47" s="420"/>
      <c r="I47" s="417"/>
      <c r="J47" s="722"/>
      <c r="K47" s="723"/>
    </row>
    <row r="48" spans="1:11" ht="12" customHeight="1" thickBot="1" x14ac:dyDescent="0.25">
      <c r="A48" s="39" t="s">
        <v>75</v>
      </c>
      <c r="B48" s="735">
        <f>+D93</f>
        <v>290</v>
      </c>
      <c r="C48" s="736"/>
      <c r="D48" s="403"/>
      <c r="E48" s="404"/>
      <c r="F48" s="405">
        <f>-B48</f>
        <v>-290</v>
      </c>
      <c r="G48" s="406"/>
      <c r="H48" s="421"/>
      <c r="I48" s="422"/>
    </row>
    <row r="49" spans="1:15" ht="12" customHeight="1" thickBot="1" x14ac:dyDescent="0.25">
      <c r="B49" s="733" t="s">
        <v>76</v>
      </c>
      <c r="C49" s="734"/>
      <c r="D49" s="218">
        <f ca="1">+SUM(D14:D48)</f>
        <v>-153783.64967971222</v>
      </c>
      <c r="E49" s="487"/>
      <c r="F49" s="488">
        <f>+SUM(F14:F48)</f>
        <v>-175029.65</v>
      </c>
      <c r="G49" s="487"/>
      <c r="H49" s="489">
        <f>SUM(H15:H48)</f>
        <v>0</v>
      </c>
      <c r="I49" s="490">
        <f>SUM(I15:I48)+H10</f>
        <v>2200</v>
      </c>
    </row>
    <row r="50" spans="1:15" ht="12" customHeight="1" thickBot="1" x14ac:dyDescent="0.25">
      <c r="A50" s="40"/>
      <c r="B50" s="751" t="s">
        <v>77</v>
      </c>
      <c r="C50" s="752"/>
      <c r="D50" s="752"/>
      <c r="E50" s="150">
        <f ca="1">+SUM(D10:E48)</f>
        <v>4385.8803202877689</v>
      </c>
      <c r="F50" s="700">
        <f>+SUM(F10:G48)</f>
        <v>125026.389</v>
      </c>
      <c r="G50" s="701"/>
      <c r="H50" s="148"/>
      <c r="I50" s="152">
        <f>+SUM(H49:I49)</f>
        <v>2200</v>
      </c>
      <c r="O50" s="113"/>
    </row>
    <row r="51" spans="1:15" ht="12" customHeight="1" x14ac:dyDescent="0.2">
      <c r="A51" s="40"/>
      <c r="B51" s="40"/>
      <c r="D51" s="40"/>
      <c r="E51" s="682" t="s">
        <v>78</v>
      </c>
      <c r="F51" s="683"/>
      <c r="G51" s="147">
        <f ca="1">SUM(E50:G50)</f>
        <v>129412.26932028777</v>
      </c>
      <c r="H51" s="148"/>
      <c r="I51" s="149"/>
      <c r="J51" s="663" t="s">
        <v>79</v>
      </c>
      <c r="K51" s="680" t="s">
        <v>80</v>
      </c>
      <c r="O51" s="113"/>
    </row>
    <row r="52" spans="1:15" ht="12" customHeight="1" thickBot="1" x14ac:dyDescent="0.25">
      <c r="A52" s="40"/>
      <c r="B52" s="40"/>
      <c r="E52" s="682" t="s">
        <v>81</v>
      </c>
      <c r="F52" s="683"/>
      <c r="G52" s="683"/>
      <c r="H52" s="492">
        <f>IF(OR(R3=2,R3=3),IF(R3=2,C45,60),0)</f>
        <v>60</v>
      </c>
      <c r="I52" s="219">
        <f>IF(OR(R3=2,R3=3),+H52*I50,0)</f>
        <v>132000</v>
      </c>
      <c r="J52" s="664"/>
      <c r="K52" s="681"/>
    </row>
    <row r="53" spans="1:15" ht="12" customHeight="1" thickBot="1" x14ac:dyDescent="0.25">
      <c r="A53" s="40"/>
      <c r="B53" s="40"/>
      <c r="E53" s="151"/>
      <c r="F53" s="665" t="s">
        <v>82</v>
      </c>
      <c r="G53" s="666"/>
      <c r="H53" s="131"/>
      <c r="I53" s="131">
        <f ca="1">+I52+G51</f>
        <v>261412.26932028777</v>
      </c>
      <c r="J53" s="132">
        <f ca="1">$B$25*$I$53</f>
        <v>0</v>
      </c>
      <c r="K53" s="133">
        <f ca="1">+$I$53-J53</f>
        <v>261412.26932028777</v>
      </c>
    </row>
    <row r="54" spans="1:15" ht="12" customHeight="1" thickTop="1" thickBot="1" x14ac:dyDescent="0.3">
      <c r="A54" s="134" t="s">
        <v>83</v>
      </c>
      <c r="B54" s="749">
        <f>IF(OR(C1="Hold",D1="slow flip"),0.15,0)</f>
        <v>0.15</v>
      </c>
      <c r="C54" s="750"/>
      <c r="D54" s="134"/>
      <c r="E54" s="134"/>
      <c r="H54" s="357"/>
      <c r="I54" s="358" t="s">
        <v>84</v>
      </c>
      <c r="J54" s="147">
        <f ca="1">-I76</f>
        <v>0</v>
      </c>
      <c r="K54" s="192">
        <f ca="1">+I76</f>
        <v>0</v>
      </c>
    </row>
    <row r="55" spans="1:15" ht="12" customHeight="1" thickTop="1" thickBot="1" x14ac:dyDescent="0.3">
      <c r="A55" s="39" t="s">
        <v>85</v>
      </c>
      <c r="B55" s="745">
        <v>0.1</v>
      </c>
      <c r="C55" s="746">
        <v>0.15</v>
      </c>
      <c r="D55" s="747">
        <f ca="1">+K57*B55</f>
        <v>22220.042892224461</v>
      </c>
      <c r="E55" s="748"/>
      <c r="H55" s="672" t="s">
        <v>86</v>
      </c>
      <c r="I55" s="673"/>
      <c r="J55" s="458" t="s">
        <v>87</v>
      </c>
      <c r="K55" s="192">
        <f ca="1">IF(B54="",0,-$B$54*SUM(K53:K54))</f>
        <v>-39211.840398043161</v>
      </c>
    </row>
    <row r="56" spans="1:15" ht="12" customHeight="1" x14ac:dyDescent="0.2">
      <c r="G56" s="40"/>
      <c r="H56" s="672" t="s">
        <v>88</v>
      </c>
      <c r="I56" s="673"/>
      <c r="J56" s="132">
        <f ca="1">SUM(J53:J55)</f>
        <v>0</v>
      </c>
      <c r="K56" s="133">
        <f ca="1">SUM(K53:K55)</f>
        <v>222200.42892224461</v>
      </c>
    </row>
    <row r="57" spans="1:15" ht="12" customHeight="1" thickBot="1" x14ac:dyDescent="0.25">
      <c r="A57" s="117"/>
      <c r="C57" s="39"/>
      <c r="D57" s="39"/>
      <c r="E57" s="39"/>
      <c r="H57" s="665" t="s">
        <v>89</v>
      </c>
      <c r="I57" s="666"/>
      <c r="J57" s="137"/>
      <c r="K57" s="348">
        <f ca="1">SUM(J56:K56)</f>
        <v>222200.42892224461</v>
      </c>
    </row>
    <row r="58" spans="1:15" ht="12" customHeight="1" thickTop="1" x14ac:dyDescent="0.2">
      <c r="A58" s="121" t="s">
        <v>90</v>
      </c>
    </row>
    <row r="59" spans="1:15" ht="12" customHeight="1" thickBot="1" x14ac:dyDescent="0.25">
      <c r="A59" s="39" t="s">
        <v>91</v>
      </c>
      <c r="B59" s="686">
        <f>+'Gnatt Chart'!J5</f>
        <v>16866.036690647481</v>
      </c>
      <c r="C59" s="686"/>
      <c r="D59" s="686">
        <f>-B59</f>
        <v>-16866.036690647481</v>
      </c>
      <c r="E59" s="686"/>
    </row>
    <row r="60" spans="1:15" ht="12" customHeight="1" thickBot="1" x14ac:dyDescent="0.25">
      <c r="A60" s="39" t="s">
        <v>92</v>
      </c>
      <c r="B60" s="135">
        <v>0.1</v>
      </c>
      <c r="D60" s="686"/>
      <c r="E60" s="686"/>
      <c r="G60" s="674" t="s">
        <v>93</v>
      </c>
      <c r="H60" s="675"/>
      <c r="I60" s="675"/>
      <c r="J60" s="676"/>
    </row>
    <row r="61" spans="1:15" ht="12" customHeight="1" thickBot="1" x14ac:dyDescent="0.25">
      <c r="A61" s="39" t="s">
        <v>94</v>
      </c>
      <c r="B61" s="716">
        <f>IF(Q12&lt;&gt;"Yes",+B60*SUM(B59:C59),0)</f>
        <v>1686.6036690647481</v>
      </c>
      <c r="C61" s="716"/>
      <c r="D61" s="716">
        <f>-B61</f>
        <v>-1686.6036690647481</v>
      </c>
      <c r="E61" s="716"/>
      <c r="G61" s="677"/>
      <c r="H61" s="678"/>
      <c r="I61" s="678"/>
      <c r="J61" s="679"/>
    </row>
    <row r="62" spans="1:15" ht="12" customHeight="1" thickBot="1" x14ac:dyDescent="0.25">
      <c r="A62" s="39" t="s">
        <v>95</v>
      </c>
      <c r="D62" s="684">
        <f>+SUM(D59:E61)</f>
        <v>-18552.64035971223</v>
      </c>
      <c r="E62" s="685"/>
      <c r="G62" s="660" t="s">
        <v>96</v>
      </c>
      <c r="H62" s="661"/>
      <c r="I62" s="661"/>
      <c r="J62" s="662"/>
    </row>
    <row r="63" spans="1:15" ht="12" customHeight="1" thickTop="1" thickBot="1" x14ac:dyDescent="0.25">
      <c r="A63" s="136" t="s">
        <v>97</v>
      </c>
      <c r="B63" s="134"/>
      <c r="C63" s="134"/>
      <c r="D63" s="39"/>
      <c r="E63" s="39"/>
      <c r="G63" s="657"/>
      <c r="H63" s="658"/>
      <c r="I63" s="658"/>
      <c r="J63" s="659"/>
    </row>
    <row r="64" spans="1:15" ht="12" customHeight="1" x14ac:dyDescent="0.2">
      <c r="A64" s="39" t="s">
        <v>98</v>
      </c>
      <c r="B64" s="714">
        <v>1100</v>
      </c>
      <c r="C64" s="715"/>
      <c r="D64" s="686"/>
      <c r="E64" s="686"/>
      <c r="H64" s="38"/>
      <c r="I64" s="38"/>
    </row>
    <row r="65" spans="1:13" ht="12" customHeight="1" thickBot="1" x14ac:dyDescent="0.25">
      <c r="A65" s="39" t="s">
        <v>99</v>
      </c>
      <c r="B65" s="694">
        <v>0</v>
      </c>
      <c r="C65" s="695"/>
      <c r="D65" s="686"/>
      <c r="E65" s="686"/>
      <c r="H65" s="38"/>
      <c r="I65" s="38"/>
    </row>
    <row r="66" spans="1:13" ht="12" customHeight="1" thickBot="1" x14ac:dyDescent="0.25">
      <c r="A66" s="39" t="s">
        <v>100</v>
      </c>
      <c r="B66" s="694"/>
      <c r="C66" s="695"/>
      <c r="F66" s="713" t="s">
        <v>101</v>
      </c>
      <c r="G66" s="689"/>
      <c r="H66" s="689" t="s">
        <v>102</v>
      </c>
      <c r="I66" s="689"/>
      <c r="J66" s="329" t="s">
        <v>103</v>
      </c>
    </row>
    <row r="67" spans="1:13" ht="12" customHeight="1" thickBot="1" x14ac:dyDescent="0.3">
      <c r="A67" s="39" t="s">
        <v>100</v>
      </c>
      <c r="B67" s="694"/>
      <c r="C67" s="695"/>
      <c r="F67" s="690">
        <f ca="1">_xlfn.DAYS(J67,H67)</f>
        <v>393</v>
      </c>
      <c r="G67" s="691"/>
      <c r="H67" s="692">
        <v>45778</v>
      </c>
      <c r="I67" s="693"/>
      <c r="J67" s="547">
        <f ca="1">NOW()</f>
        <v>46171.384573495372</v>
      </c>
    </row>
    <row r="68" spans="1:13" ht="12" customHeight="1" x14ac:dyDescent="0.2">
      <c r="A68" s="39" t="s">
        <v>104</v>
      </c>
      <c r="B68" s="694"/>
      <c r="C68" s="695"/>
      <c r="D68" s="123"/>
      <c r="E68" s="115"/>
      <c r="F68" s="115"/>
      <c r="G68" s="115"/>
      <c r="H68" s="330"/>
      <c r="I68" s="331"/>
      <c r="J68" s="115"/>
      <c r="K68" s="667" t="s">
        <v>105</v>
      </c>
    </row>
    <row r="69" spans="1:13" ht="12" customHeight="1" x14ac:dyDescent="0.2">
      <c r="A69" s="39" t="s">
        <v>104</v>
      </c>
      <c r="B69" s="694"/>
      <c r="C69" s="695"/>
      <c r="D69" s="332"/>
      <c r="G69" s="670" t="s">
        <v>106</v>
      </c>
      <c r="H69" s="670" t="s">
        <v>107</v>
      </c>
      <c r="I69" s="670" t="s">
        <v>108</v>
      </c>
      <c r="J69" s="670" t="s">
        <v>109</v>
      </c>
      <c r="K69" s="668"/>
      <c r="M69" s="603"/>
    </row>
    <row r="70" spans="1:13" ht="12" customHeight="1" thickBot="1" x14ac:dyDescent="0.25">
      <c r="A70" s="39" t="s">
        <v>110</v>
      </c>
      <c r="B70" s="694"/>
      <c r="C70" s="695"/>
      <c r="D70" s="116" t="s">
        <v>111</v>
      </c>
      <c r="E70" s="726" t="s">
        <v>112</v>
      </c>
      <c r="F70" s="726"/>
      <c r="G70" s="671"/>
      <c r="H70" s="671"/>
      <c r="I70" s="671"/>
      <c r="J70" s="671"/>
      <c r="K70" s="669"/>
    </row>
    <row r="71" spans="1:13" ht="12" customHeight="1" x14ac:dyDescent="0.25">
      <c r="A71" s="39" t="s">
        <v>113</v>
      </c>
      <c r="B71" s="694"/>
      <c r="C71" s="695"/>
      <c r="D71" s="410">
        <v>45397</v>
      </c>
      <c r="E71" s="727" t="s">
        <v>114</v>
      </c>
      <c r="F71" s="728"/>
      <c r="G71" s="411"/>
      <c r="H71" s="412">
        <f ca="1">+G71/$G$77</f>
        <v>0</v>
      </c>
      <c r="I71" s="413">
        <f ca="1">+$J$53*H71</f>
        <v>0</v>
      </c>
      <c r="J71" s="414">
        <f ca="1">+G71+I71</f>
        <v>0</v>
      </c>
      <c r="K71" s="415">
        <f>IF(G71="",0,+I71/G71*365/_xlfn.DAYS($J$67,D71))</f>
        <v>0</v>
      </c>
    </row>
    <row r="72" spans="1:13" ht="12" customHeight="1" x14ac:dyDescent="0.25">
      <c r="A72" s="39" t="s">
        <v>115</v>
      </c>
      <c r="B72" s="694"/>
      <c r="C72" s="695"/>
      <c r="D72" s="410">
        <f>+D71+90</f>
        <v>45487</v>
      </c>
      <c r="E72" s="727" t="str">
        <f>+E71</f>
        <v>unknown</v>
      </c>
      <c r="F72" s="728"/>
      <c r="G72" s="411"/>
      <c r="H72" s="412">
        <f ca="1">+G72/$G$77</f>
        <v>0</v>
      </c>
      <c r="I72" s="413">
        <f ca="1">+$J$53*H72</f>
        <v>0</v>
      </c>
      <c r="J72" s="414">
        <f ca="1">+G72+I72</f>
        <v>0</v>
      </c>
      <c r="K72" s="415">
        <f>IF(G72="",0,+I72/G72*365/_xlfn.DAYS($J$67,D72))</f>
        <v>0</v>
      </c>
    </row>
    <row r="73" spans="1:13" ht="12" customHeight="1" x14ac:dyDescent="0.25">
      <c r="A73" s="39" t="s">
        <v>116</v>
      </c>
      <c r="B73" s="694"/>
      <c r="C73" s="695"/>
      <c r="D73" s="410">
        <f>+D72+270</f>
        <v>45757</v>
      </c>
      <c r="E73" s="727" t="str">
        <f>+E72</f>
        <v>unknown</v>
      </c>
      <c r="F73" s="728"/>
      <c r="G73" s="411"/>
      <c r="H73" s="412">
        <f ca="1">+G73/$G$77</f>
        <v>0</v>
      </c>
      <c r="I73" s="413">
        <f ca="1">+$J$53*H73</f>
        <v>0</v>
      </c>
      <c r="J73" s="414">
        <f ca="1">+G73+I73</f>
        <v>0</v>
      </c>
      <c r="K73" s="415">
        <f>IF(G73="",0,+I73/G73*365/_xlfn.DAYS($J$67,D73))</f>
        <v>0</v>
      </c>
    </row>
    <row r="74" spans="1:13" ht="12" customHeight="1" thickBot="1" x14ac:dyDescent="0.3">
      <c r="A74" s="39" t="s">
        <v>117</v>
      </c>
      <c r="B74" s="694"/>
      <c r="C74" s="695"/>
      <c r="D74" s="410">
        <f ca="1">+J67-120</f>
        <v>46051.384573495372</v>
      </c>
      <c r="E74" s="727" t="str">
        <f>+E73</f>
        <v>unknown</v>
      </c>
      <c r="F74" s="728"/>
      <c r="G74" s="411"/>
      <c r="H74" s="412">
        <f ca="1">+G74/$G$77</f>
        <v>0</v>
      </c>
      <c r="I74" s="413">
        <f ca="1">+$J$53*H74</f>
        <v>0</v>
      </c>
      <c r="J74" s="414">
        <f ca="1">+G74+I74</f>
        <v>0</v>
      </c>
      <c r="K74" s="415">
        <f>IF(G74="",0,+I74/G74*365/_xlfn.DAYS($J$67,D74))</f>
        <v>0</v>
      </c>
    </row>
    <row r="75" spans="1:13" ht="12" customHeight="1" thickBot="1" x14ac:dyDescent="0.3">
      <c r="A75" s="39" t="s">
        <v>118</v>
      </c>
      <c r="B75" s="694">
        <v>339</v>
      </c>
      <c r="C75" s="695"/>
      <c r="D75" s="383">
        <v>45422</v>
      </c>
      <c r="E75" s="729">
        <f>+F1</f>
        <v>0</v>
      </c>
      <c r="F75" s="730"/>
      <c r="G75" s="384">
        <f ca="1">-D49-SUM(G70:G73)</f>
        <v>153783.64967971222</v>
      </c>
      <c r="H75" s="385">
        <f ca="1">+G75/$G$77</f>
        <v>1</v>
      </c>
      <c r="I75" s="384">
        <f ca="1">+$J$53*H75</f>
        <v>0</v>
      </c>
      <c r="J75" s="386">
        <f ca="1">+G75+I75</f>
        <v>153783.64967971222</v>
      </c>
      <c r="K75" s="387" t="e">
        <f ca="1">IF(G75=0,0,+I75/G75*$F$67/_xlfn.DAYS(J66,H66))</f>
        <v>#VALUE!</v>
      </c>
    </row>
    <row r="76" spans="1:13" ht="12" customHeight="1" thickBot="1" x14ac:dyDescent="0.3">
      <c r="A76" s="39" t="s">
        <v>119</v>
      </c>
      <c r="B76" s="694"/>
      <c r="C76" s="695"/>
      <c r="D76" s="388" t="str">
        <f>+J66</f>
        <v>End Date</v>
      </c>
      <c r="E76" s="687" t="s">
        <v>120</v>
      </c>
      <c r="F76" s="688"/>
      <c r="G76" s="389">
        <f>+SUM(G70:G73)</f>
        <v>0</v>
      </c>
      <c r="H76" s="390">
        <f ca="1">+SUM(H70:H73)</f>
        <v>0</v>
      </c>
      <c r="I76" s="389">
        <f ca="1">+SUM(I70:I73)</f>
        <v>0</v>
      </c>
      <c r="J76" s="389">
        <f ca="1">+SUM(J70:J73)</f>
        <v>0</v>
      </c>
      <c r="K76" s="391">
        <f>AVERAGE(K70:K73)</f>
        <v>0</v>
      </c>
    </row>
    <row r="77" spans="1:13" ht="12" customHeight="1" thickBot="1" x14ac:dyDescent="0.3">
      <c r="A77" s="39" t="s">
        <v>121</v>
      </c>
      <c r="B77" s="694"/>
      <c r="C77" s="695"/>
      <c r="D77" s="392"/>
      <c r="E77" s="393" t="s">
        <v>122</v>
      </c>
      <c r="F77" s="394"/>
      <c r="G77" s="395">
        <f ca="1">SUM(G70:G73)+G75</f>
        <v>153783.64967971222</v>
      </c>
      <c r="H77" s="396">
        <f ca="1">SUM(H70:H73)+H75</f>
        <v>1</v>
      </c>
      <c r="I77" s="395">
        <f ca="1">SUM(I73:I76)</f>
        <v>0</v>
      </c>
      <c r="J77" s="397">
        <f ca="1">SUM(J70:J73)</f>
        <v>0</v>
      </c>
      <c r="K77" s="398" t="e">
        <f ca="1">AVERAGE(K70:K76)</f>
        <v>#VALUE!</v>
      </c>
    </row>
    <row r="78" spans="1:13" ht="12" customHeight="1" x14ac:dyDescent="0.2">
      <c r="A78" s="39" t="s">
        <v>123</v>
      </c>
      <c r="B78" s="694">
        <v>90</v>
      </c>
      <c r="C78" s="695"/>
      <c r="D78" s="686"/>
      <c r="E78" s="686"/>
    </row>
    <row r="79" spans="1:13" ht="12" customHeight="1" x14ac:dyDescent="0.2">
      <c r="A79" s="39" t="s">
        <v>124</v>
      </c>
      <c r="B79" s="694">
        <v>20</v>
      </c>
      <c r="C79" s="695"/>
      <c r="D79" s="686"/>
      <c r="E79" s="686"/>
    </row>
    <row r="80" spans="1:13" ht="12" customHeight="1" x14ac:dyDescent="0.2">
      <c r="A80" s="39" t="s">
        <v>125</v>
      </c>
      <c r="B80" s="694">
        <f>0.002*K42</f>
        <v>224.07932000000002</v>
      </c>
      <c r="C80" s="695"/>
      <c r="D80" s="686"/>
      <c r="E80" s="686"/>
    </row>
    <row r="81" spans="1:10" ht="12" customHeight="1" thickBot="1" x14ac:dyDescent="0.25">
      <c r="A81" s="39" t="s">
        <v>126</v>
      </c>
      <c r="B81" s="731"/>
      <c r="C81" s="732"/>
      <c r="D81" s="719"/>
      <c r="E81" s="720"/>
    </row>
    <row r="82" spans="1:10" ht="12" customHeight="1" thickBot="1" x14ac:dyDescent="0.25">
      <c r="D82" s="684">
        <f>+SUM(B64:C81)</f>
        <v>1773.0793200000001</v>
      </c>
      <c r="E82" s="685"/>
      <c r="G82" s="654" t="s">
        <v>127</v>
      </c>
      <c r="H82" s="655"/>
      <c r="I82" s="655"/>
      <c r="J82" s="656"/>
    </row>
    <row r="83" spans="1:10" ht="12" customHeight="1" thickBot="1" x14ac:dyDescent="0.25">
      <c r="G83" s="657"/>
      <c r="H83" s="658"/>
      <c r="I83" s="658"/>
      <c r="J83" s="659"/>
    </row>
    <row r="84" spans="1:10" ht="12" customHeight="1" thickTop="1" thickBot="1" x14ac:dyDescent="0.25">
      <c r="A84" s="136" t="s">
        <v>128</v>
      </c>
      <c r="B84" s="134"/>
      <c r="C84" s="134"/>
      <c r="D84" s="134"/>
      <c r="E84" s="134"/>
    </row>
    <row r="85" spans="1:10" ht="12" customHeight="1" x14ac:dyDescent="0.2">
      <c r="A85" s="39" t="s">
        <v>129</v>
      </c>
      <c r="B85" s="714"/>
      <c r="C85" s="715"/>
      <c r="D85" s="686"/>
      <c r="E85" s="686"/>
    </row>
    <row r="86" spans="1:10" ht="12" customHeight="1" x14ac:dyDescent="0.2">
      <c r="A86" s="39" t="s">
        <v>100</v>
      </c>
      <c r="B86" s="694">
        <v>250</v>
      </c>
      <c r="C86" s="695"/>
      <c r="D86" s="686"/>
      <c r="E86" s="686"/>
    </row>
    <row r="87" spans="1:10" ht="12" customHeight="1" x14ac:dyDescent="0.2">
      <c r="A87" s="39" t="s">
        <v>130</v>
      </c>
      <c r="B87" s="694">
        <v>0</v>
      </c>
      <c r="C87" s="695"/>
      <c r="D87" s="686"/>
      <c r="E87" s="686"/>
    </row>
    <row r="88" spans="1:10" ht="12" customHeight="1" x14ac:dyDescent="0.2">
      <c r="A88" s="39" t="s">
        <v>131</v>
      </c>
      <c r="B88" s="694"/>
      <c r="C88" s="695"/>
      <c r="D88" s="686"/>
      <c r="E88" s="686"/>
    </row>
    <row r="89" spans="1:10" ht="12" customHeight="1" x14ac:dyDescent="0.2">
      <c r="A89" s="39" t="s">
        <v>123</v>
      </c>
      <c r="B89" s="694"/>
      <c r="C89" s="695"/>
      <c r="D89" s="686"/>
      <c r="E89" s="686"/>
    </row>
    <row r="90" spans="1:10" ht="12" customHeight="1" x14ac:dyDescent="0.2">
      <c r="A90" s="39" t="s">
        <v>132</v>
      </c>
      <c r="B90" s="694">
        <v>40</v>
      </c>
      <c r="C90" s="695"/>
      <c r="D90" s="686"/>
      <c r="E90" s="686"/>
    </row>
    <row r="91" spans="1:10" ht="12" customHeight="1" x14ac:dyDescent="0.2">
      <c r="A91" s="39" t="s">
        <v>133</v>
      </c>
      <c r="B91" s="694"/>
      <c r="C91" s="695"/>
      <c r="D91" s="686"/>
      <c r="E91" s="686"/>
    </row>
    <row r="92" spans="1:10" ht="12" customHeight="1" thickBot="1" x14ac:dyDescent="0.25">
      <c r="A92" s="39" t="s">
        <v>126</v>
      </c>
      <c r="B92" s="717"/>
      <c r="C92" s="718"/>
      <c r="D92" s="719"/>
      <c r="E92" s="720"/>
    </row>
    <row r="93" spans="1:10" ht="12" customHeight="1" thickTop="1" thickBot="1" x14ac:dyDescent="0.25">
      <c r="D93" s="684">
        <f>+SUM(B85:C92)</f>
        <v>290</v>
      </c>
      <c r="E93" s="685"/>
      <c r="G93" s="654" t="s">
        <v>134</v>
      </c>
      <c r="H93" s="655"/>
      <c r="I93" s="655"/>
      <c r="J93" s="656"/>
    </row>
    <row r="94" spans="1:10" ht="12" customHeight="1" thickBot="1" x14ac:dyDescent="0.25">
      <c r="G94" s="657"/>
      <c r="H94" s="658"/>
      <c r="I94" s="658"/>
      <c r="J94" s="659"/>
    </row>
    <row r="95" spans="1:10" ht="12" customHeight="1" x14ac:dyDescent="0.2"/>
    <row r="96" spans="1:10"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sheetData>
  <mergeCells count="121">
    <mergeCell ref="E1:H1"/>
    <mergeCell ref="K7:K8"/>
    <mergeCell ref="J29:K30"/>
    <mergeCell ref="J14:K17"/>
    <mergeCell ref="J7:J8"/>
    <mergeCell ref="J9:J10"/>
    <mergeCell ref="C10:D10"/>
    <mergeCell ref="H10:I10"/>
    <mergeCell ref="H14:I14"/>
    <mergeCell ref="B24:C24"/>
    <mergeCell ref="B21:C21"/>
    <mergeCell ref="B9:C9"/>
    <mergeCell ref="B27:C27"/>
    <mergeCell ref="J2:J3"/>
    <mergeCell ref="H2:I3"/>
    <mergeCell ref="D3:E3"/>
    <mergeCell ref="F3:G3"/>
    <mergeCell ref="B4:C4"/>
    <mergeCell ref="B6:C6"/>
    <mergeCell ref="B66:C66"/>
    <mergeCell ref="B49:C49"/>
    <mergeCell ref="B48:C48"/>
    <mergeCell ref="B37:C37"/>
    <mergeCell ref="B41:C41"/>
    <mergeCell ref="B47:C47"/>
    <mergeCell ref="B46:C46"/>
    <mergeCell ref="J23:K23"/>
    <mergeCell ref="B55:C55"/>
    <mergeCell ref="D55:E55"/>
    <mergeCell ref="B54:C54"/>
    <mergeCell ref="B50:D50"/>
    <mergeCell ref="K44:K45"/>
    <mergeCell ref="K42:K43"/>
    <mergeCell ref="J42:J43"/>
    <mergeCell ref="J31:K34"/>
    <mergeCell ref="B40:C40"/>
    <mergeCell ref="B85:C85"/>
    <mergeCell ref="D85:E85"/>
    <mergeCell ref="B86:C86"/>
    <mergeCell ref="D86:E86"/>
    <mergeCell ref="B81:C81"/>
    <mergeCell ref="D81:E81"/>
    <mergeCell ref="B77:C77"/>
    <mergeCell ref="B78:C78"/>
    <mergeCell ref="B80:C80"/>
    <mergeCell ref="D82:E82"/>
    <mergeCell ref="D80:E80"/>
    <mergeCell ref="B79:C79"/>
    <mergeCell ref="D79:E79"/>
    <mergeCell ref="B92:C92"/>
    <mergeCell ref="D92:E92"/>
    <mergeCell ref="J46:K47"/>
    <mergeCell ref="J44:J45"/>
    <mergeCell ref="B65:C65"/>
    <mergeCell ref="D64:E64"/>
    <mergeCell ref="D62:E62"/>
    <mergeCell ref="D61:E61"/>
    <mergeCell ref="B75:C75"/>
    <mergeCell ref="B67:C67"/>
    <mergeCell ref="E70:F70"/>
    <mergeCell ref="E71:F71"/>
    <mergeCell ref="E72:F72"/>
    <mergeCell ref="E73:F73"/>
    <mergeCell ref="E74:F74"/>
    <mergeCell ref="E75:F75"/>
    <mergeCell ref="D65:E65"/>
    <mergeCell ref="B71:C71"/>
    <mergeCell ref="B72:C72"/>
    <mergeCell ref="B73:C73"/>
    <mergeCell ref="B74:C74"/>
    <mergeCell ref="B69:C69"/>
    <mergeCell ref="B91:C91"/>
    <mergeCell ref="D91:E91"/>
    <mergeCell ref="B89:C89"/>
    <mergeCell ref="D89:E89"/>
    <mergeCell ref="B90:C90"/>
    <mergeCell ref="D90:E90"/>
    <mergeCell ref="B88:C88"/>
    <mergeCell ref="D88:E88"/>
    <mergeCell ref="K2:K3"/>
    <mergeCell ref="F10:G10"/>
    <mergeCell ref="F50:G50"/>
    <mergeCell ref="K9:K10"/>
    <mergeCell ref="J22:K22"/>
    <mergeCell ref="F11:I11"/>
    <mergeCell ref="E2:F2"/>
    <mergeCell ref="B2:D2"/>
    <mergeCell ref="B70:C70"/>
    <mergeCell ref="B87:C87"/>
    <mergeCell ref="B68:C68"/>
    <mergeCell ref="F66:G66"/>
    <mergeCell ref="B64:C64"/>
    <mergeCell ref="D60:E60"/>
    <mergeCell ref="D59:E59"/>
    <mergeCell ref="B59:C59"/>
    <mergeCell ref="B61:C61"/>
    <mergeCell ref="B76:C76"/>
    <mergeCell ref="G93:J94"/>
    <mergeCell ref="G62:J63"/>
    <mergeCell ref="J51:J52"/>
    <mergeCell ref="F53:G53"/>
    <mergeCell ref="K68:K70"/>
    <mergeCell ref="G69:G70"/>
    <mergeCell ref="H69:H70"/>
    <mergeCell ref="I69:I70"/>
    <mergeCell ref="J69:J70"/>
    <mergeCell ref="G82:J83"/>
    <mergeCell ref="H57:I57"/>
    <mergeCell ref="H55:I55"/>
    <mergeCell ref="G60:J61"/>
    <mergeCell ref="K51:K52"/>
    <mergeCell ref="E51:F51"/>
    <mergeCell ref="E52:G52"/>
    <mergeCell ref="H56:I56"/>
    <mergeCell ref="D93:E93"/>
    <mergeCell ref="D78:E78"/>
    <mergeCell ref="D87:E87"/>
    <mergeCell ref="E76:F76"/>
    <mergeCell ref="H66:I66"/>
    <mergeCell ref="F67:G67"/>
    <mergeCell ref="H67:I67"/>
  </mergeCells>
  <conditionalFormatting sqref="F19">
    <cfRule type="expression" dxfId="57" priority="26">
      <formula>IF(B1="flip",-C19,0)</formula>
    </cfRule>
  </conditionalFormatting>
  <conditionalFormatting sqref="I9">
    <cfRule type="expression" dxfId="56" priority="24">
      <formula>IF(OR(C1="Hold",D1="Slow Flip"),+B9,"")</formula>
    </cfRule>
  </conditionalFormatting>
  <conditionalFormatting sqref="B54">
    <cfRule type="expression" dxfId="55" priority="21">
      <formula>IF(OR(C1="Hold",D1="slow flip"),0.15,0)</formula>
    </cfRule>
  </conditionalFormatting>
  <conditionalFormatting sqref="I52">
    <cfRule type="expression" dxfId="54" priority="19">
      <formula>+H52*H49</formula>
    </cfRule>
  </conditionalFormatting>
  <conditionalFormatting sqref="F15">
    <cfRule type="expression" dxfId="53" priority="15">
      <formula>IF(R3=3,-C15,0)</formula>
    </cfRule>
  </conditionalFormatting>
  <conditionalFormatting sqref="F44">
    <cfRule type="expression" dxfId="52" priority="11">
      <formula>OR(R3=1,R3=2)</formula>
    </cfRule>
  </conditionalFormatting>
  <conditionalFormatting sqref="F43">
    <cfRule type="expression" dxfId="51" priority="10">
      <formula>OR(R3=1,R3=2)</formula>
    </cfRule>
  </conditionalFormatting>
  <conditionalFormatting sqref="G6">
    <cfRule type="expression" dxfId="50" priority="8">
      <formula>IF(OR(R3=1,R3=2),$B$6,0)</formula>
    </cfRule>
  </conditionalFormatting>
  <conditionalFormatting sqref="G8">
    <cfRule type="expression" dxfId="49" priority="63">
      <formula>R3=2</formula>
    </cfRule>
  </conditionalFormatting>
  <conditionalFormatting sqref="C22 C7">
    <cfRule type="expression" dxfId="48" priority="93">
      <formula>IF(C1048562="Hold",+B1048565*B7,0)</formula>
    </cfRule>
  </conditionalFormatting>
  <conditionalFormatting sqref="F22">
    <cfRule type="expression" dxfId="47" priority="94">
      <formula>IF(OR(C1="hold",D1="slow flip"),-C22,"")</formula>
    </cfRule>
  </conditionalFormatting>
  <conditionalFormatting sqref="H22">
    <cfRule type="expression" dxfId="46" priority="95">
      <formula>IF(OR(C1="hold",C4="slow flip"),IPMT(B23/12,1,C23*12,C22),PMT(B23/12,12*C23,C22))</formula>
    </cfRule>
  </conditionalFormatting>
  <conditionalFormatting sqref="E22">
    <cfRule type="expression" dxfId="45" priority="97">
      <formula>IF(C1="hold",C22-C15-C19-C28-B40,0)</formula>
    </cfRule>
  </conditionalFormatting>
  <conditionalFormatting sqref="H52">
    <cfRule type="expression" dxfId="44" priority="98">
      <formula>IF(OR(C1="Hold",D1="slow Flip"),C45,0)</formula>
    </cfRule>
  </conditionalFormatting>
  <conditionalFormatting sqref="K55">
    <cfRule type="expression" dxfId="43" priority="99">
      <formula>IF(C1="Hold",-$B$54*K53,0)</formula>
    </cfRule>
  </conditionalFormatting>
  <conditionalFormatting sqref="D37">
    <cfRule type="expression" dxfId="42" priority="101">
      <formula>IF(OR(R3=1,R3=2),-B37,0)</formula>
    </cfRule>
  </conditionalFormatting>
  <conditionalFormatting sqref="D40">
    <cfRule type="expression" dxfId="41" priority="102">
      <formula>IF(OR(R3=1,R3=2),-B40,"")</formula>
    </cfRule>
  </conditionalFormatting>
  <conditionalFormatting sqref="E7">
    <cfRule type="expression" dxfId="40" priority="6">
      <formula>$R$3=3</formula>
    </cfRule>
  </conditionalFormatting>
  <conditionalFormatting sqref="A9">
    <cfRule type="expression" dxfId="39" priority="3">
      <formula>"(R3=3)"</formula>
    </cfRule>
  </conditionalFormatting>
  <conditionalFormatting sqref="F17:F18">
    <cfRule type="expression" dxfId="38" priority="1">
      <formula>IF(R5=3,-C17,0)</formula>
    </cfRule>
  </conditionalFormatting>
  <pageMargins left="0.25" right="0.25" top="0.75" bottom="0.75" header="0.3" footer="0.3"/>
  <pageSetup orientation="portrait" r:id="rId1"/>
  <rowBreaks count="1" manualBreakCount="1">
    <brk id="5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40</xdr:row>
                    <xdr:rowOff>114300</xdr:rowOff>
                  </from>
                  <to>
                    <xdr:col>1</xdr:col>
                    <xdr:colOff>390525</xdr:colOff>
                    <xdr:row>42</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42</xdr:row>
                    <xdr:rowOff>114300</xdr:rowOff>
                  </from>
                  <to>
                    <xdr:col>1</xdr:col>
                    <xdr:colOff>390525</xdr:colOff>
                    <xdr:row>44</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41</xdr:row>
                    <xdr:rowOff>114300</xdr:rowOff>
                  </from>
                  <to>
                    <xdr:col>1</xdr:col>
                    <xdr:colOff>390525</xdr:colOff>
                    <xdr:row>43</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6"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08"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5"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26"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27"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O2" sqref="O2"/>
    </sheetView>
  </sheetViews>
  <sheetFormatPr defaultRowHeight="15" x14ac:dyDescent="0.25"/>
  <cols>
    <col min="1" max="1" width="7.42578125" style="536" bestFit="1" customWidth="1"/>
    <col min="2" max="2" width="10.28515625" style="300" customWidth="1"/>
    <col min="3" max="3" width="8.85546875" style="14" bestFit="1" customWidth="1"/>
    <col min="4" max="7" width="6.5703125" style="14" bestFit="1" customWidth="1"/>
    <col min="8" max="8" width="8.140625" style="14" bestFit="1" customWidth="1"/>
    <col min="9" max="10" width="11.140625" style="300" customWidth="1"/>
    <col min="11" max="11" width="7.85546875" style="300" bestFit="1" customWidth="1"/>
    <col min="12" max="12" width="5" style="22" bestFit="1" customWidth="1"/>
    <col min="13" max="13" width="8.7109375" style="22" customWidth="1"/>
    <col min="14" max="14" width="10.28515625" style="300"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300" customWidth="1"/>
    <col min="22" max="22" width="7.28515625" style="300" customWidth="1"/>
    <col min="23" max="23" width="7.85546875" style="300" bestFit="1" customWidth="1"/>
    <col min="24" max="24" width="8.28515625" style="536" bestFit="1" customWidth="1"/>
    <col min="25" max="25" width="9.140625" style="300" customWidth="1"/>
    <col min="26" max="26" width="7.5703125" style="527"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300" bestFit="1" customWidth="1"/>
    <col min="35" max="36" width="9.28515625" style="300" bestFit="1" customWidth="1"/>
    <col min="37" max="37" width="8.28515625" style="300" bestFit="1" customWidth="1"/>
    <col min="38" max="38" width="7.85546875" style="300" bestFit="1" customWidth="1"/>
    <col min="39" max="39" width="6.140625" style="22" bestFit="1" customWidth="1"/>
    <col min="40" max="43" width="10.5703125" style="14" customWidth="1"/>
    <col min="44" max="44" width="9" bestFit="1" customWidth="1"/>
    <col min="45" max="45" width="10.140625" style="14" bestFit="1" customWidth="1"/>
    <col min="46" max="46" width="11.42578125" style="14" customWidth="1"/>
    <col min="47" max="47" width="11.7109375" style="300" bestFit="1" customWidth="1"/>
    <col min="48" max="48" width="8.28515625" style="300" bestFit="1" customWidth="1"/>
    <col min="49" max="49" width="11.85546875" style="14" bestFit="1" customWidth="1"/>
    <col min="50" max="50" width="12.42578125" customWidth="1"/>
    <col min="52" max="52" width="12.7109375" customWidth="1"/>
  </cols>
  <sheetData>
    <row r="1" spans="1:51" ht="15.75" thickBot="1" x14ac:dyDescent="0.3">
      <c r="B1" s="366" t="s">
        <v>135</v>
      </c>
      <c r="N1" s="366"/>
      <c r="O1" s="530" t="s">
        <v>136</v>
      </c>
      <c r="P1" s="13">
        <v>2.5000000000000001E-2</v>
      </c>
      <c r="Q1" s="13">
        <v>3.5000000000000003E-2</v>
      </c>
      <c r="R1" s="13">
        <v>3.2500000000000001E-2</v>
      </c>
      <c r="S1" s="13"/>
      <c r="T1" s="13"/>
      <c r="Y1" s="366"/>
      <c r="Z1" s="526"/>
      <c r="AA1" s="530"/>
      <c r="AB1" s="13"/>
      <c r="AC1" s="13"/>
      <c r="AD1" s="13"/>
      <c r="AE1" s="13"/>
      <c r="AF1" s="13"/>
      <c r="AJ1" s="539"/>
      <c r="AK1" s="13"/>
      <c r="AP1"/>
      <c r="AQ1"/>
      <c r="AR1" s="371" t="s">
        <v>137</v>
      </c>
      <c r="AS1" s="371" t="s">
        <v>138</v>
      </c>
      <c r="AT1" s="371" t="s">
        <v>139</v>
      </c>
      <c r="AU1" s="539" t="s">
        <v>140</v>
      </c>
      <c r="AV1" s="14"/>
      <c r="AW1"/>
      <c r="AX1" s="300"/>
      <c r="AY1" s="14"/>
    </row>
    <row r="2" spans="1:51" ht="15.75" thickBot="1" x14ac:dyDescent="0.3">
      <c r="B2" s="367" t="s">
        <v>141</v>
      </c>
      <c r="C2" s="543">
        <f>+Profit!C15</f>
        <v>83169.53</v>
      </c>
      <c r="N2" s="30" t="s">
        <v>142</v>
      </c>
      <c r="O2" s="531">
        <f>IF($AW$2=1,P2,IF($AW$2=2,Q2,IF($AW$2=3,R2)))</f>
        <v>0.1</v>
      </c>
      <c r="P2" s="532">
        <v>0.1</v>
      </c>
      <c r="Q2" s="532">
        <v>0.15</v>
      </c>
      <c r="R2" s="532">
        <v>0.2</v>
      </c>
      <c r="Y2" s="363"/>
      <c r="Z2" s="30" t="s">
        <v>142</v>
      </c>
      <c r="AA2" s="531">
        <f>IF($AW$2=1,AB2,IF($AW$2=2,AC2,IF($AW$2=3,AD2)))</f>
        <v>0.1</v>
      </c>
      <c r="AB2" s="532">
        <v>0.1</v>
      </c>
      <c r="AC2" s="532">
        <v>0.15</v>
      </c>
      <c r="AD2" s="532">
        <v>0.2</v>
      </c>
      <c r="AJ2" s="14"/>
      <c r="AK2" s="14"/>
      <c r="AP2" s="30" t="s">
        <v>143</v>
      </c>
      <c r="AQ2" s="364">
        <v>0.03</v>
      </c>
      <c r="AS2" s="300"/>
      <c r="AT2" s="300"/>
      <c r="AU2" s="14"/>
      <c r="AV2" s="14"/>
      <c r="AW2">
        <v>1</v>
      </c>
      <c r="AX2" s="300"/>
    </row>
    <row r="3" spans="1:51" ht="15.75" thickBot="1" x14ac:dyDescent="0.3">
      <c r="B3" s="367" t="s">
        <v>144</v>
      </c>
      <c r="C3" s="509">
        <f>+Profit!B15</f>
        <v>4.4999999999999998E-2</v>
      </c>
      <c r="N3" s="517"/>
      <c r="O3" s="435">
        <f>IF($AW$2=1,P3,IF($AW$2=2,Q3,IF($AW$2=3,R3)))</f>
        <v>270165</v>
      </c>
      <c r="P3" s="436">
        <f>+Profit!$B$4*(1+$M$4)</f>
        <v>270165</v>
      </c>
      <c r="Q3" s="437">
        <f>+P3</f>
        <v>270165</v>
      </c>
      <c r="R3" s="438">
        <f>+Q3</f>
        <v>270165</v>
      </c>
      <c r="Y3" s="790" t="s">
        <v>145</v>
      </c>
      <c r="Z3" s="653"/>
      <c r="AA3" s="435">
        <f>IF($AW$2=1,AB3,IF($AW$2=2,AC3,IF($AW$2=3,AD3)))</f>
        <v>341940.6</v>
      </c>
      <c r="AB3" s="436">
        <f>+O3+X5</f>
        <v>341940.6</v>
      </c>
      <c r="AC3" s="437">
        <f>+AB3</f>
        <v>341940.6</v>
      </c>
      <c r="AD3" s="438">
        <f>+AC3</f>
        <v>341940.6</v>
      </c>
      <c r="AJ3" s="14"/>
      <c r="AK3" s="14"/>
      <c r="AP3" s="30" t="s">
        <v>146</v>
      </c>
      <c r="AQ3"/>
      <c r="AR3" s="300">
        <f>_xlfn.XLOOKUP(5,$L:$L,$AT:$AT)</f>
        <v>72491.3</v>
      </c>
      <c r="AS3" s="300">
        <f>_xlfn.XLOOKUP(10,$L:$L,$AT:$AT)</f>
        <v>144266.89999999985</v>
      </c>
      <c r="AT3" s="300">
        <f>_xlfn.XLOOKUP(20,$L:$L,$AT:$AT)</f>
        <v>287818.10000000097</v>
      </c>
      <c r="AU3" s="14">
        <f>_xlfn.XLOOKUP(29,$L:$L,$AT:$AT)</f>
        <v>430920.71000000113</v>
      </c>
      <c r="AV3" s="14"/>
      <c r="AW3"/>
      <c r="AX3" s="300"/>
      <c r="AY3" s="14"/>
    </row>
    <row r="4" spans="1:51" ht="15.75" thickBot="1" x14ac:dyDescent="0.3">
      <c r="B4" s="367" t="s">
        <v>147</v>
      </c>
      <c r="C4" s="542">
        <v>30</v>
      </c>
      <c r="D4" s="14">
        <f>+C4*12</f>
        <v>360</v>
      </c>
      <c r="L4" s="2" t="s">
        <v>148</v>
      </c>
      <c r="M4" s="507">
        <v>0.05</v>
      </c>
      <c r="N4" s="517"/>
      <c r="O4" s="435">
        <f>IF($AW$2=1,P4,IF($AW$2=2,Q4,IF($AW$2=3,R4)))</f>
        <v>27016.5</v>
      </c>
      <c r="P4" s="436">
        <f t="shared" ref="P4:R4" si="0">+$O$3*P2</f>
        <v>27016.5</v>
      </c>
      <c r="Q4" s="437">
        <f t="shared" si="0"/>
        <v>40524.75</v>
      </c>
      <c r="R4" s="438">
        <f t="shared" si="0"/>
        <v>54033</v>
      </c>
      <c r="W4" s="516" t="s">
        <v>149</v>
      </c>
      <c r="Y4" s="790" t="s">
        <v>142</v>
      </c>
      <c r="Z4" s="653"/>
      <c r="AA4" s="435">
        <f>IF($AW$2=1,AB4,IF($AW$2=2,AC4,IF($AW$2=3,AD4)))</f>
        <v>27016.5</v>
      </c>
      <c r="AB4" s="436">
        <f t="shared" ref="AB4:AD4" si="1">+$O$3*AB2</f>
        <v>27016.5</v>
      </c>
      <c r="AC4" s="437">
        <f t="shared" si="1"/>
        <v>40524.75</v>
      </c>
      <c r="AD4" s="438">
        <f t="shared" si="1"/>
        <v>54033</v>
      </c>
      <c r="AJ4" s="14"/>
      <c r="AK4" s="14"/>
      <c r="AP4" s="30" t="s">
        <v>150</v>
      </c>
      <c r="AQ4"/>
      <c r="AR4" s="300">
        <f>_xlfn.XLOOKUP(5,$L:$L,$AW:$AW)</f>
        <v>0</v>
      </c>
      <c r="AS4" s="300">
        <f>_xlfn.XLOOKUP(10,$L:$L,$AW:$AW)</f>
        <v>0</v>
      </c>
      <c r="AT4" s="300">
        <f>_xlfn.XLOOKUP(20,$L:$L,$AW:$AW)</f>
        <v>0</v>
      </c>
      <c r="AU4" s="14">
        <f>_xlfn.XLOOKUP(29,$L:$L,$AW:$AW)</f>
        <v>0</v>
      </c>
      <c r="AV4" s="14"/>
      <c r="AW4"/>
      <c r="AX4" s="300"/>
      <c r="AY4" s="14"/>
    </row>
    <row r="5" spans="1:51" ht="15.75" thickBot="1" x14ac:dyDescent="0.3">
      <c r="B5" s="367" t="s">
        <v>151</v>
      </c>
      <c r="C5" s="14">
        <f>ROUND(PMT($C$3/12,$D$4,-$C$2,0), 2)</f>
        <v>421.41</v>
      </c>
      <c r="N5" s="517"/>
      <c r="O5" s="435">
        <f>IF($AW$2=1,P5,IF($AW$2=2,Q5,IF($AW$2=3,R5)))</f>
        <v>243148.5</v>
      </c>
      <c r="P5" s="436">
        <f t="shared" ref="P5:R5" si="2">+P3-P4</f>
        <v>243148.5</v>
      </c>
      <c r="Q5" s="437">
        <f t="shared" si="2"/>
        <v>229640.25</v>
      </c>
      <c r="R5" s="438">
        <f t="shared" si="2"/>
        <v>216132</v>
      </c>
      <c r="W5" s="2" t="s">
        <v>152</v>
      </c>
      <c r="X5" s="436">
        <f>+AI8</f>
        <v>71775.600000000006</v>
      </c>
      <c r="Y5" s="798" t="s">
        <v>141</v>
      </c>
      <c r="Z5" s="799"/>
      <c r="AA5" s="435">
        <f>IF($AW$2=1,AB5,IF($AW$2=2,AC5,IF($AW$2=3,AD5)))</f>
        <v>314924.09999999998</v>
      </c>
      <c r="AB5" s="436">
        <f t="shared" ref="AB5:AD5" si="3">+AB3-AB4</f>
        <v>314924.09999999998</v>
      </c>
      <c r="AC5" s="437">
        <f t="shared" si="3"/>
        <v>301415.84999999998</v>
      </c>
      <c r="AD5" s="438">
        <f t="shared" si="3"/>
        <v>287907.59999999998</v>
      </c>
      <c r="AJ5" s="21"/>
      <c r="AK5" s="14"/>
      <c r="AP5" s="30" t="s">
        <v>153</v>
      </c>
      <c r="AQ5"/>
      <c r="AR5" s="369">
        <f>_xlfn.XLOOKUP(5,$L:$L,$AV:$AV)</f>
        <v>72883.915382715713</v>
      </c>
      <c r="AS5" s="369">
        <f>_xlfn.XLOOKUP(10,$L:$L,$AV:$AV)</f>
        <v>123960.05722400978</v>
      </c>
      <c r="AT5" s="369">
        <f>_xlfn.XLOOKUP(20,$L:$L,$AV:$AV)</f>
        <v>252210.73389432652</v>
      </c>
      <c r="AU5" s="21">
        <f>_xlfn.XLOOKUP(29,$L:$L,$AV:$AV)</f>
        <v>405535.88314096269</v>
      </c>
      <c r="AV5" s="14"/>
      <c r="AW5"/>
      <c r="AX5" s="300"/>
      <c r="AY5" s="14"/>
    </row>
    <row r="6" spans="1:51" ht="15.75" thickBot="1" x14ac:dyDescent="0.3">
      <c r="N6" s="517"/>
      <c r="O6" s="509">
        <f>IF($AW$2=1,P6,IF($AW$2=2,Q6,IF($AW$2=3,R6)))</f>
        <v>7.0000000000000007E-2</v>
      </c>
      <c r="P6" s="364">
        <f>+$C$3+P1</f>
        <v>7.0000000000000007E-2</v>
      </c>
      <c r="Q6" s="495">
        <f>+$C$3+Q1</f>
        <v>0.08</v>
      </c>
      <c r="R6" s="496">
        <f>+$C$3+R1</f>
        <v>7.7499999999999999E-2</v>
      </c>
      <c r="AB6" s="364">
        <f>+$C$3+P1</f>
        <v>7.0000000000000007E-2</v>
      </c>
      <c r="AC6" s="495">
        <f>+$C$3+Q1</f>
        <v>0.08</v>
      </c>
      <c r="AD6" s="496">
        <f>+$C$3+R1</f>
        <v>7.7499999999999999E-2</v>
      </c>
      <c r="AH6" s="22"/>
      <c r="AI6" s="14" t="s">
        <v>154</v>
      </c>
      <c r="AJ6" s="14" t="s">
        <v>155</v>
      </c>
      <c r="AK6" s="540"/>
      <c r="AP6" s="30" t="s">
        <v>156</v>
      </c>
      <c r="AQ6"/>
      <c r="AR6" s="370">
        <f>SUM(AR3:AR5)</f>
        <v>145375.21538271572</v>
      </c>
      <c r="AS6" s="370">
        <f>SUM(AS3:AS5)</f>
        <v>268226.95722400962</v>
      </c>
      <c r="AT6" s="370">
        <f>SUM(AT3:AT5)</f>
        <v>540028.83389432752</v>
      </c>
      <c r="AU6" s="540">
        <f>SUM(AU3:AU5)</f>
        <v>836456.59314096381</v>
      </c>
      <c r="AV6" s="14"/>
      <c r="AW6"/>
      <c r="AX6" s="300"/>
      <c r="AY6" s="14"/>
    </row>
    <row r="7" spans="1:51" ht="15.75" thickBot="1" x14ac:dyDescent="0.3">
      <c r="N7" s="517"/>
      <c r="O7" s="533">
        <v>30</v>
      </c>
      <c r="P7" s="531">
        <f>+O7*12</f>
        <v>360</v>
      </c>
      <c r="Z7" s="300"/>
      <c r="AB7" s="533">
        <v>30</v>
      </c>
      <c r="AG7" s="30" t="s">
        <v>157</v>
      </c>
      <c r="AH7"/>
      <c r="AI7" s="300">
        <f>_xlfn.XLOOKUP(12,$M:$M,AS:AS)</f>
        <v>1196.26</v>
      </c>
      <c r="AJ7" s="300">
        <f>_xlfn.XLOOKUP(12,$M:$M,$AP:$AP)</f>
        <v>1174.26</v>
      </c>
      <c r="AK7" s="14"/>
      <c r="AP7" s="300"/>
      <c r="AQ7" s="300"/>
      <c r="AR7" s="300"/>
      <c r="AU7"/>
    </row>
    <row r="8" spans="1:51" ht="15.75" thickBot="1" x14ac:dyDescent="0.3">
      <c r="N8" s="517"/>
      <c r="O8" s="531">
        <f>ROUND(PMT($O$6/12,$P$7,-$O$5,0), 2)</f>
        <v>1617.67</v>
      </c>
      <c r="S8" s="530" t="s">
        <v>158</v>
      </c>
      <c r="T8" s="14">
        <v>134.16999999999999</v>
      </c>
      <c r="Y8" s="516" t="str">
        <f>+"Payment at "&amp;AA8</f>
        <v>Payment at 0.045</v>
      </c>
      <c r="Z8" s="435">
        <f>ROUND(PMT($AA$8/12,$AC$8,-$AB$8,0), 2)</f>
        <v>1595.67</v>
      </c>
      <c r="AA8" s="509">
        <f>+C3</f>
        <v>4.4999999999999998E-2</v>
      </c>
      <c r="AB8" s="435">
        <f>+AA5</f>
        <v>314924.09999999998</v>
      </c>
      <c r="AC8" s="543">
        <f>+AB7*12</f>
        <v>360</v>
      </c>
      <c r="AG8" s="30" t="s">
        <v>159</v>
      </c>
      <c r="AH8"/>
      <c r="AI8" s="300">
        <f>+AI7*60</f>
        <v>71775.600000000006</v>
      </c>
      <c r="AJ8" s="300">
        <f>+AJ7*60</f>
        <v>70455.600000000006</v>
      </c>
      <c r="AK8" s="540"/>
      <c r="AQ8" s="530" t="s">
        <v>160</v>
      </c>
      <c r="AR8" s="300">
        <f>-_xlfn.XLOOKUP(5,$L:$L,$K:$K)</f>
        <v>-69108.409999999989</v>
      </c>
      <c r="AS8" s="540"/>
      <c r="AU8"/>
    </row>
    <row r="9" spans="1:51" ht="15.75" thickBot="1" x14ac:dyDescent="0.3">
      <c r="N9" s="517"/>
      <c r="O9" s="14">
        <v>45717</v>
      </c>
      <c r="S9" s="530" t="s">
        <v>161</v>
      </c>
      <c r="T9" s="14">
        <v>188.55</v>
      </c>
      <c r="Y9" s="516" t="str">
        <f>+"Payment at "&amp;AA9</f>
        <v>Payment at 0.07</v>
      </c>
      <c r="Z9" s="435">
        <f>ROUND(PMT($AA$9/12,$AC$9,-$AB$9,0), 2)</f>
        <v>1746.44</v>
      </c>
      <c r="AA9" s="509">
        <f>IF($AW$2=1,AB6,IF($AW$2=2,AC6,IF($AW$2=3,AD6)))</f>
        <v>7.0000000000000007E-2</v>
      </c>
      <c r="AB9" s="435">
        <v>247099</v>
      </c>
      <c r="AC9" s="543">
        <f>+AC8-60</f>
        <v>300</v>
      </c>
      <c r="AG9" s="30" t="s">
        <v>162</v>
      </c>
      <c r="AH9"/>
      <c r="AI9" s="300">
        <f>-_xlfn.XLOOKUP(5,$L:$L,$K:$K)</f>
        <v>-69108.409999999989</v>
      </c>
      <c r="AJ9" s="300">
        <f>-_xlfn.XLOOKUP(5,$L:$L,$K:$K)</f>
        <v>-69108.409999999989</v>
      </c>
      <c r="AK9" s="14"/>
      <c r="AQ9" s="530" t="s">
        <v>163</v>
      </c>
      <c r="AR9" s="369">
        <f>_xlfn.XLOOKUP(5,$L:$L,$W:$W)</f>
        <v>228597.24000000005</v>
      </c>
    </row>
    <row r="10" spans="1:51" ht="15" customHeight="1" thickBot="1" x14ac:dyDescent="0.3">
      <c r="AB10" s="435">
        <f>_xlfn.XLOOKUP(60,$M:$M,AL:AL)</f>
        <v>287006.72999999992</v>
      </c>
      <c r="AG10" s="30" t="s">
        <v>164</v>
      </c>
      <c r="AH10"/>
      <c r="AI10" s="369">
        <f>_xlfn.XLOOKUP(5,$L:$L,$W:$W)</f>
        <v>228597.24000000005</v>
      </c>
      <c r="AJ10" s="369">
        <f>_xlfn.XLOOKUP(5,$L:$L,$AL:$AL)</f>
        <v>287006.72999999992</v>
      </c>
      <c r="AK10" s="14"/>
      <c r="AQ10" s="530" t="s">
        <v>165</v>
      </c>
      <c r="AR10" s="497">
        <f>SUM(AR8:AR9)</f>
        <v>159488.83000000007</v>
      </c>
    </row>
    <row r="11" spans="1:51" ht="15.75" thickBot="1" x14ac:dyDescent="0.3">
      <c r="Y11" s="792"/>
      <c r="Z11" s="793"/>
      <c r="AC11" s="530"/>
      <c r="AG11" s="30" t="s">
        <v>166</v>
      </c>
      <c r="AH11"/>
      <c r="AI11" s="497">
        <f>SUM(AI8:AI10)</f>
        <v>231264.43000000005</v>
      </c>
      <c r="AJ11" s="497">
        <f>SUM(AJ8:AJ10)</f>
        <v>288353.91999999993</v>
      </c>
      <c r="AK11" s="14"/>
      <c r="AP11" s="497"/>
      <c r="AQ11" s="497"/>
      <c r="AR11" s="300"/>
    </row>
    <row r="12" spans="1:51" ht="15.75" thickBot="1" x14ac:dyDescent="0.3">
      <c r="N12" s="804" t="str">
        <f>"Mortgage Fixed at "&amp; O6</f>
        <v>Mortgage Fixed at 0.07</v>
      </c>
      <c r="O12" s="805"/>
      <c r="P12" s="805"/>
      <c r="Q12" s="805"/>
      <c r="R12" s="805"/>
      <c r="S12" s="805"/>
      <c r="T12" s="805"/>
      <c r="U12" s="805"/>
      <c r="V12" s="805"/>
      <c r="W12" s="806"/>
      <c r="Y12" s="804" t="str">
        <f>"Mortgage Reduced to "&amp;AA8&amp;"% for 1st 5 years then "&amp;AA9 &amp; "%"</f>
        <v>Mortgage Reduced to 0.045% for 1st 5 years then 0.07%</v>
      </c>
      <c r="Z12" s="805"/>
      <c r="AA12" s="805"/>
      <c r="AB12" s="805"/>
      <c r="AC12" s="805"/>
      <c r="AD12" s="805"/>
      <c r="AE12" s="805"/>
      <c r="AF12" s="805"/>
      <c r="AG12" s="805"/>
      <c r="AH12" s="805"/>
      <c r="AI12" s="807"/>
      <c r="AJ12" s="807"/>
      <c r="AK12" s="807"/>
      <c r="AL12" s="780"/>
    </row>
    <row r="13" spans="1:51" ht="15" customHeight="1" thickBot="1" x14ac:dyDescent="0.3">
      <c r="C13" s="800" t="s">
        <v>167</v>
      </c>
      <c r="D13" s="801"/>
      <c r="E13" s="802"/>
      <c r="F13" s="802"/>
      <c r="G13" s="802"/>
      <c r="H13" s="803"/>
      <c r="I13" s="791" t="s">
        <v>168</v>
      </c>
      <c r="J13" s="691"/>
      <c r="N13" s="544"/>
      <c r="U13" s="794" t="s">
        <v>168</v>
      </c>
      <c r="V13" s="796"/>
      <c r="W13" s="544"/>
      <c r="Y13" s="544"/>
      <c r="AA13" s="794" t="s">
        <v>167</v>
      </c>
      <c r="AB13" s="795"/>
      <c r="AC13" s="797"/>
      <c r="AD13" s="797"/>
      <c r="AE13" s="797"/>
      <c r="AF13" s="760"/>
      <c r="AG13" s="794" t="s">
        <v>168</v>
      </c>
      <c r="AH13" s="796"/>
      <c r="AI13" s="794" t="s">
        <v>169</v>
      </c>
      <c r="AJ13" s="795"/>
      <c r="AK13" s="796"/>
      <c r="AL13" s="544"/>
      <c r="AN13" s="791" t="s">
        <v>170</v>
      </c>
      <c r="AO13" s="691"/>
      <c r="AP13" s="791" t="s">
        <v>171</v>
      </c>
      <c r="AQ13" s="691"/>
      <c r="AT13" s="539" t="s">
        <v>168</v>
      </c>
      <c r="AU13" s="791" t="s">
        <v>172</v>
      </c>
      <c r="AV13" s="691"/>
    </row>
    <row r="14" spans="1:51" ht="15" customHeight="1" thickBot="1" x14ac:dyDescent="0.3">
      <c r="A14" s="537" t="s">
        <v>111</v>
      </c>
      <c r="B14" s="368" t="s">
        <v>173</v>
      </c>
      <c r="C14" s="534" t="s">
        <v>174</v>
      </c>
      <c r="D14" s="541" t="s">
        <v>175</v>
      </c>
      <c r="E14" s="534" t="s">
        <v>176</v>
      </c>
      <c r="F14" s="534" t="s">
        <v>177</v>
      </c>
      <c r="G14" s="534" t="s">
        <v>178</v>
      </c>
      <c r="H14" s="534" t="s">
        <v>179</v>
      </c>
      <c r="I14" s="529" t="s">
        <v>175</v>
      </c>
      <c r="J14" s="529" t="s">
        <v>176</v>
      </c>
      <c r="K14" s="448" t="s">
        <v>180</v>
      </c>
      <c r="L14" s="439" t="s">
        <v>181</v>
      </c>
      <c r="M14" s="439" t="s">
        <v>182</v>
      </c>
      <c r="N14" s="368" t="s">
        <v>173</v>
      </c>
      <c r="O14" s="534" t="s">
        <v>174</v>
      </c>
      <c r="P14" s="534" t="s">
        <v>175</v>
      </c>
      <c r="Q14" s="534" t="s">
        <v>176</v>
      </c>
      <c r="R14" s="534" t="s">
        <v>177</v>
      </c>
      <c r="S14" s="534" t="s">
        <v>178</v>
      </c>
      <c r="T14" s="534" t="s">
        <v>183</v>
      </c>
      <c r="U14" s="529" t="s">
        <v>184</v>
      </c>
      <c r="V14" s="529" t="s">
        <v>176</v>
      </c>
      <c r="W14" s="534" t="s">
        <v>180</v>
      </c>
      <c r="X14" s="537" t="s">
        <v>111</v>
      </c>
      <c r="Y14" s="368" t="s">
        <v>173</v>
      </c>
      <c r="Z14" s="534" t="s">
        <v>185</v>
      </c>
      <c r="AA14" s="534" t="s">
        <v>174</v>
      </c>
      <c r="AB14" s="534" t="s">
        <v>175</v>
      </c>
      <c r="AC14" s="534" t="s">
        <v>176</v>
      </c>
      <c r="AD14" s="534" t="s">
        <v>177</v>
      </c>
      <c r="AE14" s="534" t="s">
        <v>178</v>
      </c>
      <c r="AF14" s="534" t="s">
        <v>179</v>
      </c>
      <c r="AG14" s="529" t="s">
        <v>175</v>
      </c>
      <c r="AH14" s="529" t="s">
        <v>176</v>
      </c>
      <c r="AI14" s="529" t="s">
        <v>186</v>
      </c>
      <c r="AJ14" s="529" t="s">
        <v>187</v>
      </c>
      <c r="AK14" s="529" t="s">
        <v>188</v>
      </c>
      <c r="AL14" s="529" t="s">
        <v>189</v>
      </c>
      <c r="AM14" s="439" t="s">
        <v>181</v>
      </c>
      <c r="AN14" s="534" t="s">
        <v>190</v>
      </c>
      <c r="AO14" s="534" t="s">
        <v>191</v>
      </c>
      <c r="AP14" s="534" t="s">
        <v>190</v>
      </c>
      <c r="AQ14" s="534" t="s">
        <v>191</v>
      </c>
      <c r="AR14" s="365" t="s">
        <v>192</v>
      </c>
      <c r="AS14" s="534" t="s">
        <v>193</v>
      </c>
      <c r="AT14" s="534" t="s">
        <v>193</v>
      </c>
      <c r="AU14" s="368" t="s">
        <v>167</v>
      </c>
      <c r="AV14" s="368" t="s">
        <v>194</v>
      </c>
    </row>
    <row r="15" spans="1:51" x14ac:dyDescent="0.25">
      <c r="A15" s="535">
        <v>44409</v>
      </c>
      <c r="B15" s="300">
        <f>+C2</f>
        <v>83169.53</v>
      </c>
      <c r="C15" s="14">
        <f t="shared" ref="C15:C78" si="4">IF(+$K14&lt;=0,0,$C$5)</f>
        <v>421.41</v>
      </c>
      <c r="D15" s="14">
        <f>+C15-E15</f>
        <v>109.52000000000004</v>
      </c>
      <c r="E15" s="14">
        <f t="shared" ref="E15:E78" si="5">ROUND($B15*($C$3/12), 2)</f>
        <v>311.89</v>
      </c>
      <c r="I15" s="300">
        <f>+C15</f>
        <v>421.41</v>
      </c>
      <c r="J15" s="300">
        <f>+E15</f>
        <v>311.89</v>
      </c>
      <c r="K15" s="300">
        <f>+B15-D15</f>
        <v>83060.009999999995</v>
      </c>
      <c r="L15" s="449">
        <f t="shared" ref="L15:L78" si="6">IF(MOD(M15,12)=0,M15/12,L14)</f>
        <v>0</v>
      </c>
      <c r="M15" s="449">
        <v>0</v>
      </c>
      <c r="N15" s="300">
        <f>+$O$5</f>
        <v>243148.5</v>
      </c>
      <c r="O15" s="300">
        <f>IF($O$9&lt;=A15,$O$8,0)</f>
        <v>0</v>
      </c>
      <c r="P15" s="300">
        <f>+O15-Q15</f>
        <v>0</v>
      </c>
      <c r="Q15" s="300">
        <f>IF($O$9&lt;=$A15,ROUND(N15*(O$6/12),2),0)</f>
        <v>0</v>
      </c>
      <c r="R15" s="300">
        <f t="shared" ref="R15:R62" si="7">IF(O15=0,0,$T$8)</f>
        <v>0</v>
      </c>
      <c r="S15" s="300">
        <f t="shared" ref="S15:S61" si="8">IF(P15=0,0,$T$9)</f>
        <v>0</v>
      </c>
      <c r="T15" s="300">
        <f t="shared" ref="T15:T57" si="9">SUM(P15:S15)</f>
        <v>0</v>
      </c>
      <c r="U15" s="300">
        <f>+P15</f>
        <v>0</v>
      </c>
      <c r="V15" s="300">
        <f>+Q15</f>
        <v>0</v>
      </c>
      <c r="W15" s="300">
        <f>+N15-P15</f>
        <v>243148.5</v>
      </c>
      <c r="X15" s="535">
        <f>+A15</f>
        <v>44409</v>
      </c>
      <c r="Y15" s="300">
        <f>+AA5</f>
        <v>314924.09999999998</v>
      </c>
      <c r="Z15" s="527">
        <f t="shared" ref="Z15:Z78" si="10">IF(L15&gt;4,$AA$9,$AA$8)</f>
        <v>4.4999999999999998E-2</v>
      </c>
      <c r="AA15" s="300">
        <f t="shared" ref="AA15:AA78" si="11">IF($O$9&lt;=$A15,IF(+AL14&lt;=0,0,IF(Z15=$AA$8,$Z$8,$Z$9)),0)</f>
        <v>0</v>
      </c>
      <c r="AB15" s="300">
        <f t="shared" ref="AB15:AB58" si="12">+AA15-AC15</f>
        <v>0</v>
      </c>
      <c r="AC15" s="300">
        <f t="shared" ref="AC15:AC78" si="13">IF($O$9&lt;=$A15,ROUND(Y15*(Z15/12),2),0)</f>
        <v>0</v>
      </c>
      <c r="AD15" s="300">
        <f t="shared" ref="AD15:AD59" si="14">IF(AA15=0,0,$T$8)</f>
        <v>0</v>
      </c>
      <c r="AE15" s="300">
        <f t="shared" ref="AE15:AE59" si="15">IF(AB15=0,0,$T$9)</f>
        <v>0</v>
      </c>
      <c r="AF15" s="300">
        <f t="shared" ref="AF15:AF59" si="16">SUM(AB15:AE15)</f>
        <v>0</v>
      </c>
      <c r="AG15" s="300">
        <v>0</v>
      </c>
      <c r="AH15" s="300">
        <v>0</v>
      </c>
      <c r="AI15" s="545">
        <f>SUM(AB15:AC15)-SUM(P15:Q15)</f>
        <v>0</v>
      </c>
      <c r="AJ15" s="545">
        <f t="shared" ref="AJ15:AJ78" si="17">+W15-AL15</f>
        <v>-71775.599999999977</v>
      </c>
      <c r="AK15" s="545"/>
      <c r="AL15" s="300">
        <f t="shared" ref="AL15" si="18">+Y15-AB15</f>
        <v>314924.09999999998</v>
      </c>
      <c r="AM15" s="449">
        <f>+L15</f>
        <v>0</v>
      </c>
      <c r="AN15" s="14">
        <f t="shared" ref="AN15:AN58" si="19">IF(O15=0,0,+O15-C15)</f>
        <v>0</v>
      </c>
      <c r="AO15" s="14">
        <f>IF(W15&lt;=0,0,+$O$5-$C$2+I15-U15+AV15)</f>
        <v>161008.25125</v>
      </c>
      <c r="AP15" s="14">
        <f t="shared" ref="AP15:AP58" si="20">IF($O15=0,0,+AA15-$C15)</f>
        <v>0</v>
      </c>
      <c r="AS15" s="14">
        <f t="shared" ref="AS15:AS78" si="21">+AN15-AR15</f>
        <v>0</v>
      </c>
      <c r="AT15" s="14">
        <f>+AS15</f>
        <v>0</v>
      </c>
      <c r="AU15" s="300">
        <f>+O5*AQ2/12</f>
        <v>607.87125000000003</v>
      </c>
      <c r="AV15" s="300">
        <f>+AU15</f>
        <v>607.87125000000003</v>
      </c>
    </row>
    <row r="16" spans="1:51" x14ac:dyDescent="0.25">
      <c r="A16" s="535">
        <f>IF(K16&lt;=0," ",+A15+30)</f>
        <v>44439</v>
      </c>
      <c r="B16" s="300">
        <f t="shared" ref="B16:B79" si="22">IF(+K15&lt;0,0,+K15)</f>
        <v>83060.009999999995</v>
      </c>
      <c r="C16" s="14">
        <f t="shared" si="4"/>
        <v>421.41</v>
      </c>
      <c r="D16" s="14">
        <f>+C16-E16</f>
        <v>109.93</v>
      </c>
      <c r="E16" s="14">
        <f t="shared" si="5"/>
        <v>311.48</v>
      </c>
      <c r="I16" s="300">
        <f>$D16+$I15</f>
        <v>531.34</v>
      </c>
      <c r="J16" s="300">
        <f>$E16+$J15</f>
        <v>623.37</v>
      </c>
      <c r="K16" s="300">
        <f>+B16-D16</f>
        <v>82950.080000000002</v>
      </c>
      <c r="L16" s="449">
        <f t="shared" si="6"/>
        <v>0</v>
      </c>
      <c r="M16" s="449">
        <f t="shared" ref="M16:M79" si="23">IF(N16&lt;&gt;"",IF(N16=$O$5,0,+M15+1),0)</f>
        <v>0</v>
      </c>
      <c r="N16" s="300">
        <f t="shared" ref="N16:N79" si="24">IF(+W15&lt;0,0,+W15)</f>
        <v>243148.5</v>
      </c>
      <c r="O16" s="300">
        <f t="shared" ref="O16:O57" si="25">IF($O$9&lt;=A16,IF(+$W15&lt;=0,0,$O$8),0)</f>
        <v>0</v>
      </c>
      <c r="P16" s="300">
        <f>+O16-Q16</f>
        <v>0</v>
      </c>
      <c r="Q16" s="300">
        <f t="shared" ref="Q16:Q60" si="26">IF($O$9&lt;=A16,ROUND(N16*($O$6/12),2),0)</f>
        <v>0</v>
      </c>
      <c r="R16" s="300">
        <f t="shared" si="7"/>
        <v>0</v>
      </c>
      <c r="S16" s="300">
        <f t="shared" si="8"/>
        <v>0</v>
      </c>
      <c r="T16" s="300">
        <f t="shared" si="9"/>
        <v>0</v>
      </c>
      <c r="U16" s="300">
        <f>+P16+U15</f>
        <v>0</v>
      </c>
      <c r="V16" s="300">
        <f>+V15+Q16</f>
        <v>0</v>
      </c>
      <c r="W16" s="300">
        <f>+N16-P16</f>
        <v>243148.5</v>
      </c>
      <c r="X16" s="535">
        <f t="shared" ref="X16:X79" si="27">+A16</f>
        <v>44439</v>
      </c>
      <c r="Y16" s="300">
        <f>IF(+AL15&lt;0,0,+AL15)</f>
        <v>314924.09999999998</v>
      </c>
      <c r="Z16" s="527">
        <f t="shared" si="10"/>
        <v>4.4999999999999998E-2</v>
      </c>
      <c r="AA16" s="300">
        <f t="shared" si="11"/>
        <v>0</v>
      </c>
      <c r="AB16" s="300">
        <f t="shared" si="12"/>
        <v>0</v>
      </c>
      <c r="AC16" s="300">
        <f t="shared" si="13"/>
        <v>0</v>
      </c>
      <c r="AD16" s="300">
        <f t="shared" si="14"/>
        <v>0</v>
      </c>
      <c r="AE16" s="300">
        <f t="shared" si="15"/>
        <v>0</v>
      </c>
      <c r="AF16" s="300">
        <f t="shared" si="16"/>
        <v>0</v>
      </c>
      <c r="AG16" s="300">
        <f>+AB16+AG15</f>
        <v>0</v>
      </c>
      <c r="AH16" s="300">
        <f>+AH15+AC16</f>
        <v>0</v>
      </c>
      <c r="AI16" s="545">
        <f t="shared" ref="AI16:AI58" si="28">O16-AA16+AI15</f>
        <v>0</v>
      </c>
      <c r="AJ16" s="545">
        <f t="shared" si="17"/>
        <v>-71775.599999999977</v>
      </c>
      <c r="AK16" s="545"/>
      <c r="AL16" s="300">
        <f>+Y16-AB16</f>
        <v>314924.09999999998</v>
      </c>
      <c r="AM16" s="449">
        <f t="shared" ref="AM16:AM79" si="29">+L16</f>
        <v>0</v>
      </c>
      <c r="AN16" s="14">
        <f t="shared" si="19"/>
        <v>0</v>
      </c>
      <c r="AO16" s="14">
        <f t="shared" ref="AO16:AO44" si="30">IF(W16&lt;=0,0,+$O$5-$C$2+I16-U16)</f>
        <v>160510.31</v>
      </c>
      <c r="AP16" s="14">
        <f t="shared" si="20"/>
        <v>0</v>
      </c>
      <c r="AS16" s="14">
        <f t="shared" si="21"/>
        <v>0</v>
      </c>
      <c r="AT16" s="14">
        <f t="shared" ref="AT16:AT79" si="31">IF(W16&lt;=0,0,+AS16+AT15)</f>
        <v>0</v>
      </c>
      <c r="AU16" s="300">
        <f t="shared" ref="AU16:AU79" si="32">IF(W16&lt;=0,0,+($O$5+AV15)*$AQ$2/12)</f>
        <v>609.39092812499996</v>
      </c>
      <c r="AV16" s="300">
        <f t="shared" ref="AV16:AV79" si="33">IF(W16&lt;=0,0,+AV15+AU16)</f>
        <v>1217.262178125</v>
      </c>
    </row>
    <row r="17" spans="1:48" x14ac:dyDescent="0.25">
      <c r="A17" s="535">
        <f t="shared" ref="A17:A61" si="34">IF(K17&lt;=0," ",+A16+30)</f>
        <v>44469</v>
      </c>
      <c r="B17" s="300">
        <f t="shared" si="22"/>
        <v>82950.080000000002</v>
      </c>
      <c r="C17" s="14">
        <f t="shared" si="4"/>
        <v>421.41</v>
      </c>
      <c r="D17" s="14">
        <f t="shared" ref="D17:D80" si="35">+C17-E17</f>
        <v>110.35000000000002</v>
      </c>
      <c r="E17" s="14">
        <f t="shared" si="5"/>
        <v>311.06</v>
      </c>
      <c r="I17" s="300">
        <f t="shared" ref="I17:I31" si="36">$D17+$I16</f>
        <v>641.69000000000005</v>
      </c>
      <c r="J17" s="300">
        <f t="shared" ref="J17:J31" si="37">$E17+$J16</f>
        <v>934.43000000000006</v>
      </c>
      <c r="K17" s="300">
        <f t="shared" ref="K17:K31" si="38">+B17-D17</f>
        <v>82839.73</v>
      </c>
      <c r="L17" s="449">
        <f t="shared" si="6"/>
        <v>0</v>
      </c>
      <c r="M17" s="449">
        <f t="shared" si="23"/>
        <v>0</v>
      </c>
      <c r="N17" s="300">
        <f t="shared" si="24"/>
        <v>243148.5</v>
      </c>
      <c r="O17" s="300">
        <f t="shared" si="25"/>
        <v>0</v>
      </c>
      <c r="P17" s="300">
        <f t="shared" ref="P17:P80" si="39">+O17-Q17</f>
        <v>0</v>
      </c>
      <c r="Q17" s="300">
        <f t="shared" si="26"/>
        <v>0</v>
      </c>
      <c r="R17" s="300">
        <f t="shared" si="7"/>
        <v>0</v>
      </c>
      <c r="S17" s="300">
        <f t="shared" si="8"/>
        <v>0</v>
      </c>
      <c r="T17" s="300">
        <f t="shared" si="9"/>
        <v>0</v>
      </c>
      <c r="U17" s="300">
        <f t="shared" ref="U17:U80" si="40">+P17+U16</f>
        <v>0</v>
      </c>
      <c r="V17" s="300">
        <f t="shared" ref="V17:V80" si="41">+V16+Q17</f>
        <v>0</v>
      </c>
      <c r="W17" s="300">
        <f t="shared" ref="W17:W61" si="42">+N17-P17</f>
        <v>243148.5</v>
      </c>
      <c r="X17" s="535">
        <f t="shared" si="27"/>
        <v>44469</v>
      </c>
      <c r="Y17" s="300">
        <f t="shared" ref="Y17:Y58" si="43">IF(+AL16&lt;0,0,+AL16)</f>
        <v>314924.09999999998</v>
      </c>
      <c r="Z17" s="527">
        <f t="shared" si="10"/>
        <v>4.4999999999999998E-2</v>
      </c>
      <c r="AA17" s="300">
        <f t="shared" si="11"/>
        <v>0</v>
      </c>
      <c r="AB17" s="300">
        <f t="shared" si="12"/>
        <v>0</v>
      </c>
      <c r="AC17" s="300">
        <f t="shared" si="13"/>
        <v>0</v>
      </c>
      <c r="AD17" s="300">
        <f t="shared" si="14"/>
        <v>0</v>
      </c>
      <c r="AE17" s="300">
        <f t="shared" si="15"/>
        <v>0</v>
      </c>
      <c r="AF17" s="300">
        <f t="shared" si="16"/>
        <v>0</v>
      </c>
      <c r="AG17" s="300">
        <f t="shared" ref="AG17:AG58" si="44">+AB17+AG16</f>
        <v>0</v>
      </c>
      <c r="AH17" s="300">
        <f t="shared" ref="AH17:AH58" si="45">+AH16+AC17</f>
        <v>0</v>
      </c>
      <c r="AI17" s="545">
        <f t="shared" si="28"/>
        <v>0</v>
      </c>
      <c r="AJ17" s="545">
        <f t="shared" si="17"/>
        <v>-71775.599999999977</v>
      </c>
      <c r="AK17" s="545"/>
      <c r="AL17" s="300">
        <f t="shared" ref="AL17:AL58" si="46">+Y17-AB17</f>
        <v>314924.09999999998</v>
      </c>
      <c r="AM17" s="449">
        <f t="shared" si="29"/>
        <v>0</v>
      </c>
      <c r="AN17" s="14">
        <f t="shared" si="19"/>
        <v>0</v>
      </c>
      <c r="AO17" s="14">
        <f t="shared" si="30"/>
        <v>160620.66</v>
      </c>
      <c r="AP17" s="14">
        <f t="shared" si="20"/>
        <v>0</v>
      </c>
      <c r="AS17" s="14">
        <f t="shared" si="21"/>
        <v>0</v>
      </c>
      <c r="AT17" s="14">
        <f t="shared" si="31"/>
        <v>0</v>
      </c>
      <c r="AU17" s="300">
        <f t="shared" si="32"/>
        <v>610.91440544531247</v>
      </c>
      <c r="AV17" s="300">
        <f t="shared" si="33"/>
        <v>1828.1765835703125</v>
      </c>
    </row>
    <row r="18" spans="1:48" x14ac:dyDescent="0.25">
      <c r="A18" s="535">
        <f t="shared" si="34"/>
        <v>44499</v>
      </c>
      <c r="B18" s="300">
        <f t="shared" si="22"/>
        <v>82839.73</v>
      </c>
      <c r="C18" s="14">
        <f t="shared" si="4"/>
        <v>421.41</v>
      </c>
      <c r="D18" s="14">
        <f t="shared" si="35"/>
        <v>110.76000000000005</v>
      </c>
      <c r="E18" s="14">
        <f t="shared" si="5"/>
        <v>310.64999999999998</v>
      </c>
      <c r="I18" s="300">
        <f t="shared" si="36"/>
        <v>752.45</v>
      </c>
      <c r="J18" s="300">
        <f t="shared" si="37"/>
        <v>1245.08</v>
      </c>
      <c r="K18" s="300">
        <f t="shared" si="38"/>
        <v>82728.97</v>
      </c>
      <c r="L18" s="449">
        <f t="shared" si="6"/>
        <v>0</v>
      </c>
      <c r="M18" s="449">
        <f t="shared" si="23"/>
        <v>0</v>
      </c>
      <c r="N18" s="300">
        <f t="shared" si="24"/>
        <v>243148.5</v>
      </c>
      <c r="O18" s="300">
        <f t="shared" si="25"/>
        <v>0</v>
      </c>
      <c r="P18" s="300">
        <f t="shared" si="39"/>
        <v>0</v>
      </c>
      <c r="Q18" s="300">
        <f t="shared" si="26"/>
        <v>0</v>
      </c>
      <c r="R18" s="300">
        <f t="shared" si="7"/>
        <v>0</v>
      </c>
      <c r="S18" s="300">
        <f t="shared" si="8"/>
        <v>0</v>
      </c>
      <c r="T18" s="300">
        <f t="shared" si="9"/>
        <v>0</v>
      </c>
      <c r="U18" s="300">
        <f t="shared" si="40"/>
        <v>0</v>
      </c>
      <c r="V18" s="300">
        <f t="shared" si="41"/>
        <v>0</v>
      </c>
      <c r="W18" s="300">
        <f t="shared" si="42"/>
        <v>243148.5</v>
      </c>
      <c r="X18" s="535">
        <f t="shared" si="27"/>
        <v>44499</v>
      </c>
      <c r="Y18" s="300">
        <f t="shared" si="43"/>
        <v>314924.09999999998</v>
      </c>
      <c r="Z18" s="527">
        <f t="shared" si="10"/>
        <v>4.4999999999999998E-2</v>
      </c>
      <c r="AA18" s="300">
        <f t="shared" si="11"/>
        <v>0</v>
      </c>
      <c r="AB18" s="300">
        <f t="shared" si="12"/>
        <v>0</v>
      </c>
      <c r="AC18" s="300">
        <f t="shared" si="13"/>
        <v>0</v>
      </c>
      <c r="AD18" s="300">
        <f t="shared" si="14"/>
        <v>0</v>
      </c>
      <c r="AE18" s="300">
        <f t="shared" si="15"/>
        <v>0</v>
      </c>
      <c r="AF18" s="300">
        <f t="shared" si="16"/>
        <v>0</v>
      </c>
      <c r="AG18" s="300">
        <f t="shared" si="44"/>
        <v>0</v>
      </c>
      <c r="AH18" s="300">
        <f t="shared" si="45"/>
        <v>0</v>
      </c>
      <c r="AI18" s="545">
        <f t="shared" si="28"/>
        <v>0</v>
      </c>
      <c r="AJ18" s="545">
        <f t="shared" si="17"/>
        <v>-71775.599999999977</v>
      </c>
      <c r="AK18" s="545"/>
      <c r="AL18" s="300">
        <f t="shared" si="46"/>
        <v>314924.09999999998</v>
      </c>
      <c r="AM18" s="449">
        <f t="shared" si="29"/>
        <v>0</v>
      </c>
      <c r="AN18" s="14">
        <f t="shared" si="19"/>
        <v>0</v>
      </c>
      <c r="AO18" s="14">
        <f t="shared" si="30"/>
        <v>160731.42000000001</v>
      </c>
      <c r="AP18" s="14">
        <f t="shared" si="20"/>
        <v>0</v>
      </c>
      <c r="AS18" s="14">
        <f t="shared" si="21"/>
        <v>0</v>
      </c>
      <c r="AT18" s="14">
        <f t="shared" si="31"/>
        <v>0</v>
      </c>
      <c r="AU18" s="300">
        <f t="shared" si="32"/>
        <v>612.44169145892579</v>
      </c>
      <c r="AV18" s="300">
        <f t="shared" si="33"/>
        <v>2440.6182750292382</v>
      </c>
    </row>
    <row r="19" spans="1:48" x14ac:dyDescent="0.25">
      <c r="A19" s="535">
        <f t="shared" si="34"/>
        <v>44529</v>
      </c>
      <c r="B19" s="300">
        <f t="shared" si="22"/>
        <v>82728.97</v>
      </c>
      <c r="C19" s="14">
        <f t="shared" si="4"/>
        <v>421.41</v>
      </c>
      <c r="D19" s="14">
        <f t="shared" si="35"/>
        <v>111.18</v>
      </c>
      <c r="E19" s="14">
        <f t="shared" si="5"/>
        <v>310.23</v>
      </c>
      <c r="I19" s="300">
        <f t="shared" si="36"/>
        <v>863.63000000000011</v>
      </c>
      <c r="J19" s="300">
        <f t="shared" si="37"/>
        <v>1555.31</v>
      </c>
      <c r="K19" s="300">
        <f t="shared" si="38"/>
        <v>82617.790000000008</v>
      </c>
      <c r="L19" s="449">
        <f t="shared" si="6"/>
        <v>0</v>
      </c>
      <c r="M19" s="449">
        <f t="shared" si="23"/>
        <v>0</v>
      </c>
      <c r="N19" s="300">
        <f t="shared" si="24"/>
        <v>243148.5</v>
      </c>
      <c r="O19" s="300">
        <f t="shared" si="25"/>
        <v>0</v>
      </c>
      <c r="P19" s="300">
        <f t="shared" si="39"/>
        <v>0</v>
      </c>
      <c r="Q19" s="300">
        <f t="shared" si="26"/>
        <v>0</v>
      </c>
      <c r="R19" s="300">
        <f t="shared" si="7"/>
        <v>0</v>
      </c>
      <c r="S19" s="300">
        <f t="shared" si="8"/>
        <v>0</v>
      </c>
      <c r="T19" s="300">
        <f t="shared" si="9"/>
        <v>0</v>
      </c>
      <c r="U19" s="300">
        <f t="shared" si="40"/>
        <v>0</v>
      </c>
      <c r="V19" s="300">
        <f t="shared" si="41"/>
        <v>0</v>
      </c>
      <c r="W19" s="300">
        <f t="shared" si="42"/>
        <v>243148.5</v>
      </c>
      <c r="X19" s="535">
        <f t="shared" si="27"/>
        <v>44529</v>
      </c>
      <c r="Y19" s="300">
        <f t="shared" si="43"/>
        <v>314924.09999999998</v>
      </c>
      <c r="Z19" s="527">
        <f t="shared" si="10"/>
        <v>4.4999999999999998E-2</v>
      </c>
      <c r="AA19" s="300">
        <f t="shared" si="11"/>
        <v>0</v>
      </c>
      <c r="AB19" s="300">
        <f t="shared" si="12"/>
        <v>0</v>
      </c>
      <c r="AC19" s="300">
        <f t="shared" si="13"/>
        <v>0</v>
      </c>
      <c r="AD19" s="300">
        <f t="shared" si="14"/>
        <v>0</v>
      </c>
      <c r="AE19" s="300">
        <f t="shared" si="15"/>
        <v>0</v>
      </c>
      <c r="AF19" s="300">
        <f t="shared" si="16"/>
        <v>0</v>
      </c>
      <c r="AG19" s="300">
        <f t="shared" si="44"/>
        <v>0</v>
      </c>
      <c r="AH19" s="300">
        <f t="shared" si="45"/>
        <v>0</v>
      </c>
      <c r="AI19" s="545">
        <f t="shared" si="28"/>
        <v>0</v>
      </c>
      <c r="AJ19" s="545">
        <f t="shared" si="17"/>
        <v>-71775.599999999977</v>
      </c>
      <c r="AK19" s="545"/>
      <c r="AL19" s="300">
        <f t="shared" si="46"/>
        <v>314924.09999999998</v>
      </c>
      <c r="AM19" s="449">
        <f t="shared" si="29"/>
        <v>0</v>
      </c>
      <c r="AN19" s="14">
        <f t="shared" si="19"/>
        <v>0</v>
      </c>
      <c r="AO19" s="14">
        <f t="shared" si="30"/>
        <v>160842.6</v>
      </c>
      <c r="AP19" s="14">
        <f t="shared" si="20"/>
        <v>0</v>
      </c>
      <c r="AS19" s="14">
        <f t="shared" si="21"/>
        <v>0</v>
      </c>
      <c r="AT19" s="14">
        <f t="shared" si="31"/>
        <v>0</v>
      </c>
      <c r="AU19" s="300">
        <f t="shared" si="32"/>
        <v>613.97279568757301</v>
      </c>
      <c r="AV19" s="300">
        <f t="shared" si="33"/>
        <v>3054.5910707168114</v>
      </c>
    </row>
    <row r="20" spans="1:48" x14ac:dyDescent="0.25">
      <c r="A20" s="535">
        <f t="shared" si="34"/>
        <v>44559</v>
      </c>
      <c r="B20" s="300">
        <f t="shared" si="22"/>
        <v>82617.790000000008</v>
      </c>
      <c r="C20" s="14">
        <f t="shared" si="4"/>
        <v>421.41</v>
      </c>
      <c r="D20" s="14">
        <f t="shared" si="35"/>
        <v>111.59000000000003</v>
      </c>
      <c r="E20" s="14">
        <f t="shared" si="5"/>
        <v>309.82</v>
      </c>
      <c r="I20" s="300">
        <f t="shared" si="36"/>
        <v>975.22000000000014</v>
      </c>
      <c r="J20" s="300">
        <f t="shared" si="37"/>
        <v>1865.1299999999999</v>
      </c>
      <c r="K20" s="300">
        <f t="shared" si="38"/>
        <v>82506.200000000012</v>
      </c>
      <c r="L20" s="449">
        <f t="shared" si="6"/>
        <v>0</v>
      </c>
      <c r="M20" s="449">
        <f t="shared" si="23"/>
        <v>0</v>
      </c>
      <c r="N20" s="300">
        <f t="shared" si="24"/>
        <v>243148.5</v>
      </c>
      <c r="O20" s="300">
        <f t="shared" si="25"/>
        <v>0</v>
      </c>
      <c r="P20" s="300">
        <f t="shared" si="39"/>
        <v>0</v>
      </c>
      <c r="Q20" s="300">
        <f t="shared" si="26"/>
        <v>0</v>
      </c>
      <c r="R20" s="300">
        <f t="shared" si="7"/>
        <v>0</v>
      </c>
      <c r="S20" s="300">
        <f t="shared" si="8"/>
        <v>0</v>
      </c>
      <c r="T20" s="300">
        <f t="shared" si="9"/>
        <v>0</v>
      </c>
      <c r="U20" s="300">
        <f t="shared" si="40"/>
        <v>0</v>
      </c>
      <c r="V20" s="300">
        <f t="shared" si="41"/>
        <v>0</v>
      </c>
      <c r="W20" s="300">
        <f t="shared" si="42"/>
        <v>243148.5</v>
      </c>
      <c r="X20" s="535">
        <f t="shared" si="27"/>
        <v>44559</v>
      </c>
      <c r="Y20" s="300">
        <f t="shared" si="43"/>
        <v>314924.09999999998</v>
      </c>
      <c r="Z20" s="527">
        <f t="shared" si="10"/>
        <v>4.4999999999999998E-2</v>
      </c>
      <c r="AA20" s="300">
        <f t="shared" si="11"/>
        <v>0</v>
      </c>
      <c r="AB20" s="300">
        <f t="shared" si="12"/>
        <v>0</v>
      </c>
      <c r="AC20" s="300">
        <f t="shared" si="13"/>
        <v>0</v>
      </c>
      <c r="AD20" s="300">
        <f t="shared" si="14"/>
        <v>0</v>
      </c>
      <c r="AE20" s="300">
        <f t="shared" si="15"/>
        <v>0</v>
      </c>
      <c r="AF20" s="300">
        <f t="shared" si="16"/>
        <v>0</v>
      </c>
      <c r="AG20" s="300">
        <f t="shared" si="44"/>
        <v>0</v>
      </c>
      <c r="AH20" s="300">
        <f t="shared" si="45"/>
        <v>0</v>
      </c>
      <c r="AI20" s="545">
        <f t="shared" si="28"/>
        <v>0</v>
      </c>
      <c r="AJ20" s="545">
        <f t="shared" si="17"/>
        <v>-71775.599999999977</v>
      </c>
      <c r="AK20" s="545"/>
      <c r="AL20" s="300">
        <f t="shared" si="46"/>
        <v>314924.09999999998</v>
      </c>
      <c r="AM20" s="449">
        <f t="shared" si="29"/>
        <v>0</v>
      </c>
      <c r="AN20" s="14">
        <f t="shared" si="19"/>
        <v>0</v>
      </c>
      <c r="AO20" s="14">
        <f t="shared" si="30"/>
        <v>160954.19</v>
      </c>
      <c r="AP20" s="14">
        <f t="shared" si="20"/>
        <v>0</v>
      </c>
      <c r="AS20" s="14">
        <f t="shared" si="21"/>
        <v>0</v>
      </c>
      <c r="AT20" s="14">
        <f t="shared" si="31"/>
        <v>0</v>
      </c>
      <c r="AU20" s="300">
        <f t="shared" si="32"/>
        <v>615.507727676792</v>
      </c>
      <c r="AV20" s="300">
        <f t="shared" si="33"/>
        <v>3670.0987983936034</v>
      </c>
    </row>
    <row r="21" spans="1:48" x14ac:dyDescent="0.25">
      <c r="A21" s="535">
        <f t="shared" si="34"/>
        <v>44589</v>
      </c>
      <c r="B21" s="300">
        <f t="shared" si="22"/>
        <v>82506.200000000012</v>
      </c>
      <c r="C21" s="14">
        <f t="shared" si="4"/>
        <v>421.41</v>
      </c>
      <c r="D21" s="14">
        <f t="shared" si="35"/>
        <v>112.01000000000005</v>
      </c>
      <c r="E21" s="14">
        <f t="shared" si="5"/>
        <v>309.39999999999998</v>
      </c>
      <c r="I21" s="300">
        <f t="shared" si="36"/>
        <v>1087.2300000000002</v>
      </c>
      <c r="J21" s="300">
        <f t="shared" si="37"/>
        <v>2174.5299999999997</v>
      </c>
      <c r="K21" s="300">
        <f t="shared" si="38"/>
        <v>82394.190000000017</v>
      </c>
      <c r="L21" s="449">
        <f t="shared" si="6"/>
        <v>0</v>
      </c>
      <c r="M21" s="449">
        <f t="shared" si="23"/>
        <v>0</v>
      </c>
      <c r="N21" s="300">
        <f t="shared" si="24"/>
        <v>243148.5</v>
      </c>
      <c r="O21" s="300">
        <f t="shared" si="25"/>
        <v>0</v>
      </c>
      <c r="P21" s="300">
        <f t="shared" si="39"/>
        <v>0</v>
      </c>
      <c r="Q21" s="300">
        <f t="shared" si="26"/>
        <v>0</v>
      </c>
      <c r="R21" s="300">
        <f t="shared" si="7"/>
        <v>0</v>
      </c>
      <c r="S21" s="300">
        <f t="shared" si="8"/>
        <v>0</v>
      </c>
      <c r="T21" s="300">
        <f t="shared" si="9"/>
        <v>0</v>
      </c>
      <c r="U21" s="300">
        <f t="shared" si="40"/>
        <v>0</v>
      </c>
      <c r="V21" s="300">
        <f t="shared" si="41"/>
        <v>0</v>
      </c>
      <c r="W21" s="300">
        <f t="shared" si="42"/>
        <v>243148.5</v>
      </c>
      <c r="X21" s="535">
        <f t="shared" si="27"/>
        <v>44589</v>
      </c>
      <c r="Y21" s="300">
        <f t="shared" si="43"/>
        <v>314924.09999999998</v>
      </c>
      <c r="Z21" s="527">
        <f t="shared" si="10"/>
        <v>4.4999999999999998E-2</v>
      </c>
      <c r="AA21" s="300">
        <f t="shared" si="11"/>
        <v>0</v>
      </c>
      <c r="AB21" s="300">
        <f t="shared" si="12"/>
        <v>0</v>
      </c>
      <c r="AC21" s="300">
        <f t="shared" si="13"/>
        <v>0</v>
      </c>
      <c r="AD21" s="300">
        <f t="shared" si="14"/>
        <v>0</v>
      </c>
      <c r="AE21" s="300">
        <f t="shared" si="15"/>
        <v>0</v>
      </c>
      <c r="AF21" s="300">
        <f t="shared" si="16"/>
        <v>0</v>
      </c>
      <c r="AG21" s="300">
        <f t="shared" si="44"/>
        <v>0</v>
      </c>
      <c r="AH21" s="300">
        <f t="shared" si="45"/>
        <v>0</v>
      </c>
      <c r="AI21" s="545">
        <f t="shared" si="28"/>
        <v>0</v>
      </c>
      <c r="AJ21" s="545">
        <f t="shared" si="17"/>
        <v>-71775.599999999977</v>
      </c>
      <c r="AK21" s="545"/>
      <c r="AL21" s="300">
        <f t="shared" si="46"/>
        <v>314924.09999999998</v>
      </c>
      <c r="AM21" s="449">
        <f t="shared" si="29"/>
        <v>0</v>
      </c>
      <c r="AN21" s="14">
        <f t="shared" si="19"/>
        <v>0</v>
      </c>
      <c r="AO21" s="14">
        <f t="shared" si="30"/>
        <v>161066.20000000001</v>
      </c>
      <c r="AP21" s="14">
        <f t="shared" si="20"/>
        <v>0</v>
      </c>
      <c r="AS21" s="14">
        <f t="shared" si="21"/>
        <v>0</v>
      </c>
      <c r="AT21" s="14">
        <f t="shared" si="31"/>
        <v>0</v>
      </c>
      <c r="AU21" s="300">
        <f t="shared" si="32"/>
        <v>617.04649699598394</v>
      </c>
      <c r="AV21" s="300">
        <f t="shared" si="33"/>
        <v>4287.1452953895878</v>
      </c>
    </row>
    <row r="22" spans="1:48" x14ac:dyDescent="0.25">
      <c r="A22" s="535">
        <f t="shared" si="34"/>
        <v>44619</v>
      </c>
      <c r="B22" s="300">
        <f t="shared" si="22"/>
        <v>82394.190000000017</v>
      </c>
      <c r="C22" s="14">
        <f t="shared" si="4"/>
        <v>421.41</v>
      </c>
      <c r="D22" s="14">
        <f t="shared" si="35"/>
        <v>112.43</v>
      </c>
      <c r="E22" s="14">
        <f t="shared" si="5"/>
        <v>308.98</v>
      </c>
      <c r="I22" s="300">
        <f t="shared" si="36"/>
        <v>1199.6600000000003</v>
      </c>
      <c r="J22" s="300">
        <f t="shared" si="37"/>
        <v>2483.5099999999998</v>
      </c>
      <c r="K22" s="300">
        <f t="shared" si="38"/>
        <v>82281.760000000024</v>
      </c>
      <c r="L22" s="449">
        <f t="shared" si="6"/>
        <v>0</v>
      </c>
      <c r="M22" s="449">
        <f t="shared" si="23"/>
        <v>0</v>
      </c>
      <c r="N22" s="300">
        <f t="shared" si="24"/>
        <v>243148.5</v>
      </c>
      <c r="O22" s="300">
        <f t="shared" si="25"/>
        <v>0</v>
      </c>
      <c r="P22" s="300">
        <f t="shared" si="39"/>
        <v>0</v>
      </c>
      <c r="Q22" s="300">
        <f t="shared" si="26"/>
        <v>0</v>
      </c>
      <c r="R22" s="300">
        <f t="shared" si="7"/>
        <v>0</v>
      </c>
      <c r="S22" s="300">
        <f t="shared" si="8"/>
        <v>0</v>
      </c>
      <c r="T22" s="300">
        <f t="shared" si="9"/>
        <v>0</v>
      </c>
      <c r="U22" s="300">
        <f t="shared" si="40"/>
        <v>0</v>
      </c>
      <c r="V22" s="300">
        <f t="shared" si="41"/>
        <v>0</v>
      </c>
      <c r="W22" s="300">
        <f t="shared" si="42"/>
        <v>243148.5</v>
      </c>
      <c r="X22" s="535">
        <f t="shared" si="27"/>
        <v>44619</v>
      </c>
      <c r="Y22" s="300">
        <f t="shared" si="43"/>
        <v>314924.09999999998</v>
      </c>
      <c r="Z22" s="527">
        <f t="shared" si="10"/>
        <v>4.4999999999999998E-2</v>
      </c>
      <c r="AA22" s="300">
        <f t="shared" si="11"/>
        <v>0</v>
      </c>
      <c r="AB22" s="300">
        <f t="shared" si="12"/>
        <v>0</v>
      </c>
      <c r="AC22" s="300">
        <f t="shared" si="13"/>
        <v>0</v>
      </c>
      <c r="AD22" s="300">
        <f t="shared" si="14"/>
        <v>0</v>
      </c>
      <c r="AE22" s="300">
        <f t="shared" si="15"/>
        <v>0</v>
      </c>
      <c r="AF22" s="300">
        <f t="shared" si="16"/>
        <v>0</v>
      </c>
      <c r="AG22" s="300">
        <f t="shared" si="44"/>
        <v>0</v>
      </c>
      <c r="AH22" s="300">
        <f t="shared" si="45"/>
        <v>0</v>
      </c>
      <c r="AI22" s="545">
        <f t="shared" si="28"/>
        <v>0</v>
      </c>
      <c r="AJ22" s="545">
        <f t="shared" si="17"/>
        <v>-71775.599999999977</v>
      </c>
      <c r="AK22" s="545"/>
      <c r="AL22" s="300">
        <f t="shared" si="46"/>
        <v>314924.09999999998</v>
      </c>
      <c r="AM22" s="449">
        <f t="shared" si="29"/>
        <v>0</v>
      </c>
      <c r="AN22" s="14">
        <f t="shared" si="19"/>
        <v>0</v>
      </c>
      <c r="AO22" s="14">
        <f t="shared" si="30"/>
        <v>161178.63</v>
      </c>
      <c r="AP22" s="14">
        <f t="shared" si="20"/>
        <v>0</v>
      </c>
      <c r="AS22" s="14">
        <f t="shared" si="21"/>
        <v>0</v>
      </c>
      <c r="AT22" s="14">
        <f t="shared" si="31"/>
        <v>0</v>
      </c>
      <c r="AU22" s="300">
        <f t="shared" si="32"/>
        <v>618.58911323847394</v>
      </c>
      <c r="AV22" s="300">
        <f t="shared" si="33"/>
        <v>4905.7344086280618</v>
      </c>
    </row>
    <row r="23" spans="1:48" x14ac:dyDescent="0.25">
      <c r="A23" s="535">
        <f t="shared" si="34"/>
        <v>44649</v>
      </c>
      <c r="B23" s="300">
        <f t="shared" si="22"/>
        <v>82281.760000000024</v>
      </c>
      <c r="C23" s="14">
        <f t="shared" si="4"/>
        <v>421.41</v>
      </c>
      <c r="D23" s="14">
        <f t="shared" si="35"/>
        <v>112.85000000000002</v>
      </c>
      <c r="E23" s="14">
        <f t="shared" si="5"/>
        <v>308.56</v>
      </c>
      <c r="I23" s="300">
        <f t="shared" si="36"/>
        <v>1312.5100000000002</v>
      </c>
      <c r="J23" s="300">
        <f t="shared" si="37"/>
        <v>2792.0699999999997</v>
      </c>
      <c r="K23" s="300">
        <f t="shared" si="38"/>
        <v>82168.910000000018</v>
      </c>
      <c r="L23" s="449">
        <f t="shared" si="6"/>
        <v>0</v>
      </c>
      <c r="M23" s="449">
        <f t="shared" si="23"/>
        <v>0</v>
      </c>
      <c r="N23" s="300">
        <f t="shared" si="24"/>
        <v>243148.5</v>
      </c>
      <c r="O23" s="300">
        <f t="shared" si="25"/>
        <v>0</v>
      </c>
      <c r="P23" s="300">
        <f t="shared" si="39"/>
        <v>0</v>
      </c>
      <c r="Q23" s="300">
        <f t="shared" si="26"/>
        <v>0</v>
      </c>
      <c r="R23" s="300">
        <f t="shared" si="7"/>
        <v>0</v>
      </c>
      <c r="S23" s="300">
        <f t="shared" si="8"/>
        <v>0</v>
      </c>
      <c r="T23" s="300">
        <f t="shared" si="9"/>
        <v>0</v>
      </c>
      <c r="U23" s="300">
        <f t="shared" si="40"/>
        <v>0</v>
      </c>
      <c r="V23" s="300">
        <f t="shared" si="41"/>
        <v>0</v>
      </c>
      <c r="W23" s="300">
        <f t="shared" si="42"/>
        <v>243148.5</v>
      </c>
      <c r="X23" s="535">
        <f t="shared" si="27"/>
        <v>44649</v>
      </c>
      <c r="Y23" s="300">
        <f t="shared" si="43"/>
        <v>314924.09999999998</v>
      </c>
      <c r="Z23" s="527">
        <f t="shared" si="10"/>
        <v>4.4999999999999998E-2</v>
      </c>
      <c r="AA23" s="300">
        <f t="shared" si="11"/>
        <v>0</v>
      </c>
      <c r="AB23" s="300">
        <f t="shared" si="12"/>
        <v>0</v>
      </c>
      <c r="AC23" s="300">
        <f t="shared" si="13"/>
        <v>0</v>
      </c>
      <c r="AD23" s="300">
        <f t="shared" si="14"/>
        <v>0</v>
      </c>
      <c r="AE23" s="300">
        <f t="shared" si="15"/>
        <v>0</v>
      </c>
      <c r="AF23" s="300">
        <f t="shared" si="16"/>
        <v>0</v>
      </c>
      <c r="AG23" s="300">
        <f t="shared" si="44"/>
        <v>0</v>
      </c>
      <c r="AH23" s="300">
        <f t="shared" si="45"/>
        <v>0</v>
      </c>
      <c r="AI23" s="545">
        <f t="shared" si="28"/>
        <v>0</v>
      </c>
      <c r="AJ23" s="545">
        <f t="shared" si="17"/>
        <v>-71775.599999999977</v>
      </c>
      <c r="AK23" s="545"/>
      <c r="AL23" s="300">
        <f t="shared" si="46"/>
        <v>314924.09999999998</v>
      </c>
      <c r="AM23" s="449">
        <f t="shared" si="29"/>
        <v>0</v>
      </c>
      <c r="AN23" s="14">
        <f t="shared" si="19"/>
        <v>0</v>
      </c>
      <c r="AO23" s="14">
        <f t="shared" si="30"/>
        <v>161291.48000000001</v>
      </c>
      <c r="AP23" s="14">
        <f t="shared" si="20"/>
        <v>0</v>
      </c>
      <c r="AS23" s="14">
        <f t="shared" si="21"/>
        <v>0</v>
      </c>
      <c r="AT23" s="14">
        <f t="shared" si="31"/>
        <v>0</v>
      </c>
      <c r="AU23" s="300">
        <f t="shared" si="32"/>
        <v>620.13558602157013</v>
      </c>
      <c r="AV23" s="300">
        <f t="shared" si="33"/>
        <v>5525.8699946496317</v>
      </c>
    </row>
    <row r="24" spans="1:48" x14ac:dyDescent="0.25">
      <c r="A24" s="535">
        <f t="shared" si="34"/>
        <v>44679</v>
      </c>
      <c r="B24" s="300">
        <f t="shared" si="22"/>
        <v>82168.910000000018</v>
      </c>
      <c r="C24" s="14">
        <f t="shared" si="4"/>
        <v>421.41</v>
      </c>
      <c r="D24" s="14">
        <f t="shared" si="35"/>
        <v>113.28000000000003</v>
      </c>
      <c r="E24" s="14">
        <f t="shared" si="5"/>
        <v>308.13</v>
      </c>
      <c r="I24" s="300">
        <f t="shared" si="36"/>
        <v>1425.7900000000002</v>
      </c>
      <c r="J24" s="300">
        <f t="shared" si="37"/>
        <v>3100.2</v>
      </c>
      <c r="K24" s="300">
        <f t="shared" si="38"/>
        <v>82055.630000000019</v>
      </c>
      <c r="L24" s="449">
        <f t="shared" si="6"/>
        <v>0</v>
      </c>
      <c r="M24" s="449">
        <f t="shared" si="23"/>
        <v>0</v>
      </c>
      <c r="N24" s="300">
        <f t="shared" si="24"/>
        <v>243148.5</v>
      </c>
      <c r="O24" s="300">
        <f t="shared" si="25"/>
        <v>0</v>
      </c>
      <c r="P24" s="300">
        <f t="shared" si="39"/>
        <v>0</v>
      </c>
      <c r="Q24" s="300">
        <f t="shared" si="26"/>
        <v>0</v>
      </c>
      <c r="R24" s="300">
        <f t="shared" si="7"/>
        <v>0</v>
      </c>
      <c r="S24" s="300">
        <f t="shared" si="8"/>
        <v>0</v>
      </c>
      <c r="T24" s="300">
        <f t="shared" si="9"/>
        <v>0</v>
      </c>
      <c r="U24" s="300">
        <f t="shared" si="40"/>
        <v>0</v>
      </c>
      <c r="V24" s="300">
        <f t="shared" si="41"/>
        <v>0</v>
      </c>
      <c r="W24" s="300">
        <f t="shared" si="42"/>
        <v>243148.5</v>
      </c>
      <c r="X24" s="535">
        <f t="shared" si="27"/>
        <v>44679</v>
      </c>
      <c r="Y24" s="300">
        <f t="shared" si="43"/>
        <v>314924.09999999998</v>
      </c>
      <c r="Z24" s="527">
        <f t="shared" si="10"/>
        <v>4.4999999999999998E-2</v>
      </c>
      <c r="AA24" s="300">
        <f t="shared" si="11"/>
        <v>0</v>
      </c>
      <c r="AB24" s="300">
        <f t="shared" si="12"/>
        <v>0</v>
      </c>
      <c r="AC24" s="300">
        <f t="shared" si="13"/>
        <v>0</v>
      </c>
      <c r="AD24" s="300">
        <f t="shared" si="14"/>
        <v>0</v>
      </c>
      <c r="AE24" s="300">
        <f t="shared" si="15"/>
        <v>0</v>
      </c>
      <c r="AF24" s="300">
        <f t="shared" si="16"/>
        <v>0</v>
      </c>
      <c r="AG24" s="300">
        <f t="shared" si="44"/>
        <v>0</v>
      </c>
      <c r="AH24" s="300">
        <f t="shared" si="45"/>
        <v>0</v>
      </c>
      <c r="AI24" s="545">
        <f t="shared" si="28"/>
        <v>0</v>
      </c>
      <c r="AJ24" s="545">
        <f t="shared" si="17"/>
        <v>-71775.599999999977</v>
      </c>
      <c r="AK24" s="545"/>
      <c r="AL24" s="300">
        <f t="shared" si="46"/>
        <v>314924.09999999998</v>
      </c>
      <c r="AM24" s="449">
        <f t="shared" si="29"/>
        <v>0</v>
      </c>
      <c r="AN24" s="14">
        <f t="shared" si="19"/>
        <v>0</v>
      </c>
      <c r="AO24" s="14">
        <f t="shared" si="30"/>
        <v>161404.76</v>
      </c>
      <c r="AP24" s="14">
        <f t="shared" si="20"/>
        <v>0</v>
      </c>
      <c r="AS24" s="14">
        <f t="shared" si="21"/>
        <v>0</v>
      </c>
      <c r="AT24" s="14">
        <f t="shared" si="31"/>
        <v>0</v>
      </c>
      <c r="AU24" s="300">
        <f t="shared" si="32"/>
        <v>621.68592498662406</v>
      </c>
      <c r="AV24" s="300">
        <f t="shared" si="33"/>
        <v>6147.5559196362556</v>
      </c>
    </row>
    <row r="25" spans="1:48" x14ac:dyDescent="0.25">
      <c r="A25" s="535">
        <f t="shared" si="34"/>
        <v>44709</v>
      </c>
      <c r="B25" s="300">
        <f t="shared" si="22"/>
        <v>82055.630000000019</v>
      </c>
      <c r="C25" s="14">
        <f t="shared" si="4"/>
        <v>421.41</v>
      </c>
      <c r="D25" s="14">
        <f t="shared" si="35"/>
        <v>113.70000000000005</v>
      </c>
      <c r="E25" s="14">
        <f t="shared" si="5"/>
        <v>307.70999999999998</v>
      </c>
      <c r="I25" s="300">
        <f t="shared" si="36"/>
        <v>1539.4900000000002</v>
      </c>
      <c r="J25" s="300">
        <f t="shared" si="37"/>
        <v>3407.91</v>
      </c>
      <c r="K25" s="300">
        <f t="shared" si="38"/>
        <v>81941.930000000022</v>
      </c>
      <c r="L25" s="449">
        <f t="shared" si="6"/>
        <v>0</v>
      </c>
      <c r="M25" s="449">
        <f t="shared" si="23"/>
        <v>0</v>
      </c>
      <c r="N25" s="300">
        <f t="shared" si="24"/>
        <v>243148.5</v>
      </c>
      <c r="O25" s="300">
        <f t="shared" si="25"/>
        <v>0</v>
      </c>
      <c r="P25" s="300">
        <f t="shared" si="39"/>
        <v>0</v>
      </c>
      <c r="Q25" s="300">
        <f t="shared" si="26"/>
        <v>0</v>
      </c>
      <c r="R25" s="300">
        <f t="shared" si="7"/>
        <v>0</v>
      </c>
      <c r="S25" s="300">
        <f t="shared" si="8"/>
        <v>0</v>
      </c>
      <c r="T25" s="300">
        <f t="shared" si="9"/>
        <v>0</v>
      </c>
      <c r="U25" s="300">
        <f t="shared" si="40"/>
        <v>0</v>
      </c>
      <c r="V25" s="300">
        <f t="shared" si="41"/>
        <v>0</v>
      </c>
      <c r="W25" s="300">
        <f t="shared" si="42"/>
        <v>243148.5</v>
      </c>
      <c r="X25" s="535">
        <f t="shared" si="27"/>
        <v>44709</v>
      </c>
      <c r="Y25" s="300">
        <f t="shared" si="43"/>
        <v>314924.09999999998</v>
      </c>
      <c r="Z25" s="527">
        <f t="shared" si="10"/>
        <v>4.4999999999999998E-2</v>
      </c>
      <c r="AA25" s="300">
        <f t="shared" si="11"/>
        <v>0</v>
      </c>
      <c r="AB25" s="300">
        <f t="shared" si="12"/>
        <v>0</v>
      </c>
      <c r="AC25" s="300">
        <f t="shared" si="13"/>
        <v>0</v>
      </c>
      <c r="AD25" s="300">
        <f t="shared" si="14"/>
        <v>0</v>
      </c>
      <c r="AE25" s="300">
        <f t="shared" si="15"/>
        <v>0</v>
      </c>
      <c r="AF25" s="300">
        <f t="shared" si="16"/>
        <v>0</v>
      </c>
      <c r="AG25" s="300">
        <f t="shared" si="44"/>
        <v>0</v>
      </c>
      <c r="AH25" s="300">
        <f t="shared" si="45"/>
        <v>0</v>
      </c>
      <c r="AI25" s="545">
        <f t="shared" si="28"/>
        <v>0</v>
      </c>
      <c r="AJ25" s="545">
        <f t="shared" si="17"/>
        <v>-71775.599999999977</v>
      </c>
      <c r="AK25" s="545"/>
      <c r="AL25" s="300">
        <f t="shared" si="46"/>
        <v>314924.09999999998</v>
      </c>
      <c r="AM25" s="449">
        <f t="shared" si="29"/>
        <v>0</v>
      </c>
      <c r="AN25" s="14">
        <f t="shared" si="19"/>
        <v>0</v>
      </c>
      <c r="AO25" s="14">
        <f t="shared" si="30"/>
        <v>161518.46</v>
      </c>
      <c r="AP25" s="14">
        <f t="shared" si="20"/>
        <v>0</v>
      </c>
      <c r="AS25" s="14">
        <f t="shared" si="21"/>
        <v>0</v>
      </c>
      <c r="AT25" s="14">
        <f t="shared" si="31"/>
        <v>0</v>
      </c>
      <c r="AU25" s="300">
        <f t="shared" si="32"/>
        <v>623.24013979909057</v>
      </c>
      <c r="AV25" s="300">
        <f t="shared" si="33"/>
        <v>6770.7960594353463</v>
      </c>
    </row>
    <row r="26" spans="1:48" ht="15.75" thickBot="1" x14ac:dyDescent="0.3">
      <c r="A26" s="538">
        <f t="shared" si="34"/>
        <v>44739</v>
      </c>
      <c r="B26" s="369">
        <f t="shared" si="22"/>
        <v>81941.930000000022</v>
      </c>
      <c r="C26" s="21">
        <f t="shared" si="4"/>
        <v>421.41</v>
      </c>
      <c r="D26" s="21">
        <f t="shared" si="35"/>
        <v>114.13000000000005</v>
      </c>
      <c r="E26" s="21">
        <f t="shared" si="5"/>
        <v>307.27999999999997</v>
      </c>
      <c r="F26" s="21"/>
      <c r="G26" s="21"/>
      <c r="H26" s="21"/>
      <c r="I26" s="369">
        <f t="shared" si="36"/>
        <v>1653.6200000000003</v>
      </c>
      <c r="J26" s="369">
        <f t="shared" si="37"/>
        <v>3715.1899999999996</v>
      </c>
      <c r="K26" s="369">
        <f t="shared" si="38"/>
        <v>81827.800000000017</v>
      </c>
      <c r="L26" s="450">
        <f t="shared" si="6"/>
        <v>0</v>
      </c>
      <c r="M26" s="450">
        <f t="shared" si="23"/>
        <v>0</v>
      </c>
      <c r="N26" s="369">
        <f t="shared" si="24"/>
        <v>243148.5</v>
      </c>
      <c r="O26" s="369">
        <f t="shared" si="25"/>
        <v>0</v>
      </c>
      <c r="P26" s="369">
        <f t="shared" si="39"/>
        <v>0</v>
      </c>
      <c r="Q26" s="369">
        <f t="shared" si="26"/>
        <v>0</v>
      </c>
      <c r="R26" s="369">
        <f t="shared" si="7"/>
        <v>0</v>
      </c>
      <c r="S26" s="369">
        <f t="shared" si="8"/>
        <v>0</v>
      </c>
      <c r="T26" s="369">
        <f t="shared" si="9"/>
        <v>0</v>
      </c>
      <c r="U26" s="369">
        <f t="shared" si="40"/>
        <v>0</v>
      </c>
      <c r="V26" s="369">
        <f t="shared" si="41"/>
        <v>0</v>
      </c>
      <c r="W26" s="369">
        <f t="shared" si="42"/>
        <v>243148.5</v>
      </c>
      <c r="X26" s="538">
        <f t="shared" si="27"/>
        <v>44739</v>
      </c>
      <c r="Y26" s="369">
        <f t="shared" si="43"/>
        <v>314924.09999999998</v>
      </c>
      <c r="Z26" s="528">
        <f t="shared" si="10"/>
        <v>4.4999999999999998E-2</v>
      </c>
      <c r="AA26" s="369">
        <f t="shared" si="11"/>
        <v>0</v>
      </c>
      <c r="AB26" s="369">
        <f t="shared" si="12"/>
        <v>0</v>
      </c>
      <c r="AC26" s="369">
        <f t="shared" si="13"/>
        <v>0</v>
      </c>
      <c r="AD26" s="369">
        <f t="shared" si="14"/>
        <v>0</v>
      </c>
      <c r="AE26" s="369">
        <f t="shared" si="15"/>
        <v>0</v>
      </c>
      <c r="AF26" s="369">
        <f t="shared" si="16"/>
        <v>0</v>
      </c>
      <c r="AG26" s="369">
        <f t="shared" si="44"/>
        <v>0</v>
      </c>
      <c r="AH26" s="369">
        <f t="shared" si="45"/>
        <v>0</v>
      </c>
      <c r="AI26" s="546">
        <f t="shared" si="28"/>
        <v>0</v>
      </c>
      <c r="AJ26" s="546">
        <f t="shared" si="17"/>
        <v>-71775.599999999977</v>
      </c>
      <c r="AK26" s="546"/>
      <c r="AL26" s="369">
        <f t="shared" si="46"/>
        <v>314924.09999999998</v>
      </c>
      <c r="AM26" s="450">
        <f t="shared" si="29"/>
        <v>0</v>
      </c>
      <c r="AN26" s="21">
        <f t="shared" si="19"/>
        <v>0</v>
      </c>
      <c r="AO26" s="21">
        <f t="shared" si="30"/>
        <v>161632.59</v>
      </c>
      <c r="AP26" s="21">
        <f t="shared" si="20"/>
        <v>0</v>
      </c>
      <c r="AQ26" s="21"/>
      <c r="AR26" s="23"/>
      <c r="AS26" s="21">
        <f t="shared" si="21"/>
        <v>0</v>
      </c>
      <c r="AT26" s="21">
        <f t="shared" si="31"/>
        <v>0</v>
      </c>
      <c r="AU26" s="369">
        <f t="shared" si="32"/>
        <v>624.79824014858832</v>
      </c>
      <c r="AV26" s="300">
        <f t="shared" si="33"/>
        <v>7395.5942995839341</v>
      </c>
    </row>
    <row r="27" spans="1:48" x14ac:dyDescent="0.25">
      <c r="A27" s="535">
        <f t="shared" si="34"/>
        <v>44769</v>
      </c>
      <c r="B27" s="300">
        <f t="shared" si="22"/>
        <v>81827.800000000017</v>
      </c>
      <c r="C27" s="14">
        <f t="shared" si="4"/>
        <v>421.41</v>
      </c>
      <c r="D27" s="14">
        <f t="shared" si="35"/>
        <v>114.56</v>
      </c>
      <c r="E27" s="14">
        <f t="shared" si="5"/>
        <v>306.85000000000002</v>
      </c>
      <c r="I27" s="300">
        <f t="shared" si="36"/>
        <v>1768.1800000000003</v>
      </c>
      <c r="J27" s="300">
        <f t="shared" si="37"/>
        <v>4022.0399999999995</v>
      </c>
      <c r="K27" s="300">
        <f t="shared" si="38"/>
        <v>81713.24000000002</v>
      </c>
      <c r="L27" s="449">
        <f t="shared" si="6"/>
        <v>0</v>
      </c>
      <c r="M27" s="449">
        <f t="shared" si="23"/>
        <v>0</v>
      </c>
      <c r="N27" s="300">
        <f t="shared" si="24"/>
        <v>243148.5</v>
      </c>
      <c r="O27" s="300">
        <f t="shared" si="25"/>
        <v>0</v>
      </c>
      <c r="P27" s="300">
        <f t="shared" si="39"/>
        <v>0</v>
      </c>
      <c r="Q27" s="300">
        <f t="shared" si="26"/>
        <v>0</v>
      </c>
      <c r="R27" s="300">
        <f t="shared" si="7"/>
        <v>0</v>
      </c>
      <c r="S27" s="300">
        <f t="shared" si="8"/>
        <v>0</v>
      </c>
      <c r="T27" s="300">
        <f t="shared" si="9"/>
        <v>0</v>
      </c>
      <c r="U27" s="300">
        <f t="shared" si="40"/>
        <v>0</v>
      </c>
      <c r="V27" s="300">
        <f t="shared" si="41"/>
        <v>0</v>
      </c>
      <c r="W27" s="300">
        <f t="shared" si="42"/>
        <v>243148.5</v>
      </c>
      <c r="X27" s="535">
        <f t="shared" si="27"/>
        <v>44769</v>
      </c>
      <c r="Y27" s="300">
        <f t="shared" si="43"/>
        <v>314924.09999999998</v>
      </c>
      <c r="Z27" s="527">
        <f t="shared" si="10"/>
        <v>4.4999999999999998E-2</v>
      </c>
      <c r="AA27" s="300">
        <f t="shared" si="11"/>
        <v>0</v>
      </c>
      <c r="AB27" s="300">
        <f t="shared" si="12"/>
        <v>0</v>
      </c>
      <c r="AC27" s="300">
        <f t="shared" si="13"/>
        <v>0</v>
      </c>
      <c r="AD27" s="300">
        <f t="shared" si="14"/>
        <v>0</v>
      </c>
      <c r="AE27" s="300">
        <f t="shared" si="15"/>
        <v>0</v>
      </c>
      <c r="AF27" s="300">
        <f t="shared" si="16"/>
        <v>0</v>
      </c>
      <c r="AG27" s="300">
        <f t="shared" si="44"/>
        <v>0</v>
      </c>
      <c r="AH27" s="300">
        <f t="shared" si="45"/>
        <v>0</v>
      </c>
      <c r="AI27" s="545">
        <f t="shared" si="28"/>
        <v>0</v>
      </c>
      <c r="AJ27" s="545">
        <f t="shared" si="17"/>
        <v>-71775.599999999977</v>
      </c>
      <c r="AK27" s="545"/>
      <c r="AL27" s="300">
        <f t="shared" si="46"/>
        <v>314924.09999999998</v>
      </c>
      <c r="AM27" s="449">
        <f t="shared" si="29"/>
        <v>0</v>
      </c>
      <c r="AN27" s="14">
        <f t="shared" si="19"/>
        <v>0</v>
      </c>
      <c r="AO27" s="14">
        <f t="shared" si="30"/>
        <v>161747.15</v>
      </c>
      <c r="AP27" s="14">
        <f t="shared" si="20"/>
        <v>0</v>
      </c>
      <c r="AS27" s="14">
        <f t="shared" si="21"/>
        <v>0</v>
      </c>
      <c r="AT27" s="14">
        <f t="shared" si="31"/>
        <v>0</v>
      </c>
      <c r="AU27" s="300">
        <f t="shared" si="32"/>
        <v>626.36023574895978</v>
      </c>
      <c r="AV27" s="300">
        <f t="shared" si="33"/>
        <v>8021.954535332894</v>
      </c>
    </row>
    <row r="28" spans="1:48" x14ac:dyDescent="0.25">
      <c r="A28" s="535">
        <f t="shared" si="34"/>
        <v>44799</v>
      </c>
      <c r="B28" s="300">
        <f t="shared" si="22"/>
        <v>81713.24000000002</v>
      </c>
      <c r="C28" s="14">
        <f t="shared" si="4"/>
        <v>421.41</v>
      </c>
      <c r="D28" s="14">
        <f t="shared" si="35"/>
        <v>114.99000000000001</v>
      </c>
      <c r="E28" s="14">
        <f t="shared" si="5"/>
        <v>306.42</v>
      </c>
      <c r="I28" s="300">
        <f t="shared" si="36"/>
        <v>1883.1700000000003</v>
      </c>
      <c r="J28" s="300">
        <f t="shared" si="37"/>
        <v>4328.4599999999991</v>
      </c>
      <c r="K28" s="300">
        <f t="shared" si="38"/>
        <v>81598.250000000015</v>
      </c>
      <c r="L28" s="449">
        <f t="shared" si="6"/>
        <v>0</v>
      </c>
      <c r="M28" s="449">
        <f t="shared" si="23"/>
        <v>0</v>
      </c>
      <c r="N28" s="300">
        <f t="shared" si="24"/>
        <v>243148.5</v>
      </c>
      <c r="O28" s="300">
        <f t="shared" si="25"/>
        <v>0</v>
      </c>
      <c r="P28" s="300">
        <f t="shared" si="39"/>
        <v>0</v>
      </c>
      <c r="Q28" s="300">
        <f t="shared" si="26"/>
        <v>0</v>
      </c>
      <c r="R28" s="300">
        <f t="shared" si="7"/>
        <v>0</v>
      </c>
      <c r="S28" s="300">
        <f t="shared" si="8"/>
        <v>0</v>
      </c>
      <c r="T28" s="300">
        <f t="shared" si="9"/>
        <v>0</v>
      </c>
      <c r="U28" s="300">
        <f t="shared" si="40"/>
        <v>0</v>
      </c>
      <c r="V28" s="300">
        <f t="shared" si="41"/>
        <v>0</v>
      </c>
      <c r="W28" s="300">
        <f t="shared" si="42"/>
        <v>243148.5</v>
      </c>
      <c r="X28" s="535">
        <f t="shared" si="27"/>
        <v>44799</v>
      </c>
      <c r="Y28" s="300">
        <f t="shared" si="43"/>
        <v>314924.09999999998</v>
      </c>
      <c r="Z28" s="527">
        <f t="shared" si="10"/>
        <v>4.4999999999999998E-2</v>
      </c>
      <c r="AA28" s="300">
        <f t="shared" si="11"/>
        <v>0</v>
      </c>
      <c r="AB28" s="300">
        <f t="shared" si="12"/>
        <v>0</v>
      </c>
      <c r="AC28" s="300">
        <f t="shared" si="13"/>
        <v>0</v>
      </c>
      <c r="AD28" s="300">
        <f t="shared" si="14"/>
        <v>0</v>
      </c>
      <c r="AE28" s="300">
        <f t="shared" si="15"/>
        <v>0</v>
      </c>
      <c r="AF28" s="300">
        <f t="shared" si="16"/>
        <v>0</v>
      </c>
      <c r="AG28" s="300">
        <f t="shared" si="44"/>
        <v>0</v>
      </c>
      <c r="AH28" s="300">
        <f t="shared" si="45"/>
        <v>0</v>
      </c>
      <c r="AI28" s="545">
        <f t="shared" si="28"/>
        <v>0</v>
      </c>
      <c r="AJ28" s="545">
        <f t="shared" si="17"/>
        <v>-71775.599999999977</v>
      </c>
      <c r="AK28" s="545"/>
      <c r="AL28" s="300">
        <f t="shared" si="46"/>
        <v>314924.09999999998</v>
      </c>
      <c r="AM28" s="449">
        <f t="shared" si="29"/>
        <v>0</v>
      </c>
      <c r="AN28" s="14">
        <f t="shared" si="19"/>
        <v>0</v>
      </c>
      <c r="AO28" s="14">
        <f t="shared" si="30"/>
        <v>161862.14000000001</v>
      </c>
      <c r="AP28" s="14">
        <f t="shared" si="20"/>
        <v>0</v>
      </c>
      <c r="AS28" s="14">
        <f t="shared" si="21"/>
        <v>0</v>
      </c>
      <c r="AT28" s="14">
        <f t="shared" si="31"/>
        <v>0</v>
      </c>
      <c r="AU28" s="300">
        <f t="shared" si="32"/>
        <v>627.92613633833219</v>
      </c>
      <c r="AV28" s="300">
        <f t="shared" si="33"/>
        <v>8649.8806716712261</v>
      </c>
    </row>
    <row r="29" spans="1:48" x14ac:dyDescent="0.25">
      <c r="A29" s="535">
        <f t="shared" si="34"/>
        <v>44829</v>
      </c>
      <c r="B29" s="300">
        <f t="shared" si="22"/>
        <v>81598.250000000015</v>
      </c>
      <c r="C29" s="14">
        <f t="shared" si="4"/>
        <v>421.41</v>
      </c>
      <c r="D29" s="14">
        <f t="shared" si="35"/>
        <v>115.42000000000002</v>
      </c>
      <c r="E29" s="14">
        <f t="shared" si="5"/>
        <v>305.99</v>
      </c>
      <c r="I29" s="300">
        <f t="shared" si="36"/>
        <v>1998.5900000000004</v>
      </c>
      <c r="J29" s="300">
        <f t="shared" si="37"/>
        <v>4634.4499999999989</v>
      </c>
      <c r="K29" s="300">
        <f t="shared" si="38"/>
        <v>81482.830000000016</v>
      </c>
      <c r="L29" s="449">
        <f t="shared" si="6"/>
        <v>0</v>
      </c>
      <c r="M29" s="449">
        <f t="shared" si="23"/>
        <v>0</v>
      </c>
      <c r="N29" s="300">
        <f t="shared" si="24"/>
        <v>243148.5</v>
      </c>
      <c r="O29" s="300">
        <f t="shared" si="25"/>
        <v>0</v>
      </c>
      <c r="P29" s="300">
        <f t="shared" si="39"/>
        <v>0</v>
      </c>
      <c r="Q29" s="300">
        <f t="shared" si="26"/>
        <v>0</v>
      </c>
      <c r="R29" s="300">
        <f t="shared" si="7"/>
        <v>0</v>
      </c>
      <c r="S29" s="300">
        <f t="shared" si="8"/>
        <v>0</v>
      </c>
      <c r="T29" s="300">
        <f t="shared" si="9"/>
        <v>0</v>
      </c>
      <c r="U29" s="300">
        <f t="shared" si="40"/>
        <v>0</v>
      </c>
      <c r="V29" s="300">
        <f t="shared" si="41"/>
        <v>0</v>
      </c>
      <c r="W29" s="300">
        <f t="shared" si="42"/>
        <v>243148.5</v>
      </c>
      <c r="X29" s="535">
        <f t="shared" si="27"/>
        <v>44829</v>
      </c>
      <c r="Y29" s="300">
        <f t="shared" si="43"/>
        <v>314924.09999999998</v>
      </c>
      <c r="Z29" s="527">
        <f t="shared" si="10"/>
        <v>4.4999999999999998E-2</v>
      </c>
      <c r="AA29" s="300">
        <f t="shared" si="11"/>
        <v>0</v>
      </c>
      <c r="AB29" s="300">
        <f t="shared" si="12"/>
        <v>0</v>
      </c>
      <c r="AC29" s="300">
        <f t="shared" si="13"/>
        <v>0</v>
      </c>
      <c r="AD29" s="300">
        <f t="shared" si="14"/>
        <v>0</v>
      </c>
      <c r="AE29" s="300">
        <f t="shared" si="15"/>
        <v>0</v>
      </c>
      <c r="AF29" s="300">
        <f t="shared" si="16"/>
        <v>0</v>
      </c>
      <c r="AG29" s="300">
        <f t="shared" si="44"/>
        <v>0</v>
      </c>
      <c r="AH29" s="300">
        <f t="shared" si="45"/>
        <v>0</v>
      </c>
      <c r="AI29" s="545">
        <f t="shared" si="28"/>
        <v>0</v>
      </c>
      <c r="AJ29" s="545">
        <f t="shared" si="17"/>
        <v>-71775.599999999977</v>
      </c>
      <c r="AK29" s="545"/>
      <c r="AL29" s="300">
        <f t="shared" si="46"/>
        <v>314924.09999999998</v>
      </c>
      <c r="AM29" s="449">
        <f t="shared" si="29"/>
        <v>0</v>
      </c>
      <c r="AN29" s="14">
        <f t="shared" si="19"/>
        <v>0</v>
      </c>
      <c r="AO29" s="14">
        <f t="shared" si="30"/>
        <v>161977.56</v>
      </c>
      <c r="AP29" s="14">
        <f t="shared" si="20"/>
        <v>0</v>
      </c>
      <c r="AS29" s="14">
        <f t="shared" si="21"/>
        <v>0</v>
      </c>
      <c r="AT29" s="14">
        <f t="shared" si="31"/>
        <v>0</v>
      </c>
      <c r="AU29" s="300">
        <f t="shared" si="32"/>
        <v>629.49595167917801</v>
      </c>
      <c r="AV29" s="300">
        <f t="shared" si="33"/>
        <v>9279.3766233504048</v>
      </c>
    </row>
    <row r="30" spans="1:48" x14ac:dyDescent="0.25">
      <c r="A30" s="535">
        <f t="shared" si="34"/>
        <v>44859</v>
      </c>
      <c r="B30" s="300">
        <f t="shared" si="22"/>
        <v>81482.830000000016</v>
      </c>
      <c r="C30" s="14">
        <f t="shared" si="4"/>
        <v>421.41</v>
      </c>
      <c r="D30" s="14">
        <f t="shared" si="35"/>
        <v>115.85000000000002</v>
      </c>
      <c r="E30" s="14">
        <f t="shared" si="5"/>
        <v>305.56</v>
      </c>
      <c r="I30" s="300">
        <f t="shared" si="36"/>
        <v>2114.4400000000005</v>
      </c>
      <c r="J30" s="300">
        <f t="shared" si="37"/>
        <v>4940.0099999999993</v>
      </c>
      <c r="K30" s="300">
        <f t="shared" si="38"/>
        <v>81366.98000000001</v>
      </c>
      <c r="L30" s="449">
        <f t="shared" si="6"/>
        <v>0</v>
      </c>
      <c r="M30" s="449">
        <f t="shared" si="23"/>
        <v>0</v>
      </c>
      <c r="N30" s="300">
        <f t="shared" si="24"/>
        <v>243148.5</v>
      </c>
      <c r="O30" s="300">
        <f t="shared" si="25"/>
        <v>0</v>
      </c>
      <c r="P30" s="300">
        <f t="shared" si="39"/>
        <v>0</v>
      </c>
      <c r="Q30" s="300">
        <f t="shared" si="26"/>
        <v>0</v>
      </c>
      <c r="R30" s="300">
        <f t="shared" si="7"/>
        <v>0</v>
      </c>
      <c r="S30" s="300">
        <f t="shared" si="8"/>
        <v>0</v>
      </c>
      <c r="T30" s="300">
        <f t="shared" si="9"/>
        <v>0</v>
      </c>
      <c r="U30" s="300">
        <f t="shared" si="40"/>
        <v>0</v>
      </c>
      <c r="V30" s="300">
        <f t="shared" si="41"/>
        <v>0</v>
      </c>
      <c r="W30" s="300">
        <f t="shared" si="42"/>
        <v>243148.5</v>
      </c>
      <c r="X30" s="535">
        <f t="shared" si="27"/>
        <v>44859</v>
      </c>
      <c r="Y30" s="300">
        <f t="shared" si="43"/>
        <v>314924.09999999998</v>
      </c>
      <c r="Z30" s="527">
        <f t="shared" si="10"/>
        <v>4.4999999999999998E-2</v>
      </c>
      <c r="AA30" s="300">
        <f t="shared" si="11"/>
        <v>0</v>
      </c>
      <c r="AB30" s="300">
        <f t="shared" si="12"/>
        <v>0</v>
      </c>
      <c r="AC30" s="300">
        <f t="shared" si="13"/>
        <v>0</v>
      </c>
      <c r="AD30" s="300">
        <f t="shared" si="14"/>
        <v>0</v>
      </c>
      <c r="AE30" s="300">
        <f t="shared" si="15"/>
        <v>0</v>
      </c>
      <c r="AF30" s="300">
        <f t="shared" si="16"/>
        <v>0</v>
      </c>
      <c r="AG30" s="300">
        <f t="shared" si="44"/>
        <v>0</v>
      </c>
      <c r="AH30" s="300">
        <f t="shared" si="45"/>
        <v>0</v>
      </c>
      <c r="AI30" s="545">
        <f t="shared" si="28"/>
        <v>0</v>
      </c>
      <c r="AJ30" s="545">
        <f t="shared" si="17"/>
        <v>-71775.599999999977</v>
      </c>
      <c r="AK30" s="545"/>
      <c r="AL30" s="300">
        <f t="shared" si="46"/>
        <v>314924.09999999998</v>
      </c>
      <c r="AM30" s="449">
        <f t="shared" si="29"/>
        <v>0</v>
      </c>
      <c r="AN30" s="14">
        <f t="shared" si="19"/>
        <v>0</v>
      </c>
      <c r="AO30" s="14">
        <f t="shared" si="30"/>
        <v>162093.41</v>
      </c>
      <c r="AP30" s="14">
        <f t="shared" si="20"/>
        <v>0</v>
      </c>
      <c r="AS30" s="14">
        <f t="shared" si="21"/>
        <v>0</v>
      </c>
      <c r="AT30" s="14">
        <f t="shared" si="31"/>
        <v>0</v>
      </c>
      <c r="AU30" s="300">
        <f t="shared" si="32"/>
        <v>631.06969155837601</v>
      </c>
      <c r="AV30" s="300">
        <f t="shared" si="33"/>
        <v>9910.4463149087806</v>
      </c>
    </row>
    <row r="31" spans="1:48" x14ac:dyDescent="0.25">
      <c r="A31" s="535">
        <f t="shared" si="34"/>
        <v>44889</v>
      </c>
      <c r="B31" s="300">
        <f t="shared" si="22"/>
        <v>81366.98000000001</v>
      </c>
      <c r="C31" s="14">
        <f t="shared" si="4"/>
        <v>421.41</v>
      </c>
      <c r="D31" s="14">
        <f t="shared" si="35"/>
        <v>116.28000000000003</v>
      </c>
      <c r="E31" s="14">
        <f t="shared" si="5"/>
        <v>305.13</v>
      </c>
      <c r="I31" s="300">
        <f t="shared" si="36"/>
        <v>2230.7200000000007</v>
      </c>
      <c r="J31" s="300">
        <f t="shared" si="37"/>
        <v>5245.1399999999994</v>
      </c>
      <c r="K31" s="300">
        <f t="shared" si="38"/>
        <v>81250.700000000012</v>
      </c>
      <c r="L31" s="449">
        <f t="shared" si="6"/>
        <v>0</v>
      </c>
      <c r="M31" s="449">
        <f t="shared" si="23"/>
        <v>0</v>
      </c>
      <c r="N31" s="300">
        <f t="shared" si="24"/>
        <v>243148.5</v>
      </c>
      <c r="O31" s="300">
        <f t="shared" si="25"/>
        <v>0</v>
      </c>
      <c r="P31" s="300">
        <f t="shared" si="39"/>
        <v>0</v>
      </c>
      <c r="Q31" s="300">
        <f t="shared" si="26"/>
        <v>0</v>
      </c>
      <c r="R31" s="300">
        <f t="shared" si="7"/>
        <v>0</v>
      </c>
      <c r="S31" s="300">
        <f t="shared" si="8"/>
        <v>0</v>
      </c>
      <c r="T31" s="300">
        <f t="shared" si="9"/>
        <v>0</v>
      </c>
      <c r="U31" s="300">
        <f t="shared" si="40"/>
        <v>0</v>
      </c>
      <c r="V31" s="300">
        <f t="shared" si="41"/>
        <v>0</v>
      </c>
      <c r="W31" s="300">
        <f t="shared" si="42"/>
        <v>243148.5</v>
      </c>
      <c r="X31" s="535">
        <f t="shared" si="27"/>
        <v>44889</v>
      </c>
      <c r="Y31" s="300">
        <f t="shared" si="43"/>
        <v>314924.09999999998</v>
      </c>
      <c r="Z31" s="527">
        <f t="shared" si="10"/>
        <v>4.4999999999999998E-2</v>
      </c>
      <c r="AA31" s="300">
        <f t="shared" si="11"/>
        <v>0</v>
      </c>
      <c r="AB31" s="300">
        <f t="shared" si="12"/>
        <v>0</v>
      </c>
      <c r="AC31" s="300">
        <f t="shared" si="13"/>
        <v>0</v>
      </c>
      <c r="AD31" s="300">
        <f t="shared" si="14"/>
        <v>0</v>
      </c>
      <c r="AE31" s="300">
        <f t="shared" si="15"/>
        <v>0</v>
      </c>
      <c r="AF31" s="300">
        <f t="shared" si="16"/>
        <v>0</v>
      </c>
      <c r="AG31" s="300">
        <f t="shared" si="44"/>
        <v>0</v>
      </c>
      <c r="AH31" s="300">
        <f t="shared" si="45"/>
        <v>0</v>
      </c>
      <c r="AI31" s="545">
        <f t="shared" si="28"/>
        <v>0</v>
      </c>
      <c r="AJ31" s="545">
        <f t="shared" si="17"/>
        <v>-71775.599999999977</v>
      </c>
      <c r="AK31" s="545"/>
      <c r="AL31" s="300">
        <f t="shared" si="46"/>
        <v>314924.09999999998</v>
      </c>
      <c r="AM31" s="449">
        <f t="shared" si="29"/>
        <v>0</v>
      </c>
      <c r="AN31" s="14">
        <f t="shared" si="19"/>
        <v>0</v>
      </c>
      <c r="AO31" s="14">
        <f t="shared" si="30"/>
        <v>162209.69</v>
      </c>
      <c r="AP31" s="14">
        <f t="shared" si="20"/>
        <v>0</v>
      </c>
      <c r="AS31" s="14">
        <f t="shared" si="21"/>
        <v>0</v>
      </c>
      <c r="AT31" s="14">
        <f t="shared" si="31"/>
        <v>0</v>
      </c>
      <c r="AU31" s="300">
        <f t="shared" si="32"/>
        <v>632.64736578727195</v>
      </c>
      <c r="AV31" s="300">
        <f t="shared" si="33"/>
        <v>10543.093680696053</v>
      </c>
    </row>
    <row r="32" spans="1:48" x14ac:dyDescent="0.25">
      <c r="A32" s="535">
        <f t="shared" si="34"/>
        <v>44919</v>
      </c>
      <c r="B32" s="300">
        <f t="shared" si="22"/>
        <v>81250.700000000012</v>
      </c>
      <c r="C32" s="14">
        <f t="shared" si="4"/>
        <v>421.41</v>
      </c>
      <c r="D32" s="14">
        <f t="shared" si="35"/>
        <v>116.72000000000003</v>
      </c>
      <c r="E32" s="14">
        <f t="shared" si="5"/>
        <v>304.69</v>
      </c>
      <c r="I32" s="300">
        <f t="shared" ref="I32:I61" si="47">$D32+$I31</f>
        <v>2347.4400000000005</v>
      </c>
      <c r="J32" s="300">
        <f t="shared" ref="J32:J61" si="48">$E32+$J31</f>
        <v>5549.829999999999</v>
      </c>
      <c r="K32" s="300">
        <f t="shared" ref="K32:K61" si="49">+B32-D32</f>
        <v>81133.98000000001</v>
      </c>
      <c r="L32" s="449">
        <f t="shared" si="6"/>
        <v>0</v>
      </c>
      <c r="M32" s="449">
        <f t="shared" si="23"/>
        <v>0</v>
      </c>
      <c r="N32" s="300">
        <f t="shared" si="24"/>
        <v>243148.5</v>
      </c>
      <c r="O32" s="300">
        <f t="shared" si="25"/>
        <v>0</v>
      </c>
      <c r="P32" s="300">
        <f t="shared" si="39"/>
        <v>0</v>
      </c>
      <c r="Q32" s="300">
        <f t="shared" si="26"/>
        <v>0</v>
      </c>
      <c r="R32" s="300">
        <f t="shared" si="7"/>
        <v>0</v>
      </c>
      <c r="S32" s="300">
        <f t="shared" si="8"/>
        <v>0</v>
      </c>
      <c r="T32" s="300">
        <f t="shared" si="9"/>
        <v>0</v>
      </c>
      <c r="U32" s="300">
        <f t="shared" si="40"/>
        <v>0</v>
      </c>
      <c r="V32" s="300">
        <f t="shared" si="41"/>
        <v>0</v>
      </c>
      <c r="W32" s="300">
        <f t="shared" si="42"/>
        <v>243148.5</v>
      </c>
      <c r="X32" s="535">
        <f t="shared" si="27"/>
        <v>44919</v>
      </c>
      <c r="Y32" s="300">
        <f t="shared" si="43"/>
        <v>314924.09999999998</v>
      </c>
      <c r="Z32" s="527">
        <f t="shared" si="10"/>
        <v>4.4999999999999998E-2</v>
      </c>
      <c r="AA32" s="300">
        <f t="shared" si="11"/>
        <v>0</v>
      </c>
      <c r="AB32" s="300">
        <f t="shared" si="12"/>
        <v>0</v>
      </c>
      <c r="AC32" s="300">
        <f t="shared" si="13"/>
        <v>0</v>
      </c>
      <c r="AD32" s="300">
        <f t="shared" si="14"/>
        <v>0</v>
      </c>
      <c r="AE32" s="300">
        <f t="shared" si="15"/>
        <v>0</v>
      </c>
      <c r="AF32" s="300">
        <f t="shared" si="16"/>
        <v>0</v>
      </c>
      <c r="AG32" s="300">
        <f t="shared" si="44"/>
        <v>0</v>
      </c>
      <c r="AH32" s="300">
        <f t="shared" si="45"/>
        <v>0</v>
      </c>
      <c r="AI32" s="545">
        <f t="shared" si="28"/>
        <v>0</v>
      </c>
      <c r="AJ32" s="545">
        <f t="shared" si="17"/>
        <v>-71775.599999999977</v>
      </c>
      <c r="AK32" s="545"/>
      <c r="AL32" s="300">
        <f t="shared" si="46"/>
        <v>314924.09999999998</v>
      </c>
      <c r="AM32" s="449">
        <f t="shared" si="29"/>
        <v>0</v>
      </c>
      <c r="AN32" s="14">
        <f t="shared" si="19"/>
        <v>0</v>
      </c>
      <c r="AO32" s="14">
        <f t="shared" si="30"/>
        <v>162326.41</v>
      </c>
      <c r="AP32" s="14">
        <f t="shared" si="20"/>
        <v>0</v>
      </c>
      <c r="AS32" s="14">
        <f t="shared" si="21"/>
        <v>0</v>
      </c>
      <c r="AT32" s="14">
        <f t="shared" si="31"/>
        <v>0</v>
      </c>
      <c r="AU32" s="300">
        <f t="shared" si="32"/>
        <v>634.2289842017401</v>
      </c>
      <c r="AV32" s="300">
        <f t="shared" si="33"/>
        <v>11177.322664897792</v>
      </c>
    </row>
    <row r="33" spans="1:48" x14ac:dyDescent="0.25">
      <c r="A33" s="535">
        <f t="shared" si="34"/>
        <v>44949</v>
      </c>
      <c r="B33" s="300">
        <f t="shared" si="22"/>
        <v>81133.98000000001</v>
      </c>
      <c r="C33" s="14">
        <f t="shared" si="4"/>
        <v>421.41</v>
      </c>
      <c r="D33" s="14">
        <f t="shared" si="35"/>
        <v>117.16000000000003</v>
      </c>
      <c r="E33" s="14">
        <f t="shared" si="5"/>
        <v>304.25</v>
      </c>
      <c r="I33" s="300">
        <f t="shared" si="47"/>
        <v>2464.6000000000004</v>
      </c>
      <c r="J33" s="300">
        <f t="shared" si="48"/>
        <v>5854.079999999999</v>
      </c>
      <c r="K33" s="300">
        <f t="shared" si="49"/>
        <v>81016.820000000007</v>
      </c>
      <c r="L33" s="449">
        <f t="shared" si="6"/>
        <v>0</v>
      </c>
      <c r="M33" s="449">
        <f t="shared" si="23"/>
        <v>0</v>
      </c>
      <c r="N33" s="300">
        <f t="shared" si="24"/>
        <v>243148.5</v>
      </c>
      <c r="O33" s="300">
        <f t="shared" si="25"/>
        <v>0</v>
      </c>
      <c r="P33" s="300">
        <f t="shared" si="39"/>
        <v>0</v>
      </c>
      <c r="Q33" s="300">
        <f t="shared" si="26"/>
        <v>0</v>
      </c>
      <c r="R33" s="300">
        <f t="shared" si="7"/>
        <v>0</v>
      </c>
      <c r="S33" s="300">
        <f t="shared" si="8"/>
        <v>0</v>
      </c>
      <c r="T33" s="300">
        <f t="shared" si="9"/>
        <v>0</v>
      </c>
      <c r="U33" s="300">
        <f t="shared" si="40"/>
        <v>0</v>
      </c>
      <c r="V33" s="300">
        <f t="shared" si="41"/>
        <v>0</v>
      </c>
      <c r="W33" s="300">
        <f t="shared" si="42"/>
        <v>243148.5</v>
      </c>
      <c r="X33" s="535">
        <f t="shared" si="27"/>
        <v>44949</v>
      </c>
      <c r="Y33" s="300">
        <f t="shared" si="43"/>
        <v>314924.09999999998</v>
      </c>
      <c r="Z33" s="527">
        <f t="shared" si="10"/>
        <v>4.4999999999999998E-2</v>
      </c>
      <c r="AA33" s="300">
        <f t="shared" si="11"/>
        <v>0</v>
      </c>
      <c r="AB33" s="300">
        <f t="shared" si="12"/>
        <v>0</v>
      </c>
      <c r="AC33" s="300">
        <f t="shared" si="13"/>
        <v>0</v>
      </c>
      <c r="AD33" s="300">
        <f t="shared" si="14"/>
        <v>0</v>
      </c>
      <c r="AE33" s="300">
        <f t="shared" si="15"/>
        <v>0</v>
      </c>
      <c r="AF33" s="300">
        <f t="shared" si="16"/>
        <v>0</v>
      </c>
      <c r="AG33" s="300">
        <f t="shared" si="44"/>
        <v>0</v>
      </c>
      <c r="AH33" s="300">
        <f t="shared" si="45"/>
        <v>0</v>
      </c>
      <c r="AI33" s="545">
        <f t="shared" si="28"/>
        <v>0</v>
      </c>
      <c r="AJ33" s="545">
        <f t="shared" si="17"/>
        <v>-71775.599999999977</v>
      </c>
      <c r="AK33" s="545"/>
      <c r="AL33" s="300">
        <f t="shared" si="46"/>
        <v>314924.09999999998</v>
      </c>
      <c r="AM33" s="449">
        <f t="shared" si="29"/>
        <v>0</v>
      </c>
      <c r="AN33" s="14">
        <f t="shared" si="19"/>
        <v>0</v>
      </c>
      <c r="AO33" s="14">
        <f t="shared" si="30"/>
        <v>162443.57</v>
      </c>
      <c r="AP33" s="14">
        <f t="shared" si="20"/>
        <v>0</v>
      </c>
      <c r="AS33" s="14">
        <f t="shared" si="21"/>
        <v>0</v>
      </c>
      <c r="AT33" s="14">
        <f t="shared" si="31"/>
        <v>0</v>
      </c>
      <c r="AU33" s="300">
        <f t="shared" si="32"/>
        <v>635.81455666224451</v>
      </c>
      <c r="AV33" s="300">
        <f t="shared" si="33"/>
        <v>11813.137221560037</v>
      </c>
    </row>
    <row r="34" spans="1:48" x14ac:dyDescent="0.25">
      <c r="A34" s="535">
        <f t="shared" si="34"/>
        <v>44979</v>
      </c>
      <c r="B34" s="300">
        <f t="shared" si="22"/>
        <v>81016.820000000007</v>
      </c>
      <c r="C34" s="14">
        <f t="shared" si="4"/>
        <v>421.41</v>
      </c>
      <c r="D34" s="14">
        <f t="shared" si="35"/>
        <v>117.60000000000002</v>
      </c>
      <c r="E34" s="14">
        <f t="shared" si="5"/>
        <v>303.81</v>
      </c>
      <c r="I34" s="300">
        <f t="shared" si="47"/>
        <v>2582.2000000000003</v>
      </c>
      <c r="J34" s="300">
        <f t="shared" si="48"/>
        <v>6157.8899999999994</v>
      </c>
      <c r="K34" s="300">
        <f t="shared" si="49"/>
        <v>80899.22</v>
      </c>
      <c r="L34" s="449">
        <f t="shared" si="6"/>
        <v>0</v>
      </c>
      <c r="M34" s="449">
        <f t="shared" si="23"/>
        <v>0</v>
      </c>
      <c r="N34" s="300">
        <f t="shared" si="24"/>
        <v>243148.5</v>
      </c>
      <c r="O34" s="300">
        <f t="shared" si="25"/>
        <v>0</v>
      </c>
      <c r="P34" s="300">
        <f t="shared" si="39"/>
        <v>0</v>
      </c>
      <c r="Q34" s="300">
        <f t="shared" si="26"/>
        <v>0</v>
      </c>
      <c r="R34" s="300">
        <f t="shared" si="7"/>
        <v>0</v>
      </c>
      <c r="S34" s="300">
        <f t="shared" si="8"/>
        <v>0</v>
      </c>
      <c r="T34" s="300">
        <f t="shared" si="9"/>
        <v>0</v>
      </c>
      <c r="U34" s="300">
        <f t="shared" si="40"/>
        <v>0</v>
      </c>
      <c r="V34" s="300">
        <f t="shared" si="41"/>
        <v>0</v>
      </c>
      <c r="W34" s="300">
        <f t="shared" si="42"/>
        <v>243148.5</v>
      </c>
      <c r="X34" s="535">
        <f t="shared" si="27"/>
        <v>44979</v>
      </c>
      <c r="Y34" s="300">
        <f t="shared" si="43"/>
        <v>314924.09999999998</v>
      </c>
      <c r="Z34" s="527">
        <f t="shared" si="10"/>
        <v>4.4999999999999998E-2</v>
      </c>
      <c r="AA34" s="300">
        <f t="shared" si="11"/>
        <v>0</v>
      </c>
      <c r="AB34" s="300">
        <f t="shared" si="12"/>
        <v>0</v>
      </c>
      <c r="AC34" s="300">
        <f t="shared" si="13"/>
        <v>0</v>
      </c>
      <c r="AD34" s="300">
        <f t="shared" si="14"/>
        <v>0</v>
      </c>
      <c r="AE34" s="300">
        <f t="shared" si="15"/>
        <v>0</v>
      </c>
      <c r="AF34" s="300">
        <f t="shared" si="16"/>
        <v>0</v>
      </c>
      <c r="AG34" s="300">
        <f t="shared" si="44"/>
        <v>0</v>
      </c>
      <c r="AH34" s="300">
        <f t="shared" si="45"/>
        <v>0</v>
      </c>
      <c r="AI34" s="545">
        <f t="shared" si="28"/>
        <v>0</v>
      </c>
      <c r="AJ34" s="545">
        <f t="shared" si="17"/>
        <v>-71775.599999999977</v>
      </c>
      <c r="AK34" s="545"/>
      <c r="AL34" s="300">
        <f t="shared" si="46"/>
        <v>314924.09999999998</v>
      </c>
      <c r="AM34" s="449">
        <f t="shared" si="29"/>
        <v>0</v>
      </c>
      <c r="AN34" s="14">
        <f t="shared" si="19"/>
        <v>0</v>
      </c>
      <c r="AO34" s="14">
        <f t="shared" si="30"/>
        <v>162561.17000000001</v>
      </c>
      <c r="AP34" s="14">
        <f t="shared" si="20"/>
        <v>0</v>
      </c>
      <c r="AS34" s="14">
        <f t="shared" si="21"/>
        <v>0</v>
      </c>
      <c r="AT34" s="14">
        <f t="shared" si="31"/>
        <v>0</v>
      </c>
      <c r="AU34" s="300">
        <f t="shared" si="32"/>
        <v>637.40409305390006</v>
      </c>
      <c r="AV34" s="300">
        <f t="shared" si="33"/>
        <v>12450.541314613936</v>
      </c>
    </row>
    <row r="35" spans="1:48" x14ac:dyDescent="0.25">
      <c r="A35" s="535">
        <f t="shared" si="34"/>
        <v>45009</v>
      </c>
      <c r="B35" s="300">
        <f t="shared" si="22"/>
        <v>80899.22</v>
      </c>
      <c r="C35" s="14">
        <f t="shared" si="4"/>
        <v>421.41</v>
      </c>
      <c r="D35" s="14">
        <f t="shared" si="35"/>
        <v>118.04000000000002</v>
      </c>
      <c r="E35" s="14">
        <f t="shared" si="5"/>
        <v>303.37</v>
      </c>
      <c r="I35" s="300">
        <f t="shared" si="47"/>
        <v>2700.2400000000002</v>
      </c>
      <c r="J35" s="300">
        <f t="shared" si="48"/>
        <v>6461.2599999999993</v>
      </c>
      <c r="K35" s="300">
        <f t="shared" si="49"/>
        <v>80781.180000000008</v>
      </c>
      <c r="L35" s="449">
        <f t="shared" si="6"/>
        <v>0</v>
      </c>
      <c r="M35" s="449">
        <f t="shared" si="23"/>
        <v>0</v>
      </c>
      <c r="N35" s="300">
        <f t="shared" si="24"/>
        <v>243148.5</v>
      </c>
      <c r="O35" s="300">
        <f t="shared" si="25"/>
        <v>0</v>
      </c>
      <c r="P35" s="300">
        <f t="shared" si="39"/>
        <v>0</v>
      </c>
      <c r="Q35" s="300">
        <f t="shared" si="26"/>
        <v>0</v>
      </c>
      <c r="R35" s="300">
        <f t="shared" si="7"/>
        <v>0</v>
      </c>
      <c r="S35" s="300">
        <f t="shared" si="8"/>
        <v>0</v>
      </c>
      <c r="T35" s="300">
        <f t="shared" si="9"/>
        <v>0</v>
      </c>
      <c r="U35" s="300">
        <f t="shared" si="40"/>
        <v>0</v>
      </c>
      <c r="V35" s="300">
        <f t="shared" si="41"/>
        <v>0</v>
      </c>
      <c r="W35" s="300">
        <f t="shared" si="42"/>
        <v>243148.5</v>
      </c>
      <c r="X35" s="535">
        <f t="shared" si="27"/>
        <v>45009</v>
      </c>
      <c r="Y35" s="300">
        <f t="shared" si="43"/>
        <v>314924.09999999998</v>
      </c>
      <c r="Z35" s="527">
        <f t="shared" si="10"/>
        <v>4.4999999999999998E-2</v>
      </c>
      <c r="AA35" s="300">
        <f t="shared" si="11"/>
        <v>0</v>
      </c>
      <c r="AB35" s="300">
        <f t="shared" si="12"/>
        <v>0</v>
      </c>
      <c r="AC35" s="300">
        <f t="shared" si="13"/>
        <v>0</v>
      </c>
      <c r="AD35" s="300">
        <f t="shared" si="14"/>
        <v>0</v>
      </c>
      <c r="AE35" s="300">
        <f t="shared" si="15"/>
        <v>0</v>
      </c>
      <c r="AF35" s="300">
        <f t="shared" si="16"/>
        <v>0</v>
      </c>
      <c r="AG35" s="300">
        <f t="shared" si="44"/>
        <v>0</v>
      </c>
      <c r="AH35" s="300">
        <f t="shared" si="45"/>
        <v>0</v>
      </c>
      <c r="AI35" s="545">
        <f t="shared" si="28"/>
        <v>0</v>
      </c>
      <c r="AJ35" s="545">
        <f t="shared" si="17"/>
        <v>-71775.599999999977</v>
      </c>
      <c r="AK35" s="545"/>
      <c r="AL35" s="300">
        <f t="shared" si="46"/>
        <v>314924.09999999998</v>
      </c>
      <c r="AM35" s="449">
        <f t="shared" si="29"/>
        <v>0</v>
      </c>
      <c r="AN35" s="14">
        <f t="shared" si="19"/>
        <v>0</v>
      </c>
      <c r="AO35" s="14">
        <f t="shared" si="30"/>
        <v>162679.21</v>
      </c>
      <c r="AP35" s="14">
        <f t="shared" si="20"/>
        <v>0</v>
      </c>
      <c r="AS35" s="14">
        <f t="shared" si="21"/>
        <v>0</v>
      </c>
      <c r="AT35" s="14">
        <f t="shared" si="31"/>
        <v>0</v>
      </c>
      <c r="AU35" s="300">
        <f t="shared" si="32"/>
        <v>638.99760328653485</v>
      </c>
      <c r="AV35" s="300">
        <f t="shared" si="33"/>
        <v>13089.538917900471</v>
      </c>
    </row>
    <row r="36" spans="1:48" x14ac:dyDescent="0.25">
      <c r="A36" s="535">
        <f t="shared" si="34"/>
        <v>45039</v>
      </c>
      <c r="B36" s="300">
        <f t="shared" si="22"/>
        <v>80781.180000000008</v>
      </c>
      <c r="C36" s="14">
        <f t="shared" si="4"/>
        <v>421.41</v>
      </c>
      <c r="D36" s="14">
        <f t="shared" si="35"/>
        <v>118.48000000000002</v>
      </c>
      <c r="E36" s="14">
        <f t="shared" si="5"/>
        <v>302.93</v>
      </c>
      <c r="I36" s="300">
        <f t="shared" si="47"/>
        <v>2818.7200000000003</v>
      </c>
      <c r="J36" s="300">
        <f t="shared" si="48"/>
        <v>6764.19</v>
      </c>
      <c r="K36" s="300">
        <f t="shared" si="49"/>
        <v>80662.700000000012</v>
      </c>
      <c r="L36" s="449">
        <f t="shared" si="6"/>
        <v>0</v>
      </c>
      <c r="M36" s="449">
        <f t="shared" si="23"/>
        <v>0</v>
      </c>
      <c r="N36" s="300">
        <f t="shared" si="24"/>
        <v>243148.5</v>
      </c>
      <c r="O36" s="300">
        <f t="shared" si="25"/>
        <v>0</v>
      </c>
      <c r="P36" s="300">
        <f t="shared" si="39"/>
        <v>0</v>
      </c>
      <c r="Q36" s="300">
        <f t="shared" si="26"/>
        <v>0</v>
      </c>
      <c r="R36" s="300">
        <f t="shared" si="7"/>
        <v>0</v>
      </c>
      <c r="S36" s="300">
        <f t="shared" si="8"/>
        <v>0</v>
      </c>
      <c r="T36" s="300">
        <f t="shared" si="9"/>
        <v>0</v>
      </c>
      <c r="U36" s="300">
        <f t="shared" si="40"/>
        <v>0</v>
      </c>
      <c r="V36" s="300">
        <f t="shared" si="41"/>
        <v>0</v>
      </c>
      <c r="W36" s="300">
        <f t="shared" si="42"/>
        <v>243148.5</v>
      </c>
      <c r="X36" s="535">
        <f t="shared" si="27"/>
        <v>45039</v>
      </c>
      <c r="Y36" s="300">
        <f t="shared" si="43"/>
        <v>314924.09999999998</v>
      </c>
      <c r="Z36" s="527">
        <f t="shared" si="10"/>
        <v>4.4999999999999998E-2</v>
      </c>
      <c r="AA36" s="300">
        <f t="shared" si="11"/>
        <v>0</v>
      </c>
      <c r="AB36" s="300">
        <f t="shared" si="12"/>
        <v>0</v>
      </c>
      <c r="AC36" s="300">
        <f t="shared" si="13"/>
        <v>0</v>
      </c>
      <c r="AD36" s="300">
        <f t="shared" si="14"/>
        <v>0</v>
      </c>
      <c r="AE36" s="300">
        <f t="shared" si="15"/>
        <v>0</v>
      </c>
      <c r="AF36" s="300">
        <f t="shared" si="16"/>
        <v>0</v>
      </c>
      <c r="AG36" s="300">
        <f t="shared" si="44"/>
        <v>0</v>
      </c>
      <c r="AH36" s="300">
        <f t="shared" si="45"/>
        <v>0</v>
      </c>
      <c r="AI36" s="545">
        <f t="shared" si="28"/>
        <v>0</v>
      </c>
      <c r="AJ36" s="545">
        <f t="shared" si="17"/>
        <v>-71775.599999999977</v>
      </c>
      <c r="AK36" s="545"/>
      <c r="AL36" s="300">
        <f t="shared" si="46"/>
        <v>314924.09999999998</v>
      </c>
      <c r="AM36" s="449">
        <f t="shared" si="29"/>
        <v>0</v>
      </c>
      <c r="AN36" s="14">
        <f t="shared" si="19"/>
        <v>0</v>
      </c>
      <c r="AO36" s="14">
        <f t="shared" si="30"/>
        <v>162797.69</v>
      </c>
      <c r="AP36" s="14">
        <f t="shared" si="20"/>
        <v>0</v>
      </c>
      <c r="AS36" s="14">
        <f t="shared" si="21"/>
        <v>0</v>
      </c>
      <c r="AT36" s="14">
        <f t="shared" si="31"/>
        <v>0</v>
      </c>
      <c r="AU36" s="300">
        <f t="shared" si="32"/>
        <v>640.5950972947511</v>
      </c>
      <c r="AV36" s="300">
        <f t="shared" si="33"/>
        <v>13730.134015195221</v>
      </c>
    </row>
    <row r="37" spans="1:48" x14ac:dyDescent="0.25">
      <c r="A37" s="535">
        <f t="shared" si="34"/>
        <v>45069</v>
      </c>
      <c r="B37" s="300">
        <f t="shared" si="22"/>
        <v>80662.700000000012</v>
      </c>
      <c r="C37" s="14">
        <f t="shared" si="4"/>
        <v>421.41</v>
      </c>
      <c r="D37" s="14">
        <f t="shared" si="35"/>
        <v>118.92000000000002</v>
      </c>
      <c r="E37" s="14">
        <f t="shared" si="5"/>
        <v>302.49</v>
      </c>
      <c r="I37" s="300">
        <f t="shared" si="47"/>
        <v>2937.6400000000003</v>
      </c>
      <c r="J37" s="300">
        <f t="shared" si="48"/>
        <v>7066.6799999999994</v>
      </c>
      <c r="K37" s="300">
        <f t="shared" si="49"/>
        <v>80543.780000000013</v>
      </c>
      <c r="L37" s="449">
        <f t="shared" si="6"/>
        <v>0</v>
      </c>
      <c r="M37" s="449">
        <f t="shared" si="23"/>
        <v>0</v>
      </c>
      <c r="N37" s="300">
        <f t="shared" si="24"/>
        <v>243148.5</v>
      </c>
      <c r="O37" s="300">
        <f t="shared" si="25"/>
        <v>0</v>
      </c>
      <c r="P37" s="300">
        <f t="shared" si="39"/>
        <v>0</v>
      </c>
      <c r="Q37" s="300">
        <f t="shared" si="26"/>
        <v>0</v>
      </c>
      <c r="R37" s="300">
        <f t="shared" si="7"/>
        <v>0</v>
      </c>
      <c r="S37" s="300">
        <f t="shared" si="8"/>
        <v>0</v>
      </c>
      <c r="T37" s="300">
        <f t="shared" si="9"/>
        <v>0</v>
      </c>
      <c r="U37" s="300">
        <f t="shared" si="40"/>
        <v>0</v>
      </c>
      <c r="V37" s="300">
        <f t="shared" si="41"/>
        <v>0</v>
      </c>
      <c r="W37" s="300">
        <f t="shared" si="42"/>
        <v>243148.5</v>
      </c>
      <c r="X37" s="535">
        <f t="shared" si="27"/>
        <v>45069</v>
      </c>
      <c r="Y37" s="300">
        <f t="shared" si="43"/>
        <v>314924.09999999998</v>
      </c>
      <c r="Z37" s="527">
        <f t="shared" si="10"/>
        <v>4.4999999999999998E-2</v>
      </c>
      <c r="AA37" s="300">
        <f t="shared" si="11"/>
        <v>0</v>
      </c>
      <c r="AB37" s="300">
        <f t="shared" si="12"/>
        <v>0</v>
      </c>
      <c r="AC37" s="300">
        <f t="shared" si="13"/>
        <v>0</v>
      </c>
      <c r="AD37" s="300">
        <f t="shared" si="14"/>
        <v>0</v>
      </c>
      <c r="AE37" s="300">
        <f t="shared" si="15"/>
        <v>0</v>
      </c>
      <c r="AF37" s="300">
        <f t="shared" si="16"/>
        <v>0</v>
      </c>
      <c r="AG37" s="300">
        <f t="shared" si="44"/>
        <v>0</v>
      </c>
      <c r="AH37" s="300">
        <f t="shared" si="45"/>
        <v>0</v>
      </c>
      <c r="AI37" s="545">
        <f t="shared" si="28"/>
        <v>0</v>
      </c>
      <c r="AJ37" s="545">
        <f t="shared" si="17"/>
        <v>-71775.599999999977</v>
      </c>
      <c r="AK37" s="545"/>
      <c r="AL37" s="300">
        <f t="shared" si="46"/>
        <v>314924.09999999998</v>
      </c>
      <c r="AM37" s="449">
        <f t="shared" si="29"/>
        <v>0</v>
      </c>
      <c r="AN37" s="14">
        <f t="shared" si="19"/>
        <v>0</v>
      </c>
      <c r="AO37" s="14">
        <f t="shared" si="30"/>
        <v>162916.61000000002</v>
      </c>
      <c r="AP37" s="14">
        <f t="shared" si="20"/>
        <v>0</v>
      </c>
      <c r="AS37" s="14">
        <f t="shared" si="21"/>
        <v>0</v>
      </c>
      <c r="AT37" s="14">
        <f t="shared" si="31"/>
        <v>0</v>
      </c>
      <c r="AU37" s="300">
        <f t="shared" si="32"/>
        <v>642.19658503798803</v>
      </c>
      <c r="AV37" s="300">
        <f t="shared" si="33"/>
        <v>14372.330600233208</v>
      </c>
    </row>
    <row r="38" spans="1:48" ht="15.75" thickBot="1" x14ac:dyDescent="0.3">
      <c r="A38" s="538">
        <f t="shared" si="34"/>
        <v>45099</v>
      </c>
      <c r="B38" s="369">
        <f t="shared" si="22"/>
        <v>80543.780000000013</v>
      </c>
      <c r="C38" s="21">
        <f t="shared" si="4"/>
        <v>421.41</v>
      </c>
      <c r="D38" s="21">
        <f t="shared" si="35"/>
        <v>119.37</v>
      </c>
      <c r="E38" s="21">
        <f t="shared" si="5"/>
        <v>302.04000000000002</v>
      </c>
      <c r="F38" s="21"/>
      <c r="G38" s="21"/>
      <c r="H38" s="21"/>
      <c r="I38" s="369">
        <f t="shared" si="47"/>
        <v>3057.01</v>
      </c>
      <c r="J38" s="369">
        <f t="shared" si="48"/>
        <v>7368.7199999999993</v>
      </c>
      <c r="K38" s="369">
        <f t="shared" si="49"/>
        <v>80424.410000000018</v>
      </c>
      <c r="L38" s="450">
        <f t="shared" si="6"/>
        <v>0</v>
      </c>
      <c r="M38" s="450">
        <f t="shared" si="23"/>
        <v>0</v>
      </c>
      <c r="N38" s="369">
        <f t="shared" si="24"/>
        <v>243148.5</v>
      </c>
      <c r="O38" s="369">
        <f t="shared" si="25"/>
        <v>0</v>
      </c>
      <c r="P38" s="369">
        <f t="shared" si="39"/>
        <v>0</v>
      </c>
      <c r="Q38" s="369">
        <f t="shared" si="26"/>
        <v>0</v>
      </c>
      <c r="R38" s="369">
        <f t="shared" si="7"/>
        <v>0</v>
      </c>
      <c r="S38" s="369">
        <f t="shared" si="8"/>
        <v>0</v>
      </c>
      <c r="T38" s="369">
        <f t="shared" si="9"/>
        <v>0</v>
      </c>
      <c r="U38" s="369">
        <f t="shared" si="40"/>
        <v>0</v>
      </c>
      <c r="V38" s="369">
        <f t="shared" si="41"/>
        <v>0</v>
      </c>
      <c r="W38" s="369">
        <f t="shared" si="42"/>
        <v>243148.5</v>
      </c>
      <c r="X38" s="538">
        <f t="shared" si="27"/>
        <v>45099</v>
      </c>
      <c r="Y38" s="369">
        <f t="shared" si="43"/>
        <v>314924.09999999998</v>
      </c>
      <c r="Z38" s="528">
        <f t="shared" si="10"/>
        <v>4.4999999999999998E-2</v>
      </c>
      <c r="AA38" s="369">
        <f t="shared" si="11"/>
        <v>0</v>
      </c>
      <c r="AB38" s="369">
        <f t="shared" si="12"/>
        <v>0</v>
      </c>
      <c r="AC38" s="369">
        <f t="shared" si="13"/>
        <v>0</v>
      </c>
      <c r="AD38" s="369">
        <f t="shared" si="14"/>
        <v>0</v>
      </c>
      <c r="AE38" s="369">
        <f t="shared" si="15"/>
        <v>0</v>
      </c>
      <c r="AF38" s="369">
        <f t="shared" si="16"/>
        <v>0</v>
      </c>
      <c r="AG38" s="369">
        <f t="shared" si="44"/>
        <v>0</v>
      </c>
      <c r="AH38" s="369">
        <f t="shared" si="45"/>
        <v>0</v>
      </c>
      <c r="AI38" s="546">
        <f t="shared" si="28"/>
        <v>0</v>
      </c>
      <c r="AJ38" s="546">
        <f t="shared" si="17"/>
        <v>-71775.599999999977</v>
      </c>
      <c r="AK38" s="546"/>
      <c r="AL38" s="369">
        <f t="shared" si="46"/>
        <v>314924.09999999998</v>
      </c>
      <c r="AM38" s="450">
        <f t="shared" si="29"/>
        <v>0</v>
      </c>
      <c r="AN38" s="21">
        <f t="shared" si="19"/>
        <v>0</v>
      </c>
      <c r="AO38" s="21">
        <f t="shared" si="30"/>
        <v>163035.98000000001</v>
      </c>
      <c r="AP38" s="21">
        <f t="shared" si="20"/>
        <v>0</v>
      </c>
      <c r="AQ38" s="21"/>
      <c r="AR38" s="23"/>
      <c r="AS38" s="21">
        <f t="shared" si="21"/>
        <v>0</v>
      </c>
      <c r="AT38" s="21">
        <f t="shared" si="31"/>
        <v>0</v>
      </c>
      <c r="AU38" s="369">
        <f t="shared" si="32"/>
        <v>643.80207650058298</v>
      </c>
      <c r="AV38" s="369">
        <f t="shared" si="33"/>
        <v>15016.132676733791</v>
      </c>
    </row>
    <row r="39" spans="1:48" x14ac:dyDescent="0.25">
      <c r="A39" s="535">
        <f t="shared" si="34"/>
        <v>45129</v>
      </c>
      <c r="B39" s="300">
        <f t="shared" si="22"/>
        <v>80424.410000000018</v>
      </c>
      <c r="C39" s="14">
        <f t="shared" si="4"/>
        <v>421.41</v>
      </c>
      <c r="D39" s="14">
        <f t="shared" si="35"/>
        <v>119.82000000000005</v>
      </c>
      <c r="E39" s="14">
        <f t="shared" si="5"/>
        <v>301.58999999999997</v>
      </c>
      <c r="I39" s="300">
        <f t="shared" si="47"/>
        <v>3176.8300000000004</v>
      </c>
      <c r="J39" s="300">
        <f t="shared" si="48"/>
        <v>7670.3099999999995</v>
      </c>
      <c r="K39" s="300">
        <f t="shared" si="49"/>
        <v>80304.590000000011</v>
      </c>
      <c r="L39" s="449">
        <f t="shared" si="6"/>
        <v>0</v>
      </c>
      <c r="M39" s="449">
        <f t="shared" si="23"/>
        <v>0</v>
      </c>
      <c r="N39" s="300">
        <f t="shared" si="24"/>
        <v>243148.5</v>
      </c>
      <c r="O39" s="300">
        <f t="shared" si="25"/>
        <v>0</v>
      </c>
      <c r="P39" s="300">
        <f t="shared" si="39"/>
        <v>0</v>
      </c>
      <c r="Q39" s="300">
        <f t="shared" si="26"/>
        <v>0</v>
      </c>
      <c r="R39" s="300">
        <f t="shared" si="7"/>
        <v>0</v>
      </c>
      <c r="S39" s="300">
        <f t="shared" si="8"/>
        <v>0</v>
      </c>
      <c r="T39" s="300">
        <f t="shared" si="9"/>
        <v>0</v>
      </c>
      <c r="U39" s="300">
        <f t="shared" si="40"/>
        <v>0</v>
      </c>
      <c r="V39" s="300">
        <f t="shared" si="41"/>
        <v>0</v>
      </c>
      <c r="W39" s="300">
        <f t="shared" si="42"/>
        <v>243148.5</v>
      </c>
      <c r="X39" s="535">
        <f t="shared" si="27"/>
        <v>45129</v>
      </c>
      <c r="Y39" s="300">
        <f t="shared" si="43"/>
        <v>314924.09999999998</v>
      </c>
      <c r="Z39" s="527">
        <f t="shared" si="10"/>
        <v>4.4999999999999998E-2</v>
      </c>
      <c r="AA39" s="300">
        <f t="shared" si="11"/>
        <v>0</v>
      </c>
      <c r="AB39" s="300">
        <f t="shared" si="12"/>
        <v>0</v>
      </c>
      <c r="AC39" s="300">
        <f t="shared" si="13"/>
        <v>0</v>
      </c>
      <c r="AD39" s="300">
        <f t="shared" si="14"/>
        <v>0</v>
      </c>
      <c r="AE39" s="300">
        <f t="shared" si="15"/>
        <v>0</v>
      </c>
      <c r="AF39" s="300">
        <f t="shared" si="16"/>
        <v>0</v>
      </c>
      <c r="AG39" s="300">
        <f t="shared" si="44"/>
        <v>0</v>
      </c>
      <c r="AH39" s="300">
        <f t="shared" si="45"/>
        <v>0</v>
      </c>
      <c r="AI39" s="545">
        <f t="shared" si="28"/>
        <v>0</v>
      </c>
      <c r="AJ39" s="545">
        <f t="shared" si="17"/>
        <v>-71775.599999999977</v>
      </c>
      <c r="AK39" s="545"/>
      <c r="AL39" s="300">
        <f t="shared" si="46"/>
        <v>314924.09999999998</v>
      </c>
      <c r="AM39" s="449">
        <f t="shared" si="29"/>
        <v>0</v>
      </c>
      <c r="AN39" s="14">
        <f t="shared" si="19"/>
        <v>0</v>
      </c>
      <c r="AO39" s="14">
        <f t="shared" si="30"/>
        <v>163155.79999999999</v>
      </c>
      <c r="AP39" s="14">
        <f t="shared" si="20"/>
        <v>0</v>
      </c>
      <c r="AS39" s="14">
        <f t="shared" si="21"/>
        <v>0</v>
      </c>
      <c r="AT39" s="14">
        <f t="shared" si="31"/>
        <v>0</v>
      </c>
      <c r="AU39" s="300">
        <f t="shared" si="32"/>
        <v>645.4115816918345</v>
      </c>
      <c r="AV39" s="300">
        <f t="shared" si="33"/>
        <v>15661.544258425625</v>
      </c>
    </row>
    <row r="40" spans="1:48" x14ac:dyDescent="0.25">
      <c r="A40" s="535">
        <f t="shared" si="34"/>
        <v>45159</v>
      </c>
      <c r="B40" s="300">
        <f t="shared" si="22"/>
        <v>80304.590000000011</v>
      </c>
      <c r="C40" s="14">
        <f t="shared" si="4"/>
        <v>421.41</v>
      </c>
      <c r="D40" s="14">
        <f t="shared" si="35"/>
        <v>120.27000000000004</v>
      </c>
      <c r="E40" s="14">
        <f t="shared" si="5"/>
        <v>301.14</v>
      </c>
      <c r="I40" s="300">
        <f t="shared" si="47"/>
        <v>3297.1000000000004</v>
      </c>
      <c r="J40" s="300">
        <f t="shared" si="48"/>
        <v>7971.45</v>
      </c>
      <c r="K40" s="300">
        <f t="shared" si="49"/>
        <v>80184.320000000007</v>
      </c>
      <c r="L40" s="449">
        <f t="shared" si="6"/>
        <v>0</v>
      </c>
      <c r="M40" s="449">
        <f t="shared" si="23"/>
        <v>0</v>
      </c>
      <c r="N40" s="300">
        <f t="shared" si="24"/>
        <v>243148.5</v>
      </c>
      <c r="O40" s="300">
        <f t="shared" si="25"/>
        <v>0</v>
      </c>
      <c r="P40" s="300">
        <f t="shared" si="39"/>
        <v>0</v>
      </c>
      <c r="Q40" s="300">
        <f t="shared" si="26"/>
        <v>0</v>
      </c>
      <c r="R40" s="300">
        <f t="shared" si="7"/>
        <v>0</v>
      </c>
      <c r="S40" s="300">
        <f t="shared" si="8"/>
        <v>0</v>
      </c>
      <c r="T40" s="300">
        <f t="shared" si="9"/>
        <v>0</v>
      </c>
      <c r="U40" s="300">
        <f t="shared" si="40"/>
        <v>0</v>
      </c>
      <c r="V40" s="300">
        <f t="shared" si="41"/>
        <v>0</v>
      </c>
      <c r="W40" s="300">
        <f t="shared" si="42"/>
        <v>243148.5</v>
      </c>
      <c r="X40" s="535">
        <f t="shared" si="27"/>
        <v>45159</v>
      </c>
      <c r="Y40" s="300">
        <f t="shared" si="43"/>
        <v>314924.09999999998</v>
      </c>
      <c r="Z40" s="527">
        <f t="shared" si="10"/>
        <v>4.4999999999999998E-2</v>
      </c>
      <c r="AA40" s="300">
        <f t="shared" si="11"/>
        <v>0</v>
      </c>
      <c r="AB40" s="300">
        <f t="shared" si="12"/>
        <v>0</v>
      </c>
      <c r="AC40" s="300">
        <f t="shared" si="13"/>
        <v>0</v>
      </c>
      <c r="AD40" s="300">
        <f t="shared" si="14"/>
        <v>0</v>
      </c>
      <c r="AE40" s="300">
        <f t="shared" si="15"/>
        <v>0</v>
      </c>
      <c r="AF40" s="300">
        <f t="shared" si="16"/>
        <v>0</v>
      </c>
      <c r="AG40" s="300">
        <f t="shared" si="44"/>
        <v>0</v>
      </c>
      <c r="AH40" s="300">
        <f t="shared" si="45"/>
        <v>0</v>
      </c>
      <c r="AI40" s="545">
        <f t="shared" si="28"/>
        <v>0</v>
      </c>
      <c r="AJ40" s="545">
        <f t="shared" si="17"/>
        <v>-71775.599999999977</v>
      </c>
      <c r="AK40" s="545"/>
      <c r="AL40" s="300">
        <f t="shared" si="46"/>
        <v>314924.09999999998</v>
      </c>
      <c r="AM40" s="449">
        <f t="shared" si="29"/>
        <v>0</v>
      </c>
      <c r="AN40" s="14">
        <f t="shared" si="19"/>
        <v>0</v>
      </c>
      <c r="AO40" s="14">
        <f t="shared" si="30"/>
        <v>163276.07</v>
      </c>
      <c r="AP40" s="14">
        <f t="shared" si="20"/>
        <v>0</v>
      </c>
      <c r="AS40" s="14">
        <f t="shared" si="21"/>
        <v>0</v>
      </c>
      <c r="AT40" s="14">
        <f t="shared" si="31"/>
        <v>0</v>
      </c>
      <c r="AU40" s="300">
        <f t="shared" si="32"/>
        <v>647.02511064606404</v>
      </c>
      <c r="AV40" s="300">
        <f t="shared" si="33"/>
        <v>16308.569369071689</v>
      </c>
    </row>
    <row r="41" spans="1:48" x14ac:dyDescent="0.25">
      <c r="A41" s="535">
        <f t="shared" si="34"/>
        <v>45189</v>
      </c>
      <c r="B41" s="300">
        <f t="shared" si="22"/>
        <v>80184.320000000007</v>
      </c>
      <c r="C41" s="14">
        <f t="shared" si="4"/>
        <v>421.41</v>
      </c>
      <c r="D41" s="14">
        <f t="shared" si="35"/>
        <v>120.72000000000003</v>
      </c>
      <c r="E41" s="14">
        <f t="shared" si="5"/>
        <v>300.69</v>
      </c>
      <c r="I41" s="300">
        <f t="shared" si="47"/>
        <v>3417.8200000000006</v>
      </c>
      <c r="J41" s="300">
        <f t="shared" si="48"/>
        <v>8272.14</v>
      </c>
      <c r="K41" s="300">
        <f t="shared" si="49"/>
        <v>80063.600000000006</v>
      </c>
      <c r="L41" s="449">
        <f t="shared" si="6"/>
        <v>0</v>
      </c>
      <c r="M41" s="449">
        <f t="shared" si="23"/>
        <v>0</v>
      </c>
      <c r="N41" s="300">
        <f t="shared" si="24"/>
        <v>243148.5</v>
      </c>
      <c r="O41" s="300">
        <f t="shared" si="25"/>
        <v>0</v>
      </c>
      <c r="P41" s="300">
        <f t="shared" si="39"/>
        <v>0</v>
      </c>
      <c r="Q41" s="300">
        <f t="shared" si="26"/>
        <v>0</v>
      </c>
      <c r="R41" s="300">
        <f t="shared" si="7"/>
        <v>0</v>
      </c>
      <c r="S41" s="300">
        <f t="shared" si="8"/>
        <v>0</v>
      </c>
      <c r="T41" s="300">
        <f t="shared" si="9"/>
        <v>0</v>
      </c>
      <c r="U41" s="300">
        <f t="shared" si="40"/>
        <v>0</v>
      </c>
      <c r="V41" s="300">
        <f t="shared" si="41"/>
        <v>0</v>
      </c>
      <c r="W41" s="300">
        <f t="shared" si="42"/>
        <v>243148.5</v>
      </c>
      <c r="X41" s="535">
        <f t="shared" si="27"/>
        <v>45189</v>
      </c>
      <c r="Y41" s="300">
        <f t="shared" si="43"/>
        <v>314924.09999999998</v>
      </c>
      <c r="Z41" s="527">
        <f t="shared" si="10"/>
        <v>4.4999999999999998E-2</v>
      </c>
      <c r="AA41" s="300">
        <f t="shared" si="11"/>
        <v>0</v>
      </c>
      <c r="AB41" s="300">
        <f t="shared" si="12"/>
        <v>0</v>
      </c>
      <c r="AC41" s="300">
        <f t="shared" si="13"/>
        <v>0</v>
      </c>
      <c r="AD41" s="300">
        <f t="shared" si="14"/>
        <v>0</v>
      </c>
      <c r="AE41" s="300">
        <f t="shared" si="15"/>
        <v>0</v>
      </c>
      <c r="AF41" s="300">
        <f t="shared" si="16"/>
        <v>0</v>
      </c>
      <c r="AG41" s="300">
        <f t="shared" si="44"/>
        <v>0</v>
      </c>
      <c r="AH41" s="300">
        <f t="shared" si="45"/>
        <v>0</v>
      </c>
      <c r="AI41" s="545">
        <f t="shared" si="28"/>
        <v>0</v>
      </c>
      <c r="AJ41" s="545">
        <f t="shared" si="17"/>
        <v>-71775.599999999977</v>
      </c>
      <c r="AK41" s="545"/>
      <c r="AL41" s="300">
        <f t="shared" si="46"/>
        <v>314924.09999999998</v>
      </c>
      <c r="AM41" s="449">
        <f t="shared" si="29"/>
        <v>0</v>
      </c>
      <c r="AN41" s="14">
        <f t="shared" si="19"/>
        <v>0</v>
      </c>
      <c r="AO41" s="14">
        <f t="shared" si="30"/>
        <v>163396.79</v>
      </c>
      <c r="AP41" s="14">
        <f t="shared" si="20"/>
        <v>0</v>
      </c>
      <c r="AS41" s="14">
        <f t="shared" si="21"/>
        <v>0</v>
      </c>
      <c r="AT41" s="14">
        <f t="shared" si="31"/>
        <v>0</v>
      </c>
      <c r="AU41" s="300">
        <f t="shared" si="32"/>
        <v>648.6426734226792</v>
      </c>
      <c r="AV41" s="300">
        <f t="shared" si="33"/>
        <v>16957.212042494368</v>
      </c>
    </row>
    <row r="42" spans="1:48" x14ac:dyDescent="0.25">
      <c r="A42" s="535">
        <f t="shared" si="34"/>
        <v>45219</v>
      </c>
      <c r="B42" s="300">
        <f t="shared" si="22"/>
        <v>80063.600000000006</v>
      </c>
      <c r="C42" s="14">
        <f t="shared" si="4"/>
        <v>421.41</v>
      </c>
      <c r="D42" s="14">
        <f t="shared" si="35"/>
        <v>121.17000000000002</v>
      </c>
      <c r="E42" s="14">
        <f t="shared" si="5"/>
        <v>300.24</v>
      </c>
      <c r="I42" s="300">
        <f t="shared" si="47"/>
        <v>3538.9900000000007</v>
      </c>
      <c r="J42" s="300">
        <f t="shared" si="48"/>
        <v>8572.3799999999992</v>
      </c>
      <c r="K42" s="300">
        <f t="shared" si="49"/>
        <v>79942.430000000008</v>
      </c>
      <c r="L42" s="449">
        <f t="shared" si="6"/>
        <v>0</v>
      </c>
      <c r="M42" s="449">
        <f t="shared" si="23"/>
        <v>0</v>
      </c>
      <c r="N42" s="300">
        <f t="shared" si="24"/>
        <v>243148.5</v>
      </c>
      <c r="O42" s="300">
        <f t="shared" si="25"/>
        <v>0</v>
      </c>
      <c r="P42" s="300">
        <f t="shared" si="39"/>
        <v>0</v>
      </c>
      <c r="Q42" s="300">
        <f t="shared" si="26"/>
        <v>0</v>
      </c>
      <c r="R42" s="300">
        <f t="shared" si="7"/>
        <v>0</v>
      </c>
      <c r="S42" s="300">
        <f t="shared" si="8"/>
        <v>0</v>
      </c>
      <c r="T42" s="300">
        <f t="shared" si="9"/>
        <v>0</v>
      </c>
      <c r="U42" s="300">
        <f t="shared" si="40"/>
        <v>0</v>
      </c>
      <c r="V42" s="300">
        <f t="shared" si="41"/>
        <v>0</v>
      </c>
      <c r="W42" s="300">
        <f t="shared" si="42"/>
        <v>243148.5</v>
      </c>
      <c r="X42" s="535">
        <f t="shared" si="27"/>
        <v>45219</v>
      </c>
      <c r="Y42" s="300">
        <f t="shared" si="43"/>
        <v>314924.09999999998</v>
      </c>
      <c r="Z42" s="527">
        <f t="shared" si="10"/>
        <v>4.4999999999999998E-2</v>
      </c>
      <c r="AA42" s="300">
        <f t="shared" si="11"/>
        <v>0</v>
      </c>
      <c r="AB42" s="300">
        <f t="shared" si="12"/>
        <v>0</v>
      </c>
      <c r="AC42" s="300">
        <f t="shared" si="13"/>
        <v>0</v>
      </c>
      <c r="AD42" s="300">
        <f t="shared" si="14"/>
        <v>0</v>
      </c>
      <c r="AE42" s="300">
        <f t="shared" si="15"/>
        <v>0</v>
      </c>
      <c r="AF42" s="300">
        <f t="shared" si="16"/>
        <v>0</v>
      </c>
      <c r="AG42" s="300">
        <f t="shared" si="44"/>
        <v>0</v>
      </c>
      <c r="AH42" s="300">
        <f t="shared" si="45"/>
        <v>0</v>
      </c>
      <c r="AI42" s="545">
        <f t="shared" si="28"/>
        <v>0</v>
      </c>
      <c r="AJ42" s="545">
        <f t="shared" si="17"/>
        <v>-71775.599999999977</v>
      </c>
      <c r="AK42" s="545"/>
      <c r="AL42" s="300">
        <f t="shared" si="46"/>
        <v>314924.09999999998</v>
      </c>
      <c r="AM42" s="449">
        <f t="shared" si="29"/>
        <v>0</v>
      </c>
      <c r="AN42" s="14">
        <f t="shared" si="19"/>
        <v>0</v>
      </c>
      <c r="AO42" s="14">
        <f t="shared" si="30"/>
        <v>163517.96</v>
      </c>
      <c r="AP42" s="14">
        <f t="shared" si="20"/>
        <v>0</v>
      </c>
      <c r="AS42" s="14">
        <f t="shared" si="21"/>
        <v>0</v>
      </c>
      <c r="AT42" s="14">
        <f t="shared" si="31"/>
        <v>0</v>
      </c>
      <c r="AU42" s="300">
        <f t="shared" si="32"/>
        <v>650.2642801062359</v>
      </c>
      <c r="AV42" s="300">
        <f t="shared" si="33"/>
        <v>17607.476322600603</v>
      </c>
    </row>
    <row r="43" spans="1:48" x14ac:dyDescent="0.25">
      <c r="A43" s="535">
        <f t="shared" si="34"/>
        <v>45249</v>
      </c>
      <c r="B43" s="300">
        <f t="shared" si="22"/>
        <v>79942.430000000008</v>
      </c>
      <c r="C43" s="14">
        <f t="shared" si="4"/>
        <v>421.41</v>
      </c>
      <c r="D43" s="14">
        <f t="shared" si="35"/>
        <v>121.63000000000005</v>
      </c>
      <c r="E43" s="14">
        <f t="shared" si="5"/>
        <v>299.77999999999997</v>
      </c>
      <c r="I43" s="300">
        <f t="shared" si="47"/>
        <v>3660.6200000000008</v>
      </c>
      <c r="J43" s="300">
        <f t="shared" si="48"/>
        <v>8872.16</v>
      </c>
      <c r="K43" s="300">
        <f t="shared" si="49"/>
        <v>79820.800000000003</v>
      </c>
      <c r="L43" s="449">
        <f t="shared" si="6"/>
        <v>0</v>
      </c>
      <c r="M43" s="449">
        <f t="shared" si="23"/>
        <v>0</v>
      </c>
      <c r="N43" s="300">
        <f t="shared" si="24"/>
        <v>243148.5</v>
      </c>
      <c r="O43" s="300">
        <f t="shared" si="25"/>
        <v>0</v>
      </c>
      <c r="P43" s="300">
        <f t="shared" si="39"/>
        <v>0</v>
      </c>
      <c r="Q43" s="300">
        <f t="shared" si="26"/>
        <v>0</v>
      </c>
      <c r="R43" s="300">
        <f t="shared" si="7"/>
        <v>0</v>
      </c>
      <c r="S43" s="300">
        <f t="shared" si="8"/>
        <v>0</v>
      </c>
      <c r="T43" s="300">
        <f t="shared" si="9"/>
        <v>0</v>
      </c>
      <c r="U43" s="300">
        <f t="shared" si="40"/>
        <v>0</v>
      </c>
      <c r="V43" s="300">
        <f t="shared" si="41"/>
        <v>0</v>
      </c>
      <c r="W43" s="300">
        <f t="shared" si="42"/>
        <v>243148.5</v>
      </c>
      <c r="X43" s="535">
        <f t="shared" si="27"/>
        <v>45249</v>
      </c>
      <c r="Y43" s="300">
        <f t="shared" si="43"/>
        <v>314924.09999999998</v>
      </c>
      <c r="Z43" s="527">
        <f t="shared" si="10"/>
        <v>4.4999999999999998E-2</v>
      </c>
      <c r="AA43" s="300">
        <f t="shared" si="11"/>
        <v>0</v>
      </c>
      <c r="AB43" s="300">
        <f t="shared" si="12"/>
        <v>0</v>
      </c>
      <c r="AC43" s="300">
        <f t="shared" si="13"/>
        <v>0</v>
      </c>
      <c r="AD43" s="300">
        <f t="shared" si="14"/>
        <v>0</v>
      </c>
      <c r="AE43" s="300">
        <f t="shared" si="15"/>
        <v>0</v>
      </c>
      <c r="AF43" s="300">
        <f t="shared" si="16"/>
        <v>0</v>
      </c>
      <c r="AG43" s="300">
        <f t="shared" si="44"/>
        <v>0</v>
      </c>
      <c r="AH43" s="300">
        <f t="shared" si="45"/>
        <v>0</v>
      </c>
      <c r="AI43" s="545">
        <f t="shared" si="28"/>
        <v>0</v>
      </c>
      <c r="AJ43" s="545">
        <f t="shared" si="17"/>
        <v>-71775.599999999977</v>
      </c>
      <c r="AK43" s="545"/>
      <c r="AL43" s="300">
        <f t="shared" si="46"/>
        <v>314924.09999999998</v>
      </c>
      <c r="AM43" s="449">
        <f t="shared" si="29"/>
        <v>0</v>
      </c>
      <c r="AN43" s="14">
        <f t="shared" si="19"/>
        <v>0</v>
      </c>
      <c r="AO43" s="14">
        <f t="shared" si="30"/>
        <v>163639.59</v>
      </c>
      <c r="AP43" s="14">
        <f t="shared" si="20"/>
        <v>0</v>
      </c>
      <c r="AS43" s="14">
        <f t="shared" si="21"/>
        <v>0</v>
      </c>
      <c r="AT43" s="14">
        <f t="shared" si="31"/>
        <v>0</v>
      </c>
      <c r="AU43" s="300">
        <f t="shared" si="32"/>
        <v>651.8899408065015</v>
      </c>
      <c r="AV43" s="300">
        <f t="shared" si="33"/>
        <v>18259.366263407104</v>
      </c>
    </row>
    <row r="44" spans="1:48" x14ac:dyDescent="0.25">
      <c r="A44" s="535">
        <f t="shared" si="34"/>
        <v>45279</v>
      </c>
      <c r="B44" s="300">
        <f t="shared" si="22"/>
        <v>79820.800000000003</v>
      </c>
      <c r="C44" s="14">
        <f t="shared" si="4"/>
        <v>421.41</v>
      </c>
      <c r="D44" s="14">
        <f t="shared" si="35"/>
        <v>122.08000000000004</v>
      </c>
      <c r="E44" s="14">
        <f t="shared" si="5"/>
        <v>299.33</v>
      </c>
      <c r="I44" s="300">
        <f t="shared" si="47"/>
        <v>3782.7000000000007</v>
      </c>
      <c r="J44" s="300">
        <f t="shared" si="48"/>
        <v>9171.49</v>
      </c>
      <c r="K44" s="300">
        <f t="shared" si="49"/>
        <v>79698.720000000001</v>
      </c>
      <c r="L44" s="449">
        <f t="shared" si="6"/>
        <v>0</v>
      </c>
      <c r="M44" s="449">
        <f t="shared" si="23"/>
        <v>0</v>
      </c>
      <c r="N44" s="300">
        <f t="shared" si="24"/>
        <v>243148.5</v>
      </c>
      <c r="O44" s="300">
        <f t="shared" si="25"/>
        <v>0</v>
      </c>
      <c r="P44" s="300">
        <f t="shared" si="39"/>
        <v>0</v>
      </c>
      <c r="Q44" s="300">
        <f t="shared" si="26"/>
        <v>0</v>
      </c>
      <c r="R44" s="300">
        <f t="shared" si="7"/>
        <v>0</v>
      </c>
      <c r="S44" s="300">
        <f t="shared" si="8"/>
        <v>0</v>
      </c>
      <c r="T44" s="300">
        <f t="shared" si="9"/>
        <v>0</v>
      </c>
      <c r="U44" s="300">
        <f t="shared" si="40"/>
        <v>0</v>
      </c>
      <c r="V44" s="300">
        <f t="shared" si="41"/>
        <v>0</v>
      </c>
      <c r="W44" s="300">
        <f t="shared" si="42"/>
        <v>243148.5</v>
      </c>
      <c r="X44" s="535">
        <f t="shared" si="27"/>
        <v>45279</v>
      </c>
      <c r="Y44" s="300">
        <f t="shared" si="43"/>
        <v>314924.09999999998</v>
      </c>
      <c r="Z44" s="527">
        <f t="shared" si="10"/>
        <v>4.4999999999999998E-2</v>
      </c>
      <c r="AA44" s="300">
        <f t="shared" si="11"/>
        <v>0</v>
      </c>
      <c r="AB44" s="300">
        <f t="shared" si="12"/>
        <v>0</v>
      </c>
      <c r="AC44" s="300">
        <f t="shared" si="13"/>
        <v>0</v>
      </c>
      <c r="AD44" s="300">
        <f t="shared" si="14"/>
        <v>0</v>
      </c>
      <c r="AE44" s="300">
        <f t="shared" si="15"/>
        <v>0</v>
      </c>
      <c r="AF44" s="300">
        <f t="shared" si="16"/>
        <v>0</v>
      </c>
      <c r="AG44" s="300">
        <f t="shared" si="44"/>
        <v>0</v>
      </c>
      <c r="AH44" s="300">
        <f t="shared" si="45"/>
        <v>0</v>
      </c>
      <c r="AI44" s="545">
        <f t="shared" si="28"/>
        <v>0</v>
      </c>
      <c r="AJ44" s="545">
        <f t="shared" si="17"/>
        <v>-71775.599999999977</v>
      </c>
      <c r="AK44" s="545"/>
      <c r="AL44" s="300">
        <f t="shared" si="46"/>
        <v>314924.09999999998</v>
      </c>
      <c r="AM44" s="449">
        <f t="shared" si="29"/>
        <v>0</v>
      </c>
      <c r="AN44" s="14">
        <f t="shared" si="19"/>
        <v>0</v>
      </c>
      <c r="AO44" s="14">
        <f t="shared" si="30"/>
        <v>163761.67000000001</v>
      </c>
      <c r="AP44" s="14">
        <f t="shared" si="20"/>
        <v>0</v>
      </c>
      <c r="AS44" s="14">
        <f t="shared" si="21"/>
        <v>0</v>
      </c>
      <c r="AT44" s="14">
        <f t="shared" si="31"/>
        <v>0</v>
      </c>
      <c r="AU44" s="300">
        <f t="shared" si="32"/>
        <v>653.51966565851774</v>
      </c>
      <c r="AV44" s="300">
        <f t="shared" si="33"/>
        <v>18912.885929065622</v>
      </c>
    </row>
    <row r="45" spans="1:48" x14ac:dyDescent="0.25">
      <c r="A45" s="535">
        <f t="shared" si="34"/>
        <v>45309</v>
      </c>
      <c r="B45" s="300">
        <f t="shared" si="22"/>
        <v>79698.720000000001</v>
      </c>
      <c r="C45" s="14">
        <f t="shared" si="4"/>
        <v>421.41</v>
      </c>
      <c r="D45" s="14">
        <f t="shared" si="35"/>
        <v>122.54000000000002</v>
      </c>
      <c r="E45" s="14">
        <f t="shared" si="5"/>
        <v>298.87</v>
      </c>
      <c r="I45" s="300">
        <f t="shared" si="47"/>
        <v>3905.2400000000007</v>
      </c>
      <c r="J45" s="300">
        <f t="shared" si="48"/>
        <v>9470.36</v>
      </c>
      <c r="K45" s="300">
        <f t="shared" si="49"/>
        <v>79576.180000000008</v>
      </c>
      <c r="L45" s="449">
        <f t="shared" si="6"/>
        <v>0</v>
      </c>
      <c r="M45" s="449">
        <f t="shared" si="23"/>
        <v>0</v>
      </c>
      <c r="N45" s="300">
        <f t="shared" si="24"/>
        <v>243148.5</v>
      </c>
      <c r="O45" s="300">
        <f t="shared" si="25"/>
        <v>0</v>
      </c>
      <c r="P45" s="300">
        <f t="shared" si="39"/>
        <v>0</v>
      </c>
      <c r="Q45" s="300">
        <f t="shared" si="26"/>
        <v>0</v>
      </c>
      <c r="R45" s="300">
        <f t="shared" si="7"/>
        <v>0</v>
      </c>
      <c r="S45" s="300">
        <f t="shared" si="8"/>
        <v>0</v>
      </c>
      <c r="T45" s="300">
        <f t="shared" si="9"/>
        <v>0</v>
      </c>
      <c r="U45" s="300">
        <f t="shared" si="40"/>
        <v>0</v>
      </c>
      <c r="V45" s="300">
        <f t="shared" si="41"/>
        <v>0</v>
      </c>
      <c r="W45" s="300">
        <f t="shared" si="42"/>
        <v>243148.5</v>
      </c>
      <c r="X45" s="535">
        <f t="shared" si="27"/>
        <v>45309</v>
      </c>
      <c r="Y45" s="300">
        <f t="shared" si="43"/>
        <v>314924.09999999998</v>
      </c>
      <c r="Z45" s="527">
        <f t="shared" si="10"/>
        <v>4.4999999999999998E-2</v>
      </c>
      <c r="AA45" s="300">
        <f t="shared" si="11"/>
        <v>0</v>
      </c>
      <c r="AB45" s="300">
        <f t="shared" si="12"/>
        <v>0</v>
      </c>
      <c r="AC45" s="300">
        <f t="shared" si="13"/>
        <v>0</v>
      </c>
      <c r="AD45" s="300">
        <f t="shared" si="14"/>
        <v>0</v>
      </c>
      <c r="AE45" s="300">
        <f t="shared" si="15"/>
        <v>0</v>
      </c>
      <c r="AF45" s="300">
        <f t="shared" si="16"/>
        <v>0</v>
      </c>
      <c r="AG45" s="300">
        <f t="shared" si="44"/>
        <v>0</v>
      </c>
      <c r="AH45" s="300">
        <f t="shared" si="45"/>
        <v>0</v>
      </c>
      <c r="AI45" s="545">
        <f t="shared" si="28"/>
        <v>0</v>
      </c>
      <c r="AJ45" s="545">
        <f t="shared" si="17"/>
        <v>-71775.599999999977</v>
      </c>
      <c r="AK45" s="545"/>
      <c r="AL45" s="300">
        <f t="shared" si="46"/>
        <v>314924.09999999998</v>
      </c>
      <c r="AM45" s="449">
        <f t="shared" si="29"/>
        <v>0</v>
      </c>
      <c r="AN45" s="14">
        <f t="shared" si="19"/>
        <v>0</v>
      </c>
      <c r="AO45" s="14">
        <f t="shared" ref="AO45:AO108" si="50">IF(W45&lt;=0,0,+$AA$5-$C$2+I45-U45)</f>
        <v>235659.80999999997</v>
      </c>
      <c r="AP45" s="14">
        <f t="shared" si="20"/>
        <v>0</v>
      </c>
      <c r="AS45" s="14">
        <f t="shared" si="21"/>
        <v>0</v>
      </c>
      <c r="AT45" s="14">
        <f t="shared" si="31"/>
        <v>0</v>
      </c>
      <c r="AU45" s="300">
        <f t="shared" si="32"/>
        <v>655.15346482266398</v>
      </c>
      <c r="AV45" s="300">
        <f t="shared" si="33"/>
        <v>19568.039393888284</v>
      </c>
    </row>
    <row r="46" spans="1:48" x14ac:dyDescent="0.25">
      <c r="A46" s="535">
        <f t="shared" si="34"/>
        <v>45339</v>
      </c>
      <c r="B46" s="300">
        <f t="shared" si="22"/>
        <v>79576.180000000008</v>
      </c>
      <c r="C46" s="14">
        <f t="shared" si="4"/>
        <v>421.41</v>
      </c>
      <c r="D46" s="14">
        <f t="shared" si="35"/>
        <v>123</v>
      </c>
      <c r="E46" s="14">
        <f t="shared" si="5"/>
        <v>298.41000000000003</v>
      </c>
      <c r="I46" s="300">
        <f t="shared" si="47"/>
        <v>4028.2400000000007</v>
      </c>
      <c r="J46" s="300">
        <f t="shared" si="48"/>
        <v>9768.77</v>
      </c>
      <c r="K46" s="300">
        <f t="shared" si="49"/>
        <v>79453.180000000008</v>
      </c>
      <c r="L46" s="449">
        <f t="shared" si="6"/>
        <v>0</v>
      </c>
      <c r="M46" s="449">
        <f t="shared" si="23"/>
        <v>0</v>
      </c>
      <c r="N46" s="300">
        <f t="shared" si="24"/>
        <v>243148.5</v>
      </c>
      <c r="O46" s="300">
        <f t="shared" si="25"/>
        <v>0</v>
      </c>
      <c r="P46" s="300">
        <f t="shared" si="39"/>
        <v>0</v>
      </c>
      <c r="Q46" s="300">
        <f t="shared" si="26"/>
        <v>0</v>
      </c>
      <c r="R46" s="300">
        <f t="shared" si="7"/>
        <v>0</v>
      </c>
      <c r="S46" s="300">
        <f t="shared" si="8"/>
        <v>0</v>
      </c>
      <c r="T46" s="300">
        <f t="shared" si="9"/>
        <v>0</v>
      </c>
      <c r="U46" s="300">
        <f t="shared" si="40"/>
        <v>0</v>
      </c>
      <c r="V46" s="300">
        <f t="shared" si="41"/>
        <v>0</v>
      </c>
      <c r="W46" s="300">
        <f t="shared" si="42"/>
        <v>243148.5</v>
      </c>
      <c r="X46" s="535">
        <f t="shared" si="27"/>
        <v>45339</v>
      </c>
      <c r="Y46" s="300">
        <f t="shared" si="43"/>
        <v>314924.09999999998</v>
      </c>
      <c r="Z46" s="527">
        <f t="shared" si="10"/>
        <v>4.4999999999999998E-2</v>
      </c>
      <c r="AA46" s="300">
        <f t="shared" si="11"/>
        <v>0</v>
      </c>
      <c r="AB46" s="300">
        <f t="shared" si="12"/>
        <v>0</v>
      </c>
      <c r="AC46" s="300">
        <f t="shared" si="13"/>
        <v>0</v>
      </c>
      <c r="AD46" s="300">
        <f t="shared" si="14"/>
        <v>0</v>
      </c>
      <c r="AE46" s="300">
        <f t="shared" si="15"/>
        <v>0</v>
      </c>
      <c r="AF46" s="300">
        <f t="shared" si="16"/>
        <v>0</v>
      </c>
      <c r="AG46" s="300">
        <f t="shared" si="44"/>
        <v>0</v>
      </c>
      <c r="AH46" s="300">
        <f t="shared" si="45"/>
        <v>0</v>
      </c>
      <c r="AI46" s="545">
        <f t="shared" si="28"/>
        <v>0</v>
      </c>
      <c r="AJ46" s="545">
        <f t="shared" si="17"/>
        <v>-71775.599999999977</v>
      </c>
      <c r="AK46" s="545"/>
      <c r="AL46" s="300">
        <f t="shared" si="46"/>
        <v>314924.09999999998</v>
      </c>
      <c r="AM46" s="449">
        <f t="shared" si="29"/>
        <v>0</v>
      </c>
      <c r="AN46" s="14">
        <f t="shared" si="19"/>
        <v>0</v>
      </c>
      <c r="AO46" s="14">
        <f t="shared" si="50"/>
        <v>235782.80999999997</v>
      </c>
      <c r="AP46" s="14">
        <f t="shared" si="20"/>
        <v>0</v>
      </c>
      <c r="AS46" s="14">
        <f t="shared" si="21"/>
        <v>0</v>
      </c>
      <c r="AT46" s="14">
        <f t="shared" si="31"/>
        <v>0</v>
      </c>
      <c r="AU46" s="300">
        <f t="shared" si="32"/>
        <v>656.79134848472063</v>
      </c>
      <c r="AV46" s="300">
        <f t="shared" si="33"/>
        <v>20224.830742373004</v>
      </c>
    </row>
    <row r="47" spans="1:48" x14ac:dyDescent="0.25">
      <c r="A47" s="535">
        <f t="shared" si="34"/>
        <v>45369</v>
      </c>
      <c r="B47" s="300">
        <f t="shared" si="22"/>
        <v>79453.180000000008</v>
      </c>
      <c r="C47" s="14">
        <f t="shared" si="4"/>
        <v>421.41</v>
      </c>
      <c r="D47" s="14">
        <f t="shared" si="35"/>
        <v>123.46000000000004</v>
      </c>
      <c r="E47" s="14">
        <f t="shared" si="5"/>
        <v>297.95</v>
      </c>
      <c r="I47" s="300">
        <f t="shared" si="47"/>
        <v>4151.7000000000007</v>
      </c>
      <c r="J47" s="300">
        <f t="shared" si="48"/>
        <v>10066.720000000001</v>
      </c>
      <c r="K47" s="300">
        <f t="shared" si="49"/>
        <v>79329.72</v>
      </c>
      <c r="L47" s="449">
        <f t="shared" si="6"/>
        <v>0</v>
      </c>
      <c r="M47" s="449">
        <f t="shared" si="23"/>
        <v>0</v>
      </c>
      <c r="N47" s="300">
        <f t="shared" si="24"/>
        <v>243148.5</v>
      </c>
      <c r="O47" s="300">
        <f t="shared" si="25"/>
        <v>0</v>
      </c>
      <c r="P47" s="300">
        <f t="shared" si="39"/>
        <v>0</v>
      </c>
      <c r="Q47" s="300">
        <f t="shared" si="26"/>
        <v>0</v>
      </c>
      <c r="R47" s="300">
        <f t="shared" si="7"/>
        <v>0</v>
      </c>
      <c r="S47" s="300">
        <f t="shared" si="8"/>
        <v>0</v>
      </c>
      <c r="T47" s="300">
        <f t="shared" si="9"/>
        <v>0</v>
      </c>
      <c r="U47" s="300">
        <f t="shared" si="40"/>
        <v>0</v>
      </c>
      <c r="V47" s="300">
        <f t="shared" si="41"/>
        <v>0</v>
      </c>
      <c r="W47" s="300">
        <f t="shared" si="42"/>
        <v>243148.5</v>
      </c>
      <c r="X47" s="535">
        <f t="shared" si="27"/>
        <v>45369</v>
      </c>
      <c r="Y47" s="300">
        <f t="shared" si="43"/>
        <v>314924.09999999998</v>
      </c>
      <c r="Z47" s="527">
        <f t="shared" si="10"/>
        <v>4.4999999999999998E-2</v>
      </c>
      <c r="AA47" s="300">
        <f t="shared" si="11"/>
        <v>0</v>
      </c>
      <c r="AB47" s="300">
        <f t="shared" si="12"/>
        <v>0</v>
      </c>
      <c r="AC47" s="300">
        <f t="shared" si="13"/>
        <v>0</v>
      </c>
      <c r="AD47" s="300">
        <f t="shared" si="14"/>
        <v>0</v>
      </c>
      <c r="AE47" s="300">
        <f t="shared" si="15"/>
        <v>0</v>
      </c>
      <c r="AF47" s="300">
        <f t="shared" si="16"/>
        <v>0</v>
      </c>
      <c r="AG47" s="300">
        <f t="shared" si="44"/>
        <v>0</v>
      </c>
      <c r="AH47" s="300">
        <f t="shared" si="45"/>
        <v>0</v>
      </c>
      <c r="AI47" s="545">
        <f t="shared" si="28"/>
        <v>0</v>
      </c>
      <c r="AJ47" s="545">
        <f t="shared" si="17"/>
        <v>-71775.599999999977</v>
      </c>
      <c r="AK47" s="545"/>
      <c r="AL47" s="300">
        <f t="shared" si="46"/>
        <v>314924.09999999998</v>
      </c>
      <c r="AM47" s="449">
        <f t="shared" si="29"/>
        <v>0</v>
      </c>
      <c r="AN47" s="14">
        <f t="shared" si="19"/>
        <v>0</v>
      </c>
      <c r="AO47" s="14">
        <f t="shared" si="50"/>
        <v>235906.27</v>
      </c>
      <c r="AP47" s="14">
        <f t="shared" si="20"/>
        <v>0</v>
      </c>
      <c r="AS47" s="14">
        <f t="shared" si="21"/>
        <v>0</v>
      </c>
      <c r="AT47" s="14">
        <f t="shared" si="31"/>
        <v>0</v>
      </c>
      <c r="AU47" s="300">
        <f t="shared" si="32"/>
        <v>658.43332685593248</v>
      </c>
      <c r="AV47" s="300">
        <f t="shared" si="33"/>
        <v>20883.264069228935</v>
      </c>
    </row>
    <row r="48" spans="1:48" x14ac:dyDescent="0.25">
      <c r="A48" s="535">
        <f t="shared" si="34"/>
        <v>45399</v>
      </c>
      <c r="B48" s="300">
        <f t="shared" si="22"/>
        <v>79329.72</v>
      </c>
      <c r="C48" s="14">
        <f t="shared" si="4"/>
        <v>421.41</v>
      </c>
      <c r="D48" s="14">
        <f t="shared" si="35"/>
        <v>123.92000000000002</v>
      </c>
      <c r="E48" s="14">
        <f t="shared" si="5"/>
        <v>297.49</v>
      </c>
      <c r="I48" s="300">
        <f t="shared" si="47"/>
        <v>4275.6200000000008</v>
      </c>
      <c r="J48" s="300">
        <f t="shared" si="48"/>
        <v>10364.210000000001</v>
      </c>
      <c r="K48" s="300">
        <f t="shared" si="49"/>
        <v>79205.8</v>
      </c>
      <c r="L48" s="449">
        <f t="shared" si="6"/>
        <v>0</v>
      </c>
      <c r="M48" s="449">
        <f t="shared" si="23"/>
        <v>0</v>
      </c>
      <c r="N48" s="300">
        <f t="shared" si="24"/>
        <v>243148.5</v>
      </c>
      <c r="O48" s="300">
        <f t="shared" si="25"/>
        <v>0</v>
      </c>
      <c r="P48" s="300">
        <f t="shared" si="39"/>
        <v>0</v>
      </c>
      <c r="Q48" s="300">
        <f t="shared" si="26"/>
        <v>0</v>
      </c>
      <c r="R48" s="300">
        <f t="shared" si="7"/>
        <v>0</v>
      </c>
      <c r="S48" s="300">
        <f t="shared" si="8"/>
        <v>0</v>
      </c>
      <c r="T48" s="300">
        <f t="shared" si="9"/>
        <v>0</v>
      </c>
      <c r="U48" s="300">
        <f t="shared" si="40"/>
        <v>0</v>
      </c>
      <c r="V48" s="300">
        <f t="shared" si="41"/>
        <v>0</v>
      </c>
      <c r="W48" s="300">
        <f t="shared" si="42"/>
        <v>243148.5</v>
      </c>
      <c r="X48" s="535">
        <f t="shared" si="27"/>
        <v>45399</v>
      </c>
      <c r="Y48" s="300">
        <f t="shared" si="43"/>
        <v>314924.09999999998</v>
      </c>
      <c r="Z48" s="527">
        <f t="shared" si="10"/>
        <v>4.4999999999999998E-2</v>
      </c>
      <c r="AA48" s="300">
        <f t="shared" si="11"/>
        <v>0</v>
      </c>
      <c r="AB48" s="300">
        <f t="shared" si="12"/>
        <v>0</v>
      </c>
      <c r="AC48" s="300">
        <f t="shared" si="13"/>
        <v>0</v>
      </c>
      <c r="AD48" s="300">
        <f t="shared" si="14"/>
        <v>0</v>
      </c>
      <c r="AE48" s="300">
        <f t="shared" si="15"/>
        <v>0</v>
      </c>
      <c r="AF48" s="300">
        <f t="shared" si="16"/>
        <v>0</v>
      </c>
      <c r="AG48" s="300">
        <f t="shared" si="44"/>
        <v>0</v>
      </c>
      <c r="AH48" s="300">
        <f t="shared" si="45"/>
        <v>0</v>
      </c>
      <c r="AI48" s="545">
        <f t="shared" si="28"/>
        <v>0</v>
      </c>
      <c r="AJ48" s="545">
        <f t="shared" si="17"/>
        <v>-71775.599999999977</v>
      </c>
      <c r="AK48" s="545"/>
      <c r="AL48" s="300">
        <f t="shared" si="46"/>
        <v>314924.09999999998</v>
      </c>
      <c r="AM48" s="449">
        <f t="shared" si="29"/>
        <v>0</v>
      </c>
      <c r="AN48" s="14">
        <f t="shared" si="19"/>
        <v>0</v>
      </c>
      <c r="AO48" s="14">
        <f t="shared" si="50"/>
        <v>236030.18999999997</v>
      </c>
      <c r="AP48" s="14">
        <f t="shared" si="20"/>
        <v>0</v>
      </c>
      <c r="AS48" s="14">
        <f t="shared" si="21"/>
        <v>0</v>
      </c>
      <c r="AT48" s="14">
        <f t="shared" si="31"/>
        <v>0</v>
      </c>
      <c r="AU48" s="300">
        <f t="shared" si="32"/>
        <v>660.07941017307235</v>
      </c>
      <c r="AV48" s="300">
        <f t="shared" si="33"/>
        <v>21543.343479402007</v>
      </c>
    </row>
    <row r="49" spans="1:50" x14ac:dyDescent="0.25">
      <c r="A49" s="535">
        <f t="shared" si="34"/>
        <v>45429</v>
      </c>
      <c r="B49" s="300">
        <f t="shared" si="22"/>
        <v>79205.8</v>
      </c>
      <c r="C49" s="14">
        <f t="shared" si="4"/>
        <v>421.41</v>
      </c>
      <c r="D49" s="14">
        <f t="shared" si="35"/>
        <v>124.39000000000004</v>
      </c>
      <c r="E49" s="14">
        <f t="shared" si="5"/>
        <v>297.02</v>
      </c>
      <c r="I49" s="300">
        <f t="shared" si="47"/>
        <v>4400.0100000000011</v>
      </c>
      <c r="J49" s="300">
        <f t="shared" si="48"/>
        <v>10661.230000000001</v>
      </c>
      <c r="K49" s="300">
        <f t="shared" si="49"/>
        <v>79081.41</v>
      </c>
      <c r="L49" s="449">
        <f t="shared" si="6"/>
        <v>0</v>
      </c>
      <c r="M49" s="449">
        <f t="shared" si="23"/>
        <v>0</v>
      </c>
      <c r="N49" s="300">
        <f t="shared" si="24"/>
        <v>243148.5</v>
      </c>
      <c r="O49" s="300">
        <f t="shared" si="25"/>
        <v>0</v>
      </c>
      <c r="P49" s="300">
        <f t="shared" si="39"/>
        <v>0</v>
      </c>
      <c r="Q49" s="300">
        <f t="shared" si="26"/>
        <v>0</v>
      </c>
      <c r="R49" s="300">
        <f t="shared" si="7"/>
        <v>0</v>
      </c>
      <c r="S49" s="300">
        <f t="shared" si="8"/>
        <v>0</v>
      </c>
      <c r="T49" s="300">
        <f t="shared" si="9"/>
        <v>0</v>
      </c>
      <c r="U49" s="300">
        <f t="shared" si="40"/>
        <v>0</v>
      </c>
      <c r="V49" s="300">
        <f t="shared" si="41"/>
        <v>0</v>
      </c>
      <c r="W49" s="300">
        <f t="shared" si="42"/>
        <v>243148.5</v>
      </c>
      <c r="X49" s="535">
        <f t="shared" si="27"/>
        <v>45429</v>
      </c>
      <c r="Y49" s="300">
        <f t="shared" si="43"/>
        <v>314924.09999999998</v>
      </c>
      <c r="Z49" s="527">
        <f t="shared" si="10"/>
        <v>4.4999999999999998E-2</v>
      </c>
      <c r="AA49" s="300">
        <f t="shared" si="11"/>
        <v>0</v>
      </c>
      <c r="AB49" s="300">
        <f t="shared" si="12"/>
        <v>0</v>
      </c>
      <c r="AC49" s="300">
        <f t="shared" si="13"/>
        <v>0</v>
      </c>
      <c r="AD49" s="300">
        <f t="shared" si="14"/>
        <v>0</v>
      </c>
      <c r="AE49" s="300">
        <f t="shared" si="15"/>
        <v>0</v>
      </c>
      <c r="AF49" s="300">
        <f t="shared" si="16"/>
        <v>0</v>
      </c>
      <c r="AG49" s="300">
        <f t="shared" si="44"/>
        <v>0</v>
      </c>
      <c r="AH49" s="300">
        <f t="shared" si="45"/>
        <v>0</v>
      </c>
      <c r="AI49" s="545">
        <f t="shared" si="28"/>
        <v>0</v>
      </c>
      <c r="AJ49" s="545">
        <f t="shared" si="17"/>
        <v>-71775.599999999977</v>
      </c>
      <c r="AK49" s="545"/>
      <c r="AL49" s="300">
        <f t="shared" si="46"/>
        <v>314924.09999999998</v>
      </c>
      <c r="AM49" s="449">
        <f t="shared" si="29"/>
        <v>0</v>
      </c>
      <c r="AN49" s="14">
        <f t="shared" si="19"/>
        <v>0</v>
      </c>
      <c r="AO49" s="14">
        <f t="shared" si="50"/>
        <v>236154.58</v>
      </c>
      <c r="AP49" s="14">
        <f t="shared" si="20"/>
        <v>0</v>
      </c>
      <c r="AS49" s="14">
        <f t="shared" si="21"/>
        <v>0</v>
      </c>
      <c r="AT49" s="14">
        <f t="shared" si="31"/>
        <v>0</v>
      </c>
      <c r="AU49" s="300">
        <f t="shared" si="32"/>
        <v>661.72960869850499</v>
      </c>
      <c r="AV49" s="300">
        <f t="shared" si="33"/>
        <v>22205.073088100511</v>
      </c>
    </row>
    <row r="50" spans="1:50" ht="15.75" thickBot="1" x14ac:dyDescent="0.3">
      <c r="A50" s="538">
        <f t="shared" si="34"/>
        <v>45459</v>
      </c>
      <c r="B50" s="369">
        <f t="shared" si="22"/>
        <v>79081.41</v>
      </c>
      <c r="C50" s="21">
        <f t="shared" si="4"/>
        <v>421.41</v>
      </c>
      <c r="D50" s="21">
        <f t="shared" si="35"/>
        <v>124.85000000000002</v>
      </c>
      <c r="E50" s="21">
        <f t="shared" si="5"/>
        <v>296.56</v>
      </c>
      <c r="F50" s="21"/>
      <c r="G50" s="21"/>
      <c r="H50" s="21"/>
      <c r="I50" s="369">
        <f t="shared" si="47"/>
        <v>4524.8600000000015</v>
      </c>
      <c r="J50" s="369">
        <f t="shared" si="48"/>
        <v>10957.79</v>
      </c>
      <c r="K50" s="369">
        <f t="shared" si="49"/>
        <v>78956.56</v>
      </c>
      <c r="L50" s="450">
        <f t="shared" si="6"/>
        <v>0</v>
      </c>
      <c r="M50" s="450">
        <f t="shared" si="23"/>
        <v>0</v>
      </c>
      <c r="N50" s="369">
        <f t="shared" si="24"/>
        <v>243148.5</v>
      </c>
      <c r="O50" s="369">
        <f t="shared" si="25"/>
        <v>0</v>
      </c>
      <c r="P50" s="369">
        <f t="shared" si="39"/>
        <v>0</v>
      </c>
      <c r="Q50" s="369">
        <f t="shared" si="26"/>
        <v>0</v>
      </c>
      <c r="R50" s="369">
        <f t="shared" si="7"/>
        <v>0</v>
      </c>
      <c r="S50" s="369">
        <f t="shared" si="8"/>
        <v>0</v>
      </c>
      <c r="T50" s="369">
        <f t="shared" si="9"/>
        <v>0</v>
      </c>
      <c r="U50" s="369">
        <f t="shared" si="40"/>
        <v>0</v>
      </c>
      <c r="V50" s="369">
        <f t="shared" si="41"/>
        <v>0</v>
      </c>
      <c r="W50" s="369">
        <f t="shared" si="42"/>
        <v>243148.5</v>
      </c>
      <c r="X50" s="538">
        <f t="shared" si="27"/>
        <v>45459</v>
      </c>
      <c r="Y50" s="369">
        <f t="shared" si="43"/>
        <v>314924.09999999998</v>
      </c>
      <c r="Z50" s="528">
        <f t="shared" si="10"/>
        <v>4.4999999999999998E-2</v>
      </c>
      <c r="AA50" s="369">
        <f t="shared" si="11"/>
        <v>0</v>
      </c>
      <c r="AB50" s="369">
        <f t="shared" si="12"/>
        <v>0</v>
      </c>
      <c r="AC50" s="369">
        <f t="shared" si="13"/>
        <v>0</v>
      </c>
      <c r="AD50" s="369">
        <f t="shared" si="14"/>
        <v>0</v>
      </c>
      <c r="AE50" s="369">
        <f t="shared" si="15"/>
        <v>0</v>
      </c>
      <c r="AF50" s="369">
        <f t="shared" si="16"/>
        <v>0</v>
      </c>
      <c r="AG50" s="369">
        <f t="shared" si="44"/>
        <v>0</v>
      </c>
      <c r="AH50" s="369">
        <f t="shared" si="45"/>
        <v>0</v>
      </c>
      <c r="AI50" s="546">
        <f t="shared" si="28"/>
        <v>0</v>
      </c>
      <c r="AJ50" s="546">
        <f t="shared" si="17"/>
        <v>-71775.599999999977</v>
      </c>
      <c r="AK50" s="546"/>
      <c r="AL50" s="369">
        <f t="shared" si="46"/>
        <v>314924.09999999998</v>
      </c>
      <c r="AM50" s="450">
        <f t="shared" si="29"/>
        <v>0</v>
      </c>
      <c r="AN50" s="21">
        <f t="shared" si="19"/>
        <v>0</v>
      </c>
      <c r="AO50" s="21">
        <f t="shared" si="50"/>
        <v>236279.43</v>
      </c>
      <c r="AP50" s="21">
        <f t="shared" si="20"/>
        <v>0</v>
      </c>
      <c r="AQ50" s="21"/>
      <c r="AR50" s="23"/>
      <c r="AS50" s="21">
        <f t="shared" si="21"/>
        <v>0</v>
      </c>
      <c r="AT50" s="21">
        <f t="shared" si="31"/>
        <v>0</v>
      </c>
      <c r="AU50" s="369">
        <f t="shared" si="32"/>
        <v>663.38393272025132</v>
      </c>
      <c r="AV50" s="369">
        <f t="shared" si="33"/>
        <v>22868.457020820762</v>
      </c>
    </row>
    <row r="51" spans="1:50" x14ac:dyDescent="0.25">
      <c r="A51" s="535">
        <f t="shared" si="34"/>
        <v>45489</v>
      </c>
      <c r="B51" s="300">
        <f t="shared" si="22"/>
        <v>78956.56</v>
      </c>
      <c r="C51" s="14">
        <f t="shared" si="4"/>
        <v>421.41</v>
      </c>
      <c r="D51" s="14">
        <f t="shared" si="35"/>
        <v>125.32000000000005</v>
      </c>
      <c r="E51" s="14">
        <f t="shared" si="5"/>
        <v>296.08999999999997</v>
      </c>
      <c r="I51" s="300">
        <f t="shared" si="47"/>
        <v>4650.1800000000012</v>
      </c>
      <c r="J51" s="300">
        <f t="shared" si="48"/>
        <v>11253.880000000001</v>
      </c>
      <c r="K51" s="300">
        <f t="shared" si="49"/>
        <v>78831.239999999991</v>
      </c>
      <c r="L51" s="449">
        <f t="shared" si="6"/>
        <v>0</v>
      </c>
      <c r="M51" s="449">
        <f t="shared" si="23"/>
        <v>0</v>
      </c>
      <c r="N51" s="300">
        <f t="shared" si="24"/>
        <v>243148.5</v>
      </c>
      <c r="O51" s="300">
        <f t="shared" si="25"/>
        <v>0</v>
      </c>
      <c r="P51" s="300">
        <f t="shared" si="39"/>
        <v>0</v>
      </c>
      <c r="Q51" s="300">
        <f t="shared" si="26"/>
        <v>0</v>
      </c>
      <c r="R51" s="300">
        <f t="shared" si="7"/>
        <v>0</v>
      </c>
      <c r="S51" s="300">
        <f t="shared" si="8"/>
        <v>0</v>
      </c>
      <c r="T51" s="300">
        <f t="shared" si="9"/>
        <v>0</v>
      </c>
      <c r="U51" s="300">
        <f t="shared" si="40"/>
        <v>0</v>
      </c>
      <c r="V51" s="300">
        <f t="shared" si="41"/>
        <v>0</v>
      </c>
      <c r="W51" s="300">
        <f t="shared" si="42"/>
        <v>243148.5</v>
      </c>
      <c r="X51" s="535">
        <f t="shared" si="27"/>
        <v>45489</v>
      </c>
      <c r="Y51" s="300">
        <f t="shared" si="43"/>
        <v>314924.09999999998</v>
      </c>
      <c r="Z51" s="527">
        <f t="shared" si="10"/>
        <v>4.4999999999999998E-2</v>
      </c>
      <c r="AA51" s="300">
        <f t="shared" si="11"/>
        <v>0</v>
      </c>
      <c r="AB51" s="300">
        <f t="shared" si="12"/>
        <v>0</v>
      </c>
      <c r="AC51" s="300">
        <f t="shared" si="13"/>
        <v>0</v>
      </c>
      <c r="AD51" s="300">
        <f t="shared" si="14"/>
        <v>0</v>
      </c>
      <c r="AE51" s="300">
        <f t="shared" si="15"/>
        <v>0</v>
      </c>
      <c r="AF51" s="300">
        <f t="shared" si="16"/>
        <v>0</v>
      </c>
      <c r="AG51" s="300">
        <f t="shared" si="44"/>
        <v>0</v>
      </c>
      <c r="AH51" s="300">
        <f t="shared" si="45"/>
        <v>0</v>
      </c>
      <c r="AI51" s="545">
        <f t="shared" si="28"/>
        <v>0</v>
      </c>
      <c r="AJ51" s="545">
        <f t="shared" si="17"/>
        <v>-71775.599999999977</v>
      </c>
      <c r="AK51" s="545"/>
      <c r="AL51" s="300">
        <f t="shared" si="46"/>
        <v>314924.09999999998</v>
      </c>
      <c r="AM51" s="449">
        <f t="shared" si="29"/>
        <v>0</v>
      </c>
      <c r="AN51" s="14">
        <f t="shared" si="19"/>
        <v>0</v>
      </c>
      <c r="AO51" s="14">
        <f t="shared" si="50"/>
        <v>236404.74999999997</v>
      </c>
      <c r="AP51" s="14">
        <f t="shared" si="20"/>
        <v>0</v>
      </c>
      <c r="AS51" s="14">
        <f t="shared" si="21"/>
        <v>0</v>
      </c>
      <c r="AT51" s="14">
        <f t="shared" si="31"/>
        <v>0</v>
      </c>
      <c r="AU51" s="300">
        <f t="shared" si="32"/>
        <v>665.04239255205187</v>
      </c>
      <c r="AV51" s="300">
        <f t="shared" si="33"/>
        <v>23533.499413372814</v>
      </c>
    </row>
    <row r="52" spans="1:50" x14ac:dyDescent="0.25">
      <c r="A52" s="535">
        <f t="shared" si="34"/>
        <v>45519</v>
      </c>
      <c r="B52" s="300">
        <f t="shared" si="22"/>
        <v>78831.239999999991</v>
      </c>
      <c r="C52" s="14">
        <f t="shared" si="4"/>
        <v>421.41</v>
      </c>
      <c r="D52" s="14">
        <f t="shared" si="35"/>
        <v>125.79000000000002</v>
      </c>
      <c r="E52" s="14">
        <f t="shared" si="5"/>
        <v>295.62</v>
      </c>
      <c r="I52" s="300">
        <f t="shared" si="47"/>
        <v>4775.9700000000012</v>
      </c>
      <c r="J52" s="300">
        <f t="shared" si="48"/>
        <v>11549.500000000002</v>
      </c>
      <c r="K52" s="300">
        <f t="shared" si="49"/>
        <v>78705.45</v>
      </c>
      <c r="L52" s="449">
        <f t="shared" si="6"/>
        <v>0</v>
      </c>
      <c r="M52" s="449">
        <f t="shared" si="23"/>
        <v>0</v>
      </c>
      <c r="N52" s="300">
        <f t="shared" si="24"/>
        <v>243148.5</v>
      </c>
      <c r="O52" s="300">
        <f t="shared" si="25"/>
        <v>0</v>
      </c>
      <c r="P52" s="300">
        <f t="shared" si="39"/>
        <v>0</v>
      </c>
      <c r="Q52" s="300">
        <f t="shared" si="26"/>
        <v>0</v>
      </c>
      <c r="R52" s="300">
        <f t="shared" si="7"/>
        <v>0</v>
      </c>
      <c r="S52" s="300">
        <f t="shared" si="8"/>
        <v>0</v>
      </c>
      <c r="T52" s="300">
        <f t="shared" si="9"/>
        <v>0</v>
      </c>
      <c r="U52" s="300">
        <f t="shared" si="40"/>
        <v>0</v>
      </c>
      <c r="V52" s="300">
        <f t="shared" si="41"/>
        <v>0</v>
      </c>
      <c r="W52" s="300">
        <f t="shared" si="42"/>
        <v>243148.5</v>
      </c>
      <c r="X52" s="535">
        <f t="shared" si="27"/>
        <v>45519</v>
      </c>
      <c r="Y52" s="300">
        <f t="shared" si="43"/>
        <v>314924.09999999998</v>
      </c>
      <c r="Z52" s="527">
        <f t="shared" si="10"/>
        <v>4.4999999999999998E-2</v>
      </c>
      <c r="AA52" s="300">
        <f t="shared" si="11"/>
        <v>0</v>
      </c>
      <c r="AB52" s="300">
        <f t="shared" si="12"/>
        <v>0</v>
      </c>
      <c r="AC52" s="300">
        <f t="shared" si="13"/>
        <v>0</v>
      </c>
      <c r="AD52" s="300">
        <f t="shared" si="14"/>
        <v>0</v>
      </c>
      <c r="AE52" s="300">
        <f t="shared" si="15"/>
        <v>0</v>
      </c>
      <c r="AF52" s="300">
        <f t="shared" si="16"/>
        <v>0</v>
      </c>
      <c r="AG52" s="300">
        <f t="shared" si="44"/>
        <v>0</v>
      </c>
      <c r="AH52" s="300">
        <f t="shared" si="45"/>
        <v>0</v>
      </c>
      <c r="AI52" s="545">
        <f t="shared" si="28"/>
        <v>0</v>
      </c>
      <c r="AJ52" s="545">
        <f t="shared" si="17"/>
        <v>-71775.599999999977</v>
      </c>
      <c r="AK52" s="545"/>
      <c r="AL52" s="300">
        <f t="shared" si="46"/>
        <v>314924.09999999998</v>
      </c>
      <c r="AM52" s="449">
        <f t="shared" si="29"/>
        <v>0</v>
      </c>
      <c r="AN52" s="14">
        <f t="shared" si="19"/>
        <v>0</v>
      </c>
      <c r="AO52" s="14">
        <f t="shared" si="50"/>
        <v>236530.53999999998</v>
      </c>
      <c r="AP52" s="14">
        <f t="shared" si="20"/>
        <v>0</v>
      </c>
      <c r="AS52" s="14">
        <f t="shared" si="21"/>
        <v>0</v>
      </c>
      <c r="AT52" s="14">
        <f t="shared" si="31"/>
        <v>0</v>
      </c>
      <c r="AU52" s="300">
        <f t="shared" si="32"/>
        <v>666.7049985334321</v>
      </c>
      <c r="AV52" s="300">
        <f t="shared" si="33"/>
        <v>24200.204411906245</v>
      </c>
    </row>
    <row r="53" spans="1:50" x14ac:dyDescent="0.25">
      <c r="A53" s="535">
        <f t="shared" si="34"/>
        <v>45549</v>
      </c>
      <c r="B53" s="300">
        <f t="shared" si="22"/>
        <v>78705.45</v>
      </c>
      <c r="C53" s="14">
        <f t="shared" si="4"/>
        <v>421.41</v>
      </c>
      <c r="D53" s="14">
        <f t="shared" si="35"/>
        <v>126.26000000000005</v>
      </c>
      <c r="E53" s="14">
        <f t="shared" si="5"/>
        <v>295.14999999999998</v>
      </c>
      <c r="I53" s="300">
        <f t="shared" si="47"/>
        <v>4902.2300000000014</v>
      </c>
      <c r="J53" s="300">
        <f t="shared" si="48"/>
        <v>11844.650000000001</v>
      </c>
      <c r="K53" s="300">
        <f t="shared" si="49"/>
        <v>78579.19</v>
      </c>
      <c r="L53" s="449">
        <f t="shared" si="6"/>
        <v>0</v>
      </c>
      <c r="M53" s="449">
        <f t="shared" si="23"/>
        <v>0</v>
      </c>
      <c r="N53" s="300">
        <f t="shared" si="24"/>
        <v>243148.5</v>
      </c>
      <c r="O53" s="300">
        <f t="shared" si="25"/>
        <v>0</v>
      </c>
      <c r="P53" s="300">
        <f t="shared" si="39"/>
        <v>0</v>
      </c>
      <c r="Q53" s="300">
        <f t="shared" si="26"/>
        <v>0</v>
      </c>
      <c r="R53" s="300">
        <f t="shared" si="7"/>
        <v>0</v>
      </c>
      <c r="S53" s="300">
        <f t="shared" si="8"/>
        <v>0</v>
      </c>
      <c r="T53" s="300">
        <f t="shared" si="9"/>
        <v>0</v>
      </c>
      <c r="U53" s="300">
        <f t="shared" si="40"/>
        <v>0</v>
      </c>
      <c r="V53" s="300">
        <f t="shared" si="41"/>
        <v>0</v>
      </c>
      <c r="W53" s="300">
        <f t="shared" si="42"/>
        <v>243148.5</v>
      </c>
      <c r="X53" s="535">
        <f t="shared" si="27"/>
        <v>45549</v>
      </c>
      <c r="Y53" s="300">
        <f t="shared" si="43"/>
        <v>314924.09999999998</v>
      </c>
      <c r="Z53" s="527">
        <f t="shared" si="10"/>
        <v>4.4999999999999998E-2</v>
      </c>
      <c r="AA53" s="300">
        <f t="shared" si="11"/>
        <v>0</v>
      </c>
      <c r="AB53" s="300">
        <f t="shared" si="12"/>
        <v>0</v>
      </c>
      <c r="AC53" s="300">
        <f t="shared" si="13"/>
        <v>0</v>
      </c>
      <c r="AD53" s="300">
        <f t="shared" si="14"/>
        <v>0</v>
      </c>
      <c r="AE53" s="300">
        <f t="shared" si="15"/>
        <v>0</v>
      </c>
      <c r="AF53" s="300">
        <f t="shared" si="16"/>
        <v>0</v>
      </c>
      <c r="AG53" s="300">
        <f t="shared" si="44"/>
        <v>0</v>
      </c>
      <c r="AH53" s="300">
        <f t="shared" si="45"/>
        <v>0</v>
      </c>
      <c r="AI53" s="545">
        <f t="shared" si="28"/>
        <v>0</v>
      </c>
      <c r="AJ53" s="545">
        <f t="shared" si="17"/>
        <v>-71775.599999999977</v>
      </c>
      <c r="AK53" s="545"/>
      <c r="AL53" s="300">
        <f t="shared" si="46"/>
        <v>314924.09999999998</v>
      </c>
      <c r="AM53" s="449">
        <f t="shared" si="29"/>
        <v>0</v>
      </c>
      <c r="AN53" s="14">
        <f t="shared" si="19"/>
        <v>0</v>
      </c>
      <c r="AO53" s="14">
        <f t="shared" si="50"/>
        <v>236656.8</v>
      </c>
      <c r="AP53" s="14">
        <f t="shared" si="20"/>
        <v>0</v>
      </c>
      <c r="AS53" s="14">
        <f t="shared" si="21"/>
        <v>0</v>
      </c>
      <c r="AT53" s="14">
        <f t="shared" si="31"/>
        <v>0</v>
      </c>
      <c r="AU53" s="300">
        <f t="shared" si="32"/>
        <v>668.37176102976559</v>
      </c>
      <c r="AV53" s="300">
        <f t="shared" si="33"/>
        <v>24868.576172936009</v>
      </c>
    </row>
    <row r="54" spans="1:50" x14ac:dyDescent="0.25">
      <c r="A54" s="535">
        <f t="shared" si="34"/>
        <v>45579</v>
      </c>
      <c r="B54" s="300">
        <f t="shared" si="22"/>
        <v>78579.19</v>
      </c>
      <c r="C54" s="14">
        <f t="shared" si="4"/>
        <v>421.41</v>
      </c>
      <c r="D54" s="14">
        <f t="shared" si="35"/>
        <v>126.74000000000001</v>
      </c>
      <c r="E54" s="14">
        <f t="shared" si="5"/>
        <v>294.67</v>
      </c>
      <c r="I54" s="300">
        <f t="shared" si="47"/>
        <v>5028.9700000000012</v>
      </c>
      <c r="J54" s="300">
        <f t="shared" si="48"/>
        <v>12139.320000000002</v>
      </c>
      <c r="K54" s="300">
        <f t="shared" si="49"/>
        <v>78452.45</v>
      </c>
      <c r="L54" s="449">
        <f t="shared" si="6"/>
        <v>0</v>
      </c>
      <c r="M54" s="449">
        <f t="shared" si="23"/>
        <v>0</v>
      </c>
      <c r="N54" s="300">
        <f t="shared" si="24"/>
        <v>243148.5</v>
      </c>
      <c r="O54" s="300">
        <f t="shared" si="25"/>
        <v>0</v>
      </c>
      <c r="P54" s="300">
        <f t="shared" si="39"/>
        <v>0</v>
      </c>
      <c r="Q54" s="300">
        <f t="shared" si="26"/>
        <v>0</v>
      </c>
      <c r="R54" s="300">
        <f t="shared" si="7"/>
        <v>0</v>
      </c>
      <c r="S54" s="300">
        <f t="shared" si="8"/>
        <v>0</v>
      </c>
      <c r="T54" s="300">
        <f t="shared" si="9"/>
        <v>0</v>
      </c>
      <c r="U54" s="300">
        <f t="shared" si="40"/>
        <v>0</v>
      </c>
      <c r="V54" s="300">
        <f t="shared" si="41"/>
        <v>0</v>
      </c>
      <c r="W54" s="300">
        <f t="shared" si="42"/>
        <v>243148.5</v>
      </c>
      <c r="X54" s="535">
        <f t="shared" si="27"/>
        <v>45579</v>
      </c>
      <c r="Y54" s="300">
        <f t="shared" si="43"/>
        <v>314924.09999999998</v>
      </c>
      <c r="Z54" s="527">
        <f t="shared" si="10"/>
        <v>4.4999999999999998E-2</v>
      </c>
      <c r="AA54" s="300">
        <f t="shared" si="11"/>
        <v>0</v>
      </c>
      <c r="AB54" s="300">
        <f t="shared" si="12"/>
        <v>0</v>
      </c>
      <c r="AC54" s="300">
        <f t="shared" si="13"/>
        <v>0</v>
      </c>
      <c r="AD54" s="300">
        <f t="shared" si="14"/>
        <v>0</v>
      </c>
      <c r="AE54" s="300">
        <f t="shared" si="15"/>
        <v>0</v>
      </c>
      <c r="AF54" s="300">
        <f t="shared" si="16"/>
        <v>0</v>
      </c>
      <c r="AG54" s="300">
        <f t="shared" si="44"/>
        <v>0</v>
      </c>
      <c r="AH54" s="300">
        <f t="shared" si="45"/>
        <v>0</v>
      </c>
      <c r="AI54" s="545">
        <f t="shared" si="28"/>
        <v>0</v>
      </c>
      <c r="AJ54" s="545">
        <f t="shared" si="17"/>
        <v>-71775.599999999977</v>
      </c>
      <c r="AK54" s="545"/>
      <c r="AL54" s="300">
        <f t="shared" si="46"/>
        <v>314924.09999999998</v>
      </c>
      <c r="AM54" s="449">
        <f t="shared" si="29"/>
        <v>0</v>
      </c>
      <c r="AN54" s="14">
        <f t="shared" si="19"/>
        <v>0</v>
      </c>
      <c r="AO54" s="14">
        <f t="shared" si="50"/>
        <v>236783.53999999998</v>
      </c>
      <c r="AP54" s="14">
        <f t="shared" si="20"/>
        <v>0</v>
      </c>
      <c r="AS54" s="14">
        <f t="shared" si="21"/>
        <v>0</v>
      </c>
      <c r="AT54" s="14">
        <f t="shared" si="31"/>
        <v>0</v>
      </c>
      <c r="AU54" s="300">
        <f t="shared" si="32"/>
        <v>670.04269043234001</v>
      </c>
      <c r="AV54" s="300">
        <f t="shared" si="33"/>
        <v>25538.618863368349</v>
      </c>
    </row>
    <row r="55" spans="1:50" x14ac:dyDescent="0.25">
      <c r="A55" s="535">
        <f t="shared" si="34"/>
        <v>45609</v>
      </c>
      <c r="B55" s="300">
        <f t="shared" si="22"/>
        <v>78452.45</v>
      </c>
      <c r="C55" s="14">
        <f t="shared" si="4"/>
        <v>421.41</v>
      </c>
      <c r="D55" s="14">
        <f t="shared" si="35"/>
        <v>127.21000000000004</v>
      </c>
      <c r="E55" s="14">
        <f t="shared" si="5"/>
        <v>294.2</v>
      </c>
      <c r="I55" s="300">
        <f t="shared" si="47"/>
        <v>5156.1800000000012</v>
      </c>
      <c r="J55" s="300">
        <f t="shared" si="48"/>
        <v>12433.520000000002</v>
      </c>
      <c r="K55" s="300">
        <f t="shared" si="49"/>
        <v>78325.239999999991</v>
      </c>
      <c r="L55" s="449">
        <f t="shared" si="6"/>
        <v>0</v>
      </c>
      <c r="M55" s="449">
        <f t="shared" si="23"/>
        <v>0</v>
      </c>
      <c r="N55" s="300">
        <f t="shared" si="24"/>
        <v>243148.5</v>
      </c>
      <c r="O55" s="300">
        <f t="shared" si="25"/>
        <v>0</v>
      </c>
      <c r="P55" s="300">
        <f t="shared" si="39"/>
        <v>0</v>
      </c>
      <c r="Q55" s="300">
        <f t="shared" si="26"/>
        <v>0</v>
      </c>
      <c r="R55" s="300">
        <f t="shared" si="7"/>
        <v>0</v>
      </c>
      <c r="S55" s="300">
        <f t="shared" si="8"/>
        <v>0</v>
      </c>
      <c r="T55" s="300">
        <f t="shared" si="9"/>
        <v>0</v>
      </c>
      <c r="U55" s="300">
        <f t="shared" si="40"/>
        <v>0</v>
      </c>
      <c r="V55" s="300">
        <f t="shared" si="41"/>
        <v>0</v>
      </c>
      <c r="W55" s="300">
        <f t="shared" si="42"/>
        <v>243148.5</v>
      </c>
      <c r="X55" s="535">
        <f t="shared" si="27"/>
        <v>45609</v>
      </c>
      <c r="Y55" s="300">
        <f t="shared" si="43"/>
        <v>314924.09999999998</v>
      </c>
      <c r="Z55" s="527">
        <f t="shared" si="10"/>
        <v>4.4999999999999998E-2</v>
      </c>
      <c r="AA55" s="300">
        <f t="shared" si="11"/>
        <v>0</v>
      </c>
      <c r="AB55" s="300">
        <f t="shared" si="12"/>
        <v>0</v>
      </c>
      <c r="AC55" s="300">
        <f t="shared" si="13"/>
        <v>0</v>
      </c>
      <c r="AD55" s="300">
        <f t="shared" si="14"/>
        <v>0</v>
      </c>
      <c r="AE55" s="300">
        <f t="shared" si="15"/>
        <v>0</v>
      </c>
      <c r="AF55" s="300">
        <f t="shared" si="16"/>
        <v>0</v>
      </c>
      <c r="AG55" s="300">
        <f t="shared" si="44"/>
        <v>0</v>
      </c>
      <c r="AH55" s="300">
        <f t="shared" si="45"/>
        <v>0</v>
      </c>
      <c r="AI55" s="545">
        <f t="shared" si="28"/>
        <v>0</v>
      </c>
      <c r="AJ55" s="545">
        <f t="shared" si="17"/>
        <v>-71775.599999999977</v>
      </c>
      <c r="AK55" s="545"/>
      <c r="AL55" s="300">
        <f t="shared" si="46"/>
        <v>314924.09999999998</v>
      </c>
      <c r="AM55" s="449">
        <f t="shared" si="29"/>
        <v>0</v>
      </c>
      <c r="AN55" s="14">
        <f t="shared" si="19"/>
        <v>0</v>
      </c>
      <c r="AO55" s="14">
        <f t="shared" si="50"/>
        <v>236910.74999999997</v>
      </c>
      <c r="AP55" s="14">
        <f t="shared" si="20"/>
        <v>0</v>
      </c>
      <c r="AS55" s="14">
        <f t="shared" si="21"/>
        <v>0</v>
      </c>
      <c r="AT55" s="14">
        <f t="shared" si="31"/>
        <v>0</v>
      </c>
      <c r="AU55" s="300">
        <f t="shared" si="32"/>
        <v>671.71779715842092</v>
      </c>
      <c r="AV55" s="300">
        <f t="shared" si="33"/>
        <v>26210.336660526769</v>
      </c>
    </row>
    <row r="56" spans="1:50" x14ac:dyDescent="0.25">
      <c r="A56" s="535">
        <f t="shared" si="34"/>
        <v>45639</v>
      </c>
      <c r="B56" s="300">
        <f t="shared" si="22"/>
        <v>78325.239999999991</v>
      </c>
      <c r="C56" s="14">
        <f t="shared" si="4"/>
        <v>421.41</v>
      </c>
      <c r="D56" s="14">
        <f t="shared" si="35"/>
        <v>127.69</v>
      </c>
      <c r="E56" s="14">
        <f t="shared" si="5"/>
        <v>293.72000000000003</v>
      </c>
      <c r="I56" s="300">
        <f t="shared" si="47"/>
        <v>5283.8700000000008</v>
      </c>
      <c r="J56" s="300">
        <f t="shared" si="48"/>
        <v>12727.240000000002</v>
      </c>
      <c r="K56" s="300">
        <f t="shared" si="49"/>
        <v>78197.549999999988</v>
      </c>
      <c r="L56" s="449">
        <f t="shared" si="6"/>
        <v>0</v>
      </c>
      <c r="M56" s="449">
        <f t="shared" si="23"/>
        <v>0</v>
      </c>
      <c r="N56" s="300">
        <f t="shared" si="24"/>
        <v>243148.5</v>
      </c>
      <c r="O56" s="300">
        <f t="shared" si="25"/>
        <v>0</v>
      </c>
      <c r="P56" s="300">
        <f t="shared" si="39"/>
        <v>0</v>
      </c>
      <c r="Q56" s="300">
        <f t="shared" si="26"/>
        <v>0</v>
      </c>
      <c r="R56" s="300">
        <f t="shared" si="7"/>
        <v>0</v>
      </c>
      <c r="S56" s="300">
        <f t="shared" si="8"/>
        <v>0</v>
      </c>
      <c r="T56" s="300">
        <f t="shared" si="9"/>
        <v>0</v>
      </c>
      <c r="U56" s="300">
        <f t="shared" si="40"/>
        <v>0</v>
      </c>
      <c r="V56" s="300">
        <f t="shared" si="41"/>
        <v>0</v>
      </c>
      <c r="W56" s="300">
        <f t="shared" si="42"/>
        <v>243148.5</v>
      </c>
      <c r="X56" s="535">
        <f t="shared" si="27"/>
        <v>45639</v>
      </c>
      <c r="Y56" s="300">
        <f t="shared" si="43"/>
        <v>314924.09999999998</v>
      </c>
      <c r="Z56" s="527">
        <f t="shared" si="10"/>
        <v>4.4999999999999998E-2</v>
      </c>
      <c r="AA56" s="300">
        <f t="shared" si="11"/>
        <v>0</v>
      </c>
      <c r="AB56" s="300">
        <f t="shared" si="12"/>
        <v>0</v>
      </c>
      <c r="AC56" s="300">
        <f t="shared" si="13"/>
        <v>0</v>
      </c>
      <c r="AD56" s="300">
        <f t="shared" si="14"/>
        <v>0</v>
      </c>
      <c r="AE56" s="300">
        <f t="shared" si="15"/>
        <v>0</v>
      </c>
      <c r="AF56" s="300">
        <f t="shared" si="16"/>
        <v>0</v>
      </c>
      <c r="AG56" s="300">
        <f t="shared" si="44"/>
        <v>0</v>
      </c>
      <c r="AH56" s="300">
        <f t="shared" si="45"/>
        <v>0</v>
      </c>
      <c r="AI56" s="545">
        <f t="shared" si="28"/>
        <v>0</v>
      </c>
      <c r="AJ56" s="545">
        <f t="shared" si="17"/>
        <v>-71775.599999999977</v>
      </c>
      <c r="AK56" s="545"/>
      <c r="AL56" s="300">
        <f t="shared" si="46"/>
        <v>314924.09999999998</v>
      </c>
      <c r="AM56" s="449">
        <f t="shared" si="29"/>
        <v>0</v>
      </c>
      <c r="AN56" s="14">
        <f t="shared" si="19"/>
        <v>0</v>
      </c>
      <c r="AO56" s="14">
        <f t="shared" si="50"/>
        <v>237038.43999999997</v>
      </c>
      <c r="AP56" s="14">
        <f t="shared" si="20"/>
        <v>0</v>
      </c>
      <c r="AS56" s="14">
        <f t="shared" si="21"/>
        <v>0</v>
      </c>
      <c r="AT56" s="14">
        <f t="shared" si="31"/>
        <v>0</v>
      </c>
      <c r="AU56" s="300">
        <f t="shared" si="32"/>
        <v>673.39709165131683</v>
      </c>
      <c r="AV56" s="300">
        <f t="shared" si="33"/>
        <v>26883.733752178086</v>
      </c>
    </row>
    <row r="57" spans="1:50" x14ac:dyDescent="0.25">
      <c r="A57" s="535">
        <f t="shared" si="34"/>
        <v>45669</v>
      </c>
      <c r="B57" s="300">
        <f t="shared" si="22"/>
        <v>78197.549999999988</v>
      </c>
      <c r="C57" s="14">
        <f t="shared" si="4"/>
        <v>421.41</v>
      </c>
      <c r="D57" s="14">
        <f t="shared" si="35"/>
        <v>128.17000000000002</v>
      </c>
      <c r="E57" s="14">
        <f t="shared" si="5"/>
        <v>293.24</v>
      </c>
      <c r="F57" s="14">
        <f>IF(C57=0,0,$T$8)</f>
        <v>134.16999999999999</v>
      </c>
      <c r="G57" s="14">
        <f>IF(D57=0,0,$T$9)</f>
        <v>188.55</v>
      </c>
      <c r="H57" s="14">
        <f>SUM(D57:G57)</f>
        <v>744.13000000000011</v>
      </c>
      <c r="I57" s="300">
        <f t="shared" si="47"/>
        <v>5412.0400000000009</v>
      </c>
      <c r="J57" s="300">
        <f t="shared" si="48"/>
        <v>13020.480000000001</v>
      </c>
      <c r="K57" s="300">
        <f t="shared" si="49"/>
        <v>78069.37999999999</v>
      </c>
      <c r="L57" s="449">
        <f t="shared" si="6"/>
        <v>0</v>
      </c>
      <c r="M57" s="449">
        <f t="shared" si="23"/>
        <v>0</v>
      </c>
      <c r="N57" s="300">
        <f t="shared" si="24"/>
        <v>243148.5</v>
      </c>
      <c r="O57" s="300">
        <f t="shared" si="25"/>
        <v>0</v>
      </c>
      <c r="P57" s="300">
        <f t="shared" si="39"/>
        <v>0</v>
      </c>
      <c r="Q57" s="300">
        <f t="shared" si="26"/>
        <v>0</v>
      </c>
      <c r="R57" s="300">
        <f t="shared" si="7"/>
        <v>0</v>
      </c>
      <c r="S57" s="300">
        <f t="shared" si="8"/>
        <v>0</v>
      </c>
      <c r="T57" s="300">
        <f t="shared" si="9"/>
        <v>0</v>
      </c>
      <c r="U57" s="300">
        <f t="shared" si="40"/>
        <v>0</v>
      </c>
      <c r="V57" s="300">
        <f t="shared" si="41"/>
        <v>0</v>
      </c>
      <c r="W57" s="300">
        <f t="shared" si="42"/>
        <v>243148.5</v>
      </c>
      <c r="X57" s="535">
        <f t="shared" si="27"/>
        <v>45669</v>
      </c>
      <c r="Y57" s="300">
        <f t="shared" si="43"/>
        <v>314924.09999999998</v>
      </c>
      <c r="Z57" s="527">
        <f t="shared" si="10"/>
        <v>4.4999999999999998E-2</v>
      </c>
      <c r="AA57" s="300">
        <f t="shared" si="11"/>
        <v>0</v>
      </c>
      <c r="AB57" s="300">
        <f t="shared" si="12"/>
        <v>0</v>
      </c>
      <c r="AC57" s="300">
        <f t="shared" si="13"/>
        <v>0</v>
      </c>
      <c r="AD57" s="300">
        <f t="shared" si="14"/>
        <v>0</v>
      </c>
      <c r="AE57" s="300">
        <f t="shared" si="15"/>
        <v>0</v>
      </c>
      <c r="AF57" s="300">
        <f t="shared" si="16"/>
        <v>0</v>
      </c>
      <c r="AG57" s="300">
        <f t="shared" si="44"/>
        <v>0</v>
      </c>
      <c r="AH57" s="300">
        <f t="shared" si="45"/>
        <v>0</v>
      </c>
      <c r="AI57" s="545">
        <f t="shared" si="28"/>
        <v>0</v>
      </c>
      <c r="AJ57" s="545">
        <f t="shared" si="17"/>
        <v>-71775.599999999977</v>
      </c>
      <c r="AK57" s="545"/>
      <c r="AL57" s="300">
        <f t="shared" si="46"/>
        <v>314924.09999999998</v>
      </c>
      <c r="AM57" s="449">
        <f t="shared" si="29"/>
        <v>0</v>
      </c>
      <c r="AN57" s="14">
        <f t="shared" si="19"/>
        <v>0</v>
      </c>
      <c r="AO57" s="14">
        <f t="shared" si="50"/>
        <v>237166.61</v>
      </c>
      <c r="AP57" s="14">
        <f t="shared" si="20"/>
        <v>0</v>
      </c>
      <c r="AS57" s="14">
        <f t="shared" si="21"/>
        <v>0</v>
      </c>
      <c r="AT57" s="14">
        <f t="shared" si="31"/>
        <v>0</v>
      </c>
      <c r="AU57" s="300">
        <f t="shared" si="32"/>
        <v>675.0805843804452</v>
      </c>
      <c r="AV57" s="300">
        <f t="shared" si="33"/>
        <v>27558.814336558531</v>
      </c>
    </row>
    <row r="58" spans="1:50" x14ac:dyDescent="0.25">
      <c r="A58" s="535">
        <f t="shared" si="34"/>
        <v>45699</v>
      </c>
      <c r="B58" s="300">
        <f t="shared" si="22"/>
        <v>78069.37999999999</v>
      </c>
      <c r="C58" s="14">
        <f t="shared" si="4"/>
        <v>421.41</v>
      </c>
      <c r="D58" s="14">
        <f t="shared" si="35"/>
        <v>128.65000000000003</v>
      </c>
      <c r="E58" s="14">
        <f t="shared" si="5"/>
        <v>292.76</v>
      </c>
      <c r="F58" s="14">
        <f t="shared" ref="F58:F122" si="51">+F57</f>
        <v>134.16999999999999</v>
      </c>
      <c r="G58" s="14">
        <f t="shared" ref="G58:G121" si="52">+G57</f>
        <v>188.55</v>
      </c>
      <c r="H58" s="14">
        <f t="shared" ref="H58" si="53">+H57</f>
        <v>744.13000000000011</v>
      </c>
      <c r="I58" s="300">
        <f t="shared" si="47"/>
        <v>5540.6900000000005</v>
      </c>
      <c r="J58" s="300">
        <f t="shared" si="48"/>
        <v>13313.240000000002</v>
      </c>
      <c r="K58" s="300">
        <f t="shared" si="49"/>
        <v>77940.73</v>
      </c>
      <c r="L58" s="449">
        <f t="shared" si="6"/>
        <v>0</v>
      </c>
      <c r="M58" s="449">
        <f t="shared" si="23"/>
        <v>0</v>
      </c>
      <c r="N58" s="300">
        <f t="shared" si="24"/>
        <v>243148.5</v>
      </c>
      <c r="O58" s="300">
        <f>IF($O$9&lt;=$A58,IF(+$W57&lt;=0,0,$O$8),0)</f>
        <v>0</v>
      </c>
      <c r="P58" s="300">
        <f t="shared" si="39"/>
        <v>0</v>
      </c>
      <c r="Q58" s="300">
        <f t="shared" si="26"/>
        <v>0</v>
      </c>
      <c r="R58" s="300">
        <f t="shared" si="7"/>
        <v>0</v>
      </c>
      <c r="S58" s="300">
        <f t="shared" si="8"/>
        <v>0</v>
      </c>
      <c r="T58" s="300">
        <f>SUM(P58:S58)</f>
        <v>0</v>
      </c>
      <c r="U58" s="300">
        <f t="shared" si="40"/>
        <v>0</v>
      </c>
      <c r="V58" s="300">
        <f t="shared" si="41"/>
        <v>0</v>
      </c>
      <c r="W58" s="300">
        <f t="shared" si="42"/>
        <v>243148.5</v>
      </c>
      <c r="X58" s="535">
        <f t="shared" si="27"/>
        <v>45699</v>
      </c>
      <c r="Y58" s="300">
        <f t="shared" si="43"/>
        <v>314924.09999999998</v>
      </c>
      <c r="Z58" s="527">
        <f t="shared" si="10"/>
        <v>4.4999999999999998E-2</v>
      </c>
      <c r="AA58" s="300">
        <f t="shared" si="11"/>
        <v>0</v>
      </c>
      <c r="AB58" s="300">
        <f t="shared" si="12"/>
        <v>0</v>
      </c>
      <c r="AC58" s="300">
        <f t="shared" si="13"/>
        <v>0</v>
      </c>
      <c r="AD58" s="300">
        <f t="shared" si="14"/>
        <v>0</v>
      </c>
      <c r="AE58" s="300">
        <f t="shared" si="15"/>
        <v>0</v>
      </c>
      <c r="AF58" s="300">
        <f t="shared" si="16"/>
        <v>0</v>
      </c>
      <c r="AG58" s="300">
        <f t="shared" si="44"/>
        <v>0</v>
      </c>
      <c r="AH58" s="300">
        <f t="shared" si="45"/>
        <v>0</v>
      </c>
      <c r="AI58" s="545">
        <f t="shared" si="28"/>
        <v>0</v>
      </c>
      <c r="AJ58" s="545">
        <f t="shared" si="17"/>
        <v>-71775.599999999977</v>
      </c>
      <c r="AK58" s="545"/>
      <c r="AL58" s="300">
        <f t="shared" si="46"/>
        <v>314924.09999999998</v>
      </c>
      <c r="AM58" s="449">
        <f t="shared" si="29"/>
        <v>0</v>
      </c>
      <c r="AN58" s="14">
        <f t="shared" si="19"/>
        <v>0</v>
      </c>
      <c r="AO58" s="14">
        <f t="shared" si="50"/>
        <v>237295.25999999998</v>
      </c>
      <c r="AP58" s="14">
        <f t="shared" si="20"/>
        <v>0</v>
      </c>
      <c r="AS58" s="14">
        <f t="shared" si="21"/>
        <v>0</v>
      </c>
      <c r="AT58" s="14">
        <f t="shared" si="31"/>
        <v>0</v>
      </c>
      <c r="AU58" s="300">
        <f t="shared" si="32"/>
        <v>676.76828584139628</v>
      </c>
      <c r="AV58" s="300">
        <f t="shared" si="33"/>
        <v>28235.582622399928</v>
      </c>
    </row>
    <row r="59" spans="1:50" x14ac:dyDescent="0.25">
      <c r="A59" s="535">
        <f t="shared" si="34"/>
        <v>45729</v>
      </c>
      <c r="B59" s="300">
        <f t="shared" si="22"/>
        <v>77940.73</v>
      </c>
      <c r="C59" s="14">
        <f t="shared" si="4"/>
        <v>421.41</v>
      </c>
      <c r="D59" s="14">
        <f t="shared" si="35"/>
        <v>129.13000000000005</v>
      </c>
      <c r="E59" s="14">
        <f t="shared" si="5"/>
        <v>292.27999999999997</v>
      </c>
      <c r="F59" s="14">
        <f t="shared" si="51"/>
        <v>134.16999999999999</v>
      </c>
      <c r="G59" s="14">
        <f t="shared" si="52"/>
        <v>188.55</v>
      </c>
      <c r="H59" s="14">
        <f t="shared" ref="H59:H121" si="54">SUM(D59:G59)</f>
        <v>744.13000000000011</v>
      </c>
      <c r="I59" s="300">
        <f t="shared" si="47"/>
        <v>5669.8200000000006</v>
      </c>
      <c r="J59" s="300">
        <f t="shared" si="48"/>
        <v>13605.520000000002</v>
      </c>
      <c r="K59" s="300">
        <f t="shared" si="49"/>
        <v>77811.599999999991</v>
      </c>
      <c r="L59" s="449">
        <f t="shared" si="6"/>
        <v>0</v>
      </c>
      <c r="M59" s="449">
        <f t="shared" si="23"/>
        <v>0</v>
      </c>
      <c r="N59" s="300">
        <f t="shared" si="24"/>
        <v>243148.5</v>
      </c>
      <c r="O59" s="300">
        <f>IF($O$9&lt;=A59,IF(+$W58&lt;=0,0,$O$8),0)</f>
        <v>1617.67</v>
      </c>
      <c r="P59" s="300">
        <f t="shared" si="39"/>
        <v>199.30000000000018</v>
      </c>
      <c r="Q59" s="300">
        <f t="shared" si="26"/>
        <v>1418.37</v>
      </c>
      <c r="R59" s="300">
        <f t="shared" si="7"/>
        <v>134.16999999999999</v>
      </c>
      <c r="S59" s="300">
        <f t="shared" si="8"/>
        <v>188.55</v>
      </c>
      <c r="T59" s="300">
        <f t="shared" ref="T59" si="55">SUM(P59:S59)</f>
        <v>1940.39</v>
      </c>
      <c r="U59" s="300">
        <f t="shared" si="40"/>
        <v>199.30000000000018</v>
      </c>
      <c r="V59" s="300">
        <f t="shared" si="41"/>
        <v>1418.37</v>
      </c>
      <c r="W59" s="300">
        <f t="shared" si="42"/>
        <v>242949.2</v>
      </c>
      <c r="X59" s="535">
        <f t="shared" si="27"/>
        <v>45729</v>
      </c>
      <c r="Y59" s="300">
        <f>IF(+AL58&lt;0,0,+AL58)</f>
        <v>314924.09999999998</v>
      </c>
      <c r="Z59" s="527">
        <f t="shared" si="10"/>
        <v>4.4999999999999998E-2</v>
      </c>
      <c r="AA59" s="300">
        <f t="shared" si="11"/>
        <v>1595.67</v>
      </c>
      <c r="AB59" s="300">
        <f t="shared" ref="AB59:AB60" si="56">+AA59-AC59</f>
        <v>414.70000000000005</v>
      </c>
      <c r="AC59" s="300">
        <f t="shared" si="13"/>
        <v>1180.97</v>
      </c>
      <c r="AD59" s="300">
        <f t="shared" si="14"/>
        <v>134.16999999999999</v>
      </c>
      <c r="AE59" s="300">
        <f t="shared" si="15"/>
        <v>188.55</v>
      </c>
      <c r="AF59" s="300">
        <f t="shared" si="16"/>
        <v>1918.39</v>
      </c>
      <c r="AG59" s="300">
        <f t="shared" ref="AG59" si="57">+AB59+AG58</f>
        <v>414.70000000000005</v>
      </c>
      <c r="AH59" s="300">
        <f t="shared" ref="AH59" si="58">+AH58+AC59</f>
        <v>1180.97</v>
      </c>
      <c r="AI59" s="545">
        <f>O59-AA59+AI58</f>
        <v>22</v>
      </c>
      <c r="AJ59" s="545">
        <f t="shared" si="17"/>
        <v>-71560.199999999953</v>
      </c>
      <c r="AK59" s="545">
        <f>SUM(AI59:AJ59)</f>
        <v>-71538.199999999953</v>
      </c>
      <c r="AL59" s="300">
        <f>+Y59-AB59</f>
        <v>314509.39999999997</v>
      </c>
      <c r="AM59" s="449">
        <f t="shared" si="29"/>
        <v>0</v>
      </c>
      <c r="AN59" s="14">
        <f>IF($O59=0,0,+$O59-$C59)</f>
        <v>1196.26</v>
      </c>
      <c r="AO59" s="14">
        <f t="shared" si="50"/>
        <v>237225.09</v>
      </c>
      <c r="AP59" s="14">
        <f>IF($O59=0,0,+AA59-$C59)</f>
        <v>1174.26</v>
      </c>
      <c r="AR59">
        <v>120.14</v>
      </c>
      <c r="AS59" s="14">
        <f t="shared" si="21"/>
        <v>1076.1199999999999</v>
      </c>
      <c r="AT59" s="14">
        <f t="shared" si="31"/>
        <v>1076.1199999999999</v>
      </c>
      <c r="AU59" s="300">
        <f t="shared" si="32"/>
        <v>678.46020655599966</v>
      </c>
      <c r="AV59" s="300">
        <f t="shared" si="33"/>
        <v>28914.042828955928</v>
      </c>
      <c r="AX59" s="510"/>
    </row>
    <row r="60" spans="1:50" x14ac:dyDescent="0.25">
      <c r="A60" s="535">
        <f t="shared" si="34"/>
        <v>45759</v>
      </c>
      <c r="B60" s="300">
        <f t="shared" si="22"/>
        <v>77811.599999999991</v>
      </c>
      <c r="C60" s="14">
        <f t="shared" si="4"/>
        <v>421.41</v>
      </c>
      <c r="D60" s="14">
        <f t="shared" si="35"/>
        <v>129.62</v>
      </c>
      <c r="E60" s="14">
        <f t="shared" si="5"/>
        <v>291.79000000000002</v>
      </c>
      <c r="F60" s="14">
        <f t="shared" si="51"/>
        <v>134.16999999999999</v>
      </c>
      <c r="G60" s="14">
        <f t="shared" si="52"/>
        <v>188.55</v>
      </c>
      <c r="H60" s="14">
        <f t="shared" si="54"/>
        <v>744.13000000000011</v>
      </c>
      <c r="I60" s="300">
        <f t="shared" si="47"/>
        <v>5799.4400000000005</v>
      </c>
      <c r="J60" s="300">
        <f t="shared" si="48"/>
        <v>13897.310000000003</v>
      </c>
      <c r="K60" s="300">
        <f t="shared" si="49"/>
        <v>77681.98</v>
      </c>
      <c r="L60" s="449">
        <f t="shared" si="6"/>
        <v>0</v>
      </c>
      <c r="M60" s="449">
        <f t="shared" si="23"/>
        <v>1</v>
      </c>
      <c r="N60" s="300">
        <f t="shared" si="24"/>
        <v>242949.2</v>
      </c>
      <c r="O60" s="300">
        <f>IF($O$9&lt;=A60,IF(+$W59&lt;=0,0,$O$8),0)</f>
        <v>1617.67</v>
      </c>
      <c r="P60" s="300">
        <f t="shared" si="39"/>
        <v>200.47000000000003</v>
      </c>
      <c r="Q60" s="300">
        <f t="shared" si="26"/>
        <v>1417.2</v>
      </c>
      <c r="R60" s="300">
        <f t="shared" si="7"/>
        <v>134.16999999999999</v>
      </c>
      <c r="S60" s="300">
        <f t="shared" si="8"/>
        <v>188.55</v>
      </c>
      <c r="T60" s="300">
        <f t="shared" ref="T60:T122" si="59">SUM(P60:S60)</f>
        <v>1940.39</v>
      </c>
      <c r="U60" s="300">
        <f t="shared" si="40"/>
        <v>399.77000000000021</v>
      </c>
      <c r="V60" s="300">
        <f t="shared" si="41"/>
        <v>2835.5699999999997</v>
      </c>
      <c r="W60" s="300">
        <f t="shared" si="42"/>
        <v>242748.73</v>
      </c>
      <c r="X60" s="535">
        <f t="shared" si="27"/>
        <v>45759</v>
      </c>
      <c r="Y60" s="300">
        <f>IF(+AL59&lt;0,0,+AL59)</f>
        <v>314509.39999999997</v>
      </c>
      <c r="Z60" s="527">
        <f t="shared" si="10"/>
        <v>4.4999999999999998E-2</v>
      </c>
      <c r="AA60" s="300">
        <f t="shared" si="11"/>
        <v>1595.67</v>
      </c>
      <c r="AB60" s="300">
        <f t="shared" si="56"/>
        <v>416.26</v>
      </c>
      <c r="AC60" s="300">
        <f t="shared" si="13"/>
        <v>1179.4100000000001</v>
      </c>
      <c r="AD60" s="300">
        <f t="shared" ref="AD60:AE61" si="60">+AD59</f>
        <v>134.16999999999999</v>
      </c>
      <c r="AE60" s="300">
        <f t="shared" si="60"/>
        <v>188.55</v>
      </c>
      <c r="AF60" s="300">
        <f t="shared" ref="AF60:AF61" si="61">SUM(AB60:AE60)</f>
        <v>1918.39</v>
      </c>
      <c r="AG60" s="300">
        <f t="shared" ref="AG60:AG61" si="62">+AB60+AG59</f>
        <v>830.96</v>
      </c>
      <c r="AH60" s="300">
        <f t="shared" ref="AH60:AH61" si="63">+AH59+AC60</f>
        <v>2360.38</v>
      </c>
      <c r="AI60" s="545">
        <f t="shared" ref="AI60:AI123" si="64">O60-AA60+AI59</f>
        <v>44</v>
      </c>
      <c r="AJ60" s="545">
        <f t="shared" si="17"/>
        <v>-71344.409999999945</v>
      </c>
      <c r="AK60" s="545">
        <f t="shared" ref="AK60:AK123" si="65">SUM(AI60:AJ60)</f>
        <v>-71300.409999999945</v>
      </c>
      <c r="AL60" s="300">
        <f>+Y60-AB60</f>
        <v>314093.13999999996</v>
      </c>
      <c r="AM60" s="449">
        <f t="shared" si="29"/>
        <v>0</v>
      </c>
      <c r="AN60" s="14">
        <f t="shared" ref="AN60:AN123" si="66">IF(O60=0,0,+O60-C60)</f>
        <v>1196.26</v>
      </c>
      <c r="AO60" s="14">
        <f t="shared" si="50"/>
        <v>237154.24</v>
      </c>
      <c r="AP60" s="14">
        <f t="shared" ref="AP60:AP123" si="67">IF($O60=0,0,+AA60-$C60)</f>
        <v>1174.26</v>
      </c>
      <c r="AR60">
        <v>120.14</v>
      </c>
      <c r="AS60" s="14">
        <f t="shared" si="21"/>
        <v>1076.1199999999999</v>
      </c>
      <c r="AT60" s="14">
        <f t="shared" si="31"/>
        <v>2152.2399999999998</v>
      </c>
      <c r="AU60" s="300">
        <f t="shared" si="32"/>
        <v>680.15635707238982</v>
      </c>
      <c r="AV60" s="300">
        <f t="shared" si="33"/>
        <v>29594.199186028316</v>
      </c>
    </row>
    <row r="61" spans="1:50" x14ac:dyDescent="0.25">
      <c r="A61" s="535">
        <f t="shared" si="34"/>
        <v>45789</v>
      </c>
      <c r="B61" s="300">
        <f t="shared" si="22"/>
        <v>77681.98</v>
      </c>
      <c r="C61" s="14">
        <f t="shared" si="4"/>
        <v>421.41</v>
      </c>
      <c r="D61" s="14">
        <f t="shared" si="35"/>
        <v>130.10000000000002</v>
      </c>
      <c r="E61" s="14">
        <f t="shared" si="5"/>
        <v>291.31</v>
      </c>
      <c r="F61" s="14">
        <f t="shared" si="51"/>
        <v>134.16999999999999</v>
      </c>
      <c r="G61" s="14">
        <f t="shared" si="52"/>
        <v>188.55</v>
      </c>
      <c r="H61" s="14">
        <f t="shared" si="54"/>
        <v>744.13000000000011</v>
      </c>
      <c r="I61" s="300">
        <f t="shared" si="47"/>
        <v>5929.5400000000009</v>
      </c>
      <c r="J61" s="300">
        <f t="shared" si="48"/>
        <v>14188.620000000003</v>
      </c>
      <c r="K61" s="300">
        <f t="shared" si="49"/>
        <v>77551.87999999999</v>
      </c>
      <c r="L61" s="449">
        <f t="shared" si="6"/>
        <v>0</v>
      </c>
      <c r="M61" s="449">
        <f t="shared" si="23"/>
        <v>2</v>
      </c>
      <c r="N61" s="300">
        <f t="shared" si="24"/>
        <v>242748.73</v>
      </c>
      <c r="O61" s="300">
        <f>IF($O9&lt;=$A61,IF(+W60&lt;=0,0,O$8),0)</f>
        <v>1617.67</v>
      </c>
      <c r="P61" s="300">
        <f t="shared" si="39"/>
        <v>201.6400000000001</v>
      </c>
      <c r="Q61" s="300">
        <f>IF($O$9&lt;=$A61,ROUND(N61*(O$6/12),2),0)</f>
        <v>1416.03</v>
      </c>
      <c r="R61" s="300">
        <f t="shared" si="7"/>
        <v>134.16999999999999</v>
      </c>
      <c r="S61" s="300">
        <f t="shared" si="8"/>
        <v>188.55</v>
      </c>
      <c r="T61" s="300">
        <f t="shared" si="59"/>
        <v>1940.39</v>
      </c>
      <c r="U61" s="300">
        <f t="shared" si="40"/>
        <v>601.41000000000031</v>
      </c>
      <c r="V61" s="300">
        <f t="shared" si="41"/>
        <v>4251.5999999999995</v>
      </c>
      <c r="W61" s="300">
        <f t="shared" si="42"/>
        <v>242547.09</v>
      </c>
      <c r="X61" s="535">
        <f t="shared" si="27"/>
        <v>45789</v>
      </c>
      <c r="Y61" s="300">
        <f>IF(+AL60&lt;0,0,+AL60)</f>
        <v>314093.13999999996</v>
      </c>
      <c r="Z61" s="527">
        <f t="shared" si="10"/>
        <v>4.4999999999999998E-2</v>
      </c>
      <c r="AA61" s="300">
        <f t="shared" si="11"/>
        <v>1595.67</v>
      </c>
      <c r="AB61" s="300">
        <f t="shared" ref="AB61" si="68">+AA61-AC61</f>
        <v>417.82000000000016</v>
      </c>
      <c r="AC61" s="300">
        <f t="shared" si="13"/>
        <v>1177.8499999999999</v>
      </c>
      <c r="AD61" s="300">
        <f t="shared" si="60"/>
        <v>134.16999999999999</v>
      </c>
      <c r="AE61" s="300">
        <f t="shared" si="60"/>
        <v>188.55</v>
      </c>
      <c r="AF61" s="300">
        <f t="shared" si="61"/>
        <v>1918.39</v>
      </c>
      <c r="AG61" s="300">
        <f t="shared" si="62"/>
        <v>1248.7800000000002</v>
      </c>
      <c r="AH61" s="300">
        <f t="shared" si="63"/>
        <v>3538.23</v>
      </c>
      <c r="AI61" s="545">
        <f t="shared" si="64"/>
        <v>66</v>
      </c>
      <c r="AJ61" s="545">
        <f t="shared" si="17"/>
        <v>-71128.229999999952</v>
      </c>
      <c r="AK61" s="545">
        <f t="shared" si="65"/>
        <v>-71062.229999999952</v>
      </c>
      <c r="AL61" s="300">
        <f>+Y61-AB61</f>
        <v>313675.31999999995</v>
      </c>
      <c r="AM61" s="449">
        <f t="shared" si="29"/>
        <v>0</v>
      </c>
      <c r="AN61" s="14">
        <f>IF(O61=0,0,+O61-C61)</f>
        <v>1196.26</v>
      </c>
      <c r="AO61" s="14">
        <f t="shared" si="50"/>
        <v>237082.69999999998</v>
      </c>
      <c r="AP61" s="14">
        <f t="shared" si="67"/>
        <v>1174.26</v>
      </c>
      <c r="AR61">
        <v>120.14</v>
      </c>
      <c r="AS61" s="14">
        <f t="shared" si="21"/>
        <v>1076.1199999999999</v>
      </c>
      <c r="AT61" s="14">
        <f t="shared" si="31"/>
        <v>3228.3599999999997</v>
      </c>
      <c r="AU61" s="300">
        <f t="shared" si="32"/>
        <v>681.85674796507078</v>
      </c>
      <c r="AV61" s="300">
        <f t="shared" si="33"/>
        <v>30276.055933993386</v>
      </c>
    </row>
    <row r="62" spans="1:50" ht="15.75" thickBot="1" x14ac:dyDescent="0.3">
      <c r="A62" s="538">
        <f t="shared" ref="A62:A125" si="69">IF(K62&lt;=0," ",+A61+30)</f>
        <v>45819</v>
      </c>
      <c r="B62" s="369">
        <f t="shared" si="22"/>
        <v>77551.87999999999</v>
      </c>
      <c r="C62" s="21">
        <f t="shared" si="4"/>
        <v>421.41</v>
      </c>
      <c r="D62" s="21">
        <f t="shared" si="35"/>
        <v>130.59000000000003</v>
      </c>
      <c r="E62" s="21">
        <f t="shared" si="5"/>
        <v>290.82</v>
      </c>
      <c r="F62" s="21">
        <f t="shared" si="51"/>
        <v>134.16999999999999</v>
      </c>
      <c r="G62" s="21">
        <f t="shared" si="52"/>
        <v>188.55</v>
      </c>
      <c r="H62" s="21">
        <f t="shared" si="54"/>
        <v>744.13000000000011</v>
      </c>
      <c r="I62" s="369">
        <f t="shared" ref="I62:I125" si="70">$D62+$I61</f>
        <v>6060.130000000001</v>
      </c>
      <c r="J62" s="369">
        <f t="shared" ref="J62:J125" si="71">$E62+$J61</f>
        <v>14479.440000000002</v>
      </c>
      <c r="K62" s="369">
        <f t="shared" ref="K62:K125" si="72">+B62-D62</f>
        <v>77421.289999999994</v>
      </c>
      <c r="L62" s="450">
        <f t="shared" si="6"/>
        <v>0</v>
      </c>
      <c r="M62" s="450">
        <f t="shared" si="23"/>
        <v>3</v>
      </c>
      <c r="N62" s="369">
        <f t="shared" si="24"/>
        <v>242547.09</v>
      </c>
      <c r="O62" s="369">
        <f t="shared" ref="O62:O125" si="73">IF($O$9&lt;=A62,IF(+$W61&lt;=0,0,$O$8),0)</f>
        <v>1617.67</v>
      </c>
      <c r="P62" s="369">
        <f t="shared" si="39"/>
        <v>202.81000000000017</v>
      </c>
      <c r="Q62" s="369">
        <f t="shared" ref="Q62:Q125" si="74">IF($O$9&lt;=A62,ROUND(N62*($O$6/12),2),0)</f>
        <v>1414.86</v>
      </c>
      <c r="R62" s="369">
        <f t="shared" si="7"/>
        <v>134.16999999999999</v>
      </c>
      <c r="S62" s="369">
        <f t="shared" ref="S62:S123" si="75">+S61</f>
        <v>188.55</v>
      </c>
      <c r="T62" s="369">
        <f t="shared" si="59"/>
        <v>1940.39</v>
      </c>
      <c r="U62" s="369">
        <f t="shared" si="40"/>
        <v>804.22000000000048</v>
      </c>
      <c r="V62" s="369">
        <f t="shared" si="41"/>
        <v>5666.4599999999991</v>
      </c>
      <c r="W62" s="369">
        <f t="shared" ref="W62:W125" si="76">+N62-P62</f>
        <v>242344.28</v>
      </c>
      <c r="X62" s="538">
        <f t="shared" si="27"/>
        <v>45819</v>
      </c>
      <c r="Y62" s="369">
        <f t="shared" ref="Y62:Y125" si="77">IF(+AL61&lt;0,0,+AL61)</f>
        <v>313675.31999999995</v>
      </c>
      <c r="Z62" s="528">
        <f t="shared" si="10"/>
        <v>4.4999999999999998E-2</v>
      </c>
      <c r="AA62" s="369">
        <f t="shared" si="11"/>
        <v>1595.67</v>
      </c>
      <c r="AB62" s="369">
        <f t="shared" ref="AB62:AB125" si="78">+AA62-AC62</f>
        <v>419.3900000000001</v>
      </c>
      <c r="AC62" s="369">
        <f t="shared" si="13"/>
        <v>1176.28</v>
      </c>
      <c r="AD62" s="369">
        <f t="shared" ref="AD62:AE62" si="79">+AD61</f>
        <v>134.16999999999999</v>
      </c>
      <c r="AE62" s="369">
        <f t="shared" si="79"/>
        <v>188.55</v>
      </c>
      <c r="AF62" s="369">
        <f t="shared" ref="AF62:AF125" si="80">SUM(AB62:AE62)</f>
        <v>1918.39</v>
      </c>
      <c r="AG62" s="369">
        <f t="shared" ref="AG62:AG125" si="81">+AB62+AG61</f>
        <v>1668.1700000000003</v>
      </c>
      <c r="AH62" s="369">
        <f t="shared" ref="AH62:AH125" si="82">+AH61+AC62</f>
        <v>4714.51</v>
      </c>
      <c r="AI62" s="546">
        <f t="shared" si="64"/>
        <v>88</v>
      </c>
      <c r="AJ62" s="546">
        <f t="shared" si="17"/>
        <v>-70911.649999999936</v>
      </c>
      <c r="AK62" s="546">
        <f t="shared" si="65"/>
        <v>-70823.649999999936</v>
      </c>
      <c r="AL62" s="369">
        <f t="shared" ref="AL62:AL125" si="83">+Y62-AB62</f>
        <v>313255.92999999993</v>
      </c>
      <c r="AM62" s="450">
        <f t="shared" si="29"/>
        <v>0</v>
      </c>
      <c r="AN62" s="21">
        <f t="shared" si="66"/>
        <v>1196.26</v>
      </c>
      <c r="AO62" s="21">
        <f t="shared" si="50"/>
        <v>237010.47999999998</v>
      </c>
      <c r="AP62" s="21">
        <f t="shared" si="67"/>
        <v>1174.26</v>
      </c>
      <c r="AR62">
        <v>120.14</v>
      </c>
      <c r="AS62" s="21">
        <f t="shared" si="21"/>
        <v>1076.1199999999999</v>
      </c>
      <c r="AT62" s="21">
        <f t="shared" si="31"/>
        <v>4304.4799999999996</v>
      </c>
      <c r="AU62" s="369">
        <f t="shared" si="32"/>
        <v>683.5613898349834</v>
      </c>
      <c r="AV62" s="369">
        <f t="shared" si="33"/>
        <v>30959.61732382837</v>
      </c>
    </row>
    <row r="63" spans="1:50" x14ac:dyDescent="0.25">
      <c r="A63" s="535">
        <f t="shared" si="69"/>
        <v>45849</v>
      </c>
      <c r="B63" s="300">
        <f t="shared" si="22"/>
        <v>77421.289999999994</v>
      </c>
      <c r="C63" s="14">
        <f t="shared" si="4"/>
        <v>421.41</v>
      </c>
      <c r="D63" s="14">
        <f t="shared" si="35"/>
        <v>131.08000000000004</v>
      </c>
      <c r="E63" s="14">
        <f t="shared" si="5"/>
        <v>290.33</v>
      </c>
      <c r="F63" s="14">
        <f t="shared" si="51"/>
        <v>134.16999999999999</v>
      </c>
      <c r="G63" s="14">
        <f t="shared" si="52"/>
        <v>188.55</v>
      </c>
      <c r="H63" s="14">
        <f t="shared" si="54"/>
        <v>744.13000000000011</v>
      </c>
      <c r="I63" s="300">
        <f t="shared" si="70"/>
        <v>6191.2100000000009</v>
      </c>
      <c r="J63" s="300">
        <f t="shared" si="71"/>
        <v>14769.770000000002</v>
      </c>
      <c r="K63" s="300">
        <f t="shared" si="72"/>
        <v>77290.209999999992</v>
      </c>
      <c r="L63" s="449">
        <f t="shared" si="6"/>
        <v>0</v>
      </c>
      <c r="M63" s="449">
        <f t="shared" si="23"/>
        <v>4</v>
      </c>
      <c r="N63" s="300">
        <f t="shared" si="24"/>
        <v>242344.28</v>
      </c>
      <c r="O63" s="300">
        <f t="shared" si="73"/>
        <v>1617.67</v>
      </c>
      <c r="P63" s="300">
        <f t="shared" si="39"/>
        <v>204</v>
      </c>
      <c r="Q63" s="300">
        <f t="shared" si="74"/>
        <v>1413.67</v>
      </c>
      <c r="R63" s="300">
        <f t="shared" ref="R63:R123" si="84">+R62</f>
        <v>134.16999999999999</v>
      </c>
      <c r="S63" s="300">
        <f t="shared" si="75"/>
        <v>188.55</v>
      </c>
      <c r="T63" s="300">
        <f t="shared" si="59"/>
        <v>1940.39</v>
      </c>
      <c r="U63" s="300">
        <f t="shared" si="40"/>
        <v>1008.2200000000005</v>
      </c>
      <c r="V63" s="300">
        <f t="shared" si="41"/>
        <v>7080.1299999999992</v>
      </c>
      <c r="W63" s="300">
        <f t="shared" si="76"/>
        <v>242140.28</v>
      </c>
      <c r="X63" s="535">
        <f t="shared" si="27"/>
        <v>45849</v>
      </c>
      <c r="Y63" s="300">
        <f t="shared" si="77"/>
        <v>313255.92999999993</v>
      </c>
      <c r="Z63" s="527">
        <f t="shared" si="10"/>
        <v>4.4999999999999998E-2</v>
      </c>
      <c r="AA63" s="300">
        <f t="shared" si="11"/>
        <v>1595.67</v>
      </c>
      <c r="AB63" s="300">
        <f t="shared" si="78"/>
        <v>420.96000000000004</v>
      </c>
      <c r="AC63" s="300">
        <f t="shared" si="13"/>
        <v>1174.71</v>
      </c>
      <c r="AD63" s="300">
        <f t="shared" ref="AD63:AE63" si="85">+AD62</f>
        <v>134.16999999999999</v>
      </c>
      <c r="AE63" s="300">
        <f t="shared" si="85"/>
        <v>188.55</v>
      </c>
      <c r="AF63" s="300">
        <f t="shared" si="80"/>
        <v>1918.39</v>
      </c>
      <c r="AG63" s="300">
        <f t="shared" si="81"/>
        <v>2089.13</v>
      </c>
      <c r="AH63" s="300">
        <f t="shared" si="82"/>
        <v>5889.22</v>
      </c>
      <c r="AI63" s="545">
        <f t="shared" si="64"/>
        <v>110</v>
      </c>
      <c r="AJ63" s="545">
        <f t="shared" si="17"/>
        <v>-70694.689999999915</v>
      </c>
      <c r="AK63" s="545">
        <f t="shared" si="65"/>
        <v>-70584.689999999915</v>
      </c>
      <c r="AL63" s="300">
        <f t="shared" si="83"/>
        <v>312834.96999999991</v>
      </c>
      <c r="AM63" s="449">
        <f t="shared" si="29"/>
        <v>0</v>
      </c>
      <c r="AN63" s="14">
        <f t="shared" si="66"/>
        <v>1196.26</v>
      </c>
      <c r="AO63" s="14">
        <f t="shared" si="50"/>
        <v>236937.55999999997</v>
      </c>
      <c r="AP63" s="14">
        <f t="shared" si="67"/>
        <v>1174.26</v>
      </c>
      <c r="AS63" s="14">
        <f t="shared" si="21"/>
        <v>1196.26</v>
      </c>
      <c r="AT63" s="14">
        <f t="shared" si="31"/>
        <v>5500.74</v>
      </c>
      <c r="AU63" s="300">
        <f t="shared" si="32"/>
        <v>685.270293309571</v>
      </c>
      <c r="AV63" s="300">
        <f t="shared" si="33"/>
        <v>31644.887617137942</v>
      </c>
    </row>
    <row r="64" spans="1:50" x14ac:dyDescent="0.25">
      <c r="A64" s="535">
        <f t="shared" si="69"/>
        <v>45879</v>
      </c>
      <c r="B64" s="300">
        <f t="shared" si="22"/>
        <v>77290.209999999992</v>
      </c>
      <c r="C64" s="14">
        <f t="shared" si="4"/>
        <v>421.41</v>
      </c>
      <c r="D64" s="14">
        <f t="shared" si="35"/>
        <v>131.57000000000005</v>
      </c>
      <c r="E64" s="14">
        <f t="shared" si="5"/>
        <v>289.83999999999997</v>
      </c>
      <c r="F64" s="14">
        <f t="shared" si="51"/>
        <v>134.16999999999999</v>
      </c>
      <c r="G64" s="14">
        <f t="shared" si="52"/>
        <v>188.55</v>
      </c>
      <c r="H64" s="14">
        <f t="shared" si="54"/>
        <v>744.13000000000011</v>
      </c>
      <c r="I64" s="300">
        <f t="shared" si="70"/>
        <v>6322.7800000000007</v>
      </c>
      <c r="J64" s="300">
        <f t="shared" si="71"/>
        <v>15059.610000000002</v>
      </c>
      <c r="K64" s="300">
        <f t="shared" si="72"/>
        <v>77158.639999999985</v>
      </c>
      <c r="L64" s="449">
        <f t="shared" si="6"/>
        <v>0</v>
      </c>
      <c r="M64" s="449">
        <f t="shared" si="23"/>
        <v>5</v>
      </c>
      <c r="N64" s="300">
        <f t="shared" si="24"/>
        <v>242140.28</v>
      </c>
      <c r="O64" s="300">
        <f t="shared" si="73"/>
        <v>1617.67</v>
      </c>
      <c r="P64" s="300">
        <f t="shared" si="39"/>
        <v>205.19000000000005</v>
      </c>
      <c r="Q64" s="300">
        <f t="shared" si="74"/>
        <v>1412.48</v>
      </c>
      <c r="R64" s="300">
        <f t="shared" si="84"/>
        <v>134.16999999999999</v>
      </c>
      <c r="S64" s="300">
        <f t="shared" si="75"/>
        <v>188.55</v>
      </c>
      <c r="T64" s="300">
        <f t="shared" si="59"/>
        <v>1940.39</v>
      </c>
      <c r="U64" s="300">
        <f t="shared" si="40"/>
        <v>1213.4100000000005</v>
      </c>
      <c r="V64" s="300">
        <f t="shared" si="41"/>
        <v>8492.6099999999988</v>
      </c>
      <c r="W64" s="300">
        <f t="shared" si="76"/>
        <v>241935.09</v>
      </c>
      <c r="X64" s="535">
        <f t="shared" si="27"/>
        <v>45879</v>
      </c>
      <c r="Y64" s="300">
        <f t="shared" si="77"/>
        <v>312834.96999999991</v>
      </c>
      <c r="Z64" s="527">
        <f t="shared" si="10"/>
        <v>4.4999999999999998E-2</v>
      </c>
      <c r="AA64" s="300">
        <f t="shared" si="11"/>
        <v>1595.67</v>
      </c>
      <c r="AB64" s="300">
        <f t="shared" si="78"/>
        <v>422.53999999999996</v>
      </c>
      <c r="AC64" s="300">
        <f t="shared" si="13"/>
        <v>1173.1300000000001</v>
      </c>
      <c r="AD64" s="300">
        <f t="shared" ref="AD64:AE64" si="86">+AD63</f>
        <v>134.16999999999999</v>
      </c>
      <c r="AE64" s="300">
        <f t="shared" si="86"/>
        <v>188.55</v>
      </c>
      <c r="AF64" s="300">
        <f t="shared" si="80"/>
        <v>1918.39</v>
      </c>
      <c r="AG64" s="300">
        <f t="shared" si="81"/>
        <v>2511.67</v>
      </c>
      <c r="AH64" s="300">
        <f t="shared" si="82"/>
        <v>7062.35</v>
      </c>
      <c r="AI64" s="545">
        <f t="shared" si="64"/>
        <v>132</v>
      </c>
      <c r="AJ64" s="545">
        <f t="shared" si="17"/>
        <v>-70477.339999999938</v>
      </c>
      <c r="AK64" s="545">
        <f t="shared" si="65"/>
        <v>-70345.339999999938</v>
      </c>
      <c r="AL64" s="300">
        <f t="shared" si="83"/>
        <v>312412.42999999993</v>
      </c>
      <c r="AM64" s="449">
        <f t="shared" si="29"/>
        <v>0</v>
      </c>
      <c r="AN64" s="14">
        <f t="shared" si="66"/>
        <v>1196.26</v>
      </c>
      <c r="AO64" s="14">
        <f t="shared" si="50"/>
        <v>236863.93999999997</v>
      </c>
      <c r="AP64" s="14">
        <f t="shared" si="67"/>
        <v>1174.26</v>
      </c>
      <c r="AS64" s="14">
        <f t="shared" si="21"/>
        <v>1196.26</v>
      </c>
      <c r="AT64" s="14">
        <f t="shared" si="31"/>
        <v>6697</v>
      </c>
      <c r="AU64" s="300">
        <f t="shared" si="32"/>
        <v>686.98346904284472</v>
      </c>
      <c r="AV64" s="300">
        <f t="shared" si="33"/>
        <v>32331.871086180785</v>
      </c>
    </row>
    <row r="65" spans="1:50" x14ac:dyDescent="0.25">
      <c r="A65" s="535">
        <f t="shared" si="69"/>
        <v>45909</v>
      </c>
      <c r="B65" s="300">
        <f t="shared" si="22"/>
        <v>77158.639999999985</v>
      </c>
      <c r="C65" s="14">
        <f t="shared" si="4"/>
        <v>421.41</v>
      </c>
      <c r="D65" s="14">
        <f t="shared" si="35"/>
        <v>132.07000000000005</v>
      </c>
      <c r="E65" s="14">
        <f t="shared" si="5"/>
        <v>289.33999999999997</v>
      </c>
      <c r="F65" s="14">
        <f t="shared" si="51"/>
        <v>134.16999999999999</v>
      </c>
      <c r="G65" s="14">
        <f t="shared" si="52"/>
        <v>188.55</v>
      </c>
      <c r="H65" s="14">
        <f t="shared" si="54"/>
        <v>744.13000000000011</v>
      </c>
      <c r="I65" s="300">
        <f t="shared" si="70"/>
        <v>6454.85</v>
      </c>
      <c r="J65" s="300">
        <f t="shared" si="71"/>
        <v>15348.950000000003</v>
      </c>
      <c r="K65" s="300">
        <f t="shared" si="72"/>
        <v>77026.569999999978</v>
      </c>
      <c r="L65" s="449">
        <f t="shared" si="6"/>
        <v>0</v>
      </c>
      <c r="M65" s="449">
        <f t="shared" si="23"/>
        <v>6</v>
      </c>
      <c r="N65" s="300">
        <f t="shared" si="24"/>
        <v>241935.09</v>
      </c>
      <c r="O65" s="300">
        <f t="shared" si="73"/>
        <v>1617.67</v>
      </c>
      <c r="P65" s="300">
        <f t="shared" si="39"/>
        <v>206.38000000000011</v>
      </c>
      <c r="Q65" s="300">
        <f t="shared" si="74"/>
        <v>1411.29</v>
      </c>
      <c r="R65" s="300">
        <f t="shared" si="84"/>
        <v>134.16999999999999</v>
      </c>
      <c r="S65" s="300">
        <f t="shared" si="75"/>
        <v>188.55</v>
      </c>
      <c r="T65" s="300">
        <f t="shared" si="59"/>
        <v>1940.39</v>
      </c>
      <c r="U65" s="300">
        <f t="shared" si="40"/>
        <v>1419.7900000000006</v>
      </c>
      <c r="V65" s="300">
        <f t="shared" si="41"/>
        <v>9903.8999999999978</v>
      </c>
      <c r="W65" s="300">
        <f t="shared" si="76"/>
        <v>241728.71</v>
      </c>
      <c r="X65" s="535">
        <f t="shared" si="27"/>
        <v>45909</v>
      </c>
      <c r="Y65" s="300">
        <f t="shared" si="77"/>
        <v>312412.42999999993</v>
      </c>
      <c r="Z65" s="527">
        <f t="shared" si="10"/>
        <v>4.4999999999999998E-2</v>
      </c>
      <c r="AA65" s="300">
        <f t="shared" si="11"/>
        <v>1595.67</v>
      </c>
      <c r="AB65" s="300">
        <f t="shared" si="78"/>
        <v>424.12000000000012</v>
      </c>
      <c r="AC65" s="300">
        <f t="shared" si="13"/>
        <v>1171.55</v>
      </c>
      <c r="AD65" s="300">
        <f t="shared" ref="AD65:AE65" si="87">+AD64</f>
        <v>134.16999999999999</v>
      </c>
      <c r="AE65" s="300">
        <f t="shared" si="87"/>
        <v>188.55</v>
      </c>
      <c r="AF65" s="300">
        <f t="shared" si="80"/>
        <v>1918.39</v>
      </c>
      <c r="AG65" s="300">
        <f t="shared" si="81"/>
        <v>2935.79</v>
      </c>
      <c r="AH65" s="300">
        <f t="shared" si="82"/>
        <v>8233.9</v>
      </c>
      <c r="AI65" s="545">
        <f t="shared" si="64"/>
        <v>154</v>
      </c>
      <c r="AJ65" s="545">
        <f t="shared" si="17"/>
        <v>-70259.599999999948</v>
      </c>
      <c r="AK65" s="545">
        <f t="shared" si="65"/>
        <v>-70105.599999999948</v>
      </c>
      <c r="AL65" s="300">
        <f t="shared" si="83"/>
        <v>311988.30999999994</v>
      </c>
      <c r="AM65" s="449">
        <f t="shared" si="29"/>
        <v>0</v>
      </c>
      <c r="AN65" s="14">
        <f t="shared" si="66"/>
        <v>1196.26</v>
      </c>
      <c r="AO65" s="14">
        <f t="shared" si="50"/>
        <v>236789.62999999998</v>
      </c>
      <c r="AP65" s="14">
        <f t="shared" si="67"/>
        <v>1174.26</v>
      </c>
      <c r="AS65" s="14">
        <f t="shared" si="21"/>
        <v>1196.26</v>
      </c>
      <c r="AT65" s="14">
        <f t="shared" si="31"/>
        <v>7893.26</v>
      </c>
      <c r="AU65" s="300">
        <f t="shared" si="32"/>
        <v>688.70092771545194</v>
      </c>
      <c r="AV65" s="300">
        <f t="shared" si="33"/>
        <v>33020.572013896235</v>
      </c>
    </row>
    <row r="66" spans="1:50" x14ac:dyDescent="0.25">
      <c r="A66" s="535">
        <f t="shared" si="69"/>
        <v>45939</v>
      </c>
      <c r="B66" s="300">
        <f t="shared" si="22"/>
        <v>77026.569999999978</v>
      </c>
      <c r="C66" s="14">
        <f t="shared" si="4"/>
        <v>421.41</v>
      </c>
      <c r="D66" s="14">
        <f t="shared" si="35"/>
        <v>132.56</v>
      </c>
      <c r="E66" s="14">
        <f t="shared" si="5"/>
        <v>288.85000000000002</v>
      </c>
      <c r="F66" s="14">
        <f t="shared" si="51"/>
        <v>134.16999999999999</v>
      </c>
      <c r="G66" s="14">
        <f t="shared" si="52"/>
        <v>188.55</v>
      </c>
      <c r="H66" s="14">
        <f t="shared" si="54"/>
        <v>744.13000000000011</v>
      </c>
      <c r="I66" s="300">
        <f t="shared" si="70"/>
        <v>6587.4100000000008</v>
      </c>
      <c r="J66" s="300">
        <f t="shared" si="71"/>
        <v>15637.800000000003</v>
      </c>
      <c r="K66" s="300">
        <f t="shared" si="72"/>
        <v>76894.00999999998</v>
      </c>
      <c r="L66" s="449">
        <f t="shared" si="6"/>
        <v>0</v>
      </c>
      <c r="M66" s="449">
        <f t="shared" si="23"/>
        <v>7</v>
      </c>
      <c r="N66" s="300">
        <f t="shared" si="24"/>
        <v>241728.71</v>
      </c>
      <c r="O66" s="300">
        <f t="shared" si="73"/>
        <v>1617.67</v>
      </c>
      <c r="P66" s="300">
        <f t="shared" si="39"/>
        <v>207.59000000000015</v>
      </c>
      <c r="Q66" s="300">
        <f t="shared" si="74"/>
        <v>1410.08</v>
      </c>
      <c r="R66" s="300">
        <f t="shared" si="84"/>
        <v>134.16999999999999</v>
      </c>
      <c r="S66" s="300">
        <f t="shared" si="75"/>
        <v>188.55</v>
      </c>
      <c r="T66" s="300">
        <f t="shared" si="59"/>
        <v>1940.39</v>
      </c>
      <c r="U66" s="300">
        <f t="shared" si="40"/>
        <v>1627.3800000000008</v>
      </c>
      <c r="V66" s="300">
        <f t="shared" si="41"/>
        <v>11313.979999999998</v>
      </c>
      <c r="W66" s="300">
        <f t="shared" si="76"/>
        <v>241521.12</v>
      </c>
      <c r="X66" s="535">
        <f t="shared" si="27"/>
        <v>45939</v>
      </c>
      <c r="Y66" s="300">
        <f t="shared" si="77"/>
        <v>311988.30999999994</v>
      </c>
      <c r="Z66" s="527">
        <f t="shared" si="10"/>
        <v>4.4999999999999998E-2</v>
      </c>
      <c r="AA66" s="300">
        <f t="shared" si="11"/>
        <v>1595.67</v>
      </c>
      <c r="AB66" s="300">
        <f t="shared" si="78"/>
        <v>425.71000000000004</v>
      </c>
      <c r="AC66" s="300">
        <f t="shared" si="13"/>
        <v>1169.96</v>
      </c>
      <c r="AD66" s="300">
        <f t="shared" ref="AD66:AE66" si="88">+AD65</f>
        <v>134.16999999999999</v>
      </c>
      <c r="AE66" s="300">
        <f t="shared" si="88"/>
        <v>188.55</v>
      </c>
      <c r="AF66" s="300">
        <f t="shared" si="80"/>
        <v>1918.39</v>
      </c>
      <c r="AG66" s="300">
        <f t="shared" si="81"/>
        <v>3361.5</v>
      </c>
      <c r="AH66" s="300">
        <f t="shared" si="82"/>
        <v>9403.86</v>
      </c>
      <c r="AI66" s="545">
        <f t="shared" si="64"/>
        <v>176</v>
      </c>
      <c r="AJ66" s="545">
        <f t="shared" si="17"/>
        <v>-70041.479999999923</v>
      </c>
      <c r="AK66" s="545">
        <f t="shared" si="65"/>
        <v>-69865.479999999923</v>
      </c>
      <c r="AL66" s="300">
        <f t="shared" si="83"/>
        <v>311562.59999999992</v>
      </c>
      <c r="AM66" s="449">
        <f t="shared" si="29"/>
        <v>0</v>
      </c>
      <c r="AN66" s="14">
        <f t="shared" si="66"/>
        <v>1196.26</v>
      </c>
      <c r="AO66" s="14">
        <f t="shared" si="50"/>
        <v>236714.59999999998</v>
      </c>
      <c r="AP66" s="14">
        <f t="shared" si="67"/>
        <v>1174.26</v>
      </c>
      <c r="AS66" s="14">
        <f t="shared" si="21"/>
        <v>1196.26</v>
      </c>
      <c r="AT66" s="14">
        <f t="shared" si="31"/>
        <v>9089.52</v>
      </c>
      <c r="AU66" s="300">
        <f t="shared" si="32"/>
        <v>690.42268003474055</v>
      </c>
      <c r="AV66" s="300">
        <f t="shared" si="33"/>
        <v>33710.994693930974</v>
      </c>
    </row>
    <row r="67" spans="1:50" x14ac:dyDescent="0.25">
      <c r="A67" s="535">
        <f t="shared" si="69"/>
        <v>45969</v>
      </c>
      <c r="B67" s="300">
        <f t="shared" si="22"/>
        <v>76894.00999999998</v>
      </c>
      <c r="C67" s="14">
        <f t="shared" si="4"/>
        <v>421.41</v>
      </c>
      <c r="D67" s="14">
        <f t="shared" si="35"/>
        <v>133.06</v>
      </c>
      <c r="E67" s="14">
        <f t="shared" si="5"/>
        <v>288.35000000000002</v>
      </c>
      <c r="F67" s="14">
        <f t="shared" si="51"/>
        <v>134.16999999999999</v>
      </c>
      <c r="G67" s="14">
        <f t="shared" si="52"/>
        <v>188.55</v>
      </c>
      <c r="H67" s="14">
        <f t="shared" si="54"/>
        <v>744.13000000000011</v>
      </c>
      <c r="I67" s="300">
        <f t="shared" si="70"/>
        <v>6720.4700000000012</v>
      </c>
      <c r="J67" s="300">
        <f t="shared" si="71"/>
        <v>15926.150000000003</v>
      </c>
      <c r="K67" s="300">
        <f t="shared" si="72"/>
        <v>76760.949999999983</v>
      </c>
      <c r="L67" s="449">
        <f t="shared" si="6"/>
        <v>0</v>
      </c>
      <c r="M67" s="449">
        <f t="shared" si="23"/>
        <v>8</v>
      </c>
      <c r="N67" s="300">
        <f t="shared" si="24"/>
        <v>241521.12</v>
      </c>
      <c r="O67" s="300">
        <f t="shared" si="73"/>
        <v>1617.67</v>
      </c>
      <c r="P67" s="300">
        <f t="shared" si="39"/>
        <v>208.80000000000018</v>
      </c>
      <c r="Q67" s="300">
        <f t="shared" si="74"/>
        <v>1408.87</v>
      </c>
      <c r="R67" s="300">
        <f t="shared" si="84"/>
        <v>134.16999999999999</v>
      </c>
      <c r="S67" s="300">
        <f t="shared" si="75"/>
        <v>188.55</v>
      </c>
      <c r="T67" s="300">
        <f t="shared" si="59"/>
        <v>1940.39</v>
      </c>
      <c r="U67" s="300">
        <f t="shared" si="40"/>
        <v>1836.180000000001</v>
      </c>
      <c r="V67" s="300">
        <f t="shared" si="41"/>
        <v>12722.849999999999</v>
      </c>
      <c r="W67" s="300">
        <f t="shared" si="76"/>
        <v>241312.32</v>
      </c>
      <c r="X67" s="535">
        <f t="shared" si="27"/>
        <v>45969</v>
      </c>
      <c r="Y67" s="300">
        <f t="shared" si="77"/>
        <v>311562.59999999992</v>
      </c>
      <c r="Z67" s="527">
        <f t="shared" si="10"/>
        <v>4.4999999999999998E-2</v>
      </c>
      <c r="AA67" s="300">
        <f t="shared" si="11"/>
        <v>1595.67</v>
      </c>
      <c r="AB67" s="300">
        <f t="shared" si="78"/>
        <v>427.31000000000017</v>
      </c>
      <c r="AC67" s="300">
        <f t="shared" si="13"/>
        <v>1168.3599999999999</v>
      </c>
      <c r="AD67" s="300">
        <f t="shared" ref="AD67:AE67" si="89">+AD66</f>
        <v>134.16999999999999</v>
      </c>
      <c r="AE67" s="300">
        <f t="shared" si="89"/>
        <v>188.55</v>
      </c>
      <c r="AF67" s="300">
        <f t="shared" si="80"/>
        <v>1918.39</v>
      </c>
      <c r="AG67" s="300">
        <f t="shared" si="81"/>
        <v>3788.8100000000004</v>
      </c>
      <c r="AH67" s="300">
        <f t="shared" si="82"/>
        <v>10572.220000000001</v>
      </c>
      <c r="AI67" s="545">
        <f t="shared" si="64"/>
        <v>198</v>
      </c>
      <c r="AJ67" s="545">
        <f t="shared" si="17"/>
        <v>-69822.969999999914</v>
      </c>
      <c r="AK67" s="545">
        <f t="shared" si="65"/>
        <v>-69624.969999999914</v>
      </c>
      <c r="AL67" s="300">
        <f t="shared" si="83"/>
        <v>311135.28999999992</v>
      </c>
      <c r="AM67" s="449">
        <f t="shared" si="29"/>
        <v>0</v>
      </c>
      <c r="AN67" s="14">
        <f t="shared" si="66"/>
        <v>1196.26</v>
      </c>
      <c r="AO67" s="14">
        <f t="shared" si="50"/>
        <v>236638.86</v>
      </c>
      <c r="AP67" s="14">
        <f t="shared" si="67"/>
        <v>1174.26</v>
      </c>
      <c r="AS67" s="14">
        <f t="shared" si="21"/>
        <v>1196.26</v>
      </c>
      <c r="AT67" s="14">
        <f t="shared" si="31"/>
        <v>10285.780000000001</v>
      </c>
      <c r="AU67" s="300">
        <f t="shared" si="32"/>
        <v>692.14873673482737</v>
      </c>
      <c r="AV67" s="300">
        <f t="shared" si="33"/>
        <v>34403.143430665805</v>
      </c>
    </row>
    <row r="68" spans="1:50" x14ac:dyDescent="0.25">
      <c r="A68" s="535">
        <f t="shared" si="69"/>
        <v>45999</v>
      </c>
      <c r="B68" s="300">
        <f t="shared" si="22"/>
        <v>76760.949999999983</v>
      </c>
      <c r="C68" s="14">
        <f t="shared" si="4"/>
        <v>421.41</v>
      </c>
      <c r="D68" s="14">
        <f t="shared" si="35"/>
        <v>133.56</v>
      </c>
      <c r="E68" s="14">
        <f t="shared" si="5"/>
        <v>287.85000000000002</v>
      </c>
      <c r="F68" s="14">
        <f t="shared" si="51"/>
        <v>134.16999999999999</v>
      </c>
      <c r="G68" s="14">
        <f t="shared" si="52"/>
        <v>188.55</v>
      </c>
      <c r="H68" s="14">
        <f t="shared" si="54"/>
        <v>744.13000000000011</v>
      </c>
      <c r="I68" s="300">
        <f t="shared" si="70"/>
        <v>6854.0300000000016</v>
      </c>
      <c r="J68" s="300">
        <f t="shared" si="71"/>
        <v>16214.000000000004</v>
      </c>
      <c r="K68" s="300">
        <f t="shared" si="72"/>
        <v>76627.389999999985</v>
      </c>
      <c r="L68" s="449">
        <f t="shared" si="6"/>
        <v>0</v>
      </c>
      <c r="M68" s="449">
        <f t="shared" si="23"/>
        <v>9</v>
      </c>
      <c r="N68" s="300">
        <f t="shared" si="24"/>
        <v>241312.32</v>
      </c>
      <c r="O68" s="300">
        <f t="shared" si="73"/>
        <v>1617.67</v>
      </c>
      <c r="P68" s="300">
        <f t="shared" si="39"/>
        <v>210.01</v>
      </c>
      <c r="Q68" s="300">
        <f t="shared" si="74"/>
        <v>1407.66</v>
      </c>
      <c r="R68" s="300">
        <f t="shared" si="84"/>
        <v>134.16999999999999</v>
      </c>
      <c r="S68" s="300">
        <f t="shared" si="75"/>
        <v>188.55</v>
      </c>
      <c r="T68" s="300">
        <f t="shared" si="59"/>
        <v>1940.39</v>
      </c>
      <c r="U68" s="300">
        <f t="shared" si="40"/>
        <v>2046.190000000001</v>
      </c>
      <c r="V68" s="300">
        <f t="shared" si="41"/>
        <v>14130.509999999998</v>
      </c>
      <c r="W68" s="300">
        <f t="shared" si="76"/>
        <v>241102.31</v>
      </c>
      <c r="X68" s="535">
        <f t="shared" si="27"/>
        <v>45999</v>
      </c>
      <c r="Y68" s="300">
        <f t="shared" si="77"/>
        <v>311135.28999999992</v>
      </c>
      <c r="Z68" s="527">
        <f t="shared" si="10"/>
        <v>4.4999999999999998E-2</v>
      </c>
      <c r="AA68" s="300">
        <f t="shared" si="11"/>
        <v>1595.67</v>
      </c>
      <c r="AB68" s="300">
        <f t="shared" si="78"/>
        <v>428.91000000000008</v>
      </c>
      <c r="AC68" s="300">
        <f t="shared" si="13"/>
        <v>1166.76</v>
      </c>
      <c r="AD68" s="300">
        <f t="shared" ref="AD68:AE68" si="90">+AD67</f>
        <v>134.16999999999999</v>
      </c>
      <c r="AE68" s="300">
        <f t="shared" si="90"/>
        <v>188.55</v>
      </c>
      <c r="AF68" s="300">
        <f t="shared" si="80"/>
        <v>1918.39</v>
      </c>
      <c r="AG68" s="300">
        <f t="shared" si="81"/>
        <v>4217.72</v>
      </c>
      <c r="AH68" s="300">
        <f t="shared" si="82"/>
        <v>11738.980000000001</v>
      </c>
      <c r="AI68" s="545">
        <f t="shared" si="64"/>
        <v>220</v>
      </c>
      <c r="AJ68" s="545">
        <f t="shared" si="17"/>
        <v>-69604.069999999949</v>
      </c>
      <c r="AK68" s="545">
        <f t="shared" si="65"/>
        <v>-69384.069999999949</v>
      </c>
      <c r="AL68" s="300">
        <f t="shared" si="83"/>
        <v>310706.37999999995</v>
      </c>
      <c r="AM68" s="449">
        <f t="shared" si="29"/>
        <v>0</v>
      </c>
      <c r="AN68" s="14">
        <f t="shared" si="66"/>
        <v>1196.26</v>
      </c>
      <c r="AO68" s="14">
        <f t="shared" si="50"/>
        <v>236562.40999999997</v>
      </c>
      <c r="AP68" s="14">
        <f t="shared" si="67"/>
        <v>1174.26</v>
      </c>
      <c r="AS68" s="14">
        <f t="shared" si="21"/>
        <v>1196.26</v>
      </c>
      <c r="AT68" s="14">
        <f t="shared" si="31"/>
        <v>11482.04</v>
      </c>
      <c r="AU68" s="300">
        <f t="shared" si="32"/>
        <v>693.87910857666463</v>
      </c>
      <c r="AV68" s="300">
        <f t="shared" si="33"/>
        <v>35097.022539242469</v>
      </c>
    </row>
    <row r="69" spans="1:50" x14ac:dyDescent="0.25">
      <c r="A69" s="535">
        <f t="shared" si="69"/>
        <v>46029</v>
      </c>
      <c r="B69" s="300">
        <f t="shared" si="22"/>
        <v>76627.389999999985</v>
      </c>
      <c r="C69" s="14">
        <f t="shared" si="4"/>
        <v>421.41</v>
      </c>
      <c r="D69" s="14">
        <f t="shared" si="35"/>
        <v>134.06</v>
      </c>
      <c r="E69" s="14">
        <f t="shared" si="5"/>
        <v>287.35000000000002</v>
      </c>
      <c r="F69" s="14">
        <f t="shared" si="51"/>
        <v>134.16999999999999</v>
      </c>
      <c r="G69" s="14">
        <f t="shared" si="52"/>
        <v>188.55</v>
      </c>
      <c r="H69" s="14">
        <f t="shared" si="54"/>
        <v>744.13000000000011</v>
      </c>
      <c r="I69" s="300">
        <f t="shared" si="70"/>
        <v>6988.090000000002</v>
      </c>
      <c r="J69" s="300">
        <f t="shared" si="71"/>
        <v>16501.350000000002</v>
      </c>
      <c r="K69" s="300">
        <f t="shared" si="72"/>
        <v>76493.329999999987</v>
      </c>
      <c r="L69" s="449">
        <f t="shared" si="6"/>
        <v>0</v>
      </c>
      <c r="M69" s="449">
        <f t="shared" si="23"/>
        <v>10</v>
      </c>
      <c r="N69" s="300">
        <f t="shared" si="24"/>
        <v>241102.31</v>
      </c>
      <c r="O69" s="300">
        <f t="shared" si="73"/>
        <v>1617.67</v>
      </c>
      <c r="P69" s="300">
        <f t="shared" si="39"/>
        <v>211.24</v>
      </c>
      <c r="Q69" s="300">
        <f t="shared" si="74"/>
        <v>1406.43</v>
      </c>
      <c r="R69" s="300">
        <f t="shared" si="84"/>
        <v>134.16999999999999</v>
      </c>
      <c r="S69" s="300">
        <f t="shared" si="75"/>
        <v>188.55</v>
      </c>
      <c r="T69" s="300">
        <f t="shared" si="59"/>
        <v>1940.39</v>
      </c>
      <c r="U69" s="300">
        <f t="shared" si="40"/>
        <v>2257.4300000000012</v>
      </c>
      <c r="V69" s="300">
        <f t="shared" si="41"/>
        <v>15536.939999999999</v>
      </c>
      <c r="W69" s="300">
        <f t="shared" si="76"/>
        <v>240891.07</v>
      </c>
      <c r="X69" s="535">
        <f t="shared" si="27"/>
        <v>46029</v>
      </c>
      <c r="Y69" s="300">
        <f t="shared" si="77"/>
        <v>310706.37999999995</v>
      </c>
      <c r="Z69" s="527">
        <f t="shared" si="10"/>
        <v>4.4999999999999998E-2</v>
      </c>
      <c r="AA69" s="300">
        <f t="shared" si="11"/>
        <v>1595.67</v>
      </c>
      <c r="AB69" s="300">
        <f t="shared" si="78"/>
        <v>430.52</v>
      </c>
      <c r="AC69" s="300">
        <f t="shared" si="13"/>
        <v>1165.1500000000001</v>
      </c>
      <c r="AD69" s="300">
        <f t="shared" ref="AD69:AE69" si="91">+AD68</f>
        <v>134.16999999999999</v>
      </c>
      <c r="AE69" s="300">
        <f t="shared" si="91"/>
        <v>188.55</v>
      </c>
      <c r="AF69" s="300">
        <f t="shared" si="80"/>
        <v>1918.39</v>
      </c>
      <c r="AG69" s="300">
        <f t="shared" si="81"/>
        <v>4648.24</v>
      </c>
      <c r="AH69" s="300">
        <f t="shared" si="82"/>
        <v>12904.130000000001</v>
      </c>
      <c r="AI69" s="545">
        <f t="shared" si="64"/>
        <v>242</v>
      </c>
      <c r="AJ69" s="545">
        <f t="shared" si="17"/>
        <v>-69384.789999999921</v>
      </c>
      <c r="AK69" s="545">
        <f t="shared" si="65"/>
        <v>-69142.789999999921</v>
      </c>
      <c r="AL69" s="300">
        <f t="shared" si="83"/>
        <v>310275.85999999993</v>
      </c>
      <c r="AM69" s="449">
        <f t="shared" si="29"/>
        <v>0</v>
      </c>
      <c r="AN69" s="14">
        <f t="shared" si="66"/>
        <v>1196.26</v>
      </c>
      <c r="AO69" s="14">
        <f t="shared" si="50"/>
        <v>236485.22999999998</v>
      </c>
      <c r="AP69" s="14">
        <f t="shared" si="67"/>
        <v>1174.26</v>
      </c>
      <c r="AS69" s="14">
        <f t="shared" si="21"/>
        <v>1196.26</v>
      </c>
      <c r="AT69" s="14">
        <f t="shared" si="31"/>
        <v>12678.300000000001</v>
      </c>
      <c r="AU69" s="300">
        <f t="shared" si="32"/>
        <v>695.6138063481061</v>
      </c>
      <c r="AV69" s="300">
        <f t="shared" si="33"/>
        <v>35792.636345590574</v>
      </c>
    </row>
    <row r="70" spans="1:50" x14ac:dyDescent="0.25">
      <c r="A70" s="535">
        <f t="shared" si="69"/>
        <v>46059</v>
      </c>
      <c r="B70" s="300">
        <f t="shared" si="22"/>
        <v>76493.329999999987</v>
      </c>
      <c r="C70" s="14">
        <f t="shared" si="4"/>
        <v>421.41</v>
      </c>
      <c r="D70" s="14">
        <f t="shared" si="35"/>
        <v>134.56</v>
      </c>
      <c r="E70" s="14">
        <f t="shared" si="5"/>
        <v>286.85000000000002</v>
      </c>
      <c r="F70" s="14">
        <f t="shared" si="51"/>
        <v>134.16999999999999</v>
      </c>
      <c r="G70" s="14">
        <f t="shared" si="52"/>
        <v>188.55</v>
      </c>
      <c r="H70" s="14">
        <f t="shared" si="54"/>
        <v>744.13000000000011</v>
      </c>
      <c r="I70" s="300">
        <f t="shared" si="70"/>
        <v>7122.6500000000024</v>
      </c>
      <c r="J70" s="300">
        <f t="shared" si="71"/>
        <v>16788.2</v>
      </c>
      <c r="K70" s="300">
        <f t="shared" si="72"/>
        <v>76358.76999999999</v>
      </c>
      <c r="L70" s="449">
        <f t="shared" si="6"/>
        <v>0</v>
      </c>
      <c r="M70" s="449">
        <f t="shared" si="23"/>
        <v>11</v>
      </c>
      <c r="N70" s="300">
        <f t="shared" si="24"/>
        <v>240891.07</v>
      </c>
      <c r="O70" s="300">
        <f t="shared" si="73"/>
        <v>1617.67</v>
      </c>
      <c r="P70" s="300">
        <f t="shared" si="39"/>
        <v>212.47000000000003</v>
      </c>
      <c r="Q70" s="300">
        <f t="shared" si="74"/>
        <v>1405.2</v>
      </c>
      <c r="R70" s="300">
        <f t="shared" si="84"/>
        <v>134.16999999999999</v>
      </c>
      <c r="S70" s="300">
        <f t="shared" si="75"/>
        <v>188.55</v>
      </c>
      <c r="T70" s="300">
        <f t="shared" si="59"/>
        <v>1940.39</v>
      </c>
      <c r="U70" s="300">
        <f t="shared" si="40"/>
        <v>2469.9000000000015</v>
      </c>
      <c r="V70" s="300">
        <f t="shared" si="41"/>
        <v>16942.14</v>
      </c>
      <c r="W70" s="300">
        <f t="shared" si="76"/>
        <v>240678.6</v>
      </c>
      <c r="X70" s="535">
        <f t="shared" si="27"/>
        <v>46059</v>
      </c>
      <c r="Y70" s="300">
        <f t="shared" si="77"/>
        <v>310275.85999999993</v>
      </c>
      <c r="Z70" s="527">
        <f t="shared" si="10"/>
        <v>4.4999999999999998E-2</v>
      </c>
      <c r="AA70" s="300">
        <f t="shared" si="11"/>
        <v>1595.67</v>
      </c>
      <c r="AB70" s="300">
        <f t="shared" si="78"/>
        <v>432.1400000000001</v>
      </c>
      <c r="AC70" s="300">
        <f t="shared" si="13"/>
        <v>1163.53</v>
      </c>
      <c r="AD70" s="300">
        <f t="shared" ref="AD70:AE70" si="92">+AD69</f>
        <v>134.16999999999999</v>
      </c>
      <c r="AE70" s="300">
        <f t="shared" si="92"/>
        <v>188.55</v>
      </c>
      <c r="AF70" s="300">
        <f t="shared" si="80"/>
        <v>1918.39</v>
      </c>
      <c r="AG70" s="300">
        <f t="shared" si="81"/>
        <v>5080.38</v>
      </c>
      <c r="AH70" s="300">
        <f t="shared" si="82"/>
        <v>14067.660000000002</v>
      </c>
      <c r="AI70" s="545">
        <f t="shared" si="64"/>
        <v>264</v>
      </c>
      <c r="AJ70" s="545">
        <f t="shared" si="17"/>
        <v>-69165.119999999908</v>
      </c>
      <c r="AK70" s="545">
        <f t="shared" si="65"/>
        <v>-68901.119999999908</v>
      </c>
      <c r="AL70" s="300">
        <f t="shared" si="83"/>
        <v>309843.71999999991</v>
      </c>
      <c r="AM70" s="449">
        <f t="shared" si="29"/>
        <v>0</v>
      </c>
      <c r="AN70" s="14">
        <f t="shared" si="66"/>
        <v>1196.26</v>
      </c>
      <c r="AO70" s="14">
        <f t="shared" si="50"/>
        <v>236407.31999999998</v>
      </c>
      <c r="AP70" s="14">
        <f t="shared" si="67"/>
        <v>1174.26</v>
      </c>
      <c r="AS70" s="14">
        <f t="shared" si="21"/>
        <v>1196.26</v>
      </c>
      <c r="AT70" s="14">
        <f t="shared" si="31"/>
        <v>13874.560000000001</v>
      </c>
      <c r="AU70" s="300">
        <f t="shared" si="32"/>
        <v>697.35284086397644</v>
      </c>
      <c r="AV70" s="300">
        <f t="shared" si="33"/>
        <v>36489.98918645455</v>
      </c>
    </row>
    <row r="71" spans="1:50" x14ac:dyDescent="0.25">
      <c r="A71" s="535">
        <f t="shared" si="69"/>
        <v>46089</v>
      </c>
      <c r="B71" s="300">
        <f t="shared" si="22"/>
        <v>76358.76999999999</v>
      </c>
      <c r="C71" s="14">
        <f t="shared" si="4"/>
        <v>421.41</v>
      </c>
      <c r="D71" s="14">
        <f t="shared" si="35"/>
        <v>135.06</v>
      </c>
      <c r="E71" s="14">
        <f t="shared" si="5"/>
        <v>286.35000000000002</v>
      </c>
      <c r="F71" s="14">
        <f t="shared" si="51"/>
        <v>134.16999999999999</v>
      </c>
      <c r="G71" s="14">
        <f t="shared" si="52"/>
        <v>188.55</v>
      </c>
      <c r="H71" s="14">
        <f t="shared" si="54"/>
        <v>744.13000000000011</v>
      </c>
      <c r="I71" s="300">
        <f t="shared" si="70"/>
        <v>7257.7100000000028</v>
      </c>
      <c r="J71" s="300">
        <f t="shared" si="71"/>
        <v>17074.55</v>
      </c>
      <c r="K71" s="300">
        <f t="shared" si="72"/>
        <v>76223.709999999992</v>
      </c>
      <c r="L71" s="449">
        <f t="shared" si="6"/>
        <v>1</v>
      </c>
      <c r="M71" s="449">
        <f t="shared" si="23"/>
        <v>12</v>
      </c>
      <c r="N71" s="300">
        <f t="shared" si="24"/>
        <v>240678.6</v>
      </c>
      <c r="O71" s="300">
        <f t="shared" si="73"/>
        <v>1617.67</v>
      </c>
      <c r="P71" s="300">
        <f t="shared" si="39"/>
        <v>213.71000000000004</v>
      </c>
      <c r="Q71" s="300">
        <f t="shared" si="74"/>
        <v>1403.96</v>
      </c>
      <c r="R71" s="300">
        <f t="shared" si="84"/>
        <v>134.16999999999999</v>
      </c>
      <c r="S71" s="300">
        <f t="shared" si="75"/>
        <v>188.55</v>
      </c>
      <c r="T71" s="300">
        <f t="shared" si="59"/>
        <v>1940.39</v>
      </c>
      <c r="U71" s="300">
        <f t="shared" si="40"/>
        <v>2683.6100000000015</v>
      </c>
      <c r="V71" s="300">
        <f t="shared" si="41"/>
        <v>18346.099999999999</v>
      </c>
      <c r="W71" s="300">
        <f t="shared" si="76"/>
        <v>240464.89</v>
      </c>
      <c r="X71" s="535">
        <f t="shared" si="27"/>
        <v>46089</v>
      </c>
      <c r="Y71" s="300">
        <f t="shared" si="77"/>
        <v>309843.71999999991</v>
      </c>
      <c r="Z71" s="527">
        <f t="shared" si="10"/>
        <v>4.4999999999999998E-2</v>
      </c>
      <c r="AA71" s="300">
        <f t="shared" si="11"/>
        <v>1595.67</v>
      </c>
      <c r="AB71" s="300">
        <f t="shared" si="78"/>
        <v>433.76</v>
      </c>
      <c r="AC71" s="300">
        <f t="shared" si="13"/>
        <v>1161.9100000000001</v>
      </c>
      <c r="AD71" s="300">
        <f t="shared" ref="AD71:AE71" si="93">+AD70</f>
        <v>134.16999999999999</v>
      </c>
      <c r="AE71" s="300">
        <f t="shared" si="93"/>
        <v>188.55</v>
      </c>
      <c r="AF71" s="300">
        <f t="shared" si="80"/>
        <v>1918.39</v>
      </c>
      <c r="AG71" s="300">
        <f t="shared" si="81"/>
        <v>5514.14</v>
      </c>
      <c r="AH71" s="300">
        <f t="shared" si="82"/>
        <v>15229.570000000002</v>
      </c>
      <c r="AI71" s="545">
        <f t="shared" si="64"/>
        <v>286</v>
      </c>
      <c r="AJ71" s="545">
        <f t="shared" si="17"/>
        <v>-68945.069999999891</v>
      </c>
      <c r="AK71" s="545">
        <f t="shared" si="65"/>
        <v>-68659.069999999891</v>
      </c>
      <c r="AL71" s="300">
        <f t="shared" si="83"/>
        <v>309409.9599999999</v>
      </c>
      <c r="AM71" s="449">
        <f t="shared" si="29"/>
        <v>1</v>
      </c>
      <c r="AN71" s="14">
        <f t="shared" si="66"/>
        <v>1196.26</v>
      </c>
      <c r="AO71" s="14">
        <f t="shared" si="50"/>
        <v>236328.66999999995</v>
      </c>
      <c r="AP71" s="14">
        <f t="shared" si="67"/>
        <v>1174.26</v>
      </c>
      <c r="AS71" s="14">
        <f t="shared" si="21"/>
        <v>1196.26</v>
      </c>
      <c r="AT71" s="14">
        <f t="shared" si="31"/>
        <v>15070.820000000002</v>
      </c>
      <c r="AU71" s="300">
        <f t="shared" si="32"/>
        <v>699.09622296613634</v>
      </c>
      <c r="AV71" s="300">
        <f t="shared" si="33"/>
        <v>37189.085409420688</v>
      </c>
      <c r="AX71" s="510"/>
    </row>
    <row r="72" spans="1:50" x14ac:dyDescent="0.25">
      <c r="A72" s="535">
        <f t="shared" si="69"/>
        <v>46119</v>
      </c>
      <c r="B72" s="300">
        <f t="shared" si="22"/>
        <v>76223.709999999992</v>
      </c>
      <c r="C72" s="14">
        <f t="shared" si="4"/>
        <v>421.41</v>
      </c>
      <c r="D72" s="14">
        <f t="shared" si="35"/>
        <v>135.57000000000005</v>
      </c>
      <c r="E72" s="14">
        <f t="shared" si="5"/>
        <v>285.83999999999997</v>
      </c>
      <c r="F72" s="14">
        <f t="shared" si="51"/>
        <v>134.16999999999999</v>
      </c>
      <c r="G72" s="14">
        <f t="shared" si="52"/>
        <v>188.55</v>
      </c>
      <c r="H72" s="14">
        <f t="shared" si="54"/>
        <v>744.13000000000011</v>
      </c>
      <c r="I72" s="300">
        <f t="shared" si="70"/>
        <v>7393.2800000000025</v>
      </c>
      <c r="J72" s="300">
        <f t="shared" si="71"/>
        <v>17360.39</v>
      </c>
      <c r="K72" s="300">
        <f t="shared" si="72"/>
        <v>76088.139999999985</v>
      </c>
      <c r="L72" s="449">
        <f t="shared" si="6"/>
        <v>1</v>
      </c>
      <c r="M72" s="449">
        <f t="shared" si="23"/>
        <v>13</v>
      </c>
      <c r="N72" s="300">
        <f t="shared" si="24"/>
        <v>240464.89</v>
      </c>
      <c r="O72" s="300">
        <f t="shared" si="73"/>
        <v>1617.67</v>
      </c>
      <c r="P72" s="300">
        <f t="shared" si="39"/>
        <v>214.96000000000004</v>
      </c>
      <c r="Q72" s="300">
        <f t="shared" si="74"/>
        <v>1402.71</v>
      </c>
      <c r="R72" s="300">
        <f t="shared" si="84"/>
        <v>134.16999999999999</v>
      </c>
      <c r="S72" s="300">
        <f t="shared" si="75"/>
        <v>188.55</v>
      </c>
      <c r="T72" s="300">
        <f t="shared" si="59"/>
        <v>1940.39</v>
      </c>
      <c r="U72" s="300">
        <f t="shared" si="40"/>
        <v>2898.5700000000015</v>
      </c>
      <c r="V72" s="300">
        <f t="shared" si="41"/>
        <v>19748.809999999998</v>
      </c>
      <c r="W72" s="300">
        <f t="shared" si="76"/>
        <v>240249.93000000002</v>
      </c>
      <c r="X72" s="535">
        <f t="shared" si="27"/>
        <v>46119</v>
      </c>
      <c r="Y72" s="300">
        <f t="shared" si="77"/>
        <v>309409.9599999999</v>
      </c>
      <c r="Z72" s="527">
        <f t="shared" si="10"/>
        <v>4.4999999999999998E-2</v>
      </c>
      <c r="AA72" s="300">
        <f t="shared" si="11"/>
        <v>1595.67</v>
      </c>
      <c r="AB72" s="300">
        <f t="shared" si="78"/>
        <v>435.38000000000011</v>
      </c>
      <c r="AC72" s="300">
        <f t="shared" si="13"/>
        <v>1160.29</v>
      </c>
      <c r="AD72" s="300">
        <f t="shared" ref="AD72:AE72" si="94">+AD71</f>
        <v>134.16999999999999</v>
      </c>
      <c r="AE72" s="300">
        <f t="shared" si="94"/>
        <v>188.55</v>
      </c>
      <c r="AF72" s="300">
        <f t="shared" si="80"/>
        <v>1918.39</v>
      </c>
      <c r="AG72" s="300">
        <f t="shared" si="81"/>
        <v>5949.52</v>
      </c>
      <c r="AH72" s="300">
        <f t="shared" si="82"/>
        <v>16389.86</v>
      </c>
      <c r="AI72" s="545">
        <f t="shared" si="64"/>
        <v>308</v>
      </c>
      <c r="AJ72" s="545">
        <f t="shared" si="17"/>
        <v>-68724.649999999878</v>
      </c>
      <c r="AK72" s="545">
        <f t="shared" si="65"/>
        <v>-68416.649999999878</v>
      </c>
      <c r="AL72" s="300">
        <f t="shared" si="83"/>
        <v>308974.5799999999</v>
      </c>
      <c r="AM72" s="449">
        <f t="shared" si="29"/>
        <v>1</v>
      </c>
      <c r="AN72" s="14">
        <f t="shared" si="66"/>
        <v>1196.26</v>
      </c>
      <c r="AO72" s="14">
        <f t="shared" si="50"/>
        <v>236249.27999999997</v>
      </c>
      <c r="AP72" s="14">
        <f t="shared" si="67"/>
        <v>1174.26</v>
      </c>
      <c r="AS72" s="14">
        <f t="shared" si="21"/>
        <v>1196.26</v>
      </c>
      <c r="AT72" s="14">
        <f t="shared" si="31"/>
        <v>16267.080000000002</v>
      </c>
      <c r="AU72" s="300">
        <f t="shared" si="32"/>
        <v>700.84396352355168</v>
      </c>
      <c r="AV72" s="300">
        <f t="shared" si="33"/>
        <v>37889.929372944236</v>
      </c>
      <c r="AX72" s="510"/>
    </row>
    <row r="73" spans="1:50" x14ac:dyDescent="0.25">
      <c r="A73" s="535">
        <f t="shared" si="69"/>
        <v>46149</v>
      </c>
      <c r="B73" s="300">
        <f t="shared" si="22"/>
        <v>76088.139999999985</v>
      </c>
      <c r="C73" s="14">
        <f t="shared" si="4"/>
        <v>421.41</v>
      </c>
      <c r="D73" s="14">
        <f t="shared" si="35"/>
        <v>136.08000000000004</v>
      </c>
      <c r="E73" s="14">
        <f t="shared" si="5"/>
        <v>285.33</v>
      </c>
      <c r="F73" s="14">
        <f t="shared" si="51"/>
        <v>134.16999999999999</v>
      </c>
      <c r="G73" s="14">
        <f t="shared" si="52"/>
        <v>188.55</v>
      </c>
      <c r="H73" s="14">
        <f t="shared" si="54"/>
        <v>744.13000000000011</v>
      </c>
      <c r="I73" s="300">
        <f t="shared" si="70"/>
        <v>7529.3600000000024</v>
      </c>
      <c r="J73" s="300">
        <f t="shared" si="71"/>
        <v>17645.72</v>
      </c>
      <c r="K73" s="300">
        <f t="shared" si="72"/>
        <v>75952.059999999983</v>
      </c>
      <c r="L73" s="449">
        <f t="shared" si="6"/>
        <v>1</v>
      </c>
      <c r="M73" s="449">
        <f t="shared" si="23"/>
        <v>14</v>
      </c>
      <c r="N73" s="300">
        <f t="shared" si="24"/>
        <v>240249.93000000002</v>
      </c>
      <c r="O73" s="300">
        <f t="shared" si="73"/>
        <v>1617.67</v>
      </c>
      <c r="P73" s="300">
        <f t="shared" si="39"/>
        <v>216.21000000000004</v>
      </c>
      <c r="Q73" s="300">
        <f t="shared" si="74"/>
        <v>1401.46</v>
      </c>
      <c r="R73" s="300">
        <f t="shared" si="84"/>
        <v>134.16999999999999</v>
      </c>
      <c r="S73" s="300">
        <f t="shared" si="75"/>
        <v>188.55</v>
      </c>
      <c r="T73" s="300">
        <f t="shared" si="59"/>
        <v>1940.39</v>
      </c>
      <c r="U73" s="300">
        <f t="shared" si="40"/>
        <v>3114.7800000000016</v>
      </c>
      <c r="V73" s="300">
        <f t="shared" si="41"/>
        <v>21150.269999999997</v>
      </c>
      <c r="W73" s="300">
        <f t="shared" si="76"/>
        <v>240033.72000000003</v>
      </c>
      <c r="X73" s="535">
        <f t="shared" si="27"/>
        <v>46149</v>
      </c>
      <c r="Y73" s="300">
        <f t="shared" si="77"/>
        <v>308974.5799999999</v>
      </c>
      <c r="Z73" s="527">
        <f t="shared" si="10"/>
        <v>4.4999999999999998E-2</v>
      </c>
      <c r="AA73" s="300">
        <f t="shared" si="11"/>
        <v>1595.67</v>
      </c>
      <c r="AB73" s="300">
        <f t="shared" si="78"/>
        <v>437.02</v>
      </c>
      <c r="AC73" s="300">
        <f t="shared" si="13"/>
        <v>1158.6500000000001</v>
      </c>
      <c r="AD73" s="300">
        <f t="shared" ref="AD73:AE73" si="95">+AD72</f>
        <v>134.16999999999999</v>
      </c>
      <c r="AE73" s="300">
        <f t="shared" si="95"/>
        <v>188.55</v>
      </c>
      <c r="AF73" s="300">
        <f t="shared" si="80"/>
        <v>1918.39</v>
      </c>
      <c r="AG73" s="300">
        <f t="shared" si="81"/>
        <v>6386.5400000000009</v>
      </c>
      <c r="AH73" s="300">
        <f t="shared" si="82"/>
        <v>17548.510000000002</v>
      </c>
      <c r="AI73" s="545">
        <f t="shared" si="64"/>
        <v>330</v>
      </c>
      <c r="AJ73" s="545">
        <f t="shared" si="17"/>
        <v>-68503.839999999851</v>
      </c>
      <c r="AK73" s="545">
        <f t="shared" si="65"/>
        <v>-68173.839999999851</v>
      </c>
      <c r="AL73" s="300">
        <f t="shared" si="83"/>
        <v>308537.55999999988</v>
      </c>
      <c r="AM73" s="449">
        <f t="shared" si="29"/>
        <v>1</v>
      </c>
      <c r="AN73" s="14">
        <f t="shared" si="66"/>
        <v>1196.26</v>
      </c>
      <c r="AO73" s="14">
        <f t="shared" si="50"/>
        <v>236169.15</v>
      </c>
      <c r="AP73" s="14">
        <f t="shared" si="67"/>
        <v>1174.26</v>
      </c>
      <c r="AS73" s="14">
        <f t="shared" si="21"/>
        <v>1196.26</v>
      </c>
      <c r="AT73" s="14">
        <f t="shared" si="31"/>
        <v>17463.34</v>
      </c>
      <c r="AU73" s="300">
        <f t="shared" si="32"/>
        <v>702.59607343236064</v>
      </c>
      <c r="AV73" s="300">
        <f t="shared" si="33"/>
        <v>38592.525446376596</v>
      </c>
    </row>
    <row r="74" spans="1:50" ht="15.75" thickBot="1" x14ac:dyDescent="0.3">
      <c r="A74" s="538">
        <f t="shared" si="69"/>
        <v>46179</v>
      </c>
      <c r="B74" s="369">
        <f t="shared" si="22"/>
        <v>75952.059999999983</v>
      </c>
      <c r="C74" s="21">
        <f t="shared" si="4"/>
        <v>421.41</v>
      </c>
      <c r="D74" s="21">
        <f t="shared" si="35"/>
        <v>136.59000000000003</v>
      </c>
      <c r="E74" s="21">
        <f t="shared" si="5"/>
        <v>284.82</v>
      </c>
      <c r="F74" s="21">
        <f t="shared" si="51"/>
        <v>134.16999999999999</v>
      </c>
      <c r="G74" s="21">
        <f t="shared" si="52"/>
        <v>188.55</v>
      </c>
      <c r="H74" s="21">
        <f t="shared" si="54"/>
        <v>744.13000000000011</v>
      </c>
      <c r="I74" s="369">
        <f t="shared" si="70"/>
        <v>7665.9500000000025</v>
      </c>
      <c r="J74" s="369">
        <f t="shared" si="71"/>
        <v>17930.54</v>
      </c>
      <c r="K74" s="369">
        <f t="shared" si="72"/>
        <v>75815.469999999987</v>
      </c>
      <c r="L74" s="450">
        <f t="shared" si="6"/>
        <v>1</v>
      </c>
      <c r="M74" s="450">
        <f t="shared" si="23"/>
        <v>15</v>
      </c>
      <c r="N74" s="369">
        <f t="shared" si="24"/>
        <v>240033.72000000003</v>
      </c>
      <c r="O74" s="369">
        <f t="shared" si="73"/>
        <v>1617.67</v>
      </c>
      <c r="P74" s="369">
        <f t="shared" si="39"/>
        <v>217.47000000000003</v>
      </c>
      <c r="Q74" s="369">
        <f t="shared" si="74"/>
        <v>1400.2</v>
      </c>
      <c r="R74" s="369">
        <f t="shared" si="84"/>
        <v>134.16999999999999</v>
      </c>
      <c r="S74" s="369">
        <f t="shared" si="75"/>
        <v>188.55</v>
      </c>
      <c r="T74" s="369">
        <f t="shared" si="59"/>
        <v>1940.39</v>
      </c>
      <c r="U74" s="369">
        <f t="shared" si="40"/>
        <v>3332.2500000000018</v>
      </c>
      <c r="V74" s="369">
        <f t="shared" si="41"/>
        <v>22550.469999999998</v>
      </c>
      <c r="W74" s="369">
        <f t="shared" si="76"/>
        <v>239816.25000000003</v>
      </c>
      <c r="X74" s="538">
        <f t="shared" si="27"/>
        <v>46179</v>
      </c>
      <c r="Y74" s="369">
        <f t="shared" si="77"/>
        <v>308537.55999999988</v>
      </c>
      <c r="Z74" s="528">
        <f t="shared" si="10"/>
        <v>4.4999999999999998E-2</v>
      </c>
      <c r="AA74" s="369">
        <f t="shared" si="11"/>
        <v>1595.67</v>
      </c>
      <c r="AB74" s="369">
        <f t="shared" si="78"/>
        <v>438.65000000000009</v>
      </c>
      <c r="AC74" s="369">
        <f t="shared" si="13"/>
        <v>1157.02</v>
      </c>
      <c r="AD74" s="369">
        <f t="shared" ref="AD74:AE74" si="96">+AD73</f>
        <v>134.16999999999999</v>
      </c>
      <c r="AE74" s="369">
        <f t="shared" si="96"/>
        <v>188.55</v>
      </c>
      <c r="AF74" s="369">
        <f t="shared" si="80"/>
        <v>1918.39</v>
      </c>
      <c r="AG74" s="369">
        <f t="shared" si="81"/>
        <v>6825.1900000000005</v>
      </c>
      <c r="AH74" s="369">
        <f t="shared" si="82"/>
        <v>18705.530000000002</v>
      </c>
      <c r="AI74" s="546">
        <f t="shared" si="64"/>
        <v>352</v>
      </c>
      <c r="AJ74" s="546">
        <f t="shared" si="17"/>
        <v>-68282.659999999829</v>
      </c>
      <c r="AK74" s="546">
        <f t="shared" si="65"/>
        <v>-67930.659999999829</v>
      </c>
      <c r="AL74" s="369">
        <f t="shared" si="83"/>
        <v>308098.90999999986</v>
      </c>
      <c r="AM74" s="450">
        <f t="shared" si="29"/>
        <v>1</v>
      </c>
      <c r="AN74" s="21">
        <f t="shared" si="66"/>
        <v>1196.26</v>
      </c>
      <c r="AO74" s="21">
        <f t="shared" si="50"/>
        <v>236088.27</v>
      </c>
      <c r="AP74" s="21">
        <f t="shared" si="67"/>
        <v>1174.26</v>
      </c>
      <c r="AQ74" s="21"/>
      <c r="AR74" s="23"/>
      <c r="AS74" s="21">
        <f t="shared" si="21"/>
        <v>1196.26</v>
      </c>
      <c r="AT74" s="21">
        <f t="shared" si="31"/>
        <v>18659.599999999999</v>
      </c>
      <c r="AU74" s="369">
        <f t="shared" si="32"/>
        <v>704.35256361594145</v>
      </c>
      <c r="AV74" s="369">
        <f t="shared" si="33"/>
        <v>39296.878009992535</v>
      </c>
    </row>
    <row r="75" spans="1:50" x14ac:dyDescent="0.25">
      <c r="A75" s="535">
        <f t="shared" si="69"/>
        <v>46209</v>
      </c>
      <c r="B75" s="300">
        <f t="shared" si="22"/>
        <v>75815.469999999987</v>
      </c>
      <c r="C75" s="14">
        <f t="shared" si="4"/>
        <v>421.41</v>
      </c>
      <c r="D75" s="14">
        <f t="shared" si="35"/>
        <v>137.10000000000002</v>
      </c>
      <c r="E75" s="14">
        <f t="shared" si="5"/>
        <v>284.31</v>
      </c>
      <c r="F75" s="14">
        <f t="shared" si="51"/>
        <v>134.16999999999999</v>
      </c>
      <c r="G75" s="14">
        <f t="shared" si="52"/>
        <v>188.55</v>
      </c>
      <c r="H75" s="14">
        <f t="shared" si="54"/>
        <v>744.13000000000011</v>
      </c>
      <c r="I75" s="300">
        <f t="shared" si="70"/>
        <v>7803.0500000000029</v>
      </c>
      <c r="J75" s="300">
        <f t="shared" si="71"/>
        <v>18214.850000000002</v>
      </c>
      <c r="K75" s="300">
        <f t="shared" si="72"/>
        <v>75678.369999999981</v>
      </c>
      <c r="L75" s="449">
        <f t="shared" si="6"/>
        <v>1</v>
      </c>
      <c r="M75" s="449">
        <f t="shared" si="23"/>
        <v>16</v>
      </c>
      <c r="N75" s="300">
        <f t="shared" si="24"/>
        <v>239816.25000000003</v>
      </c>
      <c r="O75" s="300">
        <f t="shared" si="73"/>
        <v>1617.67</v>
      </c>
      <c r="P75" s="300">
        <f t="shared" si="39"/>
        <v>218.74</v>
      </c>
      <c r="Q75" s="300">
        <f t="shared" si="74"/>
        <v>1398.93</v>
      </c>
      <c r="R75" s="300">
        <f t="shared" si="84"/>
        <v>134.16999999999999</v>
      </c>
      <c r="S75" s="300">
        <f t="shared" si="75"/>
        <v>188.55</v>
      </c>
      <c r="T75" s="300">
        <f t="shared" si="59"/>
        <v>1940.39</v>
      </c>
      <c r="U75" s="300">
        <f t="shared" si="40"/>
        <v>3550.9900000000016</v>
      </c>
      <c r="V75" s="300">
        <f t="shared" si="41"/>
        <v>23949.399999999998</v>
      </c>
      <c r="W75" s="300">
        <f t="shared" si="76"/>
        <v>239597.51000000004</v>
      </c>
      <c r="X75" s="535">
        <f t="shared" si="27"/>
        <v>46209</v>
      </c>
      <c r="Y75" s="300">
        <f t="shared" si="77"/>
        <v>308098.90999999986</v>
      </c>
      <c r="Z75" s="527">
        <f t="shared" si="10"/>
        <v>4.4999999999999998E-2</v>
      </c>
      <c r="AA75" s="300">
        <f t="shared" si="11"/>
        <v>1595.67</v>
      </c>
      <c r="AB75" s="300">
        <f t="shared" si="78"/>
        <v>440.30000000000018</v>
      </c>
      <c r="AC75" s="300">
        <f t="shared" si="13"/>
        <v>1155.3699999999999</v>
      </c>
      <c r="AD75" s="300">
        <f t="shared" ref="AD75:AE75" si="97">+AD74</f>
        <v>134.16999999999999</v>
      </c>
      <c r="AE75" s="300">
        <f t="shared" si="97"/>
        <v>188.55</v>
      </c>
      <c r="AF75" s="300">
        <f t="shared" si="80"/>
        <v>1918.39</v>
      </c>
      <c r="AG75" s="300">
        <f t="shared" si="81"/>
        <v>7265.4900000000007</v>
      </c>
      <c r="AH75" s="300">
        <f t="shared" si="82"/>
        <v>19860.900000000001</v>
      </c>
      <c r="AI75" s="545">
        <f t="shared" si="64"/>
        <v>374</v>
      </c>
      <c r="AJ75" s="545">
        <f t="shared" si="17"/>
        <v>-68061.099999999831</v>
      </c>
      <c r="AK75" s="545">
        <f t="shared" si="65"/>
        <v>-67687.099999999831</v>
      </c>
      <c r="AL75" s="300">
        <f t="shared" si="83"/>
        <v>307658.60999999987</v>
      </c>
      <c r="AM75" s="449">
        <f t="shared" si="29"/>
        <v>1</v>
      </c>
      <c r="AN75" s="14">
        <f t="shared" si="66"/>
        <v>1196.26</v>
      </c>
      <c r="AO75" s="14">
        <f t="shared" si="50"/>
        <v>236006.63</v>
      </c>
      <c r="AP75" s="14">
        <f t="shared" si="67"/>
        <v>1174.26</v>
      </c>
      <c r="AS75" s="14">
        <f t="shared" si="21"/>
        <v>1196.26</v>
      </c>
      <c r="AT75" s="14">
        <f t="shared" si="31"/>
        <v>19855.859999999997</v>
      </c>
      <c r="AU75" s="300">
        <f t="shared" si="32"/>
        <v>706.11344502498139</v>
      </c>
      <c r="AV75" s="300">
        <f t="shared" si="33"/>
        <v>40002.991455017516</v>
      </c>
    </row>
    <row r="76" spans="1:50" x14ac:dyDescent="0.25">
      <c r="A76" s="535">
        <f t="shared" si="69"/>
        <v>46239</v>
      </c>
      <c r="B76" s="300">
        <f t="shared" si="22"/>
        <v>75678.369999999981</v>
      </c>
      <c r="C76" s="14">
        <f t="shared" si="4"/>
        <v>421.41</v>
      </c>
      <c r="D76" s="14">
        <f t="shared" si="35"/>
        <v>137.62</v>
      </c>
      <c r="E76" s="14">
        <f t="shared" si="5"/>
        <v>283.79000000000002</v>
      </c>
      <c r="F76" s="14">
        <f t="shared" si="51"/>
        <v>134.16999999999999</v>
      </c>
      <c r="G76" s="14">
        <f t="shared" si="52"/>
        <v>188.55</v>
      </c>
      <c r="H76" s="14">
        <f t="shared" si="54"/>
        <v>744.13000000000011</v>
      </c>
      <c r="I76" s="300">
        <f t="shared" si="70"/>
        <v>7940.6700000000028</v>
      </c>
      <c r="J76" s="300">
        <f t="shared" si="71"/>
        <v>18498.640000000003</v>
      </c>
      <c r="K76" s="300">
        <f t="shared" si="72"/>
        <v>75540.749999999985</v>
      </c>
      <c r="L76" s="449">
        <f t="shared" si="6"/>
        <v>1</v>
      </c>
      <c r="M76" s="449">
        <f t="shared" si="23"/>
        <v>17</v>
      </c>
      <c r="N76" s="300">
        <f t="shared" si="24"/>
        <v>239597.51000000004</v>
      </c>
      <c r="O76" s="300">
        <f t="shared" si="73"/>
        <v>1617.67</v>
      </c>
      <c r="P76" s="300">
        <f t="shared" si="39"/>
        <v>220.01999999999998</v>
      </c>
      <c r="Q76" s="300">
        <f t="shared" si="74"/>
        <v>1397.65</v>
      </c>
      <c r="R76" s="300">
        <f t="shared" si="84"/>
        <v>134.16999999999999</v>
      </c>
      <c r="S76" s="300">
        <f t="shared" si="75"/>
        <v>188.55</v>
      </c>
      <c r="T76" s="300">
        <f t="shared" si="59"/>
        <v>1940.39</v>
      </c>
      <c r="U76" s="300">
        <f t="shared" si="40"/>
        <v>3771.0100000000016</v>
      </c>
      <c r="V76" s="300">
        <f t="shared" si="41"/>
        <v>25347.05</v>
      </c>
      <c r="W76" s="300">
        <f t="shared" si="76"/>
        <v>239377.49000000005</v>
      </c>
      <c r="X76" s="535">
        <f t="shared" si="27"/>
        <v>46239</v>
      </c>
      <c r="Y76" s="300">
        <f t="shared" si="77"/>
        <v>307658.60999999987</v>
      </c>
      <c r="Z76" s="527">
        <f t="shared" si="10"/>
        <v>4.4999999999999998E-2</v>
      </c>
      <c r="AA76" s="300">
        <f t="shared" si="11"/>
        <v>1595.67</v>
      </c>
      <c r="AB76" s="300">
        <f t="shared" si="78"/>
        <v>441.95000000000005</v>
      </c>
      <c r="AC76" s="300">
        <f t="shared" si="13"/>
        <v>1153.72</v>
      </c>
      <c r="AD76" s="300">
        <f t="shared" ref="AD76:AE76" si="98">+AD75</f>
        <v>134.16999999999999</v>
      </c>
      <c r="AE76" s="300">
        <f t="shared" si="98"/>
        <v>188.55</v>
      </c>
      <c r="AF76" s="300">
        <f t="shared" si="80"/>
        <v>1918.39</v>
      </c>
      <c r="AG76" s="300">
        <f t="shared" si="81"/>
        <v>7707.4400000000005</v>
      </c>
      <c r="AH76" s="300">
        <f t="shared" si="82"/>
        <v>21014.620000000003</v>
      </c>
      <c r="AI76" s="545">
        <f t="shared" si="64"/>
        <v>396</v>
      </c>
      <c r="AJ76" s="545">
        <f t="shared" si="17"/>
        <v>-67839.169999999809</v>
      </c>
      <c r="AK76" s="545">
        <f t="shared" si="65"/>
        <v>-67443.169999999809</v>
      </c>
      <c r="AL76" s="300">
        <f t="shared" si="83"/>
        <v>307216.65999999986</v>
      </c>
      <c r="AM76" s="449">
        <f t="shared" si="29"/>
        <v>1</v>
      </c>
      <c r="AN76" s="14">
        <f t="shared" si="66"/>
        <v>1196.26</v>
      </c>
      <c r="AO76" s="14">
        <f t="shared" si="50"/>
        <v>235924.22999999998</v>
      </c>
      <c r="AP76" s="14">
        <f t="shared" si="67"/>
        <v>1174.26</v>
      </c>
      <c r="AS76" s="14">
        <f t="shared" si="21"/>
        <v>1196.26</v>
      </c>
      <c r="AT76" s="14">
        <f t="shared" si="31"/>
        <v>21052.119999999995</v>
      </c>
      <c r="AU76" s="300">
        <f t="shared" si="32"/>
        <v>707.87872863754376</v>
      </c>
      <c r="AV76" s="300">
        <f t="shared" si="33"/>
        <v>40710.870183655061</v>
      </c>
    </row>
    <row r="77" spans="1:50" x14ac:dyDescent="0.25">
      <c r="A77" s="535">
        <f t="shared" si="69"/>
        <v>46269</v>
      </c>
      <c r="B77" s="300">
        <f t="shared" si="22"/>
        <v>75540.749999999985</v>
      </c>
      <c r="C77" s="14">
        <f t="shared" si="4"/>
        <v>421.41</v>
      </c>
      <c r="D77" s="14">
        <f t="shared" si="35"/>
        <v>138.13000000000005</v>
      </c>
      <c r="E77" s="14">
        <f t="shared" si="5"/>
        <v>283.27999999999997</v>
      </c>
      <c r="F77" s="14">
        <f t="shared" si="51"/>
        <v>134.16999999999999</v>
      </c>
      <c r="G77" s="14">
        <f t="shared" si="52"/>
        <v>188.55</v>
      </c>
      <c r="H77" s="14">
        <f t="shared" si="54"/>
        <v>744.13000000000011</v>
      </c>
      <c r="I77" s="300">
        <f t="shared" si="70"/>
        <v>8078.8000000000029</v>
      </c>
      <c r="J77" s="300">
        <f t="shared" si="71"/>
        <v>18781.920000000002</v>
      </c>
      <c r="K77" s="300">
        <f t="shared" si="72"/>
        <v>75402.619999999981</v>
      </c>
      <c r="L77" s="449">
        <f t="shared" si="6"/>
        <v>1</v>
      </c>
      <c r="M77" s="449">
        <f t="shared" si="23"/>
        <v>18</v>
      </c>
      <c r="N77" s="300">
        <f t="shared" si="24"/>
        <v>239377.49000000005</v>
      </c>
      <c r="O77" s="300">
        <f t="shared" si="73"/>
        <v>1617.67</v>
      </c>
      <c r="P77" s="300">
        <f t="shared" si="39"/>
        <v>221.30000000000018</v>
      </c>
      <c r="Q77" s="300">
        <f t="shared" si="74"/>
        <v>1396.37</v>
      </c>
      <c r="R77" s="300">
        <f t="shared" si="84"/>
        <v>134.16999999999999</v>
      </c>
      <c r="S77" s="300">
        <f t="shared" si="75"/>
        <v>188.55</v>
      </c>
      <c r="T77" s="300">
        <f t="shared" si="59"/>
        <v>1940.39</v>
      </c>
      <c r="U77" s="300">
        <f t="shared" si="40"/>
        <v>3992.3100000000018</v>
      </c>
      <c r="V77" s="300">
        <f t="shared" si="41"/>
        <v>26743.42</v>
      </c>
      <c r="W77" s="300">
        <f t="shared" si="76"/>
        <v>239156.19000000006</v>
      </c>
      <c r="X77" s="535">
        <f t="shared" si="27"/>
        <v>46269</v>
      </c>
      <c r="Y77" s="300">
        <f t="shared" si="77"/>
        <v>307216.65999999986</v>
      </c>
      <c r="Z77" s="527">
        <f t="shared" si="10"/>
        <v>4.4999999999999998E-2</v>
      </c>
      <c r="AA77" s="300">
        <f t="shared" si="11"/>
        <v>1595.67</v>
      </c>
      <c r="AB77" s="300">
        <f t="shared" si="78"/>
        <v>443.61000000000013</v>
      </c>
      <c r="AC77" s="300">
        <f t="shared" si="13"/>
        <v>1152.06</v>
      </c>
      <c r="AD77" s="300">
        <f t="shared" ref="AD77:AE77" si="99">+AD76</f>
        <v>134.16999999999999</v>
      </c>
      <c r="AE77" s="300">
        <f t="shared" si="99"/>
        <v>188.55</v>
      </c>
      <c r="AF77" s="300">
        <f t="shared" si="80"/>
        <v>1918.39</v>
      </c>
      <c r="AG77" s="300">
        <f t="shared" si="81"/>
        <v>8151.0500000000011</v>
      </c>
      <c r="AH77" s="300">
        <f t="shared" si="82"/>
        <v>22166.680000000004</v>
      </c>
      <c r="AI77" s="545">
        <f t="shared" si="64"/>
        <v>418</v>
      </c>
      <c r="AJ77" s="545">
        <f t="shared" si="17"/>
        <v>-67616.859999999811</v>
      </c>
      <c r="AK77" s="545">
        <f t="shared" si="65"/>
        <v>-67198.859999999811</v>
      </c>
      <c r="AL77" s="300">
        <f t="shared" si="83"/>
        <v>306773.04999999987</v>
      </c>
      <c r="AM77" s="449">
        <f t="shared" si="29"/>
        <v>1</v>
      </c>
      <c r="AN77" s="14">
        <f t="shared" si="66"/>
        <v>1196.26</v>
      </c>
      <c r="AO77" s="14">
        <f t="shared" si="50"/>
        <v>235841.06</v>
      </c>
      <c r="AP77" s="14">
        <f t="shared" si="67"/>
        <v>1174.26</v>
      </c>
      <c r="AS77" s="14">
        <f t="shared" si="21"/>
        <v>1196.26</v>
      </c>
      <c r="AT77" s="14">
        <f t="shared" si="31"/>
        <v>22248.379999999994</v>
      </c>
      <c r="AU77" s="300">
        <f t="shared" si="32"/>
        <v>709.64842545913768</v>
      </c>
      <c r="AV77" s="300">
        <f t="shared" si="33"/>
        <v>41420.518609114195</v>
      </c>
    </row>
    <row r="78" spans="1:50" x14ac:dyDescent="0.25">
      <c r="A78" s="535">
        <f t="shared" si="69"/>
        <v>46299</v>
      </c>
      <c r="B78" s="300">
        <f t="shared" si="22"/>
        <v>75402.619999999981</v>
      </c>
      <c r="C78" s="14">
        <f t="shared" si="4"/>
        <v>421.41</v>
      </c>
      <c r="D78" s="14">
        <f t="shared" si="35"/>
        <v>138.65000000000003</v>
      </c>
      <c r="E78" s="14">
        <f t="shared" si="5"/>
        <v>282.76</v>
      </c>
      <c r="F78" s="14">
        <f t="shared" si="51"/>
        <v>134.16999999999999</v>
      </c>
      <c r="G78" s="14">
        <f t="shared" si="52"/>
        <v>188.55</v>
      </c>
      <c r="H78" s="14">
        <f t="shared" si="54"/>
        <v>744.13000000000011</v>
      </c>
      <c r="I78" s="300">
        <f t="shared" si="70"/>
        <v>8217.4500000000025</v>
      </c>
      <c r="J78" s="300">
        <f t="shared" si="71"/>
        <v>19064.68</v>
      </c>
      <c r="K78" s="300">
        <f t="shared" si="72"/>
        <v>75263.969999999987</v>
      </c>
      <c r="L78" s="449">
        <f t="shared" si="6"/>
        <v>1</v>
      </c>
      <c r="M78" s="449">
        <f t="shared" si="23"/>
        <v>19</v>
      </c>
      <c r="N78" s="300">
        <f t="shared" si="24"/>
        <v>239156.19000000006</v>
      </c>
      <c r="O78" s="300">
        <f t="shared" si="73"/>
        <v>1617.67</v>
      </c>
      <c r="P78" s="300">
        <f t="shared" si="39"/>
        <v>222.59000000000015</v>
      </c>
      <c r="Q78" s="300">
        <f t="shared" si="74"/>
        <v>1395.08</v>
      </c>
      <c r="R78" s="300">
        <f t="shared" si="84"/>
        <v>134.16999999999999</v>
      </c>
      <c r="S78" s="300">
        <f t="shared" si="75"/>
        <v>188.55</v>
      </c>
      <c r="T78" s="300">
        <f t="shared" si="59"/>
        <v>1940.39</v>
      </c>
      <c r="U78" s="300">
        <f t="shared" si="40"/>
        <v>4214.9000000000015</v>
      </c>
      <c r="V78" s="300">
        <f t="shared" si="41"/>
        <v>28138.5</v>
      </c>
      <c r="W78" s="300">
        <f t="shared" si="76"/>
        <v>238933.60000000006</v>
      </c>
      <c r="X78" s="535">
        <f t="shared" si="27"/>
        <v>46299</v>
      </c>
      <c r="Y78" s="300">
        <f t="shared" si="77"/>
        <v>306773.04999999987</v>
      </c>
      <c r="Z78" s="527">
        <f t="shared" si="10"/>
        <v>4.4999999999999998E-2</v>
      </c>
      <c r="AA78" s="300">
        <f t="shared" si="11"/>
        <v>1595.67</v>
      </c>
      <c r="AB78" s="300">
        <f t="shared" si="78"/>
        <v>445.27</v>
      </c>
      <c r="AC78" s="300">
        <f t="shared" si="13"/>
        <v>1150.4000000000001</v>
      </c>
      <c r="AD78" s="300">
        <f t="shared" ref="AD78:AE78" si="100">+AD77</f>
        <v>134.16999999999999</v>
      </c>
      <c r="AE78" s="300">
        <f t="shared" si="100"/>
        <v>188.55</v>
      </c>
      <c r="AF78" s="300">
        <f t="shared" si="80"/>
        <v>1918.39</v>
      </c>
      <c r="AG78" s="300">
        <f t="shared" si="81"/>
        <v>8596.3200000000015</v>
      </c>
      <c r="AH78" s="300">
        <f t="shared" si="82"/>
        <v>23317.080000000005</v>
      </c>
      <c r="AI78" s="545">
        <f t="shared" si="64"/>
        <v>440</v>
      </c>
      <c r="AJ78" s="545">
        <f t="shared" si="17"/>
        <v>-67394.179999999789</v>
      </c>
      <c r="AK78" s="545">
        <f t="shared" si="65"/>
        <v>-66954.179999999789</v>
      </c>
      <c r="AL78" s="300">
        <f t="shared" si="83"/>
        <v>306327.77999999985</v>
      </c>
      <c r="AM78" s="449">
        <f t="shared" si="29"/>
        <v>1</v>
      </c>
      <c r="AN78" s="14">
        <f t="shared" si="66"/>
        <v>1196.26</v>
      </c>
      <c r="AO78" s="14">
        <f t="shared" si="50"/>
        <v>235757.12</v>
      </c>
      <c r="AP78" s="14">
        <f t="shared" si="67"/>
        <v>1174.26</v>
      </c>
      <c r="AS78" s="14">
        <f t="shared" si="21"/>
        <v>1196.26</v>
      </c>
      <c r="AT78" s="14">
        <f t="shared" si="31"/>
        <v>23444.639999999992</v>
      </c>
      <c r="AU78" s="300">
        <f t="shared" si="32"/>
        <v>711.42254652278552</v>
      </c>
      <c r="AV78" s="300">
        <f t="shared" si="33"/>
        <v>42131.941155636981</v>
      </c>
    </row>
    <row r="79" spans="1:50" x14ac:dyDescent="0.25">
      <c r="A79" s="535">
        <f t="shared" si="69"/>
        <v>46329</v>
      </c>
      <c r="B79" s="300">
        <f t="shared" si="22"/>
        <v>75263.969999999987</v>
      </c>
      <c r="C79" s="14">
        <f t="shared" ref="C79:C142" si="101">IF(+$K78&lt;=0,0,$C$5)</f>
        <v>421.41</v>
      </c>
      <c r="D79" s="14">
        <f t="shared" si="35"/>
        <v>139.17000000000002</v>
      </c>
      <c r="E79" s="14">
        <f t="shared" ref="E79:E142" si="102">ROUND($B79*($C$3/12), 2)</f>
        <v>282.24</v>
      </c>
      <c r="F79" s="14">
        <f t="shared" si="51"/>
        <v>134.16999999999999</v>
      </c>
      <c r="G79" s="14">
        <f t="shared" si="52"/>
        <v>188.55</v>
      </c>
      <c r="H79" s="14">
        <f t="shared" si="54"/>
        <v>744.13000000000011</v>
      </c>
      <c r="I79" s="300">
        <f t="shared" si="70"/>
        <v>8356.6200000000026</v>
      </c>
      <c r="J79" s="300">
        <f t="shared" si="71"/>
        <v>19346.920000000002</v>
      </c>
      <c r="K79" s="300">
        <f t="shared" si="72"/>
        <v>75124.799999999988</v>
      </c>
      <c r="L79" s="449">
        <f t="shared" ref="L79:L107" si="103">IF(MOD(M79,12)=0,M79/12,L78)</f>
        <v>1</v>
      </c>
      <c r="M79" s="449">
        <f t="shared" si="23"/>
        <v>20</v>
      </c>
      <c r="N79" s="300">
        <f t="shared" si="24"/>
        <v>238933.60000000006</v>
      </c>
      <c r="O79" s="300">
        <f t="shared" si="73"/>
        <v>1617.67</v>
      </c>
      <c r="P79" s="300">
        <f t="shared" si="39"/>
        <v>223.8900000000001</v>
      </c>
      <c r="Q79" s="300">
        <f t="shared" si="74"/>
        <v>1393.78</v>
      </c>
      <c r="R79" s="300">
        <f t="shared" si="84"/>
        <v>134.16999999999999</v>
      </c>
      <c r="S79" s="300">
        <f t="shared" si="75"/>
        <v>188.55</v>
      </c>
      <c r="T79" s="300">
        <f t="shared" si="59"/>
        <v>1940.39</v>
      </c>
      <c r="U79" s="300">
        <f t="shared" si="40"/>
        <v>4438.7900000000018</v>
      </c>
      <c r="V79" s="300">
        <f t="shared" si="41"/>
        <v>29532.28</v>
      </c>
      <c r="W79" s="300">
        <f t="shared" si="76"/>
        <v>238709.71000000005</v>
      </c>
      <c r="X79" s="535">
        <f t="shared" si="27"/>
        <v>46329</v>
      </c>
      <c r="Y79" s="300">
        <f t="shared" si="77"/>
        <v>306327.77999999985</v>
      </c>
      <c r="Z79" s="527">
        <f t="shared" ref="Z79:Z142" si="104">IF(L79&gt;4,$AA$9,$AA$8)</f>
        <v>4.4999999999999998E-2</v>
      </c>
      <c r="AA79" s="300">
        <f t="shared" ref="AA79:AA142" si="105">IF($O$9&lt;=$A79,IF(+AL78&lt;=0,0,IF(Z79=$AA$8,$Z$8,$Z$9)),0)</f>
        <v>1595.67</v>
      </c>
      <c r="AB79" s="300">
        <f t="shared" si="78"/>
        <v>446.94000000000005</v>
      </c>
      <c r="AC79" s="300">
        <f t="shared" ref="AC79:AC142" si="106">IF($O$9&lt;=$A79,ROUND(Y79*(Z79/12),2),0)</f>
        <v>1148.73</v>
      </c>
      <c r="AD79" s="300">
        <f t="shared" ref="AD79:AE79" si="107">+AD78</f>
        <v>134.16999999999999</v>
      </c>
      <c r="AE79" s="300">
        <f t="shared" si="107"/>
        <v>188.55</v>
      </c>
      <c r="AF79" s="300">
        <f t="shared" si="80"/>
        <v>1918.39</v>
      </c>
      <c r="AG79" s="300">
        <f t="shared" si="81"/>
        <v>9043.260000000002</v>
      </c>
      <c r="AH79" s="300">
        <f t="shared" si="82"/>
        <v>24465.810000000005</v>
      </c>
      <c r="AI79" s="545">
        <f t="shared" si="64"/>
        <v>462</v>
      </c>
      <c r="AJ79" s="545">
        <f t="shared" ref="AJ79:AJ89" si="108">+W79-AL79</f>
        <v>-67171.129999999801</v>
      </c>
      <c r="AK79" s="545">
        <f t="shared" si="65"/>
        <v>-66709.129999999801</v>
      </c>
      <c r="AL79" s="300">
        <f t="shared" si="83"/>
        <v>305880.83999999985</v>
      </c>
      <c r="AM79" s="449">
        <f t="shared" si="29"/>
        <v>1</v>
      </c>
      <c r="AN79" s="14">
        <f t="shared" si="66"/>
        <v>1196.26</v>
      </c>
      <c r="AO79" s="14">
        <f t="shared" si="50"/>
        <v>235672.39999999997</v>
      </c>
      <c r="AP79" s="14">
        <f t="shared" si="67"/>
        <v>1174.26</v>
      </c>
      <c r="AS79" s="14">
        <f t="shared" ref="AS79:AS142" si="109">+AN79-AR79</f>
        <v>1196.26</v>
      </c>
      <c r="AT79" s="14">
        <f t="shared" si="31"/>
        <v>24640.899999999991</v>
      </c>
      <c r="AU79" s="300">
        <f t="shared" si="32"/>
        <v>713.20110288909245</v>
      </c>
      <c r="AV79" s="300">
        <f t="shared" si="33"/>
        <v>42845.142258526073</v>
      </c>
    </row>
    <row r="80" spans="1:50" x14ac:dyDescent="0.25">
      <c r="A80" s="535">
        <f t="shared" si="69"/>
        <v>46359</v>
      </c>
      <c r="B80" s="300">
        <f t="shared" ref="B80:B143" si="110">IF(+K79&lt;0,0,+K79)</f>
        <v>75124.799999999988</v>
      </c>
      <c r="C80" s="14">
        <f t="shared" si="101"/>
        <v>421.41</v>
      </c>
      <c r="D80" s="14">
        <f t="shared" si="35"/>
        <v>139.69</v>
      </c>
      <c r="E80" s="14">
        <f t="shared" si="102"/>
        <v>281.72000000000003</v>
      </c>
      <c r="F80" s="14">
        <f t="shared" si="51"/>
        <v>134.16999999999999</v>
      </c>
      <c r="G80" s="14">
        <f t="shared" si="52"/>
        <v>188.55</v>
      </c>
      <c r="H80" s="14">
        <f t="shared" si="54"/>
        <v>744.13000000000011</v>
      </c>
      <c r="I80" s="300">
        <f t="shared" si="70"/>
        <v>8496.3100000000031</v>
      </c>
      <c r="J80" s="300">
        <f t="shared" si="71"/>
        <v>19628.640000000003</v>
      </c>
      <c r="K80" s="300">
        <f t="shared" si="72"/>
        <v>74985.109999999986</v>
      </c>
      <c r="L80" s="449">
        <f t="shared" si="103"/>
        <v>1</v>
      </c>
      <c r="M80" s="449">
        <f t="shared" ref="M80:M143" si="111">IF(N80&lt;&gt;"",IF(N80=$O$5,0,+M79+1),0)</f>
        <v>21</v>
      </c>
      <c r="N80" s="300">
        <f t="shared" ref="N80:N143" si="112">IF(+W79&lt;0,0,+W79)</f>
        <v>238709.71000000005</v>
      </c>
      <c r="O80" s="300">
        <f t="shared" si="73"/>
        <v>1617.67</v>
      </c>
      <c r="P80" s="300">
        <f t="shared" si="39"/>
        <v>225.20000000000005</v>
      </c>
      <c r="Q80" s="300">
        <f t="shared" si="74"/>
        <v>1392.47</v>
      </c>
      <c r="R80" s="300">
        <f t="shared" si="84"/>
        <v>134.16999999999999</v>
      </c>
      <c r="S80" s="300">
        <f t="shared" si="75"/>
        <v>188.55</v>
      </c>
      <c r="T80" s="300">
        <f t="shared" si="59"/>
        <v>1940.39</v>
      </c>
      <c r="U80" s="300">
        <f t="shared" si="40"/>
        <v>4663.9900000000016</v>
      </c>
      <c r="V80" s="300">
        <f t="shared" si="41"/>
        <v>30924.75</v>
      </c>
      <c r="W80" s="300">
        <f t="shared" si="76"/>
        <v>238484.51000000004</v>
      </c>
      <c r="X80" s="535">
        <f t="shared" ref="X80:X143" si="113">+A80</f>
        <v>46359</v>
      </c>
      <c r="Y80" s="300">
        <f t="shared" si="77"/>
        <v>305880.83999999985</v>
      </c>
      <c r="Z80" s="527">
        <f t="shared" si="104"/>
        <v>4.4999999999999998E-2</v>
      </c>
      <c r="AA80" s="300">
        <f t="shared" si="105"/>
        <v>1595.67</v>
      </c>
      <c r="AB80" s="300">
        <f t="shared" si="78"/>
        <v>448.62000000000012</v>
      </c>
      <c r="AC80" s="300">
        <f t="shared" si="106"/>
        <v>1147.05</v>
      </c>
      <c r="AD80" s="300">
        <f t="shared" ref="AD80:AE80" si="114">+AD79</f>
        <v>134.16999999999999</v>
      </c>
      <c r="AE80" s="300">
        <f t="shared" si="114"/>
        <v>188.55</v>
      </c>
      <c r="AF80" s="300">
        <f t="shared" si="80"/>
        <v>1918.39</v>
      </c>
      <c r="AG80" s="300">
        <f t="shared" si="81"/>
        <v>9491.8800000000028</v>
      </c>
      <c r="AH80" s="300">
        <f t="shared" si="82"/>
        <v>25612.860000000004</v>
      </c>
      <c r="AI80" s="545">
        <f t="shared" si="64"/>
        <v>484</v>
      </c>
      <c r="AJ80" s="545">
        <f t="shared" si="108"/>
        <v>-66947.709999999817</v>
      </c>
      <c r="AK80" s="545">
        <f t="shared" si="65"/>
        <v>-66463.709999999817</v>
      </c>
      <c r="AL80" s="300">
        <f t="shared" si="83"/>
        <v>305432.21999999986</v>
      </c>
      <c r="AM80" s="449">
        <f t="shared" ref="AM80:AM143" si="115">+L80</f>
        <v>1</v>
      </c>
      <c r="AN80" s="14">
        <f t="shared" si="66"/>
        <v>1196.26</v>
      </c>
      <c r="AO80" s="14">
        <f t="shared" si="50"/>
        <v>235586.88999999998</v>
      </c>
      <c r="AP80" s="14">
        <f t="shared" si="67"/>
        <v>1174.26</v>
      </c>
      <c r="AS80" s="14">
        <f t="shared" si="109"/>
        <v>1196.26</v>
      </c>
      <c r="AT80" s="14">
        <f t="shared" ref="AT80:AT143" si="116">IF(W80&lt;=0,0,+AS80+AT79)</f>
        <v>25837.159999999989</v>
      </c>
      <c r="AU80" s="300">
        <f t="shared" ref="AU80:AU143" si="117">IF(W80&lt;=0,0,+($O$5+AV79)*$AQ$2/12)</f>
        <v>714.98410564631513</v>
      </c>
      <c r="AV80" s="300">
        <f t="shared" ref="AV80:AV143" si="118">IF(W80&lt;=0,0,+AV79+AU80)</f>
        <v>43560.126364172385</v>
      </c>
    </row>
    <row r="81" spans="1:50" x14ac:dyDescent="0.25">
      <c r="A81" s="535">
        <f t="shared" si="69"/>
        <v>46389</v>
      </c>
      <c r="B81" s="300">
        <f t="shared" si="110"/>
        <v>74985.109999999986</v>
      </c>
      <c r="C81" s="14">
        <f t="shared" si="101"/>
        <v>421.41</v>
      </c>
      <c r="D81" s="14">
        <f t="shared" ref="D81:D144" si="119">+C81-E81</f>
        <v>140.22000000000003</v>
      </c>
      <c r="E81" s="14">
        <f t="shared" si="102"/>
        <v>281.19</v>
      </c>
      <c r="F81" s="14">
        <f t="shared" si="51"/>
        <v>134.16999999999999</v>
      </c>
      <c r="G81" s="14">
        <f t="shared" si="52"/>
        <v>188.55</v>
      </c>
      <c r="H81" s="14">
        <f t="shared" si="54"/>
        <v>744.13000000000011</v>
      </c>
      <c r="I81" s="300">
        <f t="shared" si="70"/>
        <v>8636.5300000000025</v>
      </c>
      <c r="J81" s="300">
        <f t="shared" si="71"/>
        <v>19909.830000000002</v>
      </c>
      <c r="K81" s="300">
        <f t="shared" si="72"/>
        <v>74844.889999999985</v>
      </c>
      <c r="L81" s="449">
        <f t="shared" si="103"/>
        <v>1</v>
      </c>
      <c r="M81" s="449">
        <f t="shared" si="111"/>
        <v>22</v>
      </c>
      <c r="N81" s="300">
        <f t="shared" si="112"/>
        <v>238484.51000000004</v>
      </c>
      <c r="O81" s="300">
        <f t="shared" si="73"/>
        <v>1617.67</v>
      </c>
      <c r="P81" s="300">
        <f t="shared" ref="P81:P144" si="120">+O81-Q81</f>
        <v>226.51</v>
      </c>
      <c r="Q81" s="300">
        <f t="shared" si="74"/>
        <v>1391.16</v>
      </c>
      <c r="R81" s="300">
        <f t="shared" si="84"/>
        <v>134.16999999999999</v>
      </c>
      <c r="S81" s="300">
        <f t="shared" si="75"/>
        <v>188.55</v>
      </c>
      <c r="T81" s="300">
        <f t="shared" si="59"/>
        <v>1940.39</v>
      </c>
      <c r="U81" s="300">
        <f t="shared" ref="U81:U144" si="121">+P81+U80</f>
        <v>4890.5000000000018</v>
      </c>
      <c r="V81" s="300">
        <f t="shared" ref="V81:V144" si="122">+V80+Q81</f>
        <v>32315.91</v>
      </c>
      <c r="W81" s="300">
        <f t="shared" si="76"/>
        <v>238258.00000000003</v>
      </c>
      <c r="X81" s="535">
        <f t="shared" si="113"/>
        <v>46389</v>
      </c>
      <c r="Y81" s="300">
        <f t="shared" si="77"/>
        <v>305432.21999999986</v>
      </c>
      <c r="Z81" s="527">
        <f t="shared" si="104"/>
        <v>4.4999999999999998E-2</v>
      </c>
      <c r="AA81" s="300">
        <f t="shared" si="105"/>
        <v>1595.67</v>
      </c>
      <c r="AB81" s="300">
        <f t="shared" si="78"/>
        <v>450.30000000000018</v>
      </c>
      <c r="AC81" s="300">
        <f t="shared" si="106"/>
        <v>1145.3699999999999</v>
      </c>
      <c r="AD81" s="300">
        <f t="shared" ref="AD81:AE81" si="123">+AD80</f>
        <v>134.16999999999999</v>
      </c>
      <c r="AE81" s="300">
        <f t="shared" si="123"/>
        <v>188.55</v>
      </c>
      <c r="AF81" s="300">
        <f t="shared" si="80"/>
        <v>1918.39</v>
      </c>
      <c r="AG81" s="300">
        <f t="shared" si="81"/>
        <v>9942.1800000000039</v>
      </c>
      <c r="AH81" s="300">
        <f t="shared" si="82"/>
        <v>26758.230000000003</v>
      </c>
      <c r="AI81" s="545">
        <f t="shared" si="64"/>
        <v>506</v>
      </c>
      <c r="AJ81" s="545">
        <f t="shared" si="108"/>
        <v>-66723.919999999838</v>
      </c>
      <c r="AK81" s="545">
        <f t="shared" si="65"/>
        <v>-66217.919999999838</v>
      </c>
      <c r="AL81" s="300">
        <f t="shared" si="83"/>
        <v>304981.91999999987</v>
      </c>
      <c r="AM81" s="449">
        <f t="shared" si="115"/>
        <v>1</v>
      </c>
      <c r="AN81" s="14">
        <f t="shared" si="66"/>
        <v>1196.26</v>
      </c>
      <c r="AO81" s="14">
        <f t="shared" si="50"/>
        <v>235500.59999999998</v>
      </c>
      <c r="AP81" s="14">
        <f t="shared" si="67"/>
        <v>1174.26</v>
      </c>
      <c r="AS81" s="14">
        <f t="shared" si="109"/>
        <v>1196.26</v>
      </c>
      <c r="AT81" s="14">
        <f t="shared" si="116"/>
        <v>27033.419999999987</v>
      </c>
      <c r="AU81" s="300">
        <f t="shared" si="117"/>
        <v>716.77156591043092</v>
      </c>
      <c r="AV81" s="300">
        <f t="shared" si="118"/>
        <v>44276.897930082814</v>
      </c>
    </row>
    <row r="82" spans="1:50" x14ac:dyDescent="0.25">
      <c r="A82" s="535">
        <f t="shared" si="69"/>
        <v>46419</v>
      </c>
      <c r="B82" s="300">
        <f t="shared" si="110"/>
        <v>74844.889999999985</v>
      </c>
      <c r="C82" s="14">
        <f t="shared" si="101"/>
        <v>421.41</v>
      </c>
      <c r="D82" s="14">
        <f t="shared" si="119"/>
        <v>140.74</v>
      </c>
      <c r="E82" s="14">
        <f t="shared" si="102"/>
        <v>280.67</v>
      </c>
      <c r="F82" s="14">
        <f t="shared" si="51"/>
        <v>134.16999999999999</v>
      </c>
      <c r="G82" s="14">
        <f t="shared" si="52"/>
        <v>188.55</v>
      </c>
      <c r="H82" s="14">
        <f t="shared" si="54"/>
        <v>744.13000000000011</v>
      </c>
      <c r="I82" s="300">
        <f t="shared" si="70"/>
        <v>8777.2700000000023</v>
      </c>
      <c r="J82" s="300">
        <f t="shared" si="71"/>
        <v>20190.5</v>
      </c>
      <c r="K82" s="300">
        <f t="shared" si="72"/>
        <v>74704.14999999998</v>
      </c>
      <c r="L82" s="449">
        <f t="shared" si="103"/>
        <v>1</v>
      </c>
      <c r="M82" s="449">
        <f t="shared" si="111"/>
        <v>23</v>
      </c>
      <c r="N82" s="300">
        <f t="shared" si="112"/>
        <v>238258.00000000003</v>
      </c>
      <c r="O82" s="300">
        <f t="shared" si="73"/>
        <v>1617.67</v>
      </c>
      <c r="P82" s="300">
        <f t="shared" si="120"/>
        <v>227.83000000000015</v>
      </c>
      <c r="Q82" s="300">
        <f t="shared" si="74"/>
        <v>1389.84</v>
      </c>
      <c r="R82" s="300">
        <f t="shared" si="84"/>
        <v>134.16999999999999</v>
      </c>
      <c r="S82" s="300">
        <f t="shared" si="75"/>
        <v>188.55</v>
      </c>
      <c r="T82" s="300">
        <f t="shared" si="59"/>
        <v>1940.39</v>
      </c>
      <c r="U82" s="300">
        <f t="shared" si="121"/>
        <v>5118.3300000000017</v>
      </c>
      <c r="V82" s="300">
        <f t="shared" si="122"/>
        <v>33705.75</v>
      </c>
      <c r="W82" s="300">
        <f t="shared" si="76"/>
        <v>238030.17000000004</v>
      </c>
      <c r="X82" s="535">
        <f t="shared" si="113"/>
        <v>46419</v>
      </c>
      <c r="Y82" s="300">
        <f t="shared" si="77"/>
        <v>304981.91999999987</v>
      </c>
      <c r="Z82" s="527">
        <f t="shared" si="104"/>
        <v>4.4999999999999998E-2</v>
      </c>
      <c r="AA82" s="300">
        <f t="shared" si="105"/>
        <v>1595.67</v>
      </c>
      <c r="AB82" s="300">
        <f t="shared" si="78"/>
        <v>451.99</v>
      </c>
      <c r="AC82" s="300">
        <f t="shared" si="106"/>
        <v>1143.68</v>
      </c>
      <c r="AD82" s="300">
        <f t="shared" ref="AD82:AE82" si="124">+AD81</f>
        <v>134.16999999999999</v>
      </c>
      <c r="AE82" s="300">
        <f t="shared" si="124"/>
        <v>188.55</v>
      </c>
      <c r="AF82" s="300">
        <f t="shared" si="80"/>
        <v>1918.39</v>
      </c>
      <c r="AG82" s="300">
        <f t="shared" si="81"/>
        <v>10394.170000000004</v>
      </c>
      <c r="AH82" s="300">
        <f t="shared" si="82"/>
        <v>27901.910000000003</v>
      </c>
      <c r="AI82" s="545">
        <f t="shared" si="64"/>
        <v>528</v>
      </c>
      <c r="AJ82" s="545">
        <f t="shared" si="108"/>
        <v>-66499.759999999835</v>
      </c>
      <c r="AK82" s="545">
        <f t="shared" si="65"/>
        <v>-65971.759999999835</v>
      </c>
      <c r="AL82" s="300">
        <f t="shared" si="83"/>
        <v>304529.92999999988</v>
      </c>
      <c r="AM82" s="449">
        <f t="shared" si="115"/>
        <v>1</v>
      </c>
      <c r="AN82" s="14">
        <f t="shared" si="66"/>
        <v>1196.26</v>
      </c>
      <c r="AO82" s="14">
        <f t="shared" si="50"/>
        <v>235413.50999999995</v>
      </c>
      <c r="AP82" s="14">
        <f t="shared" si="67"/>
        <v>1174.26</v>
      </c>
      <c r="AS82" s="14">
        <f t="shared" si="109"/>
        <v>1196.26</v>
      </c>
      <c r="AT82" s="14">
        <f t="shared" si="116"/>
        <v>28229.679999999986</v>
      </c>
      <c r="AU82" s="300">
        <f t="shared" si="117"/>
        <v>718.56349482520693</v>
      </c>
      <c r="AV82" s="300">
        <f t="shared" si="118"/>
        <v>44995.461424908019</v>
      </c>
    </row>
    <row r="83" spans="1:50" x14ac:dyDescent="0.25">
      <c r="A83" s="535">
        <f t="shared" si="69"/>
        <v>46449</v>
      </c>
      <c r="B83" s="300">
        <f t="shared" si="110"/>
        <v>74704.14999999998</v>
      </c>
      <c r="C83" s="14">
        <f t="shared" si="101"/>
        <v>421.41</v>
      </c>
      <c r="D83" s="14">
        <f t="shared" si="119"/>
        <v>141.27000000000004</v>
      </c>
      <c r="E83" s="14">
        <f t="shared" si="102"/>
        <v>280.14</v>
      </c>
      <c r="F83" s="14">
        <f t="shared" si="51"/>
        <v>134.16999999999999</v>
      </c>
      <c r="G83" s="14">
        <f t="shared" si="52"/>
        <v>188.55</v>
      </c>
      <c r="H83" s="14">
        <f t="shared" si="54"/>
        <v>744.13000000000011</v>
      </c>
      <c r="I83" s="300">
        <f t="shared" si="70"/>
        <v>8918.5400000000027</v>
      </c>
      <c r="J83" s="300">
        <f t="shared" si="71"/>
        <v>20470.64</v>
      </c>
      <c r="K83" s="300">
        <f t="shared" si="72"/>
        <v>74562.879999999976</v>
      </c>
      <c r="L83" s="449">
        <f t="shared" si="103"/>
        <v>2</v>
      </c>
      <c r="M83" s="449">
        <f t="shared" si="111"/>
        <v>24</v>
      </c>
      <c r="N83" s="300">
        <f t="shared" si="112"/>
        <v>238030.17000000004</v>
      </c>
      <c r="O83" s="300">
        <f t="shared" si="73"/>
        <v>1617.67</v>
      </c>
      <c r="P83" s="300">
        <f t="shared" si="120"/>
        <v>229.16000000000008</v>
      </c>
      <c r="Q83" s="300">
        <f t="shared" si="74"/>
        <v>1388.51</v>
      </c>
      <c r="R83" s="300">
        <f t="shared" si="84"/>
        <v>134.16999999999999</v>
      </c>
      <c r="S83" s="300">
        <f t="shared" si="75"/>
        <v>188.55</v>
      </c>
      <c r="T83" s="300">
        <f t="shared" si="59"/>
        <v>1940.39</v>
      </c>
      <c r="U83" s="300">
        <f t="shared" si="121"/>
        <v>5347.4900000000016</v>
      </c>
      <c r="V83" s="300">
        <f t="shared" si="122"/>
        <v>35094.26</v>
      </c>
      <c r="W83" s="300">
        <f t="shared" si="76"/>
        <v>237801.01000000004</v>
      </c>
      <c r="X83" s="535">
        <f t="shared" si="113"/>
        <v>46449</v>
      </c>
      <c r="Y83" s="300">
        <f t="shared" si="77"/>
        <v>304529.92999999988</v>
      </c>
      <c r="Z83" s="527">
        <f t="shared" si="104"/>
        <v>4.4999999999999998E-2</v>
      </c>
      <c r="AA83" s="300">
        <f t="shared" si="105"/>
        <v>1595.67</v>
      </c>
      <c r="AB83" s="300">
        <f t="shared" si="78"/>
        <v>453.68000000000006</v>
      </c>
      <c r="AC83" s="300">
        <f t="shared" si="106"/>
        <v>1141.99</v>
      </c>
      <c r="AD83" s="300">
        <f t="shared" ref="AD83:AE83" si="125">+AD82</f>
        <v>134.16999999999999</v>
      </c>
      <c r="AE83" s="300">
        <f t="shared" si="125"/>
        <v>188.55</v>
      </c>
      <c r="AF83" s="300">
        <f t="shared" si="80"/>
        <v>1918.39</v>
      </c>
      <c r="AG83" s="300">
        <f t="shared" si="81"/>
        <v>10847.850000000004</v>
      </c>
      <c r="AH83" s="300">
        <f t="shared" si="82"/>
        <v>29043.900000000005</v>
      </c>
      <c r="AI83" s="545">
        <f t="shared" si="64"/>
        <v>550</v>
      </c>
      <c r="AJ83" s="545">
        <f t="shared" si="108"/>
        <v>-66275.239999999845</v>
      </c>
      <c r="AK83" s="545">
        <f t="shared" si="65"/>
        <v>-65725.239999999845</v>
      </c>
      <c r="AL83" s="300">
        <f t="shared" si="83"/>
        <v>304076.24999999988</v>
      </c>
      <c r="AM83" s="449">
        <f t="shared" si="115"/>
        <v>2</v>
      </c>
      <c r="AN83" s="14">
        <f t="shared" si="66"/>
        <v>1196.26</v>
      </c>
      <c r="AO83" s="14">
        <f t="shared" si="50"/>
        <v>235325.62</v>
      </c>
      <c r="AP83" s="14">
        <f t="shared" si="67"/>
        <v>1174.26</v>
      </c>
      <c r="AS83" s="14">
        <f t="shared" si="109"/>
        <v>1196.26</v>
      </c>
      <c r="AT83" s="14">
        <f t="shared" si="116"/>
        <v>29425.939999999984</v>
      </c>
      <c r="AU83" s="300">
        <f t="shared" si="117"/>
        <v>720.35990356227001</v>
      </c>
      <c r="AV83" s="300">
        <f t="shared" si="118"/>
        <v>45715.821328470287</v>
      </c>
      <c r="AX83" s="510"/>
    </row>
    <row r="84" spans="1:50" x14ac:dyDescent="0.25">
      <c r="A84" s="535">
        <f t="shared" si="69"/>
        <v>46479</v>
      </c>
      <c r="B84" s="300">
        <f t="shared" si="110"/>
        <v>74562.879999999976</v>
      </c>
      <c r="C84" s="14">
        <f t="shared" si="101"/>
        <v>421.41</v>
      </c>
      <c r="D84" s="14">
        <f t="shared" si="119"/>
        <v>141.80000000000001</v>
      </c>
      <c r="E84" s="14">
        <f t="shared" si="102"/>
        <v>279.61</v>
      </c>
      <c r="F84" s="14">
        <f t="shared" si="51"/>
        <v>134.16999999999999</v>
      </c>
      <c r="G84" s="14">
        <f t="shared" si="52"/>
        <v>188.55</v>
      </c>
      <c r="H84" s="14">
        <f t="shared" si="54"/>
        <v>744.13000000000011</v>
      </c>
      <c r="I84" s="300">
        <f t="shared" si="70"/>
        <v>9060.340000000002</v>
      </c>
      <c r="J84" s="300">
        <f t="shared" si="71"/>
        <v>20750.25</v>
      </c>
      <c r="K84" s="300">
        <f t="shared" si="72"/>
        <v>74421.079999999973</v>
      </c>
      <c r="L84" s="449">
        <f t="shared" si="103"/>
        <v>2</v>
      </c>
      <c r="M84" s="449">
        <f t="shared" si="111"/>
        <v>25</v>
      </c>
      <c r="N84" s="300">
        <f t="shared" si="112"/>
        <v>237801.01000000004</v>
      </c>
      <c r="O84" s="300">
        <f t="shared" si="73"/>
        <v>1617.67</v>
      </c>
      <c r="P84" s="300">
        <f t="shared" si="120"/>
        <v>230.5</v>
      </c>
      <c r="Q84" s="300">
        <f t="shared" si="74"/>
        <v>1387.17</v>
      </c>
      <c r="R84" s="300">
        <f t="shared" si="84"/>
        <v>134.16999999999999</v>
      </c>
      <c r="S84" s="300">
        <f t="shared" si="75"/>
        <v>188.55</v>
      </c>
      <c r="T84" s="300">
        <f t="shared" si="59"/>
        <v>1940.39</v>
      </c>
      <c r="U84" s="300">
        <f t="shared" si="121"/>
        <v>5577.9900000000016</v>
      </c>
      <c r="V84" s="300">
        <f t="shared" si="122"/>
        <v>36481.43</v>
      </c>
      <c r="W84" s="300">
        <f t="shared" si="76"/>
        <v>237570.51000000004</v>
      </c>
      <c r="X84" s="535">
        <f t="shared" si="113"/>
        <v>46479</v>
      </c>
      <c r="Y84" s="300">
        <f t="shared" si="77"/>
        <v>304076.24999999988</v>
      </c>
      <c r="Z84" s="527">
        <f t="shared" si="104"/>
        <v>4.4999999999999998E-2</v>
      </c>
      <c r="AA84" s="300">
        <f t="shared" si="105"/>
        <v>1595.67</v>
      </c>
      <c r="AB84" s="300">
        <f t="shared" si="78"/>
        <v>455.38000000000011</v>
      </c>
      <c r="AC84" s="300">
        <f t="shared" si="106"/>
        <v>1140.29</v>
      </c>
      <c r="AD84" s="300">
        <f t="shared" ref="AD84:AE84" si="126">+AD83</f>
        <v>134.16999999999999</v>
      </c>
      <c r="AE84" s="300">
        <f t="shared" si="126"/>
        <v>188.55</v>
      </c>
      <c r="AF84" s="300">
        <f t="shared" si="80"/>
        <v>1918.39</v>
      </c>
      <c r="AG84" s="300">
        <f t="shared" si="81"/>
        <v>11303.230000000003</v>
      </c>
      <c r="AH84" s="300">
        <f t="shared" si="82"/>
        <v>30184.190000000006</v>
      </c>
      <c r="AI84" s="545">
        <f t="shared" si="64"/>
        <v>572</v>
      </c>
      <c r="AJ84" s="545">
        <f t="shared" si="108"/>
        <v>-66050.359999999841</v>
      </c>
      <c r="AK84" s="545">
        <f t="shared" si="65"/>
        <v>-65478.359999999841</v>
      </c>
      <c r="AL84" s="300">
        <f t="shared" si="83"/>
        <v>303620.86999999988</v>
      </c>
      <c r="AM84" s="449">
        <f t="shared" si="115"/>
        <v>2</v>
      </c>
      <c r="AN84" s="14">
        <f t="shared" si="66"/>
        <v>1196.26</v>
      </c>
      <c r="AO84" s="14">
        <f t="shared" si="50"/>
        <v>235236.91999999998</v>
      </c>
      <c r="AP84" s="14">
        <f t="shared" si="67"/>
        <v>1174.26</v>
      </c>
      <c r="AS84" s="14">
        <f t="shared" si="109"/>
        <v>1196.26</v>
      </c>
      <c r="AT84" s="14">
        <f t="shared" si="116"/>
        <v>30622.199999999983</v>
      </c>
      <c r="AU84" s="300">
        <f t="shared" si="117"/>
        <v>722.16080332117565</v>
      </c>
      <c r="AV84" s="300">
        <f t="shared" si="118"/>
        <v>46437.982131791461</v>
      </c>
      <c r="AX84" s="510"/>
    </row>
    <row r="85" spans="1:50" x14ac:dyDescent="0.25">
      <c r="A85" s="535">
        <f t="shared" si="69"/>
        <v>46509</v>
      </c>
      <c r="B85" s="300">
        <f t="shared" si="110"/>
        <v>74421.079999999973</v>
      </c>
      <c r="C85" s="14">
        <f t="shared" si="101"/>
        <v>421.41</v>
      </c>
      <c r="D85" s="14">
        <f t="shared" si="119"/>
        <v>142.33000000000004</v>
      </c>
      <c r="E85" s="14">
        <f t="shared" si="102"/>
        <v>279.08</v>
      </c>
      <c r="F85" s="14">
        <f t="shared" si="51"/>
        <v>134.16999999999999</v>
      </c>
      <c r="G85" s="14">
        <f t="shared" si="52"/>
        <v>188.55</v>
      </c>
      <c r="H85" s="14">
        <f t="shared" si="54"/>
        <v>744.13000000000011</v>
      </c>
      <c r="I85" s="300">
        <f t="shared" si="70"/>
        <v>9202.6700000000019</v>
      </c>
      <c r="J85" s="300">
        <f t="shared" si="71"/>
        <v>21029.33</v>
      </c>
      <c r="K85" s="300">
        <f t="shared" si="72"/>
        <v>74278.749999999971</v>
      </c>
      <c r="L85" s="449">
        <f t="shared" si="103"/>
        <v>2</v>
      </c>
      <c r="M85" s="449">
        <f t="shared" si="111"/>
        <v>26</v>
      </c>
      <c r="N85" s="300">
        <f t="shared" si="112"/>
        <v>237570.51000000004</v>
      </c>
      <c r="O85" s="300">
        <f t="shared" si="73"/>
        <v>1617.67</v>
      </c>
      <c r="P85" s="300">
        <f t="shared" si="120"/>
        <v>231.84000000000015</v>
      </c>
      <c r="Q85" s="300">
        <f t="shared" si="74"/>
        <v>1385.83</v>
      </c>
      <c r="R85" s="300">
        <f t="shared" si="84"/>
        <v>134.16999999999999</v>
      </c>
      <c r="S85" s="300">
        <f t="shared" si="75"/>
        <v>188.55</v>
      </c>
      <c r="T85" s="300">
        <f t="shared" si="59"/>
        <v>1940.39</v>
      </c>
      <c r="U85" s="300">
        <f t="shared" si="121"/>
        <v>5809.8300000000017</v>
      </c>
      <c r="V85" s="300">
        <f t="shared" si="122"/>
        <v>37867.26</v>
      </c>
      <c r="W85" s="300">
        <f t="shared" si="76"/>
        <v>237338.67000000004</v>
      </c>
      <c r="X85" s="535">
        <f t="shared" si="113"/>
        <v>46509</v>
      </c>
      <c r="Y85" s="300">
        <f t="shared" si="77"/>
        <v>303620.86999999988</v>
      </c>
      <c r="Z85" s="527">
        <f t="shared" si="104"/>
        <v>4.4999999999999998E-2</v>
      </c>
      <c r="AA85" s="300">
        <f t="shared" si="105"/>
        <v>1595.67</v>
      </c>
      <c r="AB85" s="300">
        <f t="shared" si="78"/>
        <v>457.09000000000015</v>
      </c>
      <c r="AC85" s="300">
        <f t="shared" si="106"/>
        <v>1138.58</v>
      </c>
      <c r="AD85" s="300">
        <f t="shared" ref="AD85:AE85" si="127">+AD84</f>
        <v>134.16999999999999</v>
      </c>
      <c r="AE85" s="300">
        <f t="shared" si="127"/>
        <v>188.55</v>
      </c>
      <c r="AF85" s="300">
        <f t="shared" si="80"/>
        <v>1918.39</v>
      </c>
      <c r="AG85" s="300">
        <f t="shared" si="81"/>
        <v>11760.320000000003</v>
      </c>
      <c r="AH85" s="300">
        <f t="shared" si="82"/>
        <v>31322.770000000004</v>
      </c>
      <c r="AI85" s="545">
        <f t="shared" si="64"/>
        <v>594</v>
      </c>
      <c r="AJ85" s="545">
        <f t="shared" si="108"/>
        <v>-65825.109999999811</v>
      </c>
      <c r="AK85" s="545">
        <f t="shared" si="65"/>
        <v>-65231.109999999811</v>
      </c>
      <c r="AL85" s="300">
        <f t="shared" si="83"/>
        <v>303163.77999999985</v>
      </c>
      <c r="AM85" s="449">
        <f t="shared" si="115"/>
        <v>2</v>
      </c>
      <c r="AN85" s="14">
        <f t="shared" si="66"/>
        <v>1196.26</v>
      </c>
      <c r="AO85" s="14">
        <f t="shared" si="50"/>
        <v>235147.40999999997</v>
      </c>
      <c r="AP85" s="14">
        <f t="shared" si="67"/>
        <v>1174.26</v>
      </c>
      <c r="AS85" s="14">
        <f t="shared" si="109"/>
        <v>1196.26</v>
      </c>
      <c r="AT85" s="14">
        <f t="shared" si="116"/>
        <v>31818.459999999981</v>
      </c>
      <c r="AU85" s="300">
        <f t="shared" si="117"/>
        <v>723.96620532947873</v>
      </c>
      <c r="AV85" s="300">
        <f t="shared" si="118"/>
        <v>47161.948337120943</v>
      </c>
    </row>
    <row r="86" spans="1:50" ht="15.75" thickBot="1" x14ac:dyDescent="0.3">
      <c r="A86" s="538">
        <f t="shared" si="69"/>
        <v>46539</v>
      </c>
      <c r="B86" s="369">
        <f t="shared" si="110"/>
        <v>74278.749999999971</v>
      </c>
      <c r="C86" s="21">
        <f t="shared" si="101"/>
        <v>421.41</v>
      </c>
      <c r="D86" s="21">
        <f t="shared" si="119"/>
        <v>142.86000000000001</v>
      </c>
      <c r="E86" s="21">
        <f t="shared" si="102"/>
        <v>278.55</v>
      </c>
      <c r="F86" s="21">
        <f t="shared" si="51"/>
        <v>134.16999999999999</v>
      </c>
      <c r="G86" s="21">
        <f t="shared" si="52"/>
        <v>188.55</v>
      </c>
      <c r="H86" s="21">
        <f t="shared" si="54"/>
        <v>744.13000000000011</v>
      </c>
      <c r="I86" s="369">
        <f t="shared" si="70"/>
        <v>9345.5300000000025</v>
      </c>
      <c r="J86" s="369">
        <f t="shared" si="71"/>
        <v>21307.88</v>
      </c>
      <c r="K86" s="369">
        <f t="shared" si="72"/>
        <v>74135.88999999997</v>
      </c>
      <c r="L86" s="450">
        <f t="shared" si="103"/>
        <v>2</v>
      </c>
      <c r="M86" s="450">
        <f t="shared" si="111"/>
        <v>27</v>
      </c>
      <c r="N86" s="369">
        <f t="shared" si="112"/>
        <v>237338.67000000004</v>
      </c>
      <c r="O86" s="369">
        <f t="shared" si="73"/>
        <v>1617.67</v>
      </c>
      <c r="P86" s="369">
        <f t="shared" si="120"/>
        <v>233.19000000000005</v>
      </c>
      <c r="Q86" s="369">
        <f t="shared" si="74"/>
        <v>1384.48</v>
      </c>
      <c r="R86" s="369">
        <f t="shared" si="84"/>
        <v>134.16999999999999</v>
      </c>
      <c r="S86" s="369">
        <f t="shared" si="75"/>
        <v>188.55</v>
      </c>
      <c r="T86" s="369">
        <f t="shared" si="59"/>
        <v>1940.39</v>
      </c>
      <c r="U86" s="369">
        <f t="shared" si="121"/>
        <v>6043.0200000000023</v>
      </c>
      <c r="V86" s="369">
        <f t="shared" si="122"/>
        <v>39251.740000000005</v>
      </c>
      <c r="W86" s="369">
        <f t="shared" si="76"/>
        <v>237105.48000000004</v>
      </c>
      <c r="X86" s="538">
        <f t="shared" si="113"/>
        <v>46539</v>
      </c>
      <c r="Y86" s="369">
        <f t="shared" si="77"/>
        <v>303163.77999999985</v>
      </c>
      <c r="Z86" s="528">
        <f t="shared" si="104"/>
        <v>4.4999999999999998E-2</v>
      </c>
      <c r="AA86" s="369">
        <f t="shared" si="105"/>
        <v>1595.67</v>
      </c>
      <c r="AB86" s="369">
        <f t="shared" si="78"/>
        <v>458.81000000000017</v>
      </c>
      <c r="AC86" s="369">
        <f t="shared" si="106"/>
        <v>1136.8599999999999</v>
      </c>
      <c r="AD86" s="369">
        <f t="shared" ref="AD86:AE86" si="128">+AD85</f>
        <v>134.16999999999999</v>
      </c>
      <c r="AE86" s="369">
        <f t="shared" si="128"/>
        <v>188.55</v>
      </c>
      <c r="AF86" s="369">
        <f t="shared" si="80"/>
        <v>1918.39</v>
      </c>
      <c r="AG86" s="369">
        <f t="shared" si="81"/>
        <v>12219.130000000003</v>
      </c>
      <c r="AH86" s="369">
        <f t="shared" si="82"/>
        <v>32459.630000000005</v>
      </c>
      <c r="AI86" s="546">
        <f t="shared" si="64"/>
        <v>616</v>
      </c>
      <c r="AJ86" s="546">
        <f t="shared" si="108"/>
        <v>-65599.489999999816</v>
      </c>
      <c r="AK86" s="546">
        <f t="shared" si="65"/>
        <v>-64983.489999999816</v>
      </c>
      <c r="AL86" s="369">
        <f t="shared" si="83"/>
        <v>302704.96999999986</v>
      </c>
      <c r="AM86" s="450">
        <f t="shared" si="115"/>
        <v>2</v>
      </c>
      <c r="AN86" s="21">
        <f t="shared" si="66"/>
        <v>1196.26</v>
      </c>
      <c r="AO86" s="21">
        <f t="shared" si="50"/>
        <v>235057.08</v>
      </c>
      <c r="AP86" s="21">
        <f t="shared" si="67"/>
        <v>1174.26</v>
      </c>
      <c r="AQ86" s="21"/>
      <c r="AR86" s="23"/>
      <c r="AS86" s="21">
        <f t="shared" si="109"/>
        <v>1196.26</v>
      </c>
      <c r="AT86" s="21">
        <f t="shared" si="116"/>
        <v>33014.719999999979</v>
      </c>
      <c r="AU86" s="369">
        <f t="shared" si="117"/>
        <v>725.77612084280236</v>
      </c>
      <c r="AV86" s="369">
        <f t="shared" si="118"/>
        <v>47887.724457963748</v>
      </c>
    </row>
    <row r="87" spans="1:50" x14ac:dyDescent="0.25">
      <c r="A87" s="535">
        <f t="shared" si="69"/>
        <v>46569</v>
      </c>
      <c r="B87" s="300">
        <f t="shared" si="110"/>
        <v>74135.88999999997</v>
      </c>
      <c r="C87" s="14">
        <f t="shared" si="101"/>
        <v>421.41</v>
      </c>
      <c r="D87" s="14">
        <f t="shared" si="119"/>
        <v>143.40000000000003</v>
      </c>
      <c r="E87" s="14">
        <f t="shared" si="102"/>
        <v>278.01</v>
      </c>
      <c r="F87" s="14">
        <f t="shared" si="51"/>
        <v>134.16999999999999</v>
      </c>
      <c r="G87" s="14">
        <f t="shared" si="52"/>
        <v>188.55</v>
      </c>
      <c r="H87" s="14">
        <f t="shared" si="54"/>
        <v>744.13000000000011</v>
      </c>
      <c r="I87" s="300">
        <f t="shared" si="70"/>
        <v>9488.9300000000021</v>
      </c>
      <c r="J87" s="300">
        <f t="shared" si="71"/>
        <v>21585.89</v>
      </c>
      <c r="K87" s="300">
        <f t="shared" si="72"/>
        <v>73992.489999999976</v>
      </c>
      <c r="L87" s="449">
        <f t="shared" si="103"/>
        <v>2</v>
      </c>
      <c r="M87" s="449">
        <f t="shared" si="111"/>
        <v>28</v>
      </c>
      <c r="N87" s="300">
        <f t="shared" si="112"/>
        <v>237105.48000000004</v>
      </c>
      <c r="O87" s="300">
        <f t="shared" si="73"/>
        <v>1617.67</v>
      </c>
      <c r="P87" s="300">
        <f t="shared" si="120"/>
        <v>234.55000000000018</v>
      </c>
      <c r="Q87" s="300">
        <f t="shared" si="74"/>
        <v>1383.12</v>
      </c>
      <c r="R87" s="300">
        <f t="shared" si="84"/>
        <v>134.16999999999999</v>
      </c>
      <c r="S87" s="300">
        <f t="shared" si="75"/>
        <v>188.55</v>
      </c>
      <c r="T87" s="300">
        <f t="shared" si="59"/>
        <v>1940.39</v>
      </c>
      <c r="U87" s="300">
        <f t="shared" si="121"/>
        <v>6277.5700000000024</v>
      </c>
      <c r="V87" s="300">
        <f t="shared" si="122"/>
        <v>40634.860000000008</v>
      </c>
      <c r="W87" s="300">
        <f t="shared" si="76"/>
        <v>236870.93000000005</v>
      </c>
      <c r="X87" s="535">
        <f t="shared" si="113"/>
        <v>46569</v>
      </c>
      <c r="Y87" s="300">
        <f t="shared" si="77"/>
        <v>302704.96999999986</v>
      </c>
      <c r="Z87" s="527">
        <f t="shared" si="104"/>
        <v>4.4999999999999998E-2</v>
      </c>
      <c r="AA87" s="300">
        <f t="shared" si="105"/>
        <v>1595.67</v>
      </c>
      <c r="AB87" s="300">
        <f t="shared" si="78"/>
        <v>460.53</v>
      </c>
      <c r="AC87" s="300">
        <f t="shared" si="106"/>
        <v>1135.1400000000001</v>
      </c>
      <c r="AD87" s="300">
        <f t="shared" ref="AD87:AE87" si="129">+AD86</f>
        <v>134.16999999999999</v>
      </c>
      <c r="AE87" s="300">
        <f t="shared" si="129"/>
        <v>188.55</v>
      </c>
      <c r="AF87" s="300">
        <f t="shared" si="80"/>
        <v>1918.39</v>
      </c>
      <c r="AG87" s="300">
        <f t="shared" si="81"/>
        <v>12679.660000000003</v>
      </c>
      <c r="AH87" s="300">
        <f t="shared" si="82"/>
        <v>33594.770000000004</v>
      </c>
      <c r="AI87" s="545">
        <f t="shared" si="64"/>
        <v>638</v>
      </c>
      <c r="AJ87" s="545">
        <f t="shared" si="108"/>
        <v>-65373.509999999776</v>
      </c>
      <c r="AK87" s="545">
        <f t="shared" si="65"/>
        <v>-64735.509999999776</v>
      </c>
      <c r="AL87" s="300">
        <f t="shared" si="83"/>
        <v>302244.43999999983</v>
      </c>
      <c r="AM87" s="449">
        <f t="shared" si="115"/>
        <v>2</v>
      </c>
      <c r="AN87" s="14">
        <f t="shared" si="66"/>
        <v>1196.26</v>
      </c>
      <c r="AO87" s="14">
        <f t="shared" si="50"/>
        <v>234965.92999999996</v>
      </c>
      <c r="AP87" s="14">
        <f t="shared" si="67"/>
        <v>1174.26</v>
      </c>
      <c r="AS87" s="14">
        <f t="shared" si="109"/>
        <v>1196.26</v>
      </c>
      <c r="AT87" s="14">
        <f t="shared" si="116"/>
        <v>34210.979999999981</v>
      </c>
      <c r="AU87" s="300">
        <f t="shared" si="117"/>
        <v>727.59056114490932</v>
      </c>
      <c r="AV87" s="300">
        <f t="shared" si="118"/>
        <v>48615.315019108661</v>
      </c>
    </row>
    <row r="88" spans="1:50" x14ac:dyDescent="0.25">
      <c r="A88" s="535">
        <f t="shared" si="69"/>
        <v>46599</v>
      </c>
      <c r="B88" s="300">
        <f t="shared" si="110"/>
        <v>73992.489999999976</v>
      </c>
      <c r="C88" s="14">
        <f t="shared" si="101"/>
        <v>421.41</v>
      </c>
      <c r="D88" s="14">
        <f t="shared" si="119"/>
        <v>143.94</v>
      </c>
      <c r="E88" s="14">
        <f t="shared" si="102"/>
        <v>277.47000000000003</v>
      </c>
      <c r="F88" s="14">
        <f t="shared" si="51"/>
        <v>134.16999999999999</v>
      </c>
      <c r="G88" s="14">
        <f t="shared" si="52"/>
        <v>188.55</v>
      </c>
      <c r="H88" s="14">
        <f t="shared" si="54"/>
        <v>744.13000000000011</v>
      </c>
      <c r="I88" s="300">
        <f t="shared" si="70"/>
        <v>9632.8700000000026</v>
      </c>
      <c r="J88" s="300">
        <f t="shared" si="71"/>
        <v>21863.360000000001</v>
      </c>
      <c r="K88" s="300">
        <f t="shared" si="72"/>
        <v>73848.549999999974</v>
      </c>
      <c r="L88" s="449">
        <f t="shared" si="103"/>
        <v>2</v>
      </c>
      <c r="M88" s="449">
        <f t="shared" si="111"/>
        <v>29</v>
      </c>
      <c r="N88" s="300">
        <f t="shared" si="112"/>
        <v>236870.93000000005</v>
      </c>
      <c r="O88" s="300">
        <f t="shared" si="73"/>
        <v>1617.67</v>
      </c>
      <c r="P88" s="300">
        <f t="shared" si="120"/>
        <v>235.92000000000007</v>
      </c>
      <c r="Q88" s="300">
        <f t="shared" si="74"/>
        <v>1381.75</v>
      </c>
      <c r="R88" s="300">
        <f t="shared" si="84"/>
        <v>134.16999999999999</v>
      </c>
      <c r="S88" s="300">
        <f t="shared" si="75"/>
        <v>188.55</v>
      </c>
      <c r="T88" s="300">
        <f t="shared" si="59"/>
        <v>1940.39</v>
      </c>
      <c r="U88" s="300">
        <f t="shared" si="121"/>
        <v>6513.4900000000025</v>
      </c>
      <c r="V88" s="300">
        <f t="shared" si="122"/>
        <v>42016.610000000008</v>
      </c>
      <c r="W88" s="300">
        <f t="shared" si="76"/>
        <v>236635.01000000004</v>
      </c>
      <c r="X88" s="535">
        <f t="shared" si="113"/>
        <v>46599</v>
      </c>
      <c r="Y88" s="300">
        <f t="shared" si="77"/>
        <v>302244.43999999983</v>
      </c>
      <c r="Z88" s="527">
        <f t="shared" si="104"/>
        <v>4.4999999999999998E-2</v>
      </c>
      <c r="AA88" s="300">
        <f t="shared" si="105"/>
        <v>1595.67</v>
      </c>
      <c r="AB88" s="300">
        <f t="shared" si="78"/>
        <v>462.25</v>
      </c>
      <c r="AC88" s="300">
        <f t="shared" si="106"/>
        <v>1133.42</v>
      </c>
      <c r="AD88" s="300">
        <f t="shared" ref="AD88:AE88" si="130">+AD87</f>
        <v>134.16999999999999</v>
      </c>
      <c r="AE88" s="300">
        <f t="shared" si="130"/>
        <v>188.55</v>
      </c>
      <c r="AF88" s="300">
        <f t="shared" si="80"/>
        <v>1918.39</v>
      </c>
      <c r="AG88" s="300">
        <f t="shared" si="81"/>
        <v>13141.910000000003</v>
      </c>
      <c r="AH88" s="300">
        <f t="shared" si="82"/>
        <v>34728.19</v>
      </c>
      <c r="AI88" s="545">
        <f t="shared" si="64"/>
        <v>660</v>
      </c>
      <c r="AJ88" s="545">
        <f t="shared" si="108"/>
        <v>-65147.179999999789</v>
      </c>
      <c r="AK88" s="545">
        <f t="shared" si="65"/>
        <v>-64487.179999999789</v>
      </c>
      <c r="AL88" s="300">
        <f t="shared" si="83"/>
        <v>301782.18999999983</v>
      </c>
      <c r="AM88" s="449">
        <f t="shared" si="115"/>
        <v>2</v>
      </c>
      <c r="AN88" s="14">
        <f t="shared" si="66"/>
        <v>1196.26</v>
      </c>
      <c r="AO88" s="14">
        <f t="shared" si="50"/>
        <v>234873.94999999998</v>
      </c>
      <c r="AP88" s="14">
        <f t="shared" si="67"/>
        <v>1174.26</v>
      </c>
      <c r="AS88" s="14">
        <f t="shared" si="109"/>
        <v>1196.26</v>
      </c>
      <c r="AT88" s="14">
        <f t="shared" si="116"/>
        <v>35407.239999999983</v>
      </c>
      <c r="AU88" s="300">
        <f t="shared" si="117"/>
        <v>729.40953754777149</v>
      </c>
      <c r="AV88" s="300">
        <f t="shared" si="118"/>
        <v>49344.724556656431</v>
      </c>
    </row>
    <row r="89" spans="1:50" x14ac:dyDescent="0.25">
      <c r="A89" s="535">
        <f t="shared" si="69"/>
        <v>46629</v>
      </c>
      <c r="B89" s="300">
        <f t="shared" si="110"/>
        <v>73848.549999999974</v>
      </c>
      <c r="C89" s="14">
        <f t="shared" si="101"/>
        <v>421.41</v>
      </c>
      <c r="D89" s="14">
        <f t="shared" si="119"/>
        <v>144.48000000000002</v>
      </c>
      <c r="E89" s="14">
        <f t="shared" si="102"/>
        <v>276.93</v>
      </c>
      <c r="F89" s="14">
        <f t="shared" si="51"/>
        <v>134.16999999999999</v>
      </c>
      <c r="G89" s="14">
        <f t="shared" si="52"/>
        <v>188.55</v>
      </c>
      <c r="H89" s="14">
        <f t="shared" si="54"/>
        <v>744.13000000000011</v>
      </c>
      <c r="I89" s="300">
        <f t="shared" si="70"/>
        <v>9777.3500000000022</v>
      </c>
      <c r="J89" s="300">
        <f t="shared" si="71"/>
        <v>22140.29</v>
      </c>
      <c r="K89" s="300">
        <f t="shared" si="72"/>
        <v>73704.069999999978</v>
      </c>
      <c r="L89" s="449">
        <f t="shared" si="103"/>
        <v>2</v>
      </c>
      <c r="M89" s="449">
        <f t="shared" si="111"/>
        <v>30</v>
      </c>
      <c r="N89" s="300">
        <f t="shared" si="112"/>
        <v>236635.01000000004</v>
      </c>
      <c r="O89" s="300">
        <f t="shared" si="73"/>
        <v>1617.67</v>
      </c>
      <c r="P89" s="300">
        <f t="shared" si="120"/>
        <v>237.30000000000018</v>
      </c>
      <c r="Q89" s="300">
        <f t="shared" si="74"/>
        <v>1380.37</v>
      </c>
      <c r="R89" s="300">
        <f t="shared" si="84"/>
        <v>134.16999999999999</v>
      </c>
      <c r="S89" s="300">
        <f t="shared" si="75"/>
        <v>188.55</v>
      </c>
      <c r="T89" s="300">
        <f t="shared" si="59"/>
        <v>1940.39</v>
      </c>
      <c r="U89" s="300">
        <f t="shared" si="121"/>
        <v>6750.7900000000027</v>
      </c>
      <c r="V89" s="300">
        <f t="shared" si="122"/>
        <v>43396.98000000001</v>
      </c>
      <c r="W89" s="300">
        <f t="shared" si="76"/>
        <v>236397.71000000005</v>
      </c>
      <c r="X89" s="535">
        <f t="shared" si="113"/>
        <v>46629</v>
      </c>
      <c r="Y89" s="300">
        <f t="shared" si="77"/>
        <v>301782.18999999983</v>
      </c>
      <c r="Z89" s="527">
        <f t="shared" si="104"/>
        <v>4.4999999999999998E-2</v>
      </c>
      <c r="AA89" s="300">
        <f t="shared" si="105"/>
        <v>1595.67</v>
      </c>
      <c r="AB89" s="300">
        <f t="shared" si="78"/>
        <v>463.99</v>
      </c>
      <c r="AC89" s="300">
        <f t="shared" si="106"/>
        <v>1131.68</v>
      </c>
      <c r="AD89" s="300">
        <f t="shared" ref="AD89:AE89" si="131">+AD88</f>
        <v>134.16999999999999</v>
      </c>
      <c r="AE89" s="300">
        <f t="shared" si="131"/>
        <v>188.55</v>
      </c>
      <c r="AF89" s="300">
        <f t="shared" si="80"/>
        <v>1918.39</v>
      </c>
      <c r="AG89" s="300">
        <f t="shared" si="81"/>
        <v>13605.900000000003</v>
      </c>
      <c r="AH89" s="300">
        <f t="shared" si="82"/>
        <v>35859.870000000003</v>
      </c>
      <c r="AI89" s="545">
        <f t="shared" si="64"/>
        <v>682</v>
      </c>
      <c r="AJ89" s="545">
        <f t="shared" si="108"/>
        <v>-64920.489999999787</v>
      </c>
      <c r="AK89" s="545">
        <f t="shared" si="65"/>
        <v>-64238.489999999787</v>
      </c>
      <c r="AL89" s="300">
        <f t="shared" si="83"/>
        <v>301318.19999999984</v>
      </c>
      <c r="AM89" s="449">
        <f t="shared" si="115"/>
        <v>2</v>
      </c>
      <c r="AN89" s="14">
        <f t="shared" si="66"/>
        <v>1196.26</v>
      </c>
      <c r="AO89" s="14">
        <f t="shared" si="50"/>
        <v>234781.12999999998</v>
      </c>
      <c r="AP89" s="14">
        <f t="shared" si="67"/>
        <v>1174.26</v>
      </c>
      <c r="AS89" s="14">
        <f t="shared" si="109"/>
        <v>1196.26</v>
      </c>
      <c r="AT89" s="14">
        <f t="shared" si="116"/>
        <v>36603.499999999985</v>
      </c>
      <c r="AU89" s="300">
        <f t="shared" si="117"/>
        <v>731.23306139164106</v>
      </c>
      <c r="AV89" s="300">
        <f t="shared" si="118"/>
        <v>50075.957618048073</v>
      </c>
    </row>
    <row r="90" spans="1:50" x14ac:dyDescent="0.25">
      <c r="A90" s="535">
        <f t="shared" si="69"/>
        <v>46659</v>
      </c>
      <c r="B90" s="300">
        <f t="shared" si="110"/>
        <v>73704.069999999978</v>
      </c>
      <c r="C90" s="14">
        <f t="shared" si="101"/>
        <v>421.41</v>
      </c>
      <c r="D90" s="14">
        <f t="shared" si="119"/>
        <v>145.02000000000004</v>
      </c>
      <c r="E90" s="14">
        <f t="shared" si="102"/>
        <v>276.39</v>
      </c>
      <c r="F90" s="14">
        <f t="shared" si="51"/>
        <v>134.16999999999999</v>
      </c>
      <c r="G90" s="14">
        <f t="shared" si="52"/>
        <v>188.55</v>
      </c>
      <c r="H90" s="14">
        <f t="shared" si="54"/>
        <v>744.13000000000011</v>
      </c>
      <c r="I90" s="300">
        <f t="shared" si="70"/>
        <v>9922.3700000000026</v>
      </c>
      <c r="J90" s="300">
        <f t="shared" si="71"/>
        <v>22416.68</v>
      </c>
      <c r="K90" s="300">
        <f t="shared" si="72"/>
        <v>73559.049999999974</v>
      </c>
      <c r="L90" s="449">
        <f t="shared" si="103"/>
        <v>2</v>
      </c>
      <c r="M90" s="449">
        <f t="shared" si="111"/>
        <v>31</v>
      </c>
      <c r="N90" s="300">
        <f t="shared" si="112"/>
        <v>236397.71000000005</v>
      </c>
      <c r="O90" s="300">
        <f t="shared" si="73"/>
        <v>1617.67</v>
      </c>
      <c r="P90" s="300">
        <f t="shared" si="120"/>
        <v>238.68000000000006</v>
      </c>
      <c r="Q90" s="300">
        <f t="shared" si="74"/>
        <v>1378.99</v>
      </c>
      <c r="R90" s="300">
        <f t="shared" si="84"/>
        <v>134.16999999999999</v>
      </c>
      <c r="S90" s="300">
        <f t="shared" si="75"/>
        <v>188.55</v>
      </c>
      <c r="T90" s="300">
        <f t="shared" si="59"/>
        <v>1940.39</v>
      </c>
      <c r="U90" s="300">
        <f t="shared" si="121"/>
        <v>6989.470000000003</v>
      </c>
      <c r="V90" s="300">
        <f t="shared" si="122"/>
        <v>44775.970000000008</v>
      </c>
      <c r="W90" s="300">
        <f t="shared" si="76"/>
        <v>236159.03000000006</v>
      </c>
      <c r="X90" s="535">
        <f t="shared" si="113"/>
        <v>46659</v>
      </c>
      <c r="Y90" s="300">
        <f t="shared" si="77"/>
        <v>301318.19999999984</v>
      </c>
      <c r="Z90" s="527">
        <f t="shared" si="104"/>
        <v>4.4999999999999998E-2</v>
      </c>
      <c r="AA90" s="300">
        <f t="shared" si="105"/>
        <v>1595.67</v>
      </c>
      <c r="AB90" s="300">
        <f t="shared" si="78"/>
        <v>465.73</v>
      </c>
      <c r="AC90" s="300">
        <f t="shared" si="106"/>
        <v>1129.94</v>
      </c>
      <c r="AD90" s="300">
        <f t="shared" ref="AD90:AE90" si="132">+AD89</f>
        <v>134.16999999999999</v>
      </c>
      <c r="AE90" s="300">
        <f t="shared" si="132"/>
        <v>188.55</v>
      </c>
      <c r="AF90" s="300">
        <f t="shared" si="80"/>
        <v>1918.39</v>
      </c>
      <c r="AG90" s="300">
        <f t="shared" si="81"/>
        <v>14071.630000000003</v>
      </c>
      <c r="AH90" s="300">
        <f t="shared" si="82"/>
        <v>36989.810000000005</v>
      </c>
      <c r="AI90" s="545">
        <f t="shared" si="64"/>
        <v>704</v>
      </c>
      <c r="AJ90" s="545">
        <f>+W90-AL90</f>
        <v>-64693.439999999799</v>
      </c>
      <c r="AK90" s="545">
        <f t="shared" si="65"/>
        <v>-63989.439999999799</v>
      </c>
      <c r="AL90" s="300">
        <f t="shared" si="83"/>
        <v>300852.46999999986</v>
      </c>
      <c r="AM90" s="449">
        <f t="shared" si="115"/>
        <v>2</v>
      </c>
      <c r="AN90" s="14">
        <f t="shared" si="66"/>
        <v>1196.26</v>
      </c>
      <c r="AO90" s="14">
        <f t="shared" si="50"/>
        <v>234687.46999999997</v>
      </c>
      <c r="AP90" s="14">
        <f t="shared" si="67"/>
        <v>1174.26</v>
      </c>
      <c r="AS90" s="14">
        <f t="shared" si="109"/>
        <v>1196.26</v>
      </c>
      <c r="AT90" s="14">
        <f t="shared" si="116"/>
        <v>37799.759999999987</v>
      </c>
      <c r="AU90" s="300">
        <f t="shared" si="117"/>
        <v>733.06114404512016</v>
      </c>
      <c r="AV90" s="300">
        <f t="shared" si="118"/>
        <v>50809.01876209319</v>
      </c>
    </row>
    <row r="91" spans="1:50" x14ac:dyDescent="0.25">
      <c r="A91" s="535">
        <f t="shared" si="69"/>
        <v>46689</v>
      </c>
      <c r="B91" s="300">
        <f t="shared" si="110"/>
        <v>73559.049999999974</v>
      </c>
      <c r="C91" s="14">
        <f t="shared" si="101"/>
        <v>421.41</v>
      </c>
      <c r="D91" s="14">
        <f t="shared" si="119"/>
        <v>145.56</v>
      </c>
      <c r="E91" s="14">
        <f t="shared" si="102"/>
        <v>275.85000000000002</v>
      </c>
      <c r="F91" s="14">
        <f t="shared" si="51"/>
        <v>134.16999999999999</v>
      </c>
      <c r="G91" s="14">
        <f t="shared" si="52"/>
        <v>188.55</v>
      </c>
      <c r="H91" s="14">
        <f t="shared" si="54"/>
        <v>744.13000000000011</v>
      </c>
      <c r="I91" s="300">
        <f t="shared" si="70"/>
        <v>10067.930000000002</v>
      </c>
      <c r="J91" s="300">
        <f t="shared" si="71"/>
        <v>22692.53</v>
      </c>
      <c r="K91" s="300">
        <f t="shared" si="72"/>
        <v>73413.489999999976</v>
      </c>
      <c r="L91" s="449">
        <f t="shared" si="103"/>
        <v>2</v>
      </c>
      <c r="M91" s="449">
        <f t="shared" si="111"/>
        <v>32</v>
      </c>
      <c r="N91" s="300">
        <f t="shared" si="112"/>
        <v>236159.03000000006</v>
      </c>
      <c r="O91" s="300">
        <f t="shared" si="73"/>
        <v>1617.67</v>
      </c>
      <c r="P91" s="300">
        <f t="shared" si="120"/>
        <v>240.08000000000015</v>
      </c>
      <c r="Q91" s="300">
        <f t="shared" si="74"/>
        <v>1377.59</v>
      </c>
      <c r="R91" s="300">
        <f t="shared" si="84"/>
        <v>134.16999999999999</v>
      </c>
      <c r="S91" s="300">
        <f t="shared" si="75"/>
        <v>188.55</v>
      </c>
      <c r="T91" s="300">
        <f t="shared" si="59"/>
        <v>1940.39</v>
      </c>
      <c r="U91" s="300">
        <f t="shared" si="121"/>
        <v>7229.5500000000029</v>
      </c>
      <c r="V91" s="300">
        <f t="shared" si="122"/>
        <v>46153.560000000005</v>
      </c>
      <c r="W91" s="300">
        <f t="shared" si="76"/>
        <v>235918.95000000007</v>
      </c>
      <c r="X91" s="535">
        <f t="shared" si="113"/>
        <v>46689</v>
      </c>
      <c r="Y91" s="300">
        <f t="shared" si="77"/>
        <v>300852.46999999986</v>
      </c>
      <c r="Z91" s="527">
        <f t="shared" si="104"/>
        <v>4.4999999999999998E-2</v>
      </c>
      <c r="AA91" s="300">
        <f t="shared" si="105"/>
        <v>1595.67</v>
      </c>
      <c r="AB91" s="300">
        <f t="shared" si="78"/>
        <v>467.47</v>
      </c>
      <c r="AC91" s="300">
        <f t="shared" si="106"/>
        <v>1128.2</v>
      </c>
      <c r="AD91" s="300">
        <f t="shared" ref="AD91:AE91" si="133">+AD90</f>
        <v>134.16999999999999</v>
      </c>
      <c r="AE91" s="300">
        <f t="shared" si="133"/>
        <v>188.55</v>
      </c>
      <c r="AF91" s="300">
        <f t="shared" si="80"/>
        <v>1918.39</v>
      </c>
      <c r="AG91" s="300">
        <f t="shared" si="81"/>
        <v>14539.100000000002</v>
      </c>
      <c r="AH91" s="300">
        <f t="shared" si="82"/>
        <v>38118.01</v>
      </c>
      <c r="AI91" s="545">
        <f t="shared" si="64"/>
        <v>726</v>
      </c>
      <c r="AJ91" s="545">
        <f t="shared" ref="AJ91:AJ154" si="134">+W91-AL91</f>
        <v>-64466.049999999814</v>
      </c>
      <c r="AK91" s="545">
        <f t="shared" si="65"/>
        <v>-63740.049999999814</v>
      </c>
      <c r="AL91" s="300">
        <f t="shared" si="83"/>
        <v>300384.99999999988</v>
      </c>
      <c r="AM91" s="449">
        <f t="shared" si="115"/>
        <v>2</v>
      </c>
      <c r="AN91" s="14">
        <f t="shared" si="66"/>
        <v>1196.26</v>
      </c>
      <c r="AO91" s="14">
        <f t="shared" si="50"/>
        <v>234592.94999999995</v>
      </c>
      <c r="AP91" s="14">
        <f t="shared" si="67"/>
        <v>1174.26</v>
      </c>
      <c r="AS91" s="14">
        <f t="shared" si="109"/>
        <v>1196.26</v>
      </c>
      <c r="AT91" s="14">
        <f t="shared" si="116"/>
        <v>38996.01999999999</v>
      </c>
      <c r="AU91" s="300">
        <f t="shared" si="117"/>
        <v>734.89379690523299</v>
      </c>
      <c r="AV91" s="300">
        <f t="shared" si="118"/>
        <v>51543.912558998425</v>
      </c>
    </row>
    <row r="92" spans="1:50" x14ac:dyDescent="0.25">
      <c r="A92" s="535">
        <f t="shared" si="69"/>
        <v>46719</v>
      </c>
      <c r="B92" s="300">
        <f t="shared" si="110"/>
        <v>73413.489999999976</v>
      </c>
      <c r="C92" s="14">
        <f t="shared" si="101"/>
        <v>421.41</v>
      </c>
      <c r="D92" s="14">
        <f t="shared" si="119"/>
        <v>146.11000000000001</v>
      </c>
      <c r="E92" s="14">
        <f t="shared" si="102"/>
        <v>275.3</v>
      </c>
      <c r="F92" s="14">
        <f t="shared" si="51"/>
        <v>134.16999999999999</v>
      </c>
      <c r="G92" s="14">
        <f t="shared" si="52"/>
        <v>188.55</v>
      </c>
      <c r="H92" s="14">
        <f t="shared" si="54"/>
        <v>744.13000000000011</v>
      </c>
      <c r="I92" s="300">
        <f t="shared" si="70"/>
        <v>10214.040000000003</v>
      </c>
      <c r="J92" s="300">
        <f t="shared" si="71"/>
        <v>22967.829999999998</v>
      </c>
      <c r="K92" s="300">
        <f t="shared" si="72"/>
        <v>73267.379999999976</v>
      </c>
      <c r="L92" s="449">
        <f t="shared" si="103"/>
        <v>2</v>
      </c>
      <c r="M92" s="449">
        <f t="shared" si="111"/>
        <v>33</v>
      </c>
      <c r="N92" s="300">
        <f t="shared" si="112"/>
        <v>235918.95000000007</v>
      </c>
      <c r="O92" s="300">
        <f t="shared" si="73"/>
        <v>1617.67</v>
      </c>
      <c r="P92" s="300">
        <f t="shared" si="120"/>
        <v>241.48000000000002</v>
      </c>
      <c r="Q92" s="300">
        <f t="shared" si="74"/>
        <v>1376.19</v>
      </c>
      <c r="R92" s="300">
        <f t="shared" si="84"/>
        <v>134.16999999999999</v>
      </c>
      <c r="S92" s="300">
        <f t="shared" si="75"/>
        <v>188.55</v>
      </c>
      <c r="T92" s="300">
        <f t="shared" si="59"/>
        <v>1940.39</v>
      </c>
      <c r="U92" s="300">
        <f t="shared" si="121"/>
        <v>7471.0300000000025</v>
      </c>
      <c r="V92" s="300">
        <f t="shared" si="122"/>
        <v>47529.750000000007</v>
      </c>
      <c r="W92" s="300">
        <f t="shared" si="76"/>
        <v>235677.47000000006</v>
      </c>
      <c r="X92" s="535">
        <f t="shared" si="113"/>
        <v>46719</v>
      </c>
      <c r="Y92" s="300">
        <f t="shared" si="77"/>
        <v>300384.99999999988</v>
      </c>
      <c r="Z92" s="527">
        <f t="shared" si="104"/>
        <v>4.4999999999999998E-2</v>
      </c>
      <c r="AA92" s="300">
        <f t="shared" si="105"/>
        <v>1595.67</v>
      </c>
      <c r="AB92" s="300">
        <f t="shared" si="78"/>
        <v>469.23</v>
      </c>
      <c r="AC92" s="300">
        <f t="shared" si="106"/>
        <v>1126.44</v>
      </c>
      <c r="AD92" s="300">
        <f t="shared" ref="AD92:AE92" si="135">+AD91</f>
        <v>134.16999999999999</v>
      </c>
      <c r="AE92" s="300">
        <f t="shared" si="135"/>
        <v>188.55</v>
      </c>
      <c r="AF92" s="300">
        <f t="shared" si="80"/>
        <v>1918.39</v>
      </c>
      <c r="AG92" s="300">
        <f t="shared" si="81"/>
        <v>15008.330000000002</v>
      </c>
      <c r="AH92" s="300">
        <f t="shared" si="82"/>
        <v>39244.450000000004</v>
      </c>
      <c r="AI92" s="545">
        <f t="shared" si="64"/>
        <v>748</v>
      </c>
      <c r="AJ92" s="545">
        <f t="shared" si="134"/>
        <v>-64238.299999999843</v>
      </c>
      <c r="AK92" s="545">
        <f t="shared" si="65"/>
        <v>-63490.299999999843</v>
      </c>
      <c r="AL92" s="300">
        <f t="shared" si="83"/>
        <v>299915.7699999999</v>
      </c>
      <c r="AM92" s="449">
        <f t="shared" si="115"/>
        <v>2</v>
      </c>
      <c r="AN92" s="14">
        <f t="shared" si="66"/>
        <v>1196.26</v>
      </c>
      <c r="AO92" s="14">
        <f t="shared" si="50"/>
        <v>234497.58</v>
      </c>
      <c r="AP92" s="14">
        <f t="shared" si="67"/>
        <v>1174.26</v>
      </c>
      <c r="AS92" s="14">
        <f t="shared" si="109"/>
        <v>1196.26</v>
      </c>
      <c r="AT92" s="14">
        <f t="shared" si="116"/>
        <v>40192.279999999992</v>
      </c>
      <c r="AU92" s="300">
        <f t="shared" si="117"/>
        <v>736.73103139749617</v>
      </c>
      <c r="AV92" s="300">
        <f t="shared" si="118"/>
        <v>52280.643590395921</v>
      </c>
    </row>
    <row r="93" spans="1:50" x14ac:dyDescent="0.25">
      <c r="A93" s="535">
        <f t="shared" si="69"/>
        <v>46749</v>
      </c>
      <c r="B93" s="300">
        <f t="shared" si="110"/>
        <v>73267.379999999976</v>
      </c>
      <c r="C93" s="14">
        <f t="shared" si="101"/>
        <v>421.41</v>
      </c>
      <c r="D93" s="14">
        <f t="shared" si="119"/>
        <v>146.66000000000003</v>
      </c>
      <c r="E93" s="14">
        <f t="shared" si="102"/>
        <v>274.75</v>
      </c>
      <c r="F93" s="14">
        <f t="shared" si="51"/>
        <v>134.16999999999999</v>
      </c>
      <c r="G93" s="14">
        <f t="shared" si="52"/>
        <v>188.55</v>
      </c>
      <c r="H93" s="14">
        <f t="shared" si="54"/>
        <v>744.13000000000011</v>
      </c>
      <c r="I93" s="300">
        <f t="shared" si="70"/>
        <v>10360.700000000003</v>
      </c>
      <c r="J93" s="300">
        <f t="shared" si="71"/>
        <v>23242.579999999998</v>
      </c>
      <c r="K93" s="300">
        <f t="shared" si="72"/>
        <v>73120.719999999972</v>
      </c>
      <c r="L93" s="449">
        <f t="shared" si="103"/>
        <v>2</v>
      </c>
      <c r="M93" s="449">
        <f t="shared" si="111"/>
        <v>34</v>
      </c>
      <c r="N93" s="300">
        <f t="shared" si="112"/>
        <v>235677.47000000006</v>
      </c>
      <c r="O93" s="300">
        <f t="shared" si="73"/>
        <v>1617.67</v>
      </c>
      <c r="P93" s="300">
        <f t="shared" si="120"/>
        <v>242.88000000000011</v>
      </c>
      <c r="Q93" s="300">
        <f t="shared" si="74"/>
        <v>1374.79</v>
      </c>
      <c r="R93" s="300">
        <f t="shared" si="84"/>
        <v>134.16999999999999</v>
      </c>
      <c r="S93" s="300">
        <f t="shared" si="75"/>
        <v>188.55</v>
      </c>
      <c r="T93" s="300">
        <f t="shared" si="59"/>
        <v>1940.39</v>
      </c>
      <c r="U93" s="300">
        <f t="shared" si="121"/>
        <v>7713.9100000000026</v>
      </c>
      <c r="V93" s="300">
        <f t="shared" si="122"/>
        <v>48904.540000000008</v>
      </c>
      <c r="W93" s="300">
        <f t="shared" si="76"/>
        <v>235434.59000000005</v>
      </c>
      <c r="X93" s="535">
        <f t="shared" si="113"/>
        <v>46749</v>
      </c>
      <c r="Y93" s="300">
        <f t="shared" si="77"/>
        <v>299915.7699999999</v>
      </c>
      <c r="Z93" s="527">
        <f t="shared" si="104"/>
        <v>4.4999999999999998E-2</v>
      </c>
      <c r="AA93" s="300">
        <f t="shared" si="105"/>
        <v>1595.67</v>
      </c>
      <c r="AB93" s="300">
        <f t="shared" si="78"/>
        <v>470.99</v>
      </c>
      <c r="AC93" s="300">
        <f t="shared" si="106"/>
        <v>1124.68</v>
      </c>
      <c r="AD93" s="300">
        <f t="shared" ref="AD93:AE93" si="136">+AD92</f>
        <v>134.16999999999999</v>
      </c>
      <c r="AE93" s="300">
        <f t="shared" si="136"/>
        <v>188.55</v>
      </c>
      <c r="AF93" s="300">
        <f t="shared" si="80"/>
        <v>1918.39</v>
      </c>
      <c r="AG93" s="300">
        <f t="shared" si="81"/>
        <v>15479.320000000002</v>
      </c>
      <c r="AH93" s="300">
        <f t="shared" si="82"/>
        <v>40369.130000000005</v>
      </c>
      <c r="AI93" s="545">
        <f t="shared" si="64"/>
        <v>770</v>
      </c>
      <c r="AJ93" s="545">
        <f t="shared" si="134"/>
        <v>-64010.189999999857</v>
      </c>
      <c r="AK93" s="545">
        <f t="shared" si="65"/>
        <v>-63240.189999999857</v>
      </c>
      <c r="AL93" s="300">
        <f t="shared" si="83"/>
        <v>299444.77999999991</v>
      </c>
      <c r="AM93" s="449">
        <f t="shared" si="115"/>
        <v>2</v>
      </c>
      <c r="AN93" s="14">
        <f t="shared" si="66"/>
        <v>1196.26</v>
      </c>
      <c r="AO93" s="14">
        <f t="shared" si="50"/>
        <v>234401.36</v>
      </c>
      <c r="AP93" s="14">
        <f t="shared" si="67"/>
        <v>1174.26</v>
      </c>
      <c r="AS93" s="14">
        <f t="shared" si="109"/>
        <v>1196.26</v>
      </c>
      <c r="AT93" s="14">
        <f t="shared" si="116"/>
        <v>41388.539999999994</v>
      </c>
      <c r="AU93" s="300">
        <f t="shared" si="117"/>
        <v>738.57285897598979</v>
      </c>
      <c r="AV93" s="300">
        <f t="shared" si="118"/>
        <v>53019.21644937191</v>
      </c>
    </row>
    <row r="94" spans="1:50" x14ac:dyDescent="0.25">
      <c r="A94" s="535">
        <f t="shared" si="69"/>
        <v>46779</v>
      </c>
      <c r="B94" s="300">
        <f t="shared" si="110"/>
        <v>73120.719999999972</v>
      </c>
      <c r="C94" s="14">
        <f t="shared" si="101"/>
        <v>421.41</v>
      </c>
      <c r="D94" s="14">
        <f t="shared" si="119"/>
        <v>147.21000000000004</v>
      </c>
      <c r="E94" s="14">
        <f t="shared" si="102"/>
        <v>274.2</v>
      </c>
      <c r="F94" s="14">
        <f t="shared" si="51"/>
        <v>134.16999999999999</v>
      </c>
      <c r="G94" s="14">
        <f t="shared" si="52"/>
        <v>188.55</v>
      </c>
      <c r="H94" s="14">
        <f t="shared" si="54"/>
        <v>744.13000000000011</v>
      </c>
      <c r="I94" s="300">
        <f t="shared" si="70"/>
        <v>10507.910000000003</v>
      </c>
      <c r="J94" s="300">
        <f t="shared" si="71"/>
        <v>23516.78</v>
      </c>
      <c r="K94" s="300">
        <f t="shared" si="72"/>
        <v>72973.509999999966</v>
      </c>
      <c r="L94" s="449">
        <f t="shared" si="103"/>
        <v>2</v>
      </c>
      <c r="M94" s="449">
        <f t="shared" si="111"/>
        <v>35</v>
      </c>
      <c r="N94" s="300">
        <f t="shared" si="112"/>
        <v>235434.59000000005</v>
      </c>
      <c r="O94" s="300">
        <f t="shared" si="73"/>
        <v>1617.67</v>
      </c>
      <c r="P94" s="300">
        <f t="shared" si="120"/>
        <v>244.30000000000018</v>
      </c>
      <c r="Q94" s="300">
        <f t="shared" si="74"/>
        <v>1373.37</v>
      </c>
      <c r="R94" s="300">
        <f t="shared" si="84"/>
        <v>134.16999999999999</v>
      </c>
      <c r="S94" s="300">
        <f t="shared" si="75"/>
        <v>188.55</v>
      </c>
      <c r="T94" s="300">
        <f t="shared" si="59"/>
        <v>1940.39</v>
      </c>
      <c r="U94" s="300">
        <f t="shared" si="121"/>
        <v>7958.2100000000028</v>
      </c>
      <c r="V94" s="300">
        <f t="shared" si="122"/>
        <v>50277.910000000011</v>
      </c>
      <c r="W94" s="300">
        <f t="shared" si="76"/>
        <v>235190.29000000007</v>
      </c>
      <c r="X94" s="535">
        <f t="shared" si="113"/>
        <v>46779</v>
      </c>
      <c r="Y94" s="300">
        <f t="shared" si="77"/>
        <v>299444.77999999991</v>
      </c>
      <c r="Z94" s="527">
        <f t="shared" si="104"/>
        <v>4.4999999999999998E-2</v>
      </c>
      <c r="AA94" s="300">
        <f t="shared" si="105"/>
        <v>1595.67</v>
      </c>
      <c r="AB94" s="300">
        <f t="shared" si="78"/>
        <v>472.75</v>
      </c>
      <c r="AC94" s="300">
        <f t="shared" si="106"/>
        <v>1122.92</v>
      </c>
      <c r="AD94" s="300">
        <f t="shared" ref="AD94:AE94" si="137">+AD93</f>
        <v>134.16999999999999</v>
      </c>
      <c r="AE94" s="300">
        <f t="shared" si="137"/>
        <v>188.55</v>
      </c>
      <c r="AF94" s="300">
        <f t="shared" si="80"/>
        <v>1918.39</v>
      </c>
      <c r="AG94" s="300">
        <f t="shared" si="81"/>
        <v>15952.070000000002</v>
      </c>
      <c r="AH94" s="300">
        <f t="shared" si="82"/>
        <v>41492.050000000003</v>
      </c>
      <c r="AI94" s="545">
        <f t="shared" si="64"/>
        <v>792</v>
      </c>
      <c r="AJ94" s="545">
        <f t="shared" si="134"/>
        <v>-63781.739999999845</v>
      </c>
      <c r="AK94" s="545">
        <f t="shared" si="65"/>
        <v>-62989.739999999845</v>
      </c>
      <c r="AL94" s="300">
        <f t="shared" si="83"/>
        <v>298972.02999999991</v>
      </c>
      <c r="AM94" s="449">
        <f t="shared" si="115"/>
        <v>2</v>
      </c>
      <c r="AN94" s="14">
        <f t="shared" si="66"/>
        <v>1196.26</v>
      </c>
      <c r="AO94" s="14">
        <f t="shared" si="50"/>
        <v>234304.27</v>
      </c>
      <c r="AP94" s="14">
        <f t="shared" si="67"/>
        <v>1174.26</v>
      </c>
      <c r="AS94" s="14">
        <f t="shared" si="109"/>
        <v>1196.26</v>
      </c>
      <c r="AT94" s="14">
        <f t="shared" si="116"/>
        <v>42584.799999999996</v>
      </c>
      <c r="AU94" s="300">
        <f t="shared" si="117"/>
        <v>740.41929112342962</v>
      </c>
      <c r="AV94" s="300">
        <f t="shared" si="118"/>
        <v>53759.635740495338</v>
      </c>
    </row>
    <row r="95" spans="1:50" x14ac:dyDescent="0.25">
      <c r="A95" s="535">
        <f t="shared" si="69"/>
        <v>46809</v>
      </c>
      <c r="B95" s="300">
        <f t="shared" si="110"/>
        <v>72973.509999999966</v>
      </c>
      <c r="C95" s="14">
        <f t="shared" si="101"/>
        <v>421.41</v>
      </c>
      <c r="D95" s="14">
        <f t="shared" si="119"/>
        <v>147.76000000000005</v>
      </c>
      <c r="E95" s="14">
        <f t="shared" si="102"/>
        <v>273.64999999999998</v>
      </c>
      <c r="F95" s="14">
        <f t="shared" si="51"/>
        <v>134.16999999999999</v>
      </c>
      <c r="G95" s="14">
        <f t="shared" si="52"/>
        <v>188.55</v>
      </c>
      <c r="H95" s="14">
        <f t="shared" si="54"/>
        <v>744.13000000000011</v>
      </c>
      <c r="I95" s="300">
        <f t="shared" si="70"/>
        <v>10655.670000000004</v>
      </c>
      <c r="J95" s="300">
        <f t="shared" si="71"/>
        <v>23790.43</v>
      </c>
      <c r="K95" s="300">
        <f t="shared" si="72"/>
        <v>72825.749999999971</v>
      </c>
      <c r="L95" s="449">
        <f t="shared" si="103"/>
        <v>3</v>
      </c>
      <c r="M95" s="449">
        <f t="shared" si="111"/>
        <v>36</v>
      </c>
      <c r="N95" s="300">
        <f t="shared" si="112"/>
        <v>235190.29000000007</v>
      </c>
      <c r="O95" s="300">
        <f t="shared" si="73"/>
        <v>1617.67</v>
      </c>
      <c r="P95" s="300">
        <f t="shared" si="120"/>
        <v>245.73000000000002</v>
      </c>
      <c r="Q95" s="300">
        <f t="shared" si="74"/>
        <v>1371.94</v>
      </c>
      <c r="R95" s="300">
        <f t="shared" si="84"/>
        <v>134.16999999999999</v>
      </c>
      <c r="S95" s="300">
        <f t="shared" si="75"/>
        <v>188.55</v>
      </c>
      <c r="T95" s="300">
        <f t="shared" si="59"/>
        <v>1940.39</v>
      </c>
      <c r="U95" s="300">
        <f t="shared" si="121"/>
        <v>8203.9400000000023</v>
      </c>
      <c r="V95" s="300">
        <f t="shared" si="122"/>
        <v>51649.850000000013</v>
      </c>
      <c r="W95" s="300">
        <f t="shared" si="76"/>
        <v>234944.56000000006</v>
      </c>
      <c r="X95" s="535">
        <f t="shared" si="113"/>
        <v>46809</v>
      </c>
      <c r="Y95" s="300">
        <f t="shared" si="77"/>
        <v>298972.02999999991</v>
      </c>
      <c r="Z95" s="527">
        <f t="shared" si="104"/>
        <v>4.4999999999999998E-2</v>
      </c>
      <c r="AA95" s="300">
        <f t="shared" si="105"/>
        <v>1595.67</v>
      </c>
      <c r="AB95" s="300">
        <f t="shared" si="78"/>
        <v>474.52</v>
      </c>
      <c r="AC95" s="300">
        <f t="shared" si="106"/>
        <v>1121.1500000000001</v>
      </c>
      <c r="AD95" s="300">
        <f t="shared" ref="AD95:AE95" si="138">+AD94</f>
        <v>134.16999999999999</v>
      </c>
      <c r="AE95" s="300">
        <f t="shared" si="138"/>
        <v>188.55</v>
      </c>
      <c r="AF95" s="300">
        <f t="shared" si="80"/>
        <v>1918.39</v>
      </c>
      <c r="AG95" s="300">
        <f t="shared" si="81"/>
        <v>16426.59</v>
      </c>
      <c r="AH95" s="300">
        <f t="shared" si="82"/>
        <v>42613.200000000004</v>
      </c>
      <c r="AI95" s="545">
        <f t="shared" si="64"/>
        <v>814</v>
      </c>
      <c r="AJ95" s="545">
        <f t="shared" si="134"/>
        <v>-63552.949999999837</v>
      </c>
      <c r="AK95" s="545">
        <f t="shared" si="65"/>
        <v>-62738.949999999837</v>
      </c>
      <c r="AL95" s="300">
        <f t="shared" si="83"/>
        <v>298497.50999999989</v>
      </c>
      <c r="AM95" s="449">
        <f t="shared" si="115"/>
        <v>3</v>
      </c>
      <c r="AN95" s="14">
        <f t="shared" si="66"/>
        <v>1196.26</v>
      </c>
      <c r="AO95" s="14">
        <f t="shared" si="50"/>
        <v>234206.3</v>
      </c>
      <c r="AP95" s="14">
        <f t="shared" si="67"/>
        <v>1174.26</v>
      </c>
      <c r="AS95" s="14">
        <f t="shared" si="109"/>
        <v>1196.26</v>
      </c>
      <c r="AT95" s="14">
        <f t="shared" si="116"/>
        <v>43781.06</v>
      </c>
      <c r="AU95" s="300">
        <f t="shared" si="117"/>
        <v>742.27033935123836</v>
      </c>
      <c r="AV95" s="300">
        <f t="shared" si="118"/>
        <v>54501.90607984658</v>
      </c>
      <c r="AX95" s="510"/>
    </row>
    <row r="96" spans="1:50" x14ac:dyDescent="0.25">
      <c r="A96" s="535">
        <f t="shared" si="69"/>
        <v>46839</v>
      </c>
      <c r="B96" s="300">
        <f t="shared" si="110"/>
        <v>72825.749999999971</v>
      </c>
      <c r="C96" s="14">
        <f t="shared" si="101"/>
        <v>421.41</v>
      </c>
      <c r="D96" s="14">
        <f t="shared" si="119"/>
        <v>148.31</v>
      </c>
      <c r="E96" s="14">
        <f t="shared" si="102"/>
        <v>273.10000000000002</v>
      </c>
      <c r="F96" s="14">
        <f t="shared" si="51"/>
        <v>134.16999999999999</v>
      </c>
      <c r="G96" s="14">
        <f t="shared" si="52"/>
        <v>188.55</v>
      </c>
      <c r="H96" s="14">
        <f t="shared" si="54"/>
        <v>744.13000000000011</v>
      </c>
      <c r="I96" s="300">
        <f t="shared" si="70"/>
        <v>10803.980000000003</v>
      </c>
      <c r="J96" s="300">
        <f t="shared" si="71"/>
        <v>24063.53</v>
      </c>
      <c r="K96" s="300">
        <f t="shared" si="72"/>
        <v>72677.439999999973</v>
      </c>
      <c r="L96" s="449">
        <f t="shared" si="103"/>
        <v>3</v>
      </c>
      <c r="M96" s="449">
        <f t="shared" si="111"/>
        <v>37</v>
      </c>
      <c r="N96" s="300">
        <f t="shared" si="112"/>
        <v>234944.56000000006</v>
      </c>
      <c r="O96" s="300">
        <f t="shared" si="73"/>
        <v>1617.67</v>
      </c>
      <c r="P96" s="300">
        <f t="shared" si="120"/>
        <v>247.16000000000008</v>
      </c>
      <c r="Q96" s="300">
        <f t="shared" si="74"/>
        <v>1370.51</v>
      </c>
      <c r="R96" s="300">
        <f t="shared" si="84"/>
        <v>134.16999999999999</v>
      </c>
      <c r="S96" s="300">
        <f t="shared" si="75"/>
        <v>188.55</v>
      </c>
      <c r="T96" s="300">
        <f t="shared" si="59"/>
        <v>1940.39</v>
      </c>
      <c r="U96" s="300">
        <f t="shared" si="121"/>
        <v>8451.1000000000022</v>
      </c>
      <c r="V96" s="300">
        <f t="shared" si="122"/>
        <v>53020.360000000015</v>
      </c>
      <c r="W96" s="300">
        <f t="shared" si="76"/>
        <v>234697.40000000005</v>
      </c>
      <c r="X96" s="535">
        <f t="shared" si="113"/>
        <v>46839</v>
      </c>
      <c r="Y96" s="300">
        <f t="shared" si="77"/>
        <v>298497.50999999989</v>
      </c>
      <c r="Z96" s="527">
        <f t="shared" si="104"/>
        <v>4.4999999999999998E-2</v>
      </c>
      <c r="AA96" s="300">
        <f t="shared" si="105"/>
        <v>1595.67</v>
      </c>
      <c r="AB96" s="300">
        <f t="shared" si="78"/>
        <v>476.30000000000018</v>
      </c>
      <c r="AC96" s="300">
        <f t="shared" si="106"/>
        <v>1119.3699999999999</v>
      </c>
      <c r="AD96" s="300">
        <f t="shared" ref="AD96:AE96" si="139">+AD95</f>
        <v>134.16999999999999</v>
      </c>
      <c r="AE96" s="300">
        <f t="shared" si="139"/>
        <v>188.55</v>
      </c>
      <c r="AF96" s="300">
        <f t="shared" si="80"/>
        <v>1918.39</v>
      </c>
      <c r="AG96" s="300">
        <f t="shared" si="81"/>
        <v>16902.89</v>
      </c>
      <c r="AH96" s="300">
        <f t="shared" si="82"/>
        <v>43732.570000000007</v>
      </c>
      <c r="AI96" s="545">
        <f t="shared" si="64"/>
        <v>836</v>
      </c>
      <c r="AJ96" s="545">
        <f t="shared" si="134"/>
        <v>-63323.809999999852</v>
      </c>
      <c r="AK96" s="545">
        <f t="shared" si="65"/>
        <v>-62487.809999999852</v>
      </c>
      <c r="AL96" s="300">
        <f t="shared" si="83"/>
        <v>298021.2099999999</v>
      </c>
      <c r="AM96" s="449">
        <f t="shared" si="115"/>
        <v>3</v>
      </c>
      <c r="AN96" s="14">
        <f t="shared" si="66"/>
        <v>1196.26</v>
      </c>
      <c r="AO96" s="14">
        <f t="shared" si="50"/>
        <v>234107.44999999998</v>
      </c>
      <c r="AP96" s="14">
        <f t="shared" si="67"/>
        <v>1174.26</v>
      </c>
      <c r="AS96" s="14">
        <f t="shared" si="109"/>
        <v>1196.26</v>
      </c>
      <c r="AT96" s="14">
        <f t="shared" si="116"/>
        <v>44977.32</v>
      </c>
      <c r="AU96" s="300">
        <f t="shared" si="117"/>
        <v>744.12601519961629</v>
      </c>
      <c r="AV96" s="300">
        <f t="shared" si="118"/>
        <v>55246.032095046197</v>
      </c>
      <c r="AX96" s="510"/>
    </row>
    <row r="97" spans="1:50" x14ac:dyDescent="0.25">
      <c r="A97" s="535">
        <f t="shared" si="69"/>
        <v>46869</v>
      </c>
      <c r="B97" s="300">
        <f t="shared" si="110"/>
        <v>72677.439999999973</v>
      </c>
      <c r="C97" s="14">
        <f t="shared" si="101"/>
        <v>421.41</v>
      </c>
      <c r="D97" s="14">
        <f t="shared" si="119"/>
        <v>148.87</v>
      </c>
      <c r="E97" s="14">
        <f t="shared" si="102"/>
        <v>272.54000000000002</v>
      </c>
      <c r="F97" s="14">
        <f t="shared" si="51"/>
        <v>134.16999999999999</v>
      </c>
      <c r="G97" s="14">
        <f t="shared" si="52"/>
        <v>188.55</v>
      </c>
      <c r="H97" s="14">
        <f t="shared" si="54"/>
        <v>744.13000000000011</v>
      </c>
      <c r="I97" s="300">
        <f t="shared" si="70"/>
        <v>10952.850000000004</v>
      </c>
      <c r="J97" s="300">
        <f t="shared" si="71"/>
        <v>24336.07</v>
      </c>
      <c r="K97" s="300">
        <f t="shared" si="72"/>
        <v>72528.569999999978</v>
      </c>
      <c r="L97" s="449">
        <f t="shared" si="103"/>
        <v>3</v>
      </c>
      <c r="M97" s="449">
        <f t="shared" si="111"/>
        <v>38</v>
      </c>
      <c r="N97" s="300">
        <f t="shared" si="112"/>
        <v>234697.40000000005</v>
      </c>
      <c r="O97" s="300">
        <f t="shared" si="73"/>
        <v>1617.67</v>
      </c>
      <c r="P97" s="300">
        <f t="shared" si="120"/>
        <v>248.60000000000014</v>
      </c>
      <c r="Q97" s="300">
        <f t="shared" si="74"/>
        <v>1369.07</v>
      </c>
      <c r="R97" s="300">
        <f t="shared" si="84"/>
        <v>134.16999999999999</v>
      </c>
      <c r="S97" s="300">
        <f t="shared" si="75"/>
        <v>188.55</v>
      </c>
      <c r="T97" s="300">
        <f t="shared" si="59"/>
        <v>1940.39</v>
      </c>
      <c r="U97" s="300">
        <f t="shared" si="121"/>
        <v>8699.7000000000025</v>
      </c>
      <c r="V97" s="300">
        <f t="shared" si="122"/>
        <v>54389.430000000015</v>
      </c>
      <c r="W97" s="300">
        <f t="shared" si="76"/>
        <v>234448.80000000005</v>
      </c>
      <c r="X97" s="535">
        <f t="shared" si="113"/>
        <v>46869</v>
      </c>
      <c r="Y97" s="300">
        <f t="shared" si="77"/>
        <v>298021.2099999999</v>
      </c>
      <c r="Z97" s="527">
        <f t="shared" si="104"/>
        <v>4.4999999999999998E-2</v>
      </c>
      <c r="AA97" s="300">
        <f t="shared" si="105"/>
        <v>1595.67</v>
      </c>
      <c r="AB97" s="300">
        <f t="shared" si="78"/>
        <v>478.09000000000015</v>
      </c>
      <c r="AC97" s="300">
        <f t="shared" si="106"/>
        <v>1117.58</v>
      </c>
      <c r="AD97" s="300">
        <f t="shared" ref="AD97:AE97" si="140">+AD96</f>
        <v>134.16999999999999</v>
      </c>
      <c r="AE97" s="300">
        <f t="shared" si="140"/>
        <v>188.55</v>
      </c>
      <c r="AF97" s="300">
        <f t="shared" si="80"/>
        <v>1918.39</v>
      </c>
      <c r="AG97" s="300">
        <f t="shared" si="81"/>
        <v>17380.98</v>
      </c>
      <c r="AH97" s="300">
        <f t="shared" si="82"/>
        <v>44850.150000000009</v>
      </c>
      <c r="AI97" s="545">
        <f t="shared" si="64"/>
        <v>858</v>
      </c>
      <c r="AJ97" s="545">
        <f t="shared" si="134"/>
        <v>-63094.319999999832</v>
      </c>
      <c r="AK97" s="545">
        <f t="shared" si="65"/>
        <v>-62236.319999999832</v>
      </c>
      <c r="AL97" s="300">
        <f t="shared" si="83"/>
        <v>297543.11999999988</v>
      </c>
      <c r="AM97" s="449">
        <f t="shared" si="115"/>
        <v>3</v>
      </c>
      <c r="AN97" s="14">
        <f t="shared" si="66"/>
        <v>1196.26</v>
      </c>
      <c r="AO97" s="14">
        <f t="shared" si="50"/>
        <v>234007.71999999997</v>
      </c>
      <c r="AP97" s="14">
        <f t="shared" si="67"/>
        <v>1174.26</v>
      </c>
      <c r="AS97" s="14">
        <f t="shared" si="109"/>
        <v>1196.26</v>
      </c>
      <c r="AT97" s="14">
        <f t="shared" si="116"/>
        <v>46173.58</v>
      </c>
      <c r="AU97" s="300">
        <f t="shared" si="117"/>
        <v>745.98633023761533</v>
      </c>
      <c r="AV97" s="300">
        <f t="shared" si="118"/>
        <v>55992.018425283815</v>
      </c>
    </row>
    <row r="98" spans="1:50" ht="15.75" thickBot="1" x14ac:dyDescent="0.3">
      <c r="A98" s="538">
        <f t="shared" si="69"/>
        <v>46899</v>
      </c>
      <c r="B98" s="369">
        <f t="shared" si="110"/>
        <v>72528.569999999978</v>
      </c>
      <c r="C98" s="21">
        <f t="shared" si="101"/>
        <v>421.41</v>
      </c>
      <c r="D98" s="21">
        <f t="shared" si="119"/>
        <v>149.43</v>
      </c>
      <c r="E98" s="21">
        <f t="shared" si="102"/>
        <v>271.98</v>
      </c>
      <c r="F98" s="21">
        <f t="shared" si="51"/>
        <v>134.16999999999999</v>
      </c>
      <c r="G98" s="21">
        <f t="shared" si="52"/>
        <v>188.55</v>
      </c>
      <c r="H98" s="21">
        <f t="shared" si="54"/>
        <v>744.13000000000011</v>
      </c>
      <c r="I98" s="369">
        <f t="shared" si="70"/>
        <v>11102.280000000004</v>
      </c>
      <c r="J98" s="369">
        <f t="shared" si="71"/>
        <v>24608.05</v>
      </c>
      <c r="K98" s="369">
        <f t="shared" si="72"/>
        <v>72379.139999999985</v>
      </c>
      <c r="L98" s="450">
        <f t="shared" si="103"/>
        <v>3</v>
      </c>
      <c r="M98" s="450">
        <f t="shared" si="111"/>
        <v>39</v>
      </c>
      <c r="N98" s="369">
        <f t="shared" si="112"/>
        <v>234448.80000000005</v>
      </c>
      <c r="O98" s="369">
        <f t="shared" si="73"/>
        <v>1617.67</v>
      </c>
      <c r="P98" s="369">
        <f t="shared" si="120"/>
        <v>250.05000000000018</v>
      </c>
      <c r="Q98" s="369">
        <f t="shared" si="74"/>
        <v>1367.62</v>
      </c>
      <c r="R98" s="369">
        <f t="shared" si="84"/>
        <v>134.16999999999999</v>
      </c>
      <c r="S98" s="369">
        <f t="shared" si="75"/>
        <v>188.55</v>
      </c>
      <c r="T98" s="369">
        <f t="shared" si="59"/>
        <v>1940.39</v>
      </c>
      <c r="U98" s="369">
        <f t="shared" si="121"/>
        <v>8949.7500000000036</v>
      </c>
      <c r="V98" s="369">
        <f t="shared" si="122"/>
        <v>55757.050000000017</v>
      </c>
      <c r="W98" s="369">
        <f t="shared" si="76"/>
        <v>234198.75000000006</v>
      </c>
      <c r="X98" s="538">
        <f t="shared" si="113"/>
        <v>46899</v>
      </c>
      <c r="Y98" s="369">
        <f t="shared" si="77"/>
        <v>297543.11999999988</v>
      </c>
      <c r="Z98" s="528">
        <f t="shared" si="104"/>
        <v>4.4999999999999998E-2</v>
      </c>
      <c r="AA98" s="369">
        <f t="shared" si="105"/>
        <v>1595.67</v>
      </c>
      <c r="AB98" s="369">
        <f t="shared" si="78"/>
        <v>479.88000000000011</v>
      </c>
      <c r="AC98" s="369">
        <f t="shared" si="106"/>
        <v>1115.79</v>
      </c>
      <c r="AD98" s="369">
        <f t="shared" ref="AD98:AE98" si="141">+AD97</f>
        <v>134.16999999999999</v>
      </c>
      <c r="AE98" s="369">
        <f t="shared" si="141"/>
        <v>188.55</v>
      </c>
      <c r="AF98" s="369">
        <f t="shared" si="80"/>
        <v>1918.39</v>
      </c>
      <c r="AG98" s="369">
        <f t="shared" si="81"/>
        <v>17860.86</v>
      </c>
      <c r="AH98" s="369">
        <f t="shared" si="82"/>
        <v>45965.94000000001</v>
      </c>
      <c r="AI98" s="546">
        <f t="shared" si="64"/>
        <v>880</v>
      </c>
      <c r="AJ98" s="546">
        <f t="shared" si="134"/>
        <v>-62864.489999999816</v>
      </c>
      <c r="AK98" s="546">
        <f t="shared" si="65"/>
        <v>-61984.489999999816</v>
      </c>
      <c r="AL98" s="369">
        <f t="shared" si="83"/>
        <v>297063.23999999987</v>
      </c>
      <c r="AM98" s="450">
        <f t="shared" si="115"/>
        <v>3</v>
      </c>
      <c r="AN98" s="21">
        <f t="shared" si="66"/>
        <v>1196.26</v>
      </c>
      <c r="AO98" s="21">
        <f t="shared" si="50"/>
        <v>233907.09999999998</v>
      </c>
      <c r="AP98" s="21">
        <f t="shared" si="67"/>
        <v>1174.26</v>
      </c>
      <c r="AQ98" s="21"/>
      <c r="AR98" s="23"/>
      <c r="AS98" s="21">
        <f t="shared" si="109"/>
        <v>1196.26</v>
      </c>
      <c r="AT98" s="21">
        <f t="shared" si="116"/>
        <v>47369.840000000004</v>
      </c>
      <c r="AU98" s="369">
        <f t="shared" si="117"/>
        <v>747.85129606320959</v>
      </c>
      <c r="AV98" s="369">
        <f t="shared" si="118"/>
        <v>56739.869721347022</v>
      </c>
    </row>
    <row r="99" spans="1:50" x14ac:dyDescent="0.25">
      <c r="A99" s="535">
        <f t="shared" si="69"/>
        <v>46929</v>
      </c>
      <c r="B99" s="300">
        <f t="shared" si="110"/>
        <v>72379.139999999985</v>
      </c>
      <c r="C99" s="14">
        <f t="shared" si="101"/>
        <v>421.41</v>
      </c>
      <c r="D99" s="14">
        <f t="shared" si="119"/>
        <v>149.99</v>
      </c>
      <c r="E99" s="14">
        <f t="shared" si="102"/>
        <v>271.42</v>
      </c>
      <c r="F99" s="14">
        <f t="shared" si="51"/>
        <v>134.16999999999999</v>
      </c>
      <c r="G99" s="14">
        <f t="shared" si="52"/>
        <v>188.55</v>
      </c>
      <c r="H99" s="14">
        <f t="shared" si="54"/>
        <v>744.13000000000011</v>
      </c>
      <c r="I99" s="300">
        <f t="shared" si="70"/>
        <v>11252.270000000004</v>
      </c>
      <c r="J99" s="300">
        <f t="shared" si="71"/>
        <v>24879.469999999998</v>
      </c>
      <c r="K99" s="300">
        <f t="shared" si="72"/>
        <v>72229.14999999998</v>
      </c>
      <c r="L99" s="449">
        <f t="shared" si="103"/>
        <v>3</v>
      </c>
      <c r="M99" s="449">
        <f t="shared" si="111"/>
        <v>40</v>
      </c>
      <c r="N99" s="300">
        <f t="shared" si="112"/>
        <v>234198.75000000006</v>
      </c>
      <c r="O99" s="300">
        <f t="shared" si="73"/>
        <v>1617.67</v>
      </c>
      <c r="P99" s="300">
        <f t="shared" si="120"/>
        <v>251.51</v>
      </c>
      <c r="Q99" s="300">
        <f t="shared" si="74"/>
        <v>1366.16</v>
      </c>
      <c r="R99" s="300">
        <f t="shared" si="84"/>
        <v>134.16999999999999</v>
      </c>
      <c r="S99" s="300">
        <f t="shared" si="75"/>
        <v>188.55</v>
      </c>
      <c r="T99" s="300">
        <f t="shared" si="59"/>
        <v>1940.39</v>
      </c>
      <c r="U99" s="300">
        <f t="shared" si="121"/>
        <v>9201.2600000000039</v>
      </c>
      <c r="V99" s="300">
        <f t="shared" si="122"/>
        <v>57123.210000000021</v>
      </c>
      <c r="W99" s="300">
        <f t="shared" si="76"/>
        <v>233947.24000000005</v>
      </c>
      <c r="X99" s="535">
        <f t="shared" si="113"/>
        <v>46929</v>
      </c>
      <c r="Y99" s="300">
        <f t="shared" si="77"/>
        <v>297063.23999999987</v>
      </c>
      <c r="Z99" s="527">
        <f t="shared" si="104"/>
        <v>4.4999999999999998E-2</v>
      </c>
      <c r="AA99" s="300">
        <f t="shared" si="105"/>
        <v>1595.67</v>
      </c>
      <c r="AB99" s="300">
        <f t="shared" si="78"/>
        <v>481.68000000000006</v>
      </c>
      <c r="AC99" s="300">
        <f t="shared" si="106"/>
        <v>1113.99</v>
      </c>
      <c r="AD99" s="300">
        <f t="shared" ref="AD99:AE99" si="142">+AD98</f>
        <v>134.16999999999999</v>
      </c>
      <c r="AE99" s="300">
        <f t="shared" si="142"/>
        <v>188.55</v>
      </c>
      <c r="AF99" s="300">
        <f t="shared" si="80"/>
        <v>1918.39</v>
      </c>
      <c r="AG99" s="300">
        <f t="shared" si="81"/>
        <v>18342.54</v>
      </c>
      <c r="AH99" s="300">
        <f t="shared" si="82"/>
        <v>47079.930000000008</v>
      </c>
      <c r="AI99" s="545">
        <f t="shared" si="64"/>
        <v>902</v>
      </c>
      <c r="AJ99" s="545">
        <f t="shared" si="134"/>
        <v>-62634.319999999832</v>
      </c>
      <c r="AK99" s="545">
        <f t="shared" si="65"/>
        <v>-61732.319999999832</v>
      </c>
      <c r="AL99" s="300">
        <f t="shared" si="83"/>
        <v>296581.55999999988</v>
      </c>
      <c r="AM99" s="449">
        <f t="shared" si="115"/>
        <v>3</v>
      </c>
      <c r="AN99" s="14">
        <f t="shared" si="66"/>
        <v>1196.26</v>
      </c>
      <c r="AO99" s="14">
        <f t="shared" si="50"/>
        <v>233805.57999999996</v>
      </c>
      <c r="AP99" s="14">
        <f t="shared" si="67"/>
        <v>1174.26</v>
      </c>
      <c r="AS99" s="14">
        <f t="shared" si="109"/>
        <v>1196.26</v>
      </c>
      <c r="AT99" s="14">
        <f t="shared" si="116"/>
        <v>48566.100000000006</v>
      </c>
      <c r="AU99" s="300">
        <f t="shared" si="117"/>
        <v>749.7209243033675</v>
      </c>
      <c r="AV99" s="300">
        <f t="shared" si="118"/>
        <v>57489.590645650387</v>
      </c>
    </row>
    <row r="100" spans="1:50" x14ac:dyDescent="0.25">
      <c r="A100" s="535">
        <f t="shared" si="69"/>
        <v>46959</v>
      </c>
      <c r="B100" s="300">
        <f t="shared" si="110"/>
        <v>72229.14999999998</v>
      </c>
      <c r="C100" s="14">
        <f t="shared" si="101"/>
        <v>421.41</v>
      </c>
      <c r="D100" s="14">
        <f t="shared" si="119"/>
        <v>150.55000000000001</v>
      </c>
      <c r="E100" s="14">
        <f t="shared" si="102"/>
        <v>270.86</v>
      </c>
      <c r="F100" s="14">
        <f t="shared" si="51"/>
        <v>134.16999999999999</v>
      </c>
      <c r="G100" s="14">
        <f t="shared" si="52"/>
        <v>188.55</v>
      </c>
      <c r="H100" s="14">
        <f t="shared" si="54"/>
        <v>744.13000000000011</v>
      </c>
      <c r="I100" s="300">
        <f t="shared" si="70"/>
        <v>11402.820000000003</v>
      </c>
      <c r="J100" s="300">
        <f t="shared" si="71"/>
        <v>25150.329999999998</v>
      </c>
      <c r="K100" s="300">
        <f t="shared" si="72"/>
        <v>72078.599999999977</v>
      </c>
      <c r="L100" s="449">
        <f t="shared" si="103"/>
        <v>3</v>
      </c>
      <c r="M100" s="449">
        <f t="shared" si="111"/>
        <v>41</v>
      </c>
      <c r="N100" s="300">
        <f t="shared" si="112"/>
        <v>233947.24000000005</v>
      </c>
      <c r="O100" s="300">
        <f t="shared" si="73"/>
        <v>1617.67</v>
      </c>
      <c r="P100" s="300">
        <f t="shared" si="120"/>
        <v>252.98000000000002</v>
      </c>
      <c r="Q100" s="300">
        <f t="shared" si="74"/>
        <v>1364.69</v>
      </c>
      <c r="R100" s="300">
        <f t="shared" si="84"/>
        <v>134.16999999999999</v>
      </c>
      <c r="S100" s="300">
        <f t="shared" si="75"/>
        <v>188.55</v>
      </c>
      <c r="T100" s="300">
        <f t="shared" si="59"/>
        <v>1940.39</v>
      </c>
      <c r="U100" s="300">
        <f t="shared" si="121"/>
        <v>9454.2400000000034</v>
      </c>
      <c r="V100" s="300">
        <f t="shared" si="122"/>
        <v>58487.900000000023</v>
      </c>
      <c r="W100" s="300">
        <f t="shared" si="76"/>
        <v>233694.26000000004</v>
      </c>
      <c r="X100" s="535">
        <f t="shared" si="113"/>
        <v>46959</v>
      </c>
      <c r="Y100" s="300">
        <f t="shared" si="77"/>
        <v>296581.55999999988</v>
      </c>
      <c r="Z100" s="527">
        <f t="shared" si="104"/>
        <v>4.4999999999999998E-2</v>
      </c>
      <c r="AA100" s="300">
        <f t="shared" si="105"/>
        <v>1595.67</v>
      </c>
      <c r="AB100" s="300">
        <f t="shared" si="78"/>
        <v>483.49</v>
      </c>
      <c r="AC100" s="300">
        <f t="shared" si="106"/>
        <v>1112.18</v>
      </c>
      <c r="AD100" s="300">
        <f t="shared" ref="AD100:AE100" si="143">+AD99</f>
        <v>134.16999999999999</v>
      </c>
      <c r="AE100" s="300">
        <f t="shared" si="143"/>
        <v>188.55</v>
      </c>
      <c r="AF100" s="300">
        <f t="shared" si="80"/>
        <v>1918.39</v>
      </c>
      <c r="AG100" s="300">
        <f t="shared" si="81"/>
        <v>18826.030000000002</v>
      </c>
      <c r="AH100" s="300">
        <f t="shared" si="82"/>
        <v>48192.110000000008</v>
      </c>
      <c r="AI100" s="545">
        <f t="shared" si="64"/>
        <v>924</v>
      </c>
      <c r="AJ100" s="545">
        <f t="shared" si="134"/>
        <v>-62403.809999999852</v>
      </c>
      <c r="AK100" s="545">
        <f t="shared" si="65"/>
        <v>-61479.809999999852</v>
      </c>
      <c r="AL100" s="300">
        <f t="shared" si="83"/>
        <v>296098.06999999989</v>
      </c>
      <c r="AM100" s="449">
        <f t="shared" si="115"/>
        <v>3</v>
      </c>
      <c r="AN100" s="14">
        <f t="shared" si="66"/>
        <v>1196.26</v>
      </c>
      <c r="AO100" s="14">
        <f t="shared" si="50"/>
        <v>233703.15</v>
      </c>
      <c r="AP100" s="14">
        <f t="shared" si="67"/>
        <v>1174.26</v>
      </c>
      <c r="AS100" s="14">
        <f t="shared" si="109"/>
        <v>1196.26</v>
      </c>
      <c r="AT100" s="14">
        <f t="shared" si="116"/>
        <v>49762.360000000008</v>
      </c>
      <c r="AU100" s="300">
        <f t="shared" si="117"/>
        <v>751.59522661412586</v>
      </c>
      <c r="AV100" s="300">
        <f t="shared" si="118"/>
        <v>58241.185872264512</v>
      </c>
    </row>
    <row r="101" spans="1:50" x14ac:dyDescent="0.25">
      <c r="A101" s="535">
        <f t="shared" si="69"/>
        <v>46989</v>
      </c>
      <c r="B101" s="300">
        <f t="shared" si="110"/>
        <v>72078.599999999977</v>
      </c>
      <c r="C101" s="14">
        <f t="shared" si="101"/>
        <v>421.41</v>
      </c>
      <c r="D101" s="14">
        <f t="shared" si="119"/>
        <v>151.12</v>
      </c>
      <c r="E101" s="14">
        <f t="shared" si="102"/>
        <v>270.29000000000002</v>
      </c>
      <c r="F101" s="14">
        <f t="shared" si="51"/>
        <v>134.16999999999999</v>
      </c>
      <c r="G101" s="14">
        <f t="shared" si="52"/>
        <v>188.55</v>
      </c>
      <c r="H101" s="14">
        <f t="shared" si="54"/>
        <v>744.13000000000011</v>
      </c>
      <c r="I101" s="300">
        <f t="shared" si="70"/>
        <v>11553.940000000004</v>
      </c>
      <c r="J101" s="300">
        <f t="shared" si="71"/>
        <v>25420.62</v>
      </c>
      <c r="K101" s="300">
        <f t="shared" si="72"/>
        <v>71927.479999999981</v>
      </c>
      <c r="L101" s="449">
        <f t="shared" si="103"/>
        <v>3</v>
      </c>
      <c r="M101" s="449">
        <f t="shared" si="111"/>
        <v>42</v>
      </c>
      <c r="N101" s="300">
        <f t="shared" si="112"/>
        <v>233694.26000000004</v>
      </c>
      <c r="O101" s="300">
        <f t="shared" si="73"/>
        <v>1617.67</v>
      </c>
      <c r="P101" s="300">
        <f t="shared" si="120"/>
        <v>254.45000000000005</v>
      </c>
      <c r="Q101" s="300">
        <f t="shared" si="74"/>
        <v>1363.22</v>
      </c>
      <c r="R101" s="300">
        <f t="shared" si="84"/>
        <v>134.16999999999999</v>
      </c>
      <c r="S101" s="300">
        <f t="shared" si="75"/>
        <v>188.55</v>
      </c>
      <c r="T101" s="300">
        <f t="shared" si="59"/>
        <v>1940.39</v>
      </c>
      <c r="U101" s="300">
        <f t="shared" si="121"/>
        <v>9708.6900000000041</v>
      </c>
      <c r="V101" s="300">
        <f t="shared" si="122"/>
        <v>59851.120000000024</v>
      </c>
      <c r="W101" s="300">
        <f t="shared" si="76"/>
        <v>233439.81000000003</v>
      </c>
      <c r="X101" s="535">
        <f t="shared" si="113"/>
        <v>46989</v>
      </c>
      <c r="Y101" s="300">
        <f t="shared" si="77"/>
        <v>296098.06999999989</v>
      </c>
      <c r="Z101" s="527">
        <f t="shared" si="104"/>
        <v>4.4999999999999998E-2</v>
      </c>
      <c r="AA101" s="300">
        <f t="shared" si="105"/>
        <v>1595.67</v>
      </c>
      <c r="AB101" s="300">
        <f t="shared" si="78"/>
        <v>485.30000000000018</v>
      </c>
      <c r="AC101" s="300">
        <f t="shared" si="106"/>
        <v>1110.3699999999999</v>
      </c>
      <c r="AD101" s="300">
        <f t="shared" ref="AD101:AE101" si="144">+AD100</f>
        <v>134.16999999999999</v>
      </c>
      <c r="AE101" s="300">
        <f t="shared" si="144"/>
        <v>188.55</v>
      </c>
      <c r="AF101" s="300">
        <f t="shared" si="80"/>
        <v>1918.39</v>
      </c>
      <c r="AG101" s="300">
        <f t="shared" si="81"/>
        <v>19311.330000000002</v>
      </c>
      <c r="AH101" s="300">
        <f t="shared" si="82"/>
        <v>49302.48000000001</v>
      </c>
      <c r="AI101" s="545">
        <f t="shared" si="64"/>
        <v>946</v>
      </c>
      <c r="AJ101" s="545">
        <f t="shared" si="134"/>
        <v>-62172.959999999875</v>
      </c>
      <c r="AK101" s="545">
        <f t="shared" si="65"/>
        <v>-61226.959999999875</v>
      </c>
      <c r="AL101" s="300">
        <f t="shared" si="83"/>
        <v>295612.7699999999</v>
      </c>
      <c r="AM101" s="449">
        <f t="shared" si="115"/>
        <v>3</v>
      </c>
      <c r="AN101" s="14">
        <f t="shared" si="66"/>
        <v>1196.26</v>
      </c>
      <c r="AO101" s="14">
        <f t="shared" si="50"/>
        <v>233599.81999999998</v>
      </c>
      <c r="AP101" s="14">
        <f t="shared" si="67"/>
        <v>1174.26</v>
      </c>
      <c r="AS101" s="14">
        <f t="shared" si="109"/>
        <v>1196.26</v>
      </c>
      <c r="AT101" s="14">
        <f t="shared" si="116"/>
        <v>50958.62000000001</v>
      </c>
      <c r="AU101" s="300">
        <f t="shared" si="117"/>
        <v>753.47421468066125</v>
      </c>
      <c r="AV101" s="300">
        <f t="shared" si="118"/>
        <v>58994.660086945172</v>
      </c>
    </row>
    <row r="102" spans="1:50" x14ac:dyDescent="0.25">
      <c r="A102" s="535">
        <f t="shared" si="69"/>
        <v>47019</v>
      </c>
      <c r="B102" s="300">
        <f t="shared" si="110"/>
        <v>71927.479999999981</v>
      </c>
      <c r="C102" s="14">
        <f t="shared" si="101"/>
        <v>421.41</v>
      </c>
      <c r="D102" s="14">
        <f t="shared" si="119"/>
        <v>151.68</v>
      </c>
      <c r="E102" s="14">
        <f t="shared" si="102"/>
        <v>269.73</v>
      </c>
      <c r="F102" s="14">
        <f t="shared" si="51"/>
        <v>134.16999999999999</v>
      </c>
      <c r="G102" s="14">
        <f t="shared" si="52"/>
        <v>188.55</v>
      </c>
      <c r="H102" s="14">
        <f t="shared" si="54"/>
        <v>744.13000000000011</v>
      </c>
      <c r="I102" s="300">
        <f t="shared" si="70"/>
        <v>11705.620000000004</v>
      </c>
      <c r="J102" s="300">
        <f t="shared" si="71"/>
        <v>25690.35</v>
      </c>
      <c r="K102" s="300">
        <f t="shared" si="72"/>
        <v>71775.799999999988</v>
      </c>
      <c r="L102" s="449">
        <f t="shared" si="103"/>
        <v>3</v>
      </c>
      <c r="M102" s="449">
        <f t="shared" si="111"/>
        <v>43</v>
      </c>
      <c r="N102" s="300">
        <f t="shared" si="112"/>
        <v>233439.81000000003</v>
      </c>
      <c r="O102" s="300">
        <f t="shared" si="73"/>
        <v>1617.67</v>
      </c>
      <c r="P102" s="300">
        <f t="shared" si="120"/>
        <v>255.94000000000005</v>
      </c>
      <c r="Q102" s="300">
        <f t="shared" si="74"/>
        <v>1361.73</v>
      </c>
      <c r="R102" s="300">
        <f t="shared" si="84"/>
        <v>134.16999999999999</v>
      </c>
      <c r="S102" s="300">
        <f t="shared" si="75"/>
        <v>188.55</v>
      </c>
      <c r="T102" s="300">
        <f t="shared" si="59"/>
        <v>1940.39</v>
      </c>
      <c r="U102" s="300">
        <f t="shared" si="121"/>
        <v>9964.6300000000047</v>
      </c>
      <c r="V102" s="300">
        <f t="shared" si="122"/>
        <v>61212.850000000028</v>
      </c>
      <c r="W102" s="300">
        <f t="shared" si="76"/>
        <v>233183.87000000002</v>
      </c>
      <c r="X102" s="535">
        <f t="shared" si="113"/>
        <v>47019</v>
      </c>
      <c r="Y102" s="300">
        <f t="shared" si="77"/>
        <v>295612.7699999999</v>
      </c>
      <c r="Z102" s="527">
        <f t="shared" si="104"/>
        <v>4.4999999999999998E-2</v>
      </c>
      <c r="AA102" s="300">
        <f t="shared" si="105"/>
        <v>1595.67</v>
      </c>
      <c r="AB102" s="300">
        <f t="shared" si="78"/>
        <v>487.12000000000012</v>
      </c>
      <c r="AC102" s="300">
        <f t="shared" si="106"/>
        <v>1108.55</v>
      </c>
      <c r="AD102" s="300">
        <f t="shared" ref="AD102:AE102" si="145">+AD101</f>
        <v>134.16999999999999</v>
      </c>
      <c r="AE102" s="300">
        <f t="shared" si="145"/>
        <v>188.55</v>
      </c>
      <c r="AF102" s="300">
        <f t="shared" si="80"/>
        <v>1918.39</v>
      </c>
      <c r="AG102" s="300">
        <f t="shared" si="81"/>
        <v>19798.45</v>
      </c>
      <c r="AH102" s="300">
        <f t="shared" si="82"/>
        <v>50411.030000000013</v>
      </c>
      <c r="AI102" s="545">
        <f t="shared" si="64"/>
        <v>968</v>
      </c>
      <c r="AJ102" s="545">
        <f t="shared" si="134"/>
        <v>-61941.779999999882</v>
      </c>
      <c r="AK102" s="545">
        <f t="shared" si="65"/>
        <v>-60973.779999999882</v>
      </c>
      <c r="AL102" s="300">
        <f t="shared" si="83"/>
        <v>295125.64999999991</v>
      </c>
      <c r="AM102" s="449">
        <f t="shared" si="115"/>
        <v>3</v>
      </c>
      <c r="AN102" s="14">
        <f t="shared" si="66"/>
        <v>1196.26</v>
      </c>
      <c r="AO102" s="14">
        <f t="shared" si="50"/>
        <v>233495.55999999997</v>
      </c>
      <c r="AP102" s="14">
        <f t="shared" si="67"/>
        <v>1174.26</v>
      </c>
      <c r="AS102" s="14">
        <f t="shared" si="109"/>
        <v>1196.26</v>
      </c>
      <c r="AT102" s="14">
        <f t="shared" si="116"/>
        <v>52154.880000000012</v>
      </c>
      <c r="AU102" s="300">
        <f t="shared" si="117"/>
        <v>755.35790021736284</v>
      </c>
      <c r="AV102" s="300">
        <f t="shared" si="118"/>
        <v>59750.017987162537</v>
      </c>
    </row>
    <row r="103" spans="1:50" x14ac:dyDescent="0.25">
      <c r="A103" s="535">
        <f t="shared" si="69"/>
        <v>47049</v>
      </c>
      <c r="B103" s="300">
        <f t="shared" si="110"/>
        <v>71775.799999999988</v>
      </c>
      <c r="C103" s="14">
        <f t="shared" si="101"/>
        <v>421.41</v>
      </c>
      <c r="D103" s="14">
        <f t="shared" si="119"/>
        <v>152.25</v>
      </c>
      <c r="E103" s="14">
        <f t="shared" si="102"/>
        <v>269.16000000000003</v>
      </c>
      <c r="F103" s="14">
        <f t="shared" si="51"/>
        <v>134.16999999999999</v>
      </c>
      <c r="G103" s="14">
        <f t="shared" si="52"/>
        <v>188.55</v>
      </c>
      <c r="H103" s="14">
        <f t="shared" si="54"/>
        <v>744.13000000000011</v>
      </c>
      <c r="I103" s="300">
        <f t="shared" si="70"/>
        <v>11857.870000000004</v>
      </c>
      <c r="J103" s="300">
        <f t="shared" si="71"/>
        <v>25959.51</v>
      </c>
      <c r="K103" s="300">
        <f t="shared" si="72"/>
        <v>71623.549999999988</v>
      </c>
      <c r="L103" s="449">
        <f t="shared" si="103"/>
        <v>3</v>
      </c>
      <c r="M103" s="449">
        <f t="shared" si="111"/>
        <v>44</v>
      </c>
      <c r="N103" s="300">
        <f t="shared" si="112"/>
        <v>233183.87000000002</v>
      </c>
      <c r="O103" s="300">
        <f t="shared" si="73"/>
        <v>1617.67</v>
      </c>
      <c r="P103" s="300">
        <f t="shared" si="120"/>
        <v>257.43000000000006</v>
      </c>
      <c r="Q103" s="300">
        <f t="shared" si="74"/>
        <v>1360.24</v>
      </c>
      <c r="R103" s="300">
        <f t="shared" si="84"/>
        <v>134.16999999999999</v>
      </c>
      <c r="S103" s="300">
        <f t="shared" si="75"/>
        <v>188.55</v>
      </c>
      <c r="T103" s="300">
        <f t="shared" si="59"/>
        <v>1940.39</v>
      </c>
      <c r="U103" s="300">
        <f t="shared" si="121"/>
        <v>10222.060000000005</v>
      </c>
      <c r="V103" s="300">
        <f t="shared" si="122"/>
        <v>62573.090000000026</v>
      </c>
      <c r="W103" s="300">
        <f t="shared" si="76"/>
        <v>232926.44000000003</v>
      </c>
      <c r="X103" s="535">
        <f t="shared" si="113"/>
        <v>47049</v>
      </c>
      <c r="Y103" s="300">
        <f t="shared" si="77"/>
        <v>295125.64999999991</v>
      </c>
      <c r="Z103" s="527">
        <f t="shared" si="104"/>
        <v>4.4999999999999998E-2</v>
      </c>
      <c r="AA103" s="300">
        <f t="shared" si="105"/>
        <v>1595.67</v>
      </c>
      <c r="AB103" s="300">
        <f t="shared" si="78"/>
        <v>488.95000000000005</v>
      </c>
      <c r="AC103" s="300">
        <f t="shared" si="106"/>
        <v>1106.72</v>
      </c>
      <c r="AD103" s="300">
        <f t="shared" ref="AD103:AE103" si="146">+AD102</f>
        <v>134.16999999999999</v>
      </c>
      <c r="AE103" s="300">
        <f t="shared" si="146"/>
        <v>188.55</v>
      </c>
      <c r="AF103" s="300">
        <f t="shared" si="80"/>
        <v>1918.39</v>
      </c>
      <c r="AG103" s="300">
        <f t="shared" si="81"/>
        <v>20287.400000000001</v>
      </c>
      <c r="AH103" s="300">
        <f t="shared" si="82"/>
        <v>51517.750000000015</v>
      </c>
      <c r="AI103" s="545">
        <f t="shared" si="64"/>
        <v>990</v>
      </c>
      <c r="AJ103" s="545">
        <f t="shared" si="134"/>
        <v>-61710.259999999864</v>
      </c>
      <c r="AK103" s="545">
        <f t="shared" si="65"/>
        <v>-60720.259999999864</v>
      </c>
      <c r="AL103" s="300">
        <f t="shared" si="83"/>
        <v>294636.6999999999</v>
      </c>
      <c r="AM103" s="449">
        <f t="shared" si="115"/>
        <v>3</v>
      </c>
      <c r="AN103" s="14">
        <f t="shared" si="66"/>
        <v>1196.26</v>
      </c>
      <c r="AO103" s="14">
        <f t="shared" si="50"/>
        <v>233390.37999999998</v>
      </c>
      <c r="AP103" s="14">
        <f t="shared" si="67"/>
        <v>1174.26</v>
      </c>
      <c r="AS103" s="14">
        <f t="shared" si="109"/>
        <v>1196.26</v>
      </c>
      <c r="AT103" s="14">
        <f t="shared" si="116"/>
        <v>53351.140000000014</v>
      </c>
      <c r="AU103" s="300">
        <f t="shared" si="117"/>
        <v>757.24629496790624</v>
      </c>
      <c r="AV103" s="300">
        <f t="shared" si="118"/>
        <v>60507.26428213044</v>
      </c>
    </row>
    <row r="104" spans="1:50" x14ac:dyDescent="0.25">
      <c r="A104" s="535">
        <f t="shared" si="69"/>
        <v>47079</v>
      </c>
      <c r="B104" s="300">
        <f t="shared" si="110"/>
        <v>71623.549999999988</v>
      </c>
      <c r="C104" s="14">
        <f t="shared" si="101"/>
        <v>421.41</v>
      </c>
      <c r="D104" s="14">
        <f t="shared" si="119"/>
        <v>152.82000000000005</v>
      </c>
      <c r="E104" s="14">
        <f t="shared" si="102"/>
        <v>268.58999999999997</v>
      </c>
      <c r="F104" s="14">
        <f t="shared" si="51"/>
        <v>134.16999999999999</v>
      </c>
      <c r="G104" s="14">
        <f t="shared" si="52"/>
        <v>188.55</v>
      </c>
      <c r="H104" s="14">
        <f t="shared" si="54"/>
        <v>744.13000000000011</v>
      </c>
      <c r="I104" s="300">
        <f t="shared" si="70"/>
        <v>12010.690000000004</v>
      </c>
      <c r="J104" s="300">
        <f t="shared" si="71"/>
        <v>26228.1</v>
      </c>
      <c r="K104" s="300">
        <f t="shared" si="72"/>
        <v>71470.729999999981</v>
      </c>
      <c r="L104" s="449">
        <f t="shared" si="103"/>
        <v>3</v>
      </c>
      <c r="M104" s="449">
        <f t="shared" si="111"/>
        <v>45</v>
      </c>
      <c r="N104" s="300">
        <f t="shared" si="112"/>
        <v>232926.44000000003</v>
      </c>
      <c r="O104" s="300">
        <f t="shared" si="73"/>
        <v>1617.67</v>
      </c>
      <c r="P104" s="300">
        <f t="shared" si="120"/>
        <v>258.93000000000006</v>
      </c>
      <c r="Q104" s="300">
        <f t="shared" si="74"/>
        <v>1358.74</v>
      </c>
      <c r="R104" s="300">
        <f t="shared" si="84"/>
        <v>134.16999999999999</v>
      </c>
      <c r="S104" s="300">
        <f t="shared" si="75"/>
        <v>188.55</v>
      </c>
      <c r="T104" s="300">
        <f t="shared" si="59"/>
        <v>1940.39</v>
      </c>
      <c r="U104" s="300">
        <f t="shared" si="121"/>
        <v>10480.990000000005</v>
      </c>
      <c r="V104" s="300">
        <f t="shared" si="122"/>
        <v>63931.830000000024</v>
      </c>
      <c r="W104" s="300">
        <f t="shared" si="76"/>
        <v>232667.51000000004</v>
      </c>
      <c r="X104" s="535">
        <f t="shared" si="113"/>
        <v>47079</v>
      </c>
      <c r="Y104" s="300">
        <f t="shared" si="77"/>
        <v>294636.6999999999</v>
      </c>
      <c r="Z104" s="527">
        <f t="shared" si="104"/>
        <v>4.4999999999999998E-2</v>
      </c>
      <c r="AA104" s="300">
        <f t="shared" si="105"/>
        <v>1595.67</v>
      </c>
      <c r="AB104" s="300">
        <f t="shared" si="78"/>
        <v>490.78</v>
      </c>
      <c r="AC104" s="300">
        <f t="shared" si="106"/>
        <v>1104.8900000000001</v>
      </c>
      <c r="AD104" s="300">
        <f t="shared" ref="AD104:AE104" si="147">+AD103</f>
        <v>134.16999999999999</v>
      </c>
      <c r="AE104" s="300">
        <f t="shared" si="147"/>
        <v>188.55</v>
      </c>
      <c r="AF104" s="300">
        <f t="shared" si="80"/>
        <v>1918.39</v>
      </c>
      <c r="AG104" s="300">
        <f t="shared" si="81"/>
        <v>20778.18</v>
      </c>
      <c r="AH104" s="300">
        <f t="shared" si="82"/>
        <v>52622.640000000014</v>
      </c>
      <c r="AI104" s="545">
        <f t="shared" si="64"/>
        <v>1012</v>
      </c>
      <c r="AJ104" s="545">
        <f t="shared" si="134"/>
        <v>-61478.409999999829</v>
      </c>
      <c r="AK104" s="545">
        <f t="shared" si="65"/>
        <v>-60466.409999999829</v>
      </c>
      <c r="AL104" s="300">
        <f t="shared" si="83"/>
        <v>294145.91999999987</v>
      </c>
      <c r="AM104" s="449">
        <f t="shared" si="115"/>
        <v>3</v>
      </c>
      <c r="AN104" s="14">
        <f t="shared" si="66"/>
        <v>1196.26</v>
      </c>
      <c r="AO104" s="14">
        <f t="shared" si="50"/>
        <v>233284.26999999996</v>
      </c>
      <c r="AP104" s="14">
        <f t="shared" si="67"/>
        <v>1174.26</v>
      </c>
      <c r="AS104" s="14">
        <f t="shared" si="109"/>
        <v>1196.26</v>
      </c>
      <c r="AT104" s="14">
        <f t="shared" si="116"/>
        <v>54547.400000000016</v>
      </c>
      <c r="AU104" s="300">
        <f t="shared" si="117"/>
        <v>759.1394107053261</v>
      </c>
      <c r="AV104" s="300">
        <f t="shared" si="118"/>
        <v>61266.403692835767</v>
      </c>
    </row>
    <row r="105" spans="1:50" x14ac:dyDescent="0.25">
      <c r="A105" s="535">
        <f t="shared" si="69"/>
        <v>47109</v>
      </c>
      <c r="B105" s="300">
        <f t="shared" si="110"/>
        <v>71470.729999999981</v>
      </c>
      <c r="C105" s="14">
        <f t="shared" si="101"/>
        <v>421.41</v>
      </c>
      <c r="D105" s="14">
        <f t="shared" si="119"/>
        <v>153.39000000000004</v>
      </c>
      <c r="E105" s="14">
        <f t="shared" si="102"/>
        <v>268.02</v>
      </c>
      <c r="F105" s="14">
        <f t="shared" si="51"/>
        <v>134.16999999999999</v>
      </c>
      <c r="G105" s="14">
        <f t="shared" si="52"/>
        <v>188.55</v>
      </c>
      <c r="H105" s="14">
        <f t="shared" si="54"/>
        <v>744.13000000000011</v>
      </c>
      <c r="I105" s="300">
        <f t="shared" si="70"/>
        <v>12164.080000000004</v>
      </c>
      <c r="J105" s="300">
        <f t="shared" si="71"/>
        <v>26496.12</v>
      </c>
      <c r="K105" s="300">
        <f t="shared" si="72"/>
        <v>71317.339999999982</v>
      </c>
      <c r="L105" s="449">
        <f t="shared" si="103"/>
        <v>3</v>
      </c>
      <c r="M105" s="449">
        <f t="shared" si="111"/>
        <v>46</v>
      </c>
      <c r="N105" s="300">
        <f t="shared" si="112"/>
        <v>232667.51000000004</v>
      </c>
      <c r="O105" s="300">
        <f t="shared" si="73"/>
        <v>1617.67</v>
      </c>
      <c r="P105" s="300">
        <f t="shared" si="120"/>
        <v>260.44000000000005</v>
      </c>
      <c r="Q105" s="300">
        <f t="shared" si="74"/>
        <v>1357.23</v>
      </c>
      <c r="R105" s="300">
        <f t="shared" si="84"/>
        <v>134.16999999999999</v>
      </c>
      <c r="S105" s="300">
        <f t="shared" si="75"/>
        <v>188.55</v>
      </c>
      <c r="T105" s="300">
        <f t="shared" si="59"/>
        <v>1940.39</v>
      </c>
      <c r="U105" s="300">
        <f t="shared" si="121"/>
        <v>10741.430000000006</v>
      </c>
      <c r="V105" s="300">
        <f t="shared" si="122"/>
        <v>65289.060000000027</v>
      </c>
      <c r="W105" s="300">
        <f t="shared" si="76"/>
        <v>232407.07000000004</v>
      </c>
      <c r="X105" s="535">
        <f t="shared" si="113"/>
        <v>47109</v>
      </c>
      <c r="Y105" s="300">
        <f t="shared" si="77"/>
        <v>294145.91999999987</v>
      </c>
      <c r="Z105" s="527">
        <f t="shared" si="104"/>
        <v>4.4999999999999998E-2</v>
      </c>
      <c r="AA105" s="300">
        <f t="shared" si="105"/>
        <v>1595.67</v>
      </c>
      <c r="AB105" s="300">
        <f t="shared" si="78"/>
        <v>492.62000000000012</v>
      </c>
      <c r="AC105" s="300">
        <f t="shared" si="106"/>
        <v>1103.05</v>
      </c>
      <c r="AD105" s="300">
        <f t="shared" ref="AD105:AE105" si="148">+AD104</f>
        <v>134.16999999999999</v>
      </c>
      <c r="AE105" s="300">
        <f t="shared" si="148"/>
        <v>188.55</v>
      </c>
      <c r="AF105" s="300">
        <f t="shared" si="80"/>
        <v>1918.39</v>
      </c>
      <c r="AG105" s="300">
        <f t="shared" si="81"/>
        <v>21270.799999999999</v>
      </c>
      <c r="AH105" s="300">
        <f t="shared" si="82"/>
        <v>53725.690000000017</v>
      </c>
      <c r="AI105" s="545">
        <f t="shared" si="64"/>
        <v>1034</v>
      </c>
      <c r="AJ105" s="545">
        <f t="shared" si="134"/>
        <v>-61246.229999999836</v>
      </c>
      <c r="AK105" s="545">
        <f t="shared" si="65"/>
        <v>-60212.229999999836</v>
      </c>
      <c r="AL105" s="300">
        <f t="shared" si="83"/>
        <v>293653.29999999987</v>
      </c>
      <c r="AM105" s="449">
        <f t="shared" si="115"/>
        <v>3</v>
      </c>
      <c r="AN105" s="14">
        <f t="shared" si="66"/>
        <v>1196.26</v>
      </c>
      <c r="AO105" s="14">
        <f t="shared" si="50"/>
        <v>233177.22</v>
      </c>
      <c r="AP105" s="14">
        <f t="shared" si="67"/>
        <v>1174.26</v>
      </c>
      <c r="AS105" s="14">
        <f t="shared" si="109"/>
        <v>1196.26</v>
      </c>
      <c r="AT105" s="14">
        <f t="shared" si="116"/>
        <v>55743.660000000018</v>
      </c>
      <c r="AU105" s="300">
        <f t="shared" si="117"/>
        <v>761.03725923208947</v>
      </c>
      <c r="AV105" s="300">
        <f t="shared" si="118"/>
        <v>62027.44095206786</v>
      </c>
    </row>
    <row r="106" spans="1:50" x14ac:dyDescent="0.25">
      <c r="A106" s="535">
        <f t="shared" si="69"/>
        <v>47139</v>
      </c>
      <c r="B106" s="300">
        <f t="shared" si="110"/>
        <v>71317.339999999982</v>
      </c>
      <c r="C106" s="14">
        <f t="shared" si="101"/>
        <v>421.41</v>
      </c>
      <c r="D106" s="14">
        <f t="shared" si="119"/>
        <v>153.97000000000003</v>
      </c>
      <c r="E106" s="14">
        <f t="shared" si="102"/>
        <v>267.44</v>
      </c>
      <c r="F106" s="14">
        <f t="shared" si="51"/>
        <v>134.16999999999999</v>
      </c>
      <c r="G106" s="14">
        <f t="shared" si="52"/>
        <v>188.55</v>
      </c>
      <c r="H106" s="14">
        <f t="shared" si="54"/>
        <v>744.13000000000011</v>
      </c>
      <c r="I106" s="300">
        <f t="shared" si="70"/>
        <v>12318.050000000003</v>
      </c>
      <c r="J106" s="300">
        <f t="shared" si="71"/>
        <v>26763.559999999998</v>
      </c>
      <c r="K106" s="300">
        <f t="shared" si="72"/>
        <v>71163.369999999981</v>
      </c>
      <c r="L106" s="449">
        <f t="shared" si="103"/>
        <v>3</v>
      </c>
      <c r="M106" s="449">
        <f t="shared" si="111"/>
        <v>47</v>
      </c>
      <c r="N106" s="300">
        <f t="shared" si="112"/>
        <v>232407.07000000004</v>
      </c>
      <c r="O106" s="300">
        <f t="shared" si="73"/>
        <v>1617.67</v>
      </c>
      <c r="P106" s="300">
        <f t="shared" si="120"/>
        <v>261.96000000000004</v>
      </c>
      <c r="Q106" s="300">
        <f t="shared" si="74"/>
        <v>1355.71</v>
      </c>
      <c r="R106" s="300">
        <f t="shared" si="84"/>
        <v>134.16999999999999</v>
      </c>
      <c r="S106" s="300">
        <f t="shared" si="75"/>
        <v>188.55</v>
      </c>
      <c r="T106" s="300">
        <f t="shared" si="59"/>
        <v>1940.39</v>
      </c>
      <c r="U106" s="300">
        <f t="shared" si="121"/>
        <v>11003.390000000007</v>
      </c>
      <c r="V106" s="300">
        <f t="shared" si="122"/>
        <v>66644.770000000033</v>
      </c>
      <c r="W106" s="300">
        <f t="shared" si="76"/>
        <v>232145.11000000004</v>
      </c>
      <c r="X106" s="535">
        <f t="shared" si="113"/>
        <v>47139</v>
      </c>
      <c r="Y106" s="300">
        <f t="shared" si="77"/>
        <v>293653.29999999987</v>
      </c>
      <c r="Z106" s="527">
        <f t="shared" si="104"/>
        <v>4.4999999999999998E-2</v>
      </c>
      <c r="AA106" s="300">
        <f t="shared" si="105"/>
        <v>1595.67</v>
      </c>
      <c r="AB106" s="300">
        <f t="shared" si="78"/>
        <v>494.47</v>
      </c>
      <c r="AC106" s="300">
        <f t="shared" si="106"/>
        <v>1101.2</v>
      </c>
      <c r="AD106" s="300">
        <f t="shared" ref="AD106:AE106" si="149">+AD105</f>
        <v>134.16999999999999</v>
      </c>
      <c r="AE106" s="300">
        <f t="shared" si="149"/>
        <v>188.55</v>
      </c>
      <c r="AF106" s="300">
        <f t="shared" si="80"/>
        <v>1918.39</v>
      </c>
      <c r="AG106" s="300">
        <f t="shared" si="81"/>
        <v>21765.27</v>
      </c>
      <c r="AH106" s="300">
        <f t="shared" si="82"/>
        <v>54826.890000000014</v>
      </c>
      <c r="AI106" s="545">
        <f t="shared" si="64"/>
        <v>1056</v>
      </c>
      <c r="AJ106" s="545">
        <f t="shared" si="134"/>
        <v>-61013.719999999856</v>
      </c>
      <c r="AK106" s="545">
        <f t="shared" si="65"/>
        <v>-59957.719999999856</v>
      </c>
      <c r="AL106" s="300">
        <f t="shared" si="83"/>
        <v>293158.8299999999</v>
      </c>
      <c r="AM106" s="449">
        <f t="shared" si="115"/>
        <v>3</v>
      </c>
      <c r="AN106" s="14">
        <f t="shared" si="66"/>
        <v>1196.26</v>
      </c>
      <c r="AO106" s="14">
        <f t="shared" si="50"/>
        <v>233069.22999999998</v>
      </c>
      <c r="AP106" s="14">
        <f t="shared" si="67"/>
        <v>1174.26</v>
      </c>
      <c r="AS106" s="14">
        <f t="shared" si="109"/>
        <v>1196.26</v>
      </c>
      <c r="AT106" s="14">
        <f t="shared" si="116"/>
        <v>56939.92000000002</v>
      </c>
      <c r="AU106" s="300">
        <f t="shared" si="117"/>
        <v>762.93985238016955</v>
      </c>
      <c r="AV106" s="300">
        <f t="shared" si="118"/>
        <v>62790.380804448032</v>
      </c>
    </row>
    <row r="107" spans="1:50" x14ac:dyDescent="0.25">
      <c r="A107" s="535">
        <f t="shared" si="69"/>
        <v>47169</v>
      </c>
      <c r="B107" s="300">
        <f t="shared" si="110"/>
        <v>71163.369999999981</v>
      </c>
      <c r="C107" s="14">
        <f t="shared" si="101"/>
        <v>421.41</v>
      </c>
      <c r="D107" s="14">
        <f t="shared" si="119"/>
        <v>154.55000000000001</v>
      </c>
      <c r="E107" s="14">
        <f t="shared" si="102"/>
        <v>266.86</v>
      </c>
      <c r="F107" s="14">
        <f t="shared" si="51"/>
        <v>134.16999999999999</v>
      </c>
      <c r="G107" s="14">
        <f t="shared" si="52"/>
        <v>188.55</v>
      </c>
      <c r="H107" s="14">
        <f t="shared" si="54"/>
        <v>744.13000000000011</v>
      </c>
      <c r="I107" s="300">
        <f t="shared" si="70"/>
        <v>12472.600000000002</v>
      </c>
      <c r="J107" s="300">
        <f t="shared" si="71"/>
        <v>27030.42</v>
      </c>
      <c r="K107" s="300">
        <f t="shared" si="72"/>
        <v>71008.819999999978</v>
      </c>
      <c r="L107" s="449">
        <f t="shared" si="103"/>
        <v>4</v>
      </c>
      <c r="M107" s="449">
        <f t="shared" si="111"/>
        <v>48</v>
      </c>
      <c r="N107" s="300">
        <f t="shared" si="112"/>
        <v>232145.11000000004</v>
      </c>
      <c r="O107" s="300">
        <f t="shared" si="73"/>
        <v>1617.67</v>
      </c>
      <c r="P107" s="300">
        <f t="shared" si="120"/>
        <v>263.49</v>
      </c>
      <c r="Q107" s="300">
        <f t="shared" si="74"/>
        <v>1354.18</v>
      </c>
      <c r="R107" s="300">
        <f t="shared" si="84"/>
        <v>134.16999999999999</v>
      </c>
      <c r="S107" s="300">
        <f t="shared" si="75"/>
        <v>188.55</v>
      </c>
      <c r="T107" s="300">
        <f t="shared" si="59"/>
        <v>1940.39</v>
      </c>
      <c r="U107" s="300">
        <f t="shared" si="121"/>
        <v>11266.880000000006</v>
      </c>
      <c r="V107" s="300">
        <f t="shared" si="122"/>
        <v>67998.950000000026</v>
      </c>
      <c r="W107" s="300">
        <f t="shared" si="76"/>
        <v>231881.62000000005</v>
      </c>
      <c r="X107" s="535">
        <f t="shared" si="113"/>
        <v>47169</v>
      </c>
      <c r="Y107" s="300">
        <f t="shared" si="77"/>
        <v>293158.8299999999</v>
      </c>
      <c r="Z107" s="527">
        <f t="shared" si="104"/>
        <v>4.4999999999999998E-2</v>
      </c>
      <c r="AA107" s="300">
        <f t="shared" si="105"/>
        <v>1595.67</v>
      </c>
      <c r="AB107" s="300">
        <f t="shared" si="78"/>
        <v>496.32000000000016</v>
      </c>
      <c r="AC107" s="300">
        <f t="shared" si="106"/>
        <v>1099.3499999999999</v>
      </c>
      <c r="AD107" s="300">
        <f t="shared" ref="AD107:AE107" si="150">+AD106</f>
        <v>134.16999999999999</v>
      </c>
      <c r="AE107" s="300">
        <f t="shared" si="150"/>
        <v>188.55</v>
      </c>
      <c r="AF107" s="300">
        <f t="shared" si="80"/>
        <v>1918.39</v>
      </c>
      <c r="AG107" s="300">
        <f t="shared" si="81"/>
        <v>22261.59</v>
      </c>
      <c r="AH107" s="300">
        <f t="shared" si="82"/>
        <v>55926.240000000013</v>
      </c>
      <c r="AI107" s="545">
        <f t="shared" si="64"/>
        <v>1078</v>
      </c>
      <c r="AJ107" s="545">
        <f t="shared" si="134"/>
        <v>-60780.889999999839</v>
      </c>
      <c r="AK107" s="545">
        <f t="shared" si="65"/>
        <v>-59702.889999999839</v>
      </c>
      <c r="AL107" s="300">
        <f t="shared" si="83"/>
        <v>292662.50999999989</v>
      </c>
      <c r="AM107" s="449">
        <f t="shared" si="115"/>
        <v>4</v>
      </c>
      <c r="AN107" s="14">
        <f t="shared" si="66"/>
        <v>1196.26</v>
      </c>
      <c r="AO107" s="14">
        <f t="shared" si="50"/>
        <v>232960.28999999998</v>
      </c>
      <c r="AP107" s="14">
        <f t="shared" si="67"/>
        <v>1174.26</v>
      </c>
      <c r="AS107" s="14">
        <f t="shared" si="109"/>
        <v>1196.26</v>
      </c>
      <c r="AT107" s="14">
        <f t="shared" si="116"/>
        <v>58136.180000000022</v>
      </c>
      <c r="AU107" s="300">
        <f t="shared" si="117"/>
        <v>764.84720201111998</v>
      </c>
      <c r="AV107" s="300">
        <f t="shared" si="118"/>
        <v>63555.228006459154</v>
      </c>
      <c r="AX107" s="510"/>
    </row>
    <row r="108" spans="1:50" x14ac:dyDescent="0.25">
      <c r="A108" s="535">
        <f t="shared" si="69"/>
        <v>47199</v>
      </c>
      <c r="B108" s="300">
        <f t="shared" si="110"/>
        <v>71008.819999999978</v>
      </c>
      <c r="C108" s="14">
        <f t="shared" si="101"/>
        <v>421.41</v>
      </c>
      <c r="D108" s="14">
        <f t="shared" si="119"/>
        <v>155.13000000000005</v>
      </c>
      <c r="E108" s="14">
        <f t="shared" si="102"/>
        <v>266.27999999999997</v>
      </c>
      <c r="F108" s="14">
        <f t="shared" si="51"/>
        <v>134.16999999999999</v>
      </c>
      <c r="G108" s="14">
        <f t="shared" si="52"/>
        <v>188.55</v>
      </c>
      <c r="H108" s="14">
        <f t="shared" si="54"/>
        <v>744.13000000000011</v>
      </c>
      <c r="I108" s="300">
        <f t="shared" si="70"/>
        <v>12627.730000000001</v>
      </c>
      <c r="J108" s="300">
        <f t="shared" si="71"/>
        <v>27296.699999999997</v>
      </c>
      <c r="K108" s="300">
        <f t="shared" si="72"/>
        <v>70853.689999999973</v>
      </c>
      <c r="L108" s="449">
        <f>IF(MOD(M108,12)=0,M108/12,L107)</f>
        <v>4</v>
      </c>
      <c r="M108" s="449">
        <f t="shared" si="111"/>
        <v>49</v>
      </c>
      <c r="N108" s="300">
        <f t="shared" si="112"/>
        <v>231881.62000000005</v>
      </c>
      <c r="O108" s="300">
        <f t="shared" si="73"/>
        <v>1617.67</v>
      </c>
      <c r="P108" s="300">
        <f t="shared" si="120"/>
        <v>265.02999999999997</v>
      </c>
      <c r="Q108" s="300">
        <f t="shared" si="74"/>
        <v>1352.64</v>
      </c>
      <c r="R108" s="300">
        <f t="shared" si="84"/>
        <v>134.16999999999999</v>
      </c>
      <c r="S108" s="300">
        <f t="shared" si="75"/>
        <v>188.55</v>
      </c>
      <c r="T108" s="300">
        <f t="shared" si="59"/>
        <v>1940.39</v>
      </c>
      <c r="U108" s="300">
        <f t="shared" si="121"/>
        <v>11531.910000000007</v>
      </c>
      <c r="V108" s="300">
        <f t="shared" si="122"/>
        <v>69351.590000000026</v>
      </c>
      <c r="W108" s="300">
        <f t="shared" si="76"/>
        <v>231616.59000000005</v>
      </c>
      <c r="X108" s="535">
        <f t="shared" si="113"/>
        <v>47199</v>
      </c>
      <c r="Y108" s="300">
        <f t="shared" si="77"/>
        <v>292662.50999999989</v>
      </c>
      <c r="Z108" s="527">
        <f t="shared" si="104"/>
        <v>4.4999999999999998E-2</v>
      </c>
      <c r="AA108" s="300">
        <f t="shared" si="105"/>
        <v>1595.67</v>
      </c>
      <c r="AB108" s="300">
        <f t="shared" si="78"/>
        <v>498.19000000000005</v>
      </c>
      <c r="AC108" s="300">
        <f t="shared" si="106"/>
        <v>1097.48</v>
      </c>
      <c r="AD108" s="300">
        <f t="shared" ref="AD108:AE108" si="151">+AD107</f>
        <v>134.16999999999999</v>
      </c>
      <c r="AE108" s="300">
        <f t="shared" si="151"/>
        <v>188.55</v>
      </c>
      <c r="AF108" s="300">
        <f t="shared" si="80"/>
        <v>1918.39</v>
      </c>
      <c r="AG108" s="300">
        <f t="shared" si="81"/>
        <v>22759.78</v>
      </c>
      <c r="AH108" s="300">
        <f t="shared" si="82"/>
        <v>57023.720000000016</v>
      </c>
      <c r="AI108" s="545">
        <f t="shared" si="64"/>
        <v>1100</v>
      </c>
      <c r="AJ108" s="545">
        <f t="shared" si="134"/>
        <v>-60547.729999999836</v>
      </c>
      <c r="AK108" s="545">
        <f t="shared" si="65"/>
        <v>-59447.729999999836</v>
      </c>
      <c r="AL108" s="300">
        <f t="shared" si="83"/>
        <v>292164.31999999989</v>
      </c>
      <c r="AM108" s="449">
        <f t="shared" si="115"/>
        <v>4</v>
      </c>
      <c r="AN108" s="14">
        <f t="shared" si="66"/>
        <v>1196.26</v>
      </c>
      <c r="AO108" s="14">
        <f t="shared" si="50"/>
        <v>232850.38999999998</v>
      </c>
      <c r="AP108" s="14">
        <f t="shared" si="67"/>
        <v>1174.26</v>
      </c>
      <c r="AS108" s="14">
        <f t="shared" si="109"/>
        <v>1196.26</v>
      </c>
      <c r="AT108" s="14">
        <f t="shared" si="116"/>
        <v>59332.440000000024</v>
      </c>
      <c r="AU108" s="300">
        <f t="shared" si="117"/>
        <v>766.75932001614774</v>
      </c>
      <c r="AV108" s="300">
        <f t="shared" si="118"/>
        <v>64321.987326475304</v>
      </c>
      <c r="AX108" s="510"/>
    </row>
    <row r="109" spans="1:50" x14ac:dyDescent="0.25">
      <c r="A109" s="535">
        <f t="shared" si="69"/>
        <v>47229</v>
      </c>
      <c r="B109" s="300">
        <f t="shared" si="110"/>
        <v>70853.689999999973</v>
      </c>
      <c r="C109" s="14">
        <f t="shared" si="101"/>
        <v>421.41</v>
      </c>
      <c r="D109" s="14">
        <f t="shared" si="119"/>
        <v>155.71000000000004</v>
      </c>
      <c r="E109" s="14">
        <f t="shared" si="102"/>
        <v>265.7</v>
      </c>
      <c r="F109" s="14">
        <f t="shared" si="51"/>
        <v>134.16999999999999</v>
      </c>
      <c r="G109" s="14">
        <f t="shared" si="52"/>
        <v>188.55</v>
      </c>
      <c r="H109" s="14">
        <f t="shared" si="54"/>
        <v>744.13000000000011</v>
      </c>
      <c r="I109" s="300">
        <f t="shared" si="70"/>
        <v>12783.440000000002</v>
      </c>
      <c r="J109" s="300">
        <f t="shared" si="71"/>
        <v>27562.399999999998</v>
      </c>
      <c r="K109" s="300">
        <f t="shared" si="72"/>
        <v>70697.979999999967</v>
      </c>
      <c r="L109" s="449">
        <f>IF(MOD(M109,12)=0,M109/12,L108)</f>
        <v>4</v>
      </c>
      <c r="M109" s="449">
        <f t="shared" si="111"/>
        <v>50</v>
      </c>
      <c r="N109" s="300">
        <f t="shared" si="112"/>
        <v>231616.59000000005</v>
      </c>
      <c r="O109" s="300">
        <f t="shared" si="73"/>
        <v>1617.67</v>
      </c>
      <c r="P109" s="300">
        <f t="shared" si="120"/>
        <v>266.57000000000016</v>
      </c>
      <c r="Q109" s="300">
        <f t="shared" si="74"/>
        <v>1351.1</v>
      </c>
      <c r="R109" s="300">
        <f t="shared" si="84"/>
        <v>134.16999999999999</v>
      </c>
      <c r="S109" s="300">
        <f t="shared" si="75"/>
        <v>188.55</v>
      </c>
      <c r="T109" s="300">
        <f t="shared" si="59"/>
        <v>1940.39</v>
      </c>
      <c r="U109" s="300">
        <f t="shared" si="121"/>
        <v>11798.480000000007</v>
      </c>
      <c r="V109" s="300">
        <f t="shared" si="122"/>
        <v>70702.690000000031</v>
      </c>
      <c r="W109" s="300">
        <f t="shared" si="76"/>
        <v>231350.02000000005</v>
      </c>
      <c r="X109" s="535">
        <f t="shared" si="113"/>
        <v>47229</v>
      </c>
      <c r="Y109" s="300">
        <f t="shared" si="77"/>
        <v>292164.31999999989</v>
      </c>
      <c r="Z109" s="527">
        <f t="shared" si="104"/>
        <v>4.4999999999999998E-2</v>
      </c>
      <c r="AA109" s="300">
        <f t="shared" si="105"/>
        <v>1595.67</v>
      </c>
      <c r="AB109" s="300">
        <f t="shared" si="78"/>
        <v>500.05000000000018</v>
      </c>
      <c r="AC109" s="300">
        <f t="shared" si="106"/>
        <v>1095.6199999999999</v>
      </c>
      <c r="AD109" s="300">
        <f t="shared" ref="AD109:AE109" si="152">+AD108</f>
        <v>134.16999999999999</v>
      </c>
      <c r="AE109" s="300">
        <f t="shared" si="152"/>
        <v>188.55</v>
      </c>
      <c r="AF109" s="300">
        <f t="shared" si="80"/>
        <v>1918.39</v>
      </c>
      <c r="AG109" s="300">
        <f t="shared" si="81"/>
        <v>23259.829999999998</v>
      </c>
      <c r="AH109" s="300">
        <f t="shared" si="82"/>
        <v>58119.340000000018</v>
      </c>
      <c r="AI109" s="545">
        <f t="shared" si="64"/>
        <v>1122</v>
      </c>
      <c r="AJ109" s="545">
        <f t="shared" si="134"/>
        <v>-60314.249999999854</v>
      </c>
      <c r="AK109" s="545">
        <f t="shared" si="65"/>
        <v>-59192.249999999854</v>
      </c>
      <c r="AL109" s="300">
        <f t="shared" si="83"/>
        <v>291664.2699999999</v>
      </c>
      <c r="AM109" s="449">
        <f t="shared" si="115"/>
        <v>4</v>
      </c>
      <c r="AN109" s="14">
        <f t="shared" si="66"/>
        <v>1196.26</v>
      </c>
      <c r="AO109" s="14">
        <f t="shared" ref="AO109:AO172" si="153">IF(W109&lt;=0,0,+$AA$5-$C$2+I109-U109)</f>
        <v>232739.52999999997</v>
      </c>
      <c r="AP109" s="14">
        <f t="shared" si="67"/>
        <v>1174.26</v>
      </c>
      <c r="AS109" s="14">
        <f t="shared" si="109"/>
        <v>1196.26</v>
      </c>
      <c r="AT109" s="14">
        <f t="shared" si="116"/>
        <v>60528.700000000026</v>
      </c>
      <c r="AU109" s="300">
        <f t="shared" si="117"/>
        <v>768.67621831618828</v>
      </c>
      <c r="AV109" s="300">
        <f t="shared" si="118"/>
        <v>65090.663544791496</v>
      </c>
    </row>
    <row r="110" spans="1:50" ht="15.75" thickBot="1" x14ac:dyDescent="0.3">
      <c r="A110" s="538">
        <f t="shared" si="69"/>
        <v>47259</v>
      </c>
      <c r="B110" s="369">
        <f t="shared" si="110"/>
        <v>70697.979999999967</v>
      </c>
      <c r="C110" s="21">
        <f t="shared" si="101"/>
        <v>421.41</v>
      </c>
      <c r="D110" s="21">
        <f t="shared" si="119"/>
        <v>156.29000000000002</v>
      </c>
      <c r="E110" s="21">
        <f t="shared" si="102"/>
        <v>265.12</v>
      </c>
      <c r="F110" s="21">
        <f t="shared" si="51"/>
        <v>134.16999999999999</v>
      </c>
      <c r="G110" s="21">
        <f t="shared" si="52"/>
        <v>188.55</v>
      </c>
      <c r="H110" s="21">
        <f t="shared" si="54"/>
        <v>744.13000000000011</v>
      </c>
      <c r="I110" s="369">
        <f t="shared" si="70"/>
        <v>12939.730000000003</v>
      </c>
      <c r="J110" s="369">
        <f t="shared" si="71"/>
        <v>27827.519999999997</v>
      </c>
      <c r="K110" s="369">
        <f t="shared" si="72"/>
        <v>70541.689999999973</v>
      </c>
      <c r="L110" s="450">
        <f>IF(MOD(M110,12)=0,M110/12,L109)</f>
        <v>4</v>
      </c>
      <c r="M110" s="450">
        <f t="shared" si="111"/>
        <v>51</v>
      </c>
      <c r="N110" s="369">
        <f t="shared" si="112"/>
        <v>231350.02000000005</v>
      </c>
      <c r="O110" s="369">
        <f t="shared" si="73"/>
        <v>1617.67</v>
      </c>
      <c r="P110" s="369">
        <f t="shared" si="120"/>
        <v>268.13000000000011</v>
      </c>
      <c r="Q110" s="369">
        <f t="shared" si="74"/>
        <v>1349.54</v>
      </c>
      <c r="R110" s="369">
        <f t="shared" si="84"/>
        <v>134.16999999999999</v>
      </c>
      <c r="S110" s="369">
        <f t="shared" si="75"/>
        <v>188.55</v>
      </c>
      <c r="T110" s="369">
        <f t="shared" si="59"/>
        <v>1940.39</v>
      </c>
      <c r="U110" s="369">
        <f t="shared" si="121"/>
        <v>12066.610000000008</v>
      </c>
      <c r="V110" s="369">
        <f t="shared" si="122"/>
        <v>72052.230000000025</v>
      </c>
      <c r="W110" s="369">
        <f t="shared" si="76"/>
        <v>231081.89000000004</v>
      </c>
      <c r="X110" s="538">
        <f t="shared" si="113"/>
        <v>47259</v>
      </c>
      <c r="Y110" s="369">
        <f t="shared" si="77"/>
        <v>291664.2699999999</v>
      </c>
      <c r="Z110" s="528">
        <f t="shared" si="104"/>
        <v>4.4999999999999998E-2</v>
      </c>
      <c r="AA110" s="369">
        <f t="shared" si="105"/>
        <v>1595.67</v>
      </c>
      <c r="AB110" s="369">
        <f t="shared" si="78"/>
        <v>501.93000000000006</v>
      </c>
      <c r="AC110" s="369">
        <f t="shared" si="106"/>
        <v>1093.74</v>
      </c>
      <c r="AD110" s="369">
        <f t="shared" ref="AD110:AE110" si="154">+AD109</f>
        <v>134.16999999999999</v>
      </c>
      <c r="AE110" s="369">
        <f t="shared" si="154"/>
        <v>188.55</v>
      </c>
      <c r="AF110" s="369">
        <f t="shared" si="80"/>
        <v>1918.39</v>
      </c>
      <c r="AG110" s="369">
        <f t="shared" si="81"/>
        <v>23761.759999999998</v>
      </c>
      <c r="AH110" s="369">
        <f t="shared" si="82"/>
        <v>59213.080000000016</v>
      </c>
      <c r="AI110" s="546">
        <f t="shared" si="64"/>
        <v>1144</v>
      </c>
      <c r="AJ110" s="546">
        <f t="shared" si="134"/>
        <v>-60080.449999999866</v>
      </c>
      <c r="AK110" s="546">
        <f t="shared" si="65"/>
        <v>-58936.449999999866</v>
      </c>
      <c r="AL110" s="369">
        <f t="shared" si="83"/>
        <v>291162.33999999991</v>
      </c>
      <c r="AM110" s="450">
        <f t="shared" si="115"/>
        <v>4</v>
      </c>
      <c r="AN110" s="21">
        <f t="shared" si="66"/>
        <v>1196.26</v>
      </c>
      <c r="AO110" s="21">
        <f t="shared" si="153"/>
        <v>232627.68999999997</v>
      </c>
      <c r="AP110" s="21">
        <f t="shared" si="67"/>
        <v>1174.26</v>
      </c>
      <c r="AQ110" s="21"/>
      <c r="AR110" s="23"/>
      <c r="AS110" s="21">
        <f t="shared" si="109"/>
        <v>1196.26</v>
      </c>
      <c r="AT110" s="21">
        <f t="shared" si="116"/>
        <v>61724.960000000028</v>
      </c>
      <c r="AU110" s="369">
        <f t="shared" si="117"/>
        <v>770.59790886197879</v>
      </c>
      <c r="AV110" s="369">
        <f t="shared" si="118"/>
        <v>65861.261453653482</v>
      </c>
      <c r="AX110" s="510"/>
    </row>
    <row r="111" spans="1:50" x14ac:dyDescent="0.25">
      <c r="A111" s="535">
        <f t="shared" si="69"/>
        <v>47289</v>
      </c>
      <c r="B111" s="300">
        <f t="shared" si="110"/>
        <v>70541.689999999973</v>
      </c>
      <c r="C111" s="14">
        <f t="shared" si="101"/>
        <v>421.41</v>
      </c>
      <c r="D111" s="14">
        <f t="shared" si="119"/>
        <v>156.88000000000005</v>
      </c>
      <c r="E111" s="14">
        <f t="shared" si="102"/>
        <v>264.52999999999997</v>
      </c>
      <c r="F111" s="14">
        <f t="shared" si="51"/>
        <v>134.16999999999999</v>
      </c>
      <c r="G111" s="14">
        <f t="shared" si="52"/>
        <v>188.55</v>
      </c>
      <c r="H111" s="14">
        <f t="shared" si="54"/>
        <v>744.13000000000011</v>
      </c>
      <c r="I111" s="300">
        <f t="shared" si="70"/>
        <v>13096.610000000002</v>
      </c>
      <c r="J111" s="300">
        <f t="shared" si="71"/>
        <v>28092.049999999996</v>
      </c>
      <c r="K111" s="300">
        <f t="shared" si="72"/>
        <v>70384.809999999969</v>
      </c>
      <c r="L111" s="449">
        <f t="shared" ref="L111:L174" si="155">IF(MOD(M111,12)=0,M111/12,L110)</f>
        <v>4</v>
      </c>
      <c r="M111" s="449">
        <f t="shared" si="111"/>
        <v>52</v>
      </c>
      <c r="N111" s="300">
        <f t="shared" si="112"/>
        <v>231081.89000000004</v>
      </c>
      <c r="O111" s="300">
        <f t="shared" si="73"/>
        <v>1617.67</v>
      </c>
      <c r="P111" s="300">
        <f t="shared" si="120"/>
        <v>269.69000000000005</v>
      </c>
      <c r="Q111" s="300">
        <f t="shared" si="74"/>
        <v>1347.98</v>
      </c>
      <c r="R111" s="300">
        <f t="shared" si="84"/>
        <v>134.16999999999999</v>
      </c>
      <c r="S111" s="300">
        <f t="shared" si="75"/>
        <v>188.55</v>
      </c>
      <c r="T111" s="300">
        <f t="shared" si="59"/>
        <v>1940.39</v>
      </c>
      <c r="U111" s="300">
        <f t="shared" si="121"/>
        <v>12336.300000000008</v>
      </c>
      <c r="V111" s="300">
        <f t="shared" si="122"/>
        <v>73400.210000000021</v>
      </c>
      <c r="W111" s="300">
        <f t="shared" si="76"/>
        <v>230812.20000000004</v>
      </c>
      <c r="X111" s="535">
        <f t="shared" si="113"/>
        <v>47289</v>
      </c>
      <c r="Y111" s="300">
        <f t="shared" si="77"/>
        <v>291162.33999999991</v>
      </c>
      <c r="Z111" s="527">
        <f t="shared" si="104"/>
        <v>4.4999999999999998E-2</v>
      </c>
      <c r="AA111" s="300">
        <f t="shared" si="105"/>
        <v>1595.67</v>
      </c>
      <c r="AB111" s="300">
        <f t="shared" si="78"/>
        <v>503.81000000000017</v>
      </c>
      <c r="AC111" s="300">
        <f t="shared" si="106"/>
        <v>1091.8599999999999</v>
      </c>
      <c r="AD111" s="300">
        <f t="shared" ref="AD111:AE111" si="156">+AD110</f>
        <v>134.16999999999999</v>
      </c>
      <c r="AE111" s="300">
        <f t="shared" si="156"/>
        <v>188.55</v>
      </c>
      <c r="AF111" s="300">
        <f t="shared" si="80"/>
        <v>1918.39</v>
      </c>
      <c r="AG111" s="300">
        <f t="shared" si="81"/>
        <v>24265.57</v>
      </c>
      <c r="AH111" s="300">
        <f t="shared" si="82"/>
        <v>60304.940000000017</v>
      </c>
      <c r="AI111" s="545">
        <f t="shared" si="64"/>
        <v>1166</v>
      </c>
      <c r="AJ111" s="545">
        <f t="shared" si="134"/>
        <v>-59846.329999999871</v>
      </c>
      <c r="AK111" s="545">
        <f t="shared" si="65"/>
        <v>-58680.329999999871</v>
      </c>
      <c r="AL111" s="300">
        <f t="shared" si="83"/>
        <v>290658.52999999991</v>
      </c>
      <c r="AM111" s="449">
        <f t="shared" si="115"/>
        <v>4</v>
      </c>
      <c r="AN111" s="14">
        <f t="shared" si="66"/>
        <v>1196.26</v>
      </c>
      <c r="AO111" s="14">
        <f t="shared" si="153"/>
        <v>232514.87999999998</v>
      </c>
      <c r="AP111" s="14">
        <f t="shared" si="67"/>
        <v>1174.26</v>
      </c>
      <c r="AS111" s="14">
        <f t="shared" si="109"/>
        <v>1196.26</v>
      </c>
      <c r="AT111" s="14">
        <f t="shared" si="116"/>
        <v>62921.22000000003</v>
      </c>
      <c r="AU111" s="300">
        <f t="shared" si="117"/>
        <v>772.52440363413359</v>
      </c>
      <c r="AV111" s="300">
        <f t="shared" si="118"/>
        <v>66633.785857287614</v>
      </c>
    </row>
    <row r="112" spans="1:50" x14ac:dyDescent="0.25">
      <c r="A112" s="535">
        <f t="shared" si="69"/>
        <v>47319</v>
      </c>
      <c r="B112" s="300">
        <f t="shared" si="110"/>
        <v>70384.809999999969</v>
      </c>
      <c r="C112" s="14">
        <f t="shared" si="101"/>
        <v>421.41</v>
      </c>
      <c r="D112" s="14">
        <f t="shared" si="119"/>
        <v>157.47000000000003</v>
      </c>
      <c r="E112" s="14">
        <f t="shared" si="102"/>
        <v>263.94</v>
      </c>
      <c r="F112" s="14">
        <f t="shared" si="51"/>
        <v>134.16999999999999</v>
      </c>
      <c r="G112" s="14">
        <f t="shared" si="52"/>
        <v>188.55</v>
      </c>
      <c r="H112" s="14">
        <f t="shared" si="54"/>
        <v>744.13000000000011</v>
      </c>
      <c r="I112" s="300">
        <f t="shared" si="70"/>
        <v>13254.080000000002</v>
      </c>
      <c r="J112" s="300">
        <f t="shared" si="71"/>
        <v>28355.989999999994</v>
      </c>
      <c r="K112" s="300">
        <f t="shared" si="72"/>
        <v>70227.339999999967</v>
      </c>
      <c r="L112" s="449">
        <f t="shared" si="155"/>
        <v>4</v>
      </c>
      <c r="M112" s="449">
        <f t="shared" si="111"/>
        <v>53</v>
      </c>
      <c r="N112" s="300">
        <f t="shared" si="112"/>
        <v>230812.20000000004</v>
      </c>
      <c r="O112" s="300">
        <f t="shared" si="73"/>
        <v>1617.67</v>
      </c>
      <c r="P112" s="300">
        <f t="shared" si="120"/>
        <v>271.27</v>
      </c>
      <c r="Q112" s="300">
        <f t="shared" si="74"/>
        <v>1346.4</v>
      </c>
      <c r="R112" s="300">
        <f t="shared" si="84"/>
        <v>134.16999999999999</v>
      </c>
      <c r="S112" s="300">
        <f t="shared" si="75"/>
        <v>188.55</v>
      </c>
      <c r="T112" s="300">
        <f t="shared" si="59"/>
        <v>1940.39</v>
      </c>
      <c r="U112" s="300">
        <f t="shared" si="121"/>
        <v>12607.570000000009</v>
      </c>
      <c r="V112" s="300">
        <f t="shared" si="122"/>
        <v>74746.610000000015</v>
      </c>
      <c r="W112" s="300">
        <f t="shared" si="76"/>
        <v>230540.93000000005</v>
      </c>
      <c r="X112" s="535">
        <f t="shared" si="113"/>
        <v>47319</v>
      </c>
      <c r="Y112" s="300">
        <f t="shared" si="77"/>
        <v>290658.52999999991</v>
      </c>
      <c r="Z112" s="527">
        <f t="shared" si="104"/>
        <v>4.4999999999999998E-2</v>
      </c>
      <c r="AA112" s="300">
        <f t="shared" si="105"/>
        <v>1595.67</v>
      </c>
      <c r="AB112" s="300">
        <f t="shared" si="78"/>
        <v>505.70000000000005</v>
      </c>
      <c r="AC112" s="300">
        <f t="shared" si="106"/>
        <v>1089.97</v>
      </c>
      <c r="AD112" s="300">
        <f t="shared" ref="AD112:AE112" si="157">+AD111</f>
        <v>134.16999999999999</v>
      </c>
      <c r="AE112" s="300">
        <f t="shared" si="157"/>
        <v>188.55</v>
      </c>
      <c r="AF112" s="300">
        <f t="shared" si="80"/>
        <v>1918.39</v>
      </c>
      <c r="AG112" s="300">
        <f t="shared" si="81"/>
        <v>24771.27</v>
      </c>
      <c r="AH112" s="300">
        <f t="shared" si="82"/>
        <v>61394.910000000018</v>
      </c>
      <c r="AI112" s="545">
        <f t="shared" si="64"/>
        <v>1188</v>
      </c>
      <c r="AJ112" s="545">
        <f t="shared" si="134"/>
        <v>-59611.899999999849</v>
      </c>
      <c r="AK112" s="545">
        <f t="shared" si="65"/>
        <v>-58423.899999999849</v>
      </c>
      <c r="AL112" s="300">
        <f t="shared" si="83"/>
        <v>290152.8299999999</v>
      </c>
      <c r="AM112" s="449">
        <f t="shared" si="115"/>
        <v>4</v>
      </c>
      <c r="AN112" s="14">
        <f t="shared" si="66"/>
        <v>1196.26</v>
      </c>
      <c r="AO112" s="14">
        <f t="shared" si="153"/>
        <v>232401.07999999996</v>
      </c>
      <c r="AP112" s="14">
        <f t="shared" si="67"/>
        <v>1174.26</v>
      </c>
      <c r="AS112" s="14">
        <f t="shared" si="109"/>
        <v>1196.26</v>
      </c>
      <c r="AT112" s="14">
        <f t="shared" si="116"/>
        <v>64117.480000000032</v>
      </c>
      <c r="AU112" s="300">
        <f t="shared" si="117"/>
        <v>774.45571464321893</v>
      </c>
      <c r="AV112" s="300">
        <f t="shared" si="118"/>
        <v>67408.241571930834</v>
      </c>
    </row>
    <row r="113" spans="1:50" x14ac:dyDescent="0.25">
      <c r="A113" s="535">
        <f t="shared" si="69"/>
        <v>47349</v>
      </c>
      <c r="B113" s="300">
        <f t="shared" si="110"/>
        <v>70227.339999999967</v>
      </c>
      <c r="C113" s="14">
        <f t="shared" si="101"/>
        <v>421.41</v>
      </c>
      <c r="D113" s="14">
        <f t="shared" si="119"/>
        <v>158.06</v>
      </c>
      <c r="E113" s="14">
        <f t="shared" si="102"/>
        <v>263.35000000000002</v>
      </c>
      <c r="F113" s="14">
        <f t="shared" si="51"/>
        <v>134.16999999999999</v>
      </c>
      <c r="G113" s="14">
        <f t="shared" si="52"/>
        <v>188.55</v>
      </c>
      <c r="H113" s="14">
        <f t="shared" si="54"/>
        <v>744.13000000000011</v>
      </c>
      <c r="I113" s="300">
        <f t="shared" si="70"/>
        <v>13412.140000000001</v>
      </c>
      <c r="J113" s="300">
        <f t="shared" si="71"/>
        <v>28619.339999999993</v>
      </c>
      <c r="K113" s="300">
        <f t="shared" si="72"/>
        <v>70069.27999999997</v>
      </c>
      <c r="L113" s="449">
        <f t="shared" si="155"/>
        <v>4</v>
      </c>
      <c r="M113" s="449">
        <f t="shared" si="111"/>
        <v>54</v>
      </c>
      <c r="N113" s="300">
        <f t="shared" si="112"/>
        <v>230540.93000000005</v>
      </c>
      <c r="O113" s="300">
        <f t="shared" si="73"/>
        <v>1617.67</v>
      </c>
      <c r="P113" s="300">
        <f t="shared" si="120"/>
        <v>272.85000000000014</v>
      </c>
      <c r="Q113" s="300">
        <f t="shared" si="74"/>
        <v>1344.82</v>
      </c>
      <c r="R113" s="300">
        <f t="shared" si="84"/>
        <v>134.16999999999999</v>
      </c>
      <c r="S113" s="300">
        <f t="shared" si="75"/>
        <v>188.55</v>
      </c>
      <c r="T113" s="300">
        <f t="shared" si="59"/>
        <v>1940.39</v>
      </c>
      <c r="U113" s="300">
        <f t="shared" si="121"/>
        <v>12880.420000000009</v>
      </c>
      <c r="V113" s="300">
        <f t="shared" si="122"/>
        <v>76091.430000000022</v>
      </c>
      <c r="W113" s="300">
        <f t="shared" si="76"/>
        <v>230268.08000000005</v>
      </c>
      <c r="X113" s="535">
        <f t="shared" si="113"/>
        <v>47349</v>
      </c>
      <c r="Y113" s="300">
        <f t="shared" si="77"/>
        <v>290152.8299999999</v>
      </c>
      <c r="Z113" s="527">
        <f t="shared" si="104"/>
        <v>4.4999999999999998E-2</v>
      </c>
      <c r="AA113" s="300">
        <f t="shared" si="105"/>
        <v>1595.67</v>
      </c>
      <c r="AB113" s="300">
        <f t="shared" si="78"/>
        <v>507.60000000000014</v>
      </c>
      <c r="AC113" s="300">
        <f t="shared" si="106"/>
        <v>1088.07</v>
      </c>
      <c r="AD113" s="300">
        <f t="shared" ref="AD113:AE113" si="158">+AD112</f>
        <v>134.16999999999999</v>
      </c>
      <c r="AE113" s="300">
        <f t="shared" si="158"/>
        <v>188.55</v>
      </c>
      <c r="AF113" s="300">
        <f t="shared" si="80"/>
        <v>1918.39</v>
      </c>
      <c r="AG113" s="300">
        <f t="shared" si="81"/>
        <v>25278.87</v>
      </c>
      <c r="AH113" s="300">
        <f t="shared" si="82"/>
        <v>62482.980000000018</v>
      </c>
      <c r="AI113" s="545">
        <f t="shared" si="64"/>
        <v>1210</v>
      </c>
      <c r="AJ113" s="545">
        <f t="shared" si="134"/>
        <v>-59377.149999999878</v>
      </c>
      <c r="AK113" s="545">
        <f t="shared" si="65"/>
        <v>-58167.149999999878</v>
      </c>
      <c r="AL113" s="300">
        <f t="shared" si="83"/>
        <v>289645.22999999992</v>
      </c>
      <c r="AM113" s="449">
        <f t="shared" si="115"/>
        <v>4</v>
      </c>
      <c r="AN113" s="14">
        <f t="shared" si="66"/>
        <v>1196.26</v>
      </c>
      <c r="AO113" s="14">
        <f t="shared" si="153"/>
        <v>232286.28999999998</v>
      </c>
      <c r="AP113" s="14">
        <f t="shared" si="67"/>
        <v>1174.26</v>
      </c>
      <c r="AS113" s="14">
        <f t="shared" si="109"/>
        <v>1196.26</v>
      </c>
      <c r="AT113" s="14">
        <f t="shared" si="116"/>
        <v>65313.740000000034</v>
      </c>
      <c r="AU113" s="300">
        <f t="shared" si="117"/>
        <v>776.39185392982699</v>
      </c>
      <c r="AV113" s="300">
        <f t="shared" si="118"/>
        <v>68184.633425860666</v>
      </c>
    </row>
    <row r="114" spans="1:50" x14ac:dyDescent="0.25">
      <c r="A114" s="535">
        <f t="shared" si="69"/>
        <v>47379</v>
      </c>
      <c r="B114" s="300">
        <f t="shared" si="110"/>
        <v>70069.27999999997</v>
      </c>
      <c r="C114" s="14">
        <f t="shared" si="101"/>
        <v>421.41</v>
      </c>
      <c r="D114" s="14">
        <f t="shared" si="119"/>
        <v>158.65000000000003</v>
      </c>
      <c r="E114" s="14">
        <f t="shared" si="102"/>
        <v>262.76</v>
      </c>
      <c r="F114" s="14">
        <f t="shared" si="51"/>
        <v>134.16999999999999</v>
      </c>
      <c r="G114" s="14">
        <f t="shared" si="52"/>
        <v>188.55</v>
      </c>
      <c r="H114" s="14">
        <f t="shared" si="54"/>
        <v>744.13000000000011</v>
      </c>
      <c r="I114" s="300">
        <f t="shared" si="70"/>
        <v>13570.79</v>
      </c>
      <c r="J114" s="300">
        <f t="shared" si="71"/>
        <v>28882.099999999991</v>
      </c>
      <c r="K114" s="300">
        <f t="shared" si="72"/>
        <v>69910.629999999976</v>
      </c>
      <c r="L114" s="449">
        <f t="shared" si="155"/>
        <v>4</v>
      </c>
      <c r="M114" s="449">
        <f t="shared" si="111"/>
        <v>55</v>
      </c>
      <c r="N114" s="300">
        <f t="shared" si="112"/>
        <v>230268.08000000005</v>
      </c>
      <c r="O114" s="300">
        <f t="shared" si="73"/>
        <v>1617.67</v>
      </c>
      <c r="P114" s="300">
        <f t="shared" si="120"/>
        <v>274.44000000000005</v>
      </c>
      <c r="Q114" s="300">
        <f t="shared" si="74"/>
        <v>1343.23</v>
      </c>
      <c r="R114" s="300">
        <f t="shared" si="84"/>
        <v>134.16999999999999</v>
      </c>
      <c r="S114" s="300">
        <f t="shared" si="75"/>
        <v>188.55</v>
      </c>
      <c r="T114" s="300">
        <f t="shared" si="59"/>
        <v>1940.39</v>
      </c>
      <c r="U114" s="300">
        <f t="shared" si="121"/>
        <v>13154.86000000001</v>
      </c>
      <c r="V114" s="300">
        <f t="shared" si="122"/>
        <v>77434.660000000018</v>
      </c>
      <c r="W114" s="300">
        <f t="shared" si="76"/>
        <v>229993.64000000004</v>
      </c>
      <c r="X114" s="535">
        <f t="shared" si="113"/>
        <v>47379</v>
      </c>
      <c r="Y114" s="300">
        <f t="shared" si="77"/>
        <v>289645.22999999992</v>
      </c>
      <c r="Z114" s="527">
        <f t="shared" si="104"/>
        <v>4.4999999999999998E-2</v>
      </c>
      <c r="AA114" s="300">
        <f t="shared" si="105"/>
        <v>1595.67</v>
      </c>
      <c r="AB114" s="300">
        <f t="shared" si="78"/>
        <v>509.5</v>
      </c>
      <c r="AC114" s="300">
        <f t="shared" si="106"/>
        <v>1086.17</v>
      </c>
      <c r="AD114" s="300">
        <f t="shared" ref="AD114:AE114" si="159">+AD113</f>
        <v>134.16999999999999</v>
      </c>
      <c r="AE114" s="300">
        <f t="shared" si="159"/>
        <v>188.55</v>
      </c>
      <c r="AF114" s="300">
        <f t="shared" si="80"/>
        <v>1918.39</v>
      </c>
      <c r="AG114" s="300">
        <f t="shared" si="81"/>
        <v>25788.37</v>
      </c>
      <c r="AH114" s="300">
        <f t="shared" si="82"/>
        <v>63569.150000000016</v>
      </c>
      <c r="AI114" s="545">
        <f t="shared" si="64"/>
        <v>1232</v>
      </c>
      <c r="AJ114" s="545">
        <f t="shared" si="134"/>
        <v>-59142.08999999988</v>
      </c>
      <c r="AK114" s="545">
        <f t="shared" si="65"/>
        <v>-57910.08999999988</v>
      </c>
      <c r="AL114" s="300">
        <f t="shared" si="83"/>
        <v>289135.72999999992</v>
      </c>
      <c r="AM114" s="449">
        <f t="shared" si="115"/>
        <v>4</v>
      </c>
      <c r="AN114" s="14">
        <f t="shared" si="66"/>
        <v>1196.26</v>
      </c>
      <c r="AO114" s="14">
        <f t="shared" si="153"/>
        <v>232170.49999999997</v>
      </c>
      <c r="AP114" s="14">
        <f t="shared" si="67"/>
        <v>1174.26</v>
      </c>
      <c r="AS114" s="14">
        <f t="shared" si="109"/>
        <v>1196.26</v>
      </c>
      <c r="AT114" s="14">
        <f t="shared" si="116"/>
        <v>66510.000000000029</v>
      </c>
      <c r="AU114" s="300">
        <f t="shared" si="117"/>
        <v>778.33283356465165</v>
      </c>
      <c r="AV114" s="300">
        <f t="shared" si="118"/>
        <v>68962.966259425317</v>
      </c>
    </row>
    <row r="115" spans="1:50" x14ac:dyDescent="0.25">
      <c r="A115" s="535">
        <f t="shared" si="69"/>
        <v>47409</v>
      </c>
      <c r="B115" s="300">
        <f t="shared" si="110"/>
        <v>69910.629999999976</v>
      </c>
      <c r="C115" s="14">
        <f t="shared" si="101"/>
        <v>421.41</v>
      </c>
      <c r="D115" s="14">
        <f t="shared" si="119"/>
        <v>159.25</v>
      </c>
      <c r="E115" s="14">
        <f t="shared" si="102"/>
        <v>262.16000000000003</v>
      </c>
      <c r="F115" s="14">
        <f t="shared" si="51"/>
        <v>134.16999999999999</v>
      </c>
      <c r="G115" s="14">
        <f t="shared" si="52"/>
        <v>188.55</v>
      </c>
      <c r="H115" s="14">
        <f t="shared" si="54"/>
        <v>744.13000000000011</v>
      </c>
      <c r="I115" s="300">
        <f t="shared" si="70"/>
        <v>13730.04</v>
      </c>
      <c r="J115" s="300">
        <f t="shared" si="71"/>
        <v>29144.259999999991</v>
      </c>
      <c r="K115" s="300">
        <f t="shared" si="72"/>
        <v>69751.379999999976</v>
      </c>
      <c r="L115" s="449">
        <f t="shared" si="155"/>
        <v>4</v>
      </c>
      <c r="M115" s="449">
        <f t="shared" si="111"/>
        <v>56</v>
      </c>
      <c r="N115" s="300">
        <f t="shared" si="112"/>
        <v>229993.64000000004</v>
      </c>
      <c r="O115" s="300">
        <f t="shared" si="73"/>
        <v>1617.67</v>
      </c>
      <c r="P115" s="300">
        <f t="shared" si="120"/>
        <v>276.03999999999996</v>
      </c>
      <c r="Q115" s="300">
        <f t="shared" si="74"/>
        <v>1341.63</v>
      </c>
      <c r="R115" s="300">
        <f t="shared" si="84"/>
        <v>134.16999999999999</v>
      </c>
      <c r="S115" s="300">
        <f t="shared" si="75"/>
        <v>188.55</v>
      </c>
      <c r="T115" s="300">
        <f t="shared" si="59"/>
        <v>1940.39</v>
      </c>
      <c r="U115" s="300">
        <f t="shared" si="121"/>
        <v>13430.900000000009</v>
      </c>
      <c r="V115" s="300">
        <f t="shared" si="122"/>
        <v>78776.290000000023</v>
      </c>
      <c r="W115" s="300">
        <f t="shared" si="76"/>
        <v>229717.60000000003</v>
      </c>
      <c r="X115" s="535">
        <f t="shared" si="113"/>
        <v>47409</v>
      </c>
      <c r="Y115" s="300">
        <f t="shared" si="77"/>
        <v>289135.72999999992</v>
      </c>
      <c r="Z115" s="527">
        <f t="shared" si="104"/>
        <v>4.4999999999999998E-2</v>
      </c>
      <c r="AA115" s="300">
        <f t="shared" si="105"/>
        <v>1595.67</v>
      </c>
      <c r="AB115" s="300">
        <f t="shared" si="78"/>
        <v>511.41000000000008</v>
      </c>
      <c r="AC115" s="300">
        <f t="shared" si="106"/>
        <v>1084.26</v>
      </c>
      <c r="AD115" s="300">
        <f t="shared" ref="AD115:AE115" si="160">+AD114</f>
        <v>134.16999999999999</v>
      </c>
      <c r="AE115" s="300">
        <f t="shared" si="160"/>
        <v>188.55</v>
      </c>
      <c r="AF115" s="300">
        <f t="shared" si="80"/>
        <v>1918.39</v>
      </c>
      <c r="AG115" s="300">
        <f t="shared" si="81"/>
        <v>26299.78</v>
      </c>
      <c r="AH115" s="300">
        <f t="shared" si="82"/>
        <v>64653.410000000018</v>
      </c>
      <c r="AI115" s="545">
        <f t="shared" si="64"/>
        <v>1254</v>
      </c>
      <c r="AJ115" s="545">
        <f t="shared" si="134"/>
        <v>-58906.719999999914</v>
      </c>
      <c r="AK115" s="545">
        <f t="shared" si="65"/>
        <v>-57652.719999999914</v>
      </c>
      <c r="AL115" s="300">
        <f t="shared" si="83"/>
        <v>288624.31999999995</v>
      </c>
      <c r="AM115" s="449">
        <f t="shared" si="115"/>
        <v>4</v>
      </c>
      <c r="AN115" s="14">
        <f t="shared" si="66"/>
        <v>1196.26</v>
      </c>
      <c r="AO115" s="14">
        <f t="shared" si="153"/>
        <v>232053.70999999996</v>
      </c>
      <c r="AP115" s="14">
        <f t="shared" si="67"/>
        <v>1174.26</v>
      </c>
      <c r="AS115" s="14">
        <f t="shared" si="109"/>
        <v>1196.26</v>
      </c>
      <c r="AT115" s="14">
        <f t="shared" si="116"/>
        <v>67706.260000000024</v>
      </c>
      <c r="AU115" s="300">
        <f t="shared" si="117"/>
        <v>780.27866564856333</v>
      </c>
      <c r="AV115" s="300">
        <f t="shared" si="118"/>
        <v>69743.244925073886</v>
      </c>
    </row>
    <row r="116" spans="1:50" x14ac:dyDescent="0.25">
      <c r="A116" s="535">
        <f t="shared" si="69"/>
        <v>47439</v>
      </c>
      <c r="B116" s="300">
        <f t="shared" si="110"/>
        <v>69751.379999999976</v>
      </c>
      <c r="C116" s="14">
        <f t="shared" si="101"/>
        <v>421.41</v>
      </c>
      <c r="D116" s="14">
        <f t="shared" si="119"/>
        <v>159.84000000000003</v>
      </c>
      <c r="E116" s="14">
        <f t="shared" si="102"/>
        <v>261.57</v>
      </c>
      <c r="F116" s="14">
        <f t="shared" si="51"/>
        <v>134.16999999999999</v>
      </c>
      <c r="G116" s="14">
        <f t="shared" si="52"/>
        <v>188.55</v>
      </c>
      <c r="H116" s="14">
        <f t="shared" si="54"/>
        <v>744.13000000000011</v>
      </c>
      <c r="I116" s="300">
        <f t="shared" si="70"/>
        <v>13889.880000000001</v>
      </c>
      <c r="J116" s="300">
        <f t="shared" si="71"/>
        <v>29405.829999999991</v>
      </c>
      <c r="K116" s="300">
        <f t="shared" si="72"/>
        <v>69591.539999999979</v>
      </c>
      <c r="L116" s="449">
        <f t="shared" si="155"/>
        <v>4</v>
      </c>
      <c r="M116" s="449">
        <f t="shared" si="111"/>
        <v>57</v>
      </c>
      <c r="N116" s="300">
        <f t="shared" si="112"/>
        <v>229717.60000000003</v>
      </c>
      <c r="O116" s="300">
        <f t="shared" si="73"/>
        <v>1617.67</v>
      </c>
      <c r="P116" s="300">
        <f t="shared" si="120"/>
        <v>277.65000000000009</v>
      </c>
      <c r="Q116" s="300">
        <f t="shared" si="74"/>
        <v>1340.02</v>
      </c>
      <c r="R116" s="300">
        <f t="shared" si="84"/>
        <v>134.16999999999999</v>
      </c>
      <c r="S116" s="300">
        <f t="shared" si="75"/>
        <v>188.55</v>
      </c>
      <c r="T116" s="300">
        <f t="shared" si="59"/>
        <v>1940.39</v>
      </c>
      <c r="U116" s="300">
        <f t="shared" si="121"/>
        <v>13708.550000000008</v>
      </c>
      <c r="V116" s="300">
        <f t="shared" si="122"/>
        <v>80116.310000000027</v>
      </c>
      <c r="W116" s="300">
        <f t="shared" si="76"/>
        <v>229439.95000000004</v>
      </c>
      <c r="X116" s="535">
        <f t="shared" si="113"/>
        <v>47439</v>
      </c>
      <c r="Y116" s="300">
        <f t="shared" si="77"/>
        <v>288624.31999999995</v>
      </c>
      <c r="Z116" s="527">
        <f t="shared" si="104"/>
        <v>4.4999999999999998E-2</v>
      </c>
      <c r="AA116" s="300">
        <f t="shared" si="105"/>
        <v>1595.67</v>
      </c>
      <c r="AB116" s="300">
        <f t="shared" si="78"/>
        <v>513.33000000000015</v>
      </c>
      <c r="AC116" s="300">
        <f t="shared" si="106"/>
        <v>1082.3399999999999</v>
      </c>
      <c r="AD116" s="300">
        <f t="shared" ref="AD116:AE116" si="161">+AD115</f>
        <v>134.16999999999999</v>
      </c>
      <c r="AE116" s="300">
        <f t="shared" si="161"/>
        <v>188.55</v>
      </c>
      <c r="AF116" s="300">
        <f t="shared" si="80"/>
        <v>1918.39</v>
      </c>
      <c r="AG116" s="300">
        <f t="shared" si="81"/>
        <v>26813.11</v>
      </c>
      <c r="AH116" s="300">
        <f t="shared" si="82"/>
        <v>65735.750000000015</v>
      </c>
      <c r="AI116" s="545">
        <f t="shared" si="64"/>
        <v>1276</v>
      </c>
      <c r="AJ116" s="545">
        <f t="shared" si="134"/>
        <v>-58671.039999999892</v>
      </c>
      <c r="AK116" s="545">
        <f t="shared" si="65"/>
        <v>-57395.039999999892</v>
      </c>
      <c r="AL116" s="300">
        <f t="shared" si="83"/>
        <v>288110.98999999993</v>
      </c>
      <c r="AM116" s="449">
        <f t="shared" si="115"/>
        <v>4</v>
      </c>
      <c r="AN116" s="14">
        <f t="shared" si="66"/>
        <v>1196.26</v>
      </c>
      <c r="AO116" s="14">
        <f t="shared" si="153"/>
        <v>231935.89999999997</v>
      </c>
      <c r="AP116" s="14">
        <f t="shared" si="67"/>
        <v>1174.26</v>
      </c>
      <c r="AS116" s="14">
        <f t="shared" si="109"/>
        <v>1196.26</v>
      </c>
      <c r="AT116" s="14">
        <f t="shared" si="116"/>
        <v>68902.520000000019</v>
      </c>
      <c r="AU116" s="300">
        <f t="shared" si="117"/>
        <v>782.22936231268466</v>
      </c>
      <c r="AV116" s="300">
        <f t="shared" si="118"/>
        <v>70525.474287386576</v>
      </c>
    </row>
    <row r="117" spans="1:50" x14ac:dyDescent="0.25">
      <c r="A117" s="535">
        <f t="shared" si="69"/>
        <v>47469</v>
      </c>
      <c r="B117" s="300">
        <f t="shared" si="110"/>
        <v>69591.539999999979</v>
      </c>
      <c r="C117" s="14">
        <f t="shared" si="101"/>
        <v>421.41</v>
      </c>
      <c r="D117" s="14">
        <f t="shared" si="119"/>
        <v>160.44</v>
      </c>
      <c r="E117" s="14">
        <f t="shared" si="102"/>
        <v>260.97000000000003</v>
      </c>
      <c r="F117" s="14">
        <f t="shared" si="51"/>
        <v>134.16999999999999</v>
      </c>
      <c r="G117" s="14">
        <f t="shared" si="52"/>
        <v>188.55</v>
      </c>
      <c r="H117" s="14">
        <f t="shared" si="54"/>
        <v>744.13000000000011</v>
      </c>
      <c r="I117" s="300">
        <f t="shared" si="70"/>
        <v>14050.320000000002</v>
      </c>
      <c r="J117" s="300">
        <f t="shared" si="71"/>
        <v>29666.799999999992</v>
      </c>
      <c r="K117" s="300">
        <f t="shared" si="72"/>
        <v>69431.099999999977</v>
      </c>
      <c r="L117" s="449">
        <f t="shared" si="155"/>
        <v>4</v>
      </c>
      <c r="M117" s="449">
        <f t="shared" si="111"/>
        <v>58</v>
      </c>
      <c r="N117" s="300">
        <f t="shared" si="112"/>
        <v>229439.95000000004</v>
      </c>
      <c r="O117" s="300">
        <f t="shared" si="73"/>
        <v>1617.67</v>
      </c>
      <c r="P117" s="300">
        <f t="shared" si="120"/>
        <v>279.27</v>
      </c>
      <c r="Q117" s="300">
        <f t="shared" si="74"/>
        <v>1338.4</v>
      </c>
      <c r="R117" s="300">
        <f t="shared" si="84"/>
        <v>134.16999999999999</v>
      </c>
      <c r="S117" s="300">
        <f t="shared" si="75"/>
        <v>188.55</v>
      </c>
      <c r="T117" s="300">
        <f t="shared" si="59"/>
        <v>1940.39</v>
      </c>
      <c r="U117" s="300">
        <f t="shared" si="121"/>
        <v>13987.820000000009</v>
      </c>
      <c r="V117" s="300">
        <f t="shared" si="122"/>
        <v>81454.710000000021</v>
      </c>
      <c r="W117" s="300">
        <f t="shared" si="76"/>
        <v>229160.68000000005</v>
      </c>
      <c r="X117" s="535">
        <f t="shared" si="113"/>
        <v>47469</v>
      </c>
      <c r="Y117" s="300">
        <f t="shared" si="77"/>
        <v>288110.98999999993</v>
      </c>
      <c r="Z117" s="527">
        <f t="shared" si="104"/>
        <v>4.4999999999999998E-2</v>
      </c>
      <c r="AA117" s="300">
        <f t="shared" si="105"/>
        <v>1595.67</v>
      </c>
      <c r="AB117" s="300">
        <f t="shared" si="78"/>
        <v>515.25</v>
      </c>
      <c r="AC117" s="300">
        <f t="shared" si="106"/>
        <v>1080.42</v>
      </c>
      <c r="AD117" s="300">
        <f t="shared" ref="AD117:AE117" si="162">+AD116</f>
        <v>134.16999999999999</v>
      </c>
      <c r="AE117" s="300">
        <f t="shared" si="162"/>
        <v>188.55</v>
      </c>
      <c r="AF117" s="300">
        <f t="shared" si="80"/>
        <v>1918.39</v>
      </c>
      <c r="AG117" s="300">
        <f t="shared" si="81"/>
        <v>27328.36</v>
      </c>
      <c r="AH117" s="300">
        <f t="shared" si="82"/>
        <v>66816.170000000013</v>
      </c>
      <c r="AI117" s="545">
        <f t="shared" si="64"/>
        <v>1298</v>
      </c>
      <c r="AJ117" s="545">
        <f t="shared" si="134"/>
        <v>-58435.059999999881</v>
      </c>
      <c r="AK117" s="545">
        <f t="shared" si="65"/>
        <v>-57137.059999999881</v>
      </c>
      <c r="AL117" s="300">
        <f t="shared" si="83"/>
        <v>287595.73999999993</v>
      </c>
      <c r="AM117" s="449">
        <f t="shared" si="115"/>
        <v>4</v>
      </c>
      <c r="AN117" s="14">
        <f t="shared" si="66"/>
        <v>1196.26</v>
      </c>
      <c r="AO117" s="14">
        <f t="shared" si="153"/>
        <v>231817.06999999998</v>
      </c>
      <c r="AP117" s="14">
        <f t="shared" si="67"/>
        <v>1174.26</v>
      </c>
      <c r="AS117" s="14">
        <f t="shared" si="109"/>
        <v>1196.26</v>
      </c>
      <c r="AT117" s="14">
        <f t="shared" si="116"/>
        <v>70098.780000000013</v>
      </c>
      <c r="AU117" s="300">
        <f t="shared" si="117"/>
        <v>784.18493571846648</v>
      </c>
      <c r="AV117" s="300">
        <f t="shared" si="118"/>
        <v>71309.659223105045</v>
      </c>
      <c r="AX117" s="510"/>
    </row>
    <row r="118" spans="1:50" x14ac:dyDescent="0.25">
      <c r="A118" s="535">
        <f t="shared" si="69"/>
        <v>47499</v>
      </c>
      <c r="B118" s="300">
        <f t="shared" si="110"/>
        <v>69431.099999999977</v>
      </c>
      <c r="C118" s="14">
        <f t="shared" si="101"/>
        <v>421.41</v>
      </c>
      <c r="D118" s="14">
        <f t="shared" si="119"/>
        <v>161.04000000000002</v>
      </c>
      <c r="E118" s="14">
        <f t="shared" si="102"/>
        <v>260.37</v>
      </c>
      <c r="F118" s="14">
        <f t="shared" si="51"/>
        <v>134.16999999999999</v>
      </c>
      <c r="G118" s="14">
        <f t="shared" si="52"/>
        <v>188.55</v>
      </c>
      <c r="H118" s="14">
        <f t="shared" si="54"/>
        <v>744.13000000000011</v>
      </c>
      <c r="I118" s="300">
        <f t="shared" si="70"/>
        <v>14211.360000000002</v>
      </c>
      <c r="J118" s="300">
        <f t="shared" si="71"/>
        <v>29927.169999999991</v>
      </c>
      <c r="K118" s="300">
        <f t="shared" si="72"/>
        <v>69270.059999999983</v>
      </c>
      <c r="L118" s="449">
        <f t="shared" si="155"/>
        <v>4</v>
      </c>
      <c r="M118" s="449">
        <f t="shared" si="111"/>
        <v>59</v>
      </c>
      <c r="N118" s="300">
        <f t="shared" si="112"/>
        <v>229160.68000000005</v>
      </c>
      <c r="O118" s="300">
        <f t="shared" si="73"/>
        <v>1617.67</v>
      </c>
      <c r="P118" s="300">
        <f t="shared" si="120"/>
        <v>280.90000000000009</v>
      </c>
      <c r="Q118" s="300">
        <f t="shared" si="74"/>
        <v>1336.77</v>
      </c>
      <c r="R118" s="300">
        <f t="shared" si="84"/>
        <v>134.16999999999999</v>
      </c>
      <c r="S118" s="300">
        <f t="shared" si="75"/>
        <v>188.55</v>
      </c>
      <c r="T118" s="300">
        <f t="shared" si="59"/>
        <v>1940.39</v>
      </c>
      <c r="U118" s="300">
        <f t="shared" si="121"/>
        <v>14268.720000000008</v>
      </c>
      <c r="V118" s="300">
        <f t="shared" si="122"/>
        <v>82791.480000000025</v>
      </c>
      <c r="W118" s="300">
        <f t="shared" si="76"/>
        <v>228879.78000000006</v>
      </c>
      <c r="X118" s="535">
        <f t="shared" si="113"/>
        <v>47499</v>
      </c>
      <c r="Y118" s="300">
        <f t="shared" si="77"/>
        <v>287595.73999999993</v>
      </c>
      <c r="Z118" s="527">
        <f t="shared" si="104"/>
        <v>4.4999999999999998E-2</v>
      </c>
      <c r="AA118" s="300">
        <f t="shared" si="105"/>
        <v>1595.67</v>
      </c>
      <c r="AB118" s="300">
        <f t="shared" si="78"/>
        <v>517.19000000000005</v>
      </c>
      <c r="AC118" s="300">
        <f t="shared" si="106"/>
        <v>1078.48</v>
      </c>
      <c r="AD118" s="300">
        <f t="shared" ref="AD118:AE118" si="163">+AD117</f>
        <v>134.16999999999999</v>
      </c>
      <c r="AE118" s="300">
        <f t="shared" si="163"/>
        <v>188.55</v>
      </c>
      <c r="AF118" s="300">
        <f t="shared" si="80"/>
        <v>1918.39</v>
      </c>
      <c r="AG118" s="300">
        <f t="shared" si="81"/>
        <v>27845.55</v>
      </c>
      <c r="AH118" s="300">
        <f t="shared" si="82"/>
        <v>67894.650000000009</v>
      </c>
      <c r="AI118" s="545">
        <f t="shared" si="64"/>
        <v>1320</v>
      </c>
      <c r="AJ118" s="545">
        <f t="shared" si="134"/>
        <v>-58198.769999999873</v>
      </c>
      <c r="AK118" s="545">
        <f t="shared" si="65"/>
        <v>-56878.769999999873</v>
      </c>
      <c r="AL118" s="300">
        <f t="shared" si="83"/>
        <v>287078.54999999993</v>
      </c>
      <c r="AM118" s="449">
        <f t="shared" si="115"/>
        <v>4</v>
      </c>
      <c r="AN118" s="14">
        <f t="shared" si="66"/>
        <v>1196.26</v>
      </c>
      <c r="AO118" s="14">
        <f t="shared" si="153"/>
        <v>231697.21</v>
      </c>
      <c r="AP118" s="14">
        <f t="shared" si="67"/>
        <v>1174.26</v>
      </c>
      <c r="AS118" s="14">
        <f t="shared" si="109"/>
        <v>1196.26</v>
      </c>
      <c r="AT118" s="14">
        <f t="shared" si="116"/>
        <v>71295.040000000008</v>
      </c>
      <c r="AU118" s="300">
        <f t="shared" si="117"/>
        <v>786.14539805776258</v>
      </c>
      <c r="AV118" s="300">
        <f t="shared" si="118"/>
        <v>72095.80462116281</v>
      </c>
      <c r="AX118" s="510"/>
    </row>
    <row r="119" spans="1:50" x14ac:dyDescent="0.25">
      <c r="A119" s="535">
        <f t="shared" si="69"/>
        <v>47529</v>
      </c>
      <c r="B119" s="300">
        <f t="shared" si="110"/>
        <v>69270.059999999983</v>
      </c>
      <c r="C119" s="14">
        <f t="shared" si="101"/>
        <v>421.41</v>
      </c>
      <c r="D119" s="14">
        <f t="shared" si="119"/>
        <v>161.65000000000003</v>
      </c>
      <c r="E119" s="14">
        <f t="shared" si="102"/>
        <v>259.76</v>
      </c>
      <c r="F119" s="14">
        <f t="shared" si="51"/>
        <v>134.16999999999999</v>
      </c>
      <c r="G119" s="14">
        <f t="shared" si="52"/>
        <v>188.55</v>
      </c>
      <c r="H119" s="14">
        <f t="shared" si="54"/>
        <v>744.13000000000011</v>
      </c>
      <c r="I119" s="300">
        <f t="shared" si="70"/>
        <v>14373.010000000002</v>
      </c>
      <c r="J119" s="300">
        <f t="shared" si="71"/>
        <v>30186.929999999989</v>
      </c>
      <c r="K119" s="300">
        <f t="shared" si="72"/>
        <v>69108.409999999989</v>
      </c>
      <c r="L119" s="449">
        <f t="shared" si="155"/>
        <v>5</v>
      </c>
      <c r="M119" s="449">
        <f t="shared" si="111"/>
        <v>60</v>
      </c>
      <c r="N119" s="300">
        <f t="shared" si="112"/>
        <v>228879.78000000006</v>
      </c>
      <c r="O119" s="300">
        <f t="shared" si="73"/>
        <v>1617.67</v>
      </c>
      <c r="P119" s="300">
        <f t="shared" si="120"/>
        <v>282.53999999999996</v>
      </c>
      <c r="Q119" s="300">
        <f t="shared" si="74"/>
        <v>1335.13</v>
      </c>
      <c r="R119" s="300">
        <f t="shared" si="84"/>
        <v>134.16999999999999</v>
      </c>
      <c r="S119" s="300">
        <f t="shared" si="75"/>
        <v>188.55</v>
      </c>
      <c r="T119" s="300">
        <f t="shared" si="59"/>
        <v>1940.39</v>
      </c>
      <c r="U119" s="300">
        <f t="shared" si="121"/>
        <v>14551.260000000009</v>
      </c>
      <c r="V119" s="300">
        <f t="shared" si="122"/>
        <v>84126.61000000003</v>
      </c>
      <c r="W119" s="300">
        <f t="shared" si="76"/>
        <v>228597.24000000005</v>
      </c>
      <c r="X119" s="535">
        <f t="shared" si="113"/>
        <v>47529</v>
      </c>
      <c r="Y119" s="300">
        <f t="shared" si="77"/>
        <v>287078.54999999993</v>
      </c>
      <c r="Z119" s="527">
        <f t="shared" si="104"/>
        <v>7.0000000000000007E-2</v>
      </c>
      <c r="AA119" s="300">
        <f t="shared" si="105"/>
        <v>1746.44</v>
      </c>
      <c r="AB119" s="300">
        <f t="shared" si="78"/>
        <v>71.820000000000164</v>
      </c>
      <c r="AC119" s="300">
        <f t="shared" si="106"/>
        <v>1674.62</v>
      </c>
      <c r="AD119" s="300">
        <f t="shared" ref="AD119:AE119" si="164">+AD118</f>
        <v>134.16999999999999</v>
      </c>
      <c r="AE119" s="300">
        <f t="shared" si="164"/>
        <v>188.55</v>
      </c>
      <c r="AF119" s="300">
        <f t="shared" si="80"/>
        <v>2069.1600000000003</v>
      </c>
      <c r="AG119" s="300">
        <f t="shared" si="81"/>
        <v>27917.37</v>
      </c>
      <c r="AH119" s="300">
        <f t="shared" si="82"/>
        <v>69569.27</v>
      </c>
      <c r="AI119" s="545">
        <f t="shared" si="64"/>
        <v>1191.23</v>
      </c>
      <c r="AJ119" s="545">
        <f t="shared" si="134"/>
        <v>-58409.489999999874</v>
      </c>
      <c r="AK119" s="545">
        <f t="shared" si="65"/>
        <v>-57218.259999999871</v>
      </c>
      <c r="AL119" s="300">
        <f t="shared" si="83"/>
        <v>287006.72999999992</v>
      </c>
      <c r="AM119" s="449">
        <f t="shared" si="115"/>
        <v>5</v>
      </c>
      <c r="AN119" s="14">
        <f t="shared" si="66"/>
        <v>1196.26</v>
      </c>
      <c r="AO119" s="14">
        <f t="shared" si="153"/>
        <v>231576.31999999998</v>
      </c>
      <c r="AP119" s="14">
        <f t="shared" si="67"/>
        <v>1325.03</v>
      </c>
      <c r="AS119" s="14">
        <f t="shared" si="109"/>
        <v>1196.26</v>
      </c>
      <c r="AT119" s="14">
        <f t="shared" si="116"/>
        <v>72491.3</v>
      </c>
      <c r="AU119" s="300">
        <f t="shared" si="117"/>
        <v>788.11076155290709</v>
      </c>
      <c r="AV119" s="300">
        <f t="shared" si="118"/>
        <v>72883.915382715713</v>
      </c>
      <c r="AX119" s="510"/>
    </row>
    <row r="120" spans="1:50" x14ac:dyDescent="0.25">
      <c r="A120" s="535">
        <f t="shared" si="69"/>
        <v>47559</v>
      </c>
      <c r="B120" s="300">
        <f t="shared" si="110"/>
        <v>69108.409999999989</v>
      </c>
      <c r="C120" s="14">
        <f t="shared" si="101"/>
        <v>421.41</v>
      </c>
      <c r="D120" s="14">
        <f t="shared" si="119"/>
        <v>162.25</v>
      </c>
      <c r="E120" s="14">
        <f t="shared" si="102"/>
        <v>259.16000000000003</v>
      </c>
      <c r="F120" s="14">
        <f t="shared" si="51"/>
        <v>134.16999999999999</v>
      </c>
      <c r="G120" s="14">
        <f t="shared" si="52"/>
        <v>188.55</v>
      </c>
      <c r="H120" s="14">
        <f t="shared" si="54"/>
        <v>744.13000000000011</v>
      </c>
      <c r="I120" s="300">
        <f t="shared" si="70"/>
        <v>14535.260000000002</v>
      </c>
      <c r="J120" s="300">
        <f t="shared" si="71"/>
        <v>30446.089999999989</v>
      </c>
      <c r="K120" s="300">
        <f t="shared" si="72"/>
        <v>68946.159999999989</v>
      </c>
      <c r="L120" s="449">
        <f t="shared" si="155"/>
        <v>5</v>
      </c>
      <c r="M120" s="449">
        <f t="shared" si="111"/>
        <v>61</v>
      </c>
      <c r="N120" s="300">
        <f t="shared" si="112"/>
        <v>228597.24000000005</v>
      </c>
      <c r="O120" s="300">
        <f t="shared" si="73"/>
        <v>1617.67</v>
      </c>
      <c r="P120" s="300">
        <f t="shared" si="120"/>
        <v>284.19000000000005</v>
      </c>
      <c r="Q120" s="300">
        <f t="shared" si="74"/>
        <v>1333.48</v>
      </c>
      <c r="R120" s="300">
        <f t="shared" si="84"/>
        <v>134.16999999999999</v>
      </c>
      <c r="S120" s="300">
        <f t="shared" si="75"/>
        <v>188.55</v>
      </c>
      <c r="T120" s="300">
        <f t="shared" si="59"/>
        <v>1940.39</v>
      </c>
      <c r="U120" s="300">
        <f t="shared" si="121"/>
        <v>14835.45000000001</v>
      </c>
      <c r="V120" s="300">
        <f t="shared" si="122"/>
        <v>85460.090000000026</v>
      </c>
      <c r="W120" s="300">
        <f t="shared" si="76"/>
        <v>228313.05000000005</v>
      </c>
      <c r="X120" s="535">
        <f t="shared" si="113"/>
        <v>47559</v>
      </c>
      <c r="Y120" s="300">
        <f t="shared" si="77"/>
        <v>287006.72999999992</v>
      </c>
      <c r="Z120" s="527">
        <f t="shared" si="104"/>
        <v>7.0000000000000007E-2</v>
      </c>
      <c r="AA120" s="300">
        <f t="shared" si="105"/>
        <v>1746.44</v>
      </c>
      <c r="AB120" s="300">
        <f t="shared" si="78"/>
        <v>72.230000000000018</v>
      </c>
      <c r="AC120" s="300">
        <f t="shared" si="106"/>
        <v>1674.21</v>
      </c>
      <c r="AD120" s="300">
        <f t="shared" ref="AD120:AE120" si="165">+AD119</f>
        <v>134.16999999999999</v>
      </c>
      <c r="AE120" s="300">
        <f t="shared" si="165"/>
        <v>188.55</v>
      </c>
      <c r="AF120" s="300">
        <f t="shared" si="80"/>
        <v>2069.1600000000003</v>
      </c>
      <c r="AG120" s="300">
        <f t="shared" si="81"/>
        <v>27989.599999999999</v>
      </c>
      <c r="AH120" s="300">
        <f t="shared" si="82"/>
        <v>71243.48000000001</v>
      </c>
      <c r="AI120" s="545">
        <f t="shared" si="64"/>
        <v>1062.46</v>
      </c>
      <c r="AJ120" s="545">
        <f t="shared" si="134"/>
        <v>-58621.449999999895</v>
      </c>
      <c r="AK120" s="545">
        <f t="shared" si="65"/>
        <v>-57558.989999999896</v>
      </c>
      <c r="AL120" s="300">
        <f t="shared" si="83"/>
        <v>286934.49999999994</v>
      </c>
      <c r="AM120" s="449">
        <f t="shared" si="115"/>
        <v>5</v>
      </c>
      <c r="AN120" s="14">
        <f t="shared" si="66"/>
        <v>1196.26</v>
      </c>
      <c r="AO120" s="14">
        <f t="shared" si="153"/>
        <v>231454.37999999998</v>
      </c>
      <c r="AP120" s="14">
        <f t="shared" si="67"/>
        <v>1325.03</v>
      </c>
      <c r="AS120" s="14">
        <f t="shared" si="109"/>
        <v>1196.26</v>
      </c>
      <c r="AT120" s="14">
        <f t="shared" si="116"/>
        <v>73687.56</v>
      </c>
      <c r="AU120" s="300">
        <f t="shared" si="117"/>
        <v>790.08103845678932</v>
      </c>
      <c r="AV120" s="300">
        <f t="shared" si="118"/>
        <v>73673.996421172502</v>
      </c>
    </row>
    <row r="121" spans="1:50" x14ac:dyDescent="0.25">
      <c r="A121" s="535">
        <f t="shared" si="69"/>
        <v>47589</v>
      </c>
      <c r="B121" s="300">
        <f t="shared" si="110"/>
        <v>68946.159999999989</v>
      </c>
      <c r="C121" s="14">
        <f t="shared" si="101"/>
        <v>421.41</v>
      </c>
      <c r="D121" s="14">
        <f t="shared" si="119"/>
        <v>162.86000000000001</v>
      </c>
      <c r="E121" s="14">
        <f t="shared" si="102"/>
        <v>258.55</v>
      </c>
      <c r="F121" s="14">
        <f t="shared" si="51"/>
        <v>134.16999999999999</v>
      </c>
      <c r="G121" s="14">
        <f t="shared" si="52"/>
        <v>188.55</v>
      </c>
      <c r="H121" s="14">
        <f t="shared" si="54"/>
        <v>744.13000000000011</v>
      </c>
      <c r="I121" s="300">
        <f t="shared" si="70"/>
        <v>14698.120000000003</v>
      </c>
      <c r="J121" s="300">
        <f t="shared" si="71"/>
        <v>30704.639999999989</v>
      </c>
      <c r="K121" s="300">
        <f t="shared" si="72"/>
        <v>68783.299999999988</v>
      </c>
      <c r="L121" s="449">
        <f t="shared" si="155"/>
        <v>5</v>
      </c>
      <c r="M121" s="449">
        <f t="shared" si="111"/>
        <v>62</v>
      </c>
      <c r="N121" s="300">
        <f t="shared" si="112"/>
        <v>228313.05000000005</v>
      </c>
      <c r="O121" s="300">
        <f t="shared" si="73"/>
        <v>1617.67</v>
      </c>
      <c r="P121" s="300">
        <f>+O121-Q121</f>
        <v>285.84000000000015</v>
      </c>
      <c r="Q121" s="300">
        <f t="shared" si="74"/>
        <v>1331.83</v>
      </c>
      <c r="R121" s="300">
        <f t="shared" si="84"/>
        <v>134.16999999999999</v>
      </c>
      <c r="S121" s="300">
        <f t="shared" si="75"/>
        <v>188.55</v>
      </c>
      <c r="T121" s="300">
        <f t="shared" si="59"/>
        <v>1940.39</v>
      </c>
      <c r="U121" s="300">
        <f t="shared" si="121"/>
        <v>15121.29000000001</v>
      </c>
      <c r="V121" s="300">
        <f t="shared" si="122"/>
        <v>86791.920000000027</v>
      </c>
      <c r="W121" s="300">
        <f t="shared" si="76"/>
        <v>228027.21000000005</v>
      </c>
      <c r="X121" s="535">
        <f t="shared" si="113"/>
        <v>47589</v>
      </c>
      <c r="Y121" s="300">
        <f t="shared" si="77"/>
        <v>286934.49999999994</v>
      </c>
      <c r="Z121" s="527">
        <f t="shared" si="104"/>
        <v>7.0000000000000007E-2</v>
      </c>
      <c r="AA121" s="300">
        <f t="shared" si="105"/>
        <v>1746.44</v>
      </c>
      <c r="AB121" s="300">
        <f t="shared" si="78"/>
        <v>72.660000000000082</v>
      </c>
      <c r="AC121" s="300">
        <f t="shared" si="106"/>
        <v>1673.78</v>
      </c>
      <c r="AD121" s="300">
        <f t="shared" ref="AD121:AE121" si="166">+AD120</f>
        <v>134.16999999999999</v>
      </c>
      <c r="AE121" s="300">
        <f t="shared" si="166"/>
        <v>188.55</v>
      </c>
      <c r="AF121" s="300">
        <f t="shared" si="80"/>
        <v>2069.1600000000003</v>
      </c>
      <c r="AG121" s="300">
        <f t="shared" si="81"/>
        <v>28062.26</v>
      </c>
      <c r="AH121" s="300">
        <f t="shared" si="82"/>
        <v>72917.260000000009</v>
      </c>
      <c r="AI121" s="545">
        <f t="shared" si="64"/>
        <v>933.69</v>
      </c>
      <c r="AJ121" s="545">
        <f t="shared" si="134"/>
        <v>-58834.629999999917</v>
      </c>
      <c r="AK121" s="545">
        <f t="shared" si="65"/>
        <v>-57900.939999999915</v>
      </c>
      <c r="AL121" s="300">
        <f t="shared" si="83"/>
        <v>286861.83999999997</v>
      </c>
      <c r="AM121" s="449">
        <f t="shared" si="115"/>
        <v>5</v>
      </c>
      <c r="AN121" s="14">
        <f t="shared" si="66"/>
        <v>1196.26</v>
      </c>
      <c r="AO121" s="14">
        <f t="shared" si="153"/>
        <v>231331.39999999997</v>
      </c>
      <c r="AP121" s="14">
        <f t="shared" si="67"/>
        <v>1325.03</v>
      </c>
      <c r="AS121" s="14">
        <f t="shared" si="109"/>
        <v>1196.26</v>
      </c>
      <c r="AT121" s="14">
        <f t="shared" si="116"/>
        <v>74883.819999999992</v>
      </c>
      <c r="AU121" s="300">
        <f t="shared" si="117"/>
        <v>792.05624105293134</v>
      </c>
      <c r="AV121" s="300">
        <f t="shared" si="118"/>
        <v>74466.05266222544</v>
      </c>
    </row>
    <row r="122" spans="1:50" ht="15.75" thickBot="1" x14ac:dyDescent="0.3">
      <c r="A122" s="538">
        <f t="shared" si="69"/>
        <v>47619</v>
      </c>
      <c r="B122" s="369">
        <f t="shared" si="110"/>
        <v>68783.299999999988</v>
      </c>
      <c r="C122" s="21">
        <f t="shared" si="101"/>
        <v>421.41</v>
      </c>
      <c r="D122" s="21">
        <f t="shared" si="119"/>
        <v>163.47000000000003</v>
      </c>
      <c r="E122" s="21">
        <f t="shared" si="102"/>
        <v>257.94</v>
      </c>
      <c r="F122" s="21">
        <f t="shared" si="51"/>
        <v>134.16999999999999</v>
      </c>
      <c r="G122" s="21">
        <f t="shared" ref="G122:G185" si="167">+G121</f>
        <v>188.55</v>
      </c>
      <c r="H122" s="21">
        <f t="shared" ref="H122:H185" si="168">SUM(D122:G122)</f>
        <v>744.13000000000011</v>
      </c>
      <c r="I122" s="369">
        <f t="shared" si="70"/>
        <v>14861.590000000002</v>
      </c>
      <c r="J122" s="369">
        <f t="shared" si="71"/>
        <v>30962.579999999987</v>
      </c>
      <c r="K122" s="369">
        <f t="shared" si="72"/>
        <v>68619.829999999987</v>
      </c>
      <c r="L122" s="450">
        <f t="shared" si="155"/>
        <v>5</v>
      </c>
      <c r="M122" s="450">
        <f t="shared" si="111"/>
        <v>63</v>
      </c>
      <c r="N122" s="369">
        <f t="shared" si="112"/>
        <v>228027.21000000005</v>
      </c>
      <c r="O122" s="369">
        <f t="shared" si="73"/>
        <v>1617.67</v>
      </c>
      <c r="P122" s="369">
        <f t="shared" si="120"/>
        <v>287.51</v>
      </c>
      <c r="Q122" s="369">
        <f t="shared" si="74"/>
        <v>1330.16</v>
      </c>
      <c r="R122" s="369">
        <f t="shared" si="84"/>
        <v>134.16999999999999</v>
      </c>
      <c r="S122" s="369">
        <f t="shared" si="75"/>
        <v>188.55</v>
      </c>
      <c r="T122" s="369">
        <f t="shared" si="59"/>
        <v>1940.39</v>
      </c>
      <c r="U122" s="369">
        <f t="shared" si="121"/>
        <v>15408.80000000001</v>
      </c>
      <c r="V122" s="369">
        <f t="shared" si="122"/>
        <v>88122.080000000031</v>
      </c>
      <c r="W122" s="369">
        <f t="shared" si="76"/>
        <v>227739.70000000004</v>
      </c>
      <c r="X122" s="538">
        <f t="shared" si="113"/>
        <v>47619</v>
      </c>
      <c r="Y122" s="369">
        <f t="shared" si="77"/>
        <v>286861.83999999997</v>
      </c>
      <c r="Z122" s="528">
        <f t="shared" si="104"/>
        <v>7.0000000000000007E-2</v>
      </c>
      <c r="AA122" s="369">
        <f t="shared" si="105"/>
        <v>1746.44</v>
      </c>
      <c r="AB122" s="369">
        <f t="shared" si="78"/>
        <v>73.080000000000155</v>
      </c>
      <c r="AC122" s="369">
        <f t="shared" si="106"/>
        <v>1673.36</v>
      </c>
      <c r="AD122" s="369">
        <f t="shared" ref="AD122:AE122" si="169">+AD121</f>
        <v>134.16999999999999</v>
      </c>
      <c r="AE122" s="369">
        <f t="shared" si="169"/>
        <v>188.55</v>
      </c>
      <c r="AF122" s="369">
        <f t="shared" si="80"/>
        <v>2069.1600000000003</v>
      </c>
      <c r="AG122" s="369">
        <f t="shared" si="81"/>
        <v>28135.34</v>
      </c>
      <c r="AH122" s="369">
        <f t="shared" si="82"/>
        <v>74590.62000000001</v>
      </c>
      <c r="AI122" s="546">
        <f t="shared" si="64"/>
        <v>804.92000000000007</v>
      </c>
      <c r="AJ122" s="546">
        <f t="shared" si="134"/>
        <v>-59049.05999999991</v>
      </c>
      <c r="AK122" s="546">
        <f t="shared" si="65"/>
        <v>-58244.139999999912</v>
      </c>
      <c r="AL122" s="369">
        <f t="shared" si="83"/>
        <v>286788.75999999995</v>
      </c>
      <c r="AM122" s="450">
        <f t="shared" si="115"/>
        <v>5</v>
      </c>
      <c r="AN122" s="21">
        <f t="shared" si="66"/>
        <v>1196.26</v>
      </c>
      <c r="AO122" s="21">
        <f t="shared" si="153"/>
        <v>231207.35999999996</v>
      </c>
      <c r="AP122" s="21">
        <f t="shared" si="67"/>
        <v>1325.03</v>
      </c>
      <c r="AQ122" s="21"/>
      <c r="AR122" s="23"/>
      <c r="AS122" s="21">
        <f t="shared" si="109"/>
        <v>1196.26</v>
      </c>
      <c r="AT122" s="21">
        <f t="shared" si="116"/>
        <v>76080.079999999987</v>
      </c>
      <c r="AU122" s="369">
        <f t="shared" si="117"/>
        <v>794.03638165556356</v>
      </c>
      <c r="AV122" s="369">
        <f t="shared" si="118"/>
        <v>75260.089043881002</v>
      </c>
    </row>
    <row r="123" spans="1:50" x14ac:dyDescent="0.25">
      <c r="A123" s="535">
        <f t="shared" si="69"/>
        <v>47649</v>
      </c>
      <c r="B123" s="300">
        <f t="shared" si="110"/>
        <v>68619.829999999987</v>
      </c>
      <c r="C123" s="14">
        <f t="shared" si="101"/>
        <v>421.41</v>
      </c>
      <c r="D123" s="14">
        <f t="shared" si="119"/>
        <v>164.09000000000003</v>
      </c>
      <c r="E123" s="14">
        <f t="shared" si="102"/>
        <v>257.32</v>
      </c>
      <c r="F123" s="14">
        <f t="shared" ref="F123:F186" si="170">+F122</f>
        <v>134.16999999999999</v>
      </c>
      <c r="G123" s="14">
        <f t="shared" si="167"/>
        <v>188.55</v>
      </c>
      <c r="H123" s="14">
        <f t="shared" si="168"/>
        <v>744.13000000000011</v>
      </c>
      <c r="I123" s="300">
        <f t="shared" si="70"/>
        <v>15025.680000000002</v>
      </c>
      <c r="J123" s="300">
        <f t="shared" si="71"/>
        <v>31219.899999999987</v>
      </c>
      <c r="K123" s="300">
        <f t="shared" si="72"/>
        <v>68455.739999999991</v>
      </c>
      <c r="L123" s="449">
        <f t="shared" si="155"/>
        <v>5</v>
      </c>
      <c r="M123" s="449">
        <f t="shared" si="111"/>
        <v>64</v>
      </c>
      <c r="N123" s="300">
        <f t="shared" si="112"/>
        <v>227739.70000000004</v>
      </c>
      <c r="O123" s="300">
        <f t="shared" si="73"/>
        <v>1617.67</v>
      </c>
      <c r="P123" s="300">
        <f t="shared" si="120"/>
        <v>289.19000000000005</v>
      </c>
      <c r="Q123" s="300">
        <f t="shared" si="74"/>
        <v>1328.48</v>
      </c>
      <c r="R123" s="300">
        <f t="shared" si="84"/>
        <v>134.16999999999999</v>
      </c>
      <c r="S123" s="300">
        <f t="shared" si="75"/>
        <v>188.55</v>
      </c>
      <c r="T123" s="300">
        <f t="shared" ref="T123:T186" si="171">SUM(P123:S123)</f>
        <v>1940.39</v>
      </c>
      <c r="U123" s="300">
        <f t="shared" si="121"/>
        <v>15697.990000000011</v>
      </c>
      <c r="V123" s="300">
        <f t="shared" si="122"/>
        <v>89450.560000000027</v>
      </c>
      <c r="W123" s="300">
        <f t="shared" si="76"/>
        <v>227450.51000000004</v>
      </c>
      <c r="X123" s="535">
        <f t="shared" si="113"/>
        <v>47649</v>
      </c>
      <c r="Y123" s="300">
        <f t="shared" si="77"/>
        <v>286788.75999999995</v>
      </c>
      <c r="Z123" s="527">
        <f t="shared" si="104"/>
        <v>7.0000000000000007E-2</v>
      </c>
      <c r="AA123" s="300">
        <f t="shared" si="105"/>
        <v>1746.44</v>
      </c>
      <c r="AB123" s="300">
        <f t="shared" si="78"/>
        <v>73.509999999999991</v>
      </c>
      <c r="AC123" s="300">
        <f t="shared" si="106"/>
        <v>1672.93</v>
      </c>
      <c r="AD123" s="300">
        <f t="shared" ref="AD123:AE123" si="172">+AD122</f>
        <v>134.16999999999999</v>
      </c>
      <c r="AE123" s="300">
        <f t="shared" si="172"/>
        <v>188.55</v>
      </c>
      <c r="AF123" s="300">
        <f t="shared" si="80"/>
        <v>2069.1600000000003</v>
      </c>
      <c r="AG123" s="300">
        <f t="shared" si="81"/>
        <v>28208.85</v>
      </c>
      <c r="AH123" s="300">
        <f t="shared" si="82"/>
        <v>76263.55</v>
      </c>
      <c r="AI123" s="545">
        <f t="shared" si="64"/>
        <v>676.15000000000009</v>
      </c>
      <c r="AJ123" s="545">
        <f t="shared" si="134"/>
        <v>-59264.739999999903</v>
      </c>
      <c r="AK123" s="545">
        <f t="shared" si="65"/>
        <v>-58588.589999999902</v>
      </c>
      <c r="AL123" s="300">
        <f t="shared" si="83"/>
        <v>286715.24999999994</v>
      </c>
      <c r="AM123" s="449">
        <f t="shared" si="115"/>
        <v>5</v>
      </c>
      <c r="AN123" s="14">
        <f t="shared" si="66"/>
        <v>1196.26</v>
      </c>
      <c r="AO123" s="14">
        <f t="shared" si="153"/>
        <v>231082.25999999995</v>
      </c>
      <c r="AP123" s="14">
        <f t="shared" si="67"/>
        <v>1325.03</v>
      </c>
      <c r="AS123" s="14">
        <f t="shared" si="109"/>
        <v>1196.26</v>
      </c>
      <c r="AT123" s="14">
        <f t="shared" si="116"/>
        <v>77276.339999999982</v>
      </c>
      <c r="AU123" s="300">
        <f t="shared" si="117"/>
        <v>796.02147260970241</v>
      </c>
      <c r="AV123" s="300">
        <f t="shared" si="118"/>
        <v>76056.110516490706</v>
      </c>
    </row>
    <row r="124" spans="1:50" x14ac:dyDescent="0.25">
      <c r="A124" s="535">
        <f t="shared" si="69"/>
        <v>47679</v>
      </c>
      <c r="B124" s="300">
        <f t="shared" si="110"/>
        <v>68455.739999999991</v>
      </c>
      <c r="C124" s="14">
        <f t="shared" si="101"/>
        <v>421.41</v>
      </c>
      <c r="D124" s="14">
        <f t="shared" si="119"/>
        <v>164.70000000000005</v>
      </c>
      <c r="E124" s="14">
        <f t="shared" si="102"/>
        <v>256.70999999999998</v>
      </c>
      <c r="F124" s="14">
        <f t="shared" si="170"/>
        <v>134.16999999999999</v>
      </c>
      <c r="G124" s="14">
        <f t="shared" si="167"/>
        <v>188.55</v>
      </c>
      <c r="H124" s="14">
        <f t="shared" si="168"/>
        <v>744.13000000000011</v>
      </c>
      <c r="I124" s="300">
        <f t="shared" si="70"/>
        <v>15190.380000000003</v>
      </c>
      <c r="J124" s="300">
        <f t="shared" si="71"/>
        <v>31476.609999999986</v>
      </c>
      <c r="K124" s="300">
        <f t="shared" si="72"/>
        <v>68291.039999999994</v>
      </c>
      <c r="L124" s="449">
        <f t="shared" si="155"/>
        <v>5</v>
      </c>
      <c r="M124" s="449">
        <f t="shared" si="111"/>
        <v>65</v>
      </c>
      <c r="N124" s="300">
        <f t="shared" si="112"/>
        <v>227450.51000000004</v>
      </c>
      <c r="O124" s="300">
        <f t="shared" si="73"/>
        <v>1617.67</v>
      </c>
      <c r="P124" s="300">
        <f t="shared" si="120"/>
        <v>290.88000000000011</v>
      </c>
      <c r="Q124" s="300">
        <f t="shared" si="74"/>
        <v>1326.79</v>
      </c>
      <c r="R124" s="300">
        <f t="shared" ref="R124:R187" si="173">+R123</f>
        <v>134.16999999999999</v>
      </c>
      <c r="S124" s="300">
        <f t="shared" ref="S124:S187" si="174">+S123</f>
        <v>188.55</v>
      </c>
      <c r="T124" s="300">
        <f t="shared" si="171"/>
        <v>1940.39</v>
      </c>
      <c r="U124" s="300">
        <f t="shared" si="121"/>
        <v>15988.87000000001</v>
      </c>
      <c r="V124" s="300">
        <f t="shared" si="122"/>
        <v>90777.35000000002</v>
      </c>
      <c r="W124" s="300">
        <f t="shared" si="76"/>
        <v>227159.63000000003</v>
      </c>
      <c r="X124" s="535">
        <f t="shared" si="113"/>
        <v>47679</v>
      </c>
      <c r="Y124" s="300">
        <f t="shared" si="77"/>
        <v>286715.24999999994</v>
      </c>
      <c r="Z124" s="527">
        <f t="shared" si="104"/>
        <v>7.0000000000000007E-2</v>
      </c>
      <c r="AA124" s="300">
        <f t="shared" si="105"/>
        <v>1746.44</v>
      </c>
      <c r="AB124" s="300">
        <f t="shared" si="78"/>
        <v>73.930000000000064</v>
      </c>
      <c r="AC124" s="300">
        <f t="shared" si="106"/>
        <v>1672.51</v>
      </c>
      <c r="AD124" s="300">
        <f t="shared" ref="AD124:AE124" si="175">+AD123</f>
        <v>134.16999999999999</v>
      </c>
      <c r="AE124" s="300">
        <f t="shared" si="175"/>
        <v>188.55</v>
      </c>
      <c r="AF124" s="300">
        <f t="shared" si="80"/>
        <v>2069.1600000000003</v>
      </c>
      <c r="AG124" s="300">
        <f t="shared" si="81"/>
        <v>28282.78</v>
      </c>
      <c r="AH124" s="300">
        <f t="shared" si="82"/>
        <v>77936.06</v>
      </c>
      <c r="AI124" s="545">
        <f t="shared" ref="AI124:AI187" si="176">O124-AA124+AI123</f>
        <v>547.38000000000011</v>
      </c>
      <c r="AJ124" s="545">
        <f t="shared" si="134"/>
        <v>-59481.689999999915</v>
      </c>
      <c r="AK124" s="545">
        <f t="shared" ref="AK124:AK187" si="177">SUM(AI124:AJ124)</f>
        <v>-58934.309999999918</v>
      </c>
      <c r="AL124" s="300">
        <f t="shared" si="83"/>
        <v>286641.31999999995</v>
      </c>
      <c r="AM124" s="449">
        <f t="shared" si="115"/>
        <v>5</v>
      </c>
      <c r="AN124" s="14">
        <f t="shared" ref="AN124:AN187" si="178">IF(O124=0,0,+O124-C124)</f>
        <v>1196.26</v>
      </c>
      <c r="AO124" s="14">
        <f t="shared" si="153"/>
        <v>230956.07999999996</v>
      </c>
      <c r="AP124" s="14">
        <f t="shared" ref="AP124:AP187" si="179">IF($O124=0,0,+AA124-$C124)</f>
        <v>1325.03</v>
      </c>
      <c r="AS124" s="14">
        <f t="shared" si="109"/>
        <v>1196.26</v>
      </c>
      <c r="AT124" s="14">
        <f t="shared" si="116"/>
        <v>78472.599999999977</v>
      </c>
      <c r="AU124" s="300">
        <f t="shared" si="117"/>
        <v>798.0115262912268</v>
      </c>
      <c r="AV124" s="300">
        <f t="shared" si="118"/>
        <v>76854.122042781935</v>
      </c>
    </row>
    <row r="125" spans="1:50" x14ac:dyDescent="0.25">
      <c r="A125" s="535">
        <f t="shared" si="69"/>
        <v>47709</v>
      </c>
      <c r="B125" s="300">
        <f t="shared" si="110"/>
        <v>68291.039999999994</v>
      </c>
      <c r="C125" s="14">
        <f t="shared" si="101"/>
        <v>421.41</v>
      </c>
      <c r="D125" s="14">
        <f t="shared" si="119"/>
        <v>165.32000000000005</v>
      </c>
      <c r="E125" s="14">
        <f t="shared" si="102"/>
        <v>256.08999999999997</v>
      </c>
      <c r="F125" s="14">
        <f t="shared" si="170"/>
        <v>134.16999999999999</v>
      </c>
      <c r="G125" s="14">
        <f t="shared" si="167"/>
        <v>188.55</v>
      </c>
      <c r="H125" s="14">
        <f t="shared" si="168"/>
        <v>744.13000000000011</v>
      </c>
      <c r="I125" s="300">
        <f t="shared" si="70"/>
        <v>15355.700000000003</v>
      </c>
      <c r="J125" s="300">
        <f t="shared" si="71"/>
        <v>31732.699999999986</v>
      </c>
      <c r="K125" s="300">
        <f t="shared" si="72"/>
        <v>68125.719999999987</v>
      </c>
      <c r="L125" s="449">
        <f t="shared" si="155"/>
        <v>5</v>
      </c>
      <c r="M125" s="449">
        <f t="shared" si="111"/>
        <v>66</v>
      </c>
      <c r="N125" s="300">
        <f t="shared" si="112"/>
        <v>227159.63000000003</v>
      </c>
      <c r="O125" s="300">
        <f t="shared" si="73"/>
        <v>1617.67</v>
      </c>
      <c r="P125" s="300">
        <f t="shared" si="120"/>
        <v>292.57000000000016</v>
      </c>
      <c r="Q125" s="300">
        <f t="shared" si="74"/>
        <v>1325.1</v>
      </c>
      <c r="R125" s="300">
        <f t="shared" si="173"/>
        <v>134.16999999999999</v>
      </c>
      <c r="S125" s="300">
        <f t="shared" si="174"/>
        <v>188.55</v>
      </c>
      <c r="T125" s="300">
        <f t="shared" si="171"/>
        <v>1940.39</v>
      </c>
      <c r="U125" s="300">
        <f t="shared" si="121"/>
        <v>16281.44000000001</v>
      </c>
      <c r="V125" s="300">
        <f t="shared" si="122"/>
        <v>92102.450000000026</v>
      </c>
      <c r="W125" s="300">
        <f t="shared" si="76"/>
        <v>226867.06000000003</v>
      </c>
      <c r="X125" s="535">
        <f t="shared" si="113"/>
        <v>47709</v>
      </c>
      <c r="Y125" s="300">
        <f t="shared" si="77"/>
        <v>286641.31999999995</v>
      </c>
      <c r="Z125" s="527">
        <f t="shared" si="104"/>
        <v>7.0000000000000007E-2</v>
      </c>
      <c r="AA125" s="300">
        <f t="shared" si="105"/>
        <v>1746.44</v>
      </c>
      <c r="AB125" s="300">
        <f t="shared" si="78"/>
        <v>74.370000000000118</v>
      </c>
      <c r="AC125" s="300">
        <f t="shared" si="106"/>
        <v>1672.07</v>
      </c>
      <c r="AD125" s="300">
        <f t="shared" ref="AD125:AE125" si="180">+AD124</f>
        <v>134.16999999999999</v>
      </c>
      <c r="AE125" s="300">
        <f t="shared" si="180"/>
        <v>188.55</v>
      </c>
      <c r="AF125" s="300">
        <f t="shared" si="80"/>
        <v>2069.1600000000003</v>
      </c>
      <c r="AG125" s="300">
        <f t="shared" si="81"/>
        <v>28357.149999999998</v>
      </c>
      <c r="AH125" s="300">
        <f t="shared" si="82"/>
        <v>79608.13</v>
      </c>
      <c r="AI125" s="545">
        <f t="shared" si="176"/>
        <v>418.61000000000013</v>
      </c>
      <c r="AJ125" s="545">
        <f t="shared" si="134"/>
        <v>-59699.889999999927</v>
      </c>
      <c r="AK125" s="545">
        <f t="shared" si="177"/>
        <v>-59281.279999999926</v>
      </c>
      <c r="AL125" s="300">
        <f t="shared" si="83"/>
        <v>286566.94999999995</v>
      </c>
      <c r="AM125" s="449">
        <f t="shared" si="115"/>
        <v>5</v>
      </c>
      <c r="AN125" s="14">
        <f t="shared" si="178"/>
        <v>1196.26</v>
      </c>
      <c r="AO125" s="14">
        <f t="shared" si="153"/>
        <v>230828.83</v>
      </c>
      <c r="AP125" s="14">
        <f t="shared" si="179"/>
        <v>1325.03</v>
      </c>
      <c r="AS125" s="14">
        <f t="shared" si="109"/>
        <v>1196.26</v>
      </c>
      <c r="AT125" s="14">
        <f t="shared" si="116"/>
        <v>79668.859999999971</v>
      </c>
      <c r="AU125" s="300">
        <f t="shared" si="117"/>
        <v>800.00655510695469</v>
      </c>
      <c r="AV125" s="300">
        <f t="shared" si="118"/>
        <v>77654.128597888892</v>
      </c>
    </row>
    <row r="126" spans="1:50" x14ac:dyDescent="0.25">
      <c r="A126" s="535">
        <f t="shared" ref="A126:A189" si="181">IF(K126&lt;=0," ",+A125+30)</f>
        <v>47739</v>
      </c>
      <c r="B126" s="300">
        <f t="shared" si="110"/>
        <v>68125.719999999987</v>
      </c>
      <c r="C126" s="14">
        <f t="shared" si="101"/>
        <v>421.41</v>
      </c>
      <c r="D126" s="14">
        <f t="shared" si="119"/>
        <v>165.94000000000003</v>
      </c>
      <c r="E126" s="14">
        <f t="shared" si="102"/>
        <v>255.47</v>
      </c>
      <c r="F126" s="14">
        <f t="shared" si="170"/>
        <v>134.16999999999999</v>
      </c>
      <c r="G126" s="14">
        <f t="shared" si="167"/>
        <v>188.55</v>
      </c>
      <c r="H126" s="14">
        <f t="shared" si="168"/>
        <v>744.13000000000011</v>
      </c>
      <c r="I126" s="300">
        <f t="shared" ref="I126:I189" si="182">$D126+$I125</f>
        <v>15521.640000000003</v>
      </c>
      <c r="J126" s="300">
        <f t="shared" ref="J126:J189" si="183">$E126+$J125</f>
        <v>31988.169999999987</v>
      </c>
      <c r="K126" s="300">
        <f t="shared" ref="K126:K189" si="184">+B126-D126</f>
        <v>67959.779999999984</v>
      </c>
      <c r="L126" s="449">
        <f t="shared" si="155"/>
        <v>5</v>
      </c>
      <c r="M126" s="449">
        <f t="shared" si="111"/>
        <v>67</v>
      </c>
      <c r="N126" s="300">
        <f t="shared" si="112"/>
        <v>226867.06000000003</v>
      </c>
      <c r="O126" s="300">
        <f t="shared" ref="O126:O189" si="185">IF($O$9&lt;=A126,IF(+$W125&lt;=0,0,$O$8),0)</f>
        <v>1617.67</v>
      </c>
      <c r="P126" s="300">
        <f t="shared" si="120"/>
        <v>294.27999999999997</v>
      </c>
      <c r="Q126" s="300">
        <f t="shared" ref="Q126:Q189" si="186">IF($O$9&lt;=A126,ROUND(N126*($O$6/12),2),0)</f>
        <v>1323.39</v>
      </c>
      <c r="R126" s="300">
        <f t="shared" si="173"/>
        <v>134.16999999999999</v>
      </c>
      <c r="S126" s="300">
        <f t="shared" si="174"/>
        <v>188.55</v>
      </c>
      <c r="T126" s="300">
        <f t="shared" si="171"/>
        <v>1940.39</v>
      </c>
      <c r="U126" s="300">
        <f t="shared" si="121"/>
        <v>16575.720000000008</v>
      </c>
      <c r="V126" s="300">
        <f t="shared" si="122"/>
        <v>93425.840000000026</v>
      </c>
      <c r="W126" s="300">
        <f t="shared" ref="W126:W189" si="187">+N126-P126</f>
        <v>226572.78000000003</v>
      </c>
      <c r="X126" s="535">
        <f t="shared" si="113"/>
        <v>47739</v>
      </c>
      <c r="Y126" s="300">
        <f t="shared" ref="Y126:Y189" si="188">IF(+AL125&lt;0,0,+AL125)</f>
        <v>286566.94999999995</v>
      </c>
      <c r="Z126" s="527">
        <f t="shared" si="104"/>
        <v>7.0000000000000007E-2</v>
      </c>
      <c r="AA126" s="300">
        <f t="shared" si="105"/>
        <v>1746.44</v>
      </c>
      <c r="AB126" s="300">
        <f t="shared" ref="AB126:AB189" si="189">+AA126-AC126</f>
        <v>74.799999999999955</v>
      </c>
      <c r="AC126" s="300">
        <f t="shared" si="106"/>
        <v>1671.64</v>
      </c>
      <c r="AD126" s="300">
        <f t="shared" ref="AD126:AE126" si="190">+AD125</f>
        <v>134.16999999999999</v>
      </c>
      <c r="AE126" s="300">
        <f t="shared" si="190"/>
        <v>188.55</v>
      </c>
      <c r="AF126" s="300">
        <f t="shared" ref="AF126:AF189" si="191">SUM(AB126:AE126)</f>
        <v>2069.1600000000003</v>
      </c>
      <c r="AG126" s="300">
        <f t="shared" ref="AG126:AG189" si="192">+AB126+AG125</f>
        <v>28431.949999999997</v>
      </c>
      <c r="AH126" s="300">
        <f t="shared" ref="AH126:AH189" si="193">+AH125+AC126</f>
        <v>81279.77</v>
      </c>
      <c r="AI126" s="545">
        <f t="shared" si="176"/>
        <v>289.84000000000015</v>
      </c>
      <c r="AJ126" s="545">
        <f t="shared" si="134"/>
        <v>-59919.369999999937</v>
      </c>
      <c r="AK126" s="545">
        <f t="shared" si="177"/>
        <v>-59629.529999999941</v>
      </c>
      <c r="AL126" s="300">
        <f t="shared" ref="AL126:AL189" si="194">+Y126-AB126</f>
        <v>286492.14999999997</v>
      </c>
      <c r="AM126" s="449">
        <f t="shared" si="115"/>
        <v>5</v>
      </c>
      <c r="AN126" s="14">
        <f t="shared" si="178"/>
        <v>1196.26</v>
      </c>
      <c r="AO126" s="14">
        <f t="shared" si="153"/>
        <v>230700.49</v>
      </c>
      <c r="AP126" s="14">
        <f t="shared" si="179"/>
        <v>1325.03</v>
      </c>
      <c r="AS126" s="14">
        <f t="shared" si="109"/>
        <v>1196.26</v>
      </c>
      <c r="AT126" s="14">
        <f t="shared" si="116"/>
        <v>80865.119999999966</v>
      </c>
      <c r="AU126" s="300">
        <f t="shared" si="117"/>
        <v>802.00657149472215</v>
      </c>
      <c r="AV126" s="300">
        <f t="shared" si="118"/>
        <v>78456.135169383619</v>
      </c>
    </row>
    <row r="127" spans="1:50" x14ac:dyDescent="0.25">
      <c r="A127" s="535">
        <f t="shared" si="181"/>
        <v>47769</v>
      </c>
      <c r="B127" s="300">
        <f t="shared" si="110"/>
        <v>67959.779999999984</v>
      </c>
      <c r="C127" s="14">
        <f t="shared" si="101"/>
        <v>421.41</v>
      </c>
      <c r="D127" s="14">
        <f t="shared" si="119"/>
        <v>166.56000000000003</v>
      </c>
      <c r="E127" s="14">
        <f t="shared" si="102"/>
        <v>254.85</v>
      </c>
      <c r="F127" s="14">
        <f t="shared" si="170"/>
        <v>134.16999999999999</v>
      </c>
      <c r="G127" s="14">
        <f t="shared" si="167"/>
        <v>188.55</v>
      </c>
      <c r="H127" s="14">
        <f t="shared" si="168"/>
        <v>744.13000000000011</v>
      </c>
      <c r="I127" s="300">
        <f t="shared" si="182"/>
        <v>15688.200000000003</v>
      </c>
      <c r="J127" s="300">
        <f t="shared" si="183"/>
        <v>32243.019999999986</v>
      </c>
      <c r="K127" s="300">
        <f t="shared" si="184"/>
        <v>67793.219999999987</v>
      </c>
      <c r="L127" s="449">
        <f t="shared" si="155"/>
        <v>5</v>
      </c>
      <c r="M127" s="449">
        <f t="shared" si="111"/>
        <v>68</v>
      </c>
      <c r="N127" s="300">
        <f t="shared" si="112"/>
        <v>226572.78000000003</v>
      </c>
      <c r="O127" s="300">
        <f t="shared" si="185"/>
        <v>1617.67</v>
      </c>
      <c r="P127" s="300">
        <f t="shared" si="120"/>
        <v>296</v>
      </c>
      <c r="Q127" s="300">
        <f t="shared" si="186"/>
        <v>1321.67</v>
      </c>
      <c r="R127" s="300">
        <f t="shared" si="173"/>
        <v>134.16999999999999</v>
      </c>
      <c r="S127" s="300">
        <f t="shared" si="174"/>
        <v>188.55</v>
      </c>
      <c r="T127" s="300">
        <f t="shared" si="171"/>
        <v>1940.39</v>
      </c>
      <c r="U127" s="300">
        <f t="shared" si="121"/>
        <v>16871.720000000008</v>
      </c>
      <c r="V127" s="300">
        <f t="shared" si="122"/>
        <v>94747.510000000024</v>
      </c>
      <c r="W127" s="300">
        <f t="shared" si="187"/>
        <v>226276.78000000003</v>
      </c>
      <c r="X127" s="535">
        <f t="shared" si="113"/>
        <v>47769</v>
      </c>
      <c r="Y127" s="300">
        <f t="shared" si="188"/>
        <v>286492.14999999997</v>
      </c>
      <c r="Z127" s="527">
        <f t="shared" si="104"/>
        <v>7.0000000000000007E-2</v>
      </c>
      <c r="AA127" s="300">
        <f t="shared" si="105"/>
        <v>1746.44</v>
      </c>
      <c r="AB127" s="300">
        <f t="shared" si="189"/>
        <v>75.240000000000009</v>
      </c>
      <c r="AC127" s="300">
        <f t="shared" si="106"/>
        <v>1671.2</v>
      </c>
      <c r="AD127" s="300">
        <f t="shared" ref="AD127:AE127" si="195">+AD126</f>
        <v>134.16999999999999</v>
      </c>
      <c r="AE127" s="300">
        <f t="shared" si="195"/>
        <v>188.55</v>
      </c>
      <c r="AF127" s="300">
        <f t="shared" si="191"/>
        <v>2069.1600000000003</v>
      </c>
      <c r="AG127" s="300">
        <f t="shared" si="192"/>
        <v>28507.19</v>
      </c>
      <c r="AH127" s="300">
        <f t="shared" si="193"/>
        <v>82950.97</v>
      </c>
      <c r="AI127" s="545">
        <f t="shared" si="176"/>
        <v>161.07000000000016</v>
      </c>
      <c r="AJ127" s="545">
        <f t="shared" si="134"/>
        <v>-60140.129999999946</v>
      </c>
      <c r="AK127" s="545">
        <f t="shared" si="177"/>
        <v>-59979.059999999947</v>
      </c>
      <c r="AL127" s="300">
        <f t="shared" si="194"/>
        <v>286416.90999999997</v>
      </c>
      <c r="AM127" s="449">
        <f t="shared" si="115"/>
        <v>5</v>
      </c>
      <c r="AN127" s="14">
        <f t="shared" si="178"/>
        <v>1196.26</v>
      </c>
      <c r="AO127" s="14">
        <f t="shared" si="153"/>
        <v>230571.05</v>
      </c>
      <c r="AP127" s="14">
        <f t="shared" si="179"/>
        <v>1325.03</v>
      </c>
      <c r="AS127" s="14">
        <f t="shared" si="109"/>
        <v>1196.26</v>
      </c>
      <c r="AT127" s="14">
        <f t="shared" si="116"/>
        <v>82061.379999999961</v>
      </c>
      <c r="AU127" s="300">
        <f t="shared" si="117"/>
        <v>804.01158792345905</v>
      </c>
      <c r="AV127" s="300">
        <f t="shared" si="118"/>
        <v>79260.146757307084</v>
      </c>
    </row>
    <row r="128" spans="1:50" x14ac:dyDescent="0.25">
      <c r="A128" s="535">
        <f t="shared" si="181"/>
        <v>47799</v>
      </c>
      <c r="B128" s="300">
        <f t="shared" si="110"/>
        <v>67793.219999999987</v>
      </c>
      <c r="C128" s="14">
        <f t="shared" si="101"/>
        <v>421.41</v>
      </c>
      <c r="D128" s="14">
        <f t="shared" si="119"/>
        <v>167.19000000000003</v>
      </c>
      <c r="E128" s="14">
        <f t="shared" si="102"/>
        <v>254.22</v>
      </c>
      <c r="F128" s="14">
        <f t="shared" si="170"/>
        <v>134.16999999999999</v>
      </c>
      <c r="G128" s="14">
        <f t="shared" si="167"/>
        <v>188.55</v>
      </c>
      <c r="H128" s="14">
        <f t="shared" si="168"/>
        <v>744.13000000000011</v>
      </c>
      <c r="I128" s="300">
        <f t="shared" si="182"/>
        <v>15855.390000000003</v>
      </c>
      <c r="J128" s="300">
        <f t="shared" si="183"/>
        <v>32497.239999999987</v>
      </c>
      <c r="K128" s="300">
        <f t="shared" si="184"/>
        <v>67626.029999999984</v>
      </c>
      <c r="L128" s="449">
        <f t="shared" si="155"/>
        <v>5</v>
      </c>
      <c r="M128" s="449">
        <f t="shared" si="111"/>
        <v>69</v>
      </c>
      <c r="N128" s="300">
        <f t="shared" si="112"/>
        <v>226276.78000000003</v>
      </c>
      <c r="O128" s="300">
        <f t="shared" si="185"/>
        <v>1617.67</v>
      </c>
      <c r="P128" s="300">
        <f t="shared" si="120"/>
        <v>297.72000000000003</v>
      </c>
      <c r="Q128" s="300">
        <f t="shared" si="186"/>
        <v>1319.95</v>
      </c>
      <c r="R128" s="300">
        <f t="shared" si="173"/>
        <v>134.16999999999999</v>
      </c>
      <c r="S128" s="300">
        <f t="shared" si="174"/>
        <v>188.55</v>
      </c>
      <c r="T128" s="300">
        <f t="shared" si="171"/>
        <v>1940.39</v>
      </c>
      <c r="U128" s="300">
        <f t="shared" si="121"/>
        <v>17169.44000000001</v>
      </c>
      <c r="V128" s="300">
        <f t="shared" si="122"/>
        <v>96067.460000000021</v>
      </c>
      <c r="W128" s="300">
        <f t="shared" si="187"/>
        <v>225979.06000000003</v>
      </c>
      <c r="X128" s="535">
        <f t="shared" si="113"/>
        <v>47799</v>
      </c>
      <c r="Y128" s="300">
        <f t="shared" si="188"/>
        <v>286416.90999999997</v>
      </c>
      <c r="Z128" s="527">
        <f t="shared" si="104"/>
        <v>7.0000000000000007E-2</v>
      </c>
      <c r="AA128" s="300">
        <f t="shared" si="105"/>
        <v>1746.44</v>
      </c>
      <c r="AB128" s="300">
        <f t="shared" si="189"/>
        <v>75.670000000000073</v>
      </c>
      <c r="AC128" s="300">
        <f t="shared" si="106"/>
        <v>1670.77</v>
      </c>
      <c r="AD128" s="300">
        <f t="shared" ref="AD128:AE128" si="196">+AD127</f>
        <v>134.16999999999999</v>
      </c>
      <c r="AE128" s="300">
        <f t="shared" si="196"/>
        <v>188.55</v>
      </c>
      <c r="AF128" s="300">
        <f t="shared" si="191"/>
        <v>2069.1600000000003</v>
      </c>
      <c r="AG128" s="300">
        <f t="shared" si="192"/>
        <v>28582.86</v>
      </c>
      <c r="AH128" s="300">
        <f t="shared" si="193"/>
        <v>84621.74</v>
      </c>
      <c r="AI128" s="545">
        <f t="shared" si="176"/>
        <v>32.300000000000182</v>
      </c>
      <c r="AJ128" s="545">
        <f t="shared" si="134"/>
        <v>-60362.179999999964</v>
      </c>
      <c r="AK128" s="545">
        <f t="shared" si="177"/>
        <v>-60329.879999999961</v>
      </c>
      <c r="AL128" s="300">
        <f t="shared" si="194"/>
        <v>286341.24</v>
      </c>
      <c r="AM128" s="449">
        <f t="shared" si="115"/>
        <v>5</v>
      </c>
      <c r="AN128" s="14">
        <f t="shared" si="178"/>
        <v>1196.26</v>
      </c>
      <c r="AO128" s="14">
        <f t="shared" si="153"/>
        <v>230440.52</v>
      </c>
      <c r="AP128" s="14">
        <f t="shared" si="179"/>
        <v>1325.03</v>
      </c>
      <c r="AS128" s="14">
        <f t="shared" si="109"/>
        <v>1196.26</v>
      </c>
      <c r="AT128" s="14">
        <f t="shared" si="116"/>
        <v>83257.639999999956</v>
      </c>
      <c r="AU128" s="300">
        <f t="shared" si="117"/>
        <v>806.02161689326783</v>
      </c>
      <c r="AV128" s="300">
        <f t="shared" si="118"/>
        <v>80066.168374200352</v>
      </c>
    </row>
    <row r="129" spans="1:48" x14ac:dyDescent="0.25">
      <c r="A129" s="535">
        <f t="shared" si="181"/>
        <v>47829</v>
      </c>
      <c r="B129" s="300">
        <f t="shared" si="110"/>
        <v>67626.029999999984</v>
      </c>
      <c r="C129" s="14">
        <f t="shared" si="101"/>
        <v>421.41</v>
      </c>
      <c r="D129" s="14">
        <f t="shared" si="119"/>
        <v>167.81000000000003</v>
      </c>
      <c r="E129" s="14">
        <f t="shared" si="102"/>
        <v>253.6</v>
      </c>
      <c r="F129" s="14">
        <f t="shared" si="170"/>
        <v>134.16999999999999</v>
      </c>
      <c r="G129" s="14">
        <f t="shared" si="167"/>
        <v>188.55</v>
      </c>
      <c r="H129" s="14">
        <f t="shared" si="168"/>
        <v>744.13000000000011</v>
      </c>
      <c r="I129" s="300">
        <f t="shared" si="182"/>
        <v>16023.200000000003</v>
      </c>
      <c r="J129" s="300">
        <f t="shared" si="183"/>
        <v>32750.839999999986</v>
      </c>
      <c r="K129" s="300">
        <f t="shared" si="184"/>
        <v>67458.219999999987</v>
      </c>
      <c r="L129" s="449">
        <f t="shared" si="155"/>
        <v>5</v>
      </c>
      <c r="M129" s="449">
        <f t="shared" si="111"/>
        <v>70</v>
      </c>
      <c r="N129" s="300">
        <f t="shared" si="112"/>
        <v>225979.06000000003</v>
      </c>
      <c r="O129" s="300">
        <f t="shared" si="185"/>
        <v>1617.67</v>
      </c>
      <c r="P129" s="300">
        <f t="shared" si="120"/>
        <v>299.46000000000004</v>
      </c>
      <c r="Q129" s="300">
        <f t="shared" si="186"/>
        <v>1318.21</v>
      </c>
      <c r="R129" s="300">
        <f t="shared" si="173"/>
        <v>134.16999999999999</v>
      </c>
      <c r="S129" s="300">
        <f t="shared" si="174"/>
        <v>188.55</v>
      </c>
      <c r="T129" s="300">
        <f t="shared" si="171"/>
        <v>1940.39</v>
      </c>
      <c r="U129" s="300">
        <f t="shared" si="121"/>
        <v>17468.900000000009</v>
      </c>
      <c r="V129" s="300">
        <f t="shared" si="122"/>
        <v>97385.670000000027</v>
      </c>
      <c r="W129" s="300">
        <f t="shared" si="187"/>
        <v>225679.60000000003</v>
      </c>
      <c r="X129" s="535">
        <f t="shared" si="113"/>
        <v>47829</v>
      </c>
      <c r="Y129" s="300">
        <f t="shared" si="188"/>
        <v>286341.24</v>
      </c>
      <c r="Z129" s="527">
        <f t="shared" si="104"/>
        <v>7.0000000000000007E-2</v>
      </c>
      <c r="AA129" s="300">
        <f t="shared" si="105"/>
        <v>1746.44</v>
      </c>
      <c r="AB129" s="300">
        <f t="shared" si="189"/>
        <v>76.120000000000118</v>
      </c>
      <c r="AC129" s="300">
        <f t="shared" si="106"/>
        <v>1670.32</v>
      </c>
      <c r="AD129" s="300">
        <f t="shared" ref="AD129:AE129" si="197">+AD128</f>
        <v>134.16999999999999</v>
      </c>
      <c r="AE129" s="300">
        <f t="shared" si="197"/>
        <v>188.55</v>
      </c>
      <c r="AF129" s="300">
        <f t="shared" si="191"/>
        <v>2069.1600000000003</v>
      </c>
      <c r="AG129" s="300">
        <f t="shared" si="192"/>
        <v>28658.98</v>
      </c>
      <c r="AH129" s="300">
        <f t="shared" si="193"/>
        <v>86292.060000000012</v>
      </c>
      <c r="AI129" s="545">
        <f t="shared" si="176"/>
        <v>-96.4699999999998</v>
      </c>
      <c r="AJ129" s="545">
        <f t="shared" si="134"/>
        <v>-60585.51999999996</v>
      </c>
      <c r="AK129" s="545">
        <f t="shared" si="177"/>
        <v>-60681.989999999962</v>
      </c>
      <c r="AL129" s="300">
        <f t="shared" si="194"/>
        <v>286265.12</v>
      </c>
      <c r="AM129" s="449">
        <f t="shared" si="115"/>
        <v>5</v>
      </c>
      <c r="AN129" s="14">
        <f t="shared" si="178"/>
        <v>1196.26</v>
      </c>
      <c r="AO129" s="14">
        <f t="shared" si="153"/>
        <v>230308.87</v>
      </c>
      <c r="AP129" s="14">
        <f t="shared" si="179"/>
        <v>1325.03</v>
      </c>
      <c r="AS129" s="14">
        <f t="shared" si="109"/>
        <v>1196.26</v>
      </c>
      <c r="AT129" s="14">
        <f t="shared" si="116"/>
        <v>84453.899999999951</v>
      </c>
      <c r="AU129" s="300">
        <f t="shared" si="117"/>
        <v>808.03667093550087</v>
      </c>
      <c r="AV129" s="300">
        <f t="shared" si="118"/>
        <v>80874.205045135852</v>
      </c>
    </row>
    <row r="130" spans="1:48" x14ac:dyDescent="0.25">
      <c r="A130" s="535">
        <f t="shared" si="181"/>
        <v>47859</v>
      </c>
      <c r="B130" s="300">
        <f t="shared" si="110"/>
        <v>67458.219999999987</v>
      </c>
      <c r="C130" s="14">
        <f t="shared" si="101"/>
        <v>421.41</v>
      </c>
      <c r="D130" s="14">
        <f t="shared" si="119"/>
        <v>168.44000000000003</v>
      </c>
      <c r="E130" s="14">
        <f t="shared" si="102"/>
        <v>252.97</v>
      </c>
      <c r="F130" s="14">
        <f t="shared" si="170"/>
        <v>134.16999999999999</v>
      </c>
      <c r="G130" s="14">
        <f t="shared" si="167"/>
        <v>188.55</v>
      </c>
      <c r="H130" s="14">
        <f t="shared" si="168"/>
        <v>744.13000000000011</v>
      </c>
      <c r="I130" s="300">
        <f t="shared" si="182"/>
        <v>16191.640000000003</v>
      </c>
      <c r="J130" s="300">
        <f t="shared" si="183"/>
        <v>33003.809999999983</v>
      </c>
      <c r="K130" s="300">
        <f t="shared" si="184"/>
        <v>67289.779999999984</v>
      </c>
      <c r="L130" s="449">
        <f t="shared" si="155"/>
        <v>5</v>
      </c>
      <c r="M130" s="449">
        <f t="shared" si="111"/>
        <v>71</v>
      </c>
      <c r="N130" s="300">
        <f t="shared" si="112"/>
        <v>225679.60000000003</v>
      </c>
      <c r="O130" s="300">
        <f t="shared" si="185"/>
        <v>1617.67</v>
      </c>
      <c r="P130" s="300">
        <f t="shared" si="120"/>
        <v>301.21000000000004</v>
      </c>
      <c r="Q130" s="300">
        <f t="shared" si="186"/>
        <v>1316.46</v>
      </c>
      <c r="R130" s="300">
        <f t="shared" si="173"/>
        <v>134.16999999999999</v>
      </c>
      <c r="S130" s="300">
        <f t="shared" si="174"/>
        <v>188.55</v>
      </c>
      <c r="T130" s="300">
        <f t="shared" si="171"/>
        <v>1940.39</v>
      </c>
      <c r="U130" s="300">
        <f t="shared" si="121"/>
        <v>17770.110000000008</v>
      </c>
      <c r="V130" s="300">
        <f t="shared" si="122"/>
        <v>98702.130000000034</v>
      </c>
      <c r="W130" s="300">
        <f t="shared" si="187"/>
        <v>225378.39000000004</v>
      </c>
      <c r="X130" s="535">
        <f t="shared" si="113"/>
        <v>47859</v>
      </c>
      <c r="Y130" s="300">
        <f t="shared" si="188"/>
        <v>286265.12</v>
      </c>
      <c r="Z130" s="527">
        <f t="shared" si="104"/>
        <v>7.0000000000000007E-2</v>
      </c>
      <c r="AA130" s="300">
        <f t="shared" si="105"/>
        <v>1746.44</v>
      </c>
      <c r="AB130" s="300">
        <f t="shared" si="189"/>
        <v>76.559999999999945</v>
      </c>
      <c r="AC130" s="300">
        <f t="shared" si="106"/>
        <v>1669.88</v>
      </c>
      <c r="AD130" s="300">
        <f t="shared" ref="AD130:AE130" si="198">+AD129</f>
        <v>134.16999999999999</v>
      </c>
      <c r="AE130" s="300">
        <f t="shared" si="198"/>
        <v>188.55</v>
      </c>
      <c r="AF130" s="300">
        <f t="shared" si="191"/>
        <v>2069.1600000000003</v>
      </c>
      <c r="AG130" s="300">
        <f t="shared" si="192"/>
        <v>28735.54</v>
      </c>
      <c r="AH130" s="300">
        <f t="shared" si="193"/>
        <v>87961.940000000017</v>
      </c>
      <c r="AI130" s="545">
        <f t="shared" si="176"/>
        <v>-225.23999999999978</v>
      </c>
      <c r="AJ130" s="545">
        <f t="shared" si="134"/>
        <v>-60810.169999999955</v>
      </c>
      <c r="AK130" s="545">
        <f t="shared" si="177"/>
        <v>-61035.409999999953</v>
      </c>
      <c r="AL130" s="300">
        <f t="shared" si="194"/>
        <v>286188.56</v>
      </c>
      <c r="AM130" s="449">
        <f t="shared" si="115"/>
        <v>5</v>
      </c>
      <c r="AN130" s="14">
        <f t="shared" si="178"/>
        <v>1196.26</v>
      </c>
      <c r="AO130" s="14">
        <f t="shared" si="153"/>
        <v>230176.09999999998</v>
      </c>
      <c r="AP130" s="14">
        <f t="shared" si="179"/>
        <v>1325.03</v>
      </c>
      <c r="AS130" s="14">
        <f t="shared" si="109"/>
        <v>1196.26</v>
      </c>
      <c r="AT130" s="14">
        <f t="shared" si="116"/>
        <v>85650.159999999945</v>
      </c>
      <c r="AU130" s="300">
        <f t="shared" si="117"/>
        <v>810.05676261283963</v>
      </c>
      <c r="AV130" s="300">
        <f t="shared" si="118"/>
        <v>81684.261807748699</v>
      </c>
    </row>
    <row r="131" spans="1:48" x14ac:dyDescent="0.25">
      <c r="A131" s="535">
        <f t="shared" si="181"/>
        <v>47889</v>
      </c>
      <c r="B131" s="300">
        <f t="shared" si="110"/>
        <v>67289.779999999984</v>
      </c>
      <c r="C131" s="14">
        <f t="shared" si="101"/>
        <v>421.41</v>
      </c>
      <c r="D131" s="14">
        <f t="shared" si="119"/>
        <v>169.07000000000002</v>
      </c>
      <c r="E131" s="14">
        <f t="shared" si="102"/>
        <v>252.34</v>
      </c>
      <c r="F131" s="14">
        <f t="shared" si="170"/>
        <v>134.16999999999999</v>
      </c>
      <c r="G131" s="14">
        <f t="shared" si="167"/>
        <v>188.55</v>
      </c>
      <c r="H131" s="14">
        <f t="shared" si="168"/>
        <v>744.13000000000011</v>
      </c>
      <c r="I131" s="300">
        <f t="shared" si="182"/>
        <v>16360.710000000003</v>
      </c>
      <c r="J131" s="300">
        <f t="shared" si="183"/>
        <v>33256.14999999998</v>
      </c>
      <c r="K131" s="300">
        <f t="shared" si="184"/>
        <v>67120.709999999977</v>
      </c>
      <c r="L131" s="449">
        <f t="shared" si="155"/>
        <v>6</v>
      </c>
      <c r="M131" s="449">
        <f t="shared" si="111"/>
        <v>72</v>
      </c>
      <c r="N131" s="300">
        <f t="shared" si="112"/>
        <v>225378.39000000004</v>
      </c>
      <c r="O131" s="300">
        <f t="shared" si="185"/>
        <v>1617.67</v>
      </c>
      <c r="P131" s="300">
        <f t="shared" si="120"/>
        <v>302.96000000000004</v>
      </c>
      <c r="Q131" s="300">
        <f t="shared" si="186"/>
        <v>1314.71</v>
      </c>
      <c r="R131" s="300">
        <f t="shared" si="173"/>
        <v>134.16999999999999</v>
      </c>
      <c r="S131" s="300">
        <f t="shared" si="174"/>
        <v>188.55</v>
      </c>
      <c r="T131" s="300">
        <f t="shared" si="171"/>
        <v>1940.39</v>
      </c>
      <c r="U131" s="300">
        <f t="shared" si="121"/>
        <v>18073.070000000007</v>
      </c>
      <c r="V131" s="300">
        <f t="shared" si="122"/>
        <v>100016.84000000004</v>
      </c>
      <c r="W131" s="300">
        <f t="shared" si="187"/>
        <v>225075.43000000005</v>
      </c>
      <c r="X131" s="535">
        <f t="shared" si="113"/>
        <v>47889</v>
      </c>
      <c r="Y131" s="300">
        <f t="shared" si="188"/>
        <v>286188.56</v>
      </c>
      <c r="Z131" s="527">
        <f t="shared" si="104"/>
        <v>7.0000000000000007E-2</v>
      </c>
      <c r="AA131" s="300">
        <f t="shared" si="105"/>
        <v>1746.44</v>
      </c>
      <c r="AB131" s="300">
        <f t="shared" si="189"/>
        <v>77.009999999999991</v>
      </c>
      <c r="AC131" s="300">
        <f t="shared" si="106"/>
        <v>1669.43</v>
      </c>
      <c r="AD131" s="300">
        <f t="shared" ref="AD131:AE131" si="199">+AD130</f>
        <v>134.16999999999999</v>
      </c>
      <c r="AE131" s="300">
        <f t="shared" si="199"/>
        <v>188.55</v>
      </c>
      <c r="AF131" s="300">
        <f t="shared" si="191"/>
        <v>2069.1600000000003</v>
      </c>
      <c r="AG131" s="300">
        <f t="shared" si="192"/>
        <v>28812.55</v>
      </c>
      <c r="AH131" s="300">
        <f t="shared" si="193"/>
        <v>89631.37000000001</v>
      </c>
      <c r="AI131" s="545">
        <f t="shared" si="176"/>
        <v>-354.00999999999976</v>
      </c>
      <c r="AJ131" s="545">
        <f t="shared" si="134"/>
        <v>-61036.119999999937</v>
      </c>
      <c r="AK131" s="545">
        <f t="shared" si="177"/>
        <v>-61390.129999999939</v>
      </c>
      <c r="AL131" s="300">
        <f t="shared" si="194"/>
        <v>286111.55</v>
      </c>
      <c r="AM131" s="449">
        <f t="shared" si="115"/>
        <v>6</v>
      </c>
      <c r="AN131" s="14">
        <f t="shared" si="178"/>
        <v>1196.26</v>
      </c>
      <c r="AO131" s="14">
        <f t="shared" si="153"/>
        <v>230042.20999999996</v>
      </c>
      <c r="AP131" s="14">
        <f t="shared" si="179"/>
        <v>1325.03</v>
      </c>
      <c r="AS131" s="14">
        <f t="shared" si="109"/>
        <v>1196.26</v>
      </c>
      <c r="AT131" s="14">
        <f t="shared" si="116"/>
        <v>86846.41999999994</v>
      </c>
      <c r="AU131" s="300">
        <f t="shared" si="117"/>
        <v>812.08190451937173</v>
      </c>
      <c r="AV131" s="300">
        <f t="shared" si="118"/>
        <v>82496.343712268077</v>
      </c>
    </row>
    <row r="132" spans="1:48" x14ac:dyDescent="0.25">
      <c r="A132" s="535">
        <f t="shared" si="181"/>
        <v>47919</v>
      </c>
      <c r="B132" s="300">
        <f t="shared" si="110"/>
        <v>67120.709999999977</v>
      </c>
      <c r="C132" s="14">
        <f t="shared" si="101"/>
        <v>421.41</v>
      </c>
      <c r="D132" s="14">
        <f t="shared" si="119"/>
        <v>169.71000000000004</v>
      </c>
      <c r="E132" s="14">
        <f t="shared" si="102"/>
        <v>251.7</v>
      </c>
      <c r="F132" s="14">
        <f t="shared" si="170"/>
        <v>134.16999999999999</v>
      </c>
      <c r="G132" s="14">
        <f t="shared" si="167"/>
        <v>188.55</v>
      </c>
      <c r="H132" s="14">
        <f t="shared" si="168"/>
        <v>744.13000000000011</v>
      </c>
      <c r="I132" s="300">
        <f t="shared" si="182"/>
        <v>16530.420000000002</v>
      </c>
      <c r="J132" s="300">
        <f t="shared" si="183"/>
        <v>33507.849999999977</v>
      </c>
      <c r="K132" s="300">
        <f t="shared" si="184"/>
        <v>66950.999999999971</v>
      </c>
      <c r="L132" s="449">
        <f t="shared" si="155"/>
        <v>6</v>
      </c>
      <c r="M132" s="449">
        <f t="shared" si="111"/>
        <v>73</v>
      </c>
      <c r="N132" s="300">
        <f t="shared" si="112"/>
        <v>225075.43000000005</v>
      </c>
      <c r="O132" s="300">
        <f t="shared" si="185"/>
        <v>1617.67</v>
      </c>
      <c r="P132" s="300">
        <f t="shared" si="120"/>
        <v>304.73</v>
      </c>
      <c r="Q132" s="300">
        <f t="shared" si="186"/>
        <v>1312.94</v>
      </c>
      <c r="R132" s="300">
        <f t="shared" si="173"/>
        <v>134.16999999999999</v>
      </c>
      <c r="S132" s="300">
        <f t="shared" si="174"/>
        <v>188.55</v>
      </c>
      <c r="T132" s="300">
        <f t="shared" si="171"/>
        <v>1940.39</v>
      </c>
      <c r="U132" s="300">
        <f t="shared" si="121"/>
        <v>18377.800000000007</v>
      </c>
      <c r="V132" s="300">
        <f t="shared" si="122"/>
        <v>101329.78000000004</v>
      </c>
      <c r="W132" s="300">
        <f t="shared" si="187"/>
        <v>224770.70000000004</v>
      </c>
      <c r="X132" s="535">
        <f t="shared" si="113"/>
        <v>47919</v>
      </c>
      <c r="Y132" s="300">
        <f t="shared" si="188"/>
        <v>286111.55</v>
      </c>
      <c r="Z132" s="527">
        <f t="shared" si="104"/>
        <v>7.0000000000000007E-2</v>
      </c>
      <c r="AA132" s="300">
        <f t="shared" si="105"/>
        <v>1746.44</v>
      </c>
      <c r="AB132" s="300">
        <f t="shared" si="189"/>
        <v>77.460000000000036</v>
      </c>
      <c r="AC132" s="300">
        <f t="shared" si="106"/>
        <v>1668.98</v>
      </c>
      <c r="AD132" s="300">
        <f t="shared" ref="AD132:AE132" si="200">+AD131</f>
        <v>134.16999999999999</v>
      </c>
      <c r="AE132" s="300">
        <f t="shared" si="200"/>
        <v>188.55</v>
      </c>
      <c r="AF132" s="300">
        <f t="shared" si="191"/>
        <v>2069.1600000000003</v>
      </c>
      <c r="AG132" s="300">
        <f t="shared" si="192"/>
        <v>28890.01</v>
      </c>
      <c r="AH132" s="300">
        <f t="shared" si="193"/>
        <v>91300.35</v>
      </c>
      <c r="AI132" s="545">
        <f t="shared" si="176"/>
        <v>-482.77999999999975</v>
      </c>
      <c r="AJ132" s="545">
        <f t="shared" si="134"/>
        <v>-61263.389999999927</v>
      </c>
      <c r="AK132" s="545">
        <f t="shared" si="177"/>
        <v>-61746.169999999925</v>
      </c>
      <c r="AL132" s="300">
        <f t="shared" si="194"/>
        <v>286034.08999999997</v>
      </c>
      <c r="AM132" s="449">
        <f t="shared" si="115"/>
        <v>6</v>
      </c>
      <c r="AN132" s="14">
        <f t="shared" si="178"/>
        <v>1196.26</v>
      </c>
      <c r="AO132" s="14">
        <f t="shared" si="153"/>
        <v>229907.18999999997</v>
      </c>
      <c r="AP132" s="14">
        <f t="shared" si="179"/>
        <v>1325.03</v>
      </c>
      <c r="AS132" s="14">
        <f t="shared" si="109"/>
        <v>1196.26</v>
      </c>
      <c r="AT132" s="14">
        <f t="shared" si="116"/>
        <v>88042.679999999935</v>
      </c>
      <c r="AU132" s="300">
        <f t="shared" si="117"/>
        <v>814.1121092806701</v>
      </c>
      <c r="AV132" s="300">
        <f t="shared" si="118"/>
        <v>83310.455821548749</v>
      </c>
    </row>
    <row r="133" spans="1:48" x14ac:dyDescent="0.25">
      <c r="A133" s="535">
        <f t="shared" si="181"/>
        <v>47949</v>
      </c>
      <c r="B133" s="300">
        <f t="shared" si="110"/>
        <v>66950.999999999971</v>
      </c>
      <c r="C133" s="14">
        <f t="shared" si="101"/>
        <v>421.41</v>
      </c>
      <c r="D133" s="14">
        <f t="shared" si="119"/>
        <v>170.34000000000003</v>
      </c>
      <c r="E133" s="14">
        <f t="shared" si="102"/>
        <v>251.07</v>
      </c>
      <c r="F133" s="14">
        <f t="shared" si="170"/>
        <v>134.16999999999999</v>
      </c>
      <c r="G133" s="14">
        <f t="shared" si="167"/>
        <v>188.55</v>
      </c>
      <c r="H133" s="14">
        <f t="shared" si="168"/>
        <v>744.13000000000011</v>
      </c>
      <c r="I133" s="300">
        <f t="shared" si="182"/>
        <v>16700.760000000002</v>
      </c>
      <c r="J133" s="300">
        <f t="shared" si="183"/>
        <v>33758.919999999976</v>
      </c>
      <c r="K133" s="300">
        <f t="shared" si="184"/>
        <v>66780.659999999974</v>
      </c>
      <c r="L133" s="449">
        <f t="shared" si="155"/>
        <v>6</v>
      </c>
      <c r="M133" s="449">
        <f t="shared" si="111"/>
        <v>74</v>
      </c>
      <c r="N133" s="300">
        <f t="shared" si="112"/>
        <v>224770.70000000004</v>
      </c>
      <c r="O133" s="300">
        <f t="shared" si="185"/>
        <v>1617.67</v>
      </c>
      <c r="P133" s="300">
        <f t="shared" si="120"/>
        <v>306.51</v>
      </c>
      <c r="Q133" s="300">
        <f t="shared" si="186"/>
        <v>1311.16</v>
      </c>
      <c r="R133" s="300">
        <f t="shared" si="173"/>
        <v>134.16999999999999</v>
      </c>
      <c r="S133" s="300">
        <f t="shared" si="174"/>
        <v>188.55</v>
      </c>
      <c r="T133" s="300">
        <f t="shared" si="171"/>
        <v>1940.39</v>
      </c>
      <c r="U133" s="300">
        <f t="shared" si="121"/>
        <v>18684.310000000005</v>
      </c>
      <c r="V133" s="300">
        <f t="shared" si="122"/>
        <v>102640.94000000005</v>
      </c>
      <c r="W133" s="300">
        <f t="shared" si="187"/>
        <v>224464.19000000003</v>
      </c>
      <c r="X133" s="535">
        <f t="shared" si="113"/>
        <v>47949</v>
      </c>
      <c r="Y133" s="300">
        <f t="shared" si="188"/>
        <v>286034.08999999997</v>
      </c>
      <c r="Z133" s="527">
        <f t="shared" si="104"/>
        <v>7.0000000000000007E-2</v>
      </c>
      <c r="AA133" s="300">
        <f t="shared" si="105"/>
        <v>1746.44</v>
      </c>
      <c r="AB133" s="300">
        <f t="shared" si="189"/>
        <v>77.910000000000082</v>
      </c>
      <c r="AC133" s="300">
        <f t="shared" si="106"/>
        <v>1668.53</v>
      </c>
      <c r="AD133" s="300">
        <f t="shared" ref="AD133:AE133" si="201">+AD132</f>
        <v>134.16999999999999</v>
      </c>
      <c r="AE133" s="300">
        <f t="shared" si="201"/>
        <v>188.55</v>
      </c>
      <c r="AF133" s="300">
        <f t="shared" si="191"/>
        <v>2069.1600000000003</v>
      </c>
      <c r="AG133" s="300">
        <f t="shared" si="192"/>
        <v>28967.919999999998</v>
      </c>
      <c r="AH133" s="300">
        <f t="shared" si="193"/>
        <v>92968.88</v>
      </c>
      <c r="AI133" s="545">
        <f t="shared" si="176"/>
        <v>-611.54999999999973</v>
      </c>
      <c r="AJ133" s="545">
        <f t="shared" si="134"/>
        <v>-61491.989999999962</v>
      </c>
      <c r="AK133" s="545">
        <f t="shared" si="177"/>
        <v>-62103.539999999964</v>
      </c>
      <c r="AL133" s="300">
        <f t="shared" si="194"/>
        <v>285956.18</v>
      </c>
      <c r="AM133" s="449">
        <f t="shared" si="115"/>
        <v>6</v>
      </c>
      <c r="AN133" s="14">
        <f t="shared" si="178"/>
        <v>1196.26</v>
      </c>
      <c r="AO133" s="14">
        <f t="shared" si="153"/>
        <v>229771.02</v>
      </c>
      <c r="AP133" s="14">
        <f t="shared" si="179"/>
        <v>1325.03</v>
      </c>
      <c r="AS133" s="14">
        <f t="shared" si="109"/>
        <v>1196.26</v>
      </c>
      <c r="AT133" s="14">
        <f t="shared" si="116"/>
        <v>89238.93999999993</v>
      </c>
      <c r="AU133" s="300">
        <f t="shared" si="117"/>
        <v>816.1473895538719</v>
      </c>
      <c r="AV133" s="300">
        <f t="shared" si="118"/>
        <v>84126.603211102614</v>
      </c>
    </row>
    <row r="134" spans="1:48" ht="15.75" thickBot="1" x14ac:dyDescent="0.3">
      <c r="A134" s="538">
        <f t="shared" si="181"/>
        <v>47979</v>
      </c>
      <c r="B134" s="369">
        <f t="shared" si="110"/>
        <v>66780.659999999974</v>
      </c>
      <c r="C134" s="21">
        <f t="shared" si="101"/>
        <v>421.41</v>
      </c>
      <c r="D134" s="21">
        <f t="shared" si="119"/>
        <v>170.98000000000002</v>
      </c>
      <c r="E134" s="21">
        <f t="shared" si="102"/>
        <v>250.43</v>
      </c>
      <c r="F134" s="21">
        <f t="shared" si="170"/>
        <v>134.16999999999999</v>
      </c>
      <c r="G134" s="21">
        <f t="shared" si="167"/>
        <v>188.55</v>
      </c>
      <c r="H134" s="21">
        <f t="shared" si="168"/>
        <v>744.13000000000011</v>
      </c>
      <c r="I134" s="369">
        <f t="shared" si="182"/>
        <v>16871.740000000002</v>
      </c>
      <c r="J134" s="369">
        <f t="shared" si="183"/>
        <v>34009.349999999977</v>
      </c>
      <c r="K134" s="369">
        <f t="shared" si="184"/>
        <v>66609.679999999978</v>
      </c>
      <c r="L134" s="450">
        <f t="shared" si="155"/>
        <v>6</v>
      </c>
      <c r="M134" s="450">
        <f t="shared" si="111"/>
        <v>75</v>
      </c>
      <c r="N134" s="369">
        <f t="shared" si="112"/>
        <v>224464.19000000003</v>
      </c>
      <c r="O134" s="369">
        <f t="shared" si="185"/>
        <v>1617.67</v>
      </c>
      <c r="P134" s="369">
        <f t="shared" si="120"/>
        <v>308.30000000000018</v>
      </c>
      <c r="Q134" s="369">
        <f t="shared" si="186"/>
        <v>1309.3699999999999</v>
      </c>
      <c r="R134" s="369">
        <f t="shared" si="173"/>
        <v>134.16999999999999</v>
      </c>
      <c r="S134" s="369">
        <f t="shared" si="174"/>
        <v>188.55</v>
      </c>
      <c r="T134" s="369">
        <f t="shared" si="171"/>
        <v>1940.39</v>
      </c>
      <c r="U134" s="369">
        <f t="shared" si="121"/>
        <v>18992.610000000004</v>
      </c>
      <c r="V134" s="369">
        <f t="shared" si="122"/>
        <v>103950.31000000004</v>
      </c>
      <c r="W134" s="369">
        <f t="shared" si="187"/>
        <v>224155.89000000004</v>
      </c>
      <c r="X134" s="538">
        <f t="shared" si="113"/>
        <v>47979</v>
      </c>
      <c r="Y134" s="369">
        <f t="shared" si="188"/>
        <v>285956.18</v>
      </c>
      <c r="Z134" s="528">
        <f t="shared" si="104"/>
        <v>7.0000000000000007E-2</v>
      </c>
      <c r="AA134" s="369">
        <f t="shared" si="105"/>
        <v>1746.44</v>
      </c>
      <c r="AB134" s="369">
        <f t="shared" si="189"/>
        <v>78.360000000000127</v>
      </c>
      <c r="AC134" s="369">
        <f t="shared" si="106"/>
        <v>1668.08</v>
      </c>
      <c r="AD134" s="369">
        <f t="shared" ref="AD134:AE134" si="202">+AD133</f>
        <v>134.16999999999999</v>
      </c>
      <c r="AE134" s="369">
        <f t="shared" si="202"/>
        <v>188.55</v>
      </c>
      <c r="AF134" s="369">
        <f t="shared" si="191"/>
        <v>2069.1600000000003</v>
      </c>
      <c r="AG134" s="369">
        <f t="shared" si="192"/>
        <v>29046.28</v>
      </c>
      <c r="AH134" s="369">
        <f t="shared" si="193"/>
        <v>94636.96</v>
      </c>
      <c r="AI134" s="546">
        <f t="shared" si="176"/>
        <v>-740.31999999999971</v>
      </c>
      <c r="AJ134" s="546">
        <f t="shared" si="134"/>
        <v>-61721.929999999964</v>
      </c>
      <c r="AK134" s="546">
        <f t="shared" si="177"/>
        <v>-62462.249999999964</v>
      </c>
      <c r="AL134" s="369">
        <f t="shared" si="194"/>
        <v>285877.82</v>
      </c>
      <c r="AM134" s="450">
        <f t="shared" si="115"/>
        <v>6</v>
      </c>
      <c r="AN134" s="21">
        <f t="shared" si="178"/>
        <v>1196.26</v>
      </c>
      <c r="AO134" s="21">
        <f t="shared" si="153"/>
        <v>229633.69999999995</v>
      </c>
      <c r="AP134" s="21">
        <f t="shared" si="179"/>
        <v>1325.03</v>
      </c>
      <c r="AQ134" s="21"/>
      <c r="AR134" s="23"/>
      <c r="AS134" s="21">
        <f t="shared" si="109"/>
        <v>1196.26</v>
      </c>
      <c r="AT134" s="21">
        <f t="shared" si="116"/>
        <v>90435.199999999924</v>
      </c>
      <c r="AU134" s="369">
        <f t="shared" si="117"/>
        <v>818.18775802775644</v>
      </c>
      <c r="AV134" s="369">
        <f t="shared" si="118"/>
        <v>84944.790969130365</v>
      </c>
    </row>
    <row r="135" spans="1:48" x14ac:dyDescent="0.25">
      <c r="A135" s="535">
        <f t="shared" si="181"/>
        <v>48009</v>
      </c>
      <c r="B135" s="300">
        <f t="shared" si="110"/>
        <v>66609.679999999978</v>
      </c>
      <c r="C135" s="14">
        <f t="shared" si="101"/>
        <v>421.41</v>
      </c>
      <c r="D135" s="14">
        <f t="shared" si="119"/>
        <v>171.62000000000003</v>
      </c>
      <c r="E135" s="14">
        <f t="shared" si="102"/>
        <v>249.79</v>
      </c>
      <c r="F135" s="14">
        <f t="shared" si="170"/>
        <v>134.16999999999999</v>
      </c>
      <c r="G135" s="14">
        <f t="shared" si="167"/>
        <v>188.55</v>
      </c>
      <c r="H135" s="14">
        <f t="shared" si="168"/>
        <v>744.13000000000011</v>
      </c>
      <c r="I135" s="300">
        <f t="shared" si="182"/>
        <v>17043.36</v>
      </c>
      <c r="J135" s="300">
        <f t="shared" si="183"/>
        <v>34259.139999999978</v>
      </c>
      <c r="K135" s="300">
        <f t="shared" si="184"/>
        <v>66438.059999999983</v>
      </c>
      <c r="L135" s="449">
        <f t="shared" si="155"/>
        <v>6</v>
      </c>
      <c r="M135" s="449">
        <f t="shared" si="111"/>
        <v>76</v>
      </c>
      <c r="N135" s="300">
        <f t="shared" si="112"/>
        <v>224155.89000000004</v>
      </c>
      <c r="O135" s="300">
        <f t="shared" si="185"/>
        <v>1617.67</v>
      </c>
      <c r="P135" s="300">
        <f t="shared" si="120"/>
        <v>310.09000000000015</v>
      </c>
      <c r="Q135" s="300">
        <f t="shared" si="186"/>
        <v>1307.58</v>
      </c>
      <c r="R135" s="300">
        <f t="shared" si="173"/>
        <v>134.16999999999999</v>
      </c>
      <c r="S135" s="300">
        <f t="shared" si="174"/>
        <v>188.55</v>
      </c>
      <c r="T135" s="300">
        <f t="shared" si="171"/>
        <v>1940.39</v>
      </c>
      <c r="U135" s="300">
        <f t="shared" si="121"/>
        <v>19302.700000000004</v>
      </c>
      <c r="V135" s="300">
        <f t="shared" si="122"/>
        <v>105257.89000000004</v>
      </c>
      <c r="W135" s="300">
        <f t="shared" si="187"/>
        <v>223845.80000000005</v>
      </c>
      <c r="X135" s="535">
        <f t="shared" si="113"/>
        <v>48009</v>
      </c>
      <c r="Y135" s="300">
        <f t="shared" si="188"/>
        <v>285877.82</v>
      </c>
      <c r="Z135" s="527">
        <f t="shared" si="104"/>
        <v>7.0000000000000007E-2</v>
      </c>
      <c r="AA135" s="300">
        <f t="shared" si="105"/>
        <v>1746.44</v>
      </c>
      <c r="AB135" s="300">
        <f t="shared" si="189"/>
        <v>78.820000000000164</v>
      </c>
      <c r="AC135" s="300">
        <f t="shared" si="106"/>
        <v>1667.62</v>
      </c>
      <c r="AD135" s="300">
        <f t="shared" ref="AD135:AE135" si="203">+AD134</f>
        <v>134.16999999999999</v>
      </c>
      <c r="AE135" s="300">
        <f t="shared" si="203"/>
        <v>188.55</v>
      </c>
      <c r="AF135" s="300">
        <f t="shared" si="191"/>
        <v>2069.1600000000003</v>
      </c>
      <c r="AG135" s="300">
        <f t="shared" si="192"/>
        <v>29125.1</v>
      </c>
      <c r="AH135" s="300">
        <f t="shared" si="193"/>
        <v>96304.58</v>
      </c>
      <c r="AI135" s="545">
        <f t="shared" si="176"/>
        <v>-869.08999999999969</v>
      </c>
      <c r="AJ135" s="545">
        <f t="shared" si="134"/>
        <v>-61953.199999999953</v>
      </c>
      <c r="AK135" s="545">
        <f t="shared" si="177"/>
        <v>-62822.28999999995</v>
      </c>
      <c r="AL135" s="300">
        <f t="shared" si="194"/>
        <v>285799</v>
      </c>
      <c r="AM135" s="449">
        <f t="shared" si="115"/>
        <v>6</v>
      </c>
      <c r="AN135" s="14">
        <f t="shared" si="178"/>
        <v>1196.26</v>
      </c>
      <c r="AO135" s="14">
        <f t="shared" si="153"/>
        <v>229495.22999999998</v>
      </c>
      <c r="AP135" s="14">
        <f t="shared" si="179"/>
        <v>1325.03</v>
      </c>
      <c r="AS135" s="14">
        <f t="shared" si="109"/>
        <v>1196.26</v>
      </c>
      <c r="AT135" s="14">
        <f t="shared" si="116"/>
        <v>91631.459999999919</v>
      </c>
      <c r="AU135" s="300">
        <f t="shared" si="117"/>
        <v>820.23322742282573</v>
      </c>
      <c r="AV135" s="300">
        <f t="shared" si="118"/>
        <v>85765.02419655319</v>
      </c>
    </row>
    <row r="136" spans="1:48" x14ac:dyDescent="0.25">
      <c r="A136" s="535">
        <f t="shared" si="181"/>
        <v>48039</v>
      </c>
      <c r="B136" s="300">
        <f t="shared" si="110"/>
        <v>66438.059999999983</v>
      </c>
      <c r="C136" s="14">
        <f t="shared" si="101"/>
        <v>421.41</v>
      </c>
      <c r="D136" s="14">
        <f t="shared" si="119"/>
        <v>172.27000000000004</v>
      </c>
      <c r="E136" s="14">
        <f t="shared" si="102"/>
        <v>249.14</v>
      </c>
      <c r="F136" s="14">
        <f t="shared" si="170"/>
        <v>134.16999999999999</v>
      </c>
      <c r="G136" s="14">
        <f t="shared" si="167"/>
        <v>188.55</v>
      </c>
      <c r="H136" s="14">
        <f t="shared" si="168"/>
        <v>744.13000000000011</v>
      </c>
      <c r="I136" s="300">
        <f t="shared" si="182"/>
        <v>17215.63</v>
      </c>
      <c r="J136" s="300">
        <f t="shared" si="183"/>
        <v>34508.279999999977</v>
      </c>
      <c r="K136" s="300">
        <f t="shared" si="184"/>
        <v>66265.789999999979</v>
      </c>
      <c r="L136" s="449">
        <f t="shared" si="155"/>
        <v>6</v>
      </c>
      <c r="M136" s="449">
        <f t="shared" si="111"/>
        <v>77</v>
      </c>
      <c r="N136" s="300">
        <f t="shared" si="112"/>
        <v>223845.80000000005</v>
      </c>
      <c r="O136" s="300">
        <f t="shared" si="185"/>
        <v>1617.67</v>
      </c>
      <c r="P136" s="300">
        <f t="shared" si="120"/>
        <v>311.90000000000009</v>
      </c>
      <c r="Q136" s="300">
        <f t="shared" si="186"/>
        <v>1305.77</v>
      </c>
      <c r="R136" s="300">
        <f t="shared" si="173"/>
        <v>134.16999999999999</v>
      </c>
      <c r="S136" s="300">
        <f t="shared" si="174"/>
        <v>188.55</v>
      </c>
      <c r="T136" s="300">
        <f t="shared" si="171"/>
        <v>1940.39</v>
      </c>
      <c r="U136" s="300">
        <f t="shared" si="121"/>
        <v>19614.600000000006</v>
      </c>
      <c r="V136" s="300">
        <f t="shared" si="122"/>
        <v>106563.66000000005</v>
      </c>
      <c r="W136" s="300">
        <f t="shared" si="187"/>
        <v>223533.90000000005</v>
      </c>
      <c r="X136" s="535">
        <f t="shared" si="113"/>
        <v>48039</v>
      </c>
      <c r="Y136" s="300">
        <f t="shared" si="188"/>
        <v>285799</v>
      </c>
      <c r="Z136" s="527">
        <f t="shared" si="104"/>
        <v>7.0000000000000007E-2</v>
      </c>
      <c r="AA136" s="300">
        <f t="shared" si="105"/>
        <v>1746.44</v>
      </c>
      <c r="AB136" s="300">
        <f t="shared" si="189"/>
        <v>79.279999999999973</v>
      </c>
      <c r="AC136" s="300">
        <f t="shared" si="106"/>
        <v>1667.16</v>
      </c>
      <c r="AD136" s="300">
        <f t="shared" ref="AD136:AE136" si="204">+AD135</f>
        <v>134.16999999999999</v>
      </c>
      <c r="AE136" s="300">
        <f t="shared" si="204"/>
        <v>188.55</v>
      </c>
      <c r="AF136" s="300">
        <f t="shared" si="191"/>
        <v>2069.1600000000003</v>
      </c>
      <c r="AG136" s="300">
        <f t="shared" si="192"/>
        <v>29204.379999999997</v>
      </c>
      <c r="AH136" s="300">
        <f t="shared" si="193"/>
        <v>97971.74</v>
      </c>
      <c r="AI136" s="545">
        <f t="shared" si="176"/>
        <v>-997.85999999999967</v>
      </c>
      <c r="AJ136" s="545">
        <f t="shared" si="134"/>
        <v>-62185.81999999992</v>
      </c>
      <c r="AK136" s="545">
        <f t="shared" si="177"/>
        <v>-63183.67999999992</v>
      </c>
      <c r="AL136" s="300">
        <f t="shared" si="194"/>
        <v>285719.71999999997</v>
      </c>
      <c r="AM136" s="449">
        <f t="shared" si="115"/>
        <v>6</v>
      </c>
      <c r="AN136" s="14">
        <f t="shared" si="178"/>
        <v>1196.26</v>
      </c>
      <c r="AO136" s="14">
        <f t="shared" si="153"/>
        <v>229355.59999999998</v>
      </c>
      <c r="AP136" s="14">
        <f t="shared" si="179"/>
        <v>1325.03</v>
      </c>
      <c r="AS136" s="14">
        <f t="shared" si="109"/>
        <v>1196.26</v>
      </c>
      <c r="AT136" s="14">
        <f t="shared" si="116"/>
        <v>92827.719999999914</v>
      </c>
      <c r="AU136" s="300">
        <f t="shared" si="117"/>
        <v>822.28381049138295</v>
      </c>
      <c r="AV136" s="300">
        <f t="shared" si="118"/>
        <v>86587.308007044572</v>
      </c>
    </row>
    <row r="137" spans="1:48" x14ac:dyDescent="0.25">
      <c r="A137" s="535">
        <f t="shared" si="181"/>
        <v>48069</v>
      </c>
      <c r="B137" s="300">
        <f t="shared" si="110"/>
        <v>66265.789999999979</v>
      </c>
      <c r="C137" s="14">
        <f t="shared" si="101"/>
        <v>421.41</v>
      </c>
      <c r="D137" s="14">
        <f t="shared" si="119"/>
        <v>172.91000000000003</v>
      </c>
      <c r="E137" s="14">
        <f t="shared" si="102"/>
        <v>248.5</v>
      </c>
      <c r="F137" s="14">
        <f t="shared" si="170"/>
        <v>134.16999999999999</v>
      </c>
      <c r="G137" s="14">
        <f t="shared" si="167"/>
        <v>188.55</v>
      </c>
      <c r="H137" s="14">
        <f t="shared" si="168"/>
        <v>744.13000000000011</v>
      </c>
      <c r="I137" s="300">
        <f t="shared" si="182"/>
        <v>17388.54</v>
      </c>
      <c r="J137" s="300">
        <f t="shared" si="183"/>
        <v>34756.779999999977</v>
      </c>
      <c r="K137" s="300">
        <f t="shared" si="184"/>
        <v>66092.879999999976</v>
      </c>
      <c r="L137" s="449">
        <f t="shared" si="155"/>
        <v>6</v>
      </c>
      <c r="M137" s="449">
        <f t="shared" si="111"/>
        <v>78</v>
      </c>
      <c r="N137" s="300">
        <f t="shared" si="112"/>
        <v>223533.90000000005</v>
      </c>
      <c r="O137" s="300">
        <f t="shared" si="185"/>
        <v>1617.67</v>
      </c>
      <c r="P137" s="300">
        <f t="shared" si="120"/>
        <v>313.72000000000003</v>
      </c>
      <c r="Q137" s="300">
        <f t="shared" si="186"/>
        <v>1303.95</v>
      </c>
      <c r="R137" s="300">
        <f t="shared" si="173"/>
        <v>134.16999999999999</v>
      </c>
      <c r="S137" s="300">
        <f t="shared" si="174"/>
        <v>188.55</v>
      </c>
      <c r="T137" s="300">
        <f t="shared" si="171"/>
        <v>1940.39</v>
      </c>
      <c r="U137" s="300">
        <f t="shared" si="121"/>
        <v>19928.320000000007</v>
      </c>
      <c r="V137" s="300">
        <f t="shared" si="122"/>
        <v>107867.61000000004</v>
      </c>
      <c r="W137" s="300">
        <f t="shared" si="187"/>
        <v>223220.18000000005</v>
      </c>
      <c r="X137" s="535">
        <f t="shared" si="113"/>
        <v>48069</v>
      </c>
      <c r="Y137" s="300">
        <f t="shared" si="188"/>
        <v>285719.71999999997</v>
      </c>
      <c r="Z137" s="527">
        <f t="shared" si="104"/>
        <v>7.0000000000000007E-2</v>
      </c>
      <c r="AA137" s="300">
        <f t="shared" si="105"/>
        <v>1746.44</v>
      </c>
      <c r="AB137" s="300">
        <f t="shared" si="189"/>
        <v>79.740000000000009</v>
      </c>
      <c r="AC137" s="300">
        <f t="shared" si="106"/>
        <v>1666.7</v>
      </c>
      <c r="AD137" s="300">
        <f t="shared" ref="AD137:AE137" si="205">+AD136</f>
        <v>134.16999999999999</v>
      </c>
      <c r="AE137" s="300">
        <f t="shared" si="205"/>
        <v>188.55</v>
      </c>
      <c r="AF137" s="300">
        <f t="shared" si="191"/>
        <v>2069.1600000000003</v>
      </c>
      <c r="AG137" s="300">
        <f t="shared" si="192"/>
        <v>29284.12</v>
      </c>
      <c r="AH137" s="300">
        <f t="shared" si="193"/>
        <v>99638.44</v>
      </c>
      <c r="AI137" s="545">
        <f t="shared" si="176"/>
        <v>-1126.6299999999997</v>
      </c>
      <c r="AJ137" s="545">
        <f t="shared" si="134"/>
        <v>-62419.79999999993</v>
      </c>
      <c r="AK137" s="545">
        <f t="shared" si="177"/>
        <v>-63546.429999999928</v>
      </c>
      <c r="AL137" s="300">
        <f t="shared" si="194"/>
        <v>285639.98</v>
      </c>
      <c r="AM137" s="449">
        <f t="shared" si="115"/>
        <v>6</v>
      </c>
      <c r="AN137" s="14">
        <f t="shared" si="178"/>
        <v>1196.26</v>
      </c>
      <c r="AO137" s="14">
        <f t="shared" si="153"/>
        <v>229214.78999999998</v>
      </c>
      <c r="AP137" s="14">
        <f t="shared" si="179"/>
        <v>1325.03</v>
      </c>
      <c r="AS137" s="14">
        <f t="shared" si="109"/>
        <v>1196.26</v>
      </c>
      <c r="AT137" s="14">
        <f t="shared" si="116"/>
        <v>94023.979999999909</v>
      </c>
      <c r="AU137" s="300">
        <f t="shared" si="117"/>
        <v>824.33952001761145</v>
      </c>
      <c r="AV137" s="300">
        <f t="shared" si="118"/>
        <v>87411.647527062189</v>
      </c>
    </row>
    <row r="138" spans="1:48" x14ac:dyDescent="0.25">
      <c r="A138" s="535">
        <f t="shared" si="181"/>
        <v>48099</v>
      </c>
      <c r="B138" s="300">
        <f t="shared" si="110"/>
        <v>66092.879999999976</v>
      </c>
      <c r="C138" s="14">
        <f t="shared" si="101"/>
        <v>421.41</v>
      </c>
      <c r="D138" s="14">
        <f t="shared" si="119"/>
        <v>173.56000000000003</v>
      </c>
      <c r="E138" s="14">
        <f t="shared" si="102"/>
        <v>247.85</v>
      </c>
      <c r="F138" s="14">
        <f t="shared" si="170"/>
        <v>134.16999999999999</v>
      </c>
      <c r="G138" s="14">
        <f t="shared" si="167"/>
        <v>188.55</v>
      </c>
      <c r="H138" s="14">
        <f t="shared" si="168"/>
        <v>744.13000000000011</v>
      </c>
      <c r="I138" s="300">
        <f t="shared" si="182"/>
        <v>17562.100000000002</v>
      </c>
      <c r="J138" s="300">
        <f t="shared" si="183"/>
        <v>35004.629999999976</v>
      </c>
      <c r="K138" s="300">
        <f t="shared" si="184"/>
        <v>65919.319999999978</v>
      </c>
      <c r="L138" s="449">
        <f t="shared" si="155"/>
        <v>6</v>
      </c>
      <c r="M138" s="449">
        <f t="shared" si="111"/>
        <v>79</v>
      </c>
      <c r="N138" s="300">
        <f t="shared" si="112"/>
        <v>223220.18000000005</v>
      </c>
      <c r="O138" s="300">
        <f t="shared" si="185"/>
        <v>1617.67</v>
      </c>
      <c r="P138" s="300">
        <f t="shared" si="120"/>
        <v>315.55000000000018</v>
      </c>
      <c r="Q138" s="300">
        <f t="shared" si="186"/>
        <v>1302.1199999999999</v>
      </c>
      <c r="R138" s="300">
        <f t="shared" si="173"/>
        <v>134.16999999999999</v>
      </c>
      <c r="S138" s="300">
        <f t="shared" si="174"/>
        <v>188.55</v>
      </c>
      <c r="T138" s="300">
        <f t="shared" si="171"/>
        <v>1940.39</v>
      </c>
      <c r="U138" s="300">
        <f t="shared" si="121"/>
        <v>20243.870000000006</v>
      </c>
      <c r="V138" s="300">
        <f t="shared" si="122"/>
        <v>109169.73000000004</v>
      </c>
      <c r="W138" s="300">
        <f t="shared" si="187"/>
        <v>222904.63000000006</v>
      </c>
      <c r="X138" s="535">
        <f t="shared" si="113"/>
        <v>48099</v>
      </c>
      <c r="Y138" s="300">
        <f t="shared" si="188"/>
        <v>285639.98</v>
      </c>
      <c r="Z138" s="527">
        <f t="shared" si="104"/>
        <v>7.0000000000000007E-2</v>
      </c>
      <c r="AA138" s="300">
        <f t="shared" si="105"/>
        <v>1746.44</v>
      </c>
      <c r="AB138" s="300">
        <f t="shared" si="189"/>
        <v>80.210000000000036</v>
      </c>
      <c r="AC138" s="300">
        <f t="shared" si="106"/>
        <v>1666.23</v>
      </c>
      <c r="AD138" s="300">
        <f t="shared" ref="AD138:AE138" si="206">+AD137</f>
        <v>134.16999999999999</v>
      </c>
      <c r="AE138" s="300">
        <f t="shared" si="206"/>
        <v>188.55</v>
      </c>
      <c r="AF138" s="300">
        <f t="shared" si="191"/>
        <v>2069.1600000000003</v>
      </c>
      <c r="AG138" s="300">
        <f t="shared" si="192"/>
        <v>29364.329999999998</v>
      </c>
      <c r="AH138" s="300">
        <f t="shared" si="193"/>
        <v>101304.67</v>
      </c>
      <c r="AI138" s="545">
        <f t="shared" si="176"/>
        <v>-1255.3999999999996</v>
      </c>
      <c r="AJ138" s="545">
        <f t="shared" si="134"/>
        <v>-62655.139999999898</v>
      </c>
      <c r="AK138" s="545">
        <f t="shared" si="177"/>
        <v>-63910.539999999899</v>
      </c>
      <c r="AL138" s="300">
        <f t="shared" si="194"/>
        <v>285559.76999999996</v>
      </c>
      <c r="AM138" s="449">
        <f t="shared" si="115"/>
        <v>6</v>
      </c>
      <c r="AN138" s="14">
        <f t="shared" si="178"/>
        <v>1196.26</v>
      </c>
      <c r="AO138" s="14">
        <f t="shared" si="153"/>
        <v>229072.8</v>
      </c>
      <c r="AP138" s="14">
        <f t="shared" si="179"/>
        <v>1325.03</v>
      </c>
      <c r="AS138" s="14">
        <f t="shared" si="109"/>
        <v>1196.26</v>
      </c>
      <c r="AT138" s="14">
        <f t="shared" si="116"/>
        <v>95220.239999999903</v>
      </c>
      <c r="AU138" s="300">
        <f t="shared" si="117"/>
        <v>826.40036881765548</v>
      </c>
      <c r="AV138" s="300">
        <f t="shared" si="118"/>
        <v>88238.047895879849</v>
      </c>
    </row>
    <row r="139" spans="1:48" x14ac:dyDescent="0.25">
      <c r="A139" s="535">
        <f t="shared" si="181"/>
        <v>48129</v>
      </c>
      <c r="B139" s="300">
        <f t="shared" si="110"/>
        <v>65919.319999999978</v>
      </c>
      <c r="C139" s="14">
        <f t="shared" si="101"/>
        <v>421.41</v>
      </c>
      <c r="D139" s="14">
        <f t="shared" si="119"/>
        <v>174.21000000000004</v>
      </c>
      <c r="E139" s="14">
        <f t="shared" si="102"/>
        <v>247.2</v>
      </c>
      <c r="F139" s="14">
        <f t="shared" si="170"/>
        <v>134.16999999999999</v>
      </c>
      <c r="G139" s="14">
        <f t="shared" si="167"/>
        <v>188.55</v>
      </c>
      <c r="H139" s="14">
        <f t="shared" si="168"/>
        <v>744.13000000000011</v>
      </c>
      <c r="I139" s="300">
        <f t="shared" si="182"/>
        <v>17736.310000000001</v>
      </c>
      <c r="J139" s="300">
        <f t="shared" si="183"/>
        <v>35251.829999999973</v>
      </c>
      <c r="K139" s="300">
        <f t="shared" si="184"/>
        <v>65745.109999999971</v>
      </c>
      <c r="L139" s="449">
        <f t="shared" si="155"/>
        <v>6</v>
      </c>
      <c r="M139" s="449">
        <f t="shared" si="111"/>
        <v>80</v>
      </c>
      <c r="N139" s="300">
        <f t="shared" si="112"/>
        <v>222904.63000000006</v>
      </c>
      <c r="O139" s="300">
        <f t="shared" si="185"/>
        <v>1617.67</v>
      </c>
      <c r="P139" s="300">
        <f t="shared" si="120"/>
        <v>317.3900000000001</v>
      </c>
      <c r="Q139" s="300">
        <f t="shared" si="186"/>
        <v>1300.28</v>
      </c>
      <c r="R139" s="300">
        <f t="shared" si="173"/>
        <v>134.16999999999999</v>
      </c>
      <c r="S139" s="300">
        <f t="shared" si="174"/>
        <v>188.55</v>
      </c>
      <c r="T139" s="300">
        <f t="shared" si="171"/>
        <v>1940.39</v>
      </c>
      <c r="U139" s="300">
        <f t="shared" si="121"/>
        <v>20561.260000000006</v>
      </c>
      <c r="V139" s="300">
        <f t="shared" si="122"/>
        <v>110470.01000000004</v>
      </c>
      <c r="W139" s="300">
        <f t="shared" si="187"/>
        <v>222587.24000000005</v>
      </c>
      <c r="X139" s="535">
        <f t="shared" si="113"/>
        <v>48129</v>
      </c>
      <c r="Y139" s="300">
        <f t="shared" si="188"/>
        <v>285559.76999999996</v>
      </c>
      <c r="Z139" s="527">
        <f t="shared" si="104"/>
        <v>7.0000000000000007E-2</v>
      </c>
      <c r="AA139" s="300">
        <f t="shared" si="105"/>
        <v>1746.44</v>
      </c>
      <c r="AB139" s="300">
        <f t="shared" si="189"/>
        <v>80.670000000000073</v>
      </c>
      <c r="AC139" s="300">
        <f t="shared" si="106"/>
        <v>1665.77</v>
      </c>
      <c r="AD139" s="300">
        <f t="shared" ref="AD139:AE139" si="207">+AD138</f>
        <v>134.16999999999999</v>
      </c>
      <c r="AE139" s="300">
        <f t="shared" si="207"/>
        <v>188.55</v>
      </c>
      <c r="AF139" s="300">
        <f t="shared" si="191"/>
        <v>2069.1600000000003</v>
      </c>
      <c r="AG139" s="300">
        <f t="shared" si="192"/>
        <v>29445</v>
      </c>
      <c r="AH139" s="300">
        <f t="shared" si="193"/>
        <v>102970.44</v>
      </c>
      <c r="AI139" s="545">
        <f t="shared" si="176"/>
        <v>-1384.1699999999996</v>
      </c>
      <c r="AJ139" s="545">
        <f t="shared" si="134"/>
        <v>-62891.859999999928</v>
      </c>
      <c r="AK139" s="545">
        <f t="shared" si="177"/>
        <v>-64276.029999999926</v>
      </c>
      <c r="AL139" s="300">
        <f t="shared" si="194"/>
        <v>285479.09999999998</v>
      </c>
      <c r="AM139" s="449">
        <f t="shared" si="115"/>
        <v>6</v>
      </c>
      <c r="AN139" s="14">
        <f t="shared" si="178"/>
        <v>1196.26</v>
      </c>
      <c r="AO139" s="14">
        <f t="shared" si="153"/>
        <v>228929.61999999997</v>
      </c>
      <c r="AP139" s="14">
        <f t="shared" si="179"/>
        <v>1325.03</v>
      </c>
      <c r="AS139" s="14">
        <f t="shared" si="109"/>
        <v>1196.26</v>
      </c>
      <c r="AT139" s="14">
        <f t="shared" si="116"/>
        <v>96416.499999999898</v>
      </c>
      <c r="AU139" s="300">
        <f t="shared" si="117"/>
        <v>828.46636973969953</v>
      </c>
      <c r="AV139" s="300">
        <f t="shared" si="118"/>
        <v>89066.514265619553</v>
      </c>
    </row>
    <row r="140" spans="1:48" x14ac:dyDescent="0.25">
      <c r="A140" s="535">
        <f t="shared" si="181"/>
        <v>48159</v>
      </c>
      <c r="B140" s="300">
        <f t="shared" si="110"/>
        <v>65745.109999999971</v>
      </c>
      <c r="C140" s="14">
        <f t="shared" si="101"/>
        <v>421.41</v>
      </c>
      <c r="D140" s="14">
        <f t="shared" si="119"/>
        <v>174.87000000000003</v>
      </c>
      <c r="E140" s="14">
        <f t="shared" si="102"/>
        <v>246.54</v>
      </c>
      <c r="F140" s="14">
        <f t="shared" si="170"/>
        <v>134.16999999999999</v>
      </c>
      <c r="G140" s="14">
        <f t="shared" si="167"/>
        <v>188.55</v>
      </c>
      <c r="H140" s="14">
        <f t="shared" si="168"/>
        <v>744.13000000000011</v>
      </c>
      <c r="I140" s="300">
        <f t="shared" si="182"/>
        <v>17911.18</v>
      </c>
      <c r="J140" s="300">
        <f t="shared" si="183"/>
        <v>35498.369999999974</v>
      </c>
      <c r="K140" s="300">
        <f t="shared" si="184"/>
        <v>65570.239999999976</v>
      </c>
      <c r="L140" s="449">
        <f t="shared" si="155"/>
        <v>6</v>
      </c>
      <c r="M140" s="449">
        <f t="shared" si="111"/>
        <v>81</v>
      </c>
      <c r="N140" s="300">
        <f t="shared" si="112"/>
        <v>222587.24000000005</v>
      </c>
      <c r="O140" s="300">
        <f t="shared" si="185"/>
        <v>1617.67</v>
      </c>
      <c r="P140" s="300">
        <f t="shared" si="120"/>
        <v>319.24</v>
      </c>
      <c r="Q140" s="300">
        <f t="shared" si="186"/>
        <v>1298.43</v>
      </c>
      <c r="R140" s="300">
        <f t="shared" si="173"/>
        <v>134.16999999999999</v>
      </c>
      <c r="S140" s="300">
        <f t="shared" si="174"/>
        <v>188.55</v>
      </c>
      <c r="T140" s="300">
        <f t="shared" si="171"/>
        <v>1940.39</v>
      </c>
      <c r="U140" s="300">
        <f t="shared" si="121"/>
        <v>20880.500000000007</v>
      </c>
      <c r="V140" s="300">
        <f t="shared" si="122"/>
        <v>111768.44000000003</v>
      </c>
      <c r="W140" s="300">
        <f t="shared" si="187"/>
        <v>222268.00000000006</v>
      </c>
      <c r="X140" s="535">
        <f t="shared" si="113"/>
        <v>48159</v>
      </c>
      <c r="Y140" s="300">
        <f t="shared" si="188"/>
        <v>285479.09999999998</v>
      </c>
      <c r="Z140" s="527">
        <f t="shared" si="104"/>
        <v>7.0000000000000007E-2</v>
      </c>
      <c r="AA140" s="300">
        <f t="shared" si="105"/>
        <v>1746.44</v>
      </c>
      <c r="AB140" s="300">
        <f t="shared" si="189"/>
        <v>81.150000000000091</v>
      </c>
      <c r="AC140" s="300">
        <f t="shared" si="106"/>
        <v>1665.29</v>
      </c>
      <c r="AD140" s="300">
        <f t="shared" ref="AD140:AE140" si="208">+AD139</f>
        <v>134.16999999999999</v>
      </c>
      <c r="AE140" s="300">
        <f t="shared" si="208"/>
        <v>188.55</v>
      </c>
      <c r="AF140" s="300">
        <f t="shared" si="191"/>
        <v>2069.1600000000003</v>
      </c>
      <c r="AG140" s="300">
        <f t="shared" si="192"/>
        <v>29526.15</v>
      </c>
      <c r="AH140" s="300">
        <f t="shared" si="193"/>
        <v>104635.73</v>
      </c>
      <c r="AI140" s="545">
        <f t="shared" si="176"/>
        <v>-1512.9399999999996</v>
      </c>
      <c r="AJ140" s="545">
        <f t="shared" si="134"/>
        <v>-63129.949999999895</v>
      </c>
      <c r="AK140" s="545">
        <f t="shared" si="177"/>
        <v>-64642.889999999898</v>
      </c>
      <c r="AL140" s="300">
        <f t="shared" si="194"/>
        <v>285397.94999999995</v>
      </c>
      <c r="AM140" s="449">
        <f t="shared" si="115"/>
        <v>6</v>
      </c>
      <c r="AN140" s="14">
        <f t="shared" si="178"/>
        <v>1196.26</v>
      </c>
      <c r="AO140" s="14">
        <f t="shared" si="153"/>
        <v>228785.24999999997</v>
      </c>
      <c r="AP140" s="14">
        <f t="shared" si="179"/>
        <v>1325.03</v>
      </c>
      <c r="AS140" s="14">
        <f t="shared" si="109"/>
        <v>1196.26</v>
      </c>
      <c r="AT140" s="14">
        <f t="shared" si="116"/>
        <v>97612.759999999893</v>
      </c>
      <c r="AU140" s="300">
        <f t="shared" si="117"/>
        <v>830.53753566404885</v>
      </c>
      <c r="AV140" s="300">
        <f t="shared" si="118"/>
        <v>89897.051801283596</v>
      </c>
    </row>
    <row r="141" spans="1:48" x14ac:dyDescent="0.25">
      <c r="A141" s="535">
        <f t="shared" si="181"/>
        <v>48189</v>
      </c>
      <c r="B141" s="300">
        <f t="shared" si="110"/>
        <v>65570.239999999976</v>
      </c>
      <c r="C141" s="14">
        <f t="shared" si="101"/>
        <v>421.41</v>
      </c>
      <c r="D141" s="14">
        <f t="shared" si="119"/>
        <v>175.52000000000004</v>
      </c>
      <c r="E141" s="14">
        <f t="shared" si="102"/>
        <v>245.89</v>
      </c>
      <c r="F141" s="14">
        <f t="shared" si="170"/>
        <v>134.16999999999999</v>
      </c>
      <c r="G141" s="14">
        <f t="shared" si="167"/>
        <v>188.55</v>
      </c>
      <c r="H141" s="14">
        <f t="shared" si="168"/>
        <v>744.13000000000011</v>
      </c>
      <c r="I141" s="300">
        <f t="shared" si="182"/>
        <v>18086.7</v>
      </c>
      <c r="J141" s="300">
        <f t="shared" si="183"/>
        <v>35744.259999999973</v>
      </c>
      <c r="K141" s="300">
        <f t="shared" si="184"/>
        <v>65394.719999999979</v>
      </c>
      <c r="L141" s="449">
        <f t="shared" si="155"/>
        <v>6</v>
      </c>
      <c r="M141" s="449">
        <f t="shared" si="111"/>
        <v>82</v>
      </c>
      <c r="N141" s="300">
        <f t="shared" si="112"/>
        <v>222268.00000000006</v>
      </c>
      <c r="O141" s="300">
        <f t="shared" si="185"/>
        <v>1617.67</v>
      </c>
      <c r="P141" s="300">
        <f t="shared" si="120"/>
        <v>321.11000000000013</v>
      </c>
      <c r="Q141" s="300">
        <f t="shared" si="186"/>
        <v>1296.56</v>
      </c>
      <c r="R141" s="300">
        <f t="shared" si="173"/>
        <v>134.16999999999999</v>
      </c>
      <c r="S141" s="300">
        <f t="shared" si="174"/>
        <v>188.55</v>
      </c>
      <c r="T141" s="300">
        <f t="shared" si="171"/>
        <v>1940.39</v>
      </c>
      <c r="U141" s="300">
        <f t="shared" si="121"/>
        <v>21201.610000000008</v>
      </c>
      <c r="V141" s="300">
        <f t="shared" si="122"/>
        <v>113065.00000000003</v>
      </c>
      <c r="W141" s="300">
        <f t="shared" si="187"/>
        <v>221946.89000000007</v>
      </c>
      <c r="X141" s="535">
        <f t="shared" si="113"/>
        <v>48189</v>
      </c>
      <c r="Y141" s="300">
        <f t="shared" si="188"/>
        <v>285397.94999999995</v>
      </c>
      <c r="Z141" s="527">
        <f t="shared" si="104"/>
        <v>7.0000000000000007E-2</v>
      </c>
      <c r="AA141" s="300">
        <f t="shared" si="105"/>
        <v>1746.44</v>
      </c>
      <c r="AB141" s="300">
        <f t="shared" si="189"/>
        <v>81.620000000000118</v>
      </c>
      <c r="AC141" s="300">
        <f t="shared" si="106"/>
        <v>1664.82</v>
      </c>
      <c r="AD141" s="300">
        <f t="shared" ref="AD141:AE141" si="209">+AD140</f>
        <v>134.16999999999999</v>
      </c>
      <c r="AE141" s="300">
        <f t="shared" si="209"/>
        <v>188.55</v>
      </c>
      <c r="AF141" s="300">
        <f t="shared" si="191"/>
        <v>2069.1600000000003</v>
      </c>
      <c r="AG141" s="300">
        <f t="shared" si="192"/>
        <v>29607.77</v>
      </c>
      <c r="AH141" s="300">
        <f t="shared" si="193"/>
        <v>106300.55</v>
      </c>
      <c r="AI141" s="545">
        <f t="shared" si="176"/>
        <v>-1641.7099999999996</v>
      </c>
      <c r="AJ141" s="545">
        <f t="shared" si="134"/>
        <v>-63369.439999999886</v>
      </c>
      <c r="AK141" s="545">
        <f t="shared" si="177"/>
        <v>-65011.149999999885</v>
      </c>
      <c r="AL141" s="300">
        <f t="shared" si="194"/>
        <v>285316.32999999996</v>
      </c>
      <c r="AM141" s="449">
        <f t="shared" si="115"/>
        <v>6</v>
      </c>
      <c r="AN141" s="14">
        <f t="shared" si="178"/>
        <v>1196.26</v>
      </c>
      <c r="AO141" s="14">
        <f t="shared" si="153"/>
        <v>228639.65999999997</v>
      </c>
      <c r="AP141" s="14">
        <f t="shared" si="179"/>
        <v>1325.03</v>
      </c>
      <c r="AS141" s="14">
        <f t="shared" si="109"/>
        <v>1196.26</v>
      </c>
      <c r="AT141" s="14">
        <f t="shared" si="116"/>
        <v>98809.019999999888</v>
      </c>
      <c r="AU141" s="300">
        <f t="shared" si="117"/>
        <v>832.61387950320898</v>
      </c>
      <c r="AV141" s="300">
        <f t="shared" si="118"/>
        <v>90729.665680786798</v>
      </c>
    </row>
    <row r="142" spans="1:48" x14ac:dyDescent="0.25">
      <c r="A142" s="535">
        <f t="shared" si="181"/>
        <v>48219</v>
      </c>
      <c r="B142" s="300">
        <f t="shared" si="110"/>
        <v>65394.719999999979</v>
      </c>
      <c r="C142" s="14">
        <f t="shared" si="101"/>
        <v>421.41</v>
      </c>
      <c r="D142" s="14">
        <f t="shared" si="119"/>
        <v>176.18000000000004</v>
      </c>
      <c r="E142" s="14">
        <f t="shared" si="102"/>
        <v>245.23</v>
      </c>
      <c r="F142" s="14">
        <f t="shared" si="170"/>
        <v>134.16999999999999</v>
      </c>
      <c r="G142" s="14">
        <f t="shared" si="167"/>
        <v>188.55</v>
      </c>
      <c r="H142" s="14">
        <f t="shared" si="168"/>
        <v>744.13000000000011</v>
      </c>
      <c r="I142" s="300">
        <f t="shared" si="182"/>
        <v>18262.88</v>
      </c>
      <c r="J142" s="300">
        <f t="shared" si="183"/>
        <v>35989.489999999976</v>
      </c>
      <c r="K142" s="300">
        <f t="shared" si="184"/>
        <v>65218.539999999979</v>
      </c>
      <c r="L142" s="449">
        <f t="shared" si="155"/>
        <v>6</v>
      </c>
      <c r="M142" s="449">
        <f t="shared" si="111"/>
        <v>83</v>
      </c>
      <c r="N142" s="300">
        <f t="shared" si="112"/>
        <v>221946.89000000007</v>
      </c>
      <c r="O142" s="300">
        <f t="shared" si="185"/>
        <v>1617.67</v>
      </c>
      <c r="P142" s="300">
        <f t="shared" si="120"/>
        <v>322.98</v>
      </c>
      <c r="Q142" s="300">
        <f t="shared" si="186"/>
        <v>1294.69</v>
      </c>
      <c r="R142" s="300">
        <f t="shared" si="173"/>
        <v>134.16999999999999</v>
      </c>
      <c r="S142" s="300">
        <f t="shared" si="174"/>
        <v>188.55</v>
      </c>
      <c r="T142" s="300">
        <f t="shared" si="171"/>
        <v>1940.39</v>
      </c>
      <c r="U142" s="300">
        <f t="shared" si="121"/>
        <v>21524.590000000007</v>
      </c>
      <c r="V142" s="300">
        <f t="shared" si="122"/>
        <v>114359.69000000003</v>
      </c>
      <c r="W142" s="300">
        <f t="shared" si="187"/>
        <v>221623.91000000006</v>
      </c>
      <c r="X142" s="535">
        <f t="shared" si="113"/>
        <v>48219</v>
      </c>
      <c r="Y142" s="300">
        <f t="shared" si="188"/>
        <v>285316.32999999996</v>
      </c>
      <c r="Z142" s="527">
        <f t="shared" si="104"/>
        <v>7.0000000000000007E-2</v>
      </c>
      <c r="AA142" s="300">
        <f t="shared" si="105"/>
        <v>1746.44</v>
      </c>
      <c r="AB142" s="300">
        <f t="shared" si="189"/>
        <v>82.090000000000146</v>
      </c>
      <c r="AC142" s="300">
        <f t="shared" si="106"/>
        <v>1664.35</v>
      </c>
      <c r="AD142" s="300">
        <f t="shared" ref="AD142:AE142" si="210">+AD141</f>
        <v>134.16999999999999</v>
      </c>
      <c r="AE142" s="300">
        <f t="shared" si="210"/>
        <v>188.55</v>
      </c>
      <c r="AF142" s="300">
        <f t="shared" si="191"/>
        <v>2069.1600000000003</v>
      </c>
      <c r="AG142" s="300">
        <f t="shared" si="192"/>
        <v>29689.86</v>
      </c>
      <c r="AH142" s="300">
        <f t="shared" si="193"/>
        <v>107964.90000000001</v>
      </c>
      <c r="AI142" s="545">
        <f t="shared" si="176"/>
        <v>-1770.4799999999996</v>
      </c>
      <c r="AJ142" s="545">
        <f t="shared" si="134"/>
        <v>-63610.329999999871</v>
      </c>
      <c r="AK142" s="545">
        <f t="shared" si="177"/>
        <v>-65380.809999999867</v>
      </c>
      <c r="AL142" s="300">
        <f t="shared" si="194"/>
        <v>285234.23999999993</v>
      </c>
      <c r="AM142" s="449">
        <f t="shared" si="115"/>
        <v>6</v>
      </c>
      <c r="AN142" s="14">
        <f t="shared" si="178"/>
        <v>1196.26</v>
      </c>
      <c r="AO142" s="14">
        <f t="shared" si="153"/>
        <v>228492.86</v>
      </c>
      <c r="AP142" s="14">
        <f t="shared" si="179"/>
        <v>1325.03</v>
      </c>
      <c r="AS142" s="14">
        <f t="shared" si="109"/>
        <v>1196.26</v>
      </c>
      <c r="AT142" s="14">
        <f t="shared" si="116"/>
        <v>100005.27999999988</v>
      </c>
      <c r="AU142" s="300">
        <f t="shared" si="117"/>
        <v>834.69541420196708</v>
      </c>
      <c r="AV142" s="300">
        <f t="shared" si="118"/>
        <v>91564.361094988766</v>
      </c>
    </row>
    <row r="143" spans="1:48" x14ac:dyDescent="0.25">
      <c r="A143" s="535">
        <f t="shared" si="181"/>
        <v>48249</v>
      </c>
      <c r="B143" s="300">
        <f t="shared" si="110"/>
        <v>65218.539999999979</v>
      </c>
      <c r="C143" s="14">
        <f t="shared" ref="C143:C206" si="211">IF(+$K142&lt;=0,0,$C$5)</f>
        <v>421.41</v>
      </c>
      <c r="D143" s="14">
        <f t="shared" si="119"/>
        <v>176.84000000000003</v>
      </c>
      <c r="E143" s="14">
        <f t="shared" ref="E143:E206" si="212">ROUND($B143*($C$3/12), 2)</f>
        <v>244.57</v>
      </c>
      <c r="F143" s="14">
        <f t="shared" si="170"/>
        <v>134.16999999999999</v>
      </c>
      <c r="G143" s="14">
        <f t="shared" si="167"/>
        <v>188.55</v>
      </c>
      <c r="H143" s="14">
        <f t="shared" si="168"/>
        <v>744.13000000000011</v>
      </c>
      <c r="I143" s="300">
        <f t="shared" si="182"/>
        <v>18439.72</v>
      </c>
      <c r="J143" s="300">
        <f t="shared" si="183"/>
        <v>36234.059999999976</v>
      </c>
      <c r="K143" s="300">
        <f t="shared" si="184"/>
        <v>65041.699999999983</v>
      </c>
      <c r="L143" s="449">
        <f t="shared" si="155"/>
        <v>7</v>
      </c>
      <c r="M143" s="449">
        <f t="shared" si="111"/>
        <v>84</v>
      </c>
      <c r="N143" s="300">
        <f t="shared" si="112"/>
        <v>221623.91000000006</v>
      </c>
      <c r="O143" s="300">
        <f t="shared" si="185"/>
        <v>1617.67</v>
      </c>
      <c r="P143" s="300">
        <f t="shared" si="120"/>
        <v>324.86000000000013</v>
      </c>
      <c r="Q143" s="300">
        <f t="shared" si="186"/>
        <v>1292.81</v>
      </c>
      <c r="R143" s="300">
        <f t="shared" si="173"/>
        <v>134.16999999999999</v>
      </c>
      <c r="S143" s="300">
        <f t="shared" si="174"/>
        <v>188.55</v>
      </c>
      <c r="T143" s="300">
        <f t="shared" si="171"/>
        <v>1940.39</v>
      </c>
      <c r="U143" s="300">
        <f t="shared" si="121"/>
        <v>21849.450000000008</v>
      </c>
      <c r="V143" s="300">
        <f t="shared" si="122"/>
        <v>115652.50000000003</v>
      </c>
      <c r="W143" s="300">
        <f t="shared" si="187"/>
        <v>221299.05000000008</v>
      </c>
      <c r="X143" s="535">
        <f t="shared" si="113"/>
        <v>48249</v>
      </c>
      <c r="Y143" s="300">
        <f t="shared" si="188"/>
        <v>285234.23999999993</v>
      </c>
      <c r="Z143" s="527">
        <f t="shared" ref="Z143:Z206" si="213">IF(L143&gt;4,$AA$9,$AA$8)</f>
        <v>7.0000000000000007E-2</v>
      </c>
      <c r="AA143" s="300">
        <f t="shared" ref="AA143:AA206" si="214">IF($O$9&lt;=$A143,IF(+AL142&lt;=0,0,IF(Z143=$AA$8,$Z$8,$Z$9)),0)</f>
        <v>1746.44</v>
      </c>
      <c r="AB143" s="300">
        <f t="shared" si="189"/>
        <v>82.570000000000164</v>
      </c>
      <c r="AC143" s="300">
        <f t="shared" ref="AC143:AC206" si="215">IF($O$9&lt;=$A143,ROUND(Y143*(Z143/12),2),0)</f>
        <v>1663.87</v>
      </c>
      <c r="AD143" s="300">
        <f t="shared" ref="AD143:AE143" si="216">+AD142</f>
        <v>134.16999999999999</v>
      </c>
      <c r="AE143" s="300">
        <f t="shared" si="216"/>
        <v>188.55</v>
      </c>
      <c r="AF143" s="300">
        <f t="shared" si="191"/>
        <v>2069.1600000000003</v>
      </c>
      <c r="AG143" s="300">
        <f t="shared" si="192"/>
        <v>29772.43</v>
      </c>
      <c r="AH143" s="300">
        <f t="shared" si="193"/>
        <v>109628.77</v>
      </c>
      <c r="AI143" s="545">
        <f t="shared" si="176"/>
        <v>-1899.2499999999995</v>
      </c>
      <c r="AJ143" s="545">
        <f t="shared" si="134"/>
        <v>-63852.61999999985</v>
      </c>
      <c r="AK143" s="545">
        <f t="shared" si="177"/>
        <v>-65751.86999999985</v>
      </c>
      <c r="AL143" s="300">
        <f t="shared" si="194"/>
        <v>285151.66999999993</v>
      </c>
      <c r="AM143" s="449">
        <f t="shared" si="115"/>
        <v>7</v>
      </c>
      <c r="AN143" s="14">
        <f t="shared" si="178"/>
        <v>1196.26</v>
      </c>
      <c r="AO143" s="14">
        <f t="shared" si="153"/>
        <v>228344.83999999997</v>
      </c>
      <c r="AP143" s="14">
        <f t="shared" si="179"/>
        <v>1325.03</v>
      </c>
      <c r="AS143" s="14">
        <f t="shared" ref="AS143:AS206" si="217">+AN143-AR143</f>
        <v>1196.26</v>
      </c>
      <c r="AT143" s="14">
        <f t="shared" si="116"/>
        <v>101201.53999999988</v>
      </c>
      <c r="AU143" s="300">
        <f t="shared" si="117"/>
        <v>836.78215273747185</v>
      </c>
      <c r="AV143" s="300">
        <f t="shared" si="118"/>
        <v>92401.143247726242</v>
      </c>
    </row>
    <row r="144" spans="1:48" x14ac:dyDescent="0.25">
      <c r="A144" s="535">
        <f t="shared" si="181"/>
        <v>48279</v>
      </c>
      <c r="B144" s="300">
        <f t="shared" ref="B144:B207" si="218">IF(+K143&lt;0,0,+K143)</f>
        <v>65041.699999999983</v>
      </c>
      <c r="C144" s="14">
        <f t="shared" si="211"/>
        <v>421.41</v>
      </c>
      <c r="D144" s="14">
        <f t="shared" si="119"/>
        <v>177.50000000000003</v>
      </c>
      <c r="E144" s="14">
        <f t="shared" si="212"/>
        <v>243.91</v>
      </c>
      <c r="F144" s="14">
        <f t="shared" si="170"/>
        <v>134.16999999999999</v>
      </c>
      <c r="G144" s="14">
        <f t="shared" si="167"/>
        <v>188.55</v>
      </c>
      <c r="H144" s="14">
        <f t="shared" si="168"/>
        <v>744.13000000000011</v>
      </c>
      <c r="I144" s="300">
        <f t="shared" si="182"/>
        <v>18617.22</v>
      </c>
      <c r="J144" s="300">
        <f t="shared" si="183"/>
        <v>36477.969999999979</v>
      </c>
      <c r="K144" s="300">
        <f t="shared" si="184"/>
        <v>64864.199999999983</v>
      </c>
      <c r="L144" s="449">
        <f t="shared" si="155"/>
        <v>7</v>
      </c>
      <c r="M144" s="449">
        <f t="shared" ref="M144:M207" si="219">IF(N144&lt;&gt;"",IF(N144=$O$5,0,+M143+1),0)</f>
        <v>85</v>
      </c>
      <c r="N144" s="300">
        <f t="shared" ref="N144:N207" si="220">IF(+W143&lt;0,0,+W143)</f>
        <v>221299.05000000008</v>
      </c>
      <c r="O144" s="300">
        <f t="shared" si="185"/>
        <v>1617.67</v>
      </c>
      <c r="P144" s="300">
        <f t="shared" si="120"/>
        <v>326.76</v>
      </c>
      <c r="Q144" s="300">
        <f t="shared" si="186"/>
        <v>1290.9100000000001</v>
      </c>
      <c r="R144" s="300">
        <f t="shared" si="173"/>
        <v>134.16999999999999</v>
      </c>
      <c r="S144" s="300">
        <f t="shared" si="174"/>
        <v>188.55</v>
      </c>
      <c r="T144" s="300">
        <f t="shared" si="171"/>
        <v>1940.39</v>
      </c>
      <c r="U144" s="300">
        <f t="shared" si="121"/>
        <v>22176.210000000006</v>
      </c>
      <c r="V144" s="300">
        <f t="shared" si="122"/>
        <v>116943.41000000003</v>
      </c>
      <c r="W144" s="300">
        <f t="shared" si="187"/>
        <v>220972.29000000007</v>
      </c>
      <c r="X144" s="535">
        <f t="shared" ref="X144:X207" si="221">+A144</f>
        <v>48279</v>
      </c>
      <c r="Y144" s="300">
        <f t="shared" si="188"/>
        <v>285151.66999999993</v>
      </c>
      <c r="Z144" s="527">
        <f t="shared" si="213"/>
        <v>7.0000000000000007E-2</v>
      </c>
      <c r="AA144" s="300">
        <f t="shared" si="214"/>
        <v>1746.44</v>
      </c>
      <c r="AB144" s="300">
        <f t="shared" si="189"/>
        <v>83.059999999999945</v>
      </c>
      <c r="AC144" s="300">
        <f t="shared" si="215"/>
        <v>1663.38</v>
      </c>
      <c r="AD144" s="300">
        <f t="shared" ref="AD144:AE144" si="222">+AD143</f>
        <v>134.16999999999999</v>
      </c>
      <c r="AE144" s="300">
        <f t="shared" si="222"/>
        <v>188.55</v>
      </c>
      <c r="AF144" s="300">
        <f t="shared" si="191"/>
        <v>2069.1600000000003</v>
      </c>
      <c r="AG144" s="300">
        <f t="shared" si="192"/>
        <v>29855.49</v>
      </c>
      <c r="AH144" s="300">
        <f t="shared" si="193"/>
        <v>111292.15000000001</v>
      </c>
      <c r="AI144" s="545">
        <f t="shared" si="176"/>
        <v>-2028.0199999999995</v>
      </c>
      <c r="AJ144" s="545">
        <f t="shared" si="134"/>
        <v>-64096.319999999861</v>
      </c>
      <c r="AK144" s="545">
        <f t="shared" si="177"/>
        <v>-66124.339999999866</v>
      </c>
      <c r="AL144" s="300">
        <f t="shared" si="194"/>
        <v>285068.60999999993</v>
      </c>
      <c r="AM144" s="449">
        <f t="shared" ref="AM144:AM207" si="223">+L144</f>
        <v>7</v>
      </c>
      <c r="AN144" s="14">
        <f t="shared" si="178"/>
        <v>1196.26</v>
      </c>
      <c r="AO144" s="14">
        <f t="shared" si="153"/>
        <v>228195.57999999996</v>
      </c>
      <c r="AP144" s="14">
        <f t="shared" si="179"/>
        <v>1325.03</v>
      </c>
      <c r="AS144" s="14">
        <f t="shared" si="217"/>
        <v>1196.26</v>
      </c>
      <c r="AT144" s="14">
        <f t="shared" ref="AT144:AT207" si="224">IF(W144&lt;=0,0,+AS144+AT143)</f>
        <v>102397.79999999987</v>
      </c>
      <c r="AU144" s="300">
        <f t="shared" ref="AU144:AU207" si="225">IF(W144&lt;=0,0,+($O$5+AV143)*$AQ$2/12)</f>
        <v>838.87410811931568</v>
      </c>
      <c r="AV144" s="300">
        <f t="shared" ref="AV144:AV207" si="226">IF(W144&lt;=0,0,+AV143+AU144)</f>
        <v>93240.017355845557</v>
      </c>
    </row>
    <row r="145" spans="1:48" x14ac:dyDescent="0.25">
      <c r="A145" s="535">
        <f t="shared" si="181"/>
        <v>48309</v>
      </c>
      <c r="B145" s="300">
        <f t="shared" si="218"/>
        <v>64864.199999999983</v>
      </c>
      <c r="C145" s="14">
        <f t="shared" si="211"/>
        <v>421.41</v>
      </c>
      <c r="D145" s="14">
        <f t="shared" ref="D145:D208" si="227">+C145-E145</f>
        <v>178.17000000000002</v>
      </c>
      <c r="E145" s="14">
        <f t="shared" si="212"/>
        <v>243.24</v>
      </c>
      <c r="F145" s="14">
        <f t="shared" si="170"/>
        <v>134.16999999999999</v>
      </c>
      <c r="G145" s="14">
        <f t="shared" si="167"/>
        <v>188.55</v>
      </c>
      <c r="H145" s="14">
        <f t="shared" si="168"/>
        <v>744.13000000000011</v>
      </c>
      <c r="I145" s="300">
        <f t="shared" si="182"/>
        <v>18795.39</v>
      </c>
      <c r="J145" s="300">
        <f t="shared" si="183"/>
        <v>36721.209999999977</v>
      </c>
      <c r="K145" s="300">
        <f t="shared" si="184"/>
        <v>64686.029999999984</v>
      </c>
      <c r="L145" s="449">
        <f t="shared" si="155"/>
        <v>7</v>
      </c>
      <c r="M145" s="449">
        <f t="shared" si="219"/>
        <v>86</v>
      </c>
      <c r="N145" s="300">
        <f t="shared" si="220"/>
        <v>220972.29000000007</v>
      </c>
      <c r="O145" s="300">
        <f t="shared" si="185"/>
        <v>1617.67</v>
      </c>
      <c r="P145" s="300">
        <f t="shared" ref="P145:P208" si="228">+O145-Q145</f>
        <v>328.66000000000008</v>
      </c>
      <c r="Q145" s="300">
        <f t="shared" si="186"/>
        <v>1289.01</v>
      </c>
      <c r="R145" s="300">
        <f t="shared" si="173"/>
        <v>134.16999999999999</v>
      </c>
      <c r="S145" s="300">
        <f t="shared" si="174"/>
        <v>188.55</v>
      </c>
      <c r="T145" s="300">
        <f t="shared" si="171"/>
        <v>1940.39</v>
      </c>
      <c r="U145" s="300">
        <f t="shared" ref="U145:U208" si="229">+P145+U144</f>
        <v>22504.870000000006</v>
      </c>
      <c r="V145" s="300">
        <f t="shared" ref="V145:V208" si="230">+V144+Q145</f>
        <v>118232.42000000003</v>
      </c>
      <c r="W145" s="300">
        <f t="shared" si="187"/>
        <v>220643.63000000006</v>
      </c>
      <c r="X145" s="535">
        <f t="shared" si="221"/>
        <v>48309</v>
      </c>
      <c r="Y145" s="300">
        <f t="shared" si="188"/>
        <v>285068.60999999993</v>
      </c>
      <c r="Z145" s="527">
        <f t="shared" si="213"/>
        <v>7.0000000000000007E-2</v>
      </c>
      <c r="AA145" s="300">
        <f t="shared" si="214"/>
        <v>1746.44</v>
      </c>
      <c r="AB145" s="300">
        <f t="shared" si="189"/>
        <v>83.539999999999964</v>
      </c>
      <c r="AC145" s="300">
        <f t="shared" si="215"/>
        <v>1662.9</v>
      </c>
      <c r="AD145" s="300">
        <f t="shared" ref="AD145:AE145" si="231">+AD144</f>
        <v>134.16999999999999</v>
      </c>
      <c r="AE145" s="300">
        <f t="shared" si="231"/>
        <v>188.55</v>
      </c>
      <c r="AF145" s="300">
        <f t="shared" si="191"/>
        <v>2069.1600000000003</v>
      </c>
      <c r="AG145" s="300">
        <f t="shared" si="192"/>
        <v>29939.030000000002</v>
      </c>
      <c r="AH145" s="300">
        <f t="shared" si="193"/>
        <v>112955.05</v>
      </c>
      <c r="AI145" s="545">
        <f t="shared" si="176"/>
        <v>-2156.7899999999995</v>
      </c>
      <c r="AJ145" s="545">
        <f t="shared" si="134"/>
        <v>-64341.439999999886</v>
      </c>
      <c r="AK145" s="545">
        <f t="shared" si="177"/>
        <v>-66498.22999999988</v>
      </c>
      <c r="AL145" s="300">
        <f t="shared" si="194"/>
        <v>284985.06999999995</v>
      </c>
      <c r="AM145" s="449">
        <f t="shared" si="223"/>
        <v>7</v>
      </c>
      <c r="AN145" s="14">
        <f t="shared" si="178"/>
        <v>1196.26</v>
      </c>
      <c r="AO145" s="14">
        <f t="shared" si="153"/>
        <v>228045.08999999997</v>
      </c>
      <c r="AP145" s="14">
        <f t="shared" si="179"/>
        <v>1325.03</v>
      </c>
      <c r="AS145" s="14">
        <f t="shared" si="217"/>
        <v>1196.26</v>
      </c>
      <c r="AT145" s="14">
        <f t="shared" si="224"/>
        <v>103594.05999999987</v>
      </c>
      <c r="AU145" s="300">
        <f t="shared" si="225"/>
        <v>840.97129338961383</v>
      </c>
      <c r="AV145" s="300">
        <f t="shared" si="226"/>
        <v>94080.988649235165</v>
      </c>
    </row>
    <row r="146" spans="1:48" ht="15.75" thickBot="1" x14ac:dyDescent="0.3">
      <c r="A146" s="538">
        <f t="shared" si="181"/>
        <v>48339</v>
      </c>
      <c r="B146" s="369">
        <f t="shared" si="218"/>
        <v>64686.029999999984</v>
      </c>
      <c r="C146" s="21">
        <f t="shared" si="211"/>
        <v>421.41</v>
      </c>
      <c r="D146" s="21">
        <f t="shared" si="227"/>
        <v>178.84000000000003</v>
      </c>
      <c r="E146" s="21">
        <f t="shared" si="212"/>
        <v>242.57</v>
      </c>
      <c r="F146" s="21">
        <f t="shared" si="170"/>
        <v>134.16999999999999</v>
      </c>
      <c r="G146" s="21">
        <f t="shared" si="167"/>
        <v>188.55</v>
      </c>
      <c r="H146" s="21">
        <f t="shared" si="168"/>
        <v>744.13000000000011</v>
      </c>
      <c r="I146" s="369">
        <f t="shared" si="182"/>
        <v>18974.23</v>
      </c>
      <c r="J146" s="369">
        <f t="shared" si="183"/>
        <v>36963.779999999977</v>
      </c>
      <c r="K146" s="369">
        <f t="shared" si="184"/>
        <v>64507.189999999988</v>
      </c>
      <c r="L146" s="450">
        <f t="shared" si="155"/>
        <v>7</v>
      </c>
      <c r="M146" s="450">
        <f t="shared" si="219"/>
        <v>87</v>
      </c>
      <c r="N146" s="369">
        <f t="shared" si="220"/>
        <v>220643.63000000006</v>
      </c>
      <c r="O146" s="369">
        <f t="shared" si="185"/>
        <v>1617.67</v>
      </c>
      <c r="P146" s="369">
        <f t="shared" si="228"/>
        <v>330.58000000000015</v>
      </c>
      <c r="Q146" s="369">
        <f t="shared" si="186"/>
        <v>1287.0899999999999</v>
      </c>
      <c r="R146" s="369">
        <f t="shared" si="173"/>
        <v>134.16999999999999</v>
      </c>
      <c r="S146" s="369">
        <f t="shared" si="174"/>
        <v>188.55</v>
      </c>
      <c r="T146" s="369">
        <f t="shared" si="171"/>
        <v>1940.39</v>
      </c>
      <c r="U146" s="369">
        <f t="shared" si="229"/>
        <v>22835.450000000008</v>
      </c>
      <c r="V146" s="369">
        <f t="shared" si="230"/>
        <v>119519.51000000002</v>
      </c>
      <c r="W146" s="369">
        <f t="shared" si="187"/>
        <v>220313.05000000008</v>
      </c>
      <c r="X146" s="538">
        <f t="shared" si="221"/>
        <v>48339</v>
      </c>
      <c r="Y146" s="369">
        <f t="shared" si="188"/>
        <v>284985.06999999995</v>
      </c>
      <c r="Z146" s="528">
        <f t="shared" si="213"/>
        <v>7.0000000000000007E-2</v>
      </c>
      <c r="AA146" s="369">
        <f t="shared" si="214"/>
        <v>1746.44</v>
      </c>
      <c r="AB146" s="369">
        <f t="shared" si="189"/>
        <v>84.029999999999973</v>
      </c>
      <c r="AC146" s="369">
        <f t="shared" si="215"/>
        <v>1662.41</v>
      </c>
      <c r="AD146" s="369">
        <f t="shared" ref="AD146:AE146" si="232">+AD145</f>
        <v>134.16999999999999</v>
      </c>
      <c r="AE146" s="369">
        <f t="shared" si="232"/>
        <v>188.55</v>
      </c>
      <c r="AF146" s="369">
        <f t="shared" si="191"/>
        <v>2069.1600000000003</v>
      </c>
      <c r="AG146" s="369">
        <f t="shared" si="192"/>
        <v>30023.06</v>
      </c>
      <c r="AH146" s="369">
        <f t="shared" si="193"/>
        <v>114617.46</v>
      </c>
      <c r="AI146" s="546">
        <f t="shared" si="176"/>
        <v>-2285.5599999999995</v>
      </c>
      <c r="AJ146" s="546">
        <f t="shared" si="134"/>
        <v>-64587.989999999845</v>
      </c>
      <c r="AK146" s="546">
        <f t="shared" si="177"/>
        <v>-66873.549999999843</v>
      </c>
      <c r="AL146" s="369">
        <f t="shared" si="194"/>
        <v>284901.03999999992</v>
      </c>
      <c r="AM146" s="450">
        <f t="shared" si="223"/>
        <v>7</v>
      </c>
      <c r="AN146" s="21">
        <f t="shared" si="178"/>
        <v>1196.26</v>
      </c>
      <c r="AO146" s="21">
        <f t="shared" si="153"/>
        <v>227893.34999999998</v>
      </c>
      <c r="AP146" s="21">
        <f t="shared" si="179"/>
        <v>1325.03</v>
      </c>
      <c r="AQ146" s="21"/>
      <c r="AR146" s="23"/>
      <c r="AS146" s="21">
        <f t="shared" si="217"/>
        <v>1196.26</v>
      </c>
      <c r="AT146" s="21">
        <f t="shared" si="224"/>
        <v>104790.31999999986</v>
      </c>
      <c r="AU146" s="369">
        <f t="shared" si="225"/>
        <v>843.07372162308786</v>
      </c>
      <c r="AV146" s="369">
        <f t="shared" si="226"/>
        <v>94924.062370858257</v>
      </c>
    </row>
    <row r="147" spans="1:48" x14ac:dyDescent="0.25">
      <c r="A147" s="535">
        <f t="shared" si="181"/>
        <v>48369</v>
      </c>
      <c r="B147" s="300">
        <f t="shared" si="218"/>
        <v>64507.189999999988</v>
      </c>
      <c r="C147" s="14">
        <f t="shared" si="211"/>
        <v>421.41</v>
      </c>
      <c r="D147" s="14">
        <f t="shared" si="227"/>
        <v>179.51000000000002</v>
      </c>
      <c r="E147" s="14">
        <f t="shared" si="212"/>
        <v>241.9</v>
      </c>
      <c r="F147" s="14">
        <f t="shared" si="170"/>
        <v>134.16999999999999</v>
      </c>
      <c r="G147" s="14">
        <f t="shared" si="167"/>
        <v>188.55</v>
      </c>
      <c r="H147" s="14">
        <f t="shared" si="168"/>
        <v>744.13000000000011</v>
      </c>
      <c r="I147" s="300">
        <f t="shared" si="182"/>
        <v>19153.739999999998</v>
      </c>
      <c r="J147" s="300">
        <f t="shared" si="183"/>
        <v>37205.679999999978</v>
      </c>
      <c r="K147" s="300">
        <f t="shared" si="184"/>
        <v>64327.679999999986</v>
      </c>
      <c r="L147" s="449">
        <f t="shared" si="155"/>
        <v>7</v>
      </c>
      <c r="M147" s="449">
        <f t="shared" si="219"/>
        <v>88</v>
      </c>
      <c r="N147" s="300">
        <f t="shared" si="220"/>
        <v>220313.05000000008</v>
      </c>
      <c r="O147" s="300">
        <f t="shared" si="185"/>
        <v>1617.67</v>
      </c>
      <c r="P147" s="300">
        <f t="shared" si="228"/>
        <v>332.51</v>
      </c>
      <c r="Q147" s="300">
        <f t="shared" si="186"/>
        <v>1285.1600000000001</v>
      </c>
      <c r="R147" s="300">
        <f t="shared" si="173"/>
        <v>134.16999999999999</v>
      </c>
      <c r="S147" s="300">
        <f t="shared" si="174"/>
        <v>188.55</v>
      </c>
      <c r="T147" s="300">
        <f t="shared" si="171"/>
        <v>1940.39</v>
      </c>
      <c r="U147" s="300">
        <f t="shared" si="229"/>
        <v>23167.960000000006</v>
      </c>
      <c r="V147" s="300">
        <f t="shared" si="230"/>
        <v>120804.67000000003</v>
      </c>
      <c r="W147" s="300">
        <f t="shared" si="187"/>
        <v>219980.54000000007</v>
      </c>
      <c r="X147" s="535">
        <f t="shared" si="221"/>
        <v>48369</v>
      </c>
      <c r="Y147" s="300">
        <f t="shared" si="188"/>
        <v>284901.03999999992</v>
      </c>
      <c r="Z147" s="527">
        <f t="shared" si="213"/>
        <v>7.0000000000000007E-2</v>
      </c>
      <c r="AA147" s="300">
        <f t="shared" si="214"/>
        <v>1746.44</v>
      </c>
      <c r="AB147" s="300">
        <f t="shared" si="189"/>
        <v>84.519999999999982</v>
      </c>
      <c r="AC147" s="300">
        <f t="shared" si="215"/>
        <v>1661.92</v>
      </c>
      <c r="AD147" s="300">
        <f t="shared" ref="AD147:AE147" si="233">+AD146</f>
        <v>134.16999999999999</v>
      </c>
      <c r="AE147" s="300">
        <f t="shared" si="233"/>
        <v>188.55</v>
      </c>
      <c r="AF147" s="300">
        <f t="shared" si="191"/>
        <v>2069.1600000000003</v>
      </c>
      <c r="AG147" s="300">
        <f t="shared" si="192"/>
        <v>30107.58</v>
      </c>
      <c r="AH147" s="300">
        <f t="shared" si="193"/>
        <v>116279.38</v>
      </c>
      <c r="AI147" s="545">
        <f t="shared" si="176"/>
        <v>-2414.3299999999995</v>
      </c>
      <c r="AJ147" s="545">
        <f t="shared" si="134"/>
        <v>-64835.979999999836</v>
      </c>
      <c r="AK147" s="545">
        <f t="shared" si="177"/>
        <v>-67250.309999999838</v>
      </c>
      <c r="AL147" s="300">
        <f t="shared" si="194"/>
        <v>284816.5199999999</v>
      </c>
      <c r="AM147" s="449">
        <f t="shared" si="223"/>
        <v>7</v>
      </c>
      <c r="AN147" s="14">
        <f t="shared" si="178"/>
        <v>1196.26</v>
      </c>
      <c r="AO147" s="14">
        <f t="shared" si="153"/>
        <v>227740.34999999998</v>
      </c>
      <c r="AP147" s="14">
        <f t="shared" si="179"/>
        <v>1325.03</v>
      </c>
      <c r="AS147" s="14">
        <f t="shared" si="217"/>
        <v>1196.26</v>
      </c>
      <c r="AT147" s="14">
        <f t="shared" si="224"/>
        <v>105986.57999999986</v>
      </c>
      <c r="AU147" s="300">
        <f t="shared" si="225"/>
        <v>845.18140592714565</v>
      </c>
      <c r="AV147" s="300">
        <f t="shared" si="226"/>
        <v>95769.243776785399</v>
      </c>
    </row>
    <row r="148" spans="1:48" x14ac:dyDescent="0.25">
      <c r="A148" s="535">
        <f t="shared" si="181"/>
        <v>48399</v>
      </c>
      <c r="B148" s="300">
        <f t="shared" si="218"/>
        <v>64327.679999999986</v>
      </c>
      <c r="C148" s="14">
        <f t="shared" si="211"/>
        <v>421.41</v>
      </c>
      <c r="D148" s="14">
        <f t="shared" si="227"/>
        <v>180.18000000000004</v>
      </c>
      <c r="E148" s="14">
        <f t="shared" si="212"/>
        <v>241.23</v>
      </c>
      <c r="F148" s="14">
        <f t="shared" si="170"/>
        <v>134.16999999999999</v>
      </c>
      <c r="G148" s="14">
        <f t="shared" si="167"/>
        <v>188.55</v>
      </c>
      <c r="H148" s="14">
        <f t="shared" si="168"/>
        <v>744.13000000000011</v>
      </c>
      <c r="I148" s="300">
        <f t="shared" si="182"/>
        <v>19333.919999999998</v>
      </c>
      <c r="J148" s="300">
        <f t="shared" si="183"/>
        <v>37446.909999999982</v>
      </c>
      <c r="K148" s="300">
        <f t="shared" si="184"/>
        <v>64147.499999999985</v>
      </c>
      <c r="L148" s="449">
        <f t="shared" si="155"/>
        <v>7</v>
      </c>
      <c r="M148" s="449">
        <f t="shared" si="219"/>
        <v>89</v>
      </c>
      <c r="N148" s="300">
        <f t="shared" si="220"/>
        <v>219980.54000000007</v>
      </c>
      <c r="O148" s="300">
        <f t="shared" si="185"/>
        <v>1617.67</v>
      </c>
      <c r="P148" s="300">
        <f t="shared" si="228"/>
        <v>334.45000000000005</v>
      </c>
      <c r="Q148" s="300">
        <f t="shared" si="186"/>
        <v>1283.22</v>
      </c>
      <c r="R148" s="300">
        <f t="shared" si="173"/>
        <v>134.16999999999999</v>
      </c>
      <c r="S148" s="300">
        <f t="shared" si="174"/>
        <v>188.55</v>
      </c>
      <c r="T148" s="300">
        <f t="shared" si="171"/>
        <v>1940.39</v>
      </c>
      <c r="U148" s="300">
        <f t="shared" si="229"/>
        <v>23502.410000000007</v>
      </c>
      <c r="V148" s="300">
        <f t="shared" si="230"/>
        <v>122087.89000000003</v>
      </c>
      <c r="W148" s="300">
        <f t="shared" si="187"/>
        <v>219646.09000000005</v>
      </c>
      <c r="X148" s="535">
        <f t="shared" si="221"/>
        <v>48399</v>
      </c>
      <c r="Y148" s="300">
        <f t="shared" si="188"/>
        <v>284816.5199999999</v>
      </c>
      <c r="Z148" s="527">
        <f t="shared" si="213"/>
        <v>7.0000000000000007E-2</v>
      </c>
      <c r="AA148" s="300">
        <f t="shared" si="214"/>
        <v>1746.44</v>
      </c>
      <c r="AB148" s="300">
        <f t="shared" si="189"/>
        <v>85.009999999999991</v>
      </c>
      <c r="AC148" s="300">
        <f t="shared" si="215"/>
        <v>1661.43</v>
      </c>
      <c r="AD148" s="300">
        <f t="shared" ref="AD148:AE148" si="234">+AD147</f>
        <v>134.16999999999999</v>
      </c>
      <c r="AE148" s="300">
        <f t="shared" si="234"/>
        <v>188.55</v>
      </c>
      <c r="AF148" s="300">
        <f t="shared" si="191"/>
        <v>2069.1600000000003</v>
      </c>
      <c r="AG148" s="300">
        <f t="shared" si="192"/>
        <v>30192.59</v>
      </c>
      <c r="AH148" s="300">
        <f t="shared" si="193"/>
        <v>117940.81</v>
      </c>
      <c r="AI148" s="545">
        <f t="shared" si="176"/>
        <v>-2543.0999999999995</v>
      </c>
      <c r="AJ148" s="545">
        <f t="shared" si="134"/>
        <v>-65085.419999999838</v>
      </c>
      <c r="AK148" s="545">
        <f t="shared" si="177"/>
        <v>-67628.519999999844</v>
      </c>
      <c r="AL148" s="300">
        <f t="shared" si="194"/>
        <v>284731.50999999989</v>
      </c>
      <c r="AM148" s="449">
        <f t="shared" si="223"/>
        <v>7</v>
      </c>
      <c r="AN148" s="14">
        <f t="shared" si="178"/>
        <v>1196.26</v>
      </c>
      <c r="AO148" s="14">
        <f t="shared" si="153"/>
        <v>227586.08</v>
      </c>
      <c r="AP148" s="14">
        <f t="shared" si="179"/>
        <v>1325.03</v>
      </c>
      <c r="AS148" s="14">
        <f t="shared" si="217"/>
        <v>1196.26</v>
      </c>
      <c r="AT148" s="14">
        <f t="shared" si="224"/>
        <v>107182.83999999985</v>
      </c>
      <c r="AU148" s="300">
        <f t="shared" si="225"/>
        <v>847.29435944196348</v>
      </c>
      <c r="AV148" s="300">
        <f t="shared" si="226"/>
        <v>96616.538136227362</v>
      </c>
    </row>
    <row r="149" spans="1:48" x14ac:dyDescent="0.25">
      <c r="A149" s="535">
        <f t="shared" si="181"/>
        <v>48429</v>
      </c>
      <c r="B149" s="300">
        <f t="shared" si="218"/>
        <v>64147.499999999985</v>
      </c>
      <c r="C149" s="14">
        <f t="shared" si="211"/>
        <v>421.41</v>
      </c>
      <c r="D149" s="14">
        <f t="shared" si="227"/>
        <v>180.86</v>
      </c>
      <c r="E149" s="14">
        <f t="shared" si="212"/>
        <v>240.55</v>
      </c>
      <c r="F149" s="14">
        <f t="shared" si="170"/>
        <v>134.16999999999999</v>
      </c>
      <c r="G149" s="14">
        <f t="shared" si="167"/>
        <v>188.55</v>
      </c>
      <c r="H149" s="14">
        <f t="shared" si="168"/>
        <v>744.13000000000011</v>
      </c>
      <c r="I149" s="300">
        <f t="shared" si="182"/>
        <v>19514.78</v>
      </c>
      <c r="J149" s="300">
        <f t="shared" si="183"/>
        <v>37687.459999999985</v>
      </c>
      <c r="K149" s="300">
        <f t="shared" si="184"/>
        <v>63966.639999999985</v>
      </c>
      <c r="L149" s="449">
        <f t="shared" si="155"/>
        <v>7</v>
      </c>
      <c r="M149" s="449">
        <f t="shared" si="219"/>
        <v>90</v>
      </c>
      <c r="N149" s="300">
        <f t="shared" si="220"/>
        <v>219646.09000000005</v>
      </c>
      <c r="O149" s="300">
        <f t="shared" si="185"/>
        <v>1617.67</v>
      </c>
      <c r="P149" s="300">
        <f t="shared" si="228"/>
        <v>336.40000000000009</v>
      </c>
      <c r="Q149" s="300">
        <f t="shared" si="186"/>
        <v>1281.27</v>
      </c>
      <c r="R149" s="300">
        <f t="shared" si="173"/>
        <v>134.16999999999999</v>
      </c>
      <c r="S149" s="300">
        <f t="shared" si="174"/>
        <v>188.55</v>
      </c>
      <c r="T149" s="300">
        <f t="shared" si="171"/>
        <v>1940.39</v>
      </c>
      <c r="U149" s="300">
        <f t="shared" si="229"/>
        <v>23838.810000000009</v>
      </c>
      <c r="V149" s="300">
        <f t="shared" si="230"/>
        <v>123369.16000000003</v>
      </c>
      <c r="W149" s="300">
        <f t="shared" si="187"/>
        <v>219309.69000000006</v>
      </c>
      <c r="X149" s="535">
        <f t="shared" si="221"/>
        <v>48429</v>
      </c>
      <c r="Y149" s="300">
        <f t="shared" si="188"/>
        <v>284731.50999999989</v>
      </c>
      <c r="Z149" s="527">
        <f t="shared" si="213"/>
        <v>7.0000000000000007E-2</v>
      </c>
      <c r="AA149" s="300">
        <f t="shared" si="214"/>
        <v>1746.44</v>
      </c>
      <c r="AB149" s="300">
        <f t="shared" si="189"/>
        <v>85.509999999999991</v>
      </c>
      <c r="AC149" s="300">
        <f t="shared" si="215"/>
        <v>1660.93</v>
      </c>
      <c r="AD149" s="300">
        <f t="shared" ref="AD149:AE149" si="235">+AD148</f>
        <v>134.16999999999999</v>
      </c>
      <c r="AE149" s="300">
        <f t="shared" si="235"/>
        <v>188.55</v>
      </c>
      <c r="AF149" s="300">
        <f t="shared" si="191"/>
        <v>2069.1600000000003</v>
      </c>
      <c r="AG149" s="300">
        <f t="shared" si="192"/>
        <v>30278.1</v>
      </c>
      <c r="AH149" s="300">
        <f t="shared" si="193"/>
        <v>119601.73999999999</v>
      </c>
      <c r="AI149" s="545">
        <f t="shared" si="176"/>
        <v>-2671.8699999999994</v>
      </c>
      <c r="AJ149" s="545">
        <f t="shared" si="134"/>
        <v>-65336.309999999823</v>
      </c>
      <c r="AK149" s="545">
        <f t="shared" si="177"/>
        <v>-68008.179999999818</v>
      </c>
      <c r="AL149" s="300">
        <f t="shared" si="194"/>
        <v>284645.99999999988</v>
      </c>
      <c r="AM149" s="449">
        <f t="shared" si="223"/>
        <v>7</v>
      </c>
      <c r="AN149" s="14">
        <f t="shared" si="178"/>
        <v>1196.26</v>
      </c>
      <c r="AO149" s="14">
        <f t="shared" si="153"/>
        <v>227430.53999999998</v>
      </c>
      <c r="AP149" s="14">
        <f t="shared" si="179"/>
        <v>1325.03</v>
      </c>
      <c r="AS149" s="14">
        <f t="shared" si="217"/>
        <v>1196.26</v>
      </c>
      <c r="AT149" s="14">
        <f t="shared" si="224"/>
        <v>108379.09999999985</v>
      </c>
      <c r="AU149" s="300">
        <f t="shared" si="225"/>
        <v>849.41259534056837</v>
      </c>
      <c r="AV149" s="300">
        <f t="shared" si="226"/>
        <v>97465.950731567937</v>
      </c>
    </row>
    <row r="150" spans="1:48" x14ac:dyDescent="0.25">
      <c r="A150" s="535">
        <f t="shared" si="181"/>
        <v>48459</v>
      </c>
      <c r="B150" s="300">
        <f t="shared" si="218"/>
        <v>63966.639999999985</v>
      </c>
      <c r="C150" s="14">
        <f t="shared" si="211"/>
        <v>421.41</v>
      </c>
      <c r="D150" s="14">
        <f t="shared" si="227"/>
        <v>181.54000000000002</v>
      </c>
      <c r="E150" s="14">
        <f t="shared" si="212"/>
        <v>239.87</v>
      </c>
      <c r="F150" s="14">
        <f t="shared" si="170"/>
        <v>134.16999999999999</v>
      </c>
      <c r="G150" s="14">
        <f t="shared" si="167"/>
        <v>188.55</v>
      </c>
      <c r="H150" s="14">
        <f t="shared" si="168"/>
        <v>744.13000000000011</v>
      </c>
      <c r="I150" s="300">
        <f t="shared" si="182"/>
        <v>19696.32</v>
      </c>
      <c r="J150" s="300">
        <f t="shared" si="183"/>
        <v>37927.329999999987</v>
      </c>
      <c r="K150" s="300">
        <f t="shared" si="184"/>
        <v>63785.099999999984</v>
      </c>
      <c r="L150" s="449">
        <f t="shared" si="155"/>
        <v>7</v>
      </c>
      <c r="M150" s="449">
        <f t="shared" si="219"/>
        <v>91</v>
      </c>
      <c r="N150" s="300">
        <f t="shared" si="220"/>
        <v>219309.69000000006</v>
      </c>
      <c r="O150" s="300">
        <f t="shared" si="185"/>
        <v>1617.67</v>
      </c>
      <c r="P150" s="300">
        <f t="shared" si="228"/>
        <v>338.36000000000013</v>
      </c>
      <c r="Q150" s="300">
        <f t="shared" si="186"/>
        <v>1279.31</v>
      </c>
      <c r="R150" s="300">
        <f t="shared" si="173"/>
        <v>134.16999999999999</v>
      </c>
      <c r="S150" s="300">
        <f t="shared" si="174"/>
        <v>188.55</v>
      </c>
      <c r="T150" s="300">
        <f t="shared" si="171"/>
        <v>1940.39</v>
      </c>
      <c r="U150" s="300">
        <f t="shared" si="229"/>
        <v>24177.170000000009</v>
      </c>
      <c r="V150" s="300">
        <f t="shared" si="230"/>
        <v>124648.47000000003</v>
      </c>
      <c r="W150" s="300">
        <f t="shared" si="187"/>
        <v>218971.33000000007</v>
      </c>
      <c r="X150" s="535">
        <f t="shared" si="221"/>
        <v>48459</v>
      </c>
      <c r="Y150" s="300">
        <f t="shared" si="188"/>
        <v>284645.99999999988</v>
      </c>
      <c r="Z150" s="527">
        <f t="shared" si="213"/>
        <v>7.0000000000000007E-2</v>
      </c>
      <c r="AA150" s="300">
        <f t="shared" si="214"/>
        <v>1746.44</v>
      </c>
      <c r="AB150" s="300">
        <f t="shared" si="189"/>
        <v>86</v>
      </c>
      <c r="AC150" s="300">
        <f t="shared" si="215"/>
        <v>1660.44</v>
      </c>
      <c r="AD150" s="300">
        <f t="shared" ref="AD150:AE150" si="236">+AD149</f>
        <v>134.16999999999999</v>
      </c>
      <c r="AE150" s="300">
        <f t="shared" si="236"/>
        <v>188.55</v>
      </c>
      <c r="AF150" s="300">
        <f t="shared" si="191"/>
        <v>2069.1600000000003</v>
      </c>
      <c r="AG150" s="300">
        <f t="shared" si="192"/>
        <v>30364.1</v>
      </c>
      <c r="AH150" s="300">
        <f t="shared" si="193"/>
        <v>121262.18</v>
      </c>
      <c r="AI150" s="545">
        <f t="shared" si="176"/>
        <v>-2800.6399999999994</v>
      </c>
      <c r="AJ150" s="545">
        <f t="shared" si="134"/>
        <v>-65588.669999999809</v>
      </c>
      <c r="AK150" s="545">
        <f t="shared" si="177"/>
        <v>-68389.309999999808</v>
      </c>
      <c r="AL150" s="300">
        <f t="shared" si="194"/>
        <v>284559.99999999988</v>
      </c>
      <c r="AM150" s="449">
        <f t="shared" si="223"/>
        <v>7</v>
      </c>
      <c r="AN150" s="14">
        <f t="shared" si="178"/>
        <v>1196.26</v>
      </c>
      <c r="AO150" s="14">
        <f t="shared" si="153"/>
        <v>227273.71999999997</v>
      </c>
      <c r="AP150" s="14">
        <f t="shared" si="179"/>
        <v>1325.03</v>
      </c>
      <c r="AS150" s="14">
        <f t="shared" si="217"/>
        <v>1196.26</v>
      </c>
      <c r="AT150" s="14">
        <f t="shared" si="224"/>
        <v>109575.35999999984</v>
      </c>
      <c r="AU150" s="300">
        <f t="shared" si="225"/>
        <v>851.53612682891981</v>
      </c>
      <c r="AV150" s="300">
        <f t="shared" si="226"/>
        <v>98317.486858396849</v>
      </c>
    </row>
    <row r="151" spans="1:48" x14ac:dyDescent="0.25">
      <c r="A151" s="535">
        <f t="shared" si="181"/>
        <v>48489</v>
      </c>
      <c r="B151" s="300">
        <f t="shared" si="218"/>
        <v>63785.099999999984</v>
      </c>
      <c r="C151" s="14">
        <f t="shared" si="211"/>
        <v>421.41</v>
      </c>
      <c r="D151" s="14">
        <f t="shared" si="227"/>
        <v>182.22000000000003</v>
      </c>
      <c r="E151" s="14">
        <f t="shared" si="212"/>
        <v>239.19</v>
      </c>
      <c r="F151" s="14">
        <f t="shared" si="170"/>
        <v>134.16999999999999</v>
      </c>
      <c r="G151" s="14">
        <f t="shared" si="167"/>
        <v>188.55</v>
      </c>
      <c r="H151" s="14">
        <f t="shared" si="168"/>
        <v>744.13000000000011</v>
      </c>
      <c r="I151" s="300">
        <f t="shared" si="182"/>
        <v>19878.54</v>
      </c>
      <c r="J151" s="300">
        <f t="shared" si="183"/>
        <v>38166.51999999999</v>
      </c>
      <c r="K151" s="300">
        <f t="shared" si="184"/>
        <v>63602.879999999983</v>
      </c>
      <c r="L151" s="449">
        <f t="shared" si="155"/>
        <v>7</v>
      </c>
      <c r="M151" s="449">
        <f t="shared" si="219"/>
        <v>92</v>
      </c>
      <c r="N151" s="300">
        <f t="shared" si="220"/>
        <v>218971.33000000007</v>
      </c>
      <c r="O151" s="300">
        <f t="shared" si="185"/>
        <v>1617.67</v>
      </c>
      <c r="P151" s="300">
        <f t="shared" si="228"/>
        <v>340.34000000000015</v>
      </c>
      <c r="Q151" s="300">
        <f t="shared" si="186"/>
        <v>1277.33</v>
      </c>
      <c r="R151" s="300">
        <f t="shared" si="173"/>
        <v>134.16999999999999</v>
      </c>
      <c r="S151" s="300">
        <f t="shared" si="174"/>
        <v>188.55</v>
      </c>
      <c r="T151" s="300">
        <f t="shared" si="171"/>
        <v>1940.39</v>
      </c>
      <c r="U151" s="300">
        <f t="shared" si="229"/>
        <v>24517.510000000009</v>
      </c>
      <c r="V151" s="300">
        <f t="shared" si="230"/>
        <v>125925.80000000003</v>
      </c>
      <c r="W151" s="300">
        <f t="shared" si="187"/>
        <v>218630.99000000008</v>
      </c>
      <c r="X151" s="535">
        <f t="shared" si="221"/>
        <v>48489</v>
      </c>
      <c r="Y151" s="300">
        <f t="shared" si="188"/>
        <v>284559.99999999988</v>
      </c>
      <c r="Z151" s="527">
        <f t="shared" si="213"/>
        <v>7.0000000000000007E-2</v>
      </c>
      <c r="AA151" s="300">
        <f t="shared" si="214"/>
        <v>1746.44</v>
      </c>
      <c r="AB151" s="300">
        <f t="shared" si="189"/>
        <v>86.509999999999991</v>
      </c>
      <c r="AC151" s="300">
        <f t="shared" si="215"/>
        <v>1659.93</v>
      </c>
      <c r="AD151" s="300">
        <f t="shared" ref="AD151:AE151" si="237">+AD150</f>
        <v>134.16999999999999</v>
      </c>
      <c r="AE151" s="300">
        <f t="shared" si="237"/>
        <v>188.55</v>
      </c>
      <c r="AF151" s="300">
        <f t="shared" si="191"/>
        <v>2069.1600000000003</v>
      </c>
      <c r="AG151" s="300">
        <f t="shared" si="192"/>
        <v>30450.609999999997</v>
      </c>
      <c r="AH151" s="300">
        <f t="shared" si="193"/>
        <v>122922.10999999999</v>
      </c>
      <c r="AI151" s="545">
        <f t="shared" si="176"/>
        <v>-2929.4099999999994</v>
      </c>
      <c r="AJ151" s="545">
        <f t="shared" si="134"/>
        <v>-65842.499999999796</v>
      </c>
      <c r="AK151" s="545">
        <f t="shared" si="177"/>
        <v>-68771.9099999998</v>
      </c>
      <c r="AL151" s="300">
        <f t="shared" si="194"/>
        <v>284473.48999999987</v>
      </c>
      <c r="AM151" s="449">
        <f t="shared" si="223"/>
        <v>7</v>
      </c>
      <c r="AN151" s="14">
        <f t="shared" si="178"/>
        <v>1196.26</v>
      </c>
      <c r="AO151" s="14">
        <f t="shared" si="153"/>
        <v>227115.59999999998</v>
      </c>
      <c r="AP151" s="14">
        <f t="shared" si="179"/>
        <v>1325.03</v>
      </c>
      <c r="AS151" s="14">
        <f t="shared" si="217"/>
        <v>1196.26</v>
      </c>
      <c r="AT151" s="14">
        <f t="shared" si="224"/>
        <v>110771.61999999984</v>
      </c>
      <c r="AU151" s="300">
        <f t="shared" si="225"/>
        <v>853.66496714599214</v>
      </c>
      <c r="AV151" s="300">
        <f t="shared" si="226"/>
        <v>99171.151825542838</v>
      </c>
    </row>
    <row r="152" spans="1:48" x14ac:dyDescent="0.25">
      <c r="A152" s="535">
        <f t="shared" si="181"/>
        <v>48519</v>
      </c>
      <c r="B152" s="300">
        <f t="shared" si="218"/>
        <v>63602.879999999983</v>
      </c>
      <c r="C152" s="14">
        <f t="shared" si="211"/>
        <v>421.41</v>
      </c>
      <c r="D152" s="14">
        <f t="shared" si="227"/>
        <v>182.90000000000003</v>
      </c>
      <c r="E152" s="14">
        <f t="shared" si="212"/>
        <v>238.51</v>
      </c>
      <c r="F152" s="14">
        <f t="shared" si="170"/>
        <v>134.16999999999999</v>
      </c>
      <c r="G152" s="14">
        <f t="shared" si="167"/>
        <v>188.55</v>
      </c>
      <c r="H152" s="14">
        <f t="shared" si="168"/>
        <v>744.13000000000011</v>
      </c>
      <c r="I152" s="300">
        <f t="shared" si="182"/>
        <v>20061.440000000002</v>
      </c>
      <c r="J152" s="300">
        <f t="shared" si="183"/>
        <v>38405.029999999992</v>
      </c>
      <c r="K152" s="300">
        <f t="shared" si="184"/>
        <v>63419.979999999981</v>
      </c>
      <c r="L152" s="449">
        <f t="shared" si="155"/>
        <v>7</v>
      </c>
      <c r="M152" s="449">
        <f t="shared" si="219"/>
        <v>93</v>
      </c>
      <c r="N152" s="300">
        <f t="shared" si="220"/>
        <v>218630.99000000008</v>
      </c>
      <c r="O152" s="300">
        <f t="shared" si="185"/>
        <v>1617.67</v>
      </c>
      <c r="P152" s="300">
        <f t="shared" si="228"/>
        <v>342.32000000000016</v>
      </c>
      <c r="Q152" s="300">
        <f t="shared" si="186"/>
        <v>1275.3499999999999</v>
      </c>
      <c r="R152" s="300">
        <f t="shared" si="173"/>
        <v>134.16999999999999</v>
      </c>
      <c r="S152" s="300">
        <f t="shared" si="174"/>
        <v>188.55</v>
      </c>
      <c r="T152" s="300">
        <f t="shared" si="171"/>
        <v>1940.39</v>
      </c>
      <c r="U152" s="300">
        <f t="shared" si="229"/>
        <v>24859.830000000009</v>
      </c>
      <c r="V152" s="300">
        <f t="shared" si="230"/>
        <v>127201.15000000004</v>
      </c>
      <c r="W152" s="300">
        <f t="shared" si="187"/>
        <v>218288.67000000007</v>
      </c>
      <c r="X152" s="535">
        <f t="shared" si="221"/>
        <v>48519</v>
      </c>
      <c r="Y152" s="300">
        <f t="shared" si="188"/>
        <v>284473.48999999987</v>
      </c>
      <c r="Z152" s="527">
        <f t="shared" si="213"/>
        <v>7.0000000000000007E-2</v>
      </c>
      <c r="AA152" s="300">
        <f t="shared" si="214"/>
        <v>1746.44</v>
      </c>
      <c r="AB152" s="300">
        <f t="shared" si="189"/>
        <v>87.009999999999991</v>
      </c>
      <c r="AC152" s="300">
        <f t="shared" si="215"/>
        <v>1659.43</v>
      </c>
      <c r="AD152" s="300">
        <f t="shared" ref="AD152:AE152" si="238">+AD151</f>
        <v>134.16999999999999</v>
      </c>
      <c r="AE152" s="300">
        <f t="shared" si="238"/>
        <v>188.55</v>
      </c>
      <c r="AF152" s="300">
        <f t="shared" si="191"/>
        <v>2069.1600000000003</v>
      </c>
      <c r="AG152" s="300">
        <f t="shared" si="192"/>
        <v>30537.619999999995</v>
      </c>
      <c r="AH152" s="300">
        <f t="shared" si="193"/>
        <v>124581.53999999998</v>
      </c>
      <c r="AI152" s="545">
        <f t="shared" si="176"/>
        <v>-3058.1799999999994</v>
      </c>
      <c r="AJ152" s="545">
        <f t="shared" si="134"/>
        <v>-66097.809999999794</v>
      </c>
      <c r="AK152" s="545">
        <f t="shared" si="177"/>
        <v>-69155.989999999787</v>
      </c>
      <c r="AL152" s="300">
        <f t="shared" si="194"/>
        <v>284386.47999999986</v>
      </c>
      <c r="AM152" s="449">
        <f t="shared" si="223"/>
        <v>7</v>
      </c>
      <c r="AN152" s="14">
        <f t="shared" si="178"/>
        <v>1196.26</v>
      </c>
      <c r="AO152" s="14">
        <f t="shared" si="153"/>
        <v>226956.17999999996</v>
      </c>
      <c r="AP152" s="14">
        <f t="shared" si="179"/>
        <v>1325.03</v>
      </c>
      <c r="AS152" s="14">
        <f t="shared" si="217"/>
        <v>1196.26</v>
      </c>
      <c r="AT152" s="14">
        <f t="shared" si="224"/>
        <v>111967.87999999983</v>
      </c>
      <c r="AU152" s="300">
        <f t="shared" si="225"/>
        <v>855.79912956385715</v>
      </c>
      <c r="AV152" s="300">
        <f t="shared" si="226"/>
        <v>100026.9509551067</v>
      </c>
    </row>
    <row r="153" spans="1:48" x14ac:dyDescent="0.25">
      <c r="A153" s="535">
        <f t="shared" si="181"/>
        <v>48549</v>
      </c>
      <c r="B153" s="300">
        <f t="shared" si="218"/>
        <v>63419.979999999981</v>
      </c>
      <c r="C153" s="14">
        <f t="shared" si="211"/>
        <v>421.41</v>
      </c>
      <c r="D153" s="14">
        <f t="shared" si="227"/>
        <v>183.59000000000003</v>
      </c>
      <c r="E153" s="14">
        <f t="shared" si="212"/>
        <v>237.82</v>
      </c>
      <c r="F153" s="14">
        <f t="shared" si="170"/>
        <v>134.16999999999999</v>
      </c>
      <c r="G153" s="14">
        <f t="shared" si="167"/>
        <v>188.55</v>
      </c>
      <c r="H153" s="14">
        <f t="shared" si="168"/>
        <v>744.13000000000011</v>
      </c>
      <c r="I153" s="300">
        <f t="shared" si="182"/>
        <v>20245.030000000002</v>
      </c>
      <c r="J153" s="300">
        <f t="shared" si="183"/>
        <v>38642.849999999991</v>
      </c>
      <c r="K153" s="300">
        <f t="shared" si="184"/>
        <v>63236.389999999985</v>
      </c>
      <c r="L153" s="449">
        <f t="shared" si="155"/>
        <v>7</v>
      </c>
      <c r="M153" s="449">
        <f t="shared" si="219"/>
        <v>94</v>
      </c>
      <c r="N153" s="300">
        <f t="shared" si="220"/>
        <v>218288.67000000007</v>
      </c>
      <c r="O153" s="300">
        <f t="shared" si="185"/>
        <v>1617.67</v>
      </c>
      <c r="P153" s="300">
        <f t="shared" si="228"/>
        <v>344.32000000000016</v>
      </c>
      <c r="Q153" s="300">
        <f t="shared" si="186"/>
        <v>1273.3499999999999</v>
      </c>
      <c r="R153" s="300">
        <f t="shared" si="173"/>
        <v>134.16999999999999</v>
      </c>
      <c r="S153" s="300">
        <f t="shared" si="174"/>
        <v>188.55</v>
      </c>
      <c r="T153" s="300">
        <f t="shared" si="171"/>
        <v>1940.39</v>
      </c>
      <c r="U153" s="300">
        <f t="shared" si="229"/>
        <v>25204.150000000009</v>
      </c>
      <c r="V153" s="300">
        <f t="shared" si="230"/>
        <v>128474.50000000004</v>
      </c>
      <c r="W153" s="300">
        <f t="shared" si="187"/>
        <v>217944.35000000006</v>
      </c>
      <c r="X153" s="535">
        <f t="shared" si="221"/>
        <v>48549</v>
      </c>
      <c r="Y153" s="300">
        <f t="shared" si="188"/>
        <v>284386.47999999986</v>
      </c>
      <c r="Z153" s="527">
        <f t="shared" si="213"/>
        <v>7.0000000000000007E-2</v>
      </c>
      <c r="AA153" s="300">
        <f t="shared" si="214"/>
        <v>1746.44</v>
      </c>
      <c r="AB153" s="300">
        <f t="shared" si="189"/>
        <v>87.519999999999982</v>
      </c>
      <c r="AC153" s="300">
        <f t="shared" si="215"/>
        <v>1658.92</v>
      </c>
      <c r="AD153" s="300">
        <f t="shared" ref="AD153:AE153" si="239">+AD152</f>
        <v>134.16999999999999</v>
      </c>
      <c r="AE153" s="300">
        <f t="shared" si="239"/>
        <v>188.55</v>
      </c>
      <c r="AF153" s="300">
        <f t="shared" si="191"/>
        <v>2069.1600000000003</v>
      </c>
      <c r="AG153" s="300">
        <f t="shared" si="192"/>
        <v>30625.139999999996</v>
      </c>
      <c r="AH153" s="300">
        <f t="shared" si="193"/>
        <v>126240.45999999998</v>
      </c>
      <c r="AI153" s="545">
        <f t="shared" si="176"/>
        <v>-3186.9499999999994</v>
      </c>
      <c r="AJ153" s="545">
        <f t="shared" si="134"/>
        <v>-66354.609999999782</v>
      </c>
      <c r="AK153" s="545">
        <f t="shared" si="177"/>
        <v>-69541.559999999779</v>
      </c>
      <c r="AL153" s="300">
        <f t="shared" si="194"/>
        <v>284298.95999999985</v>
      </c>
      <c r="AM153" s="449">
        <f t="shared" si="223"/>
        <v>7</v>
      </c>
      <c r="AN153" s="14">
        <f t="shared" si="178"/>
        <v>1196.26</v>
      </c>
      <c r="AO153" s="14">
        <f t="shared" si="153"/>
        <v>226795.44999999995</v>
      </c>
      <c r="AP153" s="14">
        <f t="shared" si="179"/>
        <v>1325.03</v>
      </c>
      <c r="AS153" s="14">
        <f t="shared" si="217"/>
        <v>1196.26</v>
      </c>
      <c r="AT153" s="14">
        <f t="shared" si="224"/>
        <v>113164.13999999982</v>
      </c>
      <c r="AU153" s="300">
        <f t="shared" si="225"/>
        <v>857.9386273877667</v>
      </c>
      <c r="AV153" s="300">
        <f t="shared" si="226"/>
        <v>100884.88958249446</v>
      </c>
    </row>
    <row r="154" spans="1:48" x14ac:dyDescent="0.25">
      <c r="A154" s="535">
        <f t="shared" si="181"/>
        <v>48579</v>
      </c>
      <c r="B154" s="300">
        <f t="shared" si="218"/>
        <v>63236.389999999985</v>
      </c>
      <c r="C154" s="14">
        <f t="shared" si="211"/>
        <v>421.41</v>
      </c>
      <c r="D154" s="14">
        <f t="shared" si="227"/>
        <v>184.27000000000004</v>
      </c>
      <c r="E154" s="14">
        <f t="shared" si="212"/>
        <v>237.14</v>
      </c>
      <c r="F154" s="14">
        <f t="shared" si="170"/>
        <v>134.16999999999999</v>
      </c>
      <c r="G154" s="14">
        <f t="shared" si="167"/>
        <v>188.55</v>
      </c>
      <c r="H154" s="14">
        <f t="shared" si="168"/>
        <v>744.13000000000011</v>
      </c>
      <c r="I154" s="300">
        <f t="shared" si="182"/>
        <v>20429.300000000003</v>
      </c>
      <c r="J154" s="300">
        <f t="shared" si="183"/>
        <v>38879.989999999991</v>
      </c>
      <c r="K154" s="300">
        <f t="shared" si="184"/>
        <v>63052.119999999988</v>
      </c>
      <c r="L154" s="449">
        <f t="shared" si="155"/>
        <v>7</v>
      </c>
      <c r="M154" s="449">
        <f t="shared" si="219"/>
        <v>95</v>
      </c>
      <c r="N154" s="300">
        <f t="shared" si="220"/>
        <v>217944.35000000006</v>
      </c>
      <c r="O154" s="300">
        <f t="shared" si="185"/>
        <v>1617.67</v>
      </c>
      <c r="P154" s="300">
        <f t="shared" si="228"/>
        <v>346.33000000000015</v>
      </c>
      <c r="Q154" s="300">
        <f t="shared" si="186"/>
        <v>1271.3399999999999</v>
      </c>
      <c r="R154" s="300">
        <f t="shared" si="173"/>
        <v>134.16999999999999</v>
      </c>
      <c r="S154" s="300">
        <f t="shared" si="174"/>
        <v>188.55</v>
      </c>
      <c r="T154" s="300">
        <f t="shared" si="171"/>
        <v>1940.39</v>
      </c>
      <c r="U154" s="300">
        <f t="shared" si="229"/>
        <v>25550.48000000001</v>
      </c>
      <c r="V154" s="300">
        <f t="shared" si="230"/>
        <v>129745.84000000004</v>
      </c>
      <c r="W154" s="300">
        <f t="shared" si="187"/>
        <v>217598.02000000008</v>
      </c>
      <c r="X154" s="535">
        <f t="shared" si="221"/>
        <v>48579</v>
      </c>
      <c r="Y154" s="300">
        <f t="shared" si="188"/>
        <v>284298.95999999985</v>
      </c>
      <c r="Z154" s="527">
        <f t="shared" si="213"/>
        <v>7.0000000000000007E-2</v>
      </c>
      <c r="AA154" s="300">
        <f t="shared" si="214"/>
        <v>1746.44</v>
      </c>
      <c r="AB154" s="300">
        <f t="shared" si="189"/>
        <v>88.029999999999973</v>
      </c>
      <c r="AC154" s="300">
        <f t="shared" si="215"/>
        <v>1658.41</v>
      </c>
      <c r="AD154" s="300">
        <f t="shared" ref="AD154:AE154" si="240">+AD153</f>
        <v>134.16999999999999</v>
      </c>
      <c r="AE154" s="300">
        <f t="shared" si="240"/>
        <v>188.55</v>
      </c>
      <c r="AF154" s="300">
        <f t="shared" si="191"/>
        <v>2069.1600000000003</v>
      </c>
      <c r="AG154" s="300">
        <f t="shared" si="192"/>
        <v>30713.169999999995</v>
      </c>
      <c r="AH154" s="300">
        <f t="shared" si="193"/>
        <v>127898.86999999998</v>
      </c>
      <c r="AI154" s="545">
        <f t="shared" si="176"/>
        <v>-3315.7199999999993</v>
      </c>
      <c r="AJ154" s="545">
        <f t="shared" si="134"/>
        <v>-66612.909999999742</v>
      </c>
      <c r="AK154" s="545">
        <f t="shared" si="177"/>
        <v>-69928.629999999743</v>
      </c>
      <c r="AL154" s="300">
        <f t="shared" si="194"/>
        <v>284210.92999999982</v>
      </c>
      <c r="AM154" s="449">
        <f t="shared" si="223"/>
        <v>7</v>
      </c>
      <c r="AN154" s="14">
        <f t="shared" si="178"/>
        <v>1196.26</v>
      </c>
      <c r="AO154" s="14">
        <f t="shared" si="153"/>
        <v>226633.38999999998</v>
      </c>
      <c r="AP154" s="14">
        <f t="shared" si="179"/>
        <v>1325.03</v>
      </c>
      <c r="AS154" s="14">
        <f t="shared" si="217"/>
        <v>1196.26</v>
      </c>
      <c r="AT154" s="14">
        <f t="shared" si="224"/>
        <v>114360.39999999982</v>
      </c>
      <c r="AU154" s="300">
        <f t="shared" si="225"/>
        <v>860.08347395623605</v>
      </c>
      <c r="AV154" s="300">
        <f t="shared" si="226"/>
        <v>101744.9730564507</v>
      </c>
    </row>
    <row r="155" spans="1:48" x14ac:dyDescent="0.25">
      <c r="A155" s="535">
        <f t="shared" si="181"/>
        <v>48609</v>
      </c>
      <c r="B155" s="300">
        <f t="shared" si="218"/>
        <v>63052.119999999988</v>
      </c>
      <c r="C155" s="14">
        <f t="shared" si="211"/>
        <v>421.41</v>
      </c>
      <c r="D155" s="14">
        <f t="shared" si="227"/>
        <v>184.96000000000004</v>
      </c>
      <c r="E155" s="14">
        <f t="shared" si="212"/>
        <v>236.45</v>
      </c>
      <c r="F155" s="14">
        <f t="shared" si="170"/>
        <v>134.16999999999999</v>
      </c>
      <c r="G155" s="14">
        <f t="shared" si="167"/>
        <v>188.55</v>
      </c>
      <c r="H155" s="14">
        <f t="shared" si="168"/>
        <v>744.13000000000011</v>
      </c>
      <c r="I155" s="300">
        <f t="shared" si="182"/>
        <v>20614.260000000002</v>
      </c>
      <c r="J155" s="300">
        <f t="shared" si="183"/>
        <v>39116.439999999988</v>
      </c>
      <c r="K155" s="300">
        <f t="shared" si="184"/>
        <v>62867.159999999989</v>
      </c>
      <c r="L155" s="449">
        <f t="shared" si="155"/>
        <v>8</v>
      </c>
      <c r="M155" s="449">
        <f t="shared" si="219"/>
        <v>96</v>
      </c>
      <c r="N155" s="300">
        <f t="shared" si="220"/>
        <v>217598.02000000008</v>
      </c>
      <c r="O155" s="300">
        <f t="shared" si="185"/>
        <v>1617.67</v>
      </c>
      <c r="P155" s="300">
        <f t="shared" si="228"/>
        <v>348.35000000000014</v>
      </c>
      <c r="Q155" s="300">
        <f t="shared" si="186"/>
        <v>1269.32</v>
      </c>
      <c r="R155" s="300">
        <f t="shared" si="173"/>
        <v>134.16999999999999</v>
      </c>
      <c r="S155" s="300">
        <f t="shared" si="174"/>
        <v>188.55</v>
      </c>
      <c r="T155" s="300">
        <f t="shared" si="171"/>
        <v>1940.39</v>
      </c>
      <c r="U155" s="300">
        <f t="shared" si="229"/>
        <v>25898.830000000009</v>
      </c>
      <c r="V155" s="300">
        <f t="shared" si="230"/>
        <v>131015.16000000005</v>
      </c>
      <c r="W155" s="300">
        <f t="shared" si="187"/>
        <v>217249.67000000007</v>
      </c>
      <c r="X155" s="535">
        <f t="shared" si="221"/>
        <v>48609</v>
      </c>
      <c r="Y155" s="300">
        <f t="shared" si="188"/>
        <v>284210.92999999982</v>
      </c>
      <c r="Z155" s="527">
        <f t="shared" si="213"/>
        <v>7.0000000000000007E-2</v>
      </c>
      <c r="AA155" s="300">
        <f t="shared" si="214"/>
        <v>1746.44</v>
      </c>
      <c r="AB155" s="300">
        <f t="shared" si="189"/>
        <v>88.539999999999964</v>
      </c>
      <c r="AC155" s="300">
        <f t="shared" si="215"/>
        <v>1657.9</v>
      </c>
      <c r="AD155" s="300">
        <f t="shared" ref="AD155:AE155" si="241">+AD154</f>
        <v>134.16999999999999</v>
      </c>
      <c r="AE155" s="300">
        <f t="shared" si="241"/>
        <v>188.55</v>
      </c>
      <c r="AF155" s="300">
        <f t="shared" si="191"/>
        <v>2069.1600000000003</v>
      </c>
      <c r="AG155" s="300">
        <f t="shared" si="192"/>
        <v>30801.709999999995</v>
      </c>
      <c r="AH155" s="300">
        <f t="shared" si="193"/>
        <v>129556.76999999997</v>
      </c>
      <c r="AI155" s="545">
        <f t="shared" si="176"/>
        <v>-3444.4899999999993</v>
      </c>
      <c r="AJ155" s="545">
        <f t="shared" ref="AJ155:AJ218" si="242">+W155-AL155</f>
        <v>-66872.719999999768</v>
      </c>
      <c r="AK155" s="545">
        <f t="shared" si="177"/>
        <v>-70317.209999999774</v>
      </c>
      <c r="AL155" s="300">
        <f t="shared" si="194"/>
        <v>284122.38999999984</v>
      </c>
      <c r="AM155" s="449">
        <f t="shared" si="223"/>
        <v>8</v>
      </c>
      <c r="AN155" s="14">
        <f t="shared" si="178"/>
        <v>1196.26</v>
      </c>
      <c r="AO155" s="14">
        <f t="shared" si="153"/>
        <v>226469.99999999997</v>
      </c>
      <c r="AP155" s="14">
        <f t="shared" si="179"/>
        <v>1325.03</v>
      </c>
      <c r="AS155" s="14">
        <f t="shared" si="217"/>
        <v>1196.26</v>
      </c>
      <c r="AT155" s="14">
        <f t="shared" si="224"/>
        <v>115556.65999999981</v>
      </c>
      <c r="AU155" s="300">
        <f t="shared" si="225"/>
        <v>862.23368264112685</v>
      </c>
      <c r="AV155" s="300">
        <f t="shared" si="226"/>
        <v>102607.20673909184</v>
      </c>
    </row>
    <row r="156" spans="1:48" x14ac:dyDescent="0.25">
      <c r="A156" s="535">
        <f t="shared" si="181"/>
        <v>48639</v>
      </c>
      <c r="B156" s="300">
        <f t="shared" si="218"/>
        <v>62867.159999999989</v>
      </c>
      <c r="C156" s="14">
        <f t="shared" si="211"/>
        <v>421.41</v>
      </c>
      <c r="D156" s="14">
        <f t="shared" si="227"/>
        <v>185.66000000000003</v>
      </c>
      <c r="E156" s="14">
        <f t="shared" si="212"/>
        <v>235.75</v>
      </c>
      <c r="F156" s="14">
        <f t="shared" si="170"/>
        <v>134.16999999999999</v>
      </c>
      <c r="G156" s="14">
        <f t="shared" si="167"/>
        <v>188.55</v>
      </c>
      <c r="H156" s="14">
        <f t="shared" si="168"/>
        <v>744.13000000000011</v>
      </c>
      <c r="I156" s="300">
        <f t="shared" si="182"/>
        <v>20799.920000000002</v>
      </c>
      <c r="J156" s="300">
        <f t="shared" si="183"/>
        <v>39352.189999999988</v>
      </c>
      <c r="K156" s="300">
        <f t="shared" si="184"/>
        <v>62681.499999999985</v>
      </c>
      <c r="L156" s="449">
        <f t="shared" si="155"/>
        <v>8</v>
      </c>
      <c r="M156" s="449">
        <f t="shared" si="219"/>
        <v>97</v>
      </c>
      <c r="N156" s="300">
        <f t="shared" si="220"/>
        <v>217249.67000000007</v>
      </c>
      <c r="O156" s="300">
        <f t="shared" si="185"/>
        <v>1617.67</v>
      </c>
      <c r="P156" s="300">
        <f t="shared" si="228"/>
        <v>350.38000000000011</v>
      </c>
      <c r="Q156" s="300">
        <f t="shared" si="186"/>
        <v>1267.29</v>
      </c>
      <c r="R156" s="300">
        <f t="shared" si="173"/>
        <v>134.16999999999999</v>
      </c>
      <c r="S156" s="300">
        <f t="shared" si="174"/>
        <v>188.55</v>
      </c>
      <c r="T156" s="300">
        <f t="shared" si="171"/>
        <v>1940.39</v>
      </c>
      <c r="U156" s="300">
        <f t="shared" si="229"/>
        <v>26249.21000000001</v>
      </c>
      <c r="V156" s="300">
        <f t="shared" si="230"/>
        <v>132282.45000000004</v>
      </c>
      <c r="W156" s="300">
        <f t="shared" si="187"/>
        <v>216899.29000000007</v>
      </c>
      <c r="X156" s="535">
        <f t="shared" si="221"/>
        <v>48639</v>
      </c>
      <c r="Y156" s="300">
        <f t="shared" si="188"/>
        <v>284122.38999999984</v>
      </c>
      <c r="Z156" s="527">
        <f t="shared" si="213"/>
        <v>7.0000000000000007E-2</v>
      </c>
      <c r="AA156" s="300">
        <f t="shared" si="214"/>
        <v>1746.44</v>
      </c>
      <c r="AB156" s="300">
        <f t="shared" si="189"/>
        <v>89.059999999999945</v>
      </c>
      <c r="AC156" s="300">
        <f t="shared" si="215"/>
        <v>1657.38</v>
      </c>
      <c r="AD156" s="300">
        <f t="shared" ref="AD156:AE156" si="243">+AD155</f>
        <v>134.16999999999999</v>
      </c>
      <c r="AE156" s="300">
        <f t="shared" si="243"/>
        <v>188.55</v>
      </c>
      <c r="AF156" s="300">
        <f t="shared" si="191"/>
        <v>2069.1600000000003</v>
      </c>
      <c r="AG156" s="300">
        <f t="shared" si="192"/>
        <v>30890.769999999997</v>
      </c>
      <c r="AH156" s="300">
        <f t="shared" si="193"/>
        <v>131214.14999999997</v>
      </c>
      <c r="AI156" s="545">
        <f t="shared" si="176"/>
        <v>-3573.2599999999993</v>
      </c>
      <c r="AJ156" s="545">
        <f t="shared" si="242"/>
        <v>-67134.039999999775</v>
      </c>
      <c r="AK156" s="545">
        <f t="shared" si="177"/>
        <v>-70707.29999999977</v>
      </c>
      <c r="AL156" s="300">
        <f t="shared" si="194"/>
        <v>284033.32999999984</v>
      </c>
      <c r="AM156" s="449">
        <f t="shared" si="223"/>
        <v>8</v>
      </c>
      <c r="AN156" s="14">
        <f t="shared" si="178"/>
        <v>1196.26</v>
      </c>
      <c r="AO156" s="14">
        <f t="shared" si="153"/>
        <v>226305.27999999997</v>
      </c>
      <c r="AP156" s="14">
        <f t="shared" si="179"/>
        <v>1325.03</v>
      </c>
      <c r="AS156" s="14">
        <f t="shared" si="217"/>
        <v>1196.26</v>
      </c>
      <c r="AT156" s="14">
        <f t="shared" si="224"/>
        <v>116752.91999999981</v>
      </c>
      <c r="AU156" s="300">
        <f t="shared" si="225"/>
        <v>864.38926684772957</v>
      </c>
      <c r="AV156" s="300">
        <f t="shared" si="226"/>
        <v>103471.59600593957</v>
      </c>
    </row>
    <row r="157" spans="1:48" x14ac:dyDescent="0.25">
      <c r="A157" s="535">
        <f t="shared" si="181"/>
        <v>48669</v>
      </c>
      <c r="B157" s="300">
        <f t="shared" si="218"/>
        <v>62681.499999999985</v>
      </c>
      <c r="C157" s="14">
        <f t="shared" si="211"/>
        <v>421.41</v>
      </c>
      <c r="D157" s="14">
        <f t="shared" si="227"/>
        <v>186.35000000000002</v>
      </c>
      <c r="E157" s="14">
        <f t="shared" si="212"/>
        <v>235.06</v>
      </c>
      <c r="F157" s="14">
        <f t="shared" si="170"/>
        <v>134.16999999999999</v>
      </c>
      <c r="G157" s="14">
        <f t="shared" si="167"/>
        <v>188.55</v>
      </c>
      <c r="H157" s="14">
        <f t="shared" si="168"/>
        <v>744.13000000000011</v>
      </c>
      <c r="I157" s="300">
        <f t="shared" si="182"/>
        <v>20986.27</v>
      </c>
      <c r="J157" s="300">
        <f t="shared" si="183"/>
        <v>39587.249999999985</v>
      </c>
      <c r="K157" s="300">
        <f t="shared" si="184"/>
        <v>62495.149999999987</v>
      </c>
      <c r="L157" s="449">
        <f t="shared" si="155"/>
        <v>8</v>
      </c>
      <c r="M157" s="449">
        <f t="shared" si="219"/>
        <v>98</v>
      </c>
      <c r="N157" s="300">
        <f t="shared" si="220"/>
        <v>216899.29000000007</v>
      </c>
      <c r="O157" s="300">
        <f t="shared" si="185"/>
        <v>1617.67</v>
      </c>
      <c r="P157" s="300">
        <f t="shared" si="228"/>
        <v>352.42000000000007</v>
      </c>
      <c r="Q157" s="300">
        <f t="shared" si="186"/>
        <v>1265.25</v>
      </c>
      <c r="R157" s="300">
        <f t="shared" si="173"/>
        <v>134.16999999999999</v>
      </c>
      <c r="S157" s="300">
        <f t="shared" si="174"/>
        <v>188.55</v>
      </c>
      <c r="T157" s="300">
        <f t="shared" si="171"/>
        <v>1940.39</v>
      </c>
      <c r="U157" s="300">
        <f t="shared" si="229"/>
        <v>26601.630000000012</v>
      </c>
      <c r="V157" s="300">
        <f t="shared" si="230"/>
        <v>133547.70000000004</v>
      </c>
      <c r="W157" s="300">
        <f t="shared" si="187"/>
        <v>216546.87000000005</v>
      </c>
      <c r="X157" s="535">
        <f t="shared" si="221"/>
        <v>48669</v>
      </c>
      <c r="Y157" s="300">
        <f t="shared" si="188"/>
        <v>284033.32999999984</v>
      </c>
      <c r="Z157" s="527">
        <f t="shared" si="213"/>
        <v>7.0000000000000007E-2</v>
      </c>
      <c r="AA157" s="300">
        <f t="shared" si="214"/>
        <v>1746.44</v>
      </c>
      <c r="AB157" s="300">
        <f t="shared" si="189"/>
        <v>89.580000000000155</v>
      </c>
      <c r="AC157" s="300">
        <f t="shared" si="215"/>
        <v>1656.86</v>
      </c>
      <c r="AD157" s="300">
        <f t="shared" ref="AD157:AE157" si="244">+AD156</f>
        <v>134.16999999999999</v>
      </c>
      <c r="AE157" s="300">
        <f t="shared" si="244"/>
        <v>188.55</v>
      </c>
      <c r="AF157" s="300">
        <f t="shared" si="191"/>
        <v>2069.1600000000003</v>
      </c>
      <c r="AG157" s="300">
        <f t="shared" si="192"/>
        <v>30980.35</v>
      </c>
      <c r="AH157" s="300">
        <f t="shared" si="193"/>
        <v>132871.00999999995</v>
      </c>
      <c r="AI157" s="545">
        <f t="shared" si="176"/>
        <v>-3702.0299999999993</v>
      </c>
      <c r="AJ157" s="545">
        <f t="shared" si="242"/>
        <v>-67396.879999999772</v>
      </c>
      <c r="AK157" s="545">
        <f t="shared" si="177"/>
        <v>-71098.909999999771</v>
      </c>
      <c r="AL157" s="300">
        <f t="shared" si="194"/>
        <v>283943.74999999983</v>
      </c>
      <c r="AM157" s="449">
        <f t="shared" si="223"/>
        <v>8</v>
      </c>
      <c r="AN157" s="14">
        <f t="shared" si="178"/>
        <v>1196.26</v>
      </c>
      <c r="AO157" s="14">
        <f t="shared" si="153"/>
        <v>226139.20999999996</v>
      </c>
      <c r="AP157" s="14">
        <f t="shared" si="179"/>
        <v>1325.03</v>
      </c>
      <c r="AS157" s="14">
        <f t="shared" si="217"/>
        <v>1196.26</v>
      </c>
      <c r="AT157" s="14">
        <f t="shared" si="224"/>
        <v>117949.1799999998</v>
      </c>
      <c r="AU157" s="300">
        <f t="shared" si="225"/>
        <v>866.5502400148489</v>
      </c>
      <c r="AV157" s="300">
        <f t="shared" si="226"/>
        <v>104338.14624595443</v>
      </c>
    </row>
    <row r="158" spans="1:48" ht="15.75" thickBot="1" x14ac:dyDescent="0.3">
      <c r="A158" s="538">
        <f t="shared" si="181"/>
        <v>48699</v>
      </c>
      <c r="B158" s="369">
        <f t="shared" si="218"/>
        <v>62495.149999999987</v>
      </c>
      <c r="C158" s="21">
        <f t="shared" si="211"/>
        <v>421.41</v>
      </c>
      <c r="D158" s="21">
        <f t="shared" si="227"/>
        <v>187.05</v>
      </c>
      <c r="E158" s="21">
        <f t="shared" si="212"/>
        <v>234.36</v>
      </c>
      <c r="F158" s="21">
        <f t="shared" si="170"/>
        <v>134.16999999999999</v>
      </c>
      <c r="G158" s="21">
        <f t="shared" si="167"/>
        <v>188.55</v>
      </c>
      <c r="H158" s="21">
        <f t="shared" si="168"/>
        <v>744.13000000000011</v>
      </c>
      <c r="I158" s="369">
        <f t="shared" si="182"/>
        <v>21173.32</v>
      </c>
      <c r="J158" s="369">
        <f t="shared" si="183"/>
        <v>39821.609999999986</v>
      </c>
      <c r="K158" s="369">
        <f t="shared" si="184"/>
        <v>62308.099999999984</v>
      </c>
      <c r="L158" s="450">
        <f t="shared" si="155"/>
        <v>8</v>
      </c>
      <c r="M158" s="450">
        <f t="shared" si="219"/>
        <v>99</v>
      </c>
      <c r="N158" s="369">
        <f t="shared" si="220"/>
        <v>216546.87000000005</v>
      </c>
      <c r="O158" s="369">
        <f t="shared" si="185"/>
        <v>1617.67</v>
      </c>
      <c r="P158" s="369">
        <f t="shared" si="228"/>
        <v>354.48</v>
      </c>
      <c r="Q158" s="369">
        <f t="shared" si="186"/>
        <v>1263.19</v>
      </c>
      <c r="R158" s="369">
        <f t="shared" si="173"/>
        <v>134.16999999999999</v>
      </c>
      <c r="S158" s="369">
        <f t="shared" si="174"/>
        <v>188.55</v>
      </c>
      <c r="T158" s="369">
        <f t="shared" si="171"/>
        <v>1940.39</v>
      </c>
      <c r="U158" s="369">
        <f t="shared" si="229"/>
        <v>26956.110000000011</v>
      </c>
      <c r="V158" s="369">
        <f t="shared" si="230"/>
        <v>134810.89000000004</v>
      </c>
      <c r="W158" s="369">
        <f t="shared" si="187"/>
        <v>216192.39000000004</v>
      </c>
      <c r="X158" s="538">
        <f t="shared" si="221"/>
        <v>48699</v>
      </c>
      <c r="Y158" s="369">
        <f t="shared" si="188"/>
        <v>283943.74999999983</v>
      </c>
      <c r="Z158" s="528">
        <f t="shared" si="213"/>
        <v>7.0000000000000007E-2</v>
      </c>
      <c r="AA158" s="369">
        <f t="shared" si="214"/>
        <v>1746.44</v>
      </c>
      <c r="AB158" s="369">
        <f t="shared" si="189"/>
        <v>90.100000000000136</v>
      </c>
      <c r="AC158" s="369">
        <f t="shared" si="215"/>
        <v>1656.34</v>
      </c>
      <c r="AD158" s="369">
        <f t="shared" ref="AD158:AE158" si="245">+AD157</f>
        <v>134.16999999999999</v>
      </c>
      <c r="AE158" s="369">
        <f t="shared" si="245"/>
        <v>188.55</v>
      </c>
      <c r="AF158" s="369">
        <f t="shared" si="191"/>
        <v>2069.1600000000003</v>
      </c>
      <c r="AG158" s="369">
        <f t="shared" si="192"/>
        <v>31070.449999999997</v>
      </c>
      <c r="AH158" s="369">
        <f t="shared" si="193"/>
        <v>134527.34999999995</v>
      </c>
      <c r="AI158" s="546">
        <f t="shared" si="176"/>
        <v>-3830.7999999999993</v>
      </c>
      <c r="AJ158" s="546">
        <f t="shared" si="242"/>
        <v>-67661.259999999806</v>
      </c>
      <c r="AK158" s="546">
        <f t="shared" si="177"/>
        <v>-71492.059999999808</v>
      </c>
      <c r="AL158" s="369">
        <f t="shared" si="194"/>
        <v>283853.64999999985</v>
      </c>
      <c r="AM158" s="450">
        <f t="shared" si="223"/>
        <v>8</v>
      </c>
      <c r="AN158" s="21">
        <f t="shared" si="178"/>
        <v>1196.26</v>
      </c>
      <c r="AO158" s="21">
        <f t="shared" si="153"/>
        <v>225971.77999999997</v>
      </c>
      <c r="AP158" s="21">
        <f t="shared" si="179"/>
        <v>1325.03</v>
      </c>
      <c r="AQ158" s="21"/>
      <c r="AR158" s="23"/>
      <c r="AS158" s="21">
        <f t="shared" si="217"/>
        <v>1196.26</v>
      </c>
      <c r="AT158" s="21">
        <f t="shared" si="224"/>
        <v>119145.4399999998</v>
      </c>
      <c r="AU158" s="369">
        <f t="shared" si="225"/>
        <v>868.71661561488611</v>
      </c>
      <c r="AV158" s="369">
        <f t="shared" si="226"/>
        <v>105206.86286156932</v>
      </c>
    </row>
    <row r="159" spans="1:48" x14ac:dyDescent="0.25">
      <c r="A159" s="535">
        <f t="shared" si="181"/>
        <v>48729</v>
      </c>
      <c r="B159" s="300">
        <f t="shared" si="218"/>
        <v>62308.099999999984</v>
      </c>
      <c r="C159" s="14">
        <f t="shared" si="211"/>
        <v>421.41</v>
      </c>
      <c r="D159" s="14">
        <f t="shared" si="227"/>
        <v>187.75000000000003</v>
      </c>
      <c r="E159" s="14">
        <f t="shared" si="212"/>
        <v>233.66</v>
      </c>
      <c r="F159" s="14">
        <f t="shared" si="170"/>
        <v>134.16999999999999</v>
      </c>
      <c r="G159" s="14">
        <f t="shared" si="167"/>
        <v>188.55</v>
      </c>
      <c r="H159" s="14">
        <f t="shared" si="168"/>
        <v>744.13000000000011</v>
      </c>
      <c r="I159" s="300">
        <f t="shared" si="182"/>
        <v>21361.07</v>
      </c>
      <c r="J159" s="300">
        <f t="shared" si="183"/>
        <v>40055.26999999999</v>
      </c>
      <c r="K159" s="300">
        <f t="shared" si="184"/>
        <v>62120.349999999984</v>
      </c>
      <c r="L159" s="449">
        <f t="shared" si="155"/>
        <v>8</v>
      </c>
      <c r="M159" s="449">
        <f t="shared" si="219"/>
        <v>100</v>
      </c>
      <c r="N159" s="300">
        <f t="shared" si="220"/>
        <v>216192.39000000004</v>
      </c>
      <c r="O159" s="300">
        <f t="shared" si="185"/>
        <v>1617.67</v>
      </c>
      <c r="P159" s="300">
        <f t="shared" si="228"/>
        <v>356.55000000000018</v>
      </c>
      <c r="Q159" s="300">
        <f t="shared" si="186"/>
        <v>1261.1199999999999</v>
      </c>
      <c r="R159" s="300">
        <f t="shared" si="173"/>
        <v>134.16999999999999</v>
      </c>
      <c r="S159" s="300">
        <f t="shared" si="174"/>
        <v>188.55</v>
      </c>
      <c r="T159" s="300">
        <f t="shared" si="171"/>
        <v>1940.39</v>
      </c>
      <c r="U159" s="300">
        <f t="shared" si="229"/>
        <v>27312.660000000011</v>
      </c>
      <c r="V159" s="300">
        <f t="shared" si="230"/>
        <v>136072.01000000004</v>
      </c>
      <c r="W159" s="300">
        <f t="shared" si="187"/>
        <v>215835.84000000005</v>
      </c>
      <c r="X159" s="535">
        <f t="shared" si="221"/>
        <v>48729</v>
      </c>
      <c r="Y159" s="300">
        <f t="shared" si="188"/>
        <v>283853.64999999985</v>
      </c>
      <c r="Z159" s="527">
        <f t="shared" si="213"/>
        <v>7.0000000000000007E-2</v>
      </c>
      <c r="AA159" s="300">
        <f t="shared" si="214"/>
        <v>1746.44</v>
      </c>
      <c r="AB159" s="300">
        <f t="shared" si="189"/>
        <v>90.630000000000109</v>
      </c>
      <c r="AC159" s="300">
        <f t="shared" si="215"/>
        <v>1655.81</v>
      </c>
      <c r="AD159" s="300">
        <f t="shared" ref="AD159:AE159" si="246">+AD158</f>
        <v>134.16999999999999</v>
      </c>
      <c r="AE159" s="300">
        <f t="shared" si="246"/>
        <v>188.55</v>
      </c>
      <c r="AF159" s="300">
        <f t="shared" si="191"/>
        <v>2069.1600000000003</v>
      </c>
      <c r="AG159" s="300">
        <f t="shared" si="192"/>
        <v>31161.079999999998</v>
      </c>
      <c r="AH159" s="300">
        <f t="shared" si="193"/>
        <v>136183.15999999995</v>
      </c>
      <c r="AI159" s="545">
        <f t="shared" si="176"/>
        <v>-3959.5699999999993</v>
      </c>
      <c r="AJ159" s="545">
        <f t="shared" si="242"/>
        <v>-67927.179999999789</v>
      </c>
      <c r="AK159" s="545">
        <f t="shared" si="177"/>
        <v>-71886.749999999782</v>
      </c>
      <c r="AL159" s="300">
        <f t="shared" si="194"/>
        <v>283763.01999999984</v>
      </c>
      <c r="AM159" s="449">
        <f t="shared" si="223"/>
        <v>8</v>
      </c>
      <c r="AN159" s="14">
        <f t="shared" si="178"/>
        <v>1196.26</v>
      </c>
      <c r="AO159" s="14">
        <f t="shared" si="153"/>
        <v>225802.97999999998</v>
      </c>
      <c r="AP159" s="14">
        <f t="shared" si="179"/>
        <v>1325.03</v>
      </c>
      <c r="AS159" s="14">
        <f t="shared" si="217"/>
        <v>1196.26</v>
      </c>
      <c r="AT159" s="14">
        <f t="shared" si="224"/>
        <v>120341.69999999979</v>
      </c>
      <c r="AU159" s="300">
        <f t="shared" si="225"/>
        <v>870.88840715392325</v>
      </c>
      <c r="AV159" s="300">
        <f t="shared" si="226"/>
        <v>106077.75126872324</v>
      </c>
    </row>
    <row r="160" spans="1:48" x14ac:dyDescent="0.25">
      <c r="A160" s="535">
        <f t="shared" si="181"/>
        <v>48759</v>
      </c>
      <c r="B160" s="300">
        <f t="shared" si="218"/>
        <v>62120.349999999984</v>
      </c>
      <c r="C160" s="14">
        <f t="shared" si="211"/>
        <v>421.41</v>
      </c>
      <c r="D160" s="14">
        <f t="shared" si="227"/>
        <v>188.46000000000004</v>
      </c>
      <c r="E160" s="14">
        <f t="shared" si="212"/>
        <v>232.95</v>
      </c>
      <c r="F160" s="14">
        <f t="shared" si="170"/>
        <v>134.16999999999999</v>
      </c>
      <c r="G160" s="14">
        <f t="shared" si="167"/>
        <v>188.55</v>
      </c>
      <c r="H160" s="14">
        <f t="shared" si="168"/>
        <v>744.13000000000011</v>
      </c>
      <c r="I160" s="300">
        <f t="shared" si="182"/>
        <v>21549.53</v>
      </c>
      <c r="J160" s="300">
        <f t="shared" si="183"/>
        <v>40288.219999999987</v>
      </c>
      <c r="K160" s="300">
        <f t="shared" si="184"/>
        <v>61931.889999999985</v>
      </c>
      <c r="L160" s="449">
        <f t="shared" si="155"/>
        <v>8</v>
      </c>
      <c r="M160" s="449">
        <f t="shared" si="219"/>
        <v>101</v>
      </c>
      <c r="N160" s="300">
        <f t="shared" si="220"/>
        <v>215835.84000000005</v>
      </c>
      <c r="O160" s="300">
        <f t="shared" si="185"/>
        <v>1617.67</v>
      </c>
      <c r="P160" s="300">
        <f t="shared" si="228"/>
        <v>358.63000000000011</v>
      </c>
      <c r="Q160" s="300">
        <f t="shared" si="186"/>
        <v>1259.04</v>
      </c>
      <c r="R160" s="300">
        <f t="shared" si="173"/>
        <v>134.16999999999999</v>
      </c>
      <c r="S160" s="300">
        <f t="shared" si="174"/>
        <v>188.55</v>
      </c>
      <c r="T160" s="300">
        <f t="shared" si="171"/>
        <v>1940.39</v>
      </c>
      <c r="U160" s="300">
        <f t="shared" si="229"/>
        <v>27671.290000000012</v>
      </c>
      <c r="V160" s="300">
        <f t="shared" si="230"/>
        <v>137331.05000000005</v>
      </c>
      <c r="W160" s="300">
        <f t="shared" si="187"/>
        <v>215477.21000000005</v>
      </c>
      <c r="X160" s="535">
        <f t="shared" si="221"/>
        <v>48759</v>
      </c>
      <c r="Y160" s="300">
        <f t="shared" si="188"/>
        <v>283763.01999999984</v>
      </c>
      <c r="Z160" s="527">
        <f t="shared" si="213"/>
        <v>7.0000000000000007E-2</v>
      </c>
      <c r="AA160" s="300">
        <f t="shared" si="214"/>
        <v>1746.44</v>
      </c>
      <c r="AB160" s="300">
        <f t="shared" si="189"/>
        <v>91.160000000000082</v>
      </c>
      <c r="AC160" s="300">
        <f t="shared" si="215"/>
        <v>1655.28</v>
      </c>
      <c r="AD160" s="300">
        <f t="shared" ref="AD160:AE160" si="247">+AD159</f>
        <v>134.16999999999999</v>
      </c>
      <c r="AE160" s="300">
        <f t="shared" si="247"/>
        <v>188.55</v>
      </c>
      <c r="AF160" s="300">
        <f t="shared" si="191"/>
        <v>2069.1600000000003</v>
      </c>
      <c r="AG160" s="300">
        <f t="shared" si="192"/>
        <v>31252.239999999998</v>
      </c>
      <c r="AH160" s="300">
        <f t="shared" si="193"/>
        <v>137838.43999999994</v>
      </c>
      <c r="AI160" s="545">
        <f t="shared" si="176"/>
        <v>-4088.3399999999992</v>
      </c>
      <c r="AJ160" s="545">
        <f t="shared" si="242"/>
        <v>-68194.64999999982</v>
      </c>
      <c r="AK160" s="545">
        <f t="shared" si="177"/>
        <v>-72282.989999999816</v>
      </c>
      <c r="AL160" s="300">
        <f t="shared" si="194"/>
        <v>283671.85999999987</v>
      </c>
      <c r="AM160" s="449">
        <f t="shared" si="223"/>
        <v>8</v>
      </c>
      <c r="AN160" s="14">
        <f t="shared" si="178"/>
        <v>1196.26</v>
      </c>
      <c r="AO160" s="14">
        <f t="shared" si="153"/>
        <v>225632.80999999997</v>
      </c>
      <c r="AP160" s="14">
        <f t="shared" si="179"/>
        <v>1325.03</v>
      </c>
      <c r="AS160" s="14">
        <f t="shared" si="217"/>
        <v>1196.26</v>
      </c>
      <c r="AT160" s="14">
        <f t="shared" si="224"/>
        <v>121537.95999999979</v>
      </c>
      <c r="AU160" s="300">
        <f t="shared" si="225"/>
        <v>873.06562817180804</v>
      </c>
      <c r="AV160" s="300">
        <f t="shared" si="226"/>
        <v>106950.81689689505</v>
      </c>
    </row>
    <row r="161" spans="1:48" x14ac:dyDescent="0.25">
      <c r="A161" s="535">
        <f t="shared" si="181"/>
        <v>48789</v>
      </c>
      <c r="B161" s="300">
        <f t="shared" si="218"/>
        <v>61931.889999999985</v>
      </c>
      <c r="C161" s="14">
        <f t="shared" si="211"/>
        <v>421.41</v>
      </c>
      <c r="D161" s="14">
        <f t="shared" si="227"/>
        <v>189.17000000000002</v>
      </c>
      <c r="E161" s="14">
        <f t="shared" si="212"/>
        <v>232.24</v>
      </c>
      <c r="F161" s="14">
        <f t="shared" si="170"/>
        <v>134.16999999999999</v>
      </c>
      <c r="G161" s="14">
        <f t="shared" si="167"/>
        <v>188.55</v>
      </c>
      <c r="H161" s="14">
        <f t="shared" si="168"/>
        <v>744.13000000000011</v>
      </c>
      <c r="I161" s="300">
        <f t="shared" si="182"/>
        <v>21738.699999999997</v>
      </c>
      <c r="J161" s="300">
        <f t="shared" si="183"/>
        <v>40520.459999999985</v>
      </c>
      <c r="K161" s="300">
        <f t="shared" si="184"/>
        <v>61742.719999999987</v>
      </c>
      <c r="L161" s="449">
        <f t="shared" si="155"/>
        <v>8</v>
      </c>
      <c r="M161" s="449">
        <f t="shared" si="219"/>
        <v>102</v>
      </c>
      <c r="N161" s="300">
        <f t="shared" si="220"/>
        <v>215477.21000000005</v>
      </c>
      <c r="O161" s="300">
        <f t="shared" si="185"/>
        <v>1617.67</v>
      </c>
      <c r="P161" s="300">
        <f t="shared" si="228"/>
        <v>360.72</v>
      </c>
      <c r="Q161" s="300">
        <f t="shared" si="186"/>
        <v>1256.95</v>
      </c>
      <c r="R161" s="300">
        <f t="shared" si="173"/>
        <v>134.16999999999999</v>
      </c>
      <c r="S161" s="300">
        <f t="shared" si="174"/>
        <v>188.55</v>
      </c>
      <c r="T161" s="300">
        <f t="shared" si="171"/>
        <v>1940.39</v>
      </c>
      <c r="U161" s="300">
        <f t="shared" si="229"/>
        <v>28032.010000000013</v>
      </c>
      <c r="V161" s="300">
        <f t="shared" si="230"/>
        <v>138588.00000000006</v>
      </c>
      <c r="W161" s="300">
        <f t="shared" si="187"/>
        <v>215116.49000000005</v>
      </c>
      <c r="X161" s="535">
        <f t="shared" si="221"/>
        <v>48789</v>
      </c>
      <c r="Y161" s="300">
        <f t="shared" si="188"/>
        <v>283671.85999999987</v>
      </c>
      <c r="Z161" s="527">
        <f t="shared" si="213"/>
        <v>7.0000000000000007E-2</v>
      </c>
      <c r="AA161" s="300">
        <f t="shared" si="214"/>
        <v>1746.44</v>
      </c>
      <c r="AB161" s="300">
        <f t="shared" si="189"/>
        <v>91.690000000000055</v>
      </c>
      <c r="AC161" s="300">
        <f t="shared" si="215"/>
        <v>1654.75</v>
      </c>
      <c r="AD161" s="300">
        <f t="shared" ref="AD161:AE161" si="248">+AD160</f>
        <v>134.16999999999999</v>
      </c>
      <c r="AE161" s="300">
        <f t="shared" si="248"/>
        <v>188.55</v>
      </c>
      <c r="AF161" s="300">
        <f t="shared" si="191"/>
        <v>2069.1600000000003</v>
      </c>
      <c r="AG161" s="300">
        <f t="shared" si="192"/>
        <v>31343.929999999997</v>
      </c>
      <c r="AH161" s="300">
        <f t="shared" si="193"/>
        <v>139493.18999999994</v>
      </c>
      <c r="AI161" s="545">
        <f t="shared" si="176"/>
        <v>-4217.1099999999988</v>
      </c>
      <c r="AJ161" s="545">
        <f t="shared" si="242"/>
        <v>-68463.679999999818</v>
      </c>
      <c r="AK161" s="545">
        <f t="shared" si="177"/>
        <v>-72680.789999999819</v>
      </c>
      <c r="AL161" s="300">
        <f t="shared" si="194"/>
        <v>283580.16999999987</v>
      </c>
      <c r="AM161" s="449">
        <f t="shared" si="223"/>
        <v>8</v>
      </c>
      <c r="AN161" s="14">
        <f t="shared" si="178"/>
        <v>1196.26</v>
      </c>
      <c r="AO161" s="14">
        <f t="shared" si="153"/>
        <v>225461.25999999995</v>
      </c>
      <c r="AP161" s="14">
        <f t="shared" si="179"/>
        <v>1325.03</v>
      </c>
      <c r="AS161" s="14">
        <f t="shared" si="217"/>
        <v>1196.26</v>
      </c>
      <c r="AT161" s="14">
        <f t="shared" si="224"/>
        <v>122734.21999999978</v>
      </c>
      <c r="AU161" s="300">
        <f t="shared" si="225"/>
        <v>875.24829224223765</v>
      </c>
      <c r="AV161" s="300">
        <f t="shared" si="226"/>
        <v>107826.06518913728</v>
      </c>
    </row>
    <row r="162" spans="1:48" x14ac:dyDescent="0.25">
      <c r="A162" s="535">
        <f t="shared" si="181"/>
        <v>48819</v>
      </c>
      <c r="B162" s="300">
        <f t="shared" si="218"/>
        <v>61742.719999999987</v>
      </c>
      <c r="C162" s="14">
        <f t="shared" si="211"/>
        <v>421.41</v>
      </c>
      <c r="D162" s="14">
        <f t="shared" si="227"/>
        <v>189.87000000000003</v>
      </c>
      <c r="E162" s="14">
        <f t="shared" si="212"/>
        <v>231.54</v>
      </c>
      <c r="F162" s="14">
        <f t="shared" si="170"/>
        <v>134.16999999999999</v>
      </c>
      <c r="G162" s="14">
        <f t="shared" si="167"/>
        <v>188.55</v>
      </c>
      <c r="H162" s="14">
        <f t="shared" si="168"/>
        <v>744.13000000000011</v>
      </c>
      <c r="I162" s="300">
        <f t="shared" si="182"/>
        <v>21928.569999999996</v>
      </c>
      <c r="J162" s="300">
        <f t="shared" si="183"/>
        <v>40751.999999999985</v>
      </c>
      <c r="K162" s="300">
        <f t="shared" si="184"/>
        <v>61552.849999999984</v>
      </c>
      <c r="L162" s="449">
        <f t="shared" si="155"/>
        <v>8</v>
      </c>
      <c r="M162" s="449">
        <f t="shared" si="219"/>
        <v>103</v>
      </c>
      <c r="N162" s="300">
        <f t="shared" si="220"/>
        <v>215116.49000000005</v>
      </c>
      <c r="O162" s="300">
        <f t="shared" si="185"/>
        <v>1617.67</v>
      </c>
      <c r="P162" s="300">
        <f t="shared" si="228"/>
        <v>362.82000000000016</v>
      </c>
      <c r="Q162" s="300">
        <f t="shared" si="186"/>
        <v>1254.8499999999999</v>
      </c>
      <c r="R162" s="300">
        <f t="shared" si="173"/>
        <v>134.16999999999999</v>
      </c>
      <c r="S162" s="300">
        <f t="shared" si="174"/>
        <v>188.55</v>
      </c>
      <c r="T162" s="300">
        <f t="shared" si="171"/>
        <v>1940.39</v>
      </c>
      <c r="U162" s="300">
        <f t="shared" si="229"/>
        <v>28394.830000000013</v>
      </c>
      <c r="V162" s="300">
        <f t="shared" si="230"/>
        <v>139842.85000000006</v>
      </c>
      <c r="W162" s="300">
        <f t="shared" si="187"/>
        <v>214753.67000000004</v>
      </c>
      <c r="X162" s="535">
        <f t="shared" si="221"/>
        <v>48819</v>
      </c>
      <c r="Y162" s="300">
        <f t="shared" si="188"/>
        <v>283580.16999999987</v>
      </c>
      <c r="Z162" s="527">
        <f t="shared" si="213"/>
        <v>7.0000000000000007E-2</v>
      </c>
      <c r="AA162" s="300">
        <f t="shared" si="214"/>
        <v>1746.44</v>
      </c>
      <c r="AB162" s="300">
        <f t="shared" si="189"/>
        <v>92.220000000000027</v>
      </c>
      <c r="AC162" s="300">
        <f t="shared" si="215"/>
        <v>1654.22</v>
      </c>
      <c r="AD162" s="300">
        <f t="shared" ref="AD162:AE162" si="249">+AD161</f>
        <v>134.16999999999999</v>
      </c>
      <c r="AE162" s="300">
        <f t="shared" si="249"/>
        <v>188.55</v>
      </c>
      <c r="AF162" s="300">
        <f t="shared" si="191"/>
        <v>2069.1600000000003</v>
      </c>
      <c r="AG162" s="300">
        <f t="shared" si="192"/>
        <v>31436.149999999998</v>
      </c>
      <c r="AH162" s="300">
        <f t="shared" si="193"/>
        <v>141147.40999999995</v>
      </c>
      <c r="AI162" s="545">
        <f t="shared" si="176"/>
        <v>-4345.8799999999992</v>
      </c>
      <c r="AJ162" s="545">
        <f t="shared" si="242"/>
        <v>-68734.279999999853</v>
      </c>
      <c r="AK162" s="545">
        <f t="shared" si="177"/>
        <v>-73080.159999999858</v>
      </c>
      <c r="AL162" s="300">
        <f t="shared" si="194"/>
        <v>283487.9499999999</v>
      </c>
      <c r="AM162" s="449">
        <f t="shared" si="223"/>
        <v>8</v>
      </c>
      <c r="AN162" s="14">
        <f t="shared" si="178"/>
        <v>1196.26</v>
      </c>
      <c r="AO162" s="14">
        <f t="shared" si="153"/>
        <v>225288.30999999997</v>
      </c>
      <c r="AP162" s="14">
        <f t="shared" si="179"/>
        <v>1325.03</v>
      </c>
      <c r="AS162" s="14">
        <f t="shared" si="217"/>
        <v>1196.26</v>
      </c>
      <c r="AT162" s="14">
        <f t="shared" si="224"/>
        <v>123930.47999999978</v>
      </c>
      <c r="AU162" s="300">
        <f t="shared" si="225"/>
        <v>877.43641297284319</v>
      </c>
      <c r="AV162" s="300">
        <f t="shared" si="226"/>
        <v>108703.50160211013</v>
      </c>
    </row>
    <row r="163" spans="1:48" x14ac:dyDescent="0.25">
      <c r="A163" s="535">
        <f t="shared" si="181"/>
        <v>48849</v>
      </c>
      <c r="B163" s="300">
        <f t="shared" si="218"/>
        <v>61552.849999999984</v>
      </c>
      <c r="C163" s="14">
        <f t="shared" si="211"/>
        <v>421.41</v>
      </c>
      <c r="D163" s="14">
        <f t="shared" si="227"/>
        <v>190.59000000000003</v>
      </c>
      <c r="E163" s="14">
        <f t="shared" si="212"/>
        <v>230.82</v>
      </c>
      <c r="F163" s="14">
        <f t="shared" si="170"/>
        <v>134.16999999999999</v>
      </c>
      <c r="G163" s="14">
        <f t="shared" si="167"/>
        <v>188.55</v>
      </c>
      <c r="H163" s="14">
        <f t="shared" si="168"/>
        <v>744.13000000000011</v>
      </c>
      <c r="I163" s="300">
        <f t="shared" si="182"/>
        <v>22119.159999999996</v>
      </c>
      <c r="J163" s="300">
        <f t="shared" si="183"/>
        <v>40982.819999999985</v>
      </c>
      <c r="K163" s="300">
        <f t="shared" si="184"/>
        <v>61362.259999999987</v>
      </c>
      <c r="L163" s="449">
        <f t="shared" si="155"/>
        <v>8</v>
      </c>
      <c r="M163" s="449">
        <f t="shared" si="219"/>
        <v>104</v>
      </c>
      <c r="N163" s="300">
        <f t="shared" si="220"/>
        <v>214753.67000000004</v>
      </c>
      <c r="O163" s="300">
        <f t="shared" si="185"/>
        <v>1617.67</v>
      </c>
      <c r="P163" s="300">
        <f t="shared" si="228"/>
        <v>364.94000000000005</v>
      </c>
      <c r="Q163" s="300">
        <f t="shared" si="186"/>
        <v>1252.73</v>
      </c>
      <c r="R163" s="300">
        <f t="shared" si="173"/>
        <v>134.16999999999999</v>
      </c>
      <c r="S163" s="300">
        <f t="shared" si="174"/>
        <v>188.55</v>
      </c>
      <c r="T163" s="300">
        <f t="shared" si="171"/>
        <v>1940.39</v>
      </c>
      <c r="U163" s="300">
        <f t="shared" si="229"/>
        <v>28759.770000000011</v>
      </c>
      <c r="V163" s="300">
        <f t="shared" si="230"/>
        <v>141095.58000000007</v>
      </c>
      <c r="W163" s="300">
        <f t="shared" si="187"/>
        <v>214388.73000000004</v>
      </c>
      <c r="X163" s="535">
        <f t="shared" si="221"/>
        <v>48849</v>
      </c>
      <c r="Y163" s="300">
        <f t="shared" si="188"/>
        <v>283487.9499999999</v>
      </c>
      <c r="Z163" s="527">
        <f t="shared" si="213"/>
        <v>7.0000000000000007E-2</v>
      </c>
      <c r="AA163" s="300">
        <f t="shared" si="214"/>
        <v>1746.44</v>
      </c>
      <c r="AB163" s="300">
        <f t="shared" si="189"/>
        <v>92.759999999999991</v>
      </c>
      <c r="AC163" s="300">
        <f t="shared" si="215"/>
        <v>1653.68</v>
      </c>
      <c r="AD163" s="300">
        <f t="shared" ref="AD163:AE163" si="250">+AD162</f>
        <v>134.16999999999999</v>
      </c>
      <c r="AE163" s="300">
        <f t="shared" si="250"/>
        <v>188.55</v>
      </c>
      <c r="AF163" s="300">
        <f t="shared" si="191"/>
        <v>2069.1600000000003</v>
      </c>
      <c r="AG163" s="300">
        <f t="shared" si="192"/>
        <v>31528.909999999996</v>
      </c>
      <c r="AH163" s="300">
        <f t="shared" si="193"/>
        <v>142801.08999999994</v>
      </c>
      <c r="AI163" s="545">
        <f t="shared" si="176"/>
        <v>-4474.6499999999996</v>
      </c>
      <c r="AJ163" s="545">
        <f t="shared" si="242"/>
        <v>-69006.459999999846</v>
      </c>
      <c r="AK163" s="545">
        <f t="shared" si="177"/>
        <v>-73481.109999999841</v>
      </c>
      <c r="AL163" s="300">
        <f t="shared" si="194"/>
        <v>283395.18999999989</v>
      </c>
      <c r="AM163" s="449">
        <f t="shared" si="223"/>
        <v>8</v>
      </c>
      <c r="AN163" s="14">
        <f t="shared" si="178"/>
        <v>1196.26</v>
      </c>
      <c r="AO163" s="14">
        <f t="shared" si="153"/>
        <v>225113.95999999996</v>
      </c>
      <c r="AP163" s="14">
        <f t="shared" si="179"/>
        <v>1325.03</v>
      </c>
      <c r="AS163" s="14">
        <f t="shared" si="217"/>
        <v>1196.26</v>
      </c>
      <c r="AT163" s="14">
        <f t="shared" si="224"/>
        <v>125126.73999999977</v>
      </c>
      <c r="AU163" s="300">
        <f t="shared" si="225"/>
        <v>879.63000400527517</v>
      </c>
      <c r="AV163" s="300">
        <f t="shared" si="226"/>
        <v>109583.13160611541</v>
      </c>
    </row>
    <row r="164" spans="1:48" x14ac:dyDescent="0.25">
      <c r="A164" s="535">
        <f t="shared" si="181"/>
        <v>48879</v>
      </c>
      <c r="B164" s="300">
        <f t="shared" si="218"/>
        <v>61362.259999999987</v>
      </c>
      <c r="C164" s="14">
        <f t="shared" si="211"/>
        <v>421.41</v>
      </c>
      <c r="D164" s="14">
        <f t="shared" si="227"/>
        <v>191.3</v>
      </c>
      <c r="E164" s="14">
        <f t="shared" si="212"/>
        <v>230.11</v>
      </c>
      <c r="F164" s="14">
        <f t="shared" si="170"/>
        <v>134.16999999999999</v>
      </c>
      <c r="G164" s="14">
        <f t="shared" si="167"/>
        <v>188.55</v>
      </c>
      <c r="H164" s="14">
        <f t="shared" si="168"/>
        <v>744.13000000000011</v>
      </c>
      <c r="I164" s="300">
        <f t="shared" si="182"/>
        <v>22310.459999999995</v>
      </c>
      <c r="J164" s="300">
        <f t="shared" si="183"/>
        <v>41212.929999999986</v>
      </c>
      <c r="K164" s="300">
        <f t="shared" si="184"/>
        <v>61170.959999999985</v>
      </c>
      <c r="L164" s="449">
        <f t="shared" si="155"/>
        <v>8</v>
      </c>
      <c r="M164" s="449">
        <f t="shared" si="219"/>
        <v>105</v>
      </c>
      <c r="N164" s="300">
        <f t="shared" si="220"/>
        <v>214388.73000000004</v>
      </c>
      <c r="O164" s="300">
        <f t="shared" si="185"/>
        <v>1617.67</v>
      </c>
      <c r="P164" s="300">
        <f t="shared" si="228"/>
        <v>367.07000000000016</v>
      </c>
      <c r="Q164" s="300">
        <f t="shared" si="186"/>
        <v>1250.5999999999999</v>
      </c>
      <c r="R164" s="300">
        <f t="shared" si="173"/>
        <v>134.16999999999999</v>
      </c>
      <c r="S164" s="300">
        <f t="shared" si="174"/>
        <v>188.55</v>
      </c>
      <c r="T164" s="300">
        <f t="shared" si="171"/>
        <v>1940.39</v>
      </c>
      <c r="U164" s="300">
        <f t="shared" si="229"/>
        <v>29126.840000000011</v>
      </c>
      <c r="V164" s="300">
        <f t="shared" si="230"/>
        <v>142346.18000000008</v>
      </c>
      <c r="W164" s="300">
        <f t="shared" si="187"/>
        <v>214021.66000000003</v>
      </c>
      <c r="X164" s="535">
        <f t="shared" si="221"/>
        <v>48879</v>
      </c>
      <c r="Y164" s="300">
        <f t="shared" si="188"/>
        <v>283395.18999999989</v>
      </c>
      <c r="Z164" s="527">
        <f t="shared" si="213"/>
        <v>7.0000000000000007E-2</v>
      </c>
      <c r="AA164" s="300">
        <f t="shared" si="214"/>
        <v>1746.44</v>
      </c>
      <c r="AB164" s="300">
        <f t="shared" si="189"/>
        <v>93.299999999999955</v>
      </c>
      <c r="AC164" s="300">
        <f t="shared" si="215"/>
        <v>1653.14</v>
      </c>
      <c r="AD164" s="300">
        <f t="shared" ref="AD164:AE164" si="251">+AD163</f>
        <v>134.16999999999999</v>
      </c>
      <c r="AE164" s="300">
        <f t="shared" si="251"/>
        <v>188.55</v>
      </c>
      <c r="AF164" s="300">
        <f t="shared" si="191"/>
        <v>2069.1600000000003</v>
      </c>
      <c r="AG164" s="300">
        <f t="shared" si="192"/>
        <v>31622.209999999995</v>
      </c>
      <c r="AH164" s="300">
        <f t="shared" si="193"/>
        <v>144454.22999999995</v>
      </c>
      <c r="AI164" s="545">
        <f t="shared" si="176"/>
        <v>-4603.42</v>
      </c>
      <c r="AJ164" s="545">
        <f t="shared" si="242"/>
        <v>-69280.229999999865</v>
      </c>
      <c r="AK164" s="545">
        <f t="shared" si="177"/>
        <v>-73883.649999999863</v>
      </c>
      <c r="AL164" s="300">
        <f t="shared" si="194"/>
        <v>283301.8899999999</v>
      </c>
      <c r="AM164" s="449">
        <f t="shared" si="223"/>
        <v>8</v>
      </c>
      <c r="AN164" s="14">
        <f t="shared" si="178"/>
        <v>1196.26</v>
      </c>
      <c r="AO164" s="14">
        <f t="shared" si="153"/>
        <v>224938.18999999994</v>
      </c>
      <c r="AP164" s="14">
        <f t="shared" si="179"/>
        <v>1325.03</v>
      </c>
      <c r="AS164" s="14">
        <f t="shared" si="217"/>
        <v>1196.26</v>
      </c>
      <c r="AT164" s="14">
        <f t="shared" si="224"/>
        <v>126322.99999999977</v>
      </c>
      <c r="AU164" s="300">
        <f t="shared" si="225"/>
        <v>881.82907901528836</v>
      </c>
      <c r="AV164" s="300">
        <f t="shared" si="226"/>
        <v>110464.96068513069</v>
      </c>
    </row>
    <row r="165" spans="1:48" x14ac:dyDescent="0.25">
      <c r="A165" s="535">
        <f t="shared" si="181"/>
        <v>48909</v>
      </c>
      <c r="B165" s="300">
        <f t="shared" si="218"/>
        <v>61170.959999999985</v>
      </c>
      <c r="C165" s="14">
        <f t="shared" si="211"/>
        <v>421.41</v>
      </c>
      <c r="D165" s="14">
        <f t="shared" si="227"/>
        <v>192.02000000000004</v>
      </c>
      <c r="E165" s="14">
        <f t="shared" si="212"/>
        <v>229.39</v>
      </c>
      <c r="F165" s="14">
        <f t="shared" si="170"/>
        <v>134.16999999999999</v>
      </c>
      <c r="G165" s="14">
        <f t="shared" si="167"/>
        <v>188.55</v>
      </c>
      <c r="H165" s="14">
        <f t="shared" si="168"/>
        <v>744.13000000000011</v>
      </c>
      <c r="I165" s="300">
        <f t="shared" si="182"/>
        <v>22502.479999999996</v>
      </c>
      <c r="J165" s="300">
        <f t="shared" si="183"/>
        <v>41442.319999999985</v>
      </c>
      <c r="K165" s="300">
        <f t="shared" si="184"/>
        <v>60978.939999999988</v>
      </c>
      <c r="L165" s="449">
        <f t="shared" si="155"/>
        <v>8</v>
      </c>
      <c r="M165" s="449">
        <f t="shared" si="219"/>
        <v>106</v>
      </c>
      <c r="N165" s="300">
        <f t="shared" si="220"/>
        <v>214021.66000000003</v>
      </c>
      <c r="O165" s="300">
        <f t="shared" si="185"/>
        <v>1617.67</v>
      </c>
      <c r="P165" s="300">
        <f t="shared" si="228"/>
        <v>369.21000000000004</v>
      </c>
      <c r="Q165" s="300">
        <f t="shared" si="186"/>
        <v>1248.46</v>
      </c>
      <c r="R165" s="300">
        <f t="shared" si="173"/>
        <v>134.16999999999999</v>
      </c>
      <c r="S165" s="300">
        <f t="shared" si="174"/>
        <v>188.55</v>
      </c>
      <c r="T165" s="300">
        <f t="shared" si="171"/>
        <v>1940.39</v>
      </c>
      <c r="U165" s="300">
        <f t="shared" si="229"/>
        <v>29496.05000000001</v>
      </c>
      <c r="V165" s="300">
        <f t="shared" si="230"/>
        <v>143594.64000000007</v>
      </c>
      <c r="W165" s="300">
        <f t="shared" si="187"/>
        <v>213652.45000000004</v>
      </c>
      <c r="X165" s="535">
        <f t="shared" si="221"/>
        <v>48909</v>
      </c>
      <c r="Y165" s="300">
        <f t="shared" si="188"/>
        <v>283301.8899999999</v>
      </c>
      <c r="Z165" s="527">
        <f t="shared" si="213"/>
        <v>7.0000000000000007E-2</v>
      </c>
      <c r="AA165" s="300">
        <f t="shared" si="214"/>
        <v>1746.44</v>
      </c>
      <c r="AB165" s="300">
        <f t="shared" si="189"/>
        <v>93.850000000000136</v>
      </c>
      <c r="AC165" s="300">
        <f t="shared" si="215"/>
        <v>1652.59</v>
      </c>
      <c r="AD165" s="300">
        <f t="shared" ref="AD165:AE165" si="252">+AD164</f>
        <v>134.16999999999999</v>
      </c>
      <c r="AE165" s="300">
        <f t="shared" si="252"/>
        <v>188.55</v>
      </c>
      <c r="AF165" s="300">
        <f t="shared" si="191"/>
        <v>2069.1600000000003</v>
      </c>
      <c r="AG165" s="300">
        <f t="shared" si="192"/>
        <v>31716.059999999994</v>
      </c>
      <c r="AH165" s="300">
        <f t="shared" si="193"/>
        <v>146106.81999999995</v>
      </c>
      <c r="AI165" s="545">
        <f t="shared" si="176"/>
        <v>-4732.1900000000005</v>
      </c>
      <c r="AJ165" s="545">
        <f t="shared" si="242"/>
        <v>-69555.58999999988</v>
      </c>
      <c r="AK165" s="545">
        <f t="shared" si="177"/>
        <v>-74287.779999999882</v>
      </c>
      <c r="AL165" s="300">
        <f t="shared" si="194"/>
        <v>283208.03999999992</v>
      </c>
      <c r="AM165" s="449">
        <f t="shared" si="223"/>
        <v>8</v>
      </c>
      <c r="AN165" s="14">
        <f t="shared" si="178"/>
        <v>1196.26</v>
      </c>
      <c r="AO165" s="14">
        <f t="shared" si="153"/>
        <v>224760.99999999997</v>
      </c>
      <c r="AP165" s="14">
        <f t="shared" si="179"/>
        <v>1325.03</v>
      </c>
      <c r="AS165" s="14">
        <f t="shared" si="217"/>
        <v>1196.26</v>
      </c>
      <c r="AT165" s="14">
        <f t="shared" si="224"/>
        <v>127519.25999999976</v>
      </c>
      <c r="AU165" s="300">
        <f t="shared" si="225"/>
        <v>884.03365171282667</v>
      </c>
      <c r="AV165" s="300">
        <f t="shared" si="226"/>
        <v>111348.99433684352</v>
      </c>
    </row>
    <row r="166" spans="1:48" x14ac:dyDescent="0.25">
      <c r="A166" s="535">
        <f t="shared" si="181"/>
        <v>48939</v>
      </c>
      <c r="B166" s="300">
        <f t="shared" si="218"/>
        <v>60978.939999999988</v>
      </c>
      <c r="C166" s="14">
        <f t="shared" si="211"/>
        <v>421.41</v>
      </c>
      <c r="D166" s="14">
        <f t="shared" si="227"/>
        <v>192.74000000000004</v>
      </c>
      <c r="E166" s="14">
        <f t="shared" si="212"/>
        <v>228.67</v>
      </c>
      <c r="F166" s="14">
        <f t="shared" si="170"/>
        <v>134.16999999999999</v>
      </c>
      <c r="G166" s="14">
        <f t="shared" si="167"/>
        <v>188.55</v>
      </c>
      <c r="H166" s="14">
        <f t="shared" si="168"/>
        <v>744.13000000000011</v>
      </c>
      <c r="I166" s="300">
        <f t="shared" si="182"/>
        <v>22695.219999999998</v>
      </c>
      <c r="J166" s="300">
        <f t="shared" si="183"/>
        <v>41670.989999999983</v>
      </c>
      <c r="K166" s="300">
        <f t="shared" si="184"/>
        <v>60786.19999999999</v>
      </c>
      <c r="L166" s="449">
        <f t="shared" si="155"/>
        <v>8</v>
      </c>
      <c r="M166" s="449">
        <f t="shared" si="219"/>
        <v>107</v>
      </c>
      <c r="N166" s="300">
        <f t="shared" si="220"/>
        <v>213652.45000000004</v>
      </c>
      <c r="O166" s="300">
        <f t="shared" si="185"/>
        <v>1617.67</v>
      </c>
      <c r="P166" s="300">
        <f t="shared" si="228"/>
        <v>371.36000000000013</v>
      </c>
      <c r="Q166" s="300">
        <f t="shared" si="186"/>
        <v>1246.31</v>
      </c>
      <c r="R166" s="300">
        <f t="shared" si="173"/>
        <v>134.16999999999999</v>
      </c>
      <c r="S166" s="300">
        <f t="shared" si="174"/>
        <v>188.55</v>
      </c>
      <c r="T166" s="300">
        <f t="shared" si="171"/>
        <v>1940.39</v>
      </c>
      <c r="U166" s="300">
        <f t="shared" si="229"/>
        <v>29867.410000000011</v>
      </c>
      <c r="V166" s="300">
        <f t="shared" si="230"/>
        <v>144840.95000000007</v>
      </c>
      <c r="W166" s="300">
        <f t="shared" si="187"/>
        <v>213281.09000000005</v>
      </c>
      <c r="X166" s="535">
        <f t="shared" si="221"/>
        <v>48939</v>
      </c>
      <c r="Y166" s="300">
        <f t="shared" si="188"/>
        <v>283208.03999999992</v>
      </c>
      <c r="Z166" s="527">
        <f t="shared" si="213"/>
        <v>7.0000000000000007E-2</v>
      </c>
      <c r="AA166" s="300">
        <f t="shared" si="214"/>
        <v>1746.44</v>
      </c>
      <c r="AB166" s="300">
        <f t="shared" si="189"/>
        <v>94.3900000000001</v>
      </c>
      <c r="AC166" s="300">
        <f t="shared" si="215"/>
        <v>1652.05</v>
      </c>
      <c r="AD166" s="300">
        <f t="shared" ref="AD166:AE166" si="253">+AD165</f>
        <v>134.16999999999999</v>
      </c>
      <c r="AE166" s="300">
        <f t="shared" si="253"/>
        <v>188.55</v>
      </c>
      <c r="AF166" s="300">
        <f t="shared" si="191"/>
        <v>2069.1600000000003</v>
      </c>
      <c r="AG166" s="300">
        <f t="shared" si="192"/>
        <v>31810.449999999993</v>
      </c>
      <c r="AH166" s="300">
        <f t="shared" si="193"/>
        <v>147758.86999999994</v>
      </c>
      <c r="AI166" s="545">
        <f t="shared" si="176"/>
        <v>-4860.9600000000009</v>
      </c>
      <c r="AJ166" s="545">
        <f t="shared" si="242"/>
        <v>-69832.559999999852</v>
      </c>
      <c r="AK166" s="545">
        <f t="shared" si="177"/>
        <v>-74693.519999999859</v>
      </c>
      <c r="AL166" s="300">
        <f t="shared" si="194"/>
        <v>283113.64999999991</v>
      </c>
      <c r="AM166" s="449">
        <f t="shared" si="223"/>
        <v>8</v>
      </c>
      <c r="AN166" s="14">
        <f t="shared" si="178"/>
        <v>1196.26</v>
      </c>
      <c r="AO166" s="14">
        <f t="shared" si="153"/>
        <v>224582.37999999998</v>
      </c>
      <c r="AP166" s="14">
        <f t="shared" si="179"/>
        <v>1325.03</v>
      </c>
      <c r="AS166" s="14">
        <f t="shared" si="217"/>
        <v>1196.26</v>
      </c>
      <c r="AT166" s="14">
        <f t="shared" si="224"/>
        <v>128715.51999999976</v>
      </c>
      <c r="AU166" s="300">
        <f t="shared" si="225"/>
        <v>886.24373584210878</v>
      </c>
      <c r="AV166" s="300">
        <f t="shared" si="226"/>
        <v>112235.23807268564</v>
      </c>
    </row>
    <row r="167" spans="1:48" x14ac:dyDescent="0.25">
      <c r="A167" s="535">
        <f t="shared" si="181"/>
        <v>48969</v>
      </c>
      <c r="B167" s="300">
        <f t="shared" si="218"/>
        <v>60786.19999999999</v>
      </c>
      <c r="C167" s="14">
        <f t="shared" si="211"/>
        <v>421.41</v>
      </c>
      <c r="D167" s="14">
        <f t="shared" si="227"/>
        <v>193.46000000000004</v>
      </c>
      <c r="E167" s="14">
        <f t="shared" si="212"/>
        <v>227.95</v>
      </c>
      <c r="F167" s="14">
        <f t="shared" si="170"/>
        <v>134.16999999999999</v>
      </c>
      <c r="G167" s="14">
        <f t="shared" si="167"/>
        <v>188.55</v>
      </c>
      <c r="H167" s="14">
        <f t="shared" si="168"/>
        <v>744.13000000000011</v>
      </c>
      <c r="I167" s="300">
        <f t="shared" si="182"/>
        <v>22888.679999999997</v>
      </c>
      <c r="J167" s="300">
        <f t="shared" si="183"/>
        <v>41898.939999999981</v>
      </c>
      <c r="K167" s="300">
        <f t="shared" si="184"/>
        <v>60592.739999999991</v>
      </c>
      <c r="L167" s="449">
        <f t="shared" si="155"/>
        <v>9</v>
      </c>
      <c r="M167" s="449">
        <f t="shared" si="219"/>
        <v>108</v>
      </c>
      <c r="N167" s="300">
        <f t="shared" si="220"/>
        <v>213281.09000000005</v>
      </c>
      <c r="O167" s="300">
        <f t="shared" si="185"/>
        <v>1617.67</v>
      </c>
      <c r="P167" s="300">
        <f t="shared" si="228"/>
        <v>373.53</v>
      </c>
      <c r="Q167" s="300">
        <f t="shared" si="186"/>
        <v>1244.1400000000001</v>
      </c>
      <c r="R167" s="300">
        <f t="shared" si="173"/>
        <v>134.16999999999999</v>
      </c>
      <c r="S167" s="300">
        <f t="shared" si="174"/>
        <v>188.55</v>
      </c>
      <c r="T167" s="300">
        <f t="shared" si="171"/>
        <v>1940.39</v>
      </c>
      <c r="U167" s="300">
        <f t="shared" si="229"/>
        <v>30240.94000000001</v>
      </c>
      <c r="V167" s="300">
        <f t="shared" si="230"/>
        <v>146085.09000000008</v>
      </c>
      <c r="W167" s="300">
        <f t="shared" si="187"/>
        <v>212907.56000000006</v>
      </c>
      <c r="X167" s="535">
        <f t="shared" si="221"/>
        <v>48969</v>
      </c>
      <c r="Y167" s="300">
        <f t="shared" si="188"/>
        <v>283113.64999999991</v>
      </c>
      <c r="Z167" s="527">
        <f t="shared" si="213"/>
        <v>7.0000000000000007E-2</v>
      </c>
      <c r="AA167" s="300">
        <f t="shared" si="214"/>
        <v>1746.44</v>
      </c>
      <c r="AB167" s="300">
        <f t="shared" si="189"/>
        <v>94.940000000000055</v>
      </c>
      <c r="AC167" s="300">
        <f t="shared" si="215"/>
        <v>1651.5</v>
      </c>
      <c r="AD167" s="300">
        <f t="shared" ref="AD167:AE167" si="254">+AD166</f>
        <v>134.16999999999999</v>
      </c>
      <c r="AE167" s="300">
        <f t="shared" si="254"/>
        <v>188.55</v>
      </c>
      <c r="AF167" s="300">
        <f t="shared" si="191"/>
        <v>2069.1600000000003</v>
      </c>
      <c r="AG167" s="300">
        <f t="shared" si="192"/>
        <v>31905.389999999992</v>
      </c>
      <c r="AH167" s="300">
        <f t="shared" si="193"/>
        <v>149410.36999999994</v>
      </c>
      <c r="AI167" s="545">
        <f t="shared" si="176"/>
        <v>-4989.7300000000014</v>
      </c>
      <c r="AJ167" s="545">
        <f t="shared" si="242"/>
        <v>-70111.149999999849</v>
      </c>
      <c r="AK167" s="545">
        <f t="shared" si="177"/>
        <v>-75100.879999999845</v>
      </c>
      <c r="AL167" s="300">
        <f t="shared" si="194"/>
        <v>283018.7099999999</v>
      </c>
      <c r="AM167" s="449">
        <f t="shared" si="223"/>
        <v>9</v>
      </c>
      <c r="AN167" s="14">
        <f t="shared" si="178"/>
        <v>1196.26</v>
      </c>
      <c r="AO167" s="14">
        <f t="shared" si="153"/>
        <v>224402.30999999997</v>
      </c>
      <c r="AP167" s="14">
        <f t="shared" si="179"/>
        <v>1325.03</v>
      </c>
      <c r="AS167" s="14">
        <f t="shared" si="217"/>
        <v>1196.26</v>
      </c>
      <c r="AT167" s="14">
        <f t="shared" si="224"/>
        <v>129911.77999999975</v>
      </c>
      <c r="AU167" s="300">
        <f t="shared" si="225"/>
        <v>888.45934518171407</v>
      </c>
      <c r="AV167" s="300">
        <f t="shared" si="226"/>
        <v>113123.69741786736</v>
      </c>
    </row>
    <row r="168" spans="1:48" x14ac:dyDescent="0.25">
      <c r="A168" s="535">
        <f t="shared" si="181"/>
        <v>48999</v>
      </c>
      <c r="B168" s="300">
        <f t="shared" si="218"/>
        <v>60592.739999999991</v>
      </c>
      <c r="C168" s="14">
        <f t="shared" si="211"/>
        <v>421.41</v>
      </c>
      <c r="D168" s="14">
        <f t="shared" si="227"/>
        <v>194.19000000000003</v>
      </c>
      <c r="E168" s="14">
        <f t="shared" si="212"/>
        <v>227.22</v>
      </c>
      <c r="F168" s="14">
        <f t="shared" si="170"/>
        <v>134.16999999999999</v>
      </c>
      <c r="G168" s="14">
        <f t="shared" si="167"/>
        <v>188.55</v>
      </c>
      <c r="H168" s="14">
        <f t="shared" si="168"/>
        <v>744.13000000000011</v>
      </c>
      <c r="I168" s="300">
        <f t="shared" si="182"/>
        <v>23082.869999999995</v>
      </c>
      <c r="J168" s="300">
        <f t="shared" si="183"/>
        <v>42126.159999999982</v>
      </c>
      <c r="K168" s="300">
        <f t="shared" si="184"/>
        <v>60398.549999999988</v>
      </c>
      <c r="L168" s="449">
        <f t="shared" si="155"/>
        <v>9</v>
      </c>
      <c r="M168" s="449">
        <f t="shared" si="219"/>
        <v>109</v>
      </c>
      <c r="N168" s="300">
        <f t="shared" si="220"/>
        <v>212907.56000000006</v>
      </c>
      <c r="O168" s="300">
        <f t="shared" si="185"/>
        <v>1617.67</v>
      </c>
      <c r="P168" s="300">
        <f t="shared" si="228"/>
        <v>375.71000000000004</v>
      </c>
      <c r="Q168" s="300">
        <f t="shared" si="186"/>
        <v>1241.96</v>
      </c>
      <c r="R168" s="300">
        <f t="shared" si="173"/>
        <v>134.16999999999999</v>
      </c>
      <c r="S168" s="300">
        <f t="shared" si="174"/>
        <v>188.55</v>
      </c>
      <c r="T168" s="300">
        <f t="shared" si="171"/>
        <v>1940.39</v>
      </c>
      <c r="U168" s="300">
        <f t="shared" si="229"/>
        <v>30616.650000000009</v>
      </c>
      <c r="V168" s="300">
        <f t="shared" si="230"/>
        <v>147327.05000000008</v>
      </c>
      <c r="W168" s="300">
        <f t="shared" si="187"/>
        <v>212531.85000000006</v>
      </c>
      <c r="X168" s="535">
        <f t="shared" si="221"/>
        <v>48999</v>
      </c>
      <c r="Y168" s="300">
        <f t="shared" si="188"/>
        <v>283018.7099999999</v>
      </c>
      <c r="Z168" s="527">
        <f t="shared" si="213"/>
        <v>7.0000000000000007E-2</v>
      </c>
      <c r="AA168" s="300">
        <f t="shared" si="214"/>
        <v>1746.44</v>
      </c>
      <c r="AB168" s="300">
        <f t="shared" si="189"/>
        <v>95.5</v>
      </c>
      <c r="AC168" s="300">
        <f t="shared" si="215"/>
        <v>1650.94</v>
      </c>
      <c r="AD168" s="300">
        <f t="shared" ref="AD168:AE168" si="255">+AD167</f>
        <v>134.16999999999999</v>
      </c>
      <c r="AE168" s="300">
        <f t="shared" si="255"/>
        <v>188.55</v>
      </c>
      <c r="AF168" s="300">
        <f t="shared" si="191"/>
        <v>2069.1600000000003</v>
      </c>
      <c r="AG168" s="300">
        <f t="shared" si="192"/>
        <v>32000.889999999992</v>
      </c>
      <c r="AH168" s="300">
        <f t="shared" si="193"/>
        <v>151061.30999999994</v>
      </c>
      <c r="AI168" s="545">
        <f t="shared" si="176"/>
        <v>-5118.5000000000018</v>
      </c>
      <c r="AJ168" s="545">
        <f t="shared" si="242"/>
        <v>-70391.359999999841</v>
      </c>
      <c r="AK168" s="545">
        <f t="shared" si="177"/>
        <v>-75509.859999999841</v>
      </c>
      <c r="AL168" s="300">
        <f t="shared" si="194"/>
        <v>282923.2099999999</v>
      </c>
      <c r="AM168" s="449">
        <f t="shared" si="223"/>
        <v>9</v>
      </c>
      <c r="AN168" s="14">
        <f t="shared" si="178"/>
        <v>1196.26</v>
      </c>
      <c r="AO168" s="14">
        <f t="shared" si="153"/>
        <v>224220.78999999998</v>
      </c>
      <c r="AP168" s="14">
        <f t="shared" si="179"/>
        <v>1325.03</v>
      </c>
      <c r="AS168" s="14">
        <f t="shared" si="217"/>
        <v>1196.26</v>
      </c>
      <c r="AT168" s="14">
        <f t="shared" si="224"/>
        <v>131108.03999999975</v>
      </c>
      <c r="AU168" s="300">
        <f t="shared" si="225"/>
        <v>890.68049354466837</v>
      </c>
      <c r="AV168" s="300">
        <f t="shared" si="226"/>
        <v>114014.37791141203</v>
      </c>
    </row>
    <row r="169" spans="1:48" x14ac:dyDescent="0.25">
      <c r="A169" s="535">
        <f t="shared" si="181"/>
        <v>49029</v>
      </c>
      <c r="B169" s="300">
        <f t="shared" si="218"/>
        <v>60398.549999999988</v>
      </c>
      <c r="C169" s="14">
        <f t="shared" si="211"/>
        <v>421.41</v>
      </c>
      <c r="D169" s="14">
        <f t="shared" si="227"/>
        <v>194.92000000000002</v>
      </c>
      <c r="E169" s="14">
        <f t="shared" si="212"/>
        <v>226.49</v>
      </c>
      <c r="F169" s="14">
        <f t="shared" si="170"/>
        <v>134.16999999999999</v>
      </c>
      <c r="G169" s="14">
        <f t="shared" si="167"/>
        <v>188.55</v>
      </c>
      <c r="H169" s="14">
        <f t="shared" si="168"/>
        <v>744.13000000000011</v>
      </c>
      <c r="I169" s="300">
        <f t="shared" si="182"/>
        <v>23277.789999999994</v>
      </c>
      <c r="J169" s="300">
        <f t="shared" si="183"/>
        <v>42352.64999999998</v>
      </c>
      <c r="K169" s="300">
        <f t="shared" si="184"/>
        <v>60203.62999999999</v>
      </c>
      <c r="L169" s="449">
        <f t="shared" si="155"/>
        <v>9</v>
      </c>
      <c r="M169" s="449">
        <f t="shared" si="219"/>
        <v>110</v>
      </c>
      <c r="N169" s="300">
        <f t="shared" si="220"/>
        <v>212531.85000000006</v>
      </c>
      <c r="O169" s="300">
        <f t="shared" si="185"/>
        <v>1617.67</v>
      </c>
      <c r="P169" s="300">
        <f t="shared" si="228"/>
        <v>377.90000000000009</v>
      </c>
      <c r="Q169" s="300">
        <f t="shared" si="186"/>
        <v>1239.77</v>
      </c>
      <c r="R169" s="300">
        <f t="shared" si="173"/>
        <v>134.16999999999999</v>
      </c>
      <c r="S169" s="300">
        <f t="shared" si="174"/>
        <v>188.55</v>
      </c>
      <c r="T169" s="300">
        <f t="shared" si="171"/>
        <v>1940.39</v>
      </c>
      <c r="U169" s="300">
        <f t="shared" si="229"/>
        <v>30994.55000000001</v>
      </c>
      <c r="V169" s="300">
        <f t="shared" si="230"/>
        <v>148566.82000000007</v>
      </c>
      <c r="W169" s="300">
        <f t="shared" si="187"/>
        <v>212153.95000000007</v>
      </c>
      <c r="X169" s="535">
        <f t="shared" si="221"/>
        <v>49029</v>
      </c>
      <c r="Y169" s="300">
        <f t="shared" si="188"/>
        <v>282923.2099999999</v>
      </c>
      <c r="Z169" s="527">
        <f t="shared" si="213"/>
        <v>7.0000000000000007E-2</v>
      </c>
      <c r="AA169" s="300">
        <f t="shared" si="214"/>
        <v>1746.44</v>
      </c>
      <c r="AB169" s="300">
        <f t="shared" si="189"/>
        <v>96.049999999999955</v>
      </c>
      <c r="AC169" s="300">
        <f t="shared" si="215"/>
        <v>1650.39</v>
      </c>
      <c r="AD169" s="300">
        <f t="shared" ref="AD169:AE169" si="256">+AD168</f>
        <v>134.16999999999999</v>
      </c>
      <c r="AE169" s="300">
        <f t="shared" si="256"/>
        <v>188.55</v>
      </c>
      <c r="AF169" s="300">
        <f t="shared" si="191"/>
        <v>2069.1600000000003</v>
      </c>
      <c r="AG169" s="300">
        <f t="shared" si="192"/>
        <v>32096.939999999991</v>
      </c>
      <c r="AH169" s="300">
        <f t="shared" si="193"/>
        <v>152711.69999999995</v>
      </c>
      <c r="AI169" s="545">
        <f t="shared" si="176"/>
        <v>-5247.2700000000023</v>
      </c>
      <c r="AJ169" s="545">
        <f t="shared" si="242"/>
        <v>-70673.209999999846</v>
      </c>
      <c r="AK169" s="545">
        <f t="shared" si="177"/>
        <v>-75920.47999999985</v>
      </c>
      <c r="AL169" s="300">
        <f t="shared" si="194"/>
        <v>282827.15999999992</v>
      </c>
      <c r="AM169" s="449">
        <f t="shared" si="223"/>
        <v>9</v>
      </c>
      <c r="AN169" s="14">
        <f t="shared" si="178"/>
        <v>1196.26</v>
      </c>
      <c r="AO169" s="14">
        <f t="shared" si="153"/>
        <v>224037.80999999997</v>
      </c>
      <c r="AP169" s="14">
        <f t="shared" si="179"/>
        <v>1325.03</v>
      </c>
      <c r="AS169" s="14">
        <f t="shared" si="217"/>
        <v>1196.26</v>
      </c>
      <c r="AT169" s="14">
        <f t="shared" si="224"/>
        <v>132304.29999999976</v>
      </c>
      <c r="AU169" s="300">
        <f t="shared" si="225"/>
        <v>892.90719477853008</v>
      </c>
      <c r="AV169" s="300">
        <f t="shared" si="226"/>
        <v>114907.28510619055</v>
      </c>
    </row>
    <row r="170" spans="1:48" ht="15.75" thickBot="1" x14ac:dyDescent="0.3">
      <c r="A170" s="538">
        <f t="shared" si="181"/>
        <v>49059</v>
      </c>
      <c r="B170" s="369">
        <f t="shared" si="218"/>
        <v>60203.62999999999</v>
      </c>
      <c r="C170" s="21">
        <f t="shared" si="211"/>
        <v>421.41</v>
      </c>
      <c r="D170" s="21">
        <f t="shared" si="227"/>
        <v>195.65000000000003</v>
      </c>
      <c r="E170" s="21">
        <f t="shared" si="212"/>
        <v>225.76</v>
      </c>
      <c r="F170" s="21">
        <f t="shared" si="170"/>
        <v>134.16999999999999</v>
      </c>
      <c r="G170" s="21">
        <f t="shared" si="167"/>
        <v>188.55</v>
      </c>
      <c r="H170" s="21">
        <f t="shared" si="168"/>
        <v>744.13000000000011</v>
      </c>
      <c r="I170" s="369">
        <f t="shared" si="182"/>
        <v>23473.439999999995</v>
      </c>
      <c r="J170" s="369">
        <f t="shared" si="183"/>
        <v>42578.409999999982</v>
      </c>
      <c r="K170" s="369">
        <f t="shared" si="184"/>
        <v>60007.979999999989</v>
      </c>
      <c r="L170" s="450">
        <f t="shared" si="155"/>
        <v>9</v>
      </c>
      <c r="M170" s="450">
        <f t="shared" si="219"/>
        <v>111</v>
      </c>
      <c r="N170" s="369">
        <f t="shared" si="220"/>
        <v>212153.95000000007</v>
      </c>
      <c r="O170" s="369">
        <f t="shared" si="185"/>
        <v>1617.67</v>
      </c>
      <c r="P170" s="369">
        <f t="shared" si="228"/>
        <v>380.11000000000013</v>
      </c>
      <c r="Q170" s="369">
        <f t="shared" si="186"/>
        <v>1237.56</v>
      </c>
      <c r="R170" s="369">
        <f t="shared" si="173"/>
        <v>134.16999999999999</v>
      </c>
      <c r="S170" s="369">
        <f t="shared" si="174"/>
        <v>188.55</v>
      </c>
      <c r="T170" s="369">
        <f t="shared" si="171"/>
        <v>1940.39</v>
      </c>
      <c r="U170" s="369">
        <f t="shared" si="229"/>
        <v>31374.660000000011</v>
      </c>
      <c r="V170" s="369">
        <f t="shared" si="230"/>
        <v>149804.38000000006</v>
      </c>
      <c r="W170" s="369">
        <f t="shared" si="187"/>
        <v>211773.84000000008</v>
      </c>
      <c r="X170" s="538">
        <f t="shared" si="221"/>
        <v>49059</v>
      </c>
      <c r="Y170" s="369">
        <f t="shared" si="188"/>
        <v>282827.15999999992</v>
      </c>
      <c r="Z170" s="528">
        <f t="shared" si="213"/>
        <v>7.0000000000000007E-2</v>
      </c>
      <c r="AA170" s="369">
        <f t="shared" si="214"/>
        <v>1746.44</v>
      </c>
      <c r="AB170" s="369">
        <f t="shared" si="189"/>
        <v>96.610000000000127</v>
      </c>
      <c r="AC170" s="369">
        <f t="shared" si="215"/>
        <v>1649.83</v>
      </c>
      <c r="AD170" s="369">
        <f t="shared" ref="AD170:AE170" si="257">+AD169</f>
        <v>134.16999999999999</v>
      </c>
      <c r="AE170" s="369">
        <f t="shared" si="257"/>
        <v>188.55</v>
      </c>
      <c r="AF170" s="369">
        <f t="shared" si="191"/>
        <v>2069.1600000000003</v>
      </c>
      <c r="AG170" s="369">
        <f t="shared" si="192"/>
        <v>32193.549999999992</v>
      </c>
      <c r="AH170" s="369">
        <f t="shared" si="193"/>
        <v>154361.52999999994</v>
      </c>
      <c r="AI170" s="546">
        <f t="shared" si="176"/>
        <v>-5376.0400000000027</v>
      </c>
      <c r="AJ170" s="546">
        <f t="shared" si="242"/>
        <v>-70956.709999999846</v>
      </c>
      <c r="AK170" s="545">
        <f t="shared" si="177"/>
        <v>-76332.749999999854</v>
      </c>
      <c r="AL170" s="369">
        <f t="shared" si="194"/>
        <v>282730.54999999993</v>
      </c>
      <c r="AM170" s="450">
        <f t="shared" si="223"/>
        <v>9</v>
      </c>
      <c r="AN170" s="21">
        <f t="shared" si="178"/>
        <v>1196.26</v>
      </c>
      <c r="AO170" s="21">
        <f t="shared" si="153"/>
        <v>223853.34999999998</v>
      </c>
      <c r="AP170" s="21">
        <f t="shared" si="179"/>
        <v>1325.03</v>
      </c>
      <c r="AQ170" s="21"/>
      <c r="AR170" s="23"/>
      <c r="AS170" s="21">
        <f t="shared" si="217"/>
        <v>1196.26</v>
      </c>
      <c r="AT170" s="21">
        <f t="shared" si="224"/>
        <v>133500.55999999976</v>
      </c>
      <c r="AU170" s="369">
        <f t="shared" si="225"/>
        <v>895.13946276547631</v>
      </c>
      <c r="AV170" s="369">
        <f t="shared" si="226"/>
        <v>115802.42456895603</v>
      </c>
    </row>
    <row r="171" spans="1:48" x14ac:dyDescent="0.25">
      <c r="A171" s="535">
        <f t="shared" si="181"/>
        <v>49089</v>
      </c>
      <c r="B171" s="300">
        <f t="shared" si="218"/>
        <v>60007.979999999989</v>
      </c>
      <c r="C171" s="14">
        <f t="shared" si="211"/>
        <v>421.41</v>
      </c>
      <c r="D171" s="14">
        <f t="shared" si="227"/>
        <v>196.38000000000002</v>
      </c>
      <c r="E171" s="14">
        <f t="shared" si="212"/>
        <v>225.03</v>
      </c>
      <c r="F171" s="14">
        <f t="shared" si="170"/>
        <v>134.16999999999999</v>
      </c>
      <c r="G171" s="14">
        <f t="shared" si="167"/>
        <v>188.55</v>
      </c>
      <c r="H171" s="14">
        <f t="shared" si="168"/>
        <v>744.13000000000011</v>
      </c>
      <c r="I171" s="300">
        <f t="shared" si="182"/>
        <v>23669.819999999996</v>
      </c>
      <c r="J171" s="300">
        <f t="shared" si="183"/>
        <v>42803.439999999981</v>
      </c>
      <c r="K171" s="300">
        <f t="shared" si="184"/>
        <v>59811.599999999991</v>
      </c>
      <c r="L171" s="449">
        <f t="shared" si="155"/>
        <v>9</v>
      </c>
      <c r="M171" s="449">
        <f t="shared" si="219"/>
        <v>112</v>
      </c>
      <c r="N171" s="300">
        <f t="shared" si="220"/>
        <v>211773.84000000008</v>
      </c>
      <c r="O171" s="300">
        <f t="shared" si="185"/>
        <v>1617.67</v>
      </c>
      <c r="P171" s="300">
        <f t="shared" si="228"/>
        <v>382.32000000000016</v>
      </c>
      <c r="Q171" s="300">
        <f t="shared" si="186"/>
        <v>1235.3499999999999</v>
      </c>
      <c r="R171" s="300">
        <f t="shared" si="173"/>
        <v>134.16999999999999</v>
      </c>
      <c r="S171" s="300">
        <f t="shared" si="174"/>
        <v>188.55</v>
      </c>
      <c r="T171" s="300">
        <f t="shared" si="171"/>
        <v>1940.39</v>
      </c>
      <c r="U171" s="300">
        <f t="shared" si="229"/>
        <v>31756.98000000001</v>
      </c>
      <c r="V171" s="300">
        <f t="shared" si="230"/>
        <v>151039.73000000007</v>
      </c>
      <c r="W171" s="300">
        <f t="shared" si="187"/>
        <v>211391.52000000008</v>
      </c>
      <c r="X171" s="535">
        <f t="shared" si="221"/>
        <v>49089</v>
      </c>
      <c r="Y171" s="300">
        <f t="shared" si="188"/>
        <v>282730.54999999993</v>
      </c>
      <c r="Z171" s="527">
        <f t="shared" si="213"/>
        <v>7.0000000000000007E-2</v>
      </c>
      <c r="AA171" s="300">
        <f t="shared" si="214"/>
        <v>1746.44</v>
      </c>
      <c r="AB171" s="300">
        <f t="shared" si="189"/>
        <v>97.180000000000064</v>
      </c>
      <c r="AC171" s="300">
        <f t="shared" si="215"/>
        <v>1649.26</v>
      </c>
      <c r="AD171" s="300">
        <f t="shared" ref="AD171:AE171" si="258">+AD170</f>
        <v>134.16999999999999</v>
      </c>
      <c r="AE171" s="300">
        <f t="shared" si="258"/>
        <v>188.55</v>
      </c>
      <c r="AF171" s="300">
        <f t="shared" si="191"/>
        <v>2069.1600000000003</v>
      </c>
      <c r="AG171" s="300">
        <f t="shared" si="192"/>
        <v>32290.729999999992</v>
      </c>
      <c r="AH171" s="300">
        <f t="shared" si="193"/>
        <v>156010.78999999995</v>
      </c>
      <c r="AI171" s="545">
        <f t="shared" si="176"/>
        <v>-5504.8100000000031</v>
      </c>
      <c r="AJ171" s="545">
        <f t="shared" si="242"/>
        <v>-71241.84999999986</v>
      </c>
      <c r="AK171" s="545">
        <f t="shared" si="177"/>
        <v>-76746.659999999858</v>
      </c>
      <c r="AL171" s="300">
        <f t="shared" si="194"/>
        <v>282633.36999999994</v>
      </c>
      <c r="AM171" s="449">
        <f t="shared" si="223"/>
        <v>9</v>
      </c>
      <c r="AN171" s="14">
        <f t="shared" si="178"/>
        <v>1196.26</v>
      </c>
      <c r="AO171" s="14">
        <f t="shared" si="153"/>
        <v>223667.40999999997</v>
      </c>
      <c r="AP171" s="14">
        <f t="shared" si="179"/>
        <v>1325.03</v>
      </c>
      <c r="AS171" s="14">
        <f t="shared" si="217"/>
        <v>1196.26</v>
      </c>
      <c r="AT171" s="14">
        <f t="shared" si="224"/>
        <v>134696.81999999977</v>
      </c>
      <c r="AU171" s="300">
        <f t="shared" si="225"/>
        <v>897.37731142238999</v>
      </c>
      <c r="AV171" s="300">
        <f t="shared" si="226"/>
        <v>116699.80188037842</v>
      </c>
    </row>
    <row r="172" spans="1:48" x14ac:dyDescent="0.25">
      <c r="A172" s="535">
        <f t="shared" si="181"/>
        <v>49119</v>
      </c>
      <c r="B172" s="300">
        <f t="shared" si="218"/>
        <v>59811.599999999991</v>
      </c>
      <c r="C172" s="14">
        <f t="shared" si="211"/>
        <v>421.41</v>
      </c>
      <c r="D172" s="14">
        <f t="shared" si="227"/>
        <v>197.12000000000003</v>
      </c>
      <c r="E172" s="14">
        <f t="shared" si="212"/>
        <v>224.29</v>
      </c>
      <c r="F172" s="14">
        <f t="shared" si="170"/>
        <v>134.16999999999999</v>
      </c>
      <c r="G172" s="14">
        <f t="shared" si="167"/>
        <v>188.55</v>
      </c>
      <c r="H172" s="14">
        <f t="shared" si="168"/>
        <v>744.13000000000011</v>
      </c>
      <c r="I172" s="300">
        <f t="shared" si="182"/>
        <v>23866.939999999995</v>
      </c>
      <c r="J172" s="300">
        <f t="shared" si="183"/>
        <v>43027.729999999981</v>
      </c>
      <c r="K172" s="300">
        <f t="shared" si="184"/>
        <v>59614.479999999989</v>
      </c>
      <c r="L172" s="449">
        <f t="shared" si="155"/>
        <v>9</v>
      </c>
      <c r="M172" s="449">
        <f t="shared" si="219"/>
        <v>113</v>
      </c>
      <c r="N172" s="300">
        <f t="shared" si="220"/>
        <v>211391.52000000008</v>
      </c>
      <c r="O172" s="300">
        <f t="shared" si="185"/>
        <v>1617.67</v>
      </c>
      <c r="P172" s="300">
        <f t="shared" si="228"/>
        <v>384.55000000000018</v>
      </c>
      <c r="Q172" s="300">
        <f t="shared" si="186"/>
        <v>1233.1199999999999</v>
      </c>
      <c r="R172" s="300">
        <f t="shared" si="173"/>
        <v>134.16999999999999</v>
      </c>
      <c r="S172" s="300">
        <f t="shared" si="174"/>
        <v>188.55</v>
      </c>
      <c r="T172" s="300">
        <f t="shared" si="171"/>
        <v>1940.39</v>
      </c>
      <c r="U172" s="300">
        <f t="shared" si="229"/>
        <v>32141.53000000001</v>
      </c>
      <c r="V172" s="300">
        <f t="shared" si="230"/>
        <v>152272.85000000006</v>
      </c>
      <c r="W172" s="300">
        <f t="shared" si="187"/>
        <v>211006.97000000009</v>
      </c>
      <c r="X172" s="535">
        <f t="shared" si="221"/>
        <v>49119</v>
      </c>
      <c r="Y172" s="300">
        <f t="shared" si="188"/>
        <v>282633.36999999994</v>
      </c>
      <c r="Z172" s="527">
        <f t="shared" si="213"/>
        <v>7.0000000000000007E-2</v>
      </c>
      <c r="AA172" s="300">
        <f t="shared" si="214"/>
        <v>1746.44</v>
      </c>
      <c r="AB172" s="300">
        <f t="shared" si="189"/>
        <v>97.75</v>
      </c>
      <c r="AC172" s="300">
        <f t="shared" si="215"/>
        <v>1648.69</v>
      </c>
      <c r="AD172" s="300">
        <f t="shared" ref="AD172:AE172" si="259">+AD171</f>
        <v>134.16999999999999</v>
      </c>
      <c r="AE172" s="300">
        <f t="shared" si="259"/>
        <v>188.55</v>
      </c>
      <c r="AF172" s="300">
        <f t="shared" si="191"/>
        <v>2069.1600000000003</v>
      </c>
      <c r="AG172" s="300">
        <f t="shared" si="192"/>
        <v>32388.479999999992</v>
      </c>
      <c r="AH172" s="300">
        <f t="shared" si="193"/>
        <v>157659.47999999995</v>
      </c>
      <c r="AI172" s="545">
        <f t="shared" si="176"/>
        <v>-5633.5800000000036</v>
      </c>
      <c r="AJ172" s="545">
        <f t="shared" si="242"/>
        <v>-71528.649999999849</v>
      </c>
      <c r="AK172" s="545">
        <f t="shared" si="177"/>
        <v>-77162.22999999985</v>
      </c>
      <c r="AL172" s="300">
        <f t="shared" si="194"/>
        <v>282535.61999999994</v>
      </c>
      <c r="AM172" s="449">
        <f t="shared" si="223"/>
        <v>9</v>
      </c>
      <c r="AN172" s="14">
        <f t="shared" si="178"/>
        <v>1196.26</v>
      </c>
      <c r="AO172" s="14">
        <f t="shared" si="153"/>
        <v>223479.97999999998</v>
      </c>
      <c r="AP172" s="14">
        <f t="shared" si="179"/>
        <v>1325.03</v>
      </c>
      <c r="AS172" s="14">
        <f t="shared" si="217"/>
        <v>1196.26</v>
      </c>
      <c r="AT172" s="14">
        <f t="shared" si="224"/>
        <v>135893.07999999978</v>
      </c>
      <c r="AU172" s="300">
        <f t="shared" si="225"/>
        <v>899.62075470094589</v>
      </c>
      <c r="AV172" s="300">
        <f t="shared" si="226"/>
        <v>117599.42263507936</v>
      </c>
    </row>
    <row r="173" spans="1:48" x14ac:dyDescent="0.25">
      <c r="A173" s="535">
        <f t="shared" si="181"/>
        <v>49149</v>
      </c>
      <c r="B173" s="300">
        <f t="shared" si="218"/>
        <v>59614.479999999989</v>
      </c>
      <c r="C173" s="14">
        <f t="shared" si="211"/>
        <v>421.41</v>
      </c>
      <c r="D173" s="14">
        <f t="shared" si="227"/>
        <v>197.86</v>
      </c>
      <c r="E173" s="14">
        <f t="shared" si="212"/>
        <v>223.55</v>
      </c>
      <c r="F173" s="14">
        <f t="shared" si="170"/>
        <v>134.16999999999999</v>
      </c>
      <c r="G173" s="14">
        <f t="shared" si="167"/>
        <v>188.55</v>
      </c>
      <c r="H173" s="14">
        <f t="shared" si="168"/>
        <v>744.13000000000011</v>
      </c>
      <c r="I173" s="300">
        <f t="shared" si="182"/>
        <v>24064.799999999996</v>
      </c>
      <c r="J173" s="300">
        <f t="shared" si="183"/>
        <v>43251.279999999984</v>
      </c>
      <c r="K173" s="300">
        <f t="shared" si="184"/>
        <v>59416.619999999988</v>
      </c>
      <c r="L173" s="449">
        <f t="shared" si="155"/>
        <v>9</v>
      </c>
      <c r="M173" s="449">
        <f t="shared" si="219"/>
        <v>114</v>
      </c>
      <c r="N173" s="300">
        <f t="shared" si="220"/>
        <v>211006.97000000009</v>
      </c>
      <c r="O173" s="300">
        <f t="shared" si="185"/>
        <v>1617.67</v>
      </c>
      <c r="P173" s="300">
        <f t="shared" si="228"/>
        <v>386.80000000000018</v>
      </c>
      <c r="Q173" s="300">
        <f t="shared" si="186"/>
        <v>1230.8699999999999</v>
      </c>
      <c r="R173" s="300">
        <f t="shared" si="173"/>
        <v>134.16999999999999</v>
      </c>
      <c r="S173" s="300">
        <f t="shared" si="174"/>
        <v>188.55</v>
      </c>
      <c r="T173" s="300">
        <f t="shared" si="171"/>
        <v>1940.39</v>
      </c>
      <c r="U173" s="300">
        <f t="shared" si="229"/>
        <v>32528.330000000009</v>
      </c>
      <c r="V173" s="300">
        <f t="shared" si="230"/>
        <v>153503.72000000006</v>
      </c>
      <c r="W173" s="300">
        <f t="shared" si="187"/>
        <v>210620.1700000001</v>
      </c>
      <c r="X173" s="535">
        <f t="shared" si="221"/>
        <v>49149</v>
      </c>
      <c r="Y173" s="300">
        <f t="shared" si="188"/>
        <v>282535.61999999994</v>
      </c>
      <c r="Z173" s="527">
        <f t="shared" si="213"/>
        <v>7.0000000000000007E-2</v>
      </c>
      <c r="AA173" s="300">
        <f t="shared" si="214"/>
        <v>1746.44</v>
      </c>
      <c r="AB173" s="300">
        <f t="shared" si="189"/>
        <v>98.320000000000164</v>
      </c>
      <c r="AC173" s="300">
        <f t="shared" si="215"/>
        <v>1648.12</v>
      </c>
      <c r="AD173" s="300">
        <f t="shared" ref="AD173:AE173" si="260">+AD172</f>
        <v>134.16999999999999</v>
      </c>
      <c r="AE173" s="300">
        <f t="shared" si="260"/>
        <v>188.55</v>
      </c>
      <c r="AF173" s="300">
        <f t="shared" si="191"/>
        <v>2069.1600000000003</v>
      </c>
      <c r="AG173" s="300">
        <f t="shared" si="192"/>
        <v>32486.799999999992</v>
      </c>
      <c r="AH173" s="300">
        <f t="shared" si="193"/>
        <v>159307.59999999995</v>
      </c>
      <c r="AI173" s="545">
        <f t="shared" si="176"/>
        <v>-5762.350000000004</v>
      </c>
      <c r="AJ173" s="545">
        <f t="shared" si="242"/>
        <v>-71817.12999999983</v>
      </c>
      <c r="AK173" s="545">
        <f t="shared" si="177"/>
        <v>-77579.479999999836</v>
      </c>
      <c r="AL173" s="300">
        <f t="shared" si="194"/>
        <v>282437.29999999993</v>
      </c>
      <c r="AM173" s="449">
        <f t="shared" si="223"/>
        <v>9</v>
      </c>
      <c r="AN173" s="14">
        <f t="shared" si="178"/>
        <v>1196.26</v>
      </c>
      <c r="AO173" s="14">
        <f t="shared" ref="AO173:AO236" si="261">IF(W173&lt;=0,0,+$AA$5-$C$2+I173-U173)</f>
        <v>223291.03999999995</v>
      </c>
      <c r="AP173" s="14">
        <f t="shared" si="179"/>
        <v>1325.03</v>
      </c>
      <c r="AS173" s="14">
        <f t="shared" si="217"/>
        <v>1196.26</v>
      </c>
      <c r="AT173" s="14">
        <f t="shared" si="224"/>
        <v>137089.33999999979</v>
      </c>
      <c r="AU173" s="300">
        <f t="shared" si="225"/>
        <v>901.86980658769835</v>
      </c>
      <c r="AV173" s="300">
        <f t="shared" si="226"/>
        <v>118501.29244166706</v>
      </c>
    </row>
    <row r="174" spans="1:48" x14ac:dyDescent="0.25">
      <c r="A174" s="535">
        <f t="shared" si="181"/>
        <v>49179</v>
      </c>
      <c r="B174" s="300">
        <f t="shared" si="218"/>
        <v>59416.619999999988</v>
      </c>
      <c r="C174" s="14">
        <f t="shared" si="211"/>
        <v>421.41</v>
      </c>
      <c r="D174" s="14">
        <f t="shared" si="227"/>
        <v>198.60000000000002</v>
      </c>
      <c r="E174" s="14">
        <f t="shared" si="212"/>
        <v>222.81</v>
      </c>
      <c r="F174" s="14">
        <f t="shared" si="170"/>
        <v>134.16999999999999</v>
      </c>
      <c r="G174" s="14">
        <f t="shared" si="167"/>
        <v>188.55</v>
      </c>
      <c r="H174" s="14">
        <f t="shared" si="168"/>
        <v>744.13000000000011</v>
      </c>
      <c r="I174" s="300">
        <f t="shared" si="182"/>
        <v>24263.399999999994</v>
      </c>
      <c r="J174" s="300">
        <f t="shared" si="183"/>
        <v>43474.089999999982</v>
      </c>
      <c r="K174" s="300">
        <f t="shared" si="184"/>
        <v>59218.01999999999</v>
      </c>
      <c r="L174" s="449">
        <f t="shared" si="155"/>
        <v>9</v>
      </c>
      <c r="M174" s="449">
        <f t="shared" si="219"/>
        <v>115</v>
      </c>
      <c r="N174" s="300">
        <f t="shared" si="220"/>
        <v>210620.1700000001</v>
      </c>
      <c r="O174" s="300">
        <f t="shared" si="185"/>
        <v>1617.67</v>
      </c>
      <c r="P174" s="300">
        <f t="shared" si="228"/>
        <v>389.05000000000018</v>
      </c>
      <c r="Q174" s="300">
        <f t="shared" si="186"/>
        <v>1228.6199999999999</v>
      </c>
      <c r="R174" s="300">
        <f t="shared" si="173"/>
        <v>134.16999999999999</v>
      </c>
      <c r="S174" s="300">
        <f t="shared" si="174"/>
        <v>188.55</v>
      </c>
      <c r="T174" s="300">
        <f t="shared" si="171"/>
        <v>1940.39</v>
      </c>
      <c r="U174" s="300">
        <f t="shared" si="229"/>
        <v>32917.380000000012</v>
      </c>
      <c r="V174" s="300">
        <f t="shared" si="230"/>
        <v>154732.34000000005</v>
      </c>
      <c r="W174" s="300">
        <f t="shared" si="187"/>
        <v>210231.12000000011</v>
      </c>
      <c r="X174" s="535">
        <f t="shared" si="221"/>
        <v>49179</v>
      </c>
      <c r="Y174" s="300">
        <f t="shared" si="188"/>
        <v>282437.29999999993</v>
      </c>
      <c r="Z174" s="527">
        <f t="shared" si="213"/>
        <v>7.0000000000000007E-2</v>
      </c>
      <c r="AA174" s="300">
        <f t="shared" si="214"/>
        <v>1746.44</v>
      </c>
      <c r="AB174" s="300">
        <f t="shared" si="189"/>
        <v>98.8900000000001</v>
      </c>
      <c r="AC174" s="300">
        <f t="shared" si="215"/>
        <v>1647.55</v>
      </c>
      <c r="AD174" s="300">
        <f t="shared" ref="AD174:AE174" si="262">+AD173</f>
        <v>134.16999999999999</v>
      </c>
      <c r="AE174" s="300">
        <f t="shared" si="262"/>
        <v>188.55</v>
      </c>
      <c r="AF174" s="300">
        <f t="shared" si="191"/>
        <v>2069.1600000000003</v>
      </c>
      <c r="AG174" s="300">
        <f t="shared" si="192"/>
        <v>32585.689999999991</v>
      </c>
      <c r="AH174" s="300">
        <f t="shared" si="193"/>
        <v>160955.14999999994</v>
      </c>
      <c r="AI174" s="545">
        <f t="shared" si="176"/>
        <v>-5891.1200000000044</v>
      </c>
      <c r="AJ174" s="545">
        <f t="shared" si="242"/>
        <v>-72107.289999999804</v>
      </c>
      <c r="AK174" s="545">
        <f t="shared" si="177"/>
        <v>-77998.409999999814</v>
      </c>
      <c r="AL174" s="300">
        <f t="shared" si="194"/>
        <v>282338.40999999992</v>
      </c>
      <c r="AM174" s="449">
        <f t="shared" si="223"/>
        <v>9</v>
      </c>
      <c r="AN174" s="14">
        <f t="shared" si="178"/>
        <v>1196.26</v>
      </c>
      <c r="AO174" s="14">
        <f t="shared" si="261"/>
        <v>223100.58999999997</v>
      </c>
      <c r="AP174" s="14">
        <f t="shared" si="179"/>
        <v>1325.03</v>
      </c>
      <c r="AS174" s="14">
        <f t="shared" si="217"/>
        <v>1196.26</v>
      </c>
      <c r="AT174" s="14">
        <f t="shared" si="224"/>
        <v>138285.5999999998</v>
      </c>
      <c r="AU174" s="300">
        <f t="shared" si="225"/>
        <v>904.12448110416756</v>
      </c>
      <c r="AV174" s="300">
        <f t="shared" si="226"/>
        <v>119405.41692277123</v>
      </c>
    </row>
    <row r="175" spans="1:48" x14ac:dyDescent="0.25">
      <c r="A175" s="535">
        <f t="shared" si="181"/>
        <v>49209</v>
      </c>
      <c r="B175" s="300">
        <f t="shared" si="218"/>
        <v>59218.01999999999</v>
      </c>
      <c r="C175" s="14">
        <f t="shared" si="211"/>
        <v>421.41</v>
      </c>
      <c r="D175" s="14">
        <f t="shared" si="227"/>
        <v>199.34000000000003</v>
      </c>
      <c r="E175" s="14">
        <f t="shared" si="212"/>
        <v>222.07</v>
      </c>
      <c r="F175" s="14">
        <f t="shared" si="170"/>
        <v>134.16999999999999</v>
      </c>
      <c r="G175" s="14">
        <f t="shared" si="167"/>
        <v>188.55</v>
      </c>
      <c r="H175" s="14">
        <f t="shared" si="168"/>
        <v>744.13000000000011</v>
      </c>
      <c r="I175" s="300">
        <f t="shared" si="182"/>
        <v>24462.739999999994</v>
      </c>
      <c r="J175" s="300">
        <f t="shared" si="183"/>
        <v>43696.159999999982</v>
      </c>
      <c r="K175" s="300">
        <f t="shared" si="184"/>
        <v>59018.679999999993</v>
      </c>
      <c r="L175" s="449">
        <f t="shared" ref="L175:L238" si="263">IF(MOD(M175,12)=0,M175/12,L174)</f>
        <v>9</v>
      </c>
      <c r="M175" s="449">
        <f t="shared" si="219"/>
        <v>116</v>
      </c>
      <c r="N175" s="300">
        <f t="shared" si="220"/>
        <v>210231.12000000011</v>
      </c>
      <c r="O175" s="300">
        <f t="shared" si="185"/>
        <v>1617.67</v>
      </c>
      <c r="P175" s="300">
        <f t="shared" si="228"/>
        <v>391.32000000000016</v>
      </c>
      <c r="Q175" s="300">
        <f t="shared" si="186"/>
        <v>1226.3499999999999</v>
      </c>
      <c r="R175" s="300">
        <f t="shared" si="173"/>
        <v>134.16999999999999</v>
      </c>
      <c r="S175" s="300">
        <f t="shared" si="174"/>
        <v>188.55</v>
      </c>
      <c r="T175" s="300">
        <f t="shared" si="171"/>
        <v>1940.39</v>
      </c>
      <c r="U175" s="300">
        <f t="shared" si="229"/>
        <v>33308.700000000012</v>
      </c>
      <c r="V175" s="300">
        <f t="shared" si="230"/>
        <v>155958.69000000006</v>
      </c>
      <c r="W175" s="300">
        <f t="shared" si="187"/>
        <v>209839.8000000001</v>
      </c>
      <c r="X175" s="535">
        <f t="shared" si="221"/>
        <v>49209</v>
      </c>
      <c r="Y175" s="300">
        <f t="shared" si="188"/>
        <v>282338.40999999992</v>
      </c>
      <c r="Z175" s="527">
        <f t="shared" si="213"/>
        <v>7.0000000000000007E-2</v>
      </c>
      <c r="AA175" s="300">
        <f t="shared" si="214"/>
        <v>1746.44</v>
      </c>
      <c r="AB175" s="300">
        <f t="shared" si="189"/>
        <v>99.470000000000027</v>
      </c>
      <c r="AC175" s="300">
        <f t="shared" si="215"/>
        <v>1646.97</v>
      </c>
      <c r="AD175" s="300">
        <f t="shared" ref="AD175:AE175" si="264">+AD174</f>
        <v>134.16999999999999</v>
      </c>
      <c r="AE175" s="300">
        <f t="shared" si="264"/>
        <v>188.55</v>
      </c>
      <c r="AF175" s="300">
        <f t="shared" si="191"/>
        <v>2069.1600000000003</v>
      </c>
      <c r="AG175" s="300">
        <f t="shared" si="192"/>
        <v>32685.159999999993</v>
      </c>
      <c r="AH175" s="300">
        <f t="shared" si="193"/>
        <v>162602.11999999994</v>
      </c>
      <c r="AI175" s="545">
        <f t="shared" si="176"/>
        <v>-6019.8900000000049</v>
      </c>
      <c r="AJ175" s="545">
        <f t="shared" si="242"/>
        <v>-72399.139999999839</v>
      </c>
      <c r="AK175" s="545">
        <f t="shared" si="177"/>
        <v>-78419.029999999839</v>
      </c>
      <c r="AL175" s="300">
        <f t="shared" si="194"/>
        <v>282238.93999999994</v>
      </c>
      <c r="AM175" s="449">
        <f t="shared" si="223"/>
        <v>9</v>
      </c>
      <c r="AN175" s="14">
        <f t="shared" si="178"/>
        <v>1196.26</v>
      </c>
      <c r="AO175" s="14">
        <f t="shared" si="261"/>
        <v>222908.60999999996</v>
      </c>
      <c r="AP175" s="14">
        <f t="shared" si="179"/>
        <v>1325.03</v>
      </c>
      <c r="AS175" s="14">
        <f t="shared" si="217"/>
        <v>1196.26</v>
      </c>
      <c r="AT175" s="14">
        <f t="shared" si="224"/>
        <v>139481.85999999981</v>
      </c>
      <c r="AU175" s="300">
        <f t="shared" si="225"/>
        <v>906.38479230692803</v>
      </c>
      <c r="AV175" s="300">
        <f t="shared" si="226"/>
        <v>120311.80171507815</v>
      </c>
    </row>
    <row r="176" spans="1:48" x14ac:dyDescent="0.25">
      <c r="A176" s="535">
        <f t="shared" si="181"/>
        <v>49239</v>
      </c>
      <c r="B176" s="300">
        <f t="shared" si="218"/>
        <v>59018.679999999993</v>
      </c>
      <c r="C176" s="14">
        <f t="shared" si="211"/>
        <v>421.41</v>
      </c>
      <c r="D176" s="14">
        <f t="shared" si="227"/>
        <v>200.09000000000003</v>
      </c>
      <c r="E176" s="14">
        <f t="shared" si="212"/>
        <v>221.32</v>
      </c>
      <c r="F176" s="14">
        <f t="shared" si="170"/>
        <v>134.16999999999999</v>
      </c>
      <c r="G176" s="14">
        <f t="shared" si="167"/>
        <v>188.55</v>
      </c>
      <c r="H176" s="14">
        <f t="shared" si="168"/>
        <v>744.13000000000011</v>
      </c>
      <c r="I176" s="300">
        <f t="shared" si="182"/>
        <v>24662.829999999994</v>
      </c>
      <c r="J176" s="300">
        <f t="shared" si="183"/>
        <v>43917.479999999981</v>
      </c>
      <c r="K176" s="300">
        <f t="shared" si="184"/>
        <v>58818.59</v>
      </c>
      <c r="L176" s="449">
        <f t="shared" si="263"/>
        <v>9</v>
      </c>
      <c r="M176" s="449">
        <f t="shared" si="219"/>
        <v>117</v>
      </c>
      <c r="N176" s="300">
        <f t="shared" si="220"/>
        <v>209839.8000000001</v>
      </c>
      <c r="O176" s="300">
        <f t="shared" si="185"/>
        <v>1617.67</v>
      </c>
      <c r="P176" s="300">
        <f t="shared" si="228"/>
        <v>393.60000000000014</v>
      </c>
      <c r="Q176" s="300">
        <f t="shared" si="186"/>
        <v>1224.07</v>
      </c>
      <c r="R176" s="300">
        <f t="shared" si="173"/>
        <v>134.16999999999999</v>
      </c>
      <c r="S176" s="300">
        <f t="shared" si="174"/>
        <v>188.55</v>
      </c>
      <c r="T176" s="300">
        <f t="shared" si="171"/>
        <v>1940.39</v>
      </c>
      <c r="U176" s="300">
        <f t="shared" si="229"/>
        <v>33702.30000000001</v>
      </c>
      <c r="V176" s="300">
        <f t="shared" si="230"/>
        <v>157182.76000000007</v>
      </c>
      <c r="W176" s="300">
        <f t="shared" si="187"/>
        <v>209446.2000000001</v>
      </c>
      <c r="X176" s="535">
        <f t="shared" si="221"/>
        <v>49239</v>
      </c>
      <c r="Y176" s="300">
        <f t="shared" si="188"/>
        <v>282238.93999999994</v>
      </c>
      <c r="Z176" s="527">
        <f t="shared" si="213"/>
        <v>7.0000000000000007E-2</v>
      </c>
      <c r="AA176" s="300">
        <f t="shared" si="214"/>
        <v>1746.44</v>
      </c>
      <c r="AB176" s="300">
        <f t="shared" si="189"/>
        <v>100.04999999999995</v>
      </c>
      <c r="AC176" s="300">
        <f t="shared" si="215"/>
        <v>1646.39</v>
      </c>
      <c r="AD176" s="300">
        <f t="shared" ref="AD176:AE176" si="265">+AD175</f>
        <v>134.16999999999999</v>
      </c>
      <c r="AE176" s="300">
        <f t="shared" si="265"/>
        <v>188.55</v>
      </c>
      <c r="AF176" s="300">
        <f t="shared" si="191"/>
        <v>2069.1600000000003</v>
      </c>
      <c r="AG176" s="300">
        <f t="shared" si="192"/>
        <v>32785.209999999992</v>
      </c>
      <c r="AH176" s="300">
        <f t="shared" si="193"/>
        <v>164248.50999999995</v>
      </c>
      <c r="AI176" s="545">
        <f t="shared" si="176"/>
        <v>-6148.6600000000053</v>
      </c>
      <c r="AJ176" s="545">
        <f t="shared" si="242"/>
        <v>-72692.689999999857</v>
      </c>
      <c r="AK176" s="545">
        <f t="shared" si="177"/>
        <v>-78841.34999999986</v>
      </c>
      <c r="AL176" s="300">
        <f t="shared" si="194"/>
        <v>282138.88999999996</v>
      </c>
      <c r="AM176" s="449">
        <f t="shared" si="223"/>
        <v>9</v>
      </c>
      <c r="AN176" s="14">
        <f t="shared" si="178"/>
        <v>1196.26</v>
      </c>
      <c r="AO176" s="14">
        <f t="shared" si="261"/>
        <v>222715.09999999995</v>
      </c>
      <c r="AP176" s="14">
        <f t="shared" si="179"/>
        <v>1325.03</v>
      </c>
      <c r="AS176" s="14">
        <f t="shared" si="217"/>
        <v>1196.26</v>
      </c>
      <c r="AT176" s="14">
        <f t="shared" si="224"/>
        <v>140678.11999999982</v>
      </c>
      <c r="AU176" s="300">
        <f t="shared" si="225"/>
        <v>908.65075428769535</v>
      </c>
      <c r="AV176" s="300">
        <f t="shared" si="226"/>
        <v>121220.45246936585</v>
      </c>
    </row>
    <row r="177" spans="1:48" x14ac:dyDescent="0.25">
      <c r="A177" s="535">
        <f t="shared" si="181"/>
        <v>49269</v>
      </c>
      <c r="B177" s="300">
        <f t="shared" si="218"/>
        <v>58818.59</v>
      </c>
      <c r="C177" s="14">
        <f t="shared" si="211"/>
        <v>421.41</v>
      </c>
      <c r="D177" s="14">
        <f t="shared" si="227"/>
        <v>200.84000000000003</v>
      </c>
      <c r="E177" s="14">
        <f t="shared" si="212"/>
        <v>220.57</v>
      </c>
      <c r="F177" s="14">
        <f t="shared" si="170"/>
        <v>134.16999999999999</v>
      </c>
      <c r="G177" s="14">
        <f t="shared" si="167"/>
        <v>188.55</v>
      </c>
      <c r="H177" s="14">
        <f t="shared" si="168"/>
        <v>744.13000000000011</v>
      </c>
      <c r="I177" s="300">
        <f t="shared" si="182"/>
        <v>24863.669999999995</v>
      </c>
      <c r="J177" s="300">
        <f t="shared" si="183"/>
        <v>44138.049999999981</v>
      </c>
      <c r="K177" s="300">
        <f t="shared" si="184"/>
        <v>58617.75</v>
      </c>
      <c r="L177" s="449">
        <f t="shared" si="263"/>
        <v>9</v>
      </c>
      <c r="M177" s="449">
        <f t="shared" si="219"/>
        <v>118</v>
      </c>
      <c r="N177" s="300">
        <f t="shared" si="220"/>
        <v>209446.2000000001</v>
      </c>
      <c r="O177" s="300">
        <f t="shared" si="185"/>
        <v>1617.67</v>
      </c>
      <c r="P177" s="300">
        <f t="shared" si="228"/>
        <v>395.90000000000009</v>
      </c>
      <c r="Q177" s="300">
        <f t="shared" si="186"/>
        <v>1221.77</v>
      </c>
      <c r="R177" s="300">
        <f t="shared" si="173"/>
        <v>134.16999999999999</v>
      </c>
      <c r="S177" s="300">
        <f t="shared" si="174"/>
        <v>188.55</v>
      </c>
      <c r="T177" s="300">
        <f t="shared" si="171"/>
        <v>1940.39</v>
      </c>
      <c r="U177" s="300">
        <f t="shared" si="229"/>
        <v>34098.200000000012</v>
      </c>
      <c r="V177" s="300">
        <f t="shared" si="230"/>
        <v>158404.53000000006</v>
      </c>
      <c r="W177" s="300">
        <f t="shared" si="187"/>
        <v>209050.3000000001</v>
      </c>
      <c r="X177" s="535">
        <f t="shared" si="221"/>
        <v>49269</v>
      </c>
      <c r="Y177" s="300">
        <f t="shared" si="188"/>
        <v>282138.88999999996</v>
      </c>
      <c r="Z177" s="527">
        <f t="shared" si="213"/>
        <v>7.0000000000000007E-2</v>
      </c>
      <c r="AA177" s="300">
        <f t="shared" si="214"/>
        <v>1746.44</v>
      </c>
      <c r="AB177" s="300">
        <f t="shared" si="189"/>
        <v>100.63000000000011</v>
      </c>
      <c r="AC177" s="300">
        <f t="shared" si="215"/>
        <v>1645.81</v>
      </c>
      <c r="AD177" s="300">
        <f t="shared" ref="AD177:AE177" si="266">+AD176</f>
        <v>134.16999999999999</v>
      </c>
      <c r="AE177" s="300">
        <f t="shared" si="266"/>
        <v>188.55</v>
      </c>
      <c r="AF177" s="300">
        <f t="shared" si="191"/>
        <v>2069.1600000000003</v>
      </c>
      <c r="AG177" s="300">
        <f t="shared" si="192"/>
        <v>32885.839999999989</v>
      </c>
      <c r="AH177" s="300">
        <f t="shared" si="193"/>
        <v>165894.31999999995</v>
      </c>
      <c r="AI177" s="545">
        <f t="shared" si="176"/>
        <v>-6277.4300000000057</v>
      </c>
      <c r="AJ177" s="545">
        <f t="shared" si="242"/>
        <v>-72987.959999999846</v>
      </c>
      <c r="AK177" s="545">
        <f t="shared" si="177"/>
        <v>-79265.389999999854</v>
      </c>
      <c r="AL177" s="300">
        <f t="shared" si="194"/>
        <v>282038.25999999995</v>
      </c>
      <c r="AM177" s="449">
        <f t="shared" si="223"/>
        <v>9</v>
      </c>
      <c r="AN177" s="14">
        <f t="shared" si="178"/>
        <v>1196.26</v>
      </c>
      <c r="AO177" s="14">
        <f t="shared" si="261"/>
        <v>222520.03999999995</v>
      </c>
      <c r="AP177" s="14">
        <f t="shared" si="179"/>
        <v>1325.03</v>
      </c>
      <c r="AS177" s="14">
        <f t="shared" si="217"/>
        <v>1196.26</v>
      </c>
      <c r="AT177" s="14">
        <f t="shared" si="224"/>
        <v>141874.37999999983</v>
      </c>
      <c r="AU177" s="300">
        <f t="shared" si="225"/>
        <v>910.92238117341458</v>
      </c>
      <c r="AV177" s="300">
        <f t="shared" si="226"/>
        <v>122131.37485053926</v>
      </c>
    </row>
    <row r="178" spans="1:48" x14ac:dyDescent="0.25">
      <c r="A178" s="535">
        <f t="shared" si="181"/>
        <v>49299</v>
      </c>
      <c r="B178" s="300">
        <f t="shared" si="218"/>
        <v>58617.75</v>
      </c>
      <c r="C178" s="14">
        <f t="shared" si="211"/>
        <v>421.41</v>
      </c>
      <c r="D178" s="14">
        <f t="shared" si="227"/>
        <v>201.59000000000003</v>
      </c>
      <c r="E178" s="14">
        <f t="shared" si="212"/>
        <v>219.82</v>
      </c>
      <c r="F178" s="14">
        <f t="shared" si="170"/>
        <v>134.16999999999999</v>
      </c>
      <c r="G178" s="14">
        <f t="shared" si="167"/>
        <v>188.55</v>
      </c>
      <c r="H178" s="14">
        <f t="shared" si="168"/>
        <v>744.13000000000011</v>
      </c>
      <c r="I178" s="300">
        <f t="shared" si="182"/>
        <v>25065.259999999995</v>
      </c>
      <c r="J178" s="300">
        <f t="shared" si="183"/>
        <v>44357.869999999981</v>
      </c>
      <c r="K178" s="300">
        <f t="shared" si="184"/>
        <v>58416.160000000003</v>
      </c>
      <c r="L178" s="449">
        <f t="shared" si="263"/>
        <v>9</v>
      </c>
      <c r="M178" s="449">
        <f t="shared" si="219"/>
        <v>119</v>
      </c>
      <c r="N178" s="300">
        <f t="shared" si="220"/>
        <v>209050.3000000001</v>
      </c>
      <c r="O178" s="300">
        <f t="shared" si="185"/>
        <v>1617.67</v>
      </c>
      <c r="P178" s="300">
        <f t="shared" si="228"/>
        <v>398.21000000000004</v>
      </c>
      <c r="Q178" s="300">
        <f t="shared" si="186"/>
        <v>1219.46</v>
      </c>
      <c r="R178" s="300">
        <f t="shared" si="173"/>
        <v>134.16999999999999</v>
      </c>
      <c r="S178" s="300">
        <f t="shared" si="174"/>
        <v>188.55</v>
      </c>
      <c r="T178" s="300">
        <f t="shared" si="171"/>
        <v>1940.39</v>
      </c>
      <c r="U178" s="300">
        <f t="shared" si="229"/>
        <v>34496.410000000011</v>
      </c>
      <c r="V178" s="300">
        <f t="shared" si="230"/>
        <v>159623.99000000005</v>
      </c>
      <c r="W178" s="300">
        <f t="shared" si="187"/>
        <v>208652.09000000011</v>
      </c>
      <c r="X178" s="535">
        <f t="shared" si="221"/>
        <v>49299</v>
      </c>
      <c r="Y178" s="300">
        <f t="shared" si="188"/>
        <v>282038.25999999995</v>
      </c>
      <c r="Z178" s="527">
        <f t="shared" si="213"/>
        <v>7.0000000000000007E-2</v>
      </c>
      <c r="AA178" s="300">
        <f t="shared" si="214"/>
        <v>1746.44</v>
      </c>
      <c r="AB178" s="300">
        <f t="shared" si="189"/>
        <v>101.22000000000003</v>
      </c>
      <c r="AC178" s="300">
        <f t="shared" si="215"/>
        <v>1645.22</v>
      </c>
      <c r="AD178" s="300">
        <f t="shared" ref="AD178:AE178" si="267">+AD177</f>
        <v>134.16999999999999</v>
      </c>
      <c r="AE178" s="300">
        <f t="shared" si="267"/>
        <v>188.55</v>
      </c>
      <c r="AF178" s="300">
        <f t="shared" si="191"/>
        <v>2069.1600000000003</v>
      </c>
      <c r="AG178" s="300">
        <f t="shared" si="192"/>
        <v>32987.05999999999</v>
      </c>
      <c r="AH178" s="300">
        <f t="shared" si="193"/>
        <v>167539.53999999995</v>
      </c>
      <c r="AI178" s="545">
        <f t="shared" si="176"/>
        <v>-6406.2000000000062</v>
      </c>
      <c r="AJ178" s="545">
        <f t="shared" si="242"/>
        <v>-73284.949999999866</v>
      </c>
      <c r="AK178" s="545">
        <f t="shared" si="177"/>
        <v>-79691.149999999878</v>
      </c>
      <c r="AL178" s="300">
        <f t="shared" si="194"/>
        <v>281937.03999999998</v>
      </c>
      <c r="AM178" s="449">
        <f t="shared" si="223"/>
        <v>9</v>
      </c>
      <c r="AN178" s="14">
        <f t="shared" si="178"/>
        <v>1196.26</v>
      </c>
      <c r="AO178" s="14">
        <f t="shared" si="261"/>
        <v>222323.41999999995</v>
      </c>
      <c r="AP178" s="14">
        <f t="shared" si="179"/>
        <v>1325.03</v>
      </c>
      <c r="AS178" s="14">
        <f t="shared" si="217"/>
        <v>1196.26</v>
      </c>
      <c r="AT178" s="14">
        <f t="shared" si="224"/>
        <v>143070.63999999984</v>
      </c>
      <c r="AU178" s="300">
        <f t="shared" si="225"/>
        <v>913.19968712634818</v>
      </c>
      <c r="AV178" s="300">
        <f t="shared" si="226"/>
        <v>123044.57453766561</v>
      </c>
    </row>
    <row r="179" spans="1:48" x14ac:dyDescent="0.25">
      <c r="A179" s="535">
        <f t="shared" si="181"/>
        <v>49329</v>
      </c>
      <c r="B179" s="300">
        <f t="shared" si="218"/>
        <v>58416.160000000003</v>
      </c>
      <c r="C179" s="14">
        <f t="shared" si="211"/>
        <v>421.41</v>
      </c>
      <c r="D179" s="14">
        <f t="shared" si="227"/>
        <v>202.35000000000002</v>
      </c>
      <c r="E179" s="14">
        <f t="shared" si="212"/>
        <v>219.06</v>
      </c>
      <c r="F179" s="14">
        <f t="shared" si="170"/>
        <v>134.16999999999999</v>
      </c>
      <c r="G179" s="14">
        <f t="shared" si="167"/>
        <v>188.55</v>
      </c>
      <c r="H179" s="14">
        <f t="shared" si="168"/>
        <v>744.13000000000011</v>
      </c>
      <c r="I179" s="300">
        <f t="shared" si="182"/>
        <v>25267.609999999993</v>
      </c>
      <c r="J179" s="300">
        <f t="shared" si="183"/>
        <v>44576.929999999978</v>
      </c>
      <c r="K179" s="300">
        <f t="shared" si="184"/>
        <v>58213.810000000005</v>
      </c>
      <c r="L179" s="449">
        <f t="shared" si="263"/>
        <v>10</v>
      </c>
      <c r="M179" s="449">
        <f t="shared" si="219"/>
        <v>120</v>
      </c>
      <c r="N179" s="300">
        <f t="shared" si="220"/>
        <v>208652.09000000011</v>
      </c>
      <c r="O179" s="300">
        <f t="shared" si="185"/>
        <v>1617.67</v>
      </c>
      <c r="P179" s="300">
        <f t="shared" si="228"/>
        <v>400.53</v>
      </c>
      <c r="Q179" s="300">
        <f t="shared" si="186"/>
        <v>1217.1400000000001</v>
      </c>
      <c r="R179" s="300">
        <f t="shared" si="173"/>
        <v>134.16999999999999</v>
      </c>
      <c r="S179" s="300">
        <f t="shared" si="174"/>
        <v>188.55</v>
      </c>
      <c r="T179" s="300">
        <f t="shared" si="171"/>
        <v>1940.39</v>
      </c>
      <c r="U179" s="300">
        <f t="shared" si="229"/>
        <v>34896.94000000001</v>
      </c>
      <c r="V179" s="300">
        <f t="shared" si="230"/>
        <v>160841.13000000006</v>
      </c>
      <c r="W179" s="300">
        <f t="shared" si="187"/>
        <v>208251.56000000011</v>
      </c>
      <c r="X179" s="535">
        <f t="shared" si="221"/>
        <v>49329</v>
      </c>
      <c r="Y179" s="300">
        <f t="shared" si="188"/>
        <v>281937.03999999998</v>
      </c>
      <c r="Z179" s="527">
        <f t="shared" si="213"/>
        <v>7.0000000000000007E-2</v>
      </c>
      <c r="AA179" s="300">
        <f t="shared" si="214"/>
        <v>1746.44</v>
      </c>
      <c r="AB179" s="300">
        <f t="shared" si="189"/>
        <v>101.80999999999995</v>
      </c>
      <c r="AC179" s="300">
        <f t="shared" si="215"/>
        <v>1644.63</v>
      </c>
      <c r="AD179" s="300">
        <f t="shared" ref="AD179:AE179" si="268">+AD178</f>
        <v>134.16999999999999</v>
      </c>
      <c r="AE179" s="300">
        <f t="shared" si="268"/>
        <v>188.55</v>
      </c>
      <c r="AF179" s="300">
        <f t="shared" si="191"/>
        <v>2069.1600000000003</v>
      </c>
      <c r="AG179" s="300">
        <f t="shared" si="192"/>
        <v>33088.869999999988</v>
      </c>
      <c r="AH179" s="300">
        <f t="shared" si="193"/>
        <v>169184.16999999995</v>
      </c>
      <c r="AI179" s="545">
        <f t="shared" si="176"/>
        <v>-6534.9700000000066</v>
      </c>
      <c r="AJ179" s="545">
        <f t="shared" si="242"/>
        <v>-73583.669999999867</v>
      </c>
      <c r="AK179" s="545">
        <f t="shared" si="177"/>
        <v>-80118.639999999868</v>
      </c>
      <c r="AL179" s="300">
        <f t="shared" si="194"/>
        <v>281835.23</v>
      </c>
      <c r="AM179" s="449">
        <f t="shared" si="223"/>
        <v>10</v>
      </c>
      <c r="AN179" s="14">
        <f t="shared" si="178"/>
        <v>1196.26</v>
      </c>
      <c r="AO179" s="14">
        <f t="shared" si="261"/>
        <v>222125.23999999996</v>
      </c>
      <c r="AP179" s="14">
        <f t="shared" si="179"/>
        <v>1325.03</v>
      </c>
      <c r="AS179" s="14">
        <f t="shared" si="217"/>
        <v>1196.26</v>
      </c>
      <c r="AT179" s="14">
        <f t="shared" si="224"/>
        <v>144266.89999999985</v>
      </c>
      <c r="AU179" s="300">
        <f t="shared" si="225"/>
        <v>915.48268634416399</v>
      </c>
      <c r="AV179" s="300">
        <f t="shared" si="226"/>
        <v>123960.05722400978</v>
      </c>
    </row>
    <row r="180" spans="1:48" x14ac:dyDescent="0.25">
      <c r="A180" s="535">
        <f t="shared" si="181"/>
        <v>49359</v>
      </c>
      <c r="B180" s="300">
        <f t="shared" si="218"/>
        <v>58213.810000000005</v>
      </c>
      <c r="C180" s="14">
        <f t="shared" si="211"/>
        <v>421.41</v>
      </c>
      <c r="D180" s="14">
        <f t="shared" si="227"/>
        <v>203.11</v>
      </c>
      <c r="E180" s="14">
        <f t="shared" si="212"/>
        <v>218.3</v>
      </c>
      <c r="F180" s="14">
        <f t="shared" si="170"/>
        <v>134.16999999999999</v>
      </c>
      <c r="G180" s="14">
        <f t="shared" si="167"/>
        <v>188.55</v>
      </c>
      <c r="H180" s="14">
        <f t="shared" si="168"/>
        <v>744.13000000000011</v>
      </c>
      <c r="I180" s="300">
        <f t="shared" si="182"/>
        <v>25470.719999999994</v>
      </c>
      <c r="J180" s="300">
        <f t="shared" si="183"/>
        <v>44795.229999999981</v>
      </c>
      <c r="K180" s="300">
        <f t="shared" si="184"/>
        <v>58010.700000000004</v>
      </c>
      <c r="L180" s="449">
        <f t="shared" si="263"/>
        <v>10</v>
      </c>
      <c r="M180" s="449">
        <f t="shared" si="219"/>
        <v>121</v>
      </c>
      <c r="N180" s="300">
        <f t="shared" si="220"/>
        <v>208251.56000000011</v>
      </c>
      <c r="O180" s="300">
        <f t="shared" si="185"/>
        <v>1617.67</v>
      </c>
      <c r="P180" s="300">
        <f t="shared" si="228"/>
        <v>402.87000000000012</v>
      </c>
      <c r="Q180" s="300">
        <f t="shared" si="186"/>
        <v>1214.8</v>
      </c>
      <c r="R180" s="300">
        <f t="shared" si="173"/>
        <v>134.16999999999999</v>
      </c>
      <c r="S180" s="300">
        <f t="shared" si="174"/>
        <v>188.55</v>
      </c>
      <c r="T180" s="300">
        <f t="shared" si="171"/>
        <v>1940.39</v>
      </c>
      <c r="U180" s="300">
        <f t="shared" si="229"/>
        <v>35299.810000000012</v>
      </c>
      <c r="V180" s="300">
        <f t="shared" si="230"/>
        <v>162055.93000000005</v>
      </c>
      <c r="W180" s="300">
        <f t="shared" si="187"/>
        <v>207848.69000000012</v>
      </c>
      <c r="X180" s="535">
        <f t="shared" si="221"/>
        <v>49359</v>
      </c>
      <c r="Y180" s="300">
        <f t="shared" si="188"/>
        <v>281835.23</v>
      </c>
      <c r="Z180" s="527">
        <f t="shared" si="213"/>
        <v>7.0000000000000007E-2</v>
      </c>
      <c r="AA180" s="300">
        <f t="shared" si="214"/>
        <v>1746.44</v>
      </c>
      <c r="AB180" s="300">
        <f t="shared" si="189"/>
        <v>102.40000000000009</v>
      </c>
      <c r="AC180" s="300">
        <f t="shared" si="215"/>
        <v>1644.04</v>
      </c>
      <c r="AD180" s="300">
        <f t="shared" ref="AD180:AE180" si="269">+AD179</f>
        <v>134.16999999999999</v>
      </c>
      <c r="AE180" s="300">
        <f t="shared" si="269"/>
        <v>188.55</v>
      </c>
      <c r="AF180" s="300">
        <f t="shared" si="191"/>
        <v>2069.1600000000003</v>
      </c>
      <c r="AG180" s="300">
        <f t="shared" si="192"/>
        <v>33191.26999999999</v>
      </c>
      <c r="AH180" s="300">
        <f t="shared" si="193"/>
        <v>170828.20999999996</v>
      </c>
      <c r="AI180" s="545">
        <f t="shared" si="176"/>
        <v>-6663.7400000000071</v>
      </c>
      <c r="AJ180" s="545">
        <f t="shared" si="242"/>
        <v>-73884.139999999839</v>
      </c>
      <c r="AK180" s="545">
        <f t="shared" si="177"/>
        <v>-80547.879999999845</v>
      </c>
      <c r="AL180" s="300">
        <f t="shared" si="194"/>
        <v>281732.82999999996</v>
      </c>
      <c r="AM180" s="449">
        <f t="shared" si="223"/>
        <v>10</v>
      </c>
      <c r="AN180" s="14">
        <f t="shared" si="178"/>
        <v>1196.26</v>
      </c>
      <c r="AO180" s="14">
        <f t="shared" si="261"/>
        <v>221925.47999999998</v>
      </c>
      <c r="AP180" s="14">
        <f t="shared" si="179"/>
        <v>1325.03</v>
      </c>
      <c r="AS180" s="14">
        <f t="shared" si="217"/>
        <v>1196.26</v>
      </c>
      <c r="AT180" s="14">
        <f t="shared" si="224"/>
        <v>145463.15999999986</v>
      </c>
      <c r="AU180" s="300">
        <f t="shared" si="225"/>
        <v>917.77139306002437</v>
      </c>
      <c r="AV180" s="300">
        <f t="shared" si="226"/>
        <v>124877.82861706981</v>
      </c>
    </row>
    <row r="181" spans="1:48" x14ac:dyDescent="0.25">
      <c r="A181" s="535">
        <f t="shared" si="181"/>
        <v>49389</v>
      </c>
      <c r="B181" s="300">
        <f t="shared" si="218"/>
        <v>58010.700000000004</v>
      </c>
      <c r="C181" s="14">
        <f t="shared" si="211"/>
        <v>421.41</v>
      </c>
      <c r="D181" s="14">
        <f t="shared" si="227"/>
        <v>203.87000000000003</v>
      </c>
      <c r="E181" s="14">
        <f t="shared" si="212"/>
        <v>217.54</v>
      </c>
      <c r="F181" s="14">
        <f t="shared" si="170"/>
        <v>134.16999999999999</v>
      </c>
      <c r="G181" s="14">
        <f t="shared" si="167"/>
        <v>188.55</v>
      </c>
      <c r="H181" s="14">
        <f t="shared" si="168"/>
        <v>744.13000000000011</v>
      </c>
      <c r="I181" s="300">
        <f t="shared" si="182"/>
        <v>25674.589999999993</v>
      </c>
      <c r="J181" s="300">
        <f t="shared" si="183"/>
        <v>45012.769999999982</v>
      </c>
      <c r="K181" s="300">
        <f t="shared" si="184"/>
        <v>57806.83</v>
      </c>
      <c r="L181" s="449">
        <f t="shared" si="263"/>
        <v>10</v>
      </c>
      <c r="M181" s="449">
        <f t="shared" si="219"/>
        <v>122</v>
      </c>
      <c r="N181" s="300">
        <f t="shared" si="220"/>
        <v>207848.69000000012</v>
      </c>
      <c r="O181" s="300">
        <f t="shared" si="185"/>
        <v>1617.67</v>
      </c>
      <c r="P181" s="300">
        <f t="shared" si="228"/>
        <v>405.22</v>
      </c>
      <c r="Q181" s="300">
        <f t="shared" si="186"/>
        <v>1212.45</v>
      </c>
      <c r="R181" s="300">
        <f t="shared" si="173"/>
        <v>134.16999999999999</v>
      </c>
      <c r="S181" s="300">
        <f t="shared" si="174"/>
        <v>188.55</v>
      </c>
      <c r="T181" s="300">
        <f t="shared" si="171"/>
        <v>1940.39</v>
      </c>
      <c r="U181" s="300">
        <f t="shared" si="229"/>
        <v>35705.030000000013</v>
      </c>
      <c r="V181" s="300">
        <f t="shared" si="230"/>
        <v>163268.38000000006</v>
      </c>
      <c r="W181" s="300">
        <f t="shared" si="187"/>
        <v>207443.47000000012</v>
      </c>
      <c r="X181" s="535">
        <f t="shared" si="221"/>
        <v>49389</v>
      </c>
      <c r="Y181" s="300">
        <f t="shared" si="188"/>
        <v>281732.82999999996</v>
      </c>
      <c r="Z181" s="527">
        <f t="shared" si="213"/>
        <v>7.0000000000000007E-2</v>
      </c>
      <c r="AA181" s="300">
        <f t="shared" si="214"/>
        <v>1746.44</v>
      </c>
      <c r="AB181" s="300">
        <f t="shared" si="189"/>
        <v>103</v>
      </c>
      <c r="AC181" s="300">
        <f t="shared" si="215"/>
        <v>1643.44</v>
      </c>
      <c r="AD181" s="300">
        <f t="shared" ref="AD181:AE181" si="270">+AD180</f>
        <v>134.16999999999999</v>
      </c>
      <c r="AE181" s="300">
        <f t="shared" si="270"/>
        <v>188.55</v>
      </c>
      <c r="AF181" s="300">
        <f t="shared" si="191"/>
        <v>2069.1600000000003</v>
      </c>
      <c r="AG181" s="300">
        <f t="shared" si="192"/>
        <v>33294.26999999999</v>
      </c>
      <c r="AH181" s="300">
        <f t="shared" si="193"/>
        <v>172471.64999999997</v>
      </c>
      <c r="AI181" s="545">
        <f t="shared" si="176"/>
        <v>-6792.5100000000075</v>
      </c>
      <c r="AJ181" s="545">
        <f t="shared" si="242"/>
        <v>-74186.359999999841</v>
      </c>
      <c r="AK181" s="545">
        <f t="shared" si="177"/>
        <v>-80978.86999999985</v>
      </c>
      <c r="AL181" s="300">
        <f t="shared" si="194"/>
        <v>281629.82999999996</v>
      </c>
      <c r="AM181" s="449">
        <f t="shared" si="223"/>
        <v>10</v>
      </c>
      <c r="AN181" s="14">
        <f t="shared" si="178"/>
        <v>1196.26</v>
      </c>
      <c r="AO181" s="14">
        <f t="shared" si="261"/>
        <v>221724.12999999995</v>
      </c>
      <c r="AP181" s="14">
        <f t="shared" si="179"/>
        <v>1325.03</v>
      </c>
      <c r="AS181" s="14">
        <f t="shared" si="217"/>
        <v>1196.26</v>
      </c>
      <c r="AT181" s="14">
        <f t="shared" si="224"/>
        <v>146659.41999999987</v>
      </c>
      <c r="AU181" s="300">
        <f t="shared" si="225"/>
        <v>920.0658215426746</v>
      </c>
      <c r="AV181" s="300">
        <f t="shared" si="226"/>
        <v>125797.89443861249</v>
      </c>
    </row>
    <row r="182" spans="1:48" ht="15.75" thickBot="1" x14ac:dyDescent="0.3">
      <c r="A182" s="538">
        <f t="shared" si="181"/>
        <v>49419</v>
      </c>
      <c r="B182" s="369">
        <f t="shared" si="218"/>
        <v>57806.83</v>
      </c>
      <c r="C182" s="21">
        <f t="shared" si="211"/>
        <v>421.41</v>
      </c>
      <c r="D182" s="21">
        <f t="shared" si="227"/>
        <v>204.63000000000002</v>
      </c>
      <c r="E182" s="21">
        <f t="shared" si="212"/>
        <v>216.78</v>
      </c>
      <c r="F182" s="21">
        <f t="shared" si="170"/>
        <v>134.16999999999999</v>
      </c>
      <c r="G182" s="21">
        <f t="shared" si="167"/>
        <v>188.55</v>
      </c>
      <c r="H182" s="21">
        <f t="shared" si="168"/>
        <v>744.13000000000011</v>
      </c>
      <c r="I182" s="369">
        <f t="shared" si="182"/>
        <v>25879.219999999994</v>
      </c>
      <c r="J182" s="369">
        <f t="shared" si="183"/>
        <v>45229.549999999981</v>
      </c>
      <c r="K182" s="369">
        <f t="shared" si="184"/>
        <v>57602.200000000004</v>
      </c>
      <c r="L182" s="450">
        <f t="shared" si="263"/>
        <v>10</v>
      </c>
      <c r="M182" s="450">
        <f t="shared" si="219"/>
        <v>123</v>
      </c>
      <c r="N182" s="369">
        <f t="shared" si="220"/>
        <v>207443.47000000012</v>
      </c>
      <c r="O182" s="369">
        <f t="shared" si="185"/>
        <v>1617.67</v>
      </c>
      <c r="P182" s="369">
        <f t="shared" si="228"/>
        <v>407.58000000000015</v>
      </c>
      <c r="Q182" s="369">
        <f t="shared" si="186"/>
        <v>1210.0899999999999</v>
      </c>
      <c r="R182" s="369">
        <f t="shared" si="173"/>
        <v>134.16999999999999</v>
      </c>
      <c r="S182" s="369">
        <f t="shared" si="174"/>
        <v>188.55</v>
      </c>
      <c r="T182" s="369">
        <f t="shared" si="171"/>
        <v>1940.39</v>
      </c>
      <c r="U182" s="369">
        <f t="shared" si="229"/>
        <v>36112.610000000015</v>
      </c>
      <c r="V182" s="369">
        <f t="shared" si="230"/>
        <v>164478.47000000006</v>
      </c>
      <c r="W182" s="369">
        <f t="shared" si="187"/>
        <v>207035.89000000013</v>
      </c>
      <c r="X182" s="538">
        <f t="shared" si="221"/>
        <v>49419</v>
      </c>
      <c r="Y182" s="369">
        <f t="shared" si="188"/>
        <v>281629.82999999996</v>
      </c>
      <c r="Z182" s="528">
        <f t="shared" si="213"/>
        <v>7.0000000000000007E-2</v>
      </c>
      <c r="AA182" s="369">
        <f t="shared" si="214"/>
        <v>1746.44</v>
      </c>
      <c r="AB182" s="369">
        <f t="shared" si="189"/>
        <v>103.60000000000014</v>
      </c>
      <c r="AC182" s="369">
        <f t="shared" si="215"/>
        <v>1642.84</v>
      </c>
      <c r="AD182" s="369">
        <f t="shared" ref="AD182:AE182" si="271">+AD181</f>
        <v>134.16999999999999</v>
      </c>
      <c r="AE182" s="369">
        <f t="shared" si="271"/>
        <v>188.55</v>
      </c>
      <c r="AF182" s="369">
        <f t="shared" si="191"/>
        <v>2069.1600000000003</v>
      </c>
      <c r="AG182" s="369">
        <f t="shared" si="192"/>
        <v>33397.869999999988</v>
      </c>
      <c r="AH182" s="369">
        <f t="shared" si="193"/>
        <v>174114.48999999996</v>
      </c>
      <c r="AI182" s="546">
        <f t="shared" si="176"/>
        <v>-6921.2800000000079</v>
      </c>
      <c r="AJ182" s="546">
        <f t="shared" si="242"/>
        <v>-74490.339999999851</v>
      </c>
      <c r="AK182" s="545">
        <f t="shared" si="177"/>
        <v>-81411.619999999864</v>
      </c>
      <c r="AL182" s="369">
        <f t="shared" si="194"/>
        <v>281526.23</v>
      </c>
      <c r="AM182" s="450">
        <f t="shared" si="223"/>
        <v>10</v>
      </c>
      <c r="AN182" s="21">
        <f t="shared" si="178"/>
        <v>1196.26</v>
      </c>
      <c r="AO182" s="21">
        <f t="shared" si="261"/>
        <v>221521.17999999996</v>
      </c>
      <c r="AP182" s="21">
        <f t="shared" si="179"/>
        <v>1325.03</v>
      </c>
      <c r="AQ182" s="21"/>
      <c r="AR182" s="23"/>
      <c r="AS182" s="21">
        <f t="shared" si="217"/>
        <v>1196.26</v>
      </c>
      <c r="AT182" s="21">
        <f t="shared" si="224"/>
        <v>147855.67999999988</v>
      </c>
      <c r="AU182" s="369">
        <f t="shared" si="225"/>
        <v>922.36598609653129</v>
      </c>
      <c r="AV182" s="369">
        <f t="shared" si="226"/>
        <v>126720.26042470902</v>
      </c>
    </row>
    <row r="183" spans="1:48" x14ac:dyDescent="0.25">
      <c r="A183" s="535">
        <f t="shared" si="181"/>
        <v>49449</v>
      </c>
      <c r="B183" s="300">
        <f t="shared" si="218"/>
        <v>57602.200000000004</v>
      </c>
      <c r="C183" s="14">
        <f t="shared" si="211"/>
        <v>421.41</v>
      </c>
      <c r="D183" s="14">
        <f t="shared" si="227"/>
        <v>205.40000000000003</v>
      </c>
      <c r="E183" s="14">
        <f t="shared" si="212"/>
        <v>216.01</v>
      </c>
      <c r="F183" s="14">
        <f t="shared" si="170"/>
        <v>134.16999999999999</v>
      </c>
      <c r="G183" s="14">
        <f t="shared" si="167"/>
        <v>188.55</v>
      </c>
      <c r="H183" s="14">
        <f t="shared" si="168"/>
        <v>744.13000000000011</v>
      </c>
      <c r="I183" s="300">
        <f t="shared" si="182"/>
        <v>26084.619999999995</v>
      </c>
      <c r="J183" s="300">
        <f t="shared" si="183"/>
        <v>45445.559999999983</v>
      </c>
      <c r="K183" s="300">
        <f t="shared" si="184"/>
        <v>57396.800000000003</v>
      </c>
      <c r="L183" s="449">
        <f t="shared" si="263"/>
        <v>10</v>
      </c>
      <c r="M183" s="449">
        <f t="shared" si="219"/>
        <v>124</v>
      </c>
      <c r="N183" s="300">
        <f t="shared" si="220"/>
        <v>207035.89000000013</v>
      </c>
      <c r="O183" s="300">
        <f t="shared" si="185"/>
        <v>1617.67</v>
      </c>
      <c r="P183" s="300">
        <f t="shared" si="228"/>
        <v>409.96000000000004</v>
      </c>
      <c r="Q183" s="300">
        <f t="shared" si="186"/>
        <v>1207.71</v>
      </c>
      <c r="R183" s="300">
        <f t="shared" si="173"/>
        <v>134.16999999999999</v>
      </c>
      <c r="S183" s="300">
        <f t="shared" si="174"/>
        <v>188.55</v>
      </c>
      <c r="T183" s="300">
        <f t="shared" si="171"/>
        <v>1940.39</v>
      </c>
      <c r="U183" s="300">
        <f t="shared" si="229"/>
        <v>36522.570000000014</v>
      </c>
      <c r="V183" s="300">
        <f t="shared" si="230"/>
        <v>165686.18000000005</v>
      </c>
      <c r="W183" s="300">
        <f t="shared" si="187"/>
        <v>206625.93000000014</v>
      </c>
      <c r="X183" s="535">
        <f t="shared" si="221"/>
        <v>49449</v>
      </c>
      <c r="Y183" s="300">
        <f t="shared" si="188"/>
        <v>281526.23</v>
      </c>
      <c r="Z183" s="527">
        <f t="shared" si="213"/>
        <v>7.0000000000000007E-2</v>
      </c>
      <c r="AA183" s="300">
        <f t="shared" si="214"/>
        <v>1746.44</v>
      </c>
      <c r="AB183" s="300">
        <f t="shared" si="189"/>
        <v>104.20000000000005</v>
      </c>
      <c r="AC183" s="300">
        <f t="shared" si="215"/>
        <v>1642.24</v>
      </c>
      <c r="AD183" s="300">
        <f t="shared" ref="AD183:AE183" si="272">+AD182</f>
        <v>134.16999999999999</v>
      </c>
      <c r="AE183" s="300">
        <f t="shared" si="272"/>
        <v>188.55</v>
      </c>
      <c r="AF183" s="300">
        <f t="shared" si="191"/>
        <v>2069.1600000000003</v>
      </c>
      <c r="AG183" s="300">
        <f t="shared" si="192"/>
        <v>33502.069999999985</v>
      </c>
      <c r="AH183" s="300">
        <f t="shared" si="193"/>
        <v>175756.72999999995</v>
      </c>
      <c r="AI183" s="545">
        <f t="shared" si="176"/>
        <v>-7050.0500000000084</v>
      </c>
      <c r="AJ183" s="545">
        <f t="shared" si="242"/>
        <v>-74796.099999999831</v>
      </c>
      <c r="AK183" s="545">
        <f t="shared" si="177"/>
        <v>-81846.149999999834</v>
      </c>
      <c r="AL183" s="300">
        <f t="shared" si="194"/>
        <v>281422.02999999997</v>
      </c>
      <c r="AM183" s="449">
        <f t="shared" si="223"/>
        <v>10</v>
      </c>
      <c r="AN183" s="14">
        <f t="shared" si="178"/>
        <v>1196.26</v>
      </c>
      <c r="AO183" s="14">
        <f t="shared" si="261"/>
        <v>221316.61999999997</v>
      </c>
      <c r="AP183" s="14">
        <f t="shared" si="179"/>
        <v>1325.03</v>
      </c>
      <c r="AS183" s="14">
        <f t="shared" si="217"/>
        <v>1196.26</v>
      </c>
      <c r="AT183" s="14">
        <f t="shared" si="224"/>
        <v>149051.93999999989</v>
      </c>
      <c r="AU183" s="300">
        <f t="shared" si="225"/>
        <v>924.67190106177247</v>
      </c>
      <c r="AV183" s="300">
        <f t="shared" si="226"/>
        <v>127644.93232577079</v>
      </c>
    </row>
    <row r="184" spans="1:48" x14ac:dyDescent="0.25">
      <c r="A184" s="535">
        <f t="shared" si="181"/>
        <v>49479</v>
      </c>
      <c r="B184" s="300">
        <f t="shared" si="218"/>
        <v>57396.800000000003</v>
      </c>
      <c r="C184" s="14">
        <f t="shared" si="211"/>
        <v>421.41</v>
      </c>
      <c r="D184" s="14">
        <f t="shared" si="227"/>
        <v>206.17000000000002</v>
      </c>
      <c r="E184" s="14">
        <f t="shared" si="212"/>
        <v>215.24</v>
      </c>
      <c r="F184" s="14">
        <f t="shared" si="170"/>
        <v>134.16999999999999</v>
      </c>
      <c r="G184" s="14">
        <f t="shared" si="167"/>
        <v>188.55</v>
      </c>
      <c r="H184" s="14">
        <f t="shared" si="168"/>
        <v>744.13000000000011</v>
      </c>
      <c r="I184" s="300">
        <f t="shared" si="182"/>
        <v>26290.789999999994</v>
      </c>
      <c r="J184" s="300">
        <f t="shared" si="183"/>
        <v>45660.799999999981</v>
      </c>
      <c r="K184" s="300">
        <f t="shared" si="184"/>
        <v>57190.630000000005</v>
      </c>
      <c r="L184" s="449">
        <f t="shared" si="263"/>
        <v>10</v>
      </c>
      <c r="M184" s="449">
        <f t="shared" si="219"/>
        <v>125</v>
      </c>
      <c r="N184" s="300">
        <f t="shared" si="220"/>
        <v>206625.93000000014</v>
      </c>
      <c r="O184" s="300">
        <f t="shared" si="185"/>
        <v>1617.67</v>
      </c>
      <c r="P184" s="300">
        <f t="shared" si="228"/>
        <v>412.35000000000014</v>
      </c>
      <c r="Q184" s="300">
        <f t="shared" si="186"/>
        <v>1205.32</v>
      </c>
      <c r="R184" s="300">
        <f t="shared" si="173"/>
        <v>134.16999999999999</v>
      </c>
      <c r="S184" s="300">
        <f t="shared" si="174"/>
        <v>188.55</v>
      </c>
      <c r="T184" s="300">
        <f t="shared" si="171"/>
        <v>1940.39</v>
      </c>
      <c r="U184" s="300">
        <f t="shared" si="229"/>
        <v>36934.920000000013</v>
      </c>
      <c r="V184" s="300">
        <f t="shared" si="230"/>
        <v>166891.50000000006</v>
      </c>
      <c r="W184" s="300">
        <f t="shared" si="187"/>
        <v>206213.58000000013</v>
      </c>
      <c r="X184" s="535">
        <f t="shared" si="221"/>
        <v>49479</v>
      </c>
      <c r="Y184" s="300">
        <f t="shared" si="188"/>
        <v>281422.02999999997</v>
      </c>
      <c r="Z184" s="527">
        <f t="shared" si="213"/>
        <v>7.0000000000000007E-2</v>
      </c>
      <c r="AA184" s="300">
        <f t="shared" si="214"/>
        <v>1746.44</v>
      </c>
      <c r="AB184" s="300">
        <f t="shared" si="189"/>
        <v>104.80999999999995</v>
      </c>
      <c r="AC184" s="300">
        <f t="shared" si="215"/>
        <v>1641.63</v>
      </c>
      <c r="AD184" s="300">
        <f t="shared" ref="AD184:AE184" si="273">+AD183</f>
        <v>134.16999999999999</v>
      </c>
      <c r="AE184" s="300">
        <f t="shared" si="273"/>
        <v>188.55</v>
      </c>
      <c r="AF184" s="300">
        <f t="shared" si="191"/>
        <v>2069.1600000000003</v>
      </c>
      <c r="AG184" s="300">
        <f t="shared" si="192"/>
        <v>33606.879999999983</v>
      </c>
      <c r="AH184" s="300">
        <f t="shared" si="193"/>
        <v>177398.35999999996</v>
      </c>
      <c r="AI184" s="545">
        <f t="shared" si="176"/>
        <v>-7178.8200000000088</v>
      </c>
      <c r="AJ184" s="545">
        <f t="shared" si="242"/>
        <v>-75103.639999999839</v>
      </c>
      <c r="AK184" s="545">
        <f t="shared" si="177"/>
        <v>-82282.459999999846</v>
      </c>
      <c r="AL184" s="300">
        <f t="shared" si="194"/>
        <v>281317.21999999997</v>
      </c>
      <c r="AM184" s="449">
        <f t="shared" si="223"/>
        <v>10</v>
      </c>
      <c r="AN184" s="14">
        <f t="shared" si="178"/>
        <v>1196.26</v>
      </c>
      <c r="AO184" s="14">
        <f t="shared" si="261"/>
        <v>221110.43999999997</v>
      </c>
      <c r="AP184" s="14">
        <f t="shared" si="179"/>
        <v>1325.03</v>
      </c>
      <c r="AS184" s="14">
        <f t="shared" si="217"/>
        <v>1196.26</v>
      </c>
      <c r="AT184" s="14">
        <f t="shared" si="224"/>
        <v>150248.1999999999</v>
      </c>
      <c r="AU184" s="300">
        <f t="shared" si="225"/>
        <v>926.983580814427</v>
      </c>
      <c r="AV184" s="300">
        <f t="shared" si="226"/>
        <v>128571.91590658521</v>
      </c>
    </row>
    <row r="185" spans="1:48" x14ac:dyDescent="0.25">
      <c r="A185" s="535">
        <f t="shared" si="181"/>
        <v>49509</v>
      </c>
      <c r="B185" s="300">
        <f t="shared" si="218"/>
        <v>57190.630000000005</v>
      </c>
      <c r="C185" s="14">
        <f t="shared" si="211"/>
        <v>421.41</v>
      </c>
      <c r="D185" s="14">
        <f t="shared" si="227"/>
        <v>206.95000000000002</v>
      </c>
      <c r="E185" s="14">
        <f t="shared" si="212"/>
        <v>214.46</v>
      </c>
      <c r="F185" s="14">
        <f t="shared" si="170"/>
        <v>134.16999999999999</v>
      </c>
      <c r="G185" s="14">
        <f t="shared" si="167"/>
        <v>188.55</v>
      </c>
      <c r="H185" s="14">
        <f t="shared" si="168"/>
        <v>744.13000000000011</v>
      </c>
      <c r="I185" s="300">
        <f t="shared" si="182"/>
        <v>26497.739999999994</v>
      </c>
      <c r="J185" s="300">
        <f t="shared" si="183"/>
        <v>45875.25999999998</v>
      </c>
      <c r="K185" s="300">
        <f t="shared" si="184"/>
        <v>56983.680000000008</v>
      </c>
      <c r="L185" s="449">
        <f t="shared" si="263"/>
        <v>10</v>
      </c>
      <c r="M185" s="449">
        <f t="shared" si="219"/>
        <v>126</v>
      </c>
      <c r="N185" s="300">
        <f t="shared" si="220"/>
        <v>206213.58000000013</v>
      </c>
      <c r="O185" s="300">
        <f t="shared" si="185"/>
        <v>1617.67</v>
      </c>
      <c r="P185" s="300">
        <f t="shared" si="228"/>
        <v>414.76</v>
      </c>
      <c r="Q185" s="300">
        <f t="shared" si="186"/>
        <v>1202.9100000000001</v>
      </c>
      <c r="R185" s="300">
        <f t="shared" si="173"/>
        <v>134.16999999999999</v>
      </c>
      <c r="S185" s="300">
        <f t="shared" si="174"/>
        <v>188.55</v>
      </c>
      <c r="T185" s="300">
        <f t="shared" si="171"/>
        <v>1940.39</v>
      </c>
      <c r="U185" s="300">
        <f t="shared" si="229"/>
        <v>37349.680000000015</v>
      </c>
      <c r="V185" s="300">
        <f t="shared" si="230"/>
        <v>168094.41000000006</v>
      </c>
      <c r="W185" s="300">
        <f t="shared" si="187"/>
        <v>205798.82000000012</v>
      </c>
      <c r="X185" s="535">
        <f t="shared" si="221"/>
        <v>49509</v>
      </c>
      <c r="Y185" s="300">
        <f t="shared" si="188"/>
        <v>281317.21999999997</v>
      </c>
      <c r="Z185" s="527">
        <f t="shared" si="213"/>
        <v>7.0000000000000007E-2</v>
      </c>
      <c r="AA185" s="300">
        <f t="shared" si="214"/>
        <v>1746.44</v>
      </c>
      <c r="AB185" s="300">
        <f t="shared" si="189"/>
        <v>105.42000000000007</v>
      </c>
      <c r="AC185" s="300">
        <f t="shared" si="215"/>
        <v>1641.02</v>
      </c>
      <c r="AD185" s="300">
        <f t="shared" ref="AD185:AE185" si="274">+AD184</f>
        <v>134.16999999999999</v>
      </c>
      <c r="AE185" s="300">
        <f t="shared" si="274"/>
        <v>188.55</v>
      </c>
      <c r="AF185" s="300">
        <f t="shared" si="191"/>
        <v>2069.1600000000003</v>
      </c>
      <c r="AG185" s="300">
        <f t="shared" si="192"/>
        <v>33712.299999999981</v>
      </c>
      <c r="AH185" s="300">
        <f t="shared" si="193"/>
        <v>179039.37999999995</v>
      </c>
      <c r="AI185" s="545">
        <f t="shared" si="176"/>
        <v>-7307.5900000000092</v>
      </c>
      <c r="AJ185" s="545">
        <f t="shared" si="242"/>
        <v>-75412.979999999865</v>
      </c>
      <c r="AK185" s="545">
        <f t="shared" si="177"/>
        <v>-82720.569999999876</v>
      </c>
      <c r="AL185" s="300">
        <f t="shared" si="194"/>
        <v>281211.8</v>
      </c>
      <c r="AM185" s="449">
        <f t="shared" si="223"/>
        <v>10</v>
      </c>
      <c r="AN185" s="14">
        <f t="shared" si="178"/>
        <v>1196.26</v>
      </c>
      <c r="AO185" s="14">
        <f t="shared" si="261"/>
        <v>220902.62999999995</v>
      </c>
      <c r="AP185" s="14">
        <f t="shared" si="179"/>
        <v>1325.03</v>
      </c>
      <c r="AS185" s="14">
        <f t="shared" si="217"/>
        <v>1196.26</v>
      </c>
      <c r="AT185" s="14">
        <f t="shared" si="224"/>
        <v>151444.4599999999</v>
      </c>
      <c r="AU185" s="300">
        <f t="shared" si="225"/>
        <v>929.30103976646296</v>
      </c>
      <c r="AV185" s="300">
        <f t="shared" si="226"/>
        <v>129501.21694635168</v>
      </c>
    </row>
    <row r="186" spans="1:48" x14ac:dyDescent="0.25">
      <c r="A186" s="535">
        <f t="shared" si="181"/>
        <v>49539</v>
      </c>
      <c r="B186" s="300">
        <f t="shared" si="218"/>
        <v>56983.680000000008</v>
      </c>
      <c r="C186" s="14">
        <f t="shared" si="211"/>
        <v>421.41</v>
      </c>
      <c r="D186" s="14">
        <f t="shared" si="227"/>
        <v>207.72000000000003</v>
      </c>
      <c r="E186" s="14">
        <f t="shared" si="212"/>
        <v>213.69</v>
      </c>
      <c r="F186" s="14">
        <f t="shared" si="170"/>
        <v>134.16999999999999</v>
      </c>
      <c r="G186" s="14">
        <f t="shared" ref="G186:G249" si="275">+G185</f>
        <v>188.55</v>
      </c>
      <c r="H186" s="14">
        <f t="shared" ref="H186:H249" si="276">SUM(D186:G186)</f>
        <v>744.13000000000011</v>
      </c>
      <c r="I186" s="300">
        <f t="shared" si="182"/>
        <v>26705.459999999995</v>
      </c>
      <c r="J186" s="300">
        <f t="shared" si="183"/>
        <v>46088.949999999983</v>
      </c>
      <c r="K186" s="300">
        <f t="shared" si="184"/>
        <v>56775.960000000006</v>
      </c>
      <c r="L186" s="449">
        <f t="shared" si="263"/>
        <v>10</v>
      </c>
      <c r="M186" s="449">
        <f t="shared" si="219"/>
        <v>127</v>
      </c>
      <c r="N186" s="300">
        <f t="shared" si="220"/>
        <v>205798.82000000012</v>
      </c>
      <c r="O186" s="300">
        <f t="shared" si="185"/>
        <v>1617.67</v>
      </c>
      <c r="P186" s="300">
        <f t="shared" si="228"/>
        <v>417.18000000000006</v>
      </c>
      <c r="Q186" s="300">
        <f t="shared" si="186"/>
        <v>1200.49</v>
      </c>
      <c r="R186" s="300">
        <f t="shared" si="173"/>
        <v>134.16999999999999</v>
      </c>
      <c r="S186" s="300">
        <f t="shared" si="174"/>
        <v>188.55</v>
      </c>
      <c r="T186" s="300">
        <f t="shared" si="171"/>
        <v>1940.39</v>
      </c>
      <c r="U186" s="300">
        <f t="shared" si="229"/>
        <v>37766.860000000015</v>
      </c>
      <c r="V186" s="300">
        <f t="shared" si="230"/>
        <v>169294.90000000005</v>
      </c>
      <c r="W186" s="300">
        <f t="shared" si="187"/>
        <v>205381.64000000013</v>
      </c>
      <c r="X186" s="535">
        <f t="shared" si="221"/>
        <v>49539</v>
      </c>
      <c r="Y186" s="300">
        <f t="shared" si="188"/>
        <v>281211.8</v>
      </c>
      <c r="Z186" s="527">
        <f t="shared" si="213"/>
        <v>7.0000000000000007E-2</v>
      </c>
      <c r="AA186" s="300">
        <f t="shared" si="214"/>
        <v>1746.44</v>
      </c>
      <c r="AB186" s="300">
        <f t="shared" si="189"/>
        <v>106.03999999999996</v>
      </c>
      <c r="AC186" s="300">
        <f t="shared" si="215"/>
        <v>1640.4</v>
      </c>
      <c r="AD186" s="300">
        <f t="shared" ref="AD186:AE186" si="277">+AD185</f>
        <v>134.16999999999999</v>
      </c>
      <c r="AE186" s="300">
        <f t="shared" si="277"/>
        <v>188.55</v>
      </c>
      <c r="AF186" s="300">
        <f t="shared" si="191"/>
        <v>2069.1600000000003</v>
      </c>
      <c r="AG186" s="300">
        <f t="shared" si="192"/>
        <v>33818.339999999982</v>
      </c>
      <c r="AH186" s="300">
        <f t="shared" si="193"/>
        <v>180679.77999999994</v>
      </c>
      <c r="AI186" s="545">
        <f t="shared" si="176"/>
        <v>-7436.3600000000097</v>
      </c>
      <c r="AJ186" s="545">
        <f t="shared" si="242"/>
        <v>-75724.119999999879</v>
      </c>
      <c r="AK186" s="545">
        <f t="shared" si="177"/>
        <v>-83160.479999999894</v>
      </c>
      <c r="AL186" s="300">
        <f t="shared" si="194"/>
        <v>281105.76</v>
      </c>
      <c r="AM186" s="449">
        <f t="shared" si="223"/>
        <v>10</v>
      </c>
      <c r="AN186" s="14">
        <f t="shared" si="178"/>
        <v>1196.26</v>
      </c>
      <c r="AO186" s="14">
        <f t="shared" si="261"/>
        <v>220693.16999999995</v>
      </c>
      <c r="AP186" s="14">
        <f t="shared" si="179"/>
        <v>1325.03</v>
      </c>
      <c r="AS186" s="14">
        <f t="shared" si="217"/>
        <v>1196.26</v>
      </c>
      <c r="AT186" s="14">
        <f t="shared" si="224"/>
        <v>152640.71999999991</v>
      </c>
      <c r="AU186" s="300">
        <f t="shared" si="225"/>
        <v>931.62429236587923</v>
      </c>
      <c r="AV186" s="300">
        <f t="shared" si="226"/>
        <v>130432.84123871755</v>
      </c>
    </row>
    <row r="187" spans="1:48" x14ac:dyDescent="0.25">
      <c r="A187" s="535">
        <f t="shared" si="181"/>
        <v>49569</v>
      </c>
      <c r="B187" s="300">
        <f t="shared" si="218"/>
        <v>56775.960000000006</v>
      </c>
      <c r="C187" s="14">
        <f t="shared" si="211"/>
        <v>421.41</v>
      </c>
      <c r="D187" s="14">
        <f t="shared" si="227"/>
        <v>208.50000000000003</v>
      </c>
      <c r="E187" s="14">
        <f t="shared" si="212"/>
        <v>212.91</v>
      </c>
      <c r="F187" s="14">
        <f t="shared" ref="F187:F250" si="278">+F186</f>
        <v>134.16999999999999</v>
      </c>
      <c r="G187" s="14">
        <f t="shared" si="275"/>
        <v>188.55</v>
      </c>
      <c r="H187" s="14">
        <f t="shared" si="276"/>
        <v>744.13000000000011</v>
      </c>
      <c r="I187" s="300">
        <f t="shared" si="182"/>
        <v>26913.959999999995</v>
      </c>
      <c r="J187" s="300">
        <f t="shared" si="183"/>
        <v>46301.859999999986</v>
      </c>
      <c r="K187" s="300">
        <f t="shared" si="184"/>
        <v>56567.460000000006</v>
      </c>
      <c r="L187" s="449">
        <f t="shared" si="263"/>
        <v>10</v>
      </c>
      <c r="M187" s="449">
        <f t="shared" si="219"/>
        <v>128</v>
      </c>
      <c r="N187" s="300">
        <f t="shared" si="220"/>
        <v>205381.64000000013</v>
      </c>
      <c r="O187" s="300">
        <f t="shared" si="185"/>
        <v>1617.67</v>
      </c>
      <c r="P187" s="300">
        <f t="shared" si="228"/>
        <v>419.61000000000013</v>
      </c>
      <c r="Q187" s="300">
        <f t="shared" si="186"/>
        <v>1198.06</v>
      </c>
      <c r="R187" s="300">
        <f t="shared" si="173"/>
        <v>134.16999999999999</v>
      </c>
      <c r="S187" s="300">
        <f t="shared" si="174"/>
        <v>188.55</v>
      </c>
      <c r="T187" s="300">
        <f t="shared" ref="T187:T250" si="279">SUM(P187:S187)</f>
        <v>1940.39</v>
      </c>
      <c r="U187" s="300">
        <f t="shared" si="229"/>
        <v>38186.470000000016</v>
      </c>
      <c r="V187" s="300">
        <f t="shared" si="230"/>
        <v>170492.96000000005</v>
      </c>
      <c r="W187" s="300">
        <f t="shared" si="187"/>
        <v>204962.03000000014</v>
      </c>
      <c r="X187" s="535">
        <f t="shared" si="221"/>
        <v>49569</v>
      </c>
      <c r="Y187" s="300">
        <f t="shared" si="188"/>
        <v>281105.76</v>
      </c>
      <c r="Z187" s="527">
        <f t="shared" si="213"/>
        <v>7.0000000000000007E-2</v>
      </c>
      <c r="AA187" s="300">
        <f t="shared" si="214"/>
        <v>1746.44</v>
      </c>
      <c r="AB187" s="300">
        <f t="shared" si="189"/>
        <v>106.66000000000008</v>
      </c>
      <c r="AC187" s="300">
        <f t="shared" si="215"/>
        <v>1639.78</v>
      </c>
      <c r="AD187" s="300">
        <f t="shared" ref="AD187:AE187" si="280">+AD186</f>
        <v>134.16999999999999</v>
      </c>
      <c r="AE187" s="300">
        <f t="shared" si="280"/>
        <v>188.55</v>
      </c>
      <c r="AF187" s="300">
        <f t="shared" si="191"/>
        <v>2069.1600000000003</v>
      </c>
      <c r="AG187" s="300">
        <f t="shared" si="192"/>
        <v>33924.999999999985</v>
      </c>
      <c r="AH187" s="300">
        <f t="shared" si="193"/>
        <v>182319.55999999994</v>
      </c>
      <c r="AI187" s="545">
        <f t="shared" si="176"/>
        <v>-7565.1300000000101</v>
      </c>
      <c r="AJ187" s="545">
        <f t="shared" si="242"/>
        <v>-76037.069999999891</v>
      </c>
      <c r="AK187" s="545">
        <f t="shared" si="177"/>
        <v>-83602.199999999895</v>
      </c>
      <c r="AL187" s="300">
        <f t="shared" si="194"/>
        <v>280999.10000000003</v>
      </c>
      <c r="AM187" s="449">
        <f t="shared" si="223"/>
        <v>10</v>
      </c>
      <c r="AN187" s="14">
        <f t="shared" si="178"/>
        <v>1196.26</v>
      </c>
      <c r="AO187" s="14">
        <f t="shared" si="261"/>
        <v>220482.05999999994</v>
      </c>
      <c r="AP187" s="14">
        <f t="shared" si="179"/>
        <v>1325.03</v>
      </c>
      <c r="AS187" s="14">
        <f t="shared" si="217"/>
        <v>1196.26</v>
      </c>
      <c r="AT187" s="14">
        <f t="shared" si="224"/>
        <v>153836.97999999992</v>
      </c>
      <c r="AU187" s="300">
        <f t="shared" si="225"/>
        <v>933.95335309679376</v>
      </c>
      <c r="AV187" s="300">
        <f t="shared" si="226"/>
        <v>131366.79459181434</v>
      </c>
    </row>
    <row r="188" spans="1:48" x14ac:dyDescent="0.25">
      <c r="A188" s="535">
        <f t="shared" si="181"/>
        <v>49599</v>
      </c>
      <c r="B188" s="300">
        <f t="shared" si="218"/>
        <v>56567.460000000006</v>
      </c>
      <c r="C188" s="14">
        <f t="shared" si="211"/>
        <v>421.41</v>
      </c>
      <c r="D188" s="14">
        <f t="shared" si="227"/>
        <v>209.28000000000003</v>
      </c>
      <c r="E188" s="14">
        <f t="shared" si="212"/>
        <v>212.13</v>
      </c>
      <c r="F188" s="14">
        <f t="shared" si="278"/>
        <v>134.16999999999999</v>
      </c>
      <c r="G188" s="14">
        <f t="shared" si="275"/>
        <v>188.55</v>
      </c>
      <c r="H188" s="14">
        <f t="shared" si="276"/>
        <v>744.13000000000011</v>
      </c>
      <c r="I188" s="300">
        <f t="shared" si="182"/>
        <v>27123.239999999994</v>
      </c>
      <c r="J188" s="300">
        <f t="shared" si="183"/>
        <v>46513.989999999983</v>
      </c>
      <c r="K188" s="300">
        <f t="shared" si="184"/>
        <v>56358.180000000008</v>
      </c>
      <c r="L188" s="449">
        <f t="shared" si="263"/>
        <v>10</v>
      </c>
      <c r="M188" s="449">
        <f t="shared" si="219"/>
        <v>129</v>
      </c>
      <c r="N188" s="300">
        <f t="shared" si="220"/>
        <v>204962.03000000014</v>
      </c>
      <c r="O188" s="300">
        <f t="shared" si="185"/>
        <v>1617.67</v>
      </c>
      <c r="P188" s="300">
        <f t="shared" si="228"/>
        <v>422.06000000000017</v>
      </c>
      <c r="Q188" s="300">
        <f t="shared" si="186"/>
        <v>1195.6099999999999</v>
      </c>
      <c r="R188" s="300">
        <f t="shared" ref="R188:R251" si="281">+R187</f>
        <v>134.16999999999999</v>
      </c>
      <c r="S188" s="300">
        <f t="shared" ref="S188:S251" si="282">+S187</f>
        <v>188.55</v>
      </c>
      <c r="T188" s="300">
        <f t="shared" si="279"/>
        <v>1940.39</v>
      </c>
      <c r="U188" s="300">
        <f t="shared" si="229"/>
        <v>38608.530000000013</v>
      </c>
      <c r="V188" s="300">
        <f t="shared" si="230"/>
        <v>171688.57000000004</v>
      </c>
      <c r="W188" s="300">
        <f t="shared" si="187"/>
        <v>204539.97000000015</v>
      </c>
      <c r="X188" s="535">
        <f t="shared" si="221"/>
        <v>49599</v>
      </c>
      <c r="Y188" s="300">
        <f t="shared" si="188"/>
        <v>280999.10000000003</v>
      </c>
      <c r="Z188" s="527">
        <f t="shared" si="213"/>
        <v>7.0000000000000007E-2</v>
      </c>
      <c r="AA188" s="300">
        <f t="shared" si="214"/>
        <v>1746.44</v>
      </c>
      <c r="AB188" s="300">
        <f t="shared" si="189"/>
        <v>107.27999999999997</v>
      </c>
      <c r="AC188" s="300">
        <f t="shared" si="215"/>
        <v>1639.16</v>
      </c>
      <c r="AD188" s="300">
        <f t="shared" ref="AD188:AE188" si="283">+AD187</f>
        <v>134.16999999999999</v>
      </c>
      <c r="AE188" s="300">
        <f t="shared" si="283"/>
        <v>188.55</v>
      </c>
      <c r="AF188" s="300">
        <f t="shared" si="191"/>
        <v>2069.1600000000003</v>
      </c>
      <c r="AG188" s="300">
        <f t="shared" si="192"/>
        <v>34032.279999999984</v>
      </c>
      <c r="AH188" s="300">
        <f t="shared" si="193"/>
        <v>183958.71999999994</v>
      </c>
      <c r="AI188" s="545">
        <f t="shared" ref="AI188:AI251" si="284">O188-AA188+AI187</f>
        <v>-7693.9000000000106</v>
      </c>
      <c r="AJ188" s="545">
        <f t="shared" si="242"/>
        <v>-76351.84999999986</v>
      </c>
      <c r="AK188" s="545">
        <f t="shared" ref="AK188:AK251" si="285">SUM(AI188:AJ188)</f>
        <v>-84045.749999999869</v>
      </c>
      <c r="AL188" s="300">
        <f t="shared" si="194"/>
        <v>280891.82</v>
      </c>
      <c r="AM188" s="449">
        <f t="shared" si="223"/>
        <v>10</v>
      </c>
      <c r="AN188" s="14">
        <f t="shared" ref="AN188:AN251" si="286">IF(O188=0,0,+O188-C188)</f>
        <v>1196.26</v>
      </c>
      <c r="AO188" s="14">
        <f t="shared" si="261"/>
        <v>220269.27999999997</v>
      </c>
      <c r="AP188" s="14">
        <f t="shared" ref="AP188:AP251" si="287">IF($O188=0,0,+AA188-$C188)</f>
        <v>1325.03</v>
      </c>
      <c r="AS188" s="14">
        <f t="shared" si="217"/>
        <v>1196.26</v>
      </c>
      <c r="AT188" s="14">
        <f t="shared" si="224"/>
        <v>155033.23999999993</v>
      </c>
      <c r="AU188" s="300">
        <f t="shared" si="225"/>
        <v>936.28823647953584</v>
      </c>
      <c r="AV188" s="300">
        <f t="shared" si="226"/>
        <v>132303.08282829387</v>
      </c>
    </row>
    <row r="189" spans="1:48" x14ac:dyDescent="0.25">
      <c r="A189" s="535">
        <f t="shared" si="181"/>
        <v>49629</v>
      </c>
      <c r="B189" s="300">
        <f t="shared" si="218"/>
        <v>56358.180000000008</v>
      </c>
      <c r="C189" s="14">
        <f t="shared" si="211"/>
        <v>421.41</v>
      </c>
      <c r="D189" s="14">
        <f t="shared" si="227"/>
        <v>210.07000000000002</v>
      </c>
      <c r="E189" s="14">
        <f t="shared" si="212"/>
        <v>211.34</v>
      </c>
      <c r="F189" s="14">
        <f t="shared" si="278"/>
        <v>134.16999999999999</v>
      </c>
      <c r="G189" s="14">
        <f t="shared" si="275"/>
        <v>188.55</v>
      </c>
      <c r="H189" s="14">
        <f t="shared" si="276"/>
        <v>744.13000000000011</v>
      </c>
      <c r="I189" s="300">
        <f t="shared" si="182"/>
        <v>27333.309999999994</v>
      </c>
      <c r="J189" s="300">
        <f t="shared" si="183"/>
        <v>46725.32999999998</v>
      </c>
      <c r="K189" s="300">
        <f t="shared" si="184"/>
        <v>56148.110000000008</v>
      </c>
      <c r="L189" s="449">
        <f t="shared" si="263"/>
        <v>10</v>
      </c>
      <c r="M189" s="449">
        <f t="shared" si="219"/>
        <v>130</v>
      </c>
      <c r="N189" s="300">
        <f t="shared" si="220"/>
        <v>204539.97000000015</v>
      </c>
      <c r="O189" s="300">
        <f t="shared" si="185"/>
        <v>1617.67</v>
      </c>
      <c r="P189" s="300">
        <f t="shared" si="228"/>
        <v>424.52</v>
      </c>
      <c r="Q189" s="300">
        <f t="shared" si="186"/>
        <v>1193.1500000000001</v>
      </c>
      <c r="R189" s="300">
        <f t="shared" si="281"/>
        <v>134.16999999999999</v>
      </c>
      <c r="S189" s="300">
        <f t="shared" si="282"/>
        <v>188.55</v>
      </c>
      <c r="T189" s="300">
        <f t="shared" si="279"/>
        <v>1940.39</v>
      </c>
      <c r="U189" s="300">
        <f t="shared" si="229"/>
        <v>39033.05000000001</v>
      </c>
      <c r="V189" s="300">
        <f t="shared" si="230"/>
        <v>172881.72000000003</v>
      </c>
      <c r="W189" s="300">
        <f t="shared" si="187"/>
        <v>204115.45000000016</v>
      </c>
      <c r="X189" s="535">
        <f t="shared" si="221"/>
        <v>49629</v>
      </c>
      <c r="Y189" s="300">
        <f t="shared" si="188"/>
        <v>280891.82</v>
      </c>
      <c r="Z189" s="527">
        <f t="shared" si="213"/>
        <v>7.0000000000000007E-2</v>
      </c>
      <c r="AA189" s="300">
        <f t="shared" si="214"/>
        <v>1746.44</v>
      </c>
      <c r="AB189" s="300">
        <f t="shared" si="189"/>
        <v>107.90000000000009</v>
      </c>
      <c r="AC189" s="300">
        <f t="shared" si="215"/>
        <v>1638.54</v>
      </c>
      <c r="AD189" s="300">
        <f t="shared" ref="AD189:AE189" si="288">+AD188</f>
        <v>134.16999999999999</v>
      </c>
      <c r="AE189" s="300">
        <f t="shared" si="288"/>
        <v>188.55</v>
      </c>
      <c r="AF189" s="300">
        <f t="shared" si="191"/>
        <v>2069.1600000000003</v>
      </c>
      <c r="AG189" s="300">
        <f t="shared" si="192"/>
        <v>34140.179999999986</v>
      </c>
      <c r="AH189" s="300">
        <f t="shared" si="193"/>
        <v>185597.25999999995</v>
      </c>
      <c r="AI189" s="545">
        <f t="shared" si="284"/>
        <v>-7822.670000000011</v>
      </c>
      <c r="AJ189" s="545">
        <f t="shared" si="242"/>
        <v>-76668.469999999827</v>
      </c>
      <c r="AK189" s="545">
        <f t="shared" si="285"/>
        <v>-84491.139999999839</v>
      </c>
      <c r="AL189" s="300">
        <f t="shared" si="194"/>
        <v>280783.92</v>
      </c>
      <c r="AM189" s="449">
        <f t="shared" si="223"/>
        <v>10</v>
      </c>
      <c r="AN189" s="14">
        <f t="shared" si="286"/>
        <v>1196.26</v>
      </c>
      <c r="AO189" s="14">
        <f t="shared" si="261"/>
        <v>220054.82999999996</v>
      </c>
      <c r="AP189" s="14">
        <f t="shared" si="287"/>
        <v>1325.03</v>
      </c>
      <c r="AS189" s="14">
        <f t="shared" si="217"/>
        <v>1196.26</v>
      </c>
      <c r="AT189" s="14">
        <f t="shared" si="224"/>
        <v>156229.49999999994</v>
      </c>
      <c r="AU189" s="300">
        <f t="shared" si="225"/>
        <v>938.62895707073483</v>
      </c>
      <c r="AV189" s="300">
        <f t="shared" si="226"/>
        <v>133241.71178536461</v>
      </c>
    </row>
    <row r="190" spans="1:48" x14ac:dyDescent="0.25">
      <c r="A190" s="535">
        <f t="shared" ref="A190:A253" si="289">IF(K190&lt;=0," ",+A189+30)</f>
        <v>49659</v>
      </c>
      <c r="B190" s="300">
        <f t="shared" si="218"/>
        <v>56148.110000000008</v>
      </c>
      <c r="C190" s="14">
        <f t="shared" si="211"/>
        <v>421.41</v>
      </c>
      <c r="D190" s="14">
        <f t="shared" si="227"/>
        <v>210.85000000000002</v>
      </c>
      <c r="E190" s="14">
        <f t="shared" si="212"/>
        <v>210.56</v>
      </c>
      <c r="F190" s="14">
        <f t="shared" si="278"/>
        <v>134.16999999999999</v>
      </c>
      <c r="G190" s="14">
        <f t="shared" si="275"/>
        <v>188.55</v>
      </c>
      <c r="H190" s="14">
        <f t="shared" si="276"/>
        <v>744.13000000000011</v>
      </c>
      <c r="I190" s="300">
        <f t="shared" ref="I190:I253" si="290">$D190+$I189</f>
        <v>27544.159999999993</v>
      </c>
      <c r="J190" s="300">
        <f t="shared" ref="J190:J253" si="291">$E190+$J189</f>
        <v>46935.889999999978</v>
      </c>
      <c r="K190" s="300">
        <f t="shared" ref="K190:K253" si="292">+B190-D190</f>
        <v>55937.260000000009</v>
      </c>
      <c r="L190" s="449">
        <f t="shared" si="263"/>
        <v>10</v>
      </c>
      <c r="M190" s="449">
        <f t="shared" si="219"/>
        <v>131</v>
      </c>
      <c r="N190" s="300">
        <f t="shared" si="220"/>
        <v>204115.45000000016</v>
      </c>
      <c r="O190" s="300">
        <f t="shared" ref="O190:O253" si="293">IF($O$9&lt;=A190,IF(+$W189&lt;=0,0,$O$8),0)</f>
        <v>1617.67</v>
      </c>
      <c r="P190" s="300">
        <f t="shared" si="228"/>
        <v>427</v>
      </c>
      <c r="Q190" s="300">
        <f t="shared" ref="Q190:Q253" si="294">IF($O$9&lt;=A190,ROUND(N190*($O$6/12),2),0)</f>
        <v>1190.67</v>
      </c>
      <c r="R190" s="300">
        <f t="shared" si="281"/>
        <v>134.16999999999999</v>
      </c>
      <c r="S190" s="300">
        <f t="shared" si="282"/>
        <v>188.55</v>
      </c>
      <c r="T190" s="300">
        <f t="shared" si="279"/>
        <v>1940.39</v>
      </c>
      <c r="U190" s="300">
        <f t="shared" si="229"/>
        <v>39460.05000000001</v>
      </c>
      <c r="V190" s="300">
        <f t="shared" si="230"/>
        <v>174072.39000000004</v>
      </c>
      <c r="W190" s="300">
        <f t="shared" ref="W190:W253" si="295">+N190-P190</f>
        <v>203688.45000000016</v>
      </c>
      <c r="X190" s="535">
        <f t="shared" si="221"/>
        <v>49659</v>
      </c>
      <c r="Y190" s="300">
        <f t="shared" ref="Y190:Y253" si="296">IF(+AL189&lt;0,0,+AL189)</f>
        <v>280783.92</v>
      </c>
      <c r="Z190" s="527">
        <f t="shared" si="213"/>
        <v>7.0000000000000007E-2</v>
      </c>
      <c r="AA190" s="300">
        <f t="shared" si="214"/>
        <v>1746.44</v>
      </c>
      <c r="AB190" s="300">
        <f t="shared" ref="AB190:AB253" si="297">+AA190-AC190</f>
        <v>108.52999999999997</v>
      </c>
      <c r="AC190" s="300">
        <f t="shared" si="215"/>
        <v>1637.91</v>
      </c>
      <c r="AD190" s="300">
        <f t="shared" ref="AD190:AE190" si="298">+AD189</f>
        <v>134.16999999999999</v>
      </c>
      <c r="AE190" s="300">
        <f t="shared" si="298"/>
        <v>188.55</v>
      </c>
      <c r="AF190" s="300">
        <f t="shared" ref="AF190:AF253" si="299">SUM(AB190:AE190)</f>
        <v>2069.1600000000003</v>
      </c>
      <c r="AG190" s="300">
        <f t="shared" ref="AG190:AG253" si="300">+AB190+AG189</f>
        <v>34248.709999999985</v>
      </c>
      <c r="AH190" s="300">
        <f t="shared" ref="AH190:AH253" si="301">+AH189+AC190</f>
        <v>187235.16999999995</v>
      </c>
      <c r="AI190" s="545">
        <f t="shared" si="284"/>
        <v>-7951.4400000000114</v>
      </c>
      <c r="AJ190" s="545">
        <f t="shared" si="242"/>
        <v>-76986.939999999799</v>
      </c>
      <c r="AK190" s="545">
        <f t="shared" si="285"/>
        <v>-84938.379999999815</v>
      </c>
      <c r="AL190" s="300">
        <f t="shared" ref="AL190:AL253" si="302">+Y190-AB190</f>
        <v>280675.38999999996</v>
      </c>
      <c r="AM190" s="449">
        <f t="shared" si="223"/>
        <v>10</v>
      </c>
      <c r="AN190" s="14">
        <f t="shared" si="286"/>
        <v>1196.26</v>
      </c>
      <c r="AO190" s="14">
        <f t="shared" si="261"/>
        <v>219838.67999999996</v>
      </c>
      <c r="AP190" s="14">
        <f t="shared" si="287"/>
        <v>1325.03</v>
      </c>
      <c r="AS190" s="14">
        <f t="shared" si="217"/>
        <v>1196.26</v>
      </c>
      <c r="AT190" s="14">
        <f t="shared" si="224"/>
        <v>157425.75999999995</v>
      </c>
      <c r="AU190" s="300">
        <f t="shared" si="225"/>
        <v>940.97552946341148</v>
      </c>
      <c r="AV190" s="300">
        <f t="shared" si="226"/>
        <v>134182.68731482801</v>
      </c>
    </row>
    <row r="191" spans="1:48" x14ac:dyDescent="0.25">
      <c r="A191" s="535">
        <f t="shared" si="289"/>
        <v>49689</v>
      </c>
      <c r="B191" s="300">
        <f t="shared" si="218"/>
        <v>55937.260000000009</v>
      </c>
      <c r="C191" s="14">
        <f t="shared" si="211"/>
        <v>421.41</v>
      </c>
      <c r="D191" s="14">
        <f t="shared" si="227"/>
        <v>211.65000000000003</v>
      </c>
      <c r="E191" s="14">
        <f t="shared" si="212"/>
        <v>209.76</v>
      </c>
      <c r="F191" s="14">
        <f t="shared" si="278"/>
        <v>134.16999999999999</v>
      </c>
      <c r="G191" s="14">
        <f t="shared" si="275"/>
        <v>188.55</v>
      </c>
      <c r="H191" s="14">
        <f t="shared" si="276"/>
        <v>744.13000000000011</v>
      </c>
      <c r="I191" s="300">
        <f t="shared" si="290"/>
        <v>27755.809999999994</v>
      </c>
      <c r="J191" s="300">
        <f t="shared" si="291"/>
        <v>47145.64999999998</v>
      </c>
      <c r="K191" s="300">
        <f t="shared" si="292"/>
        <v>55725.610000000008</v>
      </c>
      <c r="L191" s="449">
        <f t="shared" si="263"/>
        <v>11</v>
      </c>
      <c r="M191" s="449">
        <f t="shared" si="219"/>
        <v>132</v>
      </c>
      <c r="N191" s="300">
        <f t="shared" si="220"/>
        <v>203688.45000000016</v>
      </c>
      <c r="O191" s="300">
        <f t="shared" si="293"/>
        <v>1617.67</v>
      </c>
      <c r="P191" s="300">
        <f t="shared" si="228"/>
        <v>429.49</v>
      </c>
      <c r="Q191" s="300">
        <f t="shared" si="294"/>
        <v>1188.18</v>
      </c>
      <c r="R191" s="300">
        <f t="shared" si="281"/>
        <v>134.16999999999999</v>
      </c>
      <c r="S191" s="300">
        <f t="shared" si="282"/>
        <v>188.55</v>
      </c>
      <c r="T191" s="300">
        <f t="shared" si="279"/>
        <v>1940.39</v>
      </c>
      <c r="U191" s="300">
        <f t="shared" si="229"/>
        <v>39889.540000000008</v>
      </c>
      <c r="V191" s="300">
        <f t="shared" si="230"/>
        <v>175260.57000000004</v>
      </c>
      <c r="W191" s="300">
        <f t="shared" si="295"/>
        <v>203258.96000000017</v>
      </c>
      <c r="X191" s="535">
        <f t="shared" si="221"/>
        <v>49689</v>
      </c>
      <c r="Y191" s="300">
        <f t="shared" si="296"/>
        <v>280675.38999999996</v>
      </c>
      <c r="Z191" s="527">
        <f t="shared" si="213"/>
        <v>7.0000000000000007E-2</v>
      </c>
      <c r="AA191" s="300">
        <f t="shared" si="214"/>
        <v>1746.44</v>
      </c>
      <c r="AB191" s="300">
        <f t="shared" si="297"/>
        <v>109.17000000000007</v>
      </c>
      <c r="AC191" s="300">
        <f t="shared" si="215"/>
        <v>1637.27</v>
      </c>
      <c r="AD191" s="300">
        <f t="shared" ref="AD191:AE191" si="303">+AD190</f>
        <v>134.16999999999999</v>
      </c>
      <c r="AE191" s="300">
        <f t="shared" si="303"/>
        <v>188.55</v>
      </c>
      <c r="AF191" s="300">
        <f t="shared" si="299"/>
        <v>2069.1600000000003</v>
      </c>
      <c r="AG191" s="300">
        <f t="shared" si="300"/>
        <v>34357.879999999983</v>
      </c>
      <c r="AH191" s="300">
        <f t="shared" si="301"/>
        <v>188872.43999999994</v>
      </c>
      <c r="AI191" s="545">
        <f t="shared" si="284"/>
        <v>-8080.2100000000119</v>
      </c>
      <c r="AJ191" s="545">
        <f t="shared" si="242"/>
        <v>-77307.259999999806</v>
      </c>
      <c r="AK191" s="545">
        <f t="shared" si="285"/>
        <v>-85387.469999999812</v>
      </c>
      <c r="AL191" s="300">
        <f t="shared" si="302"/>
        <v>280566.21999999997</v>
      </c>
      <c r="AM191" s="449">
        <f t="shared" si="223"/>
        <v>11</v>
      </c>
      <c r="AN191" s="14">
        <f t="shared" si="286"/>
        <v>1196.26</v>
      </c>
      <c r="AO191" s="14">
        <f t="shared" si="261"/>
        <v>219620.83999999997</v>
      </c>
      <c r="AP191" s="14">
        <f t="shared" si="287"/>
        <v>1325.03</v>
      </c>
      <c r="AS191" s="14">
        <f t="shared" si="217"/>
        <v>1196.26</v>
      </c>
      <c r="AT191" s="14">
        <f t="shared" si="224"/>
        <v>158622.01999999996</v>
      </c>
      <c r="AU191" s="300">
        <f t="shared" si="225"/>
        <v>943.32796828707012</v>
      </c>
      <c r="AV191" s="300">
        <f t="shared" si="226"/>
        <v>135126.01528311509</v>
      </c>
    </row>
    <row r="192" spans="1:48" x14ac:dyDescent="0.25">
      <c r="A192" s="535">
        <f t="shared" si="289"/>
        <v>49719</v>
      </c>
      <c r="B192" s="300">
        <f t="shared" si="218"/>
        <v>55725.610000000008</v>
      </c>
      <c r="C192" s="14">
        <f t="shared" si="211"/>
        <v>421.41</v>
      </c>
      <c r="D192" s="14">
        <f t="shared" si="227"/>
        <v>212.44000000000003</v>
      </c>
      <c r="E192" s="14">
        <f t="shared" si="212"/>
        <v>208.97</v>
      </c>
      <c r="F192" s="14">
        <f t="shared" si="278"/>
        <v>134.16999999999999</v>
      </c>
      <c r="G192" s="14">
        <f t="shared" si="275"/>
        <v>188.55</v>
      </c>
      <c r="H192" s="14">
        <f t="shared" si="276"/>
        <v>744.13000000000011</v>
      </c>
      <c r="I192" s="300">
        <f t="shared" si="290"/>
        <v>27968.249999999993</v>
      </c>
      <c r="J192" s="300">
        <f t="shared" si="291"/>
        <v>47354.619999999981</v>
      </c>
      <c r="K192" s="300">
        <f t="shared" si="292"/>
        <v>55513.170000000006</v>
      </c>
      <c r="L192" s="449">
        <f t="shared" si="263"/>
        <v>11</v>
      </c>
      <c r="M192" s="449">
        <f t="shared" si="219"/>
        <v>133</v>
      </c>
      <c r="N192" s="300">
        <f t="shared" si="220"/>
        <v>203258.96000000017</v>
      </c>
      <c r="O192" s="300">
        <f t="shared" si="293"/>
        <v>1617.67</v>
      </c>
      <c r="P192" s="300">
        <f t="shared" si="228"/>
        <v>431.99</v>
      </c>
      <c r="Q192" s="300">
        <f t="shared" si="294"/>
        <v>1185.68</v>
      </c>
      <c r="R192" s="300">
        <f t="shared" si="281"/>
        <v>134.16999999999999</v>
      </c>
      <c r="S192" s="300">
        <f t="shared" si="282"/>
        <v>188.55</v>
      </c>
      <c r="T192" s="300">
        <f t="shared" si="279"/>
        <v>1940.39</v>
      </c>
      <c r="U192" s="300">
        <f t="shared" si="229"/>
        <v>40321.530000000006</v>
      </c>
      <c r="V192" s="300">
        <f t="shared" si="230"/>
        <v>176446.25000000003</v>
      </c>
      <c r="W192" s="300">
        <f t="shared" si="295"/>
        <v>202826.97000000018</v>
      </c>
      <c r="X192" s="535">
        <f t="shared" si="221"/>
        <v>49719</v>
      </c>
      <c r="Y192" s="300">
        <f t="shared" si="296"/>
        <v>280566.21999999997</v>
      </c>
      <c r="Z192" s="527">
        <f t="shared" si="213"/>
        <v>7.0000000000000007E-2</v>
      </c>
      <c r="AA192" s="300">
        <f t="shared" si="214"/>
        <v>1746.44</v>
      </c>
      <c r="AB192" s="300">
        <f t="shared" si="297"/>
        <v>109.79999999999995</v>
      </c>
      <c r="AC192" s="300">
        <f t="shared" si="215"/>
        <v>1636.64</v>
      </c>
      <c r="AD192" s="300">
        <f t="shared" ref="AD192:AE192" si="304">+AD191</f>
        <v>134.16999999999999</v>
      </c>
      <c r="AE192" s="300">
        <f t="shared" si="304"/>
        <v>188.55</v>
      </c>
      <c r="AF192" s="300">
        <f t="shared" si="299"/>
        <v>2069.1600000000003</v>
      </c>
      <c r="AG192" s="300">
        <f t="shared" si="300"/>
        <v>34467.679999999986</v>
      </c>
      <c r="AH192" s="300">
        <f t="shared" si="301"/>
        <v>190509.07999999996</v>
      </c>
      <c r="AI192" s="545">
        <f t="shared" si="284"/>
        <v>-8208.9800000000123</v>
      </c>
      <c r="AJ192" s="545">
        <f t="shared" si="242"/>
        <v>-77629.449999999808</v>
      </c>
      <c r="AK192" s="545">
        <f t="shared" si="285"/>
        <v>-85838.429999999818</v>
      </c>
      <c r="AL192" s="300">
        <f t="shared" si="302"/>
        <v>280456.42</v>
      </c>
      <c r="AM192" s="449">
        <f t="shared" si="223"/>
        <v>11</v>
      </c>
      <c r="AN192" s="14">
        <f t="shared" si="286"/>
        <v>1196.26</v>
      </c>
      <c r="AO192" s="14">
        <f t="shared" si="261"/>
        <v>219401.28999999998</v>
      </c>
      <c r="AP192" s="14">
        <f t="shared" si="287"/>
        <v>1325.03</v>
      </c>
      <c r="AS192" s="14">
        <f t="shared" si="217"/>
        <v>1196.26</v>
      </c>
      <c r="AT192" s="14">
        <f t="shared" si="224"/>
        <v>159818.27999999997</v>
      </c>
      <c r="AU192" s="300">
        <f t="shared" si="225"/>
        <v>945.6862882077877</v>
      </c>
      <c r="AV192" s="300">
        <f t="shared" si="226"/>
        <v>136071.70157132289</v>
      </c>
    </row>
    <row r="193" spans="1:48" x14ac:dyDescent="0.25">
      <c r="A193" s="535">
        <f t="shared" si="289"/>
        <v>49749</v>
      </c>
      <c r="B193" s="300">
        <f t="shared" si="218"/>
        <v>55513.170000000006</v>
      </c>
      <c r="C193" s="14">
        <f t="shared" si="211"/>
        <v>421.41</v>
      </c>
      <c r="D193" s="14">
        <f t="shared" si="227"/>
        <v>213.24000000000004</v>
      </c>
      <c r="E193" s="14">
        <f t="shared" si="212"/>
        <v>208.17</v>
      </c>
      <c r="F193" s="14">
        <f t="shared" si="278"/>
        <v>134.16999999999999</v>
      </c>
      <c r="G193" s="14">
        <f t="shared" si="275"/>
        <v>188.55</v>
      </c>
      <c r="H193" s="14">
        <f t="shared" si="276"/>
        <v>744.13000000000011</v>
      </c>
      <c r="I193" s="300">
        <f t="shared" si="290"/>
        <v>28181.489999999994</v>
      </c>
      <c r="J193" s="300">
        <f t="shared" si="291"/>
        <v>47562.789999999979</v>
      </c>
      <c r="K193" s="300">
        <f t="shared" si="292"/>
        <v>55299.930000000008</v>
      </c>
      <c r="L193" s="449">
        <f t="shared" si="263"/>
        <v>11</v>
      </c>
      <c r="M193" s="449">
        <f t="shared" si="219"/>
        <v>134</v>
      </c>
      <c r="N193" s="300">
        <f t="shared" si="220"/>
        <v>202826.97000000018</v>
      </c>
      <c r="O193" s="300">
        <f t="shared" si="293"/>
        <v>1617.67</v>
      </c>
      <c r="P193" s="300">
        <f t="shared" si="228"/>
        <v>434.51</v>
      </c>
      <c r="Q193" s="300">
        <f t="shared" si="294"/>
        <v>1183.1600000000001</v>
      </c>
      <c r="R193" s="300">
        <f t="shared" si="281"/>
        <v>134.16999999999999</v>
      </c>
      <c r="S193" s="300">
        <f t="shared" si="282"/>
        <v>188.55</v>
      </c>
      <c r="T193" s="300">
        <f t="shared" si="279"/>
        <v>1940.39</v>
      </c>
      <c r="U193" s="300">
        <f t="shared" si="229"/>
        <v>40756.040000000008</v>
      </c>
      <c r="V193" s="300">
        <f t="shared" si="230"/>
        <v>177629.41000000003</v>
      </c>
      <c r="W193" s="300">
        <f t="shared" si="295"/>
        <v>202392.46000000017</v>
      </c>
      <c r="X193" s="535">
        <f t="shared" si="221"/>
        <v>49749</v>
      </c>
      <c r="Y193" s="300">
        <f t="shared" si="296"/>
        <v>280456.42</v>
      </c>
      <c r="Z193" s="527">
        <f t="shared" si="213"/>
        <v>7.0000000000000007E-2</v>
      </c>
      <c r="AA193" s="300">
        <f t="shared" si="214"/>
        <v>1746.44</v>
      </c>
      <c r="AB193" s="300">
        <f t="shared" si="297"/>
        <v>110.44000000000005</v>
      </c>
      <c r="AC193" s="300">
        <f t="shared" si="215"/>
        <v>1636</v>
      </c>
      <c r="AD193" s="300">
        <f t="shared" ref="AD193:AE193" si="305">+AD192</f>
        <v>134.16999999999999</v>
      </c>
      <c r="AE193" s="300">
        <f t="shared" si="305"/>
        <v>188.55</v>
      </c>
      <c r="AF193" s="300">
        <f t="shared" si="299"/>
        <v>2069.1600000000003</v>
      </c>
      <c r="AG193" s="300">
        <f t="shared" si="300"/>
        <v>34578.119999999988</v>
      </c>
      <c r="AH193" s="300">
        <f t="shared" si="301"/>
        <v>192145.07999999996</v>
      </c>
      <c r="AI193" s="545">
        <f t="shared" si="284"/>
        <v>-8337.7500000000127</v>
      </c>
      <c r="AJ193" s="545">
        <f t="shared" si="242"/>
        <v>-77953.519999999815</v>
      </c>
      <c r="AK193" s="545">
        <f t="shared" si="285"/>
        <v>-86291.269999999829</v>
      </c>
      <c r="AL193" s="300">
        <f t="shared" si="302"/>
        <v>280345.98</v>
      </c>
      <c r="AM193" s="449">
        <f t="shared" si="223"/>
        <v>11</v>
      </c>
      <c r="AN193" s="14">
        <f t="shared" si="286"/>
        <v>1196.26</v>
      </c>
      <c r="AO193" s="14">
        <f t="shared" si="261"/>
        <v>219180.01999999996</v>
      </c>
      <c r="AP193" s="14">
        <f t="shared" si="287"/>
        <v>1325.03</v>
      </c>
      <c r="AS193" s="14">
        <f t="shared" si="217"/>
        <v>1196.26</v>
      </c>
      <c r="AT193" s="14">
        <f t="shared" si="224"/>
        <v>161014.53999999998</v>
      </c>
      <c r="AU193" s="300">
        <f t="shared" si="225"/>
        <v>948.05050392830708</v>
      </c>
      <c r="AV193" s="300">
        <f t="shared" si="226"/>
        <v>137019.75207525119</v>
      </c>
    </row>
    <row r="194" spans="1:48" ht="15.75" thickBot="1" x14ac:dyDescent="0.3">
      <c r="A194" s="538">
        <f t="shared" si="289"/>
        <v>49779</v>
      </c>
      <c r="B194" s="369">
        <f t="shared" si="218"/>
        <v>55299.930000000008</v>
      </c>
      <c r="C194" s="21">
        <f t="shared" si="211"/>
        <v>421.41</v>
      </c>
      <c r="D194" s="21">
        <f t="shared" si="227"/>
        <v>214.04000000000002</v>
      </c>
      <c r="E194" s="21">
        <f t="shared" si="212"/>
        <v>207.37</v>
      </c>
      <c r="F194" s="21">
        <f t="shared" si="278"/>
        <v>134.16999999999999</v>
      </c>
      <c r="G194" s="21">
        <f t="shared" si="275"/>
        <v>188.55</v>
      </c>
      <c r="H194" s="21">
        <f t="shared" si="276"/>
        <v>744.13000000000011</v>
      </c>
      <c r="I194" s="369">
        <f t="shared" si="290"/>
        <v>28395.529999999995</v>
      </c>
      <c r="J194" s="369">
        <f t="shared" si="291"/>
        <v>47770.159999999982</v>
      </c>
      <c r="K194" s="369">
        <f t="shared" si="292"/>
        <v>55085.890000000007</v>
      </c>
      <c r="L194" s="450">
        <f t="shared" si="263"/>
        <v>11</v>
      </c>
      <c r="M194" s="450">
        <f t="shared" si="219"/>
        <v>135</v>
      </c>
      <c r="N194" s="369">
        <f t="shared" si="220"/>
        <v>202392.46000000017</v>
      </c>
      <c r="O194" s="369">
        <f t="shared" si="293"/>
        <v>1617.67</v>
      </c>
      <c r="P194" s="369">
        <f t="shared" si="228"/>
        <v>437.05000000000018</v>
      </c>
      <c r="Q194" s="369">
        <f t="shared" si="294"/>
        <v>1180.6199999999999</v>
      </c>
      <c r="R194" s="369">
        <f t="shared" si="281"/>
        <v>134.16999999999999</v>
      </c>
      <c r="S194" s="369">
        <f t="shared" si="282"/>
        <v>188.55</v>
      </c>
      <c r="T194" s="369">
        <f t="shared" si="279"/>
        <v>1940.39</v>
      </c>
      <c r="U194" s="369">
        <f t="shared" si="229"/>
        <v>41193.090000000011</v>
      </c>
      <c r="V194" s="369">
        <f t="shared" si="230"/>
        <v>178810.03000000003</v>
      </c>
      <c r="W194" s="369">
        <f t="shared" si="295"/>
        <v>201955.41000000018</v>
      </c>
      <c r="X194" s="538">
        <f t="shared" si="221"/>
        <v>49779</v>
      </c>
      <c r="Y194" s="369">
        <f t="shared" si="296"/>
        <v>280345.98</v>
      </c>
      <c r="Z194" s="528">
        <f t="shared" si="213"/>
        <v>7.0000000000000007E-2</v>
      </c>
      <c r="AA194" s="369">
        <f t="shared" si="214"/>
        <v>1746.44</v>
      </c>
      <c r="AB194" s="369">
        <f t="shared" si="297"/>
        <v>111.09000000000015</v>
      </c>
      <c r="AC194" s="369">
        <f t="shared" si="215"/>
        <v>1635.35</v>
      </c>
      <c r="AD194" s="369">
        <f t="shared" ref="AD194:AE194" si="306">+AD193</f>
        <v>134.16999999999999</v>
      </c>
      <c r="AE194" s="369">
        <f t="shared" si="306"/>
        <v>188.55</v>
      </c>
      <c r="AF194" s="369">
        <f t="shared" si="299"/>
        <v>2069.1600000000003</v>
      </c>
      <c r="AG194" s="369">
        <f t="shared" si="300"/>
        <v>34689.209999999992</v>
      </c>
      <c r="AH194" s="369">
        <f t="shared" si="301"/>
        <v>193780.42999999996</v>
      </c>
      <c r="AI194" s="546">
        <f t="shared" si="284"/>
        <v>-8466.5200000000132</v>
      </c>
      <c r="AJ194" s="546">
        <f t="shared" si="242"/>
        <v>-78279.479999999778</v>
      </c>
      <c r="AK194" s="545">
        <f t="shared" si="285"/>
        <v>-86745.999999999796</v>
      </c>
      <c r="AL194" s="369">
        <f t="shared" si="302"/>
        <v>280234.88999999996</v>
      </c>
      <c r="AM194" s="450">
        <f t="shared" si="223"/>
        <v>11</v>
      </c>
      <c r="AN194" s="21">
        <f t="shared" si="286"/>
        <v>1196.26</v>
      </c>
      <c r="AO194" s="21">
        <f t="shared" si="261"/>
        <v>218957.00999999995</v>
      </c>
      <c r="AP194" s="21">
        <f t="shared" si="287"/>
        <v>1325.03</v>
      </c>
      <c r="AQ194" s="21"/>
      <c r="AR194" s="23"/>
      <c r="AS194" s="21">
        <f t="shared" si="217"/>
        <v>1196.26</v>
      </c>
      <c r="AT194" s="21">
        <f t="shared" si="224"/>
        <v>162210.79999999999</v>
      </c>
      <c r="AU194" s="369">
        <f t="shared" si="225"/>
        <v>950.42063018812803</v>
      </c>
      <c r="AV194" s="369">
        <f t="shared" si="226"/>
        <v>137970.17270543933</v>
      </c>
    </row>
    <row r="195" spans="1:48" x14ac:dyDescent="0.25">
      <c r="A195" s="535">
        <f t="shared" si="289"/>
        <v>49809</v>
      </c>
      <c r="B195" s="300">
        <f t="shared" si="218"/>
        <v>55085.890000000007</v>
      </c>
      <c r="C195" s="14">
        <f t="shared" si="211"/>
        <v>421.41</v>
      </c>
      <c r="D195" s="14">
        <f t="shared" si="227"/>
        <v>214.84000000000003</v>
      </c>
      <c r="E195" s="14">
        <f t="shared" si="212"/>
        <v>206.57</v>
      </c>
      <c r="F195" s="14">
        <f t="shared" si="278"/>
        <v>134.16999999999999</v>
      </c>
      <c r="G195" s="14">
        <f t="shared" si="275"/>
        <v>188.55</v>
      </c>
      <c r="H195" s="14">
        <f t="shared" si="276"/>
        <v>744.13000000000011</v>
      </c>
      <c r="I195" s="300">
        <f t="shared" si="290"/>
        <v>28610.369999999995</v>
      </c>
      <c r="J195" s="300">
        <f t="shared" si="291"/>
        <v>47976.729999999981</v>
      </c>
      <c r="K195" s="300">
        <f t="shared" si="292"/>
        <v>54871.05000000001</v>
      </c>
      <c r="L195" s="449">
        <f t="shared" si="263"/>
        <v>11</v>
      </c>
      <c r="M195" s="449">
        <f t="shared" si="219"/>
        <v>136</v>
      </c>
      <c r="N195" s="300">
        <f t="shared" si="220"/>
        <v>201955.41000000018</v>
      </c>
      <c r="O195" s="300">
        <f t="shared" si="293"/>
        <v>1617.67</v>
      </c>
      <c r="P195" s="300">
        <f t="shared" si="228"/>
        <v>439.60000000000014</v>
      </c>
      <c r="Q195" s="300">
        <f t="shared" si="294"/>
        <v>1178.07</v>
      </c>
      <c r="R195" s="300">
        <f t="shared" si="281"/>
        <v>134.16999999999999</v>
      </c>
      <c r="S195" s="300">
        <f t="shared" si="282"/>
        <v>188.55</v>
      </c>
      <c r="T195" s="300">
        <f t="shared" si="279"/>
        <v>1940.39</v>
      </c>
      <c r="U195" s="300">
        <f t="shared" si="229"/>
        <v>41632.69000000001</v>
      </c>
      <c r="V195" s="300">
        <f t="shared" si="230"/>
        <v>179988.10000000003</v>
      </c>
      <c r="W195" s="300">
        <f t="shared" si="295"/>
        <v>201515.81000000017</v>
      </c>
      <c r="X195" s="535">
        <f t="shared" si="221"/>
        <v>49809</v>
      </c>
      <c r="Y195" s="300">
        <f t="shared" si="296"/>
        <v>280234.88999999996</v>
      </c>
      <c r="Z195" s="527">
        <f t="shared" si="213"/>
        <v>7.0000000000000007E-2</v>
      </c>
      <c r="AA195" s="300">
        <f t="shared" si="214"/>
        <v>1746.44</v>
      </c>
      <c r="AB195" s="300">
        <f t="shared" si="297"/>
        <v>111.74000000000001</v>
      </c>
      <c r="AC195" s="300">
        <f t="shared" si="215"/>
        <v>1634.7</v>
      </c>
      <c r="AD195" s="300">
        <f t="shared" ref="AD195:AE195" si="307">+AD194</f>
        <v>134.16999999999999</v>
      </c>
      <c r="AE195" s="300">
        <f t="shared" si="307"/>
        <v>188.55</v>
      </c>
      <c r="AF195" s="300">
        <f t="shared" si="299"/>
        <v>2069.1600000000003</v>
      </c>
      <c r="AG195" s="300">
        <f t="shared" si="300"/>
        <v>34800.94999999999</v>
      </c>
      <c r="AH195" s="300">
        <f t="shared" si="301"/>
        <v>195415.12999999998</v>
      </c>
      <c r="AI195" s="545">
        <f t="shared" si="284"/>
        <v>-8595.2900000000136</v>
      </c>
      <c r="AJ195" s="545">
        <f t="shared" si="242"/>
        <v>-78607.339999999793</v>
      </c>
      <c r="AK195" s="545">
        <f t="shared" si="285"/>
        <v>-87202.629999999801</v>
      </c>
      <c r="AL195" s="300">
        <f t="shared" si="302"/>
        <v>280123.14999999997</v>
      </c>
      <c r="AM195" s="449">
        <f t="shared" si="223"/>
        <v>11</v>
      </c>
      <c r="AN195" s="14">
        <f t="shared" si="286"/>
        <v>1196.26</v>
      </c>
      <c r="AO195" s="14">
        <f t="shared" si="261"/>
        <v>218732.24999999997</v>
      </c>
      <c r="AP195" s="14">
        <f t="shared" si="287"/>
        <v>1325.03</v>
      </c>
      <c r="AS195" s="14">
        <f t="shared" si="217"/>
        <v>1196.26</v>
      </c>
      <c r="AT195" s="14">
        <f t="shared" si="224"/>
        <v>163407.06</v>
      </c>
      <c r="AU195" s="300">
        <f t="shared" si="225"/>
        <v>952.79668176359826</v>
      </c>
      <c r="AV195" s="300">
        <f t="shared" si="226"/>
        <v>138922.96938720293</v>
      </c>
    </row>
    <row r="196" spans="1:48" x14ac:dyDescent="0.25">
      <c r="A196" s="535">
        <f t="shared" si="289"/>
        <v>49839</v>
      </c>
      <c r="B196" s="300">
        <f t="shared" si="218"/>
        <v>54871.05000000001</v>
      </c>
      <c r="C196" s="14">
        <f t="shared" si="211"/>
        <v>421.41</v>
      </c>
      <c r="D196" s="14">
        <f t="shared" si="227"/>
        <v>215.64000000000001</v>
      </c>
      <c r="E196" s="14">
        <f t="shared" si="212"/>
        <v>205.77</v>
      </c>
      <c r="F196" s="14">
        <f t="shared" si="278"/>
        <v>134.16999999999999</v>
      </c>
      <c r="G196" s="14">
        <f t="shared" si="275"/>
        <v>188.55</v>
      </c>
      <c r="H196" s="14">
        <f t="shared" si="276"/>
        <v>744.13000000000011</v>
      </c>
      <c r="I196" s="300">
        <f t="shared" si="290"/>
        <v>28826.009999999995</v>
      </c>
      <c r="J196" s="300">
        <f t="shared" si="291"/>
        <v>48182.499999999978</v>
      </c>
      <c r="K196" s="300">
        <f t="shared" si="292"/>
        <v>54655.410000000011</v>
      </c>
      <c r="L196" s="449">
        <f t="shared" si="263"/>
        <v>11</v>
      </c>
      <c r="M196" s="449">
        <f t="shared" si="219"/>
        <v>137</v>
      </c>
      <c r="N196" s="300">
        <f t="shared" si="220"/>
        <v>201515.81000000017</v>
      </c>
      <c r="O196" s="300">
        <f t="shared" si="293"/>
        <v>1617.67</v>
      </c>
      <c r="P196" s="300">
        <f t="shared" si="228"/>
        <v>442.16000000000008</v>
      </c>
      <c r="Q196" s="300">
        <f t="shared" si="294"/>
        <v>1175.51</v>
      </c>
      <c r="R196" s="300">
        <f t="shared" si="281"/>
        <v>134.16999999999999</v>
      </c>
      <c r="S196" s="300">
        <f t="shared" si="282"/>
        <v>188.55</v>
      </c>
      <c r="T196" s="300">
        <f t="shared" si="279"/>
        <v>1940.39</v>
      </c>
      <c r="U196" s="300">
        <f t="shared" si="229"/>
        <v>42074.850000000013</v>
      </c>
      <c r="V196" s="300">
        <f t="shared" si="230"/>
        <v>181163.61000000004</v>
      </c>
      <c r="W196" s="300">
        <f t="shared" si="295"/>
        <v>201073.65000000017</v>
      </c>
      <c r="X196" s="535">
        <f t="shared" si="221"/>
        <v>49839</v>
      </c>
      <c r="Y196" s="300">
        <f t="shared" si="296"/>
        <v>280123.14999999997</v>
      </c>
      <c r="Z196" s="527">
        <f t="shared" si="213"/>
        <v>7.0000000000000007E-2</v>
      </c>
      <c r="AA196" s="300">
        <f t="shared" si="214"/>
        <v>1746.44</v>
      </c>
      <c r="AB196" s="300">
        <f t="shared" si="297"/>
        <v>112.3900000000001</v>
      </c>
      <c r="AC196" s="300">
        <f t="shared" si="215"/>
        <v>1634.05</v>
      </c>
      <c r="AD196" s="300">
        <f t="shared" ref="AD196:AE196" si="308">+AD195</f>
        <v>134.16999999999999</v>
      </c>
      <c r="AE196" s="300">
        <f t="shared" si="308"/>
        <v>188.55</v>
      </c>
      <c r="AF196" s="300">
        <f t="shared" si="299"/>
        <v>2069.1600000000003</v>
      </c>
      <c r="AG196" s="300">
        <f t="shared" si="300"/>
        <v>34913.339999999989</v>
      </c>
      <c r="AH196" s="300">
        <f t="shared" si="301"/>
        <v>197049.17999999996</v>
      </c>
      <c r="AI196" s="545">
        <f t="shared" si="284"/>
        <v>-8724.060000000014</v>
      </c>
      <c r="AJ196" s="545">
        <f t="shared" si="242"/>
        <v>-78937.109999999782</v>
      </c>
      <c r="AK196" s="545">
        <f t="shared" si="285"/>
        <v>-87661.169999999795</v>
      </c>
      <c r="AL196" s="300">
        <f t="shared" si="302"/>
        <v>280010.75999999995</v>
      </c>
      <c r="AM196" s="449">
        <f t="shared" si="223"/>
        <v>11</v>
      </c>
      <c r="AN196" s="14">
        <f t="shared" si="286"/>
        <v>1196.26</v>
      </c>
      <c r="AO196" s="14">
        <f t="shared" si="261"/>
        <v>218505.72999999995</v>
      </c>
      <c r="AP196" s="14">
        <f t="shared" si="287"/>
        <v>1325.03</v>
      </c>
      <c r="AS196" s="14">
        <f t="shared" si="217"/>
        <v>1196.26</v>
      </c>
      <c r="AT196" s="14">
        <f t="shared" si="224"/>
        <v>164603.32</v>
      </c>
      <c r="AU196" s="300">
        <f t="shared" si="225"/>
        <v>955.17867346800722</v>
      </c>
      <c r="AV196" s="300">
        <f t="shared" si="226"/>
        <v>139878.14806067094</v>
      </c>
    </row>
    <row r="197" spans="1:48" x14ac:dyDescent="0.25">
      <c r="A197" s="535">
        <f t="shared" si="289"/>
        <v>49869</v>
      </c>
      <c r="B197" s="300">
        <f t="shared" si="218"/>
        <v>54655.410000000011</v>
      </c>
      <c r="C197" s="14">
        <f t="shared" si="211"/>
        <v>421.41</v>
      </c>
      <c r="D197" s="14">
        <f t="shared" si="227"/>
        <v>216.45000000000002</v>
      </c>
      <c r="E197" s="14">
        <f t="shared" si="212"/>
        <v>204.96</v>
      </c>
      <c r="F197" s="14">
        <f t="shared" si="278"/>
        <v>134.16999999999999</v>
      </c>
      <c r="G197" s="14">
        <f t="shared" si="275"/>
        <v>188.55</v>
      </c>
      <c r="H197" s="14">
        <f t="shared" si="276"/>
        <v>744.13000000000011</v>
      </c>
      <c r="I197" s="300">
        <f t="shared" si="290"/>
        <v>29042.459999999995</v>
      </c>
      <c r="J197" s="300">
        <f t="shared" si="291"/>
        <v>48387.459999999977</v>
      </c>
      <c r="K197" s="300">
        <f t="shared" si="292"/>
        <v>54438.960000000014</v>
      </c>
      <c r="L197" s="449">
        <f t="shared" si="263"/>
        <v>11</v>
      </c>
      <c r="M197" s="449">
        <f t="shared" si="219"/>
        <v>138</v>
      </c>
      <c r="N197" s="300">
        <f t="shared" si="220"/>
        <v>201073.65000000017</v>
      </c>
      <c r="O197" s="300">
        <f t="shared" si="293"/>
        <v>1617.67</v>
      </c>
      <c r="P197" s="300">
        <f t="shared" si="228"/>
        <v>444.74</v>
      </c>
      <c r="Q197" s="300">
        <f t="shared" si="294"/>
        <v>1172.93</v>
      </c>
      <c r="R197" s="300">
        <f t="shared" si="281"/>
        <v>134.16999999999999</v>
      </c>
      <c r="S197" s="300">
        <f t="shared" si="282"/>
        <v>188.55</v>
      </c>
      <c r="T197" s="300">
        <f t="shared" si="279"/>
        <v>1940.39</v>
      </c>
      <c r="U197" s="300">
        <f t="shared" si="229"/>
        <v>42519.590000000011</v>
      </c>
      <c r="V197" s="300">
        <f t="shared" si="230"/>
        <v>182336.54000000004</v>
      </c>
      <c r="W197" s="300">
        <f t="shared" si="295"/>
        <v>200628.91000000018</v>
      </c>
      <c r="X197" s="535">
        <f t="shared" si="221"/>
        <v>49869</v>
      </c>
      <c r="Y197" s="300">
        <f t="shared" si="296"/>
        <v>280010.75999999995</v>
      </c>
      <c r="Z197" s="527">
        <f t="shared" si="213"/>
        <v>7.0000000000000007E-2</v>
      </c>
      <c r="AA197" s="300">
        <f t="shared" si="214"/>
        <v>1746.44</v>
      </c>
      <c r="AB197" s="300">
        <f t="shared" si="297"/>
        <v>113.03999999999996</v>
      </c>
      <c r="AC197" s="300">
        <f t="shared" si="215"/>
        <v>1633.4</v>
      </c>
      <c r="AD197" s="300">
        <f t="shared" ref="AD197:AE197" si="309">+AD196</f>
        <v>134.16999999999999</v>
      </c>
      <c r="AE197" s="300">
        <f t="shared" si="309"/>
        <v>188.55</v>
      </c>
      <c r="AF197" s="300">
        <f t="shared" si="299"/>
        <v>2069.1600000000003</v>
      </c>
      <c r="AG197" s="300">
        <f t="shared" si="300"/>
        <v>35026.37999999999</v>
      </c>
      <c r="AH197" s="300">
        <f t="shared" si="301"/>
        <v>198682.57999999996</v>
      </c>
      <c r="AI197" s="545">
        <f t="shared" si="284"/>
        <v>-8852.8300000000145</v>
      </c>
      <c r="AJ197" s="545">
        <f t="shared" si="242"/>
        <v>-79268.809999999794</v>
      </c>
      <c r="AK197" s="545">
        <f t="shared" si="285"/>
        <v>-88121.63999999981</v>
      </c>
      <c r="AL197" s="300">
        <f t="shared" si="302"/>
        <v>279897.71999999997</v>
      </c>
      <c r="AM197" s="449">
        <f t="shared" si="223"/>
        <v>11</v>
      </c>
      <c r="AN197" s="14">
        <f t="shared" si="286"/>
        <v>1196.26</v>
      </c>
      <c r="AO197" s="14">
        <f t="shared" si="261"/>
        <v>218277.43999999994</v>
      </c>
      <c r="AP197" s="14">
        <f t="shared" si="287"/>
        <v>1325.03</v>
      </c>
      <c r="AS197" s="14">
        <f t="shared" si="217"/>
        <v>1196.26</v>
      </c>
      <c r="AT197" s="14">
        <f t="shared" si="224"/>
        <v>165799.58000000002</v>
      </c>
      <c r="AU197" s="300">
        <f t="shared" si="225"/>
        <v>957.56662015167728</v>
      </c>
      <c r="AV197" s="300">
        <f t="shared" si="226"/>
        <v>140835.71468082262</v>
      </c>
    </row>
    <row r="198" spans="1:48" x14ac:dyDescent="0.25">
      <c r="A198" s="535">
        <f t="shared" si="289"/>
        <v>49899</v>
      </c>
      <c r="B198" s="300">
        <f t="shared" si="218"/>
        <v>54438.960000000014</v>
      </c>
      <c r="C198" s="14">
        <f t="shared" si="211"/>
        <v>421.41</v>
      </c>
      <c r="D198" s="14">
        <f t="shared" si="227"/>
        <v>217.26000000000002</v>
      </c>
      <c r="E198" s="14">
        <f t="shared" si="212"/>
        <v>204.15</v>
      </c>
      <c r="F198" s="14">
        <f t="shared" si="278"/>
        <v>134.16999999999999</v>
      </c>
      <c r="G198" s="14">
        <f t="shared" si="275"/>
        <v>188.55</v>
      </c>
      <c r="H198" s="14">
        <f t="shared" si="276"/>
        <v>744.13000000000011</v>
      </c>
      <c r="I198" s="300">
        <f t="shared" si="290"/>
        <v>29259.719999999994</v>
      </c>
      <c r="J198" s="300">
        <f t="shared" si="291"/>
        <v>48591.609999999979</v>
      </c>
      <c r="K198" s="300">
        <f t="shared" si="292"/>
        <v>54221.700000000012</v>
      </c>
      <c r="L198" s="449">
        <f t="shared" si="263"/>
        <v>11</v>
      </c>
      <c r="M198" s="449">
        <f t="shared" si="219"/>
        <v>139</v>
      </c>
      <c r="N198" s="300">
        <f t="shared" si="220"/>
        <v>200628.91000000018</v>
      </c>
      <c r="O198" s="300">
        <f t="shared" si="293"/>
        <v>1617.67</v>
      </c>
      <c r="P198" s="300">
        <f t="shared" si="228"/>
        <v>447.33000000000015</v>
      </c>
      <c r="Q198" s="300">
        <f t="shared" si="294"/>
        <v>1170.3399999999999</v>
      </c>
      <c r="R198" s="300">
        <f t="shared" si="281"/>
        <v>134.16999999999999</v>
      </c>
      <c r="S198" s="300">
        <f t="shared" si="282"/>
        <v>188.55</v>
      </c>
      <c r="T198" s="300">
        <f t="shared" si="279"/>
        <v>1940.39</v>
      </c>
      <c r="U198" s="300">
        <f t="shared" si="229"/>
        <v>42966.920000000013</v>
      </c>
      <c r="V198" s="300">
        <f t="shared" si="230"/>
        <v>183506.88000000003</v>
      </c>
      <c r="W198" s="300">
        <f t="shared" si="295"/>
        <v>200181.58000000019</v>
      </c>
      <c r="X198" s="535">
        <f t="shared" si="221"/>
        <v>49899</v>
      </c>
      <c r="Y198" s="300">
        <f t="shared" si="296"/>
        <v>279897.71999999997</v>
      </c>
      <c r="Z198" s="527">
        <f t="shared" si="213"/>
        <v>7.0000000000000007E-2</v>
      </c>
      <c r="AA198" s="300">
        <f t="shared" si="214"/>
        <v>1746.44</v>
      </c>
      <c r="AB198" s="300">
        <f t="shared" si="297"/>
        <v>113.70000000000005</v>
      </c>
      <c r="AC198" s="300">
        <f t="shared" si="215"/>
        <v>1632.74</v>
      </c>
      <c r="AD198" s="300">
        <f t="shared" ref="AD198:AE198" si="310">+AD197</f>
        <v>134.16999999999999</v>
      </c>
      <c r="AE198" s="300">
        <f t="shared" si="310"/>
        <v>188.55</v>
      </c>
      <c r="AF198" s="300">
        <f t="shared" si="299"/>
        <v>2069.1600000000003</v>
      </c>
      <c r="AG198" s="300">
        <f t="shared" si="300"/>
        <v>35140.079999999987</v>
      </c>
      <c r="AH198" s="300">
        <f t="shared" si="301"/>
        <v>200315.31999999995</v>
      </c>
      <c r="AI198" s="545">
        <f t="shared" si="284"/>
        <v>-8981.6000000000149</v>
      </c>
      <c r="AJ198" s="545">
        <f t="shared" si="242"/>
        <v>-79602.439999999769</v>
      </c>
      <c r="AK198" s="545">
        <f t="shared" si="285"/>
        <v>-88584.03999999979</v>
      </c>
      <c r="AL198" s="300">
        <f t="shared" si="302"/>
        <v>279784.01999999996</v>
      </c>
      <c r="AM198" s="449">
        <f t="shared" si="223"/>
        <v>11</v>
      </c>
      <c r="AN198" s="14">
        <f t="shared" si="286"/>
        <v>1196.26</v>
      </c>
      <c r="AO198" s="14">
        <f t="shared" si="261"/>
        <v>218047.36999999997</v>
      </c>
      <c r="AP198" s="14">
        <f t="shared" si="287"/>
        <v>1325.03</v>
      </c>
      <c r="AS198" s="14">
        <f t="shared" si="217"/>
        <v>1196.26</v>
      </c>
      <c r="AT198" s="14">
        <f t="shared" si="224"/>
        <v>166995.84000000003</v>
      </c>
      <c r="AU198" s="300">
        <f t="shared" si="225"/>
        <v>959.96053670205663</v>
      </c>
      <c r="AV198" s="300">
        <f t="shared" si="226"/>
        <v>141795.67521752469</v>
      </c>
    </row>
    <row r="199" spans="1:48" x14ac:dyDescent="0.25">
      <c r="A199" s="535">
        <f t="shared" si="289"/>
        <v>49929</v>
      </c>
      <c r="B199" s="300">
        <f t="shared" si="218"/>
        <v>54221.700000000012</v>
      </c>
      <c r="C199" s="14">
        <f t="shared" si="211"/>
        <v>421.41</v>
      </c>
      <c r="D199" s="14">
        <f t="shared" si="227"/>
        <v>218.08</v>
      </c>
      <c r="E199" s="14">
        <f t="shared" si="212"/>
        <v>203.33</v>
      </c>
      <c r="F199" s="14">
        <f t="shared" si="278"/>
        <v>134.16999999999999</v>
      </c>
      <c r="G199" s="14">
        <f t="shared" si="275"/>
        <v>188.55</v>
      </c>
      <c r="H199" s="14">
        <f t="shared" si="276"/>
        <v>744.13000000000011</v>
      </c>
      <c r="I199" s="300">
        <f t="shared" si="290"/>
        <v>29477.799999999996</v>
      </c>
      <c r="J199" s="300">
        <f t="shared" si="291"/>
        <v>48794.939999999981</v>
      </c>
      <c r="K199" s="300">
        <f t="shared" si="292"/>
        <v>54003.62000000001</v>
      </c>
      <c r="L199" s="449">
        <f t="shared" si="263"/>
        <v>11</v>
      </c>
      <c r="M199" s="449">
        <f t="shared" si="219"/>
        <v>140</v>
      </c>
      <c r="N199" s="300">
        <f t="shared" si="220"/>
        <v>200181.58000000019</v>
      </c>
      <c r="O199" s="300">
        <f t="shared" si="293"/>
        <v>1617.67</v>
      </c>
      <c r="P199" s="300">
        <f t="shared" si="228"/>
        <v>449.94000000000005</v>
      </c>
      <c r="Q199" s="300">
        <f t="shared" si="294"/>
        <v>1167.73</v>
      </c>
      <c r="R199" s="300">
        <f t="shared" si="281"/>
        <v>134.16999999999999</v>
      </c>
      <c r="S199" s="300">
        <f t="shared" si="282"/>
        <v>188.55</v>
      </c>
      <c r="T199" s="300">
        <f t="shared" si="279"/>
        <v>1940.39</v>
      </c>
      <c r="U199" s="300">
        <f t="shared" si="229"/>
        <v>43416.860000000015</v>
      </c>
      <c r="V199" s="300">
        <f t="shared" si="230"/>
        <v>184674.61000000004</v>
      </c>
      <c r="W199" s="300">
        <f t="shared" si="295"/>
        <v>199731.64000000019</v>
      </c>
      <c r="X199" s="535">
        <f t="shared" si="221"/>
        <v>49929</v>
      </c>
      <c r="Y199" s="300">
        <f t="shared" si="296"/>
        <v>279784.01999999996</v>
      </c>
      <c r="Z199" s="527">
        <f t="shared" si="213"/>
        <v>7.0000000000000007E-2</v>
      </c>
      <c r="AA199" s="300">
        <f t="shared" si="214"/>
        <v>1746.44</v>
      </c>
      <c r="AB199" s="300">
        <f t="shared" si="297"/>
        <v>114.37000000000012</v>
      </c>
      <c r="AC199" s="300">
        <f t="shared" si="215"/>
        <v>1632.07</v>
      </c>
      <c r="AD199" s="300">
        <f t="shared" ref="AD199:AE199" si="311">+AD198</f>
        <v>134.16999999999999</v>
      </c>
      <c r="AE199" s="300">
        <f t="shared" si="311"/>
        <v>188.55</v>
      </c>
      <c r="AF199" s="300">
        <f t="shared" si="299"/>
        <v>2069.1600000000003</v>
      </c>
      <c r="AG199" s="300">
        <f t="shared" si="300"/>
        <v>35254.44999999999</v>
      </c>
      <c r="AH199" s="300">
        <f t="shared" si="301"/>
        <v>201947.38999999996</v>
      </c>
      <c r="AI199" s="545">
        <f t="shared" si="284"/>
        <v>-9110.3700000000154</v>
      </c>
      <c r="AJ199" s="545">
        <f t="shared" si="242"/>
        <v>-79938.009999999776</v>
      </c>
      <c r="AK199" s="545">
        <f t="shared" si="285"/>
        <v>-89048.379999999786</v>
      </c>
      <c r="AL199" s="300">
        <f t="shared" si="302"/>
        <v>279669.64999999997</v>
      </c>
      <c r="AM199" s="449">
        <f t="shared" si="223"/>
        <v>11</v>
      </c>
      <c r="AN199" s="14">
        <f t="shared" si="286"/>
        <v>1196.26</v>
      </c>
      <c r="AO199" s="14">
        <f t="shared" si="261"/>
        <v>217815.50999999995</v>
      </c>
      <c r="AP199" s="14">
        <f t="shared" si="287"/>
        <v>1325.03</v>
      </c>
      <c r="AS199" s="14">
        <f t="shared" si="217"/>
        <v>1196.26</v>
      </c>
      <c r="AT199" s="14">
        <f t="shared" si="224"/>
        <v>168192.10000000003</v>
      </c>
      <c r="AU199" s="300">
        <f t="shared" si="225"/>
        <v>962.36043804381177</v>
      </c>
      <c r="AV199" s="300">
        <f t="shared" si="226"/>
        <v>142758.0356555685</v>
      </c>
    </row>
    <row r="200" spans="1:48" x14ac:dyDescent="0.25">
      <c r="A200" s="535">
        <f t="shared" si="289"/>
        <v>49959</v>
      </c>
      <c r="B200" s="300">
        <f t="shared" si="218"/>
        <v>54003.62000000001</v>
      </c>
      <c r="C200" s="14">
        <f t="shared" si="211"/>
        <v>421.41</v>
      </c>
      <c r="D200" s="14">
        <f t="shared" si="227"/>
        <v>218.90000000000003</v>
      </c>
      <c r="E200" s="14">
        <f t="shared" si="212"/>
        <v>202.51</v>
      </c>
      <c r="F200" s="14">
        <f t="shared" si="278"/>
        <v>134.16999999999999</v>
      </c>
      <c r="G200" s="14">
        <f t="shared" si="275"/>
        <v>188.55</v>
      </c>
      <c r="H200" s="14">
        <f t="shared" si="276"/>
        <v>744.13000000000011</v>
      </c>
      <c r="I200" s="300">
        <f t="shared" si="290"/>
        <v>29696.699999999997</v>
      </c>
      <c r="J200" s="300">
        <f t="shared" si="291"/>
        <v>48997.449999999983</v>
      </c>
      <c r="K200" s="300">
        <f t="shared" si="292"/>
        <v>53784.720000000008</v>
      </c>
      <c r="L200" s="449">
        <f t="shared" si="263"/>
        <v>11</v>
      </c>
      <c r="M200" s="449">
        <f t="shared" si="219"/>
        <v>141</v>
      </c>
      <c r="N200" s="300">
        <f t="shared" si="220"/>
        <v>199731.64000000019</v>
      </c>
      <c r="O200" s="300">
        <f t="shared" si="293"/>
        <v>1617.67</v>
      </c>
      <c r="P200" s="300">
        <f t="shared" si="228"/>
        <v>452.57000000000016</v>
      </c>
      <c r="Q200" s="300">
        <f t="shared" si="294"/>
        <v>1165.0999999999999</v>
      </c>
      <c r="R200" s="300">
        <f t="shared" si="281"/>
        <v>134.16999999999999</v>
      </c>
      <c r="S200" s="300">
        <f t="shared" si="282"/>
        <v>188.55</v>
      </c>
      <c r="T200" s="300">
        <f t="shared" si="279"/>
        <v>1940.39</v>
      </c>
      <c r="U200" s="300">
        <f t="shared" si="229"/>
        <v>43869.430000000015</v>
      </c>
      <c r="V200" s="300">
        <f t="shared" si="230"/>
        <v>185839.71000000005</v>
      </c>
      <c r="W200" s="300">
        <f t="shared" si="295"/>
        <v>199279.07000000018</v>
      </c>
      <c r="X200" s="535">
        <f t="shared" si="221"/>
        <v>49959</v>
      </c>
      <c r="Y200" s="300">
        <f t="shared" si="296"/>
        <v>279669.64999999997</v>
      </c>
      <c r="Z200" s="527">
        <f t="shared" si="213"/>
        <v>7.0000000000000007E-2</v>
      </c>
      <c r="AA200" s="300">
        <f t="shared" si="214"/>
        <v>1746.44</v>
      </c>
      <c r="AB200" s="300">
        <f t="shared" si="297"/>
        <v>115.02999999999997</v>
      </c>
      <c r="AC200" s="300">
        <f t="shared" si="215"/>
        <v>1631.41</v>
      </c>
      <c r="AD200" s="300">
        <f t="shared" ref="AD200:AE200" si="312">+AD199</f>
        <v>134.16999999999999</v>
      </c>
      <c r="AE200" s="300">
        <f t="shared" si="312"/>
        <v>188.55</v>
      </c>
      <c r="AF200" s="300">
        <f t="shared" si="299"/>
        <v>2069.1600000000003</v>
      </c>
      <c r="AG200" s="300">
        <f t="shared" si="300"/>
        <v>35369.479999999989</v>
      </c>
      <c r="AH200" s="300">
        <f t="shared" si="301"/>
        <v>203578.79999999996</v>
      </c>
      <c r="AI200" s="545">
        <f t="shared" si="284"/>
        <v>-9239.1400000000158</v>
      </c>
      <c r="AJ200" s="545">
        <f t="shared" si="242"/>
        <v>-80275.549999999756</v>
      </c>
      <c r="AK200" s="545">
        <f t="shared" si="285"/>
        <v>-89514.689999999769</v>
      </c>
      <c r="AL200" s="300">
        <f t="shared" si="302"/>
        <v>279554.61999999994</v>
      </c>
      <c r="AM200" s="449">
        <f t="shared" si="223"/>
        <v>11</v>
      </c>
      <c r="AN200" s="14">
        <f t="shared" si="286"/>
        <v>1196.26</v>
      </c>
      <c r="AO200" s="14">
        <f t="shared" si="261"/>
        <v>217581.83999999994</v>
      </c>
      <c r="AP200" s="14">
        <f t="shared" si="287"/>
        <v>1325.03</v>
      </c>
      <c r="AS200" s="14">
        <f t="shared" si="217"/>
        <v>1196.26</v>
      </c>
      <c r="AT200" s="14">
        <f t="shared" si="224"/>
        <v>169388.36000000004</v>
      </c>
      <c r="AU200" s="300">
        <f t="shared" si="225"/>
        <v>964.76633913892113</v>
      </c>
      <c r="AV200" s="300">
        <f t="shared" si="226"/>
        <v>143722.80199470741</v>
      </c>
    </row>
    <row r="201" spans="1:48" x14ac:dyDescent="0.25">
      <c r="A201" s="535">
        <f t="shared" si="289"/>
        <v>49989</v>
      </c>
      <c r="B201" s="300">
        <f t="shared" si="218"/>
        <v>53784.720000000008</v>
      </c>
      <c r="C201" s="14">
        <f t="shared" si="211"/>
        <v>421.41</v>
      </c>
      <c r="D201" s="14">
        <f t="shared" si="227"/>
        <v>219.72000000000003</v>
      </c>
      <c r="E201" s="14">
        <f t="shared" si="212"/>
        <v>201.69</v>
      </c>
      <c r="F201" s="14">
        <f t="shared" si="278"/>
        <v>134.16999999999999</v>
      </c>
      <c r="G201" s="14">
        <f t="shared" si="275"/>
        <v>188.55</v>
      </c>
      <c r="H201" s="14">
        <f t="shared" si="276"/>
        <v>744.13000000000011</v>
      </c>
      <c r="I201" s="300">
        <f t="shared" si="290"/>
        <v>29916.42</v>
      </c>
      <c r="J201" s="300">
        <f t="shared" si="291"/>
        <v>49199.139999999985</v>
      </c>
      <c r="K201" s="300">
        <f t="shared" si="292"/>
        <v>53565.000000000007</v>
      </c>
      <c r="L201" s="449">
        <f t="shared" si="263"/>
        <v>11</v>
      </c>
      <c r="M201" s="449">
        <f t="shared" si="219"/>
        <v>142</v>
      </c>
      <c r="N201" s="300">
        <f t="shared" si="220"/>
        <v>199279.07000000018</v>
      </c>
      <c r="O201" s="300">
        <f t="shared" si="293"/>
        <v>1617.67</v>
      </c>
      <c r="P201" s="300">
        <f t="shared" si="228"/>
        <v>455.21000000000004</v>
      </c>
      <c r="Q201" s="300">
        <f t="shared" si="294"/>
        <v>1162.46</v>
      </c>
      <c r="R201" s="300">
        <f t="shared" si="281"/>
        <v>134.16999999999999</v>
      </c>
      <c r="S201" s="300">
        <f t="shared" si="282"/>
        <v>188.55</v>
      </c>
      <c r="T201" s="300">
        <f t="shared" si="279"/>
        <v>1940.39</v>
      </c>
      <c r="U201" s="300">
        <f t="shared" si="229"/>
        <v>44324.640000000014</v>
      </c>
      <c r="V201" s="300">
        <f t="shared" si="230"/>
        <v>187002.17000000004</v>
      </c>
      <c r="W201" s="300">
        <f t="shared" si="295"/>
        <v>198823.86000000019</v>
      </c>
      <c r="X201" s="535">
        <f t="shared" si="221"/>
        <v>49989</v>
      </c>
      <c r="Y201" s="300">
        <f t="shared" si="296"/>
        <v>279554.61999999994</v>
      </c>
      <c r="Z201" s="527">
        <f t="shared" si="213"/>
        <v>7.0000000000000007E-2</v>
      </c>
      <c r="AA201" s="300">
        <f t="shared" si="214"/>
        <v>1746.44</v>
      </c>
      <c r="AB201" s="300">
        <f t="shared" si="297"/>
        <v>115.70000000000005</v>
      </c>
      <c r="AC201" s="300">
        <f t="shared" si="215"/>
        <v>1630.74</v>
      </c>
      <c r="AD201" s="300">
        <f t="shared" ref="AD201:AE201" si="313">+AD200</f>
        <v>134.16999999999999</v>
      </c>
      <c r="AE201" s="300">
        <f t="shared" si="313"/>
        <v>188.55</v>
      </c>
      <c r="AF201" s="300">
        <f t="shared" si="299"/>
        <v>2069.1600000000003</v>
      </c>
      <c r="AG201" s="300">
        <f t="shared" si="300"/>
        <v>35485.179999999986</v>
      </c>
      <c r="AH201" s="300">
        <f t="shared" si="301"/>
        <v>205209.53999999995</v>
      </c>
      <c r="AI201" s="545">
        <f t="shared" si="284"/>
        <v>-9367.9100000000162</v>
      </c>
      <c r="AJ201" s="545">
        <f t="shared" si="242"/>
        <v>-80615.059999999736</v>
      </c>
      <c r="AK201" s="545">
        <f t="shared" si="285"/>
        <v>-89982.969999999754</v>
      </c>
      <c r="AL201" s="300">
        <f t="shared" si="302"/>
        <v>279438.91999999993</v>
      </c>
      <c r="AM201" s="449">
        <f t="shared" si="223"/>
        <v>11</v>
      </c>
      <c r="AN201" s="14">
        <f t="shared" si="286"/>
        <v>1196.26</v>
      </c>
      <c r="AO201" s="14">
        <f t="shared" si="261"/>
        <v>217346.34999999998</v>
      </c>
      <c r="AP201" s="14">
        <f t="shared" si="287"/>
        <v>1325.03</v>
      </c>
      <c r="AS201" s="14">
        <f t="shared" si="217"/>
        <v>1196.26</v>
      </c>
      <c r="AT201" s="14">
        <f t="shared" si="224"/>
        <v>170584.62000000005</v>
      </c>
      <c r="AU201" s="300">
        <f t="shared" si="225"/>
        <v>967.17825498676848</v>
      </c>
      <c r="AV201" s="300">
        <f t="shared" si="226"/>
        <v>144689.98024969417</v>
      </c>
    </row>
    <row r="202" spans="1:48" x14ac:dyDescent="0.25">
      <c r="A202" s="535">
        <f t="shared" si="289"/>
        <v>50019</v>
      </c>
      <c r="B202" s="300">
        <f t="shared" si="218"/>
        <v>53565.000000000007</v>
      </c>
      <c r="C202" s="14">
        <f t="shared" si="211"/>
        <v>421.41</v>
      </c>
      <c r="D202" s="14">
        <f t="shared" si="227"/>
        <v>220.54000000000002</v>
      </c>
      <c r="E202" s="14">
        <f t="shared" si="212"/>
        <v>200.87</v>
      </c>
      <c r="F202" s="14">
        <f t="shared" si="278"/>
        <v>134.16999999999999</v>
      </c>
      <c r="G202" s="14">
        <f t="shared" si="275"/>
        <v>188.55</v>
      </c>
      <c r="H202" s="14">
        <f t="shared" si="276"/>
        <v>744.13000000000011</v>
      </c>
      <c r="I202" s="300">
        <f t="shared" si="290"/>
        <v>30136.959999999999</v>
      </c>
      <c r="J202" s="300">
        <f t="shared" si="291"/>
        <v>49400.009999999987</v>
      </c>
      <c r="K202" s="300">
        <f t="shared" si="292"/>
        <v>53344.460000000006</v>
      </c>
      <c r="L202" s="449">
        <f t="shared" si="263"/>
        <v>11</v>
      </c>
      <c r="M202" s="449">
        <f t="shared" si="219"/>
        <v>143</v>
      </c>
      <c r="N202" s="300">
        <f t="shared" si="220"/>
        <v>198823.86000000019</v>
      </c>
      <c r="O202" s="300">
        <f t="shared" si="293"/>
        <v>1617.67</v>
      </c>
      <c r="P202" s="300">
        <f t="shared" si="228"/>
        <v>457.86000000000013</v>
      </c>
      <c r="Q202" s="300">
        <f t="shared" si="294"/>
        <v>1159.81</v>
      </c>
      <c r="R202" s="300">
        <f t="shared" si="281"/>
        <v>134.16999999999999</v>
      </c>
      <c r="S202" s="300">
        <f t="shared" si="282"/>
        <v>188.55</v>
      </c>
      <c r="T202" s="300">
        <f t="shared" si="279"/>
        <v>1940.39</v>
      </c>
      <c r="U202" s="300">
        <f t="shared" si="229"/>
        <v>44782.500000000015</v>
      </c>
      <c r="V202" s="300">
        <f t="shared" si="230"/>
        <v>188161.98000000004</v>
      </c>
      <c r="W202" s="300">
        <f t="shared" si="295"/>
        <v>198366.0000000002</v>
      </c>
      <c r="X202" s="535">
        <f t="shared" si="221"/>
        <v>50019</v>
      </c>
      <c r="Y202" s="300">
        <f t="shared" si="296"/>
        <v>279438.91999999993</v>
      </c>
      <c r="Z202" s="527">
        <f t="shared" si="213"/>
        <v>7.0000000000000007E-2</v>
      </c>
      <c r="AA202" s="300">
        <f t="shared" si="214"/>
        <v>1746.44</v>
      </c>
      <c r="AB202" s="300">
        <f t="shared" si="297"/>
        <v>116.38000000000011</v>
      </c>
      <c r="AC202" s="300">
        <f t="shared" si="215"/>
        <v>1630.06</v>
      </c>
      <c r="AD202" s="300">
        <f t="shared" ref="AD202:AE202" si="314">+AD201</f>
        <v>134.16999999999999</v>
      </c>
      <c r="AE202" s="300">
        <f t="shared" si="314"/>
        <v>188.55</v>
      </c>
      <c r="AF202" s="300">
        <f t="shared" si="299"/>
        <v>2069.1600000000003</v>
      </c>
      <c r="AG202" s="300">
        <f t="shared" si="300"/>
        <v>35601.559999999983</v>
      </c>
      <c r="AH202" s="300">
        <f t="shared" si="301"/>
        <v>206839.59999999995</v>
      </c>
      <c r="AI202" s="545">
        <f t="shared" si="284"/>
        <v>-9496.6800000000167</v>
      </c>
      <c r="AJ202" s="545">
        <f t="shared" si="242"/>
        <v>-80956.539999999717</v>
      </c>
      <c r="AK202" s="545">
        <f t="shared" si="285"/>
        <v>-90453.219999999739</v>
      </c>
      <c r="AL202" s="300">
        <f t="shared" si="302"/>
        <v>279322.53999999992</v>
      </c>
      <c r="AM202" s="449">
        <f t="shared" si="223"/>
        <v>11</v>
      </c>
      <c r="AN202" s="14">
        <f t="shared" si="286"/>
        <v>1196.26</v>
      </c>
      <c r="AO202" s="14">
        <f t="shared" si="261"/>
        <v>217109.02999999997</v>
      </c>
      <c r="AP202" s="14">
        <f t="shared" si="287"/>
        <v>1325.03</v>
      </c>
      <c r="AS202" s="14">
        <f t="shared" si="217"/>
        <v>1196.26</v>
      </c>
      <c r="AT202" s="14">
        <f t="shared" si="224"/>
        <v>171780.88000000006</v>
      </c>
      <c r="AU202" s="300">
        <f t="shared" si="225"/>
        <v>969.59620062423539</v>
      </c>
      <c r="AV202" s="300">
        <f t="shared" si="226"/>
        <v>145659.57645031842</v>
      </c>
    </row>
    <row r="203" spans="1:48" x14ac:dyDescent="0.25">
      <c r="A203" s="535">
        <f t="shared" si="289"/>
        <v>50049</v>
      </c>
      <c r="B203" s="300">
        <f t="shared" si="218"/>
        <v>53344.460000000006</v>
      </c>
      <c r="C203" s="14">
        <f t="shared" si="211"/>
        <v>421.41</v>
      </c>
      <c r="D203" s="14">
        <f t="shared" si="227"/>
        <v>221.37000000000003</v>
      </c>
      <c r="E203" s="14">
        <f t="shared" si="212"/>
        <v>200.04</v>
      </c>
      <c r="F203" s="14">
        <f t="shared" si="278"/>
        <v>134.16999999999999</v>
      </c>
      <c r="G203" s="14">
        <f t="shared" si="275"/>
        <v>188.55</v>
      </c>
      <c r="H203" s="14">
        <f t="shared" si="276"/>
        <v>744.13000000000011</v>
      </c>
      <c r="I203" s="300">
        <f t="shared" si="290"/>
        <v>30358.329999999998</v>
      </c>
      <c r="J203" s="300">
        <f t="shared" si="291"/>
        <v>49600.049999999988</v>
      </c>
      <c r="K203" s="300">
        <f t="shared" si="292"/>
        <v>53123.090000000004</v>
      </c>
      <c r="L203" s="449">
        <f t="shared" si="263"/>
        <v>12</v>
      </c>
      <c r="M203" s="449">
        <f t="shared" si="219"/>
        <v>144</v>
      </c>
      <c r="N203" s="300">
        <f t="shared" si="220"/>
        <v>198366.0000000002</v>
      </c>
      <c r="O203" s="300">
        <f t="shared" si="293"/>
        <v>1617.67</v>
      </c>
      <c r="P203" s="300">
        <f t="shared" si="228"/>
        <v>460.53</v>
      </c>
      <c r="Q203" s="300">
        <f t="shared" si="294"/>
        <v>1157.1400000000001</v>
      </c>
      <c r="R203" s="300">
        <f t="shared" si="281"/>
        <v>134.16999999999999</v>
      </c>
      <c r="S203" s="300">
        <f t="shared" si="282"/>
        <v>188.55</v>
      </c>
      <c r="T203" s="300">
        <f t="shared" si="279"/>
        <v>1940.39</v>
      </c>
      <c r="U203" s="300">
        <f t="shared" si="229"/>
        <v>45243.030000000013</v>
      </c>
      <c r="V203" s="300">
        <f t="shared" si="230"/>
        <v>189319.12000000005</v>
      </c>
      <c r="W203" s="300">
        <f t="shared" si="295"/>
        <v>197905.4700000002</v>
      </c>
      <c r="X203" s="535">
        <f t="shared" si="221"/>
        <v>50049</v>
      </c>
      <c r="Y203" s="300">
        <f t="shared" si="296"/>
        <v>279322.53999999992</v>
      </c>
      <c r="Z203" s="527">
        <f t="shared" si="213"/>
        <v>7.0000000000000007E-2</v>
      </c>
      <c r="AA203" s="300">
        <f t="shared" si="214"/>
        <v>1746.44</v>
      </c>
      <c r="AB203" s="300">
        <f t="shared" si="297"/>
        <v>117.05999999999995</v>
      </c>
      <c r="AC203" s="300">
        <f t="shared" si="215"/>
        <v>1629.38</v>
      </c>
      <c r="AD203" s="300">
        <f t="shared" ref="AD203:AE203" si="315">+AD202</f>
        <v>134.16999999999999</v>
      </c>
      <c r="AE203" s="300">
        <f t="shared" si="315"/>
        <v>188.55</v>
      </c>
      <c r="AF203" s="300">
        <f t="shared" si="299"/>
        <v>2069.1600000000003</v>
      </c>
      <c r="AG203" s="300">
        <f t="shared" si="300"/>
        <v>35718.619999999981</v>
      </c>
      <c r="AH203" s="300">
        <f t="shared" si="301"/>
        <v>208468.97999999995</v>
      </c>
      <c r="AI203" s="545">
        <f t="shared" si="284"/>
        <v>-9625.4500000000171</v>
      </c>
      <c r="AJ203" s="545">
        <f t="shared" si="242"/>
        <v>-81300.009999999718</v>
      </c>
      <c r="AK203" s="545">
        <f t="shared" si="285"/>
        <v>-90925.45999999973</v>
      </c>
      <c r="AL203" s="300">
        <f t="shared" si="302"/>
        <v>279205.47999999992</v>
      </c>
      <c r="AM203" s="449">
        <f t="shared" si="223"/>
        <v>12</v>
      </c>
      <c r="AN203" s="14">
        <f t="shared" si="286"/>
        <v>1196.26</v>
      </c>
      <c r="AO203" s="14">
        <f t="shared" si="261"/>
        <v>216869.86999999994</v>
      </c>
      <c r="AP203" s="14">
        <f t="shared" si="287"/>
        <v>1325.03</v>
      </c>
      <c r="AS203" s="14">
        <f t="shared" si="217"/>
        <v>1196.26</v>
      </c>
      <c r="AT203" s="14">
        <f t="shared" si="224"/>
        <v>172977.14000000007</v>
      </c>
      <c r="AU203" s="300">
        <f t="shared" si="225"/>
        <v>972.02019112579603</v>
      </c>
      <c r="AV203" s="300">
        <f t="shared" si="226"/>
        <v>146631.59664144422</v>
      </c>
    </row>
    <row r="204" spans="1:48" x14ac:dyDescent="0.25">
      <c r="A204" s="535">
        <f t="shared" si="289"/>
        <v>50079</v>
      </c>
      <c r="B204" s="300">
        <f t="shared" si="218"/>
        <v>53123.090000000004</v>
      </c>
      <c r="C204" s="14">
        <f t="shared" si="211"/>
        <v>421.41</v>
      </c>
      <c r="D204" s="14">
        <f t="shared" si="227"/>
        <v>222.20000000000002</v>
      </c>
      <c r="E204" s="14">
        <f t="shared" si="212"/>
        <v>199.21</v>
      </c>
      <c r="F204" s="14">
        <f t="shared" si="278"/>
        <v>134.16999999999999</v>
      </c>
      <c r="G204" s="14">
        <f t="shared" si="275"/>
        <v>188.55</v>
      </c>
      <c r="H204" s="14">
        <f t="shared" si="276"/>
        <v>744.13000000000011</v>
      </c>
      <c r="I204" s="300">
        <f t="shared" si="290"/>
        <v>30580.53</v>
      </c>
      <c r="J204" s="300">
        <f t="shared" si="291"/>
        <v>49799.259999999987</v>
      </c>
      <c r="K204" s="300">
        <f t="shared" si="292"/>
        <v>52900.890000000007</v>
      </c>
      <c r="L204" s="449">
        <f t="shared" si="263"/>
        <v>12</v>
      </c>
      <c r="M204" s="449">
        <f t="shared" si="219"/>
        <v>145</v>
      </c>
      <c r="N204" s="300">
        <f t="shared" si="220"/>
        <v>197905.4700000002</v>
      </c>
      <c r="O204" s="300">
        <f t="shared" si="293"/>
        <v>1617.67</v>
      </c>
      <c r="P204" s="300">
        <f t="shared" si="228"/>
        <v>463.22</v>
      </c>
      <c r="Q204" s="300">
        <f t="shared" si="294"/>
        <v>1154.45</v>
      </c>
      <c r="R204" s="300">
        <f t="shared" si="281"/>
        <v>134.16999999999999</v>
      </c>
      <c r="S204" s="300">
        <f t="shared" si="282"/>
        <v>188.55</v>
      </c>
      <c r="T204" s="300">
        <f t="shared" si="279"/>
        <v>1940.39</v>
      </c>
      <c r="U204" s="300">
        <f t="shared" si="229"/>
        <v>45706.250000000015</v>
      </c>
      <c r="V204" s="300">
        <f t="shared" si="230"/>
        <v>190473.57000000007</v>
      </c>
      <c r="W204" s="300">
        <f t="shared" si="295"/>
        <v>197442.2500000002</v>
      </c>
      <c r="X204" s="535">
        <f t="shared" si="221"/>
        <v>50079</v>
      </c>
      <c r="Y204" s="300">
        <f t="shared" si="296"/>
        <v>279205.47999999992</v>
      </c>
      <c r="Z204" s="527">
        <f t="shared" si="213"/>
        <v>7.0000000000000007E-2</v>
      </c>
      <c r="AA204" s="300">
        <f t="shared" si="214"/>
        <v>1746.44</v>
      </c>
      <c r="AB204" s="300">
        <f t="shared" si="297"/>
        <v>117.74000000000001</v>
      </c>
      <c r="AC204" s="300">
        <f t="shared" si="215"/>
        <v>1628.7</v>
      </c>
      <c r="AD204" s="300">
        <f t="shared" ref="AD204:AE204" si="316">+AD203</f>
        <v>134.16999999999999</v>
      </c>
      <c r="AE204" s="300">
        <f t="shared" si="316"/>
        <v>188.55</v>
      </c>
      <c r="AF204" s="300">
        <f t="shared" si="299"/>
        <v>2069.1600000000003</v>
      </c>
      <c r="AG204" s="300">
        <f t="shared" si="300"/>
        <v>35836.359999999979</v>
      </c>
      <c r="AH204" s="300">
        <f t="shared" si="301"/>
        <v>210097.67999999996</v>
      </c>
      <c r="AI204" s="545">
        <f t="shared" si="284"/>
        <v>-9754.2200000000175</v>
      </c>
      <c r="AJ204" s="545">
        <f t="shared" si="242"/>
        <v>-81645.489999999729</v>
      </c>
      <c r="AK204" s="545">
        <f t="shared" si="285"/>
        <v>-91399.709999999744</v>
      </c>
      <c r="AL204" s="300">
        <f t="shared" si="302"/>
        <v>279087.73999999993</v>
      </c>
      <c r="AM204" s="449">
        <f t="shared" si="223"/>
        <v>12</v>
      </c>
      <c r="AN204" s="14">
        <f t="shared" si="286"/>
        <v>1196.26</v>
      </c>
      <c r="AO204" s="14">
        <f t="shared" si="261"/>
        <v>216628.84999999998</v>
      </c>
      <c r="AP204" s="14">
        <f t="shared" si="287"/>
        <v>1325.03</v>
      </c>
      <c r="AS204" s="14">
        <f t="shared" si="217"/>
        <v>1196.26</v>
      </c>
      <c r="AT204" s="14">
        <f t="shared" si="224"/>
        <v>174173.40000000008</v>
      </c>
      <c r="AU204" s="300">
        <f t="shared" si="225"/>
        <v>974.45024160361061</v>
      </c>
      <c r="AV204" s="300">
        <f t="shared" si="226"/>
        <v>147606.04688304782</v>
      </c>
    </row>
    <row r="205" spans="1:48" x14ac:dyDescent="0.25">
      <c r="A205" s="535">
        <f t="shared" si="289"/>
        <v>50109</v>
      </c>
      <c r="B205" s="300">
        <f t="shared" si="218"/>
        <v>52900.890000000007</v>
      </c>
      <c r="C205" s="14">
        <f t="shared" si="211"/>
        <v>421.41</v>
      </c>
      <c r="D205" s="14">
        <f t="shared" si="227"/>
        <v>223.03000000000003</v>
      </c>
      <c r="E205" s="14">
        <f t="shared" si="212"/>
        <v>198.38</v>
      </c>
      <c r="F205" s="14">
        <f t="shared" si="278"/>
        <v>134.16999999999999</v>
      </c>
      <c r="G205" s="14">
        <f t="shared" si="275"/>
        <v>188.55</v>
      </c>
      <c r="H205" s="14">
        <f t="shared" si="276"/>
        <v>744.13000000000011</v>
      </c>
      <c r="I205" s="300">
        <f t="shared" si="290"/>
        <v>30803.559999999998</v>
      </c>
      <c r="J205" s="300">
        <f t="shared" si="291"/>
        <v>49997.639999999985</v>
      </c>
      <c r="K205" s="300">
        <f t="shared" si="292"/>
        <v>52677.860000000008</v>
      </c>
      <c r="L205" s="449">
        <f t="shared" si="263"/>
        <v>12</v>
      </c>
      <c r="M205" s="449">
        <f t="shared" si="219"/>
        <v>146</v>
      </c>
      <c r="N205" s="300">
        <f t="shared" si="220"/>
        <v>197442.2500000002</v>
      </c>
      <c r="O205" s="300">
        <f t="shared" si="293"/>
        <v>1617.67</v>
      </c>
      <c r="P205" s="300">
        <f t="shared" si="228"/>
        <v>465.92000000000007</v>
      </c>
      <c r="Q205" s="300">
        <f t="shared" si="294"/>
        <v>1151.75</v>
      </c>
      <c r="R205" s="300">
        <f t="shared" si="281"/>
        <v>134.16999999999999</v>
      </c>
      <c r="S205" s="300">
        <f t="shared" si="282"/>
        <v>188.55</v>
      </c>
      <c r="T205" s="300">
        <f t="shared" si="279"/>
        <v>1940.39</v>
      </c>
      <c r="U205" s="300">
        <f t="shared" si="229"/>
        <v>46172.170000000013</v>
      </c>
      <c r="V205" s="300">
        <f t="shared" si="230"/>
        <v>191625.32000000007</v>
      </c>
      <c r="W205" s="300">
        <f t="shared" si="295"/>
        <v>196976.33000000019</v>
      </c>
      <c r="X205" s="535">
        <f t="shared" si="221"/>
        <v>50109</v>
      </c>
      <c r="Y205" s="300">
        <f t="shared" si="296"/>
        <v>279087.73999999993</v>
      </c>
      <c r="Z205" s="527">
        <f t="shared" si="213"/>
        <v>7.0000000000000007E-2</v>
      </c>
      <c r="AA205" s="300">
        <f t="shared" si="214"/>
        <v>1746.44</v>
      </c>
      <c r="AB205" s="300">
        <f t="shared" si="297"/>
        <v>118.43000000000006</v>
      </c>
      <c r="AC205" s="300">
        <f t="shared" si="215"/>
        <v>1628.01</v>
      </c>
      <c r="AD205" s="300">
        <f t="shared" ref="AD205:AE205" si="317">+AD204</f>
        <v>134.16999999999999</v>
      </c>
      <c r="AE205" s="300">
        <f t="shared" si="317"/>
        <v>188.55</v>
      </c>
      <c r="AF205" s="300">
        <f t="shared" si="299"/>
        <v>2069.1600000000003</v>
      </c>
      <c r="AG205" s="300">
        <f t="shared" si="300"/>
        <v>35954.789999999979</v>
      </c>
      <c r="AH205" s="300">
        <f t="shared" si="301"/>
        <v>211725.68999999997</v>
      </c>
      <c r="AI205" s="545">
        <f t="shared" si="284"/>
        <v>-9882.990000000018</v>
      </c>
      <c r="AJ205" s="545">
        <f t="shared" si="242"/>
        <v>-81992.979999999749</v>
      </c>
      <c r="AK205" s="545">
        <f t="shared" si="285"/>
        <v>-91875.969999999768</v>
      </c>
      <c r="AL205" s="300">
        <f t="shared" si="302"/>
        <v>278969.30999999994</v>
      </c>
      <c r="AM205" s="449">
        <f t="shared" si="223"/>
        <v>12</v>
      </c>
      <c r="AN205" s="14">
        <f t="shared" si="286"/>
        <v>1196.26</v>
      </c>
      <c r="AO205" s="14">
        <f t="shared" si="261"/>
        <v>216385.96</v>
      </c>
      <c r="AP205" s="14">
        <f t="shared" si="287"/>
        <v>1325.03</v>
      </c>
      <c r="AS205" s="14">
        <f t="shared" si="217"/>
        <v>1196.26</v>
      </c>
      <c r="AT205" s="14">
        <f t="shared" si="224"/>
        <v>175369.66000000009</v>
      </c>
      <c r="AU205" s="300">
        <f t="shared" si="225"/>
        <v>976.88636720761951</v>
      </c>
      <c r="AV205" s="300">
        <f t="shared" si="226"/>
        <v>148582.93325025545</v>
      </c>
    </row>
    <row r="206" spans="1:48" ht="15.75" thickBot="1" x14ac:dyDescent="0.3">
      <c r="A206" s="538">
        <f t="shared" si="289"/>
        <v>50139</v>
      </c>
      <c r="B206" s="369">
        <f t="shared" si="218"/>
        <v>52677.860000000008</v>
      </c>
      <c r="C206" s="21">
        <f t="shared" si="211"/>
        <v>421.41</v>
      </c>
      <c r="D206" s="21">
        <f t="shared" si="227"/>
        <v>223.87000000000003</v>
      </c>
      <c r="E206" s="21">
        <f t="shared" si="212"/>
        <v>197.54</v>
      </c>
      <c r="F206" s="21">
        <f t="shared" si="278"/>
        <v>134.16999999999999</v>
      </c>
      <c r="G206" s="21">
        <f t="shared" si="275"/>
        <v>188.55</v>
      </c>
      <c r="H206" s="21">
        <f t="shared" si="276"/>
        <v>744.13000000000011</v>
      </c>
      <c r="I206" s="369">
        <f t="shared" si="290"/>
        <v>31027.429999999997</v>
      </c>
      <c r="J206" s="369">
        <f t="shared" si="291"/>
        <v>50195.179999999986</v>
      </c>
      <c r="K206" s="369">
        <f t="shared" si="292"/>
        <v>52453.990000000005</v>
      </c>
      <c r="L206" s="450">
        <f t="shared" si="263"/>
        <v>12</v>
      </c>
      <c r="M206" s="450">
        <f t="shared" si="219"/>
        <v>147</v>
      </c>
      <c r="N206" s="369">
        <f t="shared" si="220"/>
        <v>196976.33000000019</v>
      </c>
      <c r="O206" s="369">
        <f t="shared" si="293"/>
        <v>1617.67</v>
      </c>
      <c r="P206" s="369">
        <f t="shared" si="228"/>
        <v>468.6400000000001</v>
      </c>
      <c r="Q206" s="369">
        <f t="shared" si="294"/>
        <v>1149.03</v>
      </c>
      <c r="R206" s="369">
        <f t="shared" si="281"/>
        <v>134.16999999999999</v>
      </c>
      <c r="S206" s="369">
        <f t="shared" si="282"/>
        <v>188.55</v>
      </c>
      <c r="T206" s="369">
        <f t="shared" si="279"/>
        <v>1940.39</v>
      </c>
      <c r="U206" s="369">
        <f t="shared" si="229"/>
        <v>46640.810000000012</v>
      </c>
      <c r="V206" s="369">
        <f t="shared" si="230"/>
        <v>192774.35000000006</v>
      </c>
      <c r="W206" s="369">
        <f t="shared" si="295"/>
        <v>196507.69000000018</v>
      </c>
      <c r="X206" s="538">
        <f t="shared" si="221"/>
        <v>50139</v>
      </c>
      <c r="Y206" s="369">
        <f t="shared" si="296"/>
        <v>278969.30999999994</v>
      </c>
      <c r="Z206" s="528">
        <f t="shared" si="213"/>
        <v>7.0000000000000007E-2</v>
      </c>
      <c r="AA206" s="369">
        <f t="shared" si="214"/>
        <v>1746.44</v>
      </c>
      <c r="AB206" s="369">
        <f t="shared" si="297"/>
        <v>119.12000000000012</v>
      </c>
      <c r="AC206" s="369">
        <f t="shared" si="215"/>
        <v>1627.32</v>
      </c>
      <c r="AD206" s="369">
        <f t="shared" ref="AD206:AE206" si="318">+AD205</f>
        <v>134.16999999999999</v>
      </c>
      <c r="AE206" s="369">
        <f t="shared" si="318"/>
        <v>188.55</v>
      </c>
      <c r="AF206" s="369">
        <f t="shared" si="299"/>
        <v>2069.1600000000003</v>
      </c>
      <c r="AG206" s="369">
        <f t="shared" si="300"/>
        <v>36073.909999999982</v>
      </c>
      <c r="AH206" s="369">
        <f t="shared" si="301"/>
        <v>213353.00999999998</v>
      </c>
      <c r="AI206" s="546">
        <f t="shared" si="284"/>
        <v>-10011.760000000018</v>
      </c>
      <c r="AJ206" s="546">
        <f t="shared" si="242"/>
        <v>-82342.499999999767</v>
      </c>
      <c r="AK206" s="545">
        <f t="shared" si="285"/>
        <v>-92354.259999999791</v>
      </c>
      <c r="AL206" s="369">
        <f t="shared" si="302"/>
        <v>278850.18999999994</v>
      </c>
      <c r="AM206" s="450">
        <f t="shared" si="223"/>
        <v>12</v>
      </c>
      <c r="AN206" s="21">
        <f t="shared" si="286"/>
        <v>1196.26</v>
      </c>
      <c r="AO206" s="21">
        <f t="shared" si="261"/>
        <v>216141.19</v>
      </c>
      <c r="AP206" s="21">
        <f t="shared" si="287"/>
        <v>1325.03</v>
      </c>
      <c r="AQ206" s="21"/>
      <c r="AR206" s="23"/>
      <c r="AS206" s="21">
        <f t="shared" si="217"/>
        <v>1196.26</v>
      </c>
      <c r="AT206" s="21">
        <f t="shared" si="224"/>
        <v>176565.9200000001</v>
      </c>
      <c r="AU206" s="369">
        <f t="shared" si="225"/>
        <v>979.32858312563849</v>
      </c>
      <c r="AV206" s="369">
        <f t="shared" si="226"/>
        <v>149562.26183338108</v>
      </c>
    </row>
    <row r="207" spans="1:48" x14ac:dyDescent="0.25">
      <c r="A207" s="535">
        <f t="shared" si="289"/>
        <v>50169</v>
      </c>
      <c r="B207" s="300">
        <f t="shared" si="218"/>
        <v>52453.990000000005</v>
      </c>
      <c r="C207" s="14">
        <f t="shared" ref="C207:C270" si="319">IF(+$K206&lt;=0,0,$C$5)</f>
        <v>421.41</v>
      </c>
      <c r="D207" s="14">
        <f t="shared" si="227"/>
        <v>224.71000000000004</v>
      </c>
      <c r="E207" s="14">
        <f t="shared" ref="E207:E270" si="320">ROUND($B207*($C$3/12), 2)</f>
        <v>196.7</v>
      </c>
      <c r="F207" s="14">
        <f t="shared" si="278"/>
        <v>134.16999999999999</v>
      </c>
      <c r="G207" s="14">
        <f t="shared" si="275"/>
        <v>188.55</v>
      </c>
      <c r="H207" s="14">
        <f t="shared" si="276"/>
        <v>744.13000000000011</v>
      </c>
      <c r="I207" s="300">
        <f t="shared" si="290"/>
        <v>31252.139999999996</v>
      </c>
      <c r="J207" s="300">
        <f t="shared" si="291"/>
        <v>50391.879999999983</v>
      </c>
      <c r="K207" s="300">
        <f t="shared" si="292"/>
        <v>52229.280000000006</v>
      </c>
      <c r="L207" s="449">
        <f t="shared" si="263"/>
        <v>12</v>
      </c>
      <c r="M207" s="449">
        <f t="shared" si="219"/>
        <v>148</v>
      </c>
      <c r="N207" s="300">
        <f t="shared" si="220"/>
        <v>196507.69000000018</v>
      </c>
      <c r="O207" s="300">
        <f t="shared" si="293"/>
        <v>1617.67</v>
      </c>
      <c r="P207" s="300">
        <f t="shared" si="228"/>
        <v>471.38000000000011</v>
      </c>
      <c r="Q207" s="300">
        <f t="shared" si="294"/>
        <v>1146.29</v>
      </c>
      <c r="R207" s="300">
        <f t="shared" si="281"/>
        <v>134.16999999999999</v>
      </c>
      <c r="S207" s="300">
        <f t="shared" si="282"/>
        <v>188.55</v>
      </c>
      <c r="T207" s="300">
        <f t="shared" si="279"/>
        <v>1940.39</v>
      </c>
      <c r="U207" s="300">
        <f t="shared" si="229"/>
        <v>47112.19000000001</v>
      </c>
      <c r="V207" s="300">
        <f t="shared" si="230"/>
        <v>193920.64000000007</v>
      </c>
      <c r="W207" s="300">
        <f t="shared" si="295"/>
        <v>196036.31000000017</v>
      </c>
      <c r="X207" s="535">
        <f t="shared" si="221"/>
        <v>50169</v>
      </c>
      <c r="Y207" s="300">
        <f t="shared" si="296"/>
        <v>278850.18999999994</v>
      </c>
      <c r="Z207" s="527">
        <f t="shared" ref="Z207:Z270" si="321">IF(L207&gt;4,$AA$9,$AA$8)</f>
        <v>7.0000000000000007E-2</v>
      </c>
      <c r="AA207" s="300">
        <f t="shared" ref="AA207:AA270" si="322">IF($O$9&lt;=$A207,IF(+AL206&lt;=0,0,IF(Z207=$AA$8,$Z$8,$Z$9)),0)</f>
        <v>1746.44</v>
      </c>
      <c r="AB207" s="300">
        <f t="shared" si="297"/>
        <v>119.80999999999995</v>
      </c>
      <c r="AC207" s="300">
        <f t="shared" ref="AC207:AC270" si="323">IF($O$9&lt;=$A207,ROUND(Y207*(Z207/12),2),0)</f>
        <v>1626.63</v>
      </c>
      <c r="AD207" s="300">
        <f t="shared" ref="AD207:AE207" si="324">+AD206</f>
        <v>134.16999999999999</v>
      </c>
      <c r="AE207" s="300">
        <f t="shared" si="324"/>
        <v>188.55</v>
      </c>
      <c r="AF207" s="300">
        <f t="shared" si="299"/>
        <v>2069.1600000000003</v>
      </c>
      <c r="AG207" s="300">
        <f t="shared" si="300"/>
        <v>36193.719999999979</v>
      </c>
      <c r="AH207" s="300">
        <f t="shared" si="301"/>
        <v>214979.63999999998</v>
      </c>
      <c r="AI207" s="545">
        <f t="shared" si="284"/>
        <v>-10140.530000000019</v>
      </c>
      <c r="AJ207" s="545">
        <f t="shared" si="242"/>
        <v>-82694.069999999774</v>
      </c>
      <c r="AK207" s="545">
        <f t="shared" si="285"/>
        <v>-92834.599999999788</v>
      </c>
      <c r="AL207" s="300">
        <f t="shared" si="302"/>
        <v>278730.37999999995</v>
      </c>
      <c r="AM207" s="449">
        <f t="shared" si="223"/>
        <v>12</v>
      </c>
      <c r="AN207" s="14">
        <f t="shared" si="286"/>
        <v>1196.26</v>
      </c>
      <c r="AO207" s="14">
        <f t="shared" si="261"/>
        <v>215894.51999999996</v>
      </c>
      <c r="AP207" s="14">
        <f t="shared" si="287"/>
        <v>1325.03</v>
      </c>
      <c r="AS207" s="14">
        <f t="shared" ref="AS207:AS270" si="325">+AN207-AR207</f>
        <v>1196.26</v>
      </c>
      <c r="AT207" s="14">
        <f t="shared" si="224"/>
        <v>177762.18000000011</v>
      </c>
      <c r="AU207" s="300">
        <f t="shared" si="225"/>
        <v>981.77690458345262</v>
      </c>
      <c r="AV207" s="300">
        <f t="shared" si="226"/>
        <v>150544.03873796453</v>
      </c>
    </row>
    <row r="208" spans="1:48" x14ac:dyDescent="0.25">
      <c r="A208" s="535">
        <f t="shared" si="289"/>
        <v>50199</v>
      </c>
      <c r="B208" s="300">
        <f t="shared" ref="B208:B271" si="326">IF(+K207&lt;0,0,+K207)</f>
        <v>52229.280000000006</v>
      </c>
      <c r="C208" s="14">
        <f t="shared" si="319"/>
        <v>421.41</v>
      </c>
      <c r="D208" s="14">
        <f t="shared" si="227"/>
        <v>225.55</v>
      </c>
      <c r="E208" s="14">
        <f t="shared" si="320"/>
        <v>195.86</v>
      </c>
      <c r="F208" s="14">
        <f t="shared" si="278"/>
        <v>134.16999999999999</v>
      </c>
      <c r="G208" s="14">
        <f t="shared" si="275"/>
        <v>188.55</v>
      </c>
      <c r="H208" s="14">
        <f t="shared" si="276"/>
        <v>744.13000000000011</v>
      </c>
      <c r="I208" s="300">
        <f t="shared" si="290"/>
        <v>31477.689999999995</v>
      </c>
      <c r="J208" s="300">
        <f t="shared" si="291"/>
        <v>50587.739999999983</v>
      </c>
      <c r="K208" s="300">
        <f t="shared" si="292"/>
        <v>52003.73</v>
      </c>
      <c r="L208" s="449">
        <f t="shared" si="263"/>
        <v>12</v>
      </c>
      <c r="M208" s="449">
        <f t="shared" ref="M208:M271" si="327">IF(N208&lt;&gt;"",IF(N208=$O$5,0,+M207+1),0)</f>
        <v>149</v>
      </c>
      <c r="N208" s="300">
        <f t="shared" ref="N208:N271" si="328">IF(+W207&lt;0,0,+W207)</f>
        <v>196036.31000000017</v>
      </c>
      <c r="O208" s="300">
        <f t="shared" si="293"/>
        <v>1617.67</v>
      </c>
      <c r="P208" s="300">
        <f t="shared" si="228"/>
        <v>474.12000000000012</v>
      </c>
      <c r="Q208" s="300">
        <f t="shared" si="294"/>
        <v>1143.55</v>
      </c>
      <c r="R208" s="300">
        <f t="shared" si="281"/>
        <v>134.16999999999999</v>
      </c>
      <c r="S208" s="300">
        <f t="shared" si="282"/>
        <v>188.55</v>
      </c>
      <c r="T208" s="300">
        <f t="shared" si="279"/>
        <v>1940.39</v>
      </c>
      <c r="U208" s="300">
        <f t="shared" si="229"/>
        <v>47586.310000000012</v>
      </c>
      <c r="V208" s="300">
        <f t="shared" si="230"/>
        <v>195064.19000000006</v>
      </c>
      <c r="W208" s="300">
        <f t="shared" si="295"/>
        <v>195562.19000000018</v>
      </c>
      <c r="X208" s="535">
        <f t="shared" ref="X208:X271" si="329">+A208</f>
        <v>50199</v>
      </c>
      <c r="Y208" s="300">
        <f t="shared" si="296"/>
        <v>278730.37999999995</v>
      </c>
      <c r="Z208" s="527">
        <f t="shared" si="321"/>
        <v>7.0000000000000007E-2</v>
      </c>
      <c r="AA208" s="300">
        <f t="shared" si="322"/>
        <v>1746.44</v>
      </c>
      <c r="AB208" s="300">
        <f t="shared" si="297"/>
        <v>120.50999999999999</v>
      </c>
      <c r="AC208" s="300">
        <f t="shared" si="323"/>
        <v>1625.93</v>
      </c>
      <c r="AD208" s="300">
        <f t="shared" ref="AD208:AE208" si="330">+AD207</f>
        <v>134.16999999999999</v>
      </c>
      <c r="AE208" s="300">
        <f t="shared" si="330"/>
        <v>188.55</v>
      </c>
      <c r="AF208" s="300">
        <f t="shared" si="299"/>
        <v>2069.1600000000003</v>
      </c>
      <c r="AG208" s="300">
        <f t="shared" si="300"/>
        <v>36314.229999999981</v>
      </c>
      <c r="AH208" s="300">
        <f t="shared" si="301"/>
        <v>216605.56999999998</v>
      </c>
      <c r="AI208" s="545">
        <f t="shared" si="284"/>
        <v>-10269.300000000019</v>
      </c>
      <c r="AJ208" s="545">
        <f t="shared" si="242"/>
        <v>-83047.67999999976</v>
      </c>
      <c r="AK208" s="545">
        <f t="shared" si="285"/>
        <v>-93316.979999999778</v>
      </c>
      <c r="AL208" s="300">
        <f t="shared" si="302"/>
        <v>278609.86999999994</v>
      </c>
      <c r="AM208" s="449">
        <f t="shared" ref="AM208:AM271" si="331">+L208</f>
        <v>12</v>
      </c>
      <c r="AN208" s="14">
        <f t="shared" si="286"/>
        <v>1196.26</v>
      </c>
      <c r="AO208" s="14">
        <f t="shared" si="261"/>
        <v>215645.94999999995</v>
      </c>
      <c r="AP208" s="14">
        <f t="shared" si="287"/>
        <v>1325.03</v>
      </c>
      <c r="AS208" s="14">
        <f t="shared" si="325"/>
        <v>1196.26</v>
      </c>
      <c r="AT208" s="14">
        <f t="shared" ref="AT208:AT271" si="332">IF(W208&lt;=0,0,+AS208+AT207)</f>
        <v>178958.44000000012</v>
      </c>
      <c r="AU208" s="300">
        <f t="shared" ref="AU208:AU271" si="333">IF(W208&lt;=0,0,+($O$5+AV207)*$AQ$2/12)</f>
        <v>984.23134684491117</v>
      </c>
      <c r="AV208" s="300">
        <f t="shared" ref="AV208:AV271" si="334">IF(W208&lt;=0,0,+AV207+AU208)</f>
        <v>151528.27008480942</v>
      </c>
    </row>
    <row r="209" spans="1:48" x14ac:dyDescent="0.25">
      <c r="A209" s="535">
        <f t="shared" si="289"/>
        <v>50229</v>
      </c>
      <c r="B209" s="300">
        <f t="shared" si="326"/>
        <v>52003.73</v>
      </c>
      <c r="C209" s="14">
        <f t="shared" si="319"/>
        <v>421.41</v>
      </c>
      <c r="D209" s="14">
        <f t="shared" ref="D209:D272" si="335">+C209-E209</f>
        <v>226.40000000000003</v>
      </c>
      <c r="E209" s="14">
        <f t="shared" si="320"/>
        <v>195.01</v>
      </c>
      <c r="F209" s="14">
        <f t="shared" si="278"/>
        <v>134.16999999999999</v>
      </c>
      <c r="G209" s="14">
        <f t="shared" si="275"/>
        <v>188.55</v>
      </c>
      <c r="H209" s="14">
        <f t="shared" si="276"/>
        <v>744.13000000000011</v>
      </c>
      <c r="I209" s="300">
        <f t="shared" si="290"/>
        <v>31704.089999999997</v>
      </c>
      <c r="J209" s="300">
        <f t="shared" si="291"/>
        <v>50782.749999999985</v>
      </c>
      <c r="K209" s="300">
        <f t="shared" si="292"/>
        <v>51777.33</v>
      </c>
      <c r="L209" s="449">
        <f t="shared" si="263"/>
        <v>12</v>
      </c>
      <c r="M209" s="449">
        <f t="shared" si="327"/>
        <v>150</v>
      </c>
      <c r="N209" s="300">
        <f t="shared" si="328"/>
        <v>195562.19000000018</v>
      </c>
      <c r="O209" s="300">
        <f t="shared" si="293"/>
        <v>1617.67</v>
      </c>
      <c r="P209" s="300">
        <f t="shared" ref="P209:P272" si="336">+O209-Q209</f>
        <v>476.8900000000001</v>
      </c>
      <c r="Q209" s="300">
        <f t="shared" si="294"/>
        <v>1140.78</v>
      </c>
      <c r="R209" s="300">
        <f t="shared" si="281"/>
        <v>134.16999999999999</v>
      </c>
      <c r="S209" s="300">
        <f t="shared" si="282"/>
        <v>188.55</v>
      </c>
      <c r="T209" s="300">
        <f t="shared" si="279"/>
        <v>1940.39</v>
      </c>
      <c r="U209" s="300">
        <f t="shared" ref="U209:U272" si="337">+P209+U208</f>
        <v>48063.200000000012</v>
      </c>
      <c r="V209" s="300">
        <f t="shared" ref="V209:V272" si="338">+V208+Q209</f>
        <v>196204.97000000006</v>
      </c>
      <c r="W209" s="300">
        <f t="shared" si="295"/>
        <v>195085.30000000016</v>
      </c>
      <c r="X209" s="535">
        <f t="shared" si="329"/>
        <v>50229</v>
      </c>
      <c r="Y209" s="300">
        <f t="shared" si="296"/>
        <v>278609.86999999994</v>
      </c>
      <c r="Z209" s="527">
        <f t="shared" si="321"/>
        <v>7.0000000000000007E-2</v>
      </c>
      <c r="AA209" s="300">
        <f t="shared" si="322"/>
        <v>1746.44</v>
      </c>
      <c r="AB209" s="300">
        <f t="shared" si="297"/>
        <v>121.22000000000003</v>
      </c>
      <c r="AC209" s="300">
        <f t="shared" si="323"/>
        <v>1625.22</v>
      </c>
      <c r="AD209" s="300">
        <f t="shared" ref="AD209:AE209" si="339">+AD208</f>
        <v>134.16999999999999</v>
      </c>
      <c r="AE209" s="300">
        <f t="shared" si="339"/>
        <v>188.55</v>
      </c>
      <c r="AF209" s="300">
        <f t="shared" si="299"/>
        <v>2069.1600000000003</v>
      </c>
      <c r="AG209" s="300">
        <f t="shared" si="300"/>
        <v>36435.449999999983</v>
      </c>
      <c r="AH209" s="300">
        <f t="shared" si="301"/>
        <v>218230.78999999998</v>
      </c>
      <c r="AI209" s="545">
        <f t="shared" si="284"/>
        <v>-10398.07000000002</v>
      </c>
      <c r="AJ209" s="545">
        <f t="shared" si="242"/>
        <v>-83403.349999999802</v>
      </c>
      <c r="AK209" s="545">
        <f t="shared" si="285"/>
        <v>-93801.419999999824</v>
      </c>
      <c r="AL209" s="300">
        <f t="shared" si="302"/>
        <v>278488.64999999997</v>
      </c>
      <c r="AM209" s="449">
        <f t="shared" si="331"/>
        <v>12</v>
      </c>
      <c r="AN209" s="14">
        <f t="shared" si="286"/>
        <v>1196.26</v>
      </c>
      <c r="AO209" s="14">
        <f t="shared" si="261"/>
        <v>215395.45999999996</v>
      </c>
      <c r="AP209" s="14">
        <f t="shared" si="287"/>
        <v>1325.03</v>
      </c>
      <c r="AS209" s="14">
        <f t="shared" si="325"/>
        <v>1196.26</v>
      </c>
      <c r="AT209" s="14">
        <f t="shared" si="332"/>
        <v>180154.70000000013</v>
      </c>
      <c r="AU209" s="300">
        <f t="shared" si="333"/>
        <v>986.69192521202342</v>
      </c>
      <c r="AV209" s="300">
        <f t="shared" si="334"/>
        <v>152514.96201002144</v>
      </c>
    </row>
    <row r="210" spans="1:48" x14ac:dyDescent="0.25">
      <c r="A210" s="535">
        <f t="shared" si="289"/>
        <v>50259</v>
      </c>
      <c r="B210" s="300">
        <f t="shared" si="326"/>
        <v>51777.33</v>
      </c>
      <c r="C210" s="14">
        <f t="shared" si="319"/>
        <v>421.41</v>
      </c>
      <c r="D210" s="14">
        <f t="shared" si="335"/>
        <v>227.25000000000003</v>
      </c>
      <c r="E210" s="14">
        <f t="shared" si="320"/>
        <v>194.16</v>
      </c>
      <c r="F210" s="14">
        <f t="shared" si="278"/>
        <v>134.16999999999999</v>
      </c>
      <c r="G210" s="14">
        <f t="shared" si="275"/>
        <v>188.55</v>
      </c>
      <c r="H210" s="14">
        <f t="shared" si="276"/>
        <v>744.13000000000011</v>
      </c>
      <c r="I210" s="300">
        <f t="shared" si="290"/>
        <v>31931.339999999997</v>
      </c>
      <c r="J210" s="300">
        <f t="shared" si="291"/>
        <v>50976.909999999989</v>
      </c>
      <c r="K210" s="300">
        <f t="shared" si="292"/>
        <v>51550.080000000002</v>
      </c>
      <c r="L210" s="449">
        <f t="shared" si="263"/>
        <v>12</v>
      </c>
      <c r="M210" s="449">
        <f t="shared" si="327"/>
        <v>151</v>
      </c>
      <c r="N210" s="300">
        <f t="shared" si="328"/>
        <v>195085.30000000016</v>
      </c>
      <c r="O210" s="300">
        <f t="shared" si="293"/>
        <v>1617.67</v>
      </c>
      <c r="P210" s="300">
        <f t="shared" si="336"/>
        <v>479.67000000000007</v>
      </c>
      <c r="Q210" s="300">
        <f t="shared" si="294"/>
        <v>1138</v>
      </c>
      <c r="R210" s="300">
        <f t="shared" si="281"/>
        <v>134.16999999999999</v>
      </c>
      <c r="S210" s="300">
        <f t="shared" si="282"/>
        <v>188.55</v>
      </c>
      <c r="T210" s="300">
        <f t="shared" si="279"/>
        <v>1940.39</v>
      </c>
      <c r="U210" s="300">
        <f t="shared" si="337"/>
        <v>48542.87000000001</v>
      </c>
      <c r="V210" s="300">
        <f t="shared" si="338"/>
        <v>197342.97000000006</v>
      </c>
      <c r="W210" s="300">
        <f t="shared" si="295"/>
        <v>194605.63000000015</v>
      </c>
      <c r="X210" s="535">
        <f t="shared" si="329"/>
        <v>50259</v>
      </c>
      <c r="Y210" s="300">
        <f t="shared" si="296"/>
        <v>278488.64999999997</v>
      </c>
      <c r="Z210" s="527">
        <f t="shared" si="321"/>
        <v>7.0000000000000007E-2</v>
      </c>
      <c r="AA210" s="300">
        <f t="shared" si="322"/>
        <v>1746.44</v>
      </c>
      <c r="AB210" s="300">
        <f t="shared" si="297"/>
        <v>121.92000000000007</v>
      </c>
      <c r="AC210" s="300">
        <f t="shared" si="323"/>
        <v>1624.52</v>
      </c>
      <c r="AD210" s="300">
        <f t="shared" ref="AD210:AE210" si="340">+AD209</f>
        <v>134.16999999999999</v>
      </c>
      <c r="AE210" s="300">
        <f t="shared" si="340"/>
        <v>188.55</v>
      </c>
      <c r="AF210" s="300">
        <f t="shared" si="299"/>
        <v>2069.1600000000003</v>
      </c>
      <c r="AG210" s="300">
        <f t="shared" si="300"/>
        <v>36557.369999999981</v>
      </c>
      <c r="AH210" s="300">
        <f t="shared" si="301"/>
        <v>219855.30999999997</v>
      </c>
      <c r="AI210" s="545">
        <f t="shared" si="284"/>
        <v>-10526.84000000002</v>
      </c>
      <c r="AJ210" s="545">
        <f t="shared" si="242"/>
        <v>-83761.099999999831</v>
      </c>
      <c r="AK210" s="545">
        <f t="shared" si="285"/>
        <v>-94287.939999999857</v>
      </c>
      <c r="AL210" s="300">
        <f t="shared" si="302"/>
        <v>278366.73</v>
      </c>
      <c r="AM210" s="449">
        <f t="shared" si="331"/>
        <v>12</v>
      </c>
      <c r="AN210" s="14">
        <f t="shared" si="286"/>
        <v>1196.26</v>
      </c>
      <c r="AO210" s="14">
        <f t="shared" si="261"/>
        <v>215143.03999999998</v>
      </c>
      <c r="AP210" s="14">
        <f t="shared" si="287"/>
        <v>1325.03</v>
      </c>
      <c r="AS210" s="14">
        <f t="shared" si="325"/>
        <v>1196.26</v>
      </c>
      <c r="AT210" s="14">
        <f t="shared" si="332"/>
        <v>181350.96000000014</v>
      </c>
      <c r="AU210" s="300">
        <f t="shared" si="333"/>
        <v>989.15865502505358</v>
      </c>
      <c r="AV210" s="300">
        <f t="shared" si="334"/>
        <v>153504.1206650465</v>
      </c>
    </row>
    <row r="211" spans="1:48" x14ac:dyDescent="0.25">
      <c r="A211" s="535">
        <f t="shared" si="289"/>
        <v>50289</v>
      </c>
      <c r="B211" s="300">
        <f t="shared" si="326"/>
        <v>51550.080000000002</v>
      </c>
      <c r="C211" s="14">
        <f t="shared" si="319"/>
        <v>421.41</v>
      </c>
      <c r="D211" s="14">
        <f t="shared" si="335"/>
        <v>228.10000000000002</v>
      </c>
      <c r="E211" s="14">
        <f t="shared" si="320"/>
        <v>193.31</v>
      </c>
      <c r="F211" s="14">
        <f t="shared" si="278"/>
        <v>134.16999999999999</v>
      </c>
      <c r="G211" s="14">
        <f t="shared" si="275"/>
        <v>188.55</v>
      </c>
      <c r="H211" s="14">
        <f t="shared" si="276"/>
        <v>744.13000000000011</v>
      </c>
      <c r="I211" s="300">
        <f t="shared" si="290"/>
        <v>32159.439999999995</v>
      </c>
      <c r="J211" s="300">
        <f t="shared" si="291"/>
        <v>51170.219999999987</v>
      </c>
      <c r="K211" s="300">
        <f t="shared" si="292"/>
        <v>51321.98</v>
      </c>
      <c r="L211" s="449">
        <f t="shared" si="263"/>
        <v>12</v>
      </c>
      <c r="M211" s="449">
        <f t="shared" si="327"/>
        <v>152</v>
      </c>
      <c r="N211" s="300">
        <f t="shared" si="328"/>
        <v>194605.63000000015</v>
      </c>
      <c r="O211" s="300">
        <f t="shared" si="293"/>
        <v>1617.67</v>
      </c>
      <c r="P211" s="300">
        <f t="shared" si="336"/>
        <v>482.47</v>
      </c>
      <c r="Q211" s="300">
        <f t="shared" si="294"/>
        <v>1135.2</v>
      </c>
      <c r="R211" s="300">
        <f t="shared" si="281"/>
        <v>134.16999999999999</v>
      </c>
      <c r="S211" s="300">
        <f t="shared" si="282"/>
        <v>188.55</v>
      </c>
      <c r="T211" s="300">
        <f t="shared" si="279"/>
        <v>1940.39</v>
      </c>
      <c r="U211" s="300">
        <f t="shared" si="337"/>
        <v>49025.340000000011</v>
      </c>
      <c r="V211" s="300">
        <f t="shared" si="338"/>
        <v>198478.17000000007</v>
      </c>
      <c r="W211" s="300">
        <f t="shared" si="295"/>
        <v>194123.16000000015</v>
      </c>
      <c r="X211" s="535">
        <f t="shared" si="329"/>
        <v>50289</v>
      </c>
      <c r="Y211" s="300">
        <f t="shared" si="296"/>
        <v>278366.73</v>
      </c>
      <c r="Z211" s="527">
        <f t="shared" si="321"/>
        <v>7.0000000000000007E-2</v>
      </c>
      <c r="AA211" s="300">
        <f t="shared" si="322"/>
        <v>1746.44</v>
      </c>
      <c r="AB211" s="300">
        <f t="shared" si="297"/>
        <v>122.63000000000011</v>
      </c>
      <c r="AC211" s="300">
        <f t="shared" si="323"/>
        <v>1623.81</v>
      </c>
      <c r="AD211" s="300">
        <f t="shared" ref="AD211:AE211" si="341">+AD210</f>
        <v>134.16999999999999</v>
      </c>
      <c r="AE211" s="300">
        <f t="shared" si="341"/>
        <v>188.55</v>
      </c>
      <c r="AF211" s="300">
        <f t="shared" si="299"/>
        <v>2069.1600000000003</v>
      </c>
      <c r="AG211" s="300">
        <f t="shared" si="300"/>
        <v>36679.999999999978</v>
      </c>
      <c r="AH211" s="300">
        <f t="shared" si="301"/>
        <v>221479.11999999997</v>
      </c>
      <c r="AI211" s="545">
        <f t="shared" si="284"/>
        <v>-10655.610000000021</v>
      </c>
      <c r="AJ211" s="545">
        <f t="shared" si="242"/>
        <v>-84120.939999999828</v>
      </c>
      <c r="AK211" s="545">
        <f t="shared" si="285"/>
        <v>-94776.549999999843</v>
      </c>
      <c r="AL211" s="300">
        <f t="shared" si="302"/>
        <v>278244.09999999998</v>
      </c>
      <c r="AM211" s="449">
        <f t="shared" si="331"/>
        <v>12</v>
      </c>
      <c r="AN211" s="14">
        <f t="shared" si="286"/>
        <v>1196.26</v>
      </c>
      <c r="AO211" s="14">
        <f t="shared" si="261"/>
        <v>214888.66999999993</v>
      </c>
      <c r="AP211" s="14">
        <f t="shared" si="287"/>
        <v>1325.03</v>
      </c>
      <c r="AS211" s="14">
        <f t="shared" si="325"/>
        <v>1196.26</v>
      </c>
      <c r="AT211" s="14">
        <f t="shared" si="332"/>
        <v>182547.22000000015</v>
      </c>
      <c r="AU211" s="300">
        <f t="shared" si="333"/>
        <v>991.63155166261629</v>
      </c>
      <c r="AV211" s="300">
        <f t="shared" si="334"/>
        <v>154495.75221670911</v>
      </c>
    </row>
    <row r="212" spans="1:48" x14ac:dyDescent="0.25">
      <c r="A212" s="535">
        <f t="shared" si="289"/>
        <v>50319</v>
      </c>
      <c r="B212" s="300">
        <f t="shared" si="326"/>
        <v>51321.98</v>
      </c>
      <c r="C212" s="14">
        <f t="shared" si="319"/>
        <v>421.41</v>
      </c>
      <c r="D212" s="14">
        <f t="shared" si="335"/>
        <v>228.95000000000002</v>
      </c>
      <c r="E212" s="14">
        <f t="shared" si="320"/>
        <v>192.46</v>
      </c>
      <c r="F212" s="14">
        <f t="shared" si="278"/>
        <v>134.16999999999999</v>
      </c>
      <c r="G212" s="14">
        <f t="shared" si="275"/>
        <v>188.55</v>
      </c>
      <c r="H212" s="14">
        <f t="shared" si="276"/>
        <v>744.13000000000011</v>
      </c>
      <c r="I212" s="300">
        <f t="shared" si="290"/>
        <v>32388.389999999996</v>
      </c>
      <c r="J212" s="300">
        <f t="shared" si="291"/>
        <v>51362.679999999986</v>
      </c>
      <c r="K212" s="300">
        <f t="shared" si="292"/>
        <v>51093.030000000006</v>
      </c>
      <c r="L212" s="449">
        <f t="shared" si="263"/>
        <v>12</v>
      </c>
      <c r="M212" s="449">
        <f t="shared" si="327"/>
        <v>153</v>
      </c>
      <c r="N212" s="300">
        <f t="shared" si="328"/>
        <v>194123.16000000015</v>
      </c>
      <c r="O212" s="300">
        <f t="shared" si="293"/>
        <v>1617.67</v>
      </c>
      <c r="P212" s="300">
        <f t="shared" si="336"/>
        <v>485.28</v>
      </c>
      <c r="Q212" s="300">
        <f t="shared" si="294"/>
        <v>1132.3900000000001</v>
      </c>
      <c r="R212" s="300">
        <f t="shared" si="281"/>
        <v>134.16999999999999</v>
      </c>
      <c r="S212" s="300">
        <f t="shared" si="282"/>
        <v>188.55</v>
      </c>
      <c r="T212" s="300">
        <f t="shared" si="279"/>
        <v>1940.39</v>
      </c>
      <c r="U212" s="300">
        <f t="shared" si="337"/>
        <v>49510.62000000001</v>
      </c>
      <c r="V212" s="300">
        <f t="shared" si="338"/>
        <v>199610.56000000008</v>
      </c>
      <c r="W212" s="300">
        <f t="shared" si="295"/>
        <v>193637.88000000015</v>
      </c>
      <c r="X212" s="535">
        <f t="shared" si="329"/>
        <v>50319</v>
      </c>
      <c r="Y212" s="300">
        <f t="shared" si="296"/>
        <v>278244.09999999998</v>
      </c>
      <c r="Z212" s="527">
        <f t="shared" si="321"/>
        <v>7.0000000000000007E-2</v>
      </c>
      <c r="AA212" s="300">
        <f t="shared" si="322"/>
        <v>1746.44</v>
      </c>
      <c r="AB212" s="300">
        <f t="shared" si="297"/>
        <v>123.35000000000014</v>
      </c>
      <c r="AC212" s="300">
        <f t="shared" si="323"/>
        <v>1623.09</v>
      </c>
      <c r="AD212" s="300">
        <f t="shared" ref="AD212:AE212" si="342">+AD211</f>
        <v>134.16999999999999</v>
      </c>
      <c r="AE212" s="300">
        <f t="shared" si="342"/>
        <v>188.55</v>
      </c>
      <c r="AF212" s="300">
        <f t="shared" si="299"/>
        <v>2069.1600000000003</v>
      </c>
      <c r="AG212" s="300">
        <f t="shared" si="300"/>
        <v>36803.349999999977</v>
      </c>
      <c r="AH212" s="300">
        <f t="shared" si="301"/>
        <v>223102.20999999996</v>
      </c>
      <c r="AI212" s="545">
        <f t="shared" si="284"/>
        <v>-10784.380000000021</v>
      </c>
      <c r="AJ212" s="545">
        <f t="shared" si="242"/>
        <v>-84482.86999999985</v>
      </c>
      <c r="AK212" s="545">
        <f t="shared" si="285"/>
        <v>-95267.249999999869</v>
      </c>
      <c r="AL212" s="300">
        <f t="shared" si="302"/>
        <v>278120.75</v>
      </c>
      <c r="AM212" s="449">
        <f t="shared" si="331"/>
        <v>12</v>
      </c>
      <c r="AN212" s="14">
        <f t="shared" si="286"/>
        <v>1196.26</v>
      </c>
      <c r="AO212" s="14">
        <f t="shared" si="261"/>
        <v>214632.33999999997</v>
      </c>
      <c r="AP212" s="14">
        <f t="shared" si="287"/>
        <v>1325.03</v>
      </c>
      <c r="AS212" s="14">
        <f t="shared" si="325"/>
        <v>1196.26</v>
      </c>
      <c r="AT212" s="14">
        <f t="shared" si="332"/>
        <v>183743.48000000016</v>
      </c>
      <c r="AU212" s="300">
        <f t="shared" si="333"/>
        <v>994.11063054177259</v>
      </c>
      <c r="AV212" s="300">
        <f t="shared" si="334"/>
        <v>155489.86284725089</v>
      </c>
    </row>
    <row r="213" spans="1:48" x14ac:dyDescent="0.25">
      <c r="A213" s="535">
        <f t="shared" si="289"/>
        <v>50349</v>
      </c>
      <c r="B213" s="300">
        <f t="shared" si="326"/>
        <v>51093.030000000006</v>
      </c>
      <c r="C213" s="14">
        <f t="shared" si="319"/>
        <v>421.41</v>
      </c>
      <c r="D213" s="14">
        <f t="shared" si="335"/>
        <v>229.81000000000003</v>
      </c>
      <c r="E213" s="14">
        <f t="shared" si="320"/>
        <v>191.6</v>
      </c>
      <c r="F213" s="14">
        <f t="shared" si="278"/>
        <v>134.16999999999999</v>
      </c>
      <c r="G213" s="14">
        <f t="shared" si="275"/>
        <v>188.55</v>
      </c>
      <c r="H213" s="14">
        <f t="shared" si="276"/>
        <v>744.13000000000011</v>
      </c>
      <c r="I213" s="300">
        <f t="shared" si="290"/>
        <v>32618.199999999997</v>
      </c>
      <c r="J213" s="300">
        <f t="shared" si="291"/>
        <v>51554.279999999984</v>
      </c>
      <c r="K213" s="300">
        <f t="shared" si="292"/>
        <v>50863.220000000008</v>
      </c>
      <c r="L213" s="449">
        <f t="shared" si="263"/>
        <v>12</v>
      </c>
      <c r="M213" s="449">
        <f t="shared" si="327"/>
        <v>154</v>
      </c>
      <c r="N213" s="300">
        <f t="shared" si="328"/>
        <v>193637.88000000015</v>
      </c>
      <c r="O213" s="300">
        <f t="shared" si="293"/>
        <v>1617.67</v>
      </c>
      <c r="P213" s="300">
        <f t="shared" si="336"/>
        <v>488.12000000000012</v>
      </c>
      <c r="Q213" s="300">
        <f t="shared" si="294"/>
        <v>1129.55</v>
      </c>
      <c r="R213" s="300">
        <f t="shared" si="281"/>
        <v>134.16999999999999</v>
      </c>
      <c r="S213" s="300">
        <f t="shared" si="282"/>
        <v>188.55</v>
      </c>
      <c r="T213" s="300">
        <f t="shared" si="279"/>
        <v>1940.39</v>
      </c>
      <c r="U213" s="300">
        <f t="shared" si="337"/>
        <v>49998.740000000013</v>
      </c>
      <c r="V213" s="300">
        <f t="shared" si="338"/>
        <v>200740.11000000007</v>
      </c>
      <c r="W213" s="300">
        <f t="shared" si="295"/>
        <v>193149.76000000015</v>
      </c>
      <c r="X213" s="535">
        <f t="shared" si="329"/>
        <v>50349</v>
      </c>
      <c r="Y213" s="300">
        <f t="shared" si="296"/>
        <v>278120.75</v>
      </c>
      <c r="Z213" s="527">
        <f t="shared" si="321"/>
        <v>7.0000000000000007E-2</v>
      </c>
      <c r="AA213" s="300">
        <f t="shared" si="322"/>
        <v>1746.44</v>
      </c>
      <c r="AB213" s="300">
        <f t="shared" si="297"/>
        <v>124.07000000000016</v>
      </c>
      <c r="AC213" s="300">
        <f t="shared" si="323"/>
        <v>1622.37</v>
      </c>
      <c r="AD213" s="300">
        <f t="shared" ref="AD213:AE213" si="343">+AD212</f>
        <v>134.16999999999999</v>
      </c>
      <c r="AE213" s="300">
        <f t="shared" si="343"/>
        <v>188.55</v>
      </c>
      <c r="AF213" s="300">
        <f t="shared" si="299"/>
        <v>2069.1600000000003</v>
      </c>
      <c r="AG213" s="300">
        <f t="shared" si="300"/>
        <v>36927.419999999976</v>
      </c>
      <c r="AH213" s="300">
        <f t="shared" si="301"/>
        <v>224724.57999999996</v>
      </c>
      <c r="AI213" s="545">
        <f t="shared" si="284"/>
        <v>-10913.150000000021</v>
      </c>
      <c r="AJ213" s="545">
        <f t="shared" si="242"/>
        <v>-84846.919999999838</v>
      </c>
      <c r="AK213" s="545">
        <f t="shared" si="285"/>
        <v>-95760.069999999861</v>
      </c>
      <c r="AL213" s="300">
        <f t="shared" si="302"/>
        <v>277996.68</v>
      </c>
      <c r="AM213" s="449">
        <f t="shared" si="331"/>
        <v>12</v>
      </c>
      <c r="AN213" s="14">
        <f t="shared" si="286"/>
        <v>1196.26</v>
      </c>
      <c r="AO213" s="14">
        <f t="shared" si="261"/>
        <v>214374.02999999994</v>
      </c>
      <c r="AP213" s="14">
        <f t="shared" si="287"/>
        <v>1325.03</v>
      </c>
      <c r="AS213" s="14">
        <f t="shared" si="325"/>
        <v>1196.26</v>
      </c>
      <c r="AT213" s="14">
        <f t="shared" si="332"/>
        <v>184939.74000000017</v>
      </c>
      <c r="AU213" s="300">
        <f t="shared" si="333"/>
        <v>996.59590711812723</v>
      </c>
      <c r="AV213" s="300">
        <f t="shared" si="334"/>
        <v>156486.458754369</v>
      </c>
    </row>
    <row r="214" spans="1:48" x14ac:dyDescent="0.25">
      <c r="A214" s="535">
        <f t="shared" si="289"/>
        <v>50379</v>
      </c>
      <c r="B214" s="300">
        <f t="shared" si="326"/>
        <v>50863.220000000008</v>
      </c>
      <c r="C214" s="14">
        <f t="shared" si="319"/>
        <v>421.41</v>
      </c>
      <c r="D214" s="14">
        <f t="shared" si="335"/>
        <v>230.67000000000002</v>
      </c>
      <c r="E214" s="14">
        <f t="shared" si="320"/>
        <v>190.74</v>
      </c>
      <c r="F214" s="14">
        <f t="shared" si="278"/>
        <v>134.16999999999999</v>
      </c>
      <c r="G214" s="14">
        <f t="shared" si="275"/>
        <v>188.55</v>
      </c>
      <c r="H214" s="14">
        <f t="shared" si="276"/>
        <v>744.13000000000011</v>
      </c>
      <c r="I214" s="300">
        <f t="shared" si="290"/>
        <v>32848.869999999995</v>
      </c>
      <c r="J214" s="300">
        <f t="shared" si="291"/>
        <v>51745.019999999982</v>
      </c>
      <c r="K214" s="300">
        <f t="shared" si="292"/>
        <v>50632.55000000001</v>
      </c>
      <c r="L214" s="449">
        <f t="shared" si="263"/>
        <v>12</v>
      </c>
      <c r="M214" s="449">
        <f t="shared" si="327"/>
        <v>155</v>
      </c>
      <c r="N214" s="300">
        <f t="shared" si="328"/>
        <v>193149.76000000015</v>
      </c>
      <c r="O214" s="300">
        <f t="shared" si="293"/>
        <v>1617.67</v>
      </c>
      <c r="P214" s="300">
        <f t="shared" si="336"/>
        <v>490.96000000000004</v>
      </c>
      <c r="Q214" s="300">
        <f t="shared" si="294"/>
        <v>1126.71</v>
      </c>
      <c r="R214" s="300">
        <f t="shared" si="281"/>
        <v>134.16999999999999</v>
      </c>
      <c r="S214" s="300">
        <f t="shared" si="282"/>
        <v>188.55</v>
      </c>
      <c r="T214" s="300">
        <f t="shared" si="279"/>
        <v>1940.39</v>
      </c>
      <c r="U214" s="300">
        <f t="shared" si="337"/>
        <v>50489.700000000012</v>
      </c>
      <c r="V214" s="300">
        <f t="shared" si="338"/>
        <v>201866.82000000007</v>
      </c>
      <c r="W214" s="300">
        <f t="shared" si="295"/>
        <v>192658.80000000016</v>
      </c>
      <c r="X214" s="535">
        <f t="shared" si="329"/>
        <v>50379</v>
      </c>
      <c r="Y214" s="300">
        <f t="shared" si="296"/>
        <v>277996.68</v>
      </c>
      <c r="Z214" s="527">
        <f t="shared" si="321"/>
        <v>7.0000000000000007E-2</v>
      </c>
      <c r="AA214" s="300">
        <f t="shared" si="322"/>
        <v>1746.44</v>
      </c>
      <c r="AB214" s="300">
        <f t="shared" si="297"/>
        <v>124.78999999999996</v>
      </c>
      <c r="AC214" s="300">
        <f t="shared" si="323"/>
        <v>1621.65</v>
      </c>
      <c r="AD214" s="300">
        <f t="shared" ref="AD214:AE214" si="344">+AD213</f>
        <v>134.16999999999999</v>
      </c>
      <c r="AE214" s="300">
        <f t="shared" si="344"/>
        <v>188.55</v>
      </c>
      <c r="AF214" s="300">
        <f t="shared" si="299"/>
        <v>2069.1600000000003</v>
      </c>
      <c r="AG214" s="300">
        <f t="shared" si="300"/>
        <v>37052.209999999977</v>
      </c>
      <c r="AH214" s="300">
        <f t="shared" si="301"/>
        <v>226346.22999999995</v>
      </c>
      <c r="AI214" s="545">
        <f t="shared" si="284"/>
        <v>-11041.920000000022</v>
      </c>
      <c r="AJ214" s="545">
        <f t="shared" si="242"/>
        <v>-85213.089999999851</v>
      </c>
      <c r="AK214" s="545">
        <f t="shared" si="285"/>
        <v>-96255.009999999878</v>
      </c>
      <c r="AL214" s="300">
        <f t="shared" si="302"/>
        <v>277871.89</v>
      </c>
      <c r="AM214" s="449">
        <f t="shared" si="331"/>
        <v>12</v>
      </c>
      <c r="AN214" s="14">
        <f t="shared" si="286"/>
        <v>1196.26</v>
      </c>
      <c r="AO214" s="14">
        <f t="shared" si="261"/>
        <v>214113.73999999993</v>
      </c>
      <c r="AP214" s="14">
        <f t="shared" si="287"/>
        <v>1325.03</v>
      </c>
      <c r="AS214" s="14">
        <f t="shared" si="325"/>
        <v>1196.26</v>
      </c>
      <c r="AT214" s="14">
        <f t="shared" si="332"/>
        <v>186136.00000000017</v>
      </c>
      <c r="AU214" s="300">
        <f t="shared" si="333"/>
        <v>999.08739688592243</v>
      </c>
      <c r="AV214" s="300">
        <f t="shared" si="334"/>
        <v>157485.54615125491</v>
      </c>
    </row>
    <row r="215" spans="1:48" x14ac:dyDescent="0.25">
      <c r="A215" s="535">
        <f t="shared" si="289"/>
        <v>50409</v>
      </c>
      <c r="B215" s="300">
        <f t="shared" si="326"/>
        <v>50632.55000000001</v>
      </c>
      <c r="C215" s="14">
        <f t="shared" si="319"/>
        <v>421.41</v>
      </c>
      <c r="D215" s="14">
        <f t="shared" si="335"/>
        <v>231.54000000000002</v>
      </c>
      <c r="E215" s="14">
        <f t="shared" si="320"/>
        <v>189.87</v>
      </c>
      <c r="F215" s="14">
        <f t="shared" si="278"/>
        <v>134.16999999999999</v>
      </c>
      <c r="G215" s="14">
        <f t="shared" si="275"/>
        <v>188.55</v>
      </c>
      <c r="H215" s="14">
        <f t="shared" si="276"/>
        <v>744.13000000000011</v>
      </c>
      <c r="I215" s="300">
        <f t="shared" si="290"/>
        <v>33080.409999999996</v>
      </c>
      <c r="J215" s="300">
        <f t="shared" si="291"/>
        <v>51934.889999999985</v>
      </c>
      <c r="K215" s="300">
        <f t="shared" si="292"/>
        <v>50401.010000000009</v>
      </c>
      <c r="L215" s="449">
        <f t="shared" si="263"/>
        <v>13</v>
      </c>
      <c r="M215" s="449">
        <f t="shared" si="327"/>
        <v>156</v>
      </c>
      <c r="N215" s="300">
        <f t="shared" si="328"/>
        <v>192658.80000000016</v>
      </c>
      <c r="O215" s="300">
        <f t="shared" si="293"/>
        <v>1617.67</v>
      </c>
      <c r="P215" s="300">
        <f t="shared" si="336"/>
        <v>493.83000000000015</v>
      </c>
      <c r="Q215" s="300">
        <f t="shared" si="294"/>
        <v>1123.8399999999999</v>
      </c>
      <c r="R215" s="300">
        <f t="shared" si="281"/>
        <v>134.16999999999999</v>
      </c>
      <c r="S215" s="300">
        <f t="shared" si="282"/>
        <v>188.55</v>
      </c>
      <c r="T215" s="300">
        <f t="shared" si="279"/>
        <v>1940.39</v>
      </c>
      <c r="U215" s="300">
        <f t="shared" si="337"/>
        <v>50983.530000000013</v>
      </c>
      <c r="V215" s="300">
        <f t="shared" si="338"/>
        <v>202990.66000000006</v>
      </c>
      <c r="W215" s="300">
        <f t="shared" si="295"/>
        <v>192164.97000000018</v>
      </c>
      <c r="X215" s="535">
        <f t="shared" si="329"/>
        <v>50409</v>
      </c>
      <c r="Y215" s="300">
        <f t="shared" si="296"/>
        <v>277871.89</v>
      </c>
      <c r="Z215" s="527">
        <f t="shared" si="321"/>
        <v>7.0000000000000007E-2</v>
      </c>
      <c r="AA215" s="300">
        <f t="shared" si="322"/>
        <v>1746.44</v>
      </c>
      <c r="AB215" s="300">
        <f t="shared" si="297"/>
        <v>125.51999999999998</v>
      </c>
      <c r="AC215" s="300">
        <f t="shared" si="323"/>
        <v>1620.92</v>
      </c>
      <c r="AD215" s="300">
        <f t="shared" ref="AD215:AE215" si="345">+AD214</f>
        <v>134.16999999999999</v>
      </c>
      <c r="AE215" s="300">
        <f t="shared" si="345"/>
        <v>188.55</v>
      </c>
      <c r="AF215" s="300">
        <f t="shared" si="299"/>
        <v>2069.1600000000003</v>
      </c>
      <c r="AG215" s="300">
        <f t="shared" si="300"/>
        <v>37177.729999999974</v>
      </c>
      <c r="AH215" s="300">
        <f t="shared" si="301"/>
        <v>227967.14999999997</v>
      </c>
      <c r="AI215" s="545">
        <f t="shared" si="284"/>
        <v>-11170.690000000022</v>
      </c>
      <c r="AJ215" s="545">
        <f t="shared" si="242"/>
        <v>-85581.39999999982</v>
      </c>
      <c r="AK215" s="545">
        <f t="shared" si="285"/>
        <v>-96752.089999999836</v>
      </c>
      <c r="AL215" s="300">
        <f t="shared" si="302"/>
        <v>277746.37</v>
      </c>
      <c r="AM215" s="449">
        <f t="shared" si="331"/>
        <v>13</v>
      </c>
      <c r="AN215" s="14">
        <f t="shared" si="286"/>
        <v>1196.26</v>
      </c>
      <c r="AO215" s="14">
        <f t="shared" si="261"/>
        <v>213851.44999999995</v>
      </c>
      <c r="AP215" s="14">
        <f t="shared" si="287"/>
        <v>1325.03</v>
      </c>
      <c r="AS215" s="14">
        <f t="shared" si="325"/>
        <v>1196.26</v>
      </c>
      <c r="AT215" s="14">
        <f t="shared" si="332"/>
        <v>187332.26000000018</v>
      </c>
      <c r="AU215" s="300">
        <f t="shared" si="333"/>
        <v>1001.5851153781373</v>
      </c>
      <c r="AV215" s="300">
        <f t="shared" si="334"/>
        <v>158487.13126663305</v>
      </c>
    </row>
    <row r="216" spans="1:48" x14ac:dyDescent="0.25">
      <c r="A216" s="535">
        <f t="shared" si="289"/>
        <v>50439</v>
      </c>
      <c r="B216" s="300">
        <f t="shared" si="326"/>
        <v>50401.010000000009</v>
      </c>
      <c r="C216" s="14">
        <f t="shared" si="319"/>
        <v>421.41</v>
      </c>
      <c r="D216" s="14">
        <f t="shared" si="335"/>
        <v>232.41000000000003</v>
      </c>
      <c r="E216" s="14">
        <f t="shared" si="320"/>
        <v>189</v>
      </c>
      <c r="F216" s="14">
        <f t="shared" si="278"/>
        <v>134.16999999999999</v>
      </c>
      <c r="G216" s="14">
        <f t="shared" si="275"/>
        <v>188.55</v>
      </c>
      <c r="H216" s="14">
        <f t="shared" si="276"/>
        <v>744.13000000000011</v>
      </c>
      <c r="I216" s="300">
        <f t="shared" si="290"/>
        <v>33312.82</v>
      </c>
      <c r="J216" s="300">
        <f t="shared" si="291"/>
        <v>52123.889999999985</v>
      </c>
      <c r="K216" s="300">
        <f t="shared" si="292"/>
        <v>50168.600000000006</v>
      </c>
      <c r="L216" s="449">
        <f t="shared" si="263"/>
        <v>13</v>
      </c>
      <c r="M216" s="449">
        <f t="shared" si="327"/>
        <v>157</v>
      </c>
      <c r="N216" s="300">
        <f t="shared" si="328"/>
        <v>192164.97000000018</v>
      </c>
      <c r="O216" s="300">
        <f t="shared" si="293"/>
        <v>1617.67</v>
      </c>
      <c r="P216" s="300">
        <f t="shared" si="336"/>
        <v>496.71000000000004</v>
      </c>
      <c r="Q216" s="300">
        <f t="shared" si="294"/>
        <v>1120.96</v>
      </c>
      <c r="R216" s="300">
        <f t="shared" si="281"/>
        <v>134.16999999999999</v>
      </c>
      <c r="S216" s="300">
        <f t="shared" si="282"/>
        <v>188.55</v>
      </c>
      <c r="T216" s="300">
        <f t="shared" si="279"/>
        <v>1940.39</v>
      </c>
      <c r="U216" s="300">
        <f t="shared" si="337"/>
        <v>51480.240000000013</v>
      </c>
      <c r="V216" s="300">
        <f t="shared" si="338"/>
        <v>204111.62000000005</v>
      </c>
      <c r="W216" s="300">
        <f t="shared" si="295"/>
        <v>191668.26000000018</v>
      </c>
      <c r="X216" s="535">
        <f t="shared" si="329"/>
        <v>50439</v>
      </c>
      <c r="Y216" s="300">
        <f t="shared" si="296"/>
        <v>277746.37</v>
      </c>
      <c r="Z216" s="527">
        <f t="shared" si="321"/>
        <v>7.0000000000000007E-2</v>
      </c>
      <c r="AA216" s="300">
        <f t="shared" si="322"/>
        <v>1746.44</v>
      </c>
      <c r="AB216" s="300">
        <f t="shared" si="297"/>
        <v>126.25</v>
      </c>
      <c r="AC216" s="300">
        <f t="shared" si="323"/>
        <v>1620.19</v>
      </c>
      <c r="AD216" s="300">
        <f t="shared" ref="AD216:AE216" si="346">+AD215</f>
        <v>134.16999999999999</v>
      </c>
      <c r="AE216" s="300">
        <f t="shared" si="346"/>
        <v>188.55</v>
      </c>
      <c r="AF216" s="300">
        <f t="shared" si="299"/>
        <v>2069.1600000000003</v>
      </c>
      <c r="AG216" s="300">
        <f t="shared" si="300"/>
        <v>37303.979999999974</v>
      </c>
      <c r="AH216" s="300">
        <f t="shared" si="301"/>
        <v>229587.33999999997</v>
      </c>
      <c r="AI216" s="545">
        <f t="shared" si="284"/>
        <v>-11299.460000000023</v>
      </c>
      <c r="AJ216" s="545">
        <f t="shared" si="242"/>
        <v>-85951.859999999811</v>
      </c>
      <c r="AK216" s="545">
        <f t="shared" si="285"/>
        <v>-97251.319999999832</v>
      </c>
      <c r="AL216" s="300">
        <f t="shared" si="302"/>
        <v>277620.12</v>
      </c>
      <c r="AM216" s="449">
        <f t="shared" si="331"/>
        <v>13</v>
      </c>
      <c r="AN216" s="14">
        <f t="shared" si="286"/>
        <v>1196.26</v>
      </c>
      <c r="AO216" s="14">
        <f t="shared" si="261"/>
        <v>213587.14999999994</v>
      </c>
      <c r="AP216" s="14">
        <f t="shared" si="287"/>
        <v>1325.03</v>
      </c>
      <c r="AS216" s="14">
        <f t="shared" si="325"/>
        <v>1196.26</v>
      </c>
      <c r="AT216" s="14">
        <f t="shared" si="332"/>
        <v>188528.52000000019</v>
      </c>
      <c r="AU216" s="300">
        <f t="shared" si="333"/>
        <v>1004.0890781665826</v>
      </c>
      <c r="AV216" s="300">
        <f t="shared" si="334"/>
        <v>159491.22034479963</v>
      </c>
    </row>
    <row r="217" spans="1:48" x14ac:dyDescent="0.25">
      <c r="A217" s="535">
        <f t="shared" si="289"/>
        <v>50469</v>
      </c>
      <c r="B217" s="300">
        <f t="shared" si="326"/>
        <v>50168.600000000006</v>
      </c>
      <c r="C217" s="14">
        <f t="shared" si="319"/>
        <v>421.41</v>
      </c>
      <c r="D217" s="14">
        <f t="shared" si="335"/>
        <v>233.28000000000003</v>
      </c>
      <c r="E217" s="14">
        <f t="shared" si="320"/>
        <v>188.13</v>
      </c>
      <c r="F217" s="14">
        <f t="shared" si="278"/>
        <v>134.16999999999999</v>
      </c>
      <c r="G217" s="14">
        <f t="shared" si="275"/>
        <v>188.55</v>
      </c>
      <c r="H217" s="14">
        <f t="shared" si="276"/>
        <v>744.13000000000011</v>
      </c>
      <c r="I217" s="300">
        <f t="shared" si="290"/>
        <v>33546.1</v>
      </c>
      <c r="J217" s="300">
        <f t="shared" si="291"/>
        <v>52312.019999999982</v>
      </c>
      <c r="K217" s="300">
        <f t="shared" si="292"/>
        <v>49935.320000000007</v>
      </c>
      <c r="L217" s="449">
        <f t="shared" si="263"/>
        <v>13</v>
      </c>
      <c r="M217" s="449">
        <f t="shared" si="327"/>
        <v>158</v>
      </c>
      <c r="N217" s="300">
        <f t="shared" si="328"/>
        <v>191668.26000000018</v>
      </c>
      <c r="O217" s="300">
        <f t="shared" si="293"/>
        <v>1617.67</v>
      </c>
      <c r="P217" s="300">
        <f t="shared" si="336"/>
        <v>499.61000000000013</v>
      </c>
      <c r="Q217" s="300">
        <f t="shared" si="294"/>
        <v>1118.06</v>
      </c>
      <c r="R217" s="300">
        <f t="shared" si="281"/>
        <v>134.16999999999999</v>
      </c>
      <c r="S217" s="300">
        <f t="shared" si="282"/>
        <v>188.55</v>
      </c>
      <c r="T217" s="300">
        <f t="shared" si="279"/>
        <v>1940.39</v>
      </c>
      <c r="U217" s="300">
        <f t="shared" si="337"/>
        <v>51979.850000000013</v>
      </c>
      <c r="V217" s="300">
        <f t="shared" si="338"/>
        <v>205229.68000000005</v>
      </c>
      <c r="W217" s="300">
        <f t="shared" si="295"/>
        <v>191168.6500000002</v>
      </c>
      <c r="X217" s="535">
        <f t="shared" si="329"/>
        <v>50469</v>
      </c>
      <c r="Y217" s="300">
        <f t="shared" si="296"/>
        <v>277620.12</v>
      </c>
      <c r="Z217" s="527">
        <f t="shared" si="321"/>
        <v>7.0000000000000007E-2</v>
      </c>
      <c r="AA217" s="300">
        <f t="shared" si="322"/>
        <v>1746.44</v>
      </c>
      <c r="AB217" s="300">
        <f t="shared" si="297"/>
        <v>126.99000000000001</v>
      </c>
      <c r="AC217" s="300">
        <f t="shared" si="323"/>
        <v>1619.45</v>
      </c>
      <c r="AD217" s="300">
        <f t="shared" ref="AD217:AE217" si="347">+AD216</f>
        <v>134.16999999999999</v>
      </c>
      <c r="AE217" s="300">
        <f t="shared" si="347"/>
        <v>188.55</v>
      </c>
      <c r="AF217" s="300">
        <f t="shared" si="299"/>
        <v>2069.1600000000003</v>
      </c>
      <c r="AG217" s="300">
        <f t="shared" si="300"/>
        <v>37430.969999999972</v>
      </c>
      <c r="AH217" s="300">
        <f t="shared" si="301"/>
        <v>231206.78999999998</v>
      </c>
      <c r="AI217" s="545">
        <f t="shared" si="284"/>
        <v>-11428.230000000023</v>
      </c>
      <c r="AJ217" s="545">
        <f t="shared" si="242"/>
        <v>-86324.479999999807</v>
      </c>
      <c r="AK217" s="545">
        <f t="shared" si="285"/>
        <v>-97752.709999999832</v>
      </c>
      <c r="AL217" s="300">
        <f t="shared" si="302"/>
        <v>277493.13</v>
      </c>
      <c r="AM217" s="449">
        <f t="shared" si="331"/>
        <v>13</v>
      </c>
      <c r="AN217" s="14">
        <f t="shared" si="286"/>
        <v>1196.26</v>
      </c>
      <c r="AO217" s="14">
        <f t="shared" si="261"/>
        <v>213320.81999999998</v>
      </c>
      <c r="AP217" s="14">
        <f t="shared" si="287"/>
        <v>1325.03</v>
      </c>
      <c r="AS217" s="14">
        <f t="shared" si="325"/>
        <v>1196.26</v>
      </c>
      <c r="AT217" s="14">
        <f t="shared" si="332"/>
        <v>189724.7800000002</v>
      </c>
      <c r="AU217" s="300">
        <f t="shared" si="333"/>
        <v>1006.599300861999</v>
      </c>
      <c r="AV217" s="300">
        <f t="shared" si="334"/>
        <v>160497.81964566163</v>
      </c>
    </row>
    <row r="218" spans="1:48" ht="15.75" thickBot="1" x14ac:dyDescent="0.3">
      <c r="A218" s="538">
        <f t="shared" si="289"/>
        <v>50499</v>
      </c>
      <c r="B218" s="369">
        <f t="shared" si="326"/>
        <v>49935.320000000007</v>
      </c>
      <c r="C218" s="21">
        <f t="shared" si="319"/>
        <v>421.41</v>
      </c>
      <c r="D218" s="21">
        <f t="shared" si="335"/>
        <v>234.15000000000003</v>
      </c>
      <c r="E218" s="21">
        <f t="shared" si="320"/>
        <v>187.26</v>
      </c>
      <c r="F218" s="21">
        <f t="shared" si="278"/>
        <v>134.16999999999999</v>
      </c>
      <c r="G218" s="21">
        <f t="shared" si="275"/>
        <v>188.55</v>
      </c>
      <c r="H218" s="21">
        <f t="shared" si="276"/>
        <v>744.13000000000011</v>
      </c>
      <c r="I218" s="369">
        <f t="shared" si="290"/>
        <v>33780.25</v>
      </c>
      <c r="J218" s="369">
        <f t="shared" si="291"/>
        <v>52499.279999999984</v>
      </c>
      <c r="K218" s="369">
        <f t="shared" si="292"/>
        <v>49701.170000000006</v>
      </c>
      <c r="L218" s="450">
        <f t="shared" si="263"/>
        <v>13</v>
      </c>
      <c r="M218" s="450">
        <f t="shared" si="327"/>
        <v>159</v>
      </c>
      <c r="N218" s="369">
        <f t="shared" si="328"/>
        <v>191168.6500000002</v>
      </c>
      <c r="O218" s="369">
        <f t="shared" si="293"/>
        <v>1617.67</v>
      </c>
      <c r="P218" s="369">
        <f t="shared" si="336"/>
        <v>502.52</v>
      </c>
      <c r="Q218" s="369">
        <f t="shared" si="294"/>
        <v>1115.1500000000001</v>
      </c>
      <c r="R218" s="369">
        <f t="shared" si="281"/>
        <v>134.16999999999999</v>
      </c>
      <c r="S218" s="369">
        <f t="shared" si="282"/>
        <v>188.55</v>
      </c>
      <c r="T218" s="369">
        <f t="shared" si="279"/>
        <v>1940.39</v>
      </c>
      <c r="U218" s="369">
        <f t="shared" si="337"/>
        <v>52482.37000000001</v>
      </c>
      <c r="V218" s="369">
        <f t="shared" si="338"/>
        <v>206344.83000000005</v>
      </c>
      <c r="W218" s="369">
        <f t="shared" si="295"/>
        <v>190666.13000000021</v>
      </c>
      <c r="X218" s="538">
        <f t="shared" si="329"/>
        <v>50499</v>
      </c>
      <c r="Y218" s="369">
        <f t="shared" si="296"/>
        <v>277493.13</v>
      </c>
      <c r="Z218" s="528">
        <f t="shared" si="321"/>
        <v>7.0000000000000007E-2</v>
      </c>
      <c r="AA218" s="369">
        <f t="shared" si="322"/>
        <v>1746.44</v>
      </c>
      <c r="AB218" s="369">
        <f t="shared" si="297"/>
        <v>127.73000000000002</v>
      </c>
      <c r="AC218" s="369">
        <f t="shared" si="323"/>
        <v>1618.71</v>
      </c>
      <c r="AD218" s="369">
        <f t="shared" ref="AD218:AE218" si="348">+AD217</f>
        <v>134.16999999999999</v>
      </c>
      <c r="AE218" s="369">
        <f t="shared" si="348"/>
        <v>188.55</v>
      </c>
      <c r="AF218" s="369">
        <f t="shared" si="299"/>
        <v>2069.1600000000003</v>
      </c>
      <c r="AG218" s="369">
        <f t="shared" si="300"/>
        <v>37558.699999999975</v>
      </c>
      <c r="AH218" s="369">
        <f t="shared" si="301"/>
        <v>232825.49999999997</v>
      </c>
      <c r="AI218" s="546">
        <f t="shared" si="284"/>
        <v>-11557.000000000024</v>
      </c>
      <c r="AJ218" s="546">
        <f t="shared" si="242"/>
        <v>-86699.269999999815</v>
      </c>
      <c r="AK218" s="545">
        <f t="shared" si="285"/>
        <v>-98256.269999999844</v>
      </c>
      <c r="AL218" s="369">
        <f t="shared" si="302"/>
        <v>277365.40000000002</v>
      </c>
      <c r="AM218" s="450">
        <f t="shared" si="331"/>
        <v>13</v>
      </c>
      <c r="AN218" s="21">
        <f t="shared" si="286"/>
        <v>1196.26</v>
      </c>
      <c r="AO218" s="21">
        <f t="shared" si="261"/>
        <v>213052.44999999995</v>
      </c>
      <c r="AP218" s="21">
        <f t="shared" si="287"/>
        <v>1325.03</v>
      </c>
      <c r="AQ218" s="21"/>
      <c r="AR218" s="23"/>
      <c r="AS218" s="21">
        <f t="shared" si="325"/>
        <v>1196.26</v>
      </c>
      <c r="AT218" s="21">
        <f t="shared" si="332"/>
        <v>190921.04000000021</v>
      </c>
      <c r="AU218" s="369">
        <f t="shared" si="333"/>
        <v>1009.115799114154</v>
      </c>
      <c r="AV218" s="369">
        <f t="shared" si="334"/>
        <v>161506.93544477579</v>
      </c>
    </row>
    <row r="219" spans="1:48" x14ac:dyDescent="0.25">
      <c r="A219" s="535">
        <f t="shared" si="289"/>
        <v>50529</v>
      </c>
      <c r="B219" s="300">
        <f t="shared" si="326"/>
        <v>49701.170000000006</v>
      </c>
      <c r="C219" s="14">
        <f t="shared" si="319"/>
        <v>421.41</v>
      </c>
      <c r="D219" s="14">
        <f t="shared" si="335"/>
        <v>235.03000000000003</v>
      </c>
      <c r="E219" s="14">
        <f t="shared" si="320"/>
        <v>186.38</v>
      </c>
      <c r="F219" s="14">
        <f t="shared" si="278"/>
        <v>134.16999999999999</v>
      </c>
      <c r="G219" s="14">
        <f t="shared" si="275"/>
        <v>188.55</v>
      </c>
      <c r="H219" s="14">
        <f t="shared" si="276"/>
        <v>744.13000000000011</v>
      </c>
      <c r="I219" s="300">
        <f t="shared" si="290"/>
        <v>34015.279999999999</v>
      </c>
      <c r="J219" s="300">
        <f t="shared" si="291"/>
        <v>52685.659999999982</v>
      </c>
      <c r="K219" s="300">
        <f t="shared" si="292"/>
        <v>49466.140000000007</v>
      </c>
      <c r="L219" s="449">
        <f t="shared" si="263"/>
        <v>13</v>
      </c>
      <c r="M219" s="449">
        <f t="shared" si="327"/>
        <v>160</v>
      </c>
      <c r="N219" s="300">
        <f t="shared" si="328"/>
        <v>190666.13000000021</v>
      </c>
      <c r="O219" s="300">
        <f t="shared" si="293"/>
        <v>1617.67</v>
      </c>
      <c r="P219" s="300">
        <f t="shared" si="336"/>
        <v>505.45000000000005</v>
      </c>
      <c r="Q219" s="300">
        <f t="shared" si="294"/>
        <v>1112.22</v>
      </c>
      <c r="R219" s="300">
        <f t="shared" si="281"/>
        <v>134.16999999999999</v>
      </c>
      <c r="S219" s="300">
        <f t="shared" si="282"/>
        <v>188.55</v>
      </c>
      <c r="T219" s="300">
        <f t="shared" si="279"/>
        <v>1940.39</v>
      </c>
      <c r="U219" s="300">
        <f t="shared" si="337"/>
        <v>52987.820000000007</v>
      </c>
      <c r="V219" s="300">
        <f t="shared" si="338"/>
        <v>207457.05000000005</v>
      </c>
      <c r="W219" s="300">
        <f t="shared" si="295"/>
        <v>190160.6800000002</v>
      </c>
      <c r="X219" s="535">
        <f t="shared" si="329"/>
        <v>50529</v>
      </c>
      <c r="Y219" s="300">
        <f t="shared" si="296"/>
        <v>277365.40000000002</v>
      </c>
      <c r="Z219" s="527">
        <f t="shared" si="321"/>
        <v>7.0000000000000007E-2</v>
      </c>
      <c r="AA219" s="300">
        <f t="shared" si="322"/>
        <v>1746.44</v>
      </c>
      <c r="AB219" s="300">
        <f t="shared" si="297"/>
        <v>128.48000000000002</v>
      </c>
      <c r="AC219" s="300">
        <f t="shared" si="323"/>
        <v>1617.96</v>
      </c>
      <c r="AD219" s="300">
        <f t="shared" ref="AD219:AE219" si="349">+AD218</f>
        <v>134.16999999999999</v>
      </c>
      <c r="AE219" s="300">
        <f t="shared" si="349"/>
        <v>188.55</v>
      </c>
      <c r="AF219" s="300">
        <f t="shared" si="299"/>
        <v>2069.1600000000003</v>
      </c>
      <c r="AG219" s="300">
        <f t="shared" si="300"/>
        <v>37687.179999999978</v>
      </c>
      <c r="AH219" s="300">
        <f t="shared" si="301"/>
        <v>234443.45999999996</v>
      </c>
      <c r="AI219" s="545">
        <f t="shared" si="284"/>
        <v>-11685.770000000024</v>
      </c>
      <c r="AJ219" s="545">
        <f t="shared" ref="AJ219:AJ282" si="350">+W219-AL219</f>
        <v>-87076.239999999845</v>
      </c>
      <c r="AK219" s="545">
        <f t="shared" si="285"/>
        <v>-98762.009999999864</v>
      </c>
      <c r="AL219" s="300">
        <f t="shared" si="302"/>
        <v>277236.92000000004</v>
      </c>
      <c r="AM219" s="449">
        <f t="shared" si="331"/>
        <v>13</v>
      </c>
      <c r="AN219" s="14">
        <f t="shared" si="286"/>
        <v>1196.26</v>
      </c>
      <c r="AO219" s="14">
        <f t="shared" si="261"/>
        <v>212782.02999999997</v>
      </c>
      <c r="AP219" s="14">
        <f t="shared" si="287"/>
        <v>1325.03</v>
      </c>
      <c r="AS219" s="14">
        <f t="shared" si="325"/>
        <v>1196.26</v>
      </c>
      <c r="AT219" s="14">
        <f t="shared" si="332"/>
        <v>192117.30000000022</v>
      </c>
      <c r="AU219" s="300">
        <f t="shared" si="333"/>
        <v>1011.6385886119396</v>
      </c>
      <c r="AV219" s="300">
        <f t="shared" si="334"/>
        <v>162518.57403338773</v>
      </c>
    </row>
    <row r="220" spans="1:48" x14ac:dyDescent="0.25">
      <c r="A220" s="535">
        <f t="shared" si="289"/>
        <v>50559</v>
      </c>
      <c r="B220" s="300">
        <f t="shared" si="326"/>
        <v>49466.140000000007</v>
      </c>
      <c r="C220" s="14">
        <f t="shared" si="319"/>
        <v>421.41</v>
      </c>
      <c r="D220" s="14">
        <f t="shared" si="335"/>
        <v>235.91000000000003</v>
      </c>
      <c r="E220" s="14">
        <f t="shared" si="320"/>
        <v>185.5</v>
      </c>
      <c r="F220" s="14">
        <f t="shared" si="278"/>
        <v>134.16999999999999</v>
      </c>
      <c r="G220" s="14">
        <f t="shared" si="275"/>
        <v>188.55</v>
      </c>
      <c r="H220" s="14">
        <f t="shared" si="276"/>
        <v>744.13000000000011</v>
      </c>
      <c r="I220" s="300">
        <f t="shared" si="290"/>
        <v>34251.19</v>
      </c>
      <c r="J220" s="300">
        <f t="shared" si="291"/>
        <v>52871.159999999982</v>
      </c>
      <c r="K220" s="300">
        <f t="shared" si="292"/>
        <v>49230.23</v>
      </c>
      <c r="L220" s="449">
        <f t="shared" si="263"/>
        <v>13</v>
      </c>
      <c r="M220" s="449">
        <f t="shared" si="327"/>
        <v>161</v>
      </c>
      <c r="N220" s="300">
        <f t="shared" si="328"/>
        <v>190160.6800000002</v>
      </c>
      <c r="O220" s="300">
        <f t="shared" si="293"/>
        <v>1617.67</v>
      </c>
      <c r="P220" s="300">
        <f t="shared" si="336"/>
        <v>508.40000000000009</v>
      </c>
      <c r="Q220" s="300">
        <f t="shared" si="294"/>
        <v>1109.27</v>
      </c>
      <c r="R220" s="300">
        <f t="shared" si="281"/>
        <v>134.16999999999999</v>
      </c>
      <c r="S220" s="300">
        <f t="shared" si="282"/>
        <v>188.55</v>
      </c>
      <c r="T220" s="300">
        <f t="shared" si="279"/>
        <v>1940.39</v>
      </c>
      <c r="U220" s="300">
        <f t="shared" si="337"/>
        <v>53496.220000000008</v>
      </c>
      <c r="V220" s="300">
        <f t="shared" si="338"/>
        <v>208566.32000000004</v>
      </c>
      <c r="W220" s="300">
        <f t="shared" si="295"/>
        <v>189652.2800000002</v>
      </c>
      <c r="X220" s="535">
        <f t="shared" si="329"/>
        <v>50559</v>
      </c>
      <c r="Y220" s="300">
        <f t="shared" si="296"/>
        <v>277236.92000000004</v>
      </c>
      <c r="Z220" s="527">
        <f t="shared" si="321"/>
        <v>7.0000000000000007E-2</v>
      </c>
      <c r="AA220" s="300">
        <f t="shared" si="322"/>
        <v>1746.44</v>
      </c>
      <c r="AB220" s="300">
        <f t="shared" si="297"/>
        <v>129.22000000000003</v>
      </c>
      <c r="AC220" s="300">
        <f t="shared" si="323"/>
        <v>1617.22</v>
      </c>
      <c r="AD220" s="300">
        <f t="shared" ref="AD220:AE220" si="351">+AD219</f>
        <v>134.16999999999999</v>
      </c>
      <c r="AE220" s="300">
        <f t="shared" si="351"/>
        <v>188.55</v>
      </c>
      <c r="AF220" s="300">
        <f t="shared" si="299"/>
        <v>2069.1600000000003</v>
      </c>
      <c r="AG220" s="300">
        <f t="shared" si="300"/>
        <v>37816.39999999998</v>
      </c>
      <c r="AH220" s="300">
        <f t="shared" si="301"/>
        <v>236060.67999999996</v>
      </c>
      <c r="AI220" s="545">
        <f t="shared" si="284"/>
        <v>-11814.540000000025</v>
      </c>
      <c r="AJ220" s="545">
        <f t="shared" si="350"/>
        <v>-87455.419999999867</v>
      </c>
      <c r="AK220" s="545">
        <f t="shared" si="285"/>
        <v>-99269.95999999989</v>
      </c>
      <c r="AL220" s="300">
        <f t="shared" si="302"/>
        <v>277107.70000000007</v>
      </c>
      <c r="AM220" s="449">
        <f t="shared" si="331"/>
        <v>13</v>
      </c>
      <c r="AN220" s="14">
        <f t="shared" si="286"/>
        <v>1196.26</v>
      </c>
      <c r="AO220" s="14">
        <f t="shared" si="261"/>
        <v>212509.54</v>
      </c>
      <c r="AP220" s="14">
        <f t="shared" si="287"/>
        <v>1325.03</v>
      </c>
      <c r="AS220" s="14">
        <f t="shared" si="325"/>
        <v>1196.26</v>
      </c>
      <c r="AT220" s="14">
        <f t="shared" si="332"/>
        <v>193313.56000000023</v>
      </c>
      <c r="AU220" s="300">
        <f t="shared" si="333"/>
        <v>1014.1676850834692</v>
      </c>
      <c r="AV220" s="300">
        <f t="shared" si="334"/>
        <v>163532.7417184712</v>
      </c>
    </row>
    <row r="221" spans="1:48" x14ac:dyDescent="0.25">
      <c r="A221" s="535">
        <f t="shared" si="289"/>
        <v>50589</v>
      </c>
      <c r="B221" s="300">
        <f t="shared" si="326"/>
        <v>49230.23</v>
      </c>
      <c r="C221" s="14">
        <f t="shared" si="319"/>
        <v>421.41</v>
      </c>
      <c r="D221" s="14">
        <f t="shared" si="335"/>
        <v>236.8</v>
      </c>
      <c r="E221" s="14">
        <f t="shared" si="320"/>
        <v>184.61</v>
      </c>
      <c r="F221" s="14">
        <f t="shared" si="278"/>
        <v>134.16999999999999</v>
      </c>
      <c r="G221" s="14">
        <f t="shared" si="275"/>
        <v>188.55</v>
      </c>
      <c r="H221" s="14">
        <f t="shared" si="276"/>
        <v>744.13000000000011</v>
      </c>
      <c r="I221" s="300">
        <f t="shared" si="290"/>
        <v>34487.990000000005</v>
      </c>
      <c r="J221" s="300">
        <f t="shared" si="291"/>
        <v>53055.769999999982</v>
      </c>
      <c r="K221" s="300">
        <f t="shared" si="292"/>
        <v>48993.43</v>
      </c>
      <c r="L221" s="449">
        <f t="shared" si="263"/>
        <v>13</v>
      </c>
      <c r="M221" s="449">
        <f t="shared" si="327"/>
        <v>162</v>
      </c>
      <c r="N221" s="300">
        <f t="shared" si="328"/>
        <v>189652.2800000002</v>
      </c>
      <c r="O221" s="300">
        <f t="shared" si="293"/>
        <v>1617.67</v>
      </c>
      <c r="P221" s="300">
        <f t="shared" si="336"/>
        <v>511.37000000000012</v>
      </c>
      <c r="Q221" s="300">
        <f t="shared" si="294"/>
        <v>1106.3</v>
      </c>
      <c r="R221" s="300">
        <f t="shared" si="281"/>
        <v>134.16999999999999</v>
      </c>
      <c r="S221" s="300">
        <f t="shared" si="282"/>
        <v>188.55</v>
      </c>
      <c r="T221" s="300">
        <f t="shared" si="279"/>
        <v>1940.39</v>
      </c>
      <c r="U221" s="300">
        <f t="shared" si="337"/>
        <v>54007.590000000011</v>
      </c>
      <c r="V221" s="300">
        <f t="shared" si="338"/>
        <v>209672.62000000002</v>
      </c>
      <c r="W221" s="300">
        <f t="shared" si="295"/>
        <v>189140.91000000021</v>
      </c>
      <c r="X221" s="535">
        <f t="shared" si="329"/>
        <v>50589</v>
      </c>
      <c r="Y221" s="300">
        <f t="shared" si="296"/>
        <v>277107.70000000007</v>
      </c>
      <c r="Z221" s="527">
        <f t="shared" si="321"/>
        <v>7.0000000000000007E-2</v>
      </c>
      <c r="AA221" s="300">
        <f t="shared" si="322"/>
        <v>1746.44</v>
      </c>
      <c r="AB221" s="300">
        <f t="shared" si="297"/>
        <v>129.98000000000002</v>
      </c>
      <c r="AC221" s="300">
        <f t="shared" si="323"/>
        <v>1616.46</v>
      </c>
      <c r="AD221" s="300">
        <f t="shared" ref="AD221:AE221" si="352">+AD220</f>
        <v>134.16999999999999</v>
      </c>
      <c r="AE221" s="300">
        <f t="shared" si="352"/>
        <v>188.55</v>
      </c>
      <c r="AF221" s="300">
        <f t="shared" si="299"/>
        <v>2069.1600000000003</v>
      </c>
      <c r="AG221" s="300">
        <f t="shared" si="300"/>
        <v>37946.379999999983</v>
      </c>
      <c r="AH221" s="300">
        <f t="shared" si="301"/>
        <v>237677.13999999996</v>
      </c>
      <c r="AI221" s="545">
        <f t="shared" si="284"/>
        <v>-11943.310000000025</v>
      </c>
      <c r="AJ221" s="545">
        <f t="shared" si="350"/>
        <v>-87836.809999999881</v>
      </c>
      <c r="AK221" s="545">
        <f t="shared" si="285"/>
        <v>-99780.119999999908</v>
      </c>
      <c r="AL221" s="300">
        <f t="shared" si="302"/>
        <v>276977.72000000009</v>
      </c>
      <c r="AM221" s="449">
        <f t="shared" si="331"/>
        <v>13</v>
      </c>
      <c r="AN221" s="14">
        <f t="shared" si="286"/>
        <v>1196.26</v>
      </c>
      <c r="AO221" s="14">
        <f t="shared" si="261"/>
        <v>212234.96999999997</v>
      </c>
      <c r="AP221" s="14">
        <f t="shared" si="287"/>
        <v>1325.03</v>
      </c>
      <c r="AS221" s="14">
        <f t="shared" si="325"/>
        <v>1196.26</v>
      </c>
      <c r="AT221" s="14">
        <f t="shared" si="332"/>
        <v>194509.82000000024</v>
      </c>
      <c r="AU221" s="300">
        <f t="shared" si="333"/>
        <v>1016.7031042961779</v>
      </c>
      <c r="AV221" s="300">
        <f t="shared" si="334"/>
        <v>164549.44482276737</v>
      </c>
    </row>
    <row r="222" spans="1:48" x14ac:dyDescent="0.25">
      <c r="A222" s="535">
        <f t="shared" si="289"/>
        <v>50619</v>
      </c>
      <c r="B222" s="300">
        <f t="shared" si="326"/>
        <v>48993.43</v>
      </c>
      <c r="C222" s="14">
        <f t="shared" si="319"/>
        <v>421.41</v>
      </c>
      <c r="D222" s="14">
        <f t="shared" si="335"/>
        <v>237.68000000000004</v>
      </c>
      <c r="E222" s="14">
        <f t="shared" si="320"/>
        <v>183.73</v>
      </c>
      <c r="F222" s="14">
        <f t="shared" si="278"/>
        <v>134.16999999999999</v>
      </c>
      <c r="G222" s="14">
        <f t="shared" si="275"/>
        <v>188.55</v>
      </c>
      <c r="H222" s="14">
        <f t="shared" si="276"/>
        <v>744.13000000000011</v>
      </c>
      <c r="I222" s="300">
        <f t="shared" si="290"/>
        <v>34725.670000000006</v>
      </c>
      <c r="J222" s="300">
        <f t="shared" si="291"/>
        <v>53239.499999999985</v>
      </c>
      <c r="K222" s="300">
        <f t="shared" si="292"/>
        <v>48755.75</v>
      </c>
      <c r="L222" s="449">
        <f t="shared" si="263"/>
        <v>13</v>
      </c>
      <c r="M222" s="449">
        <f t="shared" si="327"/>
        <v>163</v>
      </c>
      <c r="N222" s="300">
        <f t="shared" si="328"/>
        <v>189140.91000000021</v>
      </c>
      <c r="O222" s="300">
        <f t="shared" si="293"/>
        <v>1617.67</v>
      </c>
      <c r="P222" s="300">
        <f t="shared" si="336"/>
        <v>514.35000000000014</v>
      </c>
      <c r="Q222" s="300">
        <f t="shared" si="294"/>
        <v>1103.32</v>
      </c>
      <c r="R222" s="300">
        <f t="shared" si="281"/>
        <v>134.16999999999999</v>
      </c>
      <c r="S222" s="300">
        <f t="shared" si="282"/>
        <v>188.55</v>
      </c>
      <c r="T222" s="300">
        <f t="shared" si="279"/>
        <v>1940.39</v>
      </c>
      <c r="U222" s="300">
        <f t="shared" si="337"/>
        <v>54521.94000000001</v>
      </c>
      <c r="V222" s="300">
        <f t="shared" si="338"/>
        <v>210775.94000000003</v>
      </c>
      <c r="W222" s="300">
        <f t="shared" si="295"/>
        <v>188626.5600000002</v>
      </c>
      <c r="X222" s="535">
        <f t="shared" si="329"/>
        <v>50619</v>
      </c>
      <c r="Y222" s="300">
        <f t="shared" si="296"/>
        <v>276977.72000000009</v>
      </c>
      <c r="Z222" s="527">
        <f t="shared" si="321"/>
        <v>7.0000000000000007E-2</v>
      </c>
      <c r="AA222" s="300">
        <f t="shared" si="322"/>
        <v>1746.44</v>
      </c>
      <c r="AB222" s="300">
        <f t="shared" si="297"/>
        <v>130.74</v>
      </c>
      <c r="AC222" s="300">
        <f t="shared" si="323"/>
        <v>1615.7</v>
      </c>
      <c r="AD222" s="300">
        <f t="shared" ref="AD222:AE222" si="353">+AD221</f>
        <v>134.16999999999999</v>
      </c>
      <c r="AE222" s="300">
        <f t="shared" si="353"/>
        <v>188.55</v>
      </c>
      <c r="AF222" s="300">
        <f t="shared" si="299"/>
        <v>2069.1600000000003</v>
      </c>
      <c r="AG222" s="300">
        <f t="shared" si="300"/>
        <v>38077.119999999981</v>
      </c>
      <c r="AH222" s="300">
        <f t="shared" si="301"/>
        <v>239292.83999999997</v>
      </c>
      <c r="AI222" s="545">
        <f t="shared" si="284"/>
        <v>-12072.080000000025</v>
      </c>
      <c r="AJ222" s="545">
        <f t="shared" si="350"/>
        <v>-88220.419999999896</v>
      </c>
      <c r="AK222" s="545">
        <f t="shared" si="285"/>
        <v>-100292.49999999993</v>
      </c>
      <c r="AL222" s="300">
        <f t="shared" si="302"/>
        <v>276846.9800000001</v>
      </c>
      <c r="AM222" s="449">
        <f t="shared" si="331"/>
        <v>13</v>
      </c>
      <c r="AN222" s="14">
        <f t="shared" si="286"/>
        <v>1196.26</v>
      </c>
      <c r="AO222" s="14">
        <f t="shared" si="261"/>
        <v>211958.3</v>
      </c>
      <c r="AP222" s="14">
        <f t="shared" si="287"/>
        <v>1325.03</v>
      </c>
      <c r="AS222" s="14">
        <f t="shared" si="325"/>
        <v>1196.26</v>
      </c>
      <c r="AT222" s="14">
        <f t="shared" si="332"/>
        <v>195706.08000000025</v>
      </c>
      <c r="AU222" s="300">
        <f t="shared" si="333"/>
        <v>1019.2448620569185</v>
      </c>
      <c r="AV222" s="300">
        <f t="shared" si="334"/>
        <v>165568.68968482429</v>
      </c>
    </row>
    <row r="223" spans="1:48" x14ac:dyDescent="0.25">
      <c r="A223" s="535">
        <f t="shared" si="289"/>
        <v>50649</v>
      </c>
      <c r="B223" s="300">
        <f t="shared" si="326"/>
        <v>48755.75</v>
      </c>
      <c r="C223" s="14">
        <f t="shared" si="319"/>
        <v>421.41</v>
      </c>
      <c r="D223" s="14">
        <f t="shared" si="335"/>
        <v>238.58</v>
      </c>
      <c r="E223" s="14">
        <f t="shared" si="320"/>
        <v>182.83</v>
      </c>
      <c r="F223" s="14">
        <f t="shared" si="278"/>
        <v>134.16999999999999</v>
      </c>
      <c r="G223" s="14">
        <f t="shared" si="275"/>
        <v>188.55</v>
      </c>
      <c r="H223" s="14">
        <f t="shared" si="276"/>
        <v>744.13000000000011</v>
      </c>
      <c r="I223" s="300">
        <f t="shared" si="290"/>
        <v>34964.250000000007</v>
      </c>
      <c r="J223" s="300">
        <f t="shared" si="291"/>
        <v>53422.329999999987</v>
      </c>
      <c r="K223" s="300">
        <f t="shared" si="292"/>
        <v>48517.17</v>
      </c>
      <c r="L223" s="449">
        <f t="shared" si="263"/>
        <v>13</v>
      </c>
      <c r="M223" s="449">
        <f t="shared" si="327"/>
        <v>164</v>
      </c>
      <c r="N223" s="300">
        <f t="shared" si="328"/>
        <v>188626.5600000002</v>
      </c>
      <c r="O223" s="300">
        <f t="shared" si="293"/>
        <v>1617.67</v>
      </c>
      <c r="P223" s="300">
        <f t="shared" si="336"/>
        <v>517.35000000000014</v>
      </c>
      <c r="Q223" s="300">
        <f t="shared" si="294"/>
        <v>1100.32</v>
      </c>
      <c r="R223" s="300">
        <f t="shared" si="281"/>
        <v>134.16999999999999</v>
      </c>
      <c r="S223" s="300">
        <f t="shared" si="282"/>
        <v>188.55</v>
      </c>
      <c r="T223" s="300">
        <f t="shared" si="279"/>
        <v>1940.39</v>
      </c>
      <c r="U223" s="300">
        <f t="shared" si="337"/>
        <v>55039.290000000008</v>
      </c>
      <c r="V223" s="300">
        <f t="shared" si="338"/>
        <v>211876.26000000004</v>
      </c>
      <c r="W223" s="300">
        <f t="shared" si="295"/>
        <v>188109.2100000002</v>
      </c>
      <c r="X223" s="535">
        <f t="shared" si="329"/>
        <v>50649</v>
      </c>
      <c r="Y223" s="300">
        <f t="shared" si="296"/>
        <v>276846.9800000001</v>
      </c>
      <c r="Z223" s="527">
        <f t="shared" si="321"/>
        <v>7.0000000000000007E-2</v>
      </c>
      <c r="AA223" s="300">
        <f t="shared" si="322"/>
        <v>1746.44</v>
      </c>
      <c r="AB223" s="300">
        <f t="shared" si="297"/>
        <v>131.5</v>
      </c>
      <c r="AC223" s="300">
        <f t="shared" si="323"/>
        <v>1614.94</v>
      </c>
      <c r="AD223" s="300">
        <f t="shared" ref="AD223:AE223" si="354">+AD222</f>
        <v>134.16999999999999</v>
      </c>
      <c r="AE223" s="300">
        <f t="shared" si="354"/>
        <v>188.55</v>
      </c>
      <c r="AF223" s="300">
        <f t="shared" si="299"/>
        <v>2069.1600000000003</v>
      </c>
      <c r="AG223" s="300">
        <f t="shared" si="300"/>
        <v>38208.619999999981</v>
      </c>
      <c r="AH223" s="300">
        <f t="shared" si="301"/>
        <v>240907.77999999997</v>
      </c>
      <c r="AI223" s="545">
        <f t="shared" si="284"/>
        <v>-12200.850000000026</v>
      </c>
      <c r="AJ223" s="545">
        <f t="shared" si="350"/>
        <v>-88606.269999999902</v>
      </c>
      <c r="AK223" s="545">
        <f t="shared" si="285"/>
        <v>-100807.11999999992</v>
      </c>
      <c r="AL223" s="300">
        <f t="shared" si="302"/>
        <v>276715.4800000001</v>
      </c>
      <c r="AM223" s="449">
        <f t="shared" si="331"/>
        <v>13</v>
      </c>
      <c r="AN223" s="14">
        <f t="shared" si="286"/>
        <v>1196.26</v>
      </c>
      <c r="AO223" s="14">
        <f t="shared" si="261"/>
        <v>211679.53</v>
      </c>
      <c r="AP223" s="14">
        <f t="shared" si="287"/>
        <v>1325.03</v>
      </c>
      <c r="AS223" s="14">
        <f t="shared" si="325"/>
        <v>1196.26</v>
      </c>
      <c r="AT223" s="14">
        <f t="shared" si="332"/>
        <v>196902.34000000026</v>
      </c>
      <c r="AU223" s="300">
        <f t="shared" si="333"/>
        <v>1021.7929742120608</v>
      </c>
      <c r="AV223" s="300">
        <f t="shared" si="334"/>
        <v>166590.48265903635</v>
      </c>
    </row>
    <row r="224" spans="1:48" x14ac:dyDescent="0.25">
      <c r="A224" s="535">
        <f t="shared" si="289"/>
        <v>50679</v>
      </c>
      <c r="B224" s="300">
        <f t="shared" si="326"/>
        <v>48517.17</v>
      </c>
      <c r="C224" s="14">
        <f t="shared" si="319"/>
        <v>421.41</v>
      </c>
      <c r="D224" s="14">
        <f t="shared" si="335"/>
        <v>239.47000000000003</v>
      </c>
      <c r="E224" s="14">
        <f t="shared" si="320"/>
        <v>181.94</v>
      </c>
      <c r="F224" s="14">
        <f t="shared" si="278"/>
        <v>134.16999999999999</v>
      </c>
      <c r="G224" s="14">
        <f t="shared" si="275"/>
        <v>188.55</v>
      </c>
      <c r="H224" s="14">
        <f t="shared" si="276"/>
        <v>744.13000000000011</v>
      </c>
      <c r="I224" s="300">
        <f t="shared" si="290"/>
        <v>35203.720000000008</v>
      </c>
      <c r="J224" s="300">
        <f t="shared" si="291"/>
        <v>53604.26999999999</v>
      </c>
      <c r="K224" s="300">
        <f t="shared" si="292"/>
        <v>48277.7</v>
      </c>
      <c r="L224" s="449">
        <f t="shared" si="263"/>
        <v>13</v>
      </c>
      <c r="M224" s="449">
        <f t="shared" si="327"/>
        <v>165</v>
      </c>
      <c r="N224" s="300">
        <f t="shared" si="328"/>
        <v>188109.2100000002</v>
      </c>
      <c r="O224" s="300">
        <f t="shared" si="293"/>
        <v>1617.67</v>
      </c>
      <c r="P224" s="300">
        <f t="shared" si="336"/>
        <v>520.37000000000012</v>
      </c>
      <c r="Q224" s="300">
        <f t="shared" si="294"/>
        <v>1097.3</v>
      </c>
      <c r="R224" s="300">
        <f t="shared" si="281"/>
        <v>134.16999999999999</v>
      </c>
      <c r="S224" s="300">
        <f t="shared" si="282"/>
        <v>188.55</v>
      </c>
      <c r="T224" s="300">
        <f t="shared" si="279"/>
        <v>1940.39</v>
      </c>
      <c r="U224" s="300">
        <f t="shared" si="337"/>
        <v>55559.660000000011</v>
      </c>
      <c r="V224" s="300">
        <f t="shared" si="338"/>
        <v>212973.56000000003</v>
      </c>
      <c r="W224" s="300">
        <f t="shared" si="295"/>
        <v>187588.8400000002</v>
      </c>
      <c r="X224" s="535">
        <f t="shared" si="329"/>
        <v>50679</v>
      </c>
      <c r="Y224" s="300">
        <f t="shared" si="296"/>
        <v>276715.4800000001</v>
      </c>
      <c r="Z224" s="527">
        <f t="shared" si="321"/>
        <v>7.0000000000000007E-2</v>
      </c>
      <c r="AA224" s="300">
        <f t="shared" si="322"/>
        <v>1746.44</v>
      </c>
      <c r="AB224" s="300">
        <f t="shared" si="297"/>
        <v>132.26999999999998</v>
      </c>
      <c r="AC224" s="300">
        <f t="shared" si="323"/>
        <v>1614.17</v>
      </c>
      <c r="AD224" s="300">
        <f t="shared" ref="AD224:AE224" si="355">+AD223</f>
        <v>134.16999999999999</v>
      </c>
      <c r="AE224" s="300">
        <f t="shared" si="355"/>
        <v>188.55</v>
      </c>
      <c r="AF224" s="300">
        <f t="shared" si="299"/>
        <v>2069.1600000000003</v>
      </c>
      <c r="AG224" s="300">
        <f t="shared" si="300"/>
        <v>38340.889999999978</v>
      </c>
      <c r="AH224" s="300">
        <f t="shared" si="301"/>
        <v>242521.94999999998</v>
      </c>
      <c r="AI224" s="545">
        <f t="shared" si="284"/>
        <v>-12329.620000000026</v>
      </c>
      <c r="AJ224" s="545">
        <f t="shared" si="350"/>
        <v>-88994.369999999879</v>
      </c>
      <c r="AK224" s="545">
        <f t="shared" si="285"/>
        <v>-101323.9899999999</v>
      </c>
      <c r="AL224" s="300">
        <f t="shared" si="302"/>
        <v>276583.21000000008</v>
      </c>
      <c r="AM224" s="449">
        <f t="shared" si="331"/>
        <v>13</v>
      </c>
      <c r="AN224" s="14">
        <f t="shared" si="286"/>
        <v>1196.26</v>
      </c>
      <c r="AO224" s="14">
        <f t="shared" si="261"/>
        <v>211398.62999999998</v>
      </c>
      <c r="AP224" s="14">
        <f t="shared" si="287"/>
        <v>1325.03</v>
      </c>
      <c r="AS224" s="14">
        <f t="shared" si="325"/>
        <v>1196.26</v>
      </c>
      <c r="AT224" s="14">
        <f t="shared" si="332"/>
        <v>198098.60000000027</v>
      </c>
      <c r="AU224" s="300">
        <f t="shared" si="333"/>
        <v>1024.3474566475909</v>
      </c>
      <c r="AV224" s="300">
        <f t="shared" si="334"/>
        <v>167614.83011568393</v>
      </c>
    </row>
    <row r="225" spans="1:48" x14ac:dyDescent="0.25">
      <c r="A225" s="535">
        <f t="shared" si="289"/>
        <v>50709</v>
      </c>
      <c r="B225" s="300">
        <f t="shared" si="326"/>
        <v>48277.7</v>
      </c>
      <c r="C225" s="14">
        <f t="shared" si="319"/>
        <v>421.41</v>
      </c>
      <c r="D225" s="14">
        <f t="shared" si="335"/>
        <v>240.37000000000003</v>
      </c>
      <c r="E225" s="14">
        <f t="shared" si="320"/>
        <v>181.04</v>
      </c>
      <c r="F225" s="14">
        <f t="shared" si="278"/>
        <v>134.16999999999999</v>
      </c>
      <c r="G225" s="14">
        <f t="shared" si="275"/>
        <v>188.55</v>
      </c>
      <c r="H225" s="14">
        <f t="shared" si="276"/>
        <v>744.13000000000011</v>
      </c>
      <c r="I225" s="300">
        <f t="shared" si="290"/>
        <v>35444.090000000011</v>
      </c>
      <c r="J225" s="300">
        <f t="shared" si="291"/>
        <v>53785.30999999999</v>
      </c>
      <c r="K225" s="300">
        <f t="shared" si="292"/>
        <v>48037.329999999994</v>
      </c>
      <c r="L225" s="449">
        <f t="shared" si="263"/>
        <v>13</v>
      </c>
      <c r="M225" s="449">
        <f t="shared" si="327"/>
        <v>166</v>
      </c>
      <c r="N225" s="300">
        <f t="shared" si="328"/>
        <v>187588.8400000002</v>
      </c>
      <c r="O225" s="300">
        <f t="shared" si="293"/>
        <v>1617.67</v>
      </c>
      <c r="P225" s="300">
        <f t="shared" si="336"/>
        <v>523.40000000000009</v>
      </c>
      <c r="Q225" s="300">
        <f t="shared" si="294"/>
        <v>1094.27</v>
      </c>
      <c r="R225" s="300">
        <f t="shared" si="281"/>
        <v>134.16999999999999</v>
      </c>
      <c r="S225" s="300">
        <f t="shared" si="282"/>
        <v>188.55</v>
      </c>
      <c r="T225" s="300">
        <f t="shared" si="279"/>
        <v>1940.39</v>
      </c>
      <c r="U225" s="300">
        <f t="shared" si="337"/>
        <v>56083.060000000012</v>
      </c>
      <c r="V225" s="300">
        <f t="shared" si="338"/>
        <v>214067.83000000002</v>
      </c>
      <c r="W225" s="300">
        <f t="shared" si="295"/>
        <v>187065.44000000021</v>
      </c>
      <c r="X225" s="535">
        <f t="shared" si="329"/>
        <v>50709</v>
      </c>
      <c r="Y225" s="300">
        <f t="shared" si="296"/>
        <v>276583.21000000008</v>
      </c>
      <c r="Z225" s="527">
        <f t="shared" si="321"/>
        <v>7.0000000000000007E-2</v>
      </c>
      <c r="AA225" s="300">
        <f t="shared" si="322"/>
        <v>1746.44</v>
      </c>
      <c r="AB225" s="300">
        <f t="shared" si="297"/>
        <v>133.03999999999996</v>
      </c>
      <c r="AC225" s="300">
        <f t="shared" si="323"/>
        <v>1613.4</v>
      </c>
      <c r="AD225" s="300">
        <f t="shared" ref="AD225:AE225" si="356">+AD224</f>
        <v>134.16999999999999</v>
      </c>
      <c r="AE225" s="300">
        <f t="shared" si="356"/>
        <v>188.55</v>
      </c>
      <c r="AF225" s="300">
        <f t="shared" si="299"/>
        <v>2069.1600000000003</v>
      </c>
      <c r="AG225" s="300">
        <f t="shared" si="300"/>
        <v>38473.929999999978</v>
      </c>
      <c r="AH225" s="300">
        <f t="shared" si="301"/>
        <v>244135.34999999998</v>
      </c>
      <c r="AI225" s="545">
        <f t="shared" si="284"/>
        <v>-12458.390000000027</v>
      </c>
      <c r="AJ225" s="545">
        <f t="shared" si="350"/>
        <v>-89384.729999999894</v>
      </c>
      <c r="AK225" s="545">
        <f t="shared" si="285"/>
        <v>-101843.11999999992</v>
      </c>
      <c r="AL225" s="300">
        <f t="shared" si="302"/>
        <v>276450.1700000001</v>
      </c>
      <c r="AM225" s="449">
        <f t="shared" si="331"/>
        <v>13</v>
      </c>
      <c r="AN225" s="14">
        <f t="shared" si="286"/>
        <v>1196.26</v>
      </c>
      <c r="AO225" s="14">
        <f t="shared" si="261"/>
        <v>211115.59999999998</v>
      </c>
      <c r="AP225" s="14">
        <f t="shared" si="287"/>
        <v>1325.03</v>
      </c>
      <c r="AS225" s="14">
        <f t="shared" si="325"/>
        <v>1196.26</v>
      </c>
      <c r="AT225" s="14">
        <f t="shared" si="332"/>
        <v>199294.86000000028</v>
      </c>
      <c r="AU225" s="300">
        <f t="shared" si="333"/>
        <v>1026.9083252892099</v>
      </c>
      <c r="AV225" s="300">
        <f t="shared" si="334"/>
        <v>168641.73844097313</v>
      </c>
    </row>
    <row r="226" spans="1:48" x14ac:dyDescent="0.25">
      <c r="A226" s="535">
        <f t="shared" si="289"/>
        <v>50739</v>
      </c>
      <c r="B226" s="300">
        <f t="shared" si="326"/>
        <v>48037.329999999994</v>
      </c>
      <c r="C226" s="14">
        <f t="shared" si="319"/>
        <v>421.41</v>
      </c>
      <c r="D226" s="14">
        <f t="shared" si="335"/>
        <v>241.27000000000004</v>
      </c>
      <c r="E226" s="14">
        <f t="shared" si="320"/>
        <v>180.14</v>
      </c>
      <c r="F226" s="14">
        <f t="shared" si="278"/>
        <v>134.16999999999999</v>
      </c>
      <c r="G226" s="14">
        <f t="shared" si="275"/>
        <v>188.55</v>
      </c>
      <c r="H226" s="14">
        <f t="shared" si="276"/>
        <v>744.13000000000011</v>
      </c>
      <c r="I226" s="300">
        <f t="shared" si="290"/>
        <v>35685.360000000008</v>
      </c>
      <c r="J226" s="300">
        <f t="shared" si="291"/>
        <v>53965.44999999999</v>
      </c>
      <c r="K226" s="300">
        <f t="shared" si="292"/>
        <v>47796.06</v>
      </c>
      <c r="L226" s="449">
        <f t="shared" si="263"/>
        <v>13</v>
      </c>
      <c r="M226" s="449">
        <f t="shared" si="327"/>
        <v>167</v>
      </c>
      <c r="N226" s="300">
        <f t="shared" si="328"/>
        <v>187065.44000000021</v>
      </c>
      <c r="O226" s="300">
        <f t="shared" si="293"/>
        <v>1617.67</v>
      </c>
      <c r="P226" s="300">
        <f t="shared" si="336"/>
        <v>526.45000000000005</v>
      </c>
      <c r="Q226" s="300">
        <f t="shared" si="294"/>
        <v>1091.22</v>
      </c>
      <c r="R226" s="300">
        <f t="shared" si="281"/>
        <v>134.16999999999999</v>
      </c>
      <c r="S226" s="300">
        <f t="shared" si="282"/>
        <v>188.55</v>
      </c>
      <c r="T226" s="300">
        <f t="shared" si="279"/>
        <v>1940.39</v>
      </c>
      <c r="U226" s="300">
        <f t="shared" si="337"/>
        <v>56609.510000000009</v>
      </c>
      <c r="V226" s="300">
        <f t="shared" si="338"/>
        <v>215159.05000000002</v>
      </c>
      <c r="W226" s="300">
        <f t="shared" si="295"/>
        <v>186538.99000000019</v>
      </c>
      <c r="X226" s="535">
        <f t="shared" si="329"/>
        <v>50739</v>
      </c>
      <c r="Y226" s="300">
        <f t="shared" si="296"/>
        <v>276450.1700000001</v>
      </c>
      <c r="Z226" s="527">
        <f t="shared" si="321"/>
        <v>7.0000000000000007E-2</v>
      </c>
      <c r="AA226" s="300">
        <f t="shared" si="322"/>
        <v>1746.44</v>
      </c>
      <c r="AB226" s="300">
        <f t="shared" si="297"/>
        <v>133.80999999999995</v>
      </c>
      <c r="AC226" s="300">
        <f t="shared" si="323"/>
        <v>1612.63</v>
      </c>
      <c r="AD226" s="300">
        <f t="shared" ref="AD226:AE226" si="357">+AD225</f>
        <v>134.16999999999999</v>
      </c>
      <c r="AE226" s="300">
        <f t="shared" si="357"/>
        <v>188.55</v>
      </c>
      <c r="AF226" s="300">
        <f t="shared" si="299"/>
        <v>2069.1600000000003</v>
      </c>
      <c r="AG226" s="300">
        <f t="shared" si="300"/>
        <v>38607.739999999976</v>
      </c>
      <c r="AH226" s="300">
        <f t="shared" si="301"/>
        <v>245747.97999999998</v>
      </c>
      <c r="AI226" s="545">
        <f t="shared" si="284"/>
        <v>-12587.160000000027</v>
      </c>
      <c r="AJ226" s="545">
        <f t="shared" si="350"/>
        <v>-89777.369999999908</v>
      </c>
      <c r="AK226" s="545">
        <f t="shared" si="285"/>
        <v>-102364.52999999994</v>
      </c>
      <c r="AL226" s="300">
        <f t="shared" si="302"/>
        <v>276316.3600000001</v>
      </c>
      <c r="AM226" s="449">
        <f t="shared" si="331"/>
        <v>13</v>
      </c>
      <c r="AN226" s="14">
        <f t="shared" si="286"/>
        <v>1196.26</v>
      </c>
      <c r="AO226" s="14">
        <f t="shared" si="261"/>
        <v>210830.41999999998</v>
      </c>
      <c r="AP226" s="14">
        <f t="shared" si="287"/>
        <v>1325.03</v>
      </c>
      <c r="AS226" s="14">
        <f t="shared" si="325"/>
        <v>1196.26</v>
      </c>
      <c r="AT226" s="14">
        <f t="shared" si="332"/>
        <v>200491.12000000029</v>
      </c>
      <c r="AU226" s="300">
        <f t="shared" si="333"/>
        <v>1029.4755961024327</v>
      </c>
      <c r="AV226" s="300">
        <f t="shared" si="334"/>
        <v>169671.21403707555</v>
      </c>
    </row>
    <row r="227" spans="1:48" x14ac:dyDescent="0.25">
      <c r="A227" s="535">
        <f t="shared" si="289"/>
        <v>50769</v>
      </c>
      <c r="B227" s="300">
        <f t="shared" si="326"/>
        <v>47796.06</v>
      </c>
      <c r="C227" s="14">
        <f t="shared" si="319"/>
        <v>421.41</v>
      </c>
      <c r="D227" s="14">
        <f t="shared" si="335"/>
        <v>242.17000000000002</v>
      </c>
      <c r="E227" s="14">
        <f t="shared" si="320"/>
        <v>179.24</v>
      </c>
      <c r="F227" s="14">
        <f t="shared" si="278"/>
        <v>134.16999999999999</v>
      </c>
      <c r="G227" s="14">
        <f t="shared" si="275"/>
        <v>188.55</v>
      </c>
      <c r="H227" s="14">
        <f t="shared" si="276"/>
        <v>744.13000000000011</v>
      </c>
      <c r="I227" s="300">
        <f t="shared" si="290"/>
        <v>35927.530000000006</v>
      </c>
      <c r="J227" s="300">
        <f t="shared" si="291"/>
        <v>54144.689999999988</v>
      </c>
      <c r="K227" s="300">
        <f t="shared" si="292"/>
        <v>47553.89</v>
      </c>
      <c r="L227" s="449">
        <f t="shared" si="263"/>
        <v>14</v>
      </c>
      <c r="M227" s="449">
        <f t="shared" si="327"/>
        <v>168</v>
      </c>
      <c r="N227" s="300">
        <f t="shared" si="328"/>
        <v>186538.99000000019</v>
      </c>
      <c r="O227" s="300">
        <f t="shared" si="293"/>
        <v>1617.67</v>
      </c>
      <c r="P227" s="300">
        <f t="shared" si="336"/>
        <v>529.53</v>
      </c>
      <c r="Q227" s="300">
        <f t="shared" si="294"/>
        <v>1088.1400000000001</v>
      </c>
      <c r="R227" s="300">
        <f t="shared" si="281"/>
        <v>134.16999999999999</v>
      </c>
      <c r="S227" s="300">
        <f t="shared" si="282"/>
        <v>188.55</v>
      </c>
      <c r="T227" s="300">
        <f t="shared" si="279"/>
        <v>1940.39</v>
      </c>
      <c r="U227" s="300">
        <f t="shared" si="337"/>
        <v>57139.040000000008</v>
      </c>
      <c r="V227" s="300">
        <f t="shared" si="338"/>
        <v>216247.19000000003</v>
      </c>
      <c r="W227" s="300">
        <f t="shared" si="295"/>
        <v>186009.4600000002</v>
      </c>
      <c r="X227" s="535">
        <f t="shared" si="329"/>
        <v>50769</v>
      </c>
      <c r="Y227" s="300">
        <f t="shared" si="296"/>
        <v>276316.3600000001</v>
      </c>
      <c r="Z227" s="527">
        <f t="shared" si="321"/>
        <v>7.0000000000000007E-2</v>
      </c>
      <c r="AA227" s="300">
        <f t="shared" si="322"/>
        <v>1746.44</v>
      </c>
      <c r="AB227" s="300">
        <f t="shared" si="297"/>
        <v>134.59000000000015</v>
      </c>
      <c r="AC227" s="300">
        <f t="shared" si="323"/>
        <v>1611.85</v>
      </c>
      <c r="AD227" s="300">
        <f t="shared" ref="AD227:AE227" si="358">+AD226</f>
        <v>134.16999999999999</v>
      </c>
      <c r="AE227" s="300">
        <f t="shared" si="358"/>
        <v>188.55</v>
      </c>
      <c r="AF227" s="300">
        <f t="shared" si="299"/>
        <v>2069.1600000000003</v>
      </c>
      <c r="AG227" s="300">
        <f t="shared" si="300"/>
        <v>38742.329999999973</v>
      </c>
      <c r="AH227" s="300">
        <f t="shared" si="301"/>
        <v>247359.83</v>
      </c>
      <c r="AI227" s="545">
        <f t="shared" si="284"/>
        <v>-12715.930000000028</v>
      </c>
      <c r="AJ227" s="545">
        <f t="shared" si="350"/>
        <v>-90172.309999999881</v>
      </c>
      <c r="AK227" s="545">
        <f t="shared" si="285"/>
        <v>-102888.2399999999</v>
      </c>
      <c r="AL227" s="300">
        <f t="shared" si="302"/>
        <v>276181.77000000008</v>
      </c>
      <c r="AM227" s="449">
        <f t="shared" si="331"/>
        <v>14</v>
      </c>
      <c r="AN227" s="14">
        <f t="shared" si="286"/>
        <v>1196.26</v>
      </c>
      <c r="AO227" s="14">
        <f t="shared" si="261"/>
        <v>210543.05999999997</v>
      </c>
      <c r="AP227" s="14">
        <f t="shared" si="287"/>
        <v>1325.03</v>
      </c>
      <c r="AS227" s="14">
        <f t="shared" si="325"/>
        <v>1196.26</v>
      </c>
      <c r="AT227" s="14">
        <f t="shared" si="332"/>
        <v>201687.3800000003</v>
      </c>
      <c r="AU227" s="300">
        <f t="shared" si="333"/>
        <v>1032.0492850926887</v>
      </c>
      <c r="AV227" s="300">
        <f t="shared" si="334"/>
        <v>170703.26332216823</v>
      </c>
    </row>
    <row r="228" spans="1:48" x14ac:dyDescent="0.25">
      <c r="A228" s="535">
        <f t="shared" si="289"/>
        <v>50799</v>
      </c>
      <c r="B228" s="300">
        <f t="shared" si="326"/>
        <v>47553.89</v>
      </c>
      <c r="C228" s="14">
        <f t="shared" si="319"/>
        <v>421.41</v>
      </c>
      <c r="D228" s="14">
        <f t="shared" si="335"/>
        <v>243.08</v>
      </c>
      <c r="E228" s="14">
        <f t="shared" si="320"/>
        <v>178.33</v>
      </c>
      <c r="F228" s="14">
        <f t="shared" si="278"/>
        <v>134.16999999999999</v>
      </c>
      <c r="G228" s="14">
        <f t="shared" si="275"/>
        <v>188.55</v>
      </c>
      <c r="H228" s="14">
        <f t="shared" si="276"/>
        <v>744.13000000000011</v>
      </c>
      <c r="I228" s="300">
        <f t="shared" si="290"/>
        <v>36170.610000000008</v>
      </c>
      <c r="J228" s="300">
        <f t="shared" si="291"/>
        <v>54323.01999999999</v>
      </c>
      <c r="K228" s="300">
        <f t="shared" si="292"/>
        <v>47310.81</v>
      </c>
      <c r="L228" s="449">
        <f t="shared" si="263"/>
        <v>14</v>
      </c>
      <c r="M228" s="449">
        <f t="shared" si="327"/>
        <v>169</v>
      </c>
      <c r="N228" s="300">
        <f t="shared" si="328"/>
        <v>186009.4600000002</v>
      </c>
      <c r="O228" s="300">
        <f t="shared" si="293"/>
        <v>1617.67</v>
      </c>
      <c r="P228" s="300">
        <f t="shared" si="336"/>
        <v>532.61000000000013</v>
      </c>
      <c r="Q228" s="300">
        <f t="shared" si="294"/>
        <v>1085.06</v>
      </c>
      <c r="R228" s="300">
        <f t="shared" si="281"/>
        <v>134.16999999999999</v>
      </c>
      <c r="S228" s="300">
        <f t="shared" si="282"/>
        <v>188.55</v>
      </c>
      <c r="T228" s="300">
        <f t="shared" si="279"/>
        <v>1940.39</v>
      </c>
      <c r="U228" s="300">
        <f t="shared" si="337"/>
        <v>57671.650000000009</v>
      </c>
      <c r="V228" s="300">
        <f t="shared" si="338"/>
        <v>217332.25000000003</v>
      </c>
      <c r="W228" s="300">
        <f t="shared" si="295"/>
        <v>185476.85000000021</v>
      </c>
      <c r="X228" s="535">
        <f t="shared" si="329"/>
        <v>50799</v>
      </c>
      <c r="Y228" s="300">
        <f t="shared" si="296"/>
        <v>276181.77000000008</v>
      </c>
      <c r="Z228" s="527">
        <f t="shared" si="321"/>
        <v>7.0000000000000007E-2</v>
      </c>
      <c r="AA228" s="300">
        <f t="shared" si="322"/>
        <v>1746.44</v>
      </c>
      <c r="AB228" s="300">
        <f t="shared" si="297"/>
        <v>135.38000000000011</v>
      </c>
      <c r="AC228" s="300">
        <f t="shared" si="323"/>
        <v>1611.06</v>
      </c>
      <c r="AD228" s="300">
        <f t="shared" ref="AD228:AE228" si="359">+AD227</f>
        <v>134.16999999999999</v>
      </c>
      <c r="AE228" s="300">
        <f t="shared" si="359"/>
        <v>188.55</v>
      </c>
      <c r="AF228" s="300">
        <f t="shared" si="299"/>
        <v>2069.1600000000003</v>
      </c>
      <c r="AG228" s="300">
        <f t="shared" si="300"/>
        <v>38877.70999999997</v>
      </c>
      <c r="AH228" s="300">
        <f t="shared" si="301"/>
        <v>248970.88999999998</v>
      </c>
      <c r="AI228" s="545">
        <f t="shared" si="284"/>
        <v>-12844.700000000028</v>
      </c>
      <c r="AJ228" s="545">
        <f t="shared" si="350"/>
        <v>-90569.539999999863</v>
      </c>
      <c r="AK228" s="545">
        <f t="shared" si="285"/>
        <v>-103414.23999999989</v>
      </c>
      <c r="AL228" s="300">
        <f t="shared" si="302"/>
        <v>276046.39000000007</v>
      </c>
      <c r="AM228" s="449">
        <f t="shared" si="331"/>
        <v>14</v>
      </c>
      <c r="AN228" s="14">
        <f t="shared" si="286"/>
        <v>1196.26</v>
      </c>
      <c r="AO228" s="14">
        <f t="shared" si="261"/>
        <v>210253.52999999997</v>
      </c>
      <c r="AP228" s="14">
        <f t="shared" si="287"/>
        <v>1325.03</v>
      </c>
      <c r="AS228" s="14">
        <f t="shared" si="325"/>
        <v>1196.26</v>
      </c>
      <c r="AT228" s="14">
        <f t="shared" si="332"/>
        <v>202883.64000000031</v>
      </c>
      <c r="AU228" s="300">
        <f t="shared" si="333"/>
        <v>1034.6294083054206</v>
      </c>
      <c r="AV228" s="300">
        <f t="shared" si="334"/>
        <v>171737.89273047366</v>
      </c>
    </row>
    <row r="229" spans="1:48" x14ac:dyDescent="0.25">
      <c r="A229" s="535">
        <f t="shared" si="289"/>
        <v>50829</v>
      </c>
      <c r="B229" s="300">
        <f t="shared" si="326"/>
        <v>47310.81</v>
      </c>
      <c r="C229" s="14">
        <f t="shared" si="319"/>
        <v>421.41</v>
      </c>
      <c r="D229" s="14">
        <f t="shared" si="335"/>
        <v>243.99000000000004</v>
      </c>
      <c r="E229" s="14">
        <f t="shared" si="320"/>
        <v>177.42</v>
      </c>
      <c r="F229" s="14">
        <f t="shared" si="278"/>
        <v>134.16999999999999</v>
      </c>
      <c r="G229" s="14">
        <f t="shared" si="275"/>
        <v>188.55</v>
      </c>
      <c r="H229" s="14">
        <f t="shared" si="276"/>
        <v>744.13000000000011</v>
      </c>
      <c r="I229" s="300">
        <f t="shared" si="290"/>
        <v>36414.600000000006</v>
      </c>
      <c r="J229" s="300">
        <f t="shared" si="291"/>
        <v>54500.439999999988</v>
      </c>
      <c r="K229" s="300">
        <f t="shared" si="292"/>
        <v>47066.82</v>
      </c>
      <c r="L229" s="449">
        <f t="shared" si="263"/>
        <v>14</v>
      </c>
      <c r="M229" s="449">
        <f t="shared" si="327"/>
        <v>170</v>
      </c>
      <c r="N229" s="300">
        <f t="shared" si="328"/>
        <v>185476.85000000021</v>
      </c>
      <c r="O229" s="300">
        <f t="shared" si="293"/>
        <v>1617.67</v>
      </c>
      <c r="P229" s="300">
        <f t="shared" si="336"/>
        <v>535.72</v>
      </c>
      <c r="Q229" s="300">
        <f t="shared" si="294"/>
        <v>1081.95</v>
      </c>
      <c r="R229" s="300">
        <f t="shared" si="281"/>
        <v>134.16999999999999</v>
      </c>
      <c r="S229" s="300">
        <f t="shared" si="282"/>
        <v>188.55</v>
      </c>
      <c r="T229" s="300">
        <f t="shared" si="279"/>
        <v>1940.39</v>
      </c>
      <c r="U229" s="300">
        <f t="shared" si="337"/>
        <v>58207.37000000001</v>
      </c>
      <c r="V229" s="300">
        <f t="shared" si="338"/>
        <v>218414.20000000004</v>
      </c>
      <c r="W229" s="300">
        <f t="shared" si="295"/>
        <v>184941.13000000021</v>
      </c>
      <c r="X229" s="535">
        <f t="shared" si="329"/>
        <v>50829</v>
      </c>
      <c r="Y229" s="300">
        <f t="shared" si="296"/>
        <v>276046.39000000007</v>
      </c>
      <c r="Z229" s="527">
        <f t="shared" si="321"/>
        <v>7.0000000000000007E-2</v>
      </c>
      <c r="AA229" s="300">
        <f t="shared" si="322"/>
        <v>1746.44</v>
      </c>
      <c r="AB229" s="300">
        <f t="shared" si="297"/>
        <v>136.17000000000007</v>
      </c>
      <c r="AC229" s="300">
        <f t="shared" si="323"/>
        <v>1610.27</v>
      </c>
      <c r="AD229" s="300">
        <f t="shared" ref="AD229:AE229" si="360">+AD228</f>
        <v>134.16999999999999</v>
      </c>
      <c r="AE229" s="300">
        <f t="shared" si="360"/>
        <v>188.55</v>
      </c>
      <c r="AF229" s="300">
        <f t="shared" si="299"/>
        <v>2069.1600000000003</v>
      </c>
      <c r="AG229" s="300">
        <f t="shared" si="300"/>
        <v>39013.879999999968</v>
      </c>
      <c r="AH229" s="300">
        <f t="shared" si="301"/>
        <v>250581.15999999997</v>
      </c>
      <c r="AI229" s="545">
        <f t="shared" si="284"/>
        <v>-12973.470000000028</v>
      </c>
      <c r="AJ229" s="545">
        <f t="shared" si="350"/>
        <v>-90969.08999999988</v>
      </c>
      <c r="AK229" s="545">
        <f t="shared" si="285"/>
        <v>-103942.55999999991</v>
      </c>
      <c r="AL229" s="300">
        <f t="shared" si="302"/>
        <v>275910.22000000009</v>
      </c>
      <c r="AM229" s="449">
        <f t="shared" si="331"/>
        <v>14</v>
      </c>
      <c r="AN229" s="14">
        <f t="shared" si="286"/>
        <v>1196.26</v>
      </c>
      <c r="AO229" s="14">
        <f t="shared" si="261"/>
        <v>209961.8</v>
      </c>
      <c r="AP229" s="14">
        <f t="shared" si="287"/>
        <v>1325.03</v>
      </c>
      <c r="AS229" s="14">
        <f t="shared" si="325"/>
        <v>1196.26</v>
      </c>
      <c r="AT229" s="14">
        <f t="shared" si="332"/>
        <v>204079.90000000031</v>
      </c>
      <c r="AU229" s="300">
        <f t="shared" si="333"/>
        <v>1037.2159818261841</v>
      </c>
      <c r="AV229" s="300">
        <f t="shared" si="334"/>
        <v>172775.10871229984</v>
      </c>
    </row>
    <row r="230" spans="1:48" ht="15.75" thickBot="1" x14ac:dyDescent="0.3">
      <c r="A230" s="538">
        <f t="shared" si="289"/>
        <v>50859</v>
      </c>
      <c r="B230" s="369">
        <f t="shared" si="326"/>
        <v>47066.82</v>
      </c>
      <c r="C230" s="21">
        <f t="shared" si="319"/>
        <v>421.41</v>
      </c>
      <c r="D230" s="21">
        <f t="shared" si="335"/>
        <v>244.91000000000003</v>
      </c>
      <c r="E230" s="21">
        <f t="shared" si="320"/>
        <v>176.5</v>
      </c>
      <c r="F230" s="21">
        <f t="shared" si="278"/>
        <v>134.16999999999999</v>
      </c>
      <c r="G230" s="21">
        <f t="shared" si="275"/>
        <v>188.55</v>
      </c>
      <c r="H230" s="21">
        <f t="shared" si="276"/>
        <v>744.13000000000011</v>
      </c>
      <c r="I230" s="369">
        <f t="shared" si="290"/>
        <v>36659.510000000009</v>
      </c>
      <c r="J230" s="369">
        <f t="shared" si="291"/>
        <v>54676.939999999988</v>
      </c>
      <c r="K230" s="369">
        <f t="shared" si="292"/>
        <v>46821.909999999996</v>
      </c>
      <c r="L230" s="450">
        <f t="shared" si="263"/>
        <v>14</v>
      </c>
      <c r="M230" s="450">
        <f t="shared" si="327"/>
        <v>171</v>
      </c>
      <c r="N230" s="369">
        <f t="shared" si="328"/>
        <v>184941.13000000021</v>
      </c>
      <c r="O230" s="369">
        <f t="shared" si="293"/>
        <v>1617.67</v>
      </c>
      <c r="P230" s="369">
        <f t="shared" si="336"/>
        <v>538.85000000000014</v>
      </c>
      <c r="Q230" s="369">
        <f t="shared" si="294"/>
        <v>1078.82</v>
      </c>
      <c r="R230" s="369">
        <f t="shared" si="281"/>
        <v>134.16999999999999</v>
      </c>
      <c r="S230" s="369">
        <f t="shared" si="282"/>
        <v>188.55</v>
      </c>
      <c r="T230" s="369">
        <f t="shared" si="279"/>
        <v>1940.39</v>
      </c>
      <c r="U230" s="369">
        <f t="shared" si="337"/>
        <v>58746.220000000008</v>
      </c>
      <c r="V230" s="369">
        <f t="shared" si="338"/>
        <v>219493.02000000005</v>
      </c>
      <c r="W230" s="369">
        <f t="shared" si="295"/>
        <v>184402.2800000002</v>
      </c>
      <c r="X230" s="538">
        <f t="shared" si="329"/>
        <v>50859</v>
      </c>
      <c r="Y230" s="369">
        <f t="shared" si="296"/>
        <v>275910.22000000009</v>
      </c>
      <c r="Z230" s="528">
        <f t="shared" si="321"/>
        <v>7.0000000000000007E-2</v>
      </c>
      <c r="AA230" s="369">
        <f t="shared" si="322"/>
        <v>1746.44</v>
      </c>
      <c r="AB230" s="369">
        <f t="shared" si="297"/>
        <v>136.96000000000004</v>
      </c>
      <c r="AC230" s="369">
        <f t="shared" si="323"/>
        <v>1609.48</v>
      </c>
      <c r="AD230" s="369">
        <f t="shared" ref="AD230:AE230" si="361">+AD229</f>
        <v>134.16999999999999</v>
      </c>
      <c r="AE230" s="369">
        <f t="shared" si="361"/>
        <v>188.55</v>
      </c>
      <c r="AF230" s="369">
        <f t="shared" si="299"/>
        <v>2069.1600000000003</v>
      </c>
      <c r="AG230" s="369">
        <f t="shared" si="300"/>
        <v>39150.839999999967</v>
      </c>
      <c r="AH230" s="369">
        <f t="shared" si="301"/>
        <v>252190.63999999998</v>
      </c>
      <c r="AI230" s="546">
        <f t="shared" si="284"/>
        <v>-13102.240000000029</v>
      </c>
      <c r="AJ230" s="546">
        <f t="shared" si="350"/>
        <v>-91370.979999999865</v>
      </c>
      <c r="AK230" s="545">
        <f t="shared" si="285"/>
        <v>-104473.2199999999</v>
      </c>
      <c r="AL230" s="369">
        <f t="shared" si="302"/>
        <v>275773.26000000007</v>
      </c>
      <c r="AM230" s="450">
        <f t="shared" si="331"/>
        <v>14</v>
      </c>
      <c r="AN230" s="21">
        <f t="shared" si="286"/>
        <v>1196.26</v>
      </c>
      <c r="AO230" s="21">
        <f t="shared" si="261"/>
        <v>209667.85999999996</v>
      </c>
      <c r="AP230" s="21">
        <f t="shared" si="287"/>
        <v>1325.03</v>
      </c>
      <c r="AQ230" s="21"/>
      <c r="AR230" s="23"/>
      <c r="AS230" s="21">
        <f t="shared" si="325"/>
        <v>1196.26</v>
      </c>
      <c r="AT230" s="21">
        <f t="shared" si="332"/>
        <v>205276.16000000032</v>
      </c>
      <c r="AU230" s="369">
        <f t="shared" si="333"/>
        <v>1039.8090217807496</v>
      </c>
      <c r="AV230" s="369">
        <f t="shared" si="334"/>
        <v>173814.91773408061</v>
      </c>
    </row>
    <row r="231" spans="1:48" x14ac:dyDescent="0.25">
      <c r="A231" s="535">
        <f t="shared" si="289"/>
        <v>50889</v>
      </c>
      <c r="B231" s="300">
        <f t="shared" si="326"/>
        <v>46821.909999999996</v>
      </c>
      <c r="C231" s="14">
        <f t="shared" si="319"/>
        <v>421.41</v>
      </c>
      <c r="D231" s="14">
        <f t="shared" si="335"/>
        <v>245.83</v>
      </c>
      <c r="E231" s="14">
        <f t="shared" si="320"/>
        <v>175.58</v>
      </c>
      <c r="F231" s="14">
        <f t="shared" si="278"/>
        <v>134.16999999999999</v>
      </c>
      <c r="G231" s="14">
        <f t="shared" si="275"/>
        <v>188.55</v>
      </c>
      <c r="H231" s="14">
        <f t="shared" si="276"/>
        <v>744.13000000000011</v>
      </c>
      <c r="I231" s="300">
        <f t="shared" si="290"/>
        <v>36905.340000000011</v>
      </c>
      <c r="J231" s="300">
        <f t="shared" si="291"/>
        <v>54852.51999999999</v>
      </c>
      <c r="K231" s="300">
        <f t="shared" si="292"/>
        <v>46576.079999999994</v>
      </c>
      <c r="L231" s="449">
        <f t="shared" si="263"/>
        <v>14</v>
      </c>
      <c r="M231" s="449">
        <f t="shared" si="327"/>
        <v>172</v>
      </c>
      <c r="N231" s="300">
        <f t="shared" si="328"/>
        <v>184402.2800000002</v>
      </c>
      <c r="O231" s="300">
        <f t="shared" si="293"/>
        <v>1617.67</v>
      </c>
      <c r="P231" s="300">
        <f t="shared" si="336"/>
        <v>541.99</v>
      </c>
      <c r="Q231" s="300">
        <f t="shared" si="294"/>
        <v>1075.68</v>
      </c>
      <c r="R231" s="300">
        <f t="shared" si="281"/>
        <v>134.16999999999999</v>
      </c>
      <c r="S231" s="300">
        <f t="shared" si="282"/>
        <v>188.55</v>
      </c>
      <c r="T231" s="300">
        <f t="shared" si="279"/>
        <v>1940.39</v>
      </c>
      <c r="U231" s="300">
        <f t="shared" si="337"/>
        <v>59288.210000000006</v>
      </c>
      <c r="V231" s="300">
        <f t="shared" si="338"/>
        <v>220568.70000000004</v>
      </c>
      <c r="W231" s="300">
        <f t="shared" si="295"/>
        <v>183860.29000000021</v>
      </c>
      <c r="X231" s="535">
        <f t="shared" si="329"/>
        <v>50889</v>
      </c>
      <c r="Y231" s="300">
        <f t="shared" si="296"/>
        <v>275773.26000000007</v>
      </c>
      <c r="Z231" s="527">
        <f t="shared" si="321"/>
        <v>7.0000000000000007E-2</v>
      </c>
      <c r="AA231" s="300">
        <f t="shared" si="322"/>
        <v>1746.44</v>
      </c>
      <c r="AB231" s="300">
        <f t="shared" si="297"/>
        <v>137.76</v>
      </c>
      <c r="AC231" s="300">
        <f t="shared" si="323"/>
        <v>1608.68</v>
      </c>
      <c r="AD231" s="300">
        <f t="shared" ref="AD231:AE231" si="362">+AD230</f>
        <v>134.16999999999999</v>
      </c>
      <c r="AE231" s="300">
        <f t="shared" si="362"/>
        <v>188.55</v>
      </c>
      <c r="AF231" s="300">
        <f t="shared" si="299"/>
        <v>2069.1600000000003</v>
      </c>
      <c r="AG231" s="300">
        <f t="shared" si="300"/>
        <v>39288.599999999969</v>
      </c>
      <c r="AH231" s="300">
        <f t="shared" si="301"/>
        <v>253799.31999999998</v>
      </c>
      <c r="AI231" s="545">
        <f t="shared" si="284"/>
        <v>-13231.010000000029</v>
      </c>
      <c r="AJ231" s="545">
        <f t="shared" si="350"/>
        <v>-91775.209999999846</v>
      </c>
      <c r="AK231" s="545">
        <f t="shared" si="285"/>
        <v>-105006.21999999987</v>
      </c>
      <c r="AL231" s="300">
        <f t="shared" si="302"/>
        <v>275635.50000000006</v>
      </c>
      <c r="AM231" s="449">
        <f t="shared" si="331"/>
        <v>14</v>
      </c>
      <c r="AN231" s="14">
        <f t="shared" si="286"/>
        <v>1196.26</v>
      </c>
      <c r="AO231" s="14">
        <f t="shared" si="261"/>
        <v>209371.69999999995</v>
      </c>
      <c r="AP231" s="14">
        <f t="shared" si="287"/>
        <v>1325.03</v>
      </c>
      <c r="AS231" s="14">
        <f t="shared" si="325"/>
        <v>1196.26</v>
      </c>
      <c r="AT231" s="14">
        <f t="shared" si="332"/>
        <v>206472.42000000033</v>
      </c>
      <c r="AU231" s="300">
        <f t="shared" si="333"/>
        <v>1042.4085443352014</v>
      </c>
      <c r="AV231" s="300">
        <f t="shared" si="334"/>
        <v>174857.3262784158</v>
      </c>
    </row>
    <row r="232" spans="1:48" x14ac:dyDescent="0.25">
      <c r="A232" s="535">
        <f t="shared" si="289"/>
        <v>50919</v>
      </c>
      <c r="B232" s="300">
        <f t="shared" si="326"/>
        <v>46576.079999999994</v>
      </c>
      <c r="C232" s="14">
        <f t="shared" si="319"/>
        <v>421.41</v>
      </c>
      <c r="D232" s="14">
        <f t="shared" si="335"/>
        <v>246.75000000000003</v>
      </c>
      <c r="E232" s="14">
        <f t="shared" si="320"/>
        <v>174.66</v>
      </c>
      <c r="F232" s="14">
        <f t="shared" si="278"/>
        <v>134.16999999999999</v>
      </c>
      <c r="G232" s="14">
        <f t="shared" si="275"/>
        <v>188.55</v>
      </c>
      <c r="H232" s="14">
        <f t="shared" si="276"/>
        <v>744.13000000000011</v>
      </c>
      <c r="I232" s="300">
        <f t="shared" si="290"/>
        <v>37152.090000000011</v>
      </c>
      <c r="J232" s="300">
        <f t="shared" si="291"/>
        <v>55027.179999999993</v>
      </c>
      <c r="K232" s="300">
        <f t="shared" si="292"/>
        <v>46329.329999999994</v>
      </c>
      <c r="L232" s="449">
        <f t="shared" si="263"/>
        <v>14</v>
      </c>
      <c r="M232" s="449">
        <f t="shared" si="327"/>
        <v>173</v>
      </c>
      <c r="N232" s="300">
        <f t="shared" si="328"/>
        <v>183860.29000000021</v>
      </c>
      <c r="O232" s="300">
        <f t="shared" si="293"/>
        <v>1617.67</v>
      </c>
      <c r="P232" s="300">
        <f t="shared" si="336"/>
        <v>545.15000000000009</v>
      </c>
      <c r="Q232" s="300">
        <f t="shared" si="294"/>
        <v>1072.52</v>
      </c>
      <c r="R232" s="300">
        <f t="shared" si="281"/>
        <v>134.16999999999999</v>
      </c>
      <c r="S232" s="300">
        <f t="shared" si="282"/>
        <v>188.55</v>
      </c>
      <c r="T232" s="300">
        <f t="shared" si="279"/>
        <v>1940.39</v>
      </c>
      <c r="U232" s="300">
        <f t="shared" si="337"/>
        <v>59833.360000000008</v>
      </c>
      <c r="V232" s="300">
        <f t="shared" si="338"/>
        <v>221641.22000000003</v>
      </c>
      <c r="W232" s="300">
        <f t="shared" si="295"/>
        <v>183315.14000000022</v>
      </c>
      <c r="X232" s="535">
        <f t="shared" si="329"/>
        <v>50919</v>
      </c>
      <c r="Y232" s="300">
        <f t="shared" si="296"/>
        <v>275635.50000000006</v>
      </c>
      <c r="Z232" s="527">
        <f t="shared" si="321"/>
        <v>7.0000000000000007E-2</v>
      </c>
      <c r="AA232" s="300">
        <f t="shared" si="322"/>
        <v>1746.44</v>
      </c>
      <c r="AB232" s="300">
        <f t="shared" si="297"/>
        <v>138.57000000000016</v>
      </c>
      <c r="AC232" s="300">
        <f t="shared" si="323"/>
        <v>1607.87</v>
      </c>
      <c r="AD232" s="300">
        <f t="shared" ref="AD232:AE232" si="363">+AD231</f>
        <v>134.16999999999999</v>
      </c>
      <c r="AE232" s="300">
        <f t="shared" si="363"/>
        <v>188.55</v>
      </c>
      <c r="AF232" s="300">
        <f t="shared" si="299"/>
        <v>2069.1600000000003</v>
      </c>
      <c r="AG232" s="300">
        <f t="shared" si="300"/>
        <v>39427.169999999969</v>
      </c>
      <c r="AH232" s="300">
        <f t="shared" si="301"/>
        <v>255407.18999999997</v>
      </c>
      <c r="AI232" s="545">
        <f t="shared" si="284"/>
        <v>-13359.78000000003</v>
      </c>
      <c r="AJ232" s="545">
        <f t="shared" si="350"/>
        <v>-92181.789999999834</v>
      </c>
      <c r="AK232" s="545">
        <f t="shared" si="285"/>
        <v>-105541.56999999986</v>
      </c>
      <c r="AL232" s="300">
        <f t="shared" si="302"/>
        <v>275496.93000000005</v>
      </c>
      <c r="AM232" s="449">
        <f t="shared" si="331"/>
        <v>14</v>
      </c>
      <c r="AN232" s="14">
        <f t="shared" si="286"/>
        <v>1196.26</v>
      </c>
      <c r="AO232" s="14">
        <f t="shared" si="261"/>
        <v>209073.29999999996</v>
      </c>
      <c r="AP232" s="14">
        <f t="shared" si="287"/>
        <v>1325.03</v>
      </c>
      <c r="AS232" s="14">
        <f t="shared" si="325"/>
        <v>1196.26</v>
      </c>
      <c r="AT232" s="14">
        <f t="shared" si="332"/>
        <v>207668.68000000034</v>
      </c>
      <c r="AU232" s="300">
        <f t="shared" si="333"/>
        <v>1045.0145656960394</v>
      </c>
      <c r="AV232" s="300">
        <f t="shared" si="334"/>
        <v>175902.34084411184</v>
      </c>
    </row>
    <row r="233" spans="1:48" x14ac:dyDescent="0.25">
      <c r="A233" s="535">
        <f t="shared" si="289"/>
        <v>50949</v>
      </c>
      <c r="B233" s="300">
        <f t="shared" si="326"/>
        <v>46329.329999999994</v>
      </c>
      <c r="C233" s="14">
        <f t="shared" si="319"/>
        <v>421.41</v>
      </c>
      <c r="D233" s="14">
        <f t="shared" si="335"/>
        <v>247.68000000000004</v>
      </c>
      <c r="E233" s="14">
        <f t="shared" si="320"/>
        <v>173.73</v>
      </c>
      <c r="F233" s="14">
        <f t="shared" si="278"/>
        <v>134.16999999999999</v>
      </c>
      <c r="G233" s="14">
        <f t="shared" si="275"/>
        <v>188.55</v>
      </c>
      <c r="H233" s="14">
        <f t="shared" si="276"/>
        <v>744.13000000000011</v>
      </c>
      <c r="I233" s="300">
        <f t="shared" si="290"/>
        <v>37399.770000000011</v>
      </c>
      <c r="J233" s="300">
        <f t="shared" si="291"/>
        <v>55200.909999999996</v>
      </c>
      <c r="K233" s="300">
        <f t="shared" si="292"/>
        <v>46081.649999999994</v>
      </c>
      <c r="L233" s="449">
        <f t="shared" si="263"/>
        <v>14</v>
      </c>
      <c r="M233" s="449">
        <f t="shared" si="327"/>
        <v>174</v>
      </c>
      <c r="N233" s="300">
        <f t="shared" si="328"/>
        <v>183315.14000000022</v>
      </c>
      <c r="O233" s="300">
        <f t="shared" si="293"/>
        <v>1617.67</v>
      </c>
      <c r="P233" s="300">
        <f t="shared" si="336"/>
        <v>548.33000000000015</v>
      </c>
      <c r="Q233" s="300">
        <f t="shared" si="294"/>
        <v>1069.3399999999999</v>
      </c>
      <c r="R233" s="300">
        <f t="shared" si="281"/>
        <v>134.16999999999999</v>
      </c>
      <c r="S233" s="300">
        <f t="shared" si="282"/>
        <v>188.55</v>
      </c>
      <c r="T233" s="300">
        <f t="shared" si="279"/>
        <v>1940.39</v>
      </c>
      <c r="U233" s="300">
        <f t="shared" si="337"/>
        <v>60381.69000000001</v>
      </c>
      <c r="V233" s="300">
        <f t="shared" si="338"/>
        <v>222710.56000000003</v>
      </c>
      <c r="W233" s="300">
        <f t="shared" si="295"/>
        <v>182766.81000000023</v>
      </c>
      <c r="X233" s="535">
        <f t="shared" si="329"/>
        <v>50949</v>
      </c>
      <c r="Y233" s="300">
        <f t="shared" si="296"/>
        <v>275496.93000000005</v>
      </c>
      <c r="Z233" s="527">
        <f t="shared" si="321"/>
        <v>7.0000000000000007E-2</v>
      </c>
      <c r="AA233" s="300">
        <f t="shared" si="322"/>
        <v>1746.44</v>
      </c>
      <c r="AB233" s="300">
        <f t="shared" si="297"/>
        <v>139.37000000000012</v>
      </c>
      <c r="AC233" s="300">
        <f t="shared" si="323"/>
        <v>1607.07</v>
      </c>
      <c r="AD233" s="300">
        <f t="shared" ref="AD233:AE233" si="364">+AD232</f>
        <v>134.16999999999999</v>
      </c>
      <c r="AE233" s="300">
        <f t="shared" si="364"/>
        <v>188.55</v>
      </c>
      <c r="AF233" s="300">
        <f t="shared" si="299"/>
        <v>2069.1600000000003</v>
      </c>
      <c r="AG233" s="300">
        <f t="shared" si="300"/>
        <v>39566.539999999972</v>
      </c>
      <c r="AH233" s="300">
        <f t="shared" si="301"/>
        <v>257014.25999999998</v>
      </c>
      <c r="AI233" s="545">
        <f t="shared" si="284"/>
        <v>-13488.55000000003</v>
      </c>
      <c r="AJ233" s="545">
        <f t="shared" si="350"/>
        <v>-92590.749999999825</v>
      </c>
      <c r="AK233" s="545">
        <f t="shared" si="285"/>
        <v>-106079.29999999986</v>
      </c>
      <c r="AL233" s="300">
        <f t="shared" si="302"/>
        <v>275357.56000000006</v>
      </c>
      <c r="AM233" s="449">
        <f t="shared" si="331"/>
        <v>14</v>
      </c>
      <c r="AN233" s="14">
        <f t="shared" si="286"/>
        <v>1196.26</v>
      </c>
      <c r="AO233" s="14">
        <f t="shared" si="261"/>
        <v>208772.64999999997</v>
      </c>
      <c r="AP233" s="14">
        <f t="shared" si="287"/>
        <v>1325.03</v>
      </c>
      <c r="AS233" s="14">
        <f t="shared" si="325"/>
        <v>1196.26</v>
      </c>
      <c r="AT233" s="14">
        <f t="shared" si="332"/>
        <v>208864.94000000035</v>
      </c>
      <c r="AU233" s="300">
        <f t="shared" si="333"/>
        <v>1047.6271021102796</v>
      </c>
      <c r="AV233" s="300">
        <f t="shared" si="334"/>
        <v>176949.96794622211</v>
      </c>
    </row>
    <row r="234" spans="1:48" x14ac:dyDescent="0.25">
      <c r="A234" s="535">
        <f t="shared" si="289"/>
        <v>50979</v>
      </c>
      <c r="B234" s="300">
        <f t="shared" si="326"/>
        <v>46081.649999999994</v>
      </c>
      <c r="C234" s="14">
        <f t="shared" si="319"/>
        <v>421.41</v>
      </c>
      <c r="D234" s="14">
        <f t="shared" si="335"/>
        <v>248.60000000000002</v>
      </c>
      <c r="E234" s="14">
        <f t="shared" si="320"/>
        <v>172.81</v>
      </c>
      <c r="F234" s="14">
        <f t="shared" si="278"/>
        <v>134.16999999999999</v>
      </c>
      <c r="G234" s="14">
        <f t="shared" si="275"/>
        <v>188.55</v>
      </c>
      <c r="H234" s="14">
        <f t="shared" si="276"/>
        <v>744.13000000000011</v>
      </c>
      <c r="I234" s="300">
        <f t="shared" si="290"/>
        <v>37648.37000000001</v>
      </c>
      <c r="J234" s="300">
        <f t="shared" si="291"/>
        <v>55373.719999999994</v>
      </c>
      <c r="K234" s="300">
        <f t="shared" si="292"/>
        <v>45833.049999999996</v>
      </c>
      <c r="L234" s="449">
        <f t="shared" si="263"/>
        <v>14</v>
      </c>
      <c r="M234" s="449">
        <f t="shared" si="327"/>
        <v>175</v>
      </c>
      <c r="N234" s="300">
        <f t="shared" si="328"/>
        <v>182766.81000000023</v>
      </c>
      <c r="O234" s="300">
        <f t="shared" si="293"/>
        <v>1617.67</v>
      </c>
      <c r="P234" s="300">
        <f t="shared" si="336"/>
        <v>551.53</v>
      </c>
      <c r="Q234" s="300">
        <f t="shared" si="294"/>
        <v>1066.1400000000001</v>
      </c>
      <c r="R234" s="300">
        <f t="shared" si="281"/>
        <v>134.16999999999999</v>
      </c>
      <c r="S234" s="300">
        <f t="shared" si="282"/>
        <v>188.55</v>
      </c>
      <c r="T234" s="300">
        <f t="shared" si="279"/>
        <v>1940.39</v>
      </c>
      <c r="U234" s="300">
        <f t="shared" si="337"/>
        <v>60933.220000000008</v>
      </c>
      <c r="V234" s="300">
        <f t="shared" si="338"/>
        <v>223776.70000000004</v>
      </c>
      <c r="W234" s="300">
        <f t="shared" si="295"/>
        <v>182215.28000000023</v>
      </c>
      <c r="X234" s="535">
        <f t="shared" si="329"/>
        <v>50979</v>
      </c>
      <c r="Y234" s="300">
        <f t="shared" si="296"/>
        <v>275357.56000000006</v>
      </c>
      <c r="Z234" s="527">
        <f t="shared" si="321"/>
        <v>7.0000000000000007E-2</v>
      </c>
      <c r="AA234" s="300">
        <f t="shared" si="322"/>
        <v>1746.44</v>
      </c>
      <c r="AB234" s="300">
        <f t="shared" si="297"/>
        <v>140.19000000000005</v>
      </c>
      <c r="AC234" s="300">
        <f t="shared" si="323"/>
        <v>1606.25</v>
      </c>
      <c r="AD234" s="300">
        <f t="shared" ref="AD234:AE234" si="365">+AD233</f>
        <v>134.16999999999999</v>
      </c>
      <c r="AE234" s="300">
        <f t="shared" si="365"/>
        <v>188.55</v>
      </c>
      <c r="AF234" s="300">
        <f t="shared" si="299"/>
        <v>2069.1600000000003</v>
      </c>
      <c r="AG234" s="300">
        <f t="shared" si="300"/>
        <v>39706.729999999974</v>
      </c>
      <c r="AH234" s="300">
        <f t="shared" si="301"/>
        <v>258620.50999999998</v>
      </c>
      <c r="AI234" s="545">
        <f t="shared" si="284"/>
        <v>-13617.320000000031</v>
      </c>
      <c r="AJ234" s="545">
        <f t="shared" si="350"/>
        <v>-93002.089999999822</v>
      </c>
      <c r="AK234" s="545">
        <f t="shared" si="285"/>
        <v>-106619.40999999986</v>
      </c>
      <c r="AL234" s="300">
        <f t="shared" si="302"/>
        <v>275217.37000000005</v>
      </c>
      <c r="AM234" s="449">
        <f t="shared" si="331"/>
        <v>14</v>
      </c>
      <c r="AN234" s="14">
        <f t="shared" si="286"/>
        <v>1196.26</v>
      </c>
      <c r="AO234" s="14">
        <f t="shared" si="261"/>
        <v>208469.72</v>
      </c>
      <c r="AP234" s="14">
        <f t="shared" si="287"/>
        <v>1325.03</v>
      </c>
      <c r="AS234" s="14">
        <f t="shared" si="325"/>
        <v>1196.26</v>
      </c>
      <c r="AT234" s="14">
        <f t="shared" si="332"/>
        <v>210061.20000000036</v>
      </c>
      <c r="AU234" s="300">
        <f t="shared" si="333"/>
        <v>1050.2461698655552</v>
      </c>
      <c r="AV234" s="300">
        <f t="shared" si="334"/>
        <v>178000.21411608768</v>
      </c>
    </row>
    <row r="235" spans="1:48" x14ac:dyDescent="0.25">
      <c r="A235" s="535">
        <f t="shared" si="289"/>
        <v>51009</v>
      </c>
      <c r="B235" s="300">
        <f t="shared" si="326"/>
        <v>45833.049999999996</v>
      </c>
      <c r="C235" s="14">
        <f t="shared" si="319"/>
        <v>421.41</v>
      </c>
      <c r="D235" s="14">
        <f t="shared" si="335"/>
        <v>249.54000000000002</v>
      </c>
      <c r="E235" s="14">
        <f t="shared" si="320"/>
        <v>171.87</v>
      </c>
      <c r="F235" s="14">
        <f t="shared" si="278"/>
        <v>134.16999999999999</v>
      </c>
      <c r="G235" s="14">
        <f t="shared" si="275"/>
        <v>188.55</v>
      </c>
      <c r="H235" s="14">
        <f t="shared" si="276"/>
        <v>744.13000000000011</v>
      </c>
      <c r="I235" s="300">
        <f t="shared" si="290"/>
        <v>37897.910000000011</v>
      </c>
      <c r="J235" s="300">
        <f t="shared" si="291"/>
        <v>55545.59</v>
      </c>
      <c r="K235" s="300">
        <f t="shared" si="292"/>
        <v>45583.509999999995</v>
      </c>
      <c r="L235" s="449">
        <f t="shared" si="263"/>
        <v>14</v>
      </c>
      <c r="M235" s="449">
        <f t="shared" si="327"/>
        <v>176</v>
      </c>
      <c r="N235" s="300">
        <f t="shared" si="328"/>
        <v>182215.28000000023</v>
      </c>
      <c r="O235" s="300">
        <f t="shared" si="293"/>
        <v>1617.67</v>
      </c>
      <c r="P235" s="300">
        <f t="shared" si="336"/>
        <v>554.75</v>
      </c>
      <c r="Q235" s="300">
        <f t="shared" si="294"/>
        <v>1062.92</v>
      </c>
      <c r="R235" s="300">
        <f t="shared" si="281"/>
        <v>134.16999999999999</v>
      </c>
      <c r="S235" s="300">
        <f t="shared" si="282"/>
        <v>188.55</v>
      </c>
      <c r="T235" s="300">
        <f t="shared" si="279"/>
        <v>1940.39</v>
      </c>
      <c r="U235" s="300">
        <f t="shared" si="337"/>
        <v>61487.970000000008</v>
      </c>
      <c r="V235" s="300">
        <f t="shared" si="338"/>
        <v>224839.62000000005</v>
      </c>
      <c r="W235" s="300">
        <f t="shared" si="295"/>
        <v>181660.53000000023</v>
      </c>
      <c r="X235" s="535">
        <f t="shared" si="329"/>
        <v>51009</v>
      </c>
      <c r="Y235" s="300">
        <f t="shared" si="296"/>
        <v>275217.37000000005</v>
      </c>
      <c r="Z235" s="527">
        <f t="shared" si="321"/>
        <v>7.0000000000000007E-2</v>
      </c>
      <c r="AA235" s="300">
        <f t="shared" si="322"/>
        <v>1746.44</v>
      </c>
      <c r="AB235" s="300">
        <f t="shared" si="297"/>
        <v>141.01</v>
      </c>
      <c r="AC235" s="300">
        <f t="shared" si="323"/>
        <v>1605.43</v>
      </c>
      <c r="AD235" s="300">
        <f t="shared" ref="AD235:AE235" si="366">+AD234</f>
        <v>134.16999999999999</v>
      </c>
      <c r="AE235" s="300">
        <f t="shared" si="366"/>
        <v>188.55</v>
      </c>
      <c r="AF235" s="300">
        <f t="shared" si="299"/>
        <v>2069.1600000000003</v>
      </c>
      <c r="AG235" s="300">
        <f t="shared" si="300"/>
        <v>39847.739999999976</v>
      </c>
      <c r="AH235" s="300">
        <f t="shared" si="301"/>
        <v>260225.93999999997</v>
      </c>
      <c r="AI235" s="545">
        <f t="shared" si="284"/>
        <v>-13746.090000000031</v>
      </c>
      <c r="AJ235" s="545">
        <f t="shared" si="350"/>
        <v>-93415.829999999813</v>
      </c>
      <c r="AK235" s="545">
        <f t="shared" si="285"/>
        <v>-107161.91999999984</v>
      </c>
      <c r="AL235" s="300">
        <f t="shared" si="302"/>
        <v>275076.36000000004</v>
      </c>
      <c r="AM235" s="449">
        <f t="shared" si="331"/>
        <v>14</v>
      </c>
      <c r="AN235" s="14">
        <f t="shared" si="286"/>
        <v>1196.26</v>
      </c>
      <c r="AO235" s="14">
        <f t="shared" si="261"/>
        <v>208164.50999999998</v>
      </c>
      <c r="AP235" s="14">
        <f t="shared" si="287"/>
        <v>1325.03</v>
      </c>
      <c r="AS235" s="14">
        <f t="shared" si="325"/>
        <v>1196.26</v>
      </c>
      <c r="AT235" s="14">
        <f t="shared" si="332"/>
        <v>211257.46000000037</v>
      </c>
      <c r="AU235" s="300">
        <f t="shared" si="333"/>
        <v>1052.8717852902191</v>
      </c>
      <c r="AV235" s="300">
        <f t="shared" si="334"/>
        <v>179053.0859013779</v>
      </c>
    </row>
    <row r="236" spans="1:48" x14ac:dyDescent="0.25">
      <c r="A236" s="535">
        <f t="shared" si="289"/>
        <v>51039</v>
      </c>
      <c r="B236" s="300">
        <f t="shared" si="326"/>
        <v>45583.509999999995</v>
      </c>
      <c r="C236" s="14">
        <f t="shared" si="319"/>
        <v>421.41</v>
      </c>
      <c r="D236" s="14">
        <f t="shared" si="335"/>
        <v>250.47000000000003</v>
      </c>
      <c r="E236" s="14">
        <f t="shared" si="320"/>
        <v>170.94</v>
      </c>
      <c r="F236" s="14">
        <f t="shared" si="278"/>
        <v>134.16999999999999</v>
      </c>
      <c r="G236" s="14">
        <f t="shared" si="275"/>
        <v>188.55</v>
      </c>
      <c r="H236" s="14">
        <f t="shared" si="276"/>
        <v>744.13000000000011</v>
      </c>
      <c r="I236" s="300">
        <f t="shared" si="290"/>
        <v>38148.380000000012</v>
      </c>
      <c r="J236" s="300">
        <f t="shared" si="291"/>
        <v>55716.53</v>
      </c>
      <c r="K236" s="300">
        <f t="shared" si="292"/>
        <v>45333.039999999994</v>
      </c>
      <c r="L236" s="449">
        <f t="shared" si="263"/>
        <v>14</v>
      </c>
      <c r="M236" s="449">
        <f t="shared" si="327"/>
        <v>177</v>
      </c>
      <c r="N236" s="300">
        <f t="shared" si="328"/>
        <v>181660.53000000023</v>
      </c>
      <c r="O236" s="300">
        <f t="shared" si="293"/>
        <v>1617.67</v>
      </c>
      <c r="P236" s="300">
        <f t="shared" si="336"/>
        <v>557.98</v>
      </c>
      <c r="Q236" s="300">
        <f t="shared" si="294"/>
        <v>1059.69</v>
      </c>
      <c r="R236" s="300">
        <f t="shared" si="281"/>
        <v>134.16999999999999</v>
      </c>
      <c r="S236" s="300">
        <f t="shared" si="282"/>
        <v>188.55</v>
      </c>
      <c r="T236" s="300">
        <f t="shared" si="279"/>
        <v>1940.39</v>
      </c>
      <c r="U236" s="300">
        <f t="shared" si="337"/>
        <v>62045.950000000012</v>
      </c>
      <c r="V236" s="300">
        <f t="shared" si="338"/>
        <v>225899.31000000006</v>
      </c>
      <c r="W236" s="300">
        <f t="shared" si="295"/>
        <v>181102.55000000022</v>
      </c>
      <c r="X236" s="535">
        <f t="shared" si="329"/>
        <v>51039</v>
      </c>
      <c r="Y236" s="300">
        <f t="shared" si="296"/>
        <v>275076.36000000004</v>
      </c>
      <c r="Z236" s="527">
        <f t="shared" si="321"/>
        <v>7.0000000000000007E-2</v>
      </c>
      <c r="AA236" s="300">
        <f t="shared" si="322"/>
        <v>1746.44</v>
      </c>
      <c r="AB236" s="300">
        <f t="shared" si="297"/>
        <v>141.83000000000015</v>
      </c>
      <c r="AC236" s="300">
        <f t="shared" si="323"/>
        <v>1604.61</v>
      </c>
      <c r="AD236" s="300">
        <f t="shared" ref="AD236:AE236" si="367">+AD235</f>
        <v>134.16999999999999</v>
      </c>
      <c r="AE236" s="300">
        <f t="shared" si="367"/>
        <v>188.55</v>
      </c>
      <c r="AF236" s="300">
        <f t="shared" si="299"/>
        <v>2069.1600000000003</v>
      </c>
      <c r="AG236" s="300">
        <f t="shared" si="300"/>
        <v>39989.569999999978</v>
      </c>
      <c r="AH236" s="300">
        <f t="shared" si="301"/>
        <v>261830.54999999996</v>
      </c>
      <c r="AI236" s="545">
        <f t="shared" si="284"/>
        <v>-13874.860000000032</v>
      </c>
      <c r="AJ236" s="545">
        <f t="shared" si="350"/>
        <v>-93831.979999999807</v>
      </c>
      <c r="AK236" s="545">
        <f t="shared" si="285"/>
        <v>-107706.83999999984</v>
      </c>
      <c r="AL236" s="300">
        <f t="shared" si="302"/>
        <v>274934.53000000003</v>
      </c>
      <c r="AM236" s="449">
        <f t="shared" si="331"/>
        <v>14</v>
      </c>
      <c r="AN236" s="14">
        <f t="shared" si="286"/>
        <v>1196.26</v>
      </c>
      <c r="AO236" s="14">
        <f t="shared" si="261"/>
        <v>207857</v>
      </c>
      <c r="AP236" s="14">
        <f t="shared" si="287"/>
        <v>1325.03</v>
      </c>
      <c r="AS236" s="14">
        <f t="shared" si="325"/>
        <v>1196.26</v>
      </c>
      <c r="AT236" s="14">
        <f t="shared" si="332"/>
        <v>212453.72000000038</v>
      </c>
      <c r="AU236" s="300">
        <f t="shared" si="333"/>
        <v>1055.5039647534447</v>
      </c>
      <c r="AV236" s="300">
        <f t="shared" si="334"/>
        <v>180108.58986613134</v>
      </c>
    </row>
    <row r="237" spans="1:48" x14ac:dyDescent="0.25">
      <c r="A237" s="535">
        <f t="shared" si="289"/>
        <v>51069</v>
      </c>
      <c r="B237" s="300">
        <f t="shared" si="326"/>
        <v>45333.039999999994</v>
      </c>
      <c r="C237" s="14">
        <f t="shared" si="319"/>
        <v>421.41</v>
      </c>
      <c r="D237" s="14">
        <f t="shared" si="335"/>
        <v>251.41000000000003</v>
      </c>
      <c r="E237" s="14">
        <f t="shared" si="320"/>
        <v>170</v>
      </c>
      <c r="F237" s="14">
        <f t="shared" si="278"/>
        <v>134.16999999999999</v>
      </c>
      <c r="G237" s="14">
        <f t="shared" si="275"/>
        <v>188.55</v>
      </c>
      <c r="H237" s="14">
        <f t="shared" si="276"/>
        <v>744.13000000000011</v>
      </c>
      <c r="I237" s="300">
        <f t="shared" si="290"/>
        <v>38399.790000000015</v>
      </c>
      <c r="J237" s="300">
        <f t="shared" si="291"/>
        <v>55886.53</v>
      </c>
      <c r="K237" s="300">
        <f t="shared" si="292"/>
        <v>45081.62999999999</v>
      </c>
      <c r="L237" s="449">
        <f t="shared" si="263"/>
        <v>14</v>
      </c>
      <c r="M237" s="449">
        <f t="shared" si="327"/>
        <v>178</v>
      </c>
      <c r="N237" s="300">
        <f t="shared" si="328"/>
        <v>181102.55000000022</v>
      </c>
      <c r="O237" s="300">
        <f t="shared" si="293"/>
        <v>1617.67</v>
      </c>
      <c r="P237" s="300">
        <f t="shared" si="336"/>
        <v>561.24</v>
      </c>
      <c r="Q237" s="300">
        <f t="shared" si="294"/>
        <v>1056.43</v>
      </c>
      <c r="R237" s="300">
        <f t="shared" si="281"/>
        <v>134.16999999999999</v>
      </c>
      <c r="S237" s="300">
        <f t="shared" si="282"/>
        <v>188.55</v>
      </c>
      <c r="T237" s="300">
        <f t="shared" si="279"/>
        <v>1940.39</v>
      </c>
      <c r="U237" s="300">
        <f t="shared" si="337"/>
        <v>62607.19000000001</v>
      </c>
      <c r="V237" s="300">
        <f t="shared" si="338"/>
        <v>226955.74000000005</v>
      </c>
      <c r="W237" s="300">
        <f t="shared" si="295"/>
        <v>180541.31000000023</v>
      </c>
      <c r="X237" s="535">
        <f t="shared" si="329"/>
        <v>51069</v>
      </c>
      <c r="Y237" s="300">
        <f t="shared" si="296"/>
        <v>274934.53000000003</v>
      </c>
      <c r="Z237" s="527">
        <f t="shared" si="321"/>
        <v>7.0000000000000007E-2</v>
      </c>
      <c r="AA237" s="300">
        <f t="shared" si="322"/>
        <v>1746.44</v>
      </c>
      <c r="AB237" s="300">
        <f t="shared" si="297"/>
        <v>142.66000000000008</v>
      </c>
      <c r="AC237" s="300">
        <f t="shared" si="323"/>
        <v>1603.78</v>
      </c>
      <c r="AD237" s="300">
        <f t="shared" ref="AD237:AE237" si="368">+AD236</f>
        <v>134.16999999999999</v>
      </c>
      <c r="AE237" s="300">
        <f t="shared" si="368"/>
        <v>188.55</v>
      </c>
      <c r="AF237" s="300">
        <f t="shared" si="299"/>
        <v>2069.1600000000003</v>
      </c>
      <c r="AG237" s="300">
        <f t="shared" si="300"/>
        <v>40132.229999999981</v>
      </c>
      <c r="AH237" s="300">
        <f t="shared" si="301"/>
        <v>263434.32999999996</v>
      </c>
      <c r="AI237" s="545">
        <f t="shared" si="284"/>
        <v>-14003.630000000032</v>
      </c>
      <c r="AJ237" s="545">
        <f t="shared" si="350"/>
        <v>-94250.559999999823</v>
      </c>
      <c r="AK237" s="545">
        <f t="shared" si="285"/>
        <v>-108254.18999999986</v>
      </c>
      <c r="AL237" s="300">
        <f t="shared" si="302"/>
        <v>274791.87000000005</v>
      </c>
      <c r="AM237" s="449">
        <f t="shared" si="331"/>
        <v>14</v>
      </c>
      <c r="AN237" s="14">
        <f t="shared" si="286"/>
        <v>1196.26</v>
      </c>
      <c r="AO237" s="14">
        <f t="shared" ref="AO237:AO300" si="369">IF(W237&lt;=0,0,+$AA$5-$C$2+I237-U237)</f>
        <v>207547.16999999998</v>
      </c>
      <c r="AP237" s="14">
        <f t="shared" si="287"/>
        <v>1325.03</v>
      </c>
      <c r="AS237" s="14">
        <f t="shared" si="325"/>
        <v>1196.26</v>
      </c>
      <c r="AT237" s="14">
        <f t="shared" si="332"/>
        <v>213649.98000000039</v>
      </c>
      <c r="AU237" s="300">
        <f t="shared" si="333"/>
        <v>1058.1427246653282</v>
      </c>
      <c r="AV237" s="300">
        <f t="shared" si="334"/>
        <v>181166.73259079666</v>
      </c>
    </row>
    <row r="238" spans="1:48" x14ac:dyDescent="0.25">
      <c r="A238" s="535">
        <f t="shared" si="289"/>
        <v>51099</v>
      </c>
      <c r="B238" s="300">
        <f t="shared" si="326"/>
        <v>45081.62999999999</v>
      </c>
      <c r="C238" s="14">
        <f t="shared" si="319"/>
        <v>421.41</v>
      </c>
      <c r="D238" s="14">
        <f t="shared" si="335"/>
        <v>252.35000000000002</v>
      </c>
      <c r="E238" s="14">
        <f t="shared" si="320"/>
        <v>169.06</v>
      </c>
      <c r="F238" s="14">
        <f t="shared" si="278"/>
        <v>134.16999999999999</v>
      </c>
      <c r="G238" s="14">
        <f t="shared" si="275"/>
        <v>188.55</v>
      </c>
      <c r="H238" s="14">
        <f t="shared" si="276"/>
        <v>744.13000000000011</v>
      </c>
      <c r="I238" s="300">
        <f t="shared" si="290"/>
        <v>38652.140000000014</v>
      </c>
      <c r="J238" s="300">
        <f t="shared" si="291"/>
        <v>56055.59</v>
      </c>
      <c r="K238" s="300">
        <f t="shared" si="292"/>
        <v>44829.279999999992</v>
      </c>
      <c r="L238" s="449">
        <f t="shared" si="263"/>
        <v>14</v>
      </c>
      <c r="M238" s="449">
        <f t="shared" si="327"/>
        <v>179</v>
      </c>
      <c r="N238" s="300">
        <f t="shared" si="328"/>
        <v>180541.31000000023</v>
      </c>
      <c r="O238" s="300">
        <f t="shared" si="293"/>
        <v>1617.67</v>
      </c>
      <c r="P238" s="300">
        <f t="shared" si="336"/>
        <v>564.51</v>
      </c>
      <c r="Q238" s="300">
        <f t="shared" si="294"/>
        <v>1053.1600000000001</v>
      </c>
      <c r="R238" s="300">
        <f t="shared" si="281"/>
        <v>134.16999999999999</v>
      </c>
      <c r="S238" s="300">
        <f t="shared" si="282"/>
        <v>188.55</v>
      </c>
      <c r="T238" s="300">
        <f t="shared" si="279"/>
        <v>1940.39</v>
      </c>
      <c r="U238" s="300">
        <f t="shared" si="337"/>
        <v>63171.700000000012</v>
      </c>
      <c r="V238" s="300">
        <f t="shared" si="338"/>
        <v>228008.90000000005</v>
      </c>
      <c r="W238" s="300">
        <f t="shared" si="295"/>
        <v>179976.80000000022</v>
      </c>
      <c r="X238" s="535">
        <f t="shared" si="329"/>
        <v>51099</v>
      </c>
      <c r="Y238" s="300">
        <f t="shared" si="296"/>
        <v>274791.87000000005</v>
      </c>
      <c r="Z238" s="527">
        <f t="shared" si="321"/>
        <v>7.0000000000000007E-2</v>
      </c>
      <c r="AA238" s="300">
        <f t="shared" si="322"/>
        <v>1746.44</v>
      </c>
      <c r="AB238" s="300">
        <f t="shared" si="297"/>
        <v>143.49</v>
      </c>
      <c r="AC238" s="300">
        <f t="shared" si="323"/>
        <v>1602.95</v>
      </c>
      <c r="AD238" s="300">
        <f t="shared" ref="AD238:AE238" si="370">+AD237</f>
        <v>134.16999999999999</v>
      </c>
      <c r="AE238" s="300">
        <f t="shared" si="370"/>
        <v>188.55</v>
      </c>
      <c r="AF238" s="300">
        <f t="shared" si="299"/>
        <v>2069.1600000000003</v>
      </c>
      <c r="AG238" s="300">
        <f t="shared" si="300"/>
        <v>40275.719999999979</v>
      </c>
      <c r="AH238" s="300">
        <f t="shared" si="301"/>
        <v>265037.27999999997</v>
      </c>
      <c r="AI238" s="545">
        <f t="shared" si="284"/>
        <v>-14132.400000000032</v>
      </c>
      <c r="AJ238" s="545">
        <f t="shared" si="350"/>
        <v>-94671.579999999842</v>
      </c>
      <c r="AK238" s="545">
        <f t="shared" si="285"/>
        <v>-108803.97999999988</v>
      </c>
      <c r="AL238" s="300">
        <f t="shared" si="302"/>
        <v>274648.38000000006</v>
      </c>
      <c r="AM238" s="449">
        <f t="shared" si="331"/>
        <v>14</v>
      </c>
      <c r="AN238" s="14">
        <f t="shared" si="286"/>
        <v>1196.26</v>
      </c>
      <c r="AO238" s="14">
        <f t="shared" si="369"/>
        <v>207235.00999999995</v>
      </c>
      <c r="AP238" s="14">
        <f t="shared" si="287"/>
        <v>1325.03</v>
      </c>
      <c r="AS238" s="14">
        <f t="shared" si="325"/>
        <v>1196.26</v>
      </c>
      <c r="AT238" s="14">
        <f t="shared" si="332"/>
        <v>214846.2400000004</v>
      </c>
      <c r="AU238" s="300">
        <f t="shared" si="333"/>
        <v>1060.7880814769917</v>
      </c>
      <c r="AV238" s="300">
        <f t="shared" si="334"/>
        <v>182227.52067227365</v>
      </c>
    </row>
    <row r="239" spans="1:48" x14ac:dyDescent="0.25">
      <c r="A239" s="535">
        <f t="shared" si="289"/>
        <v>51129</v>
      </c>
      <c r="B239" s="300">
        <f t="shared" si="326"/>
        <v>44829.279999999992</v>
      </c>
      <c r="C239" s="14">
        <f t="shared" si="319"/>
        <v>421.41</v>
      </c>
      <c r="D239" s="14">
        <f t="shared" si="335"/>
        <v>253.3</v>
      </c>
      <c r="E239" s="14">
        <f t="shared" si="320"/>
        <v>168.11</v>
      </c>
      <c r="F239" s="14">
        <f t="shared" si="278"/>
        <v>134.16999999999999</v>
      </c>
      <c r="G239" s="14">
        <f t="shared" si="275"/>
        <v>188.55</v>
      </c>
      <c r="H239" s="14">
        <f t="shared" si="276"/>
        <v>744.13000000000011</v>
      </c>
      <c r="I239" s="300">
        <f t="shared" si="290"/>
        <v>38905.440000000017</v>
      </c>
      <c r="J239" s="300">
        <f t="shared" si="291"/>
        <v>56223.7</v>
      </c>
      <c r="K239" s="300">
        <f t="shared" si="292"/>
        <v>44575.979999999989</v>
      </c>
      <c r="L239" s="449">
        <f t="shared" ref="L239:L302" si="371">IF(MOD(M239,12)=0,M239/12,L238)</f>
        <v>15</v>
      </c>
      <c r="M239" s="449">
        <f t="shared" si="327"/>
        <v>180</v>
      </c>
      <c r="N239" s="300">
        <f t="shared" si="328"/>
        <v>179976.80000000022</v>
      </c>
      <c r="O239" s="300">
        <f t="shared" si="293"/>
        <v>1617.67</v>
      </c>
      <c r="P239" s="300">
        <f t="shared" si="336"/>
        <v>567.81000000000017</v>
      </c>
      <c r="Q239" s="300">
        <f t="shared" si="294"/>
        <v>1049.8599999999999</v>
      </c>
      <c r="R239" s="300">
        <f t="shared" si="281"/>
        <v>134.16999999999999</v>
      </c>
      <c r="S239" s="300">
        <f t="shared" si="282"/>
        <v>188.55</v>
      </c>
      <c r="T239" s="300">
        <f t="shared" si="279"/>
        <v>1940.39</v>
      </c>
      <c r="U239" s="300">
        <f t="shared" si="337"/>
        <v>63739.510000000009</v>
      </c>
      <c r="V239" s="300">
        <f t="shared" si="338"/>
        <v>229058.76000000004</v>
      </c>
      <c r="W239" s="300">
        <f t="shared" si="295"/>
        <v>179408.99000000022</v>
      </c>
      <c r="X239" s="535">
        <f t="shared" si="329"/>
        <v>51129</v>
      </c>
      <c r="Y239" s="300">
        <f t="shared" si="296"/>
        <v>274648.38000000006</v>
      </c>
      <c r="Z239" s="527">
        <f t="shared" si="321"/>
        <v>7.0000000000000007E-2</v>
      </c>
      <c r="AA239" s="300">
        <f t="shared" si="322"/>
        <v>1746.44</v>
      </c>
      <c r="AB239" s="300">
        <f t="shared" si="297"/>
        <v>144.32000000000016</v>
      </c>
      <c r="AC239" s="300">
        <f t="shared" si="323"/>
        <v>1602.12</v>
      </c>
      <c r="AD239" s="300">
        <f t="shared" ref="AD239:AE239" si="372">+AD238</f>
        <v>134.16999999999999</v>
      </c>
      <c r="AE239" s="300">
        <f t="shared" si="372"/>
        <v>188.55</v>
      </c>
      <c r="AF239" s="300">
        <f t="shared" si="299"/>
        <v>2069.1600000000003</v>
      </c>
      <c r="AG239" s="300">
        <f t="shared" si="300"/>
        <v>40420.039999999979</v>
      </c>
      <c r="AH239" s="300">
        <f t="shared" si="301"/>
        <v>266639.39999999997</v>
      </c>
      <c r="AI239" s="545">
        <f t="shared" si="284"/>
        <v>-14261.170000000033</v>
      </c>
      <c r="AJ239" s="545">
        <f t="shared" si="350"/>
        <v>-95095.069999999832</v>
      </c>
      <c r="AK239" s="545">
        <f t="shared" si="285"/>
        <v>-109356.23999999986</v>
      </c>
      <c r="AL239" s="300">
        <f t="shared" si="302"/>
        <v>274504.06000000006</v>
      </c>
      <c r="AM239" s="449">
        <f t="shared" si="331"/>
        <v>15</v>
      </c>
      <c r="AN239" s="14">
        <f t="shared" si="286"/>
        <v>1196.26</v>
      </c>
      <c r="AO239" s="14">
        <f t="shared" si="369"/>
        <v>206920.5</v>
      </c>
      <c r="AP239" s="14">
        <f t="shared" si="287"/>
        <v>1325.03</v>
      </c>
      <c r="AS239" s="14">
        <f t="shared" si="325"/>
        <v>1196.26</v>
      </c>
      <c r="AT239" s="14">
        <f t="shared" si="332"/>
        <v>216042.50000000041</v>
      </c>
      <c r="AU239" s="300">
        <f t="shared" si="333"/>
        <v>1063.4400516806841</v>
      </c>
      <c r="AV239" s="300">
        <f t="shared" si="334"/>
        <v>183290.96072395434</v>
      </c>
    </row>
    <row r="240" spans="1:48" x14ac:dyDescent="0.25">
      <c r="A240" s="535">
        <f t="shared" si="289"/>
        <v>51159</v>
      </c>
      <c r="B240" s="300">
        <f t="shared" si="326"/>
        <v>44575.979999999989</v>
      </c>
      <c r="C240" s="14">
        <f t="shared" si="319"/>
        <v>421.41</v>
      </c>
      <c r="D240" s="14">
        <f t="shared" si="335"/>
        <v>254.25000000000003</v>
      </c>
      <c r="E240" s="14">
        <f t="shared" si="320"/>
        <v>167.16</v>
      </c>
      <c r="F240" s="14">
        <f t="shared" si="278"/>
        <v>134.16999999999999</v>
      </c>
      <c r="G240" s="14">
        <f t="shared" si="275"/>
        <v>188.55</v>
      </c>
      <c r="H240" s="14">
        <f t="shared" si="276"/>
        <v>744.13000000000011</v>
      </c>
      <c r="I240" s="300">
        <f t="shared" si="290"/>
        <v>39159.690000000017</v>
      </c>
      <c r="J240" s="300">
        <f t="shared" si="291"/>
        <v>56390.86</v>
      </c>
      <c r="K240" s="300">
        <f t="shared" si="292"/>
        <v>44321.729999999989</v>
      </c>
      <c r="L240" s="449">
        <f t="shared" si="371"/>
        <v>15</v>
      </c>
      <c r="M240" s="449">
        <f t="shared" si="327"/>
        <v>181</v>
      </c>
      <c r="N240" s="300">
        <f t="shared" si="328"/>
        <v>179408.99000000022</v>
      </c>
      <c r="O240" s="300">
        <f t="shared" si="293"/>
        <v>1617.67</v>
      </c>
      <c r="P240" s="300">
        <f t="shared" si="336"/>
        <v>571.12000000000012</v>
      </c>
      <c r="Q240" s="300">
        <f t="shared" si="294"/>
        <v>1046.55</v>
      </c>
      <c r="R240" s="300">
        <f t="shared" si="281"/>
        <v>134.16999999999999</v>
      </c>
      <c r="S240" s="300">
        <f t="shared" si="282"/>
        <v>188.55</v>
      </c>
      <c r="T240" s="300">
        <f t="shared" si="279"/>
        <v>1940.39</v>
      </c>
      <c r="U240" s="300">
        <f t="shared" si="337"/>
        <v>64310.630000000012</v>
      </c>
      <c r="V240" s="300">
        <f t="shared" si="338"/>
        <v>230105.31000000003</v>
      </c>
      <c r="W240" s="300">
        <f t="shared" si="295"/>
        <v>178837.87000000023</v>
      </c>
      <c r="X240" s="535">
        <f t="shared" si="329"/>
        <v>51159</v>
      </c>
      <c r="Y240" s="300">
        <f t="shared" si="296"/>
        <v>274504.06000000006</v>
      </c>
      <c r="Z240" s="527">
        <f t="shared" si="321"/>
        <v>7.0000000000000007E-2</v>
      </c>
      <c r="AA240" s="300">
        <f t="shared" si="322"/>
        <v>1746.44</v>
      </c>
      <c r="AB240" s="300">
        <f t="shared" si="297"/>
        <v>145.17000000000007</v>
      </c>
      <c r="AC240" s="300">
        <f t="shared" si="323"/>
        <v>1601.27</v>
      </c>
      <c r="AD240" s="300">
        <f t="shared" ref="AD240:AE240" si="373">+AD239</f>
        <v>134.16999999999999</v>
      </c>
      <c r="AE240" s="300">
        <f t="shared" si="373"/>
        <v>188.55</v>
      </c>
      <c r="AF240" s="300">
        <f t="shared" si="299"/>
        <v>2069.1600000000003</v>
      </c>
      <c r="AG240" s="300">
        <f t="shared" si="300"/>
        <v>40565.209999999977</v>
      </c>
      <c r="AH240" s="300">
        <f t="shared" si="301"/>
        <v>268240.67</v>
      </c>
      <c r="AI240" s="545">
        <f t="shared" si="284"/>
        <v>-14389.940000000033</v>
      </c>
      <c r="AJ240" s="545">
        <f t="shared" si="350"/>
        <v>-95521.019999999844</v>
      </c>
      <c r="AK240" s="545">
        <f t="shared" si="285"/>
        <v>-109910.95999999988</v>
      </c>
      <c r="AL240" s="300">
        <f t="shared" si="302"/>
        <v>274358.89000000007</v>
      </c>
      <c r="AM240" s="449">
        <f t="shared" si="331"/>
        <v>15</v>
      </c>
      <c r="AN240" s="14">
        <f t="shared" si="286"/>
        <v>1196.26</v>
      </c>
      <c r="AO240" s="14">
        <f t="shared" si="369"/>
        <v>206603.63</v>
      </c>
      <c r="AP240" s="14">
        <f t="shared" si="287"/>
        <v>1325.03</v>
      </c>
      <c r="AS240" s="14">
        <f t="shared" si="325"/>
        <v>1196.26</v>
      </c>
      <c r="AT240" s="14">
        <f t="shared" si="332"/>
        <v>217238.76000000042</v>
      </c>
      <c r="AU240" s="300">
        <f t="shared" si="333"/>
        <v>1066.098651809886</v>
      </c>
      <c r="AV240" s="300">
        <f t="shared" si="334"/>
        <v>184357.05937576422</v>
      </c>
    </row>
    <row r="241" spans="1:48" x14ac:dyDescent="0.25">
      <c r="A241" s="535">
        <f t="shared" si="289"/>
        <v>51189</v>
      </c>
      <c r="B241" s="300">
        <f t="shared" si="326"/>
        <v>44321.729999999989</v>
      </c>
      <c r="C241" s="14">
        <f t="shared" si="319"/>
        <v>421.41</v>
      </c>
      <c r="D241" s="14">
        <f t="shared" si="335"/>
        <v>255.20000000000002</v>
      </c>
      <c r="E241" s="14">
        <f t="shared" si="320"/>
        <v>166.21</v>
      </c>
      <c r="F241" s="14">
        <f t="shared" si="278"/>
        <v>134.16999999999999</v>
      </c>
      <c r="G241" s="14">
        <f t="shared" si="275"/>
        <v>188.55</v>
      </c>
      <c r="H241" s="14">
        <f t="shared" si="276"/>
        <v>744.13000000000011</v>
      </c>
      <c r="I241" s="300">
        <f t="shared" si="290"/>
        <v>39414.890000000014</v>
      </c>
      <c r="J241" s="300">
        <f t="shared" si="291"/>
        <v>56557.07</v>
      </c>
      <c r="K241" s="300">
        <f t="shared" si="292"/>
        <v>44066.529999999992</v>
      </c>
      <c r="L241" s="449">
        <f t="shared" si="371"/>
        <v>15</v>
      </c>
      <c r="M241" s="449">
        <f t="shared" si="327"/>
        <v>182</v>
      </c>
      <c r="N241" s="300">
        <f t="shared" si="328"/>
        <v>178837.87000000023</v>
      </c>
      <c r="O241" s="300">
        <f t="shared" si="293"/>
        <v>1617.67</v>
      </c>
      <c r="P241" s="300">
        <f t="shared" si="336"/>
        <v>574.45000000000005</v>
      </c>
      <c r="Q241" s="300">
        <f t="shared" si="294"/>
        <v>1043.22</v>
      </c>
      <c r="R241" s="300">
        <f t="shared" si="281"/>
        <v>134.16999999999999</v>
      </c>
      <c r="S241" s="300">
        <f t="shared" si="282"/>
        <v>188.55</v>
      </c>
      <c r="T241" s="300">
        <f t="shared" si="279"/>
        <v>1940.39</v>
      </c>
      <c r="U241" s="300">
        <f t="shared" si="337"/>
        <v>64885.080000000009</v>
      </c>
      <c r="V241" s="300">
        <f t="shared" si="338"/>
        <v>231148.53000000003</v>
      </c>
      <c r="W241" s="300">
        <f t="shared" si="295"/>
        <v>178263.42000000022</v>
      </c>
      <c r="X241" s="535">
        <f t="shared" si="329"/>
        <v>51189</v>
      </c>
      <c r="Y241" s="300">
        <f t="shared" si="296"/>
        <v>274358.89000000007</v>
      </c>
      <c r="Z241" s="527">
        <f t="shared" si="321"/>
        <v>7.0000000000000007E-2</v>
      </c>
      <c r="AA241" s="300">
        <f t="shared" si="322"/>
        <v>1746.44</v>
      </c>
      <c r="AB241" s="300">
        <f t="shared" si="297"/>
        <v>146.01</v>
      </c>
      <c r="AC241" s="300">
        <f t="shared" si="323"/>
        <v>1600.43</v>
      </c>
      <c r="AD241" s="300">
        <f t="shared" ref="AD241:AE241" si="374">+AD240</f>
        <v>134.16999999999999</v>
      </c>
      <c r="AE241" s="300">
        <f t="shared" si="374"/>
        <v>188.55</v>
      </c>
      <c r="AF241" s="300">
        <f t="shared" si="299"/>
        <v>2069.1600000000003</v>
      </c>
      <c r="AG241" s="300">
        <f t="shared" si="300"/>
        <v>40711.219999999979</v>
      </c>
      <c r="AH241" s="300">
        <f t="shared" si="301"/>
        <v>269841.09999999998</v>
      </c>
      <c r="AI241" s="545">
        <f t="shared" si="284"/>
        <v>-14518.710000000034</v>
      </c>
      <c r="AJ241" s="545">
        <f t="shared" si="350"/>
        <v>-95949.459999999846</v>
      </c>
      <c r="AK241" s="545">
        <f t="shared" si="285"/>
        <v>-110468.16999999988</v>
      </c>
      <c r="AL241" s="300">
        <f t="shared" si="302"/>
        <v>274212.88000000006</v>
      </c>
      <c r="AM241" s="449">
        <f t="shared" si="331"/>
        <v>15</v>
      </c>
      <c r="AN241" s="14">
        <f t="shared" si="286"/>
        <v>1196.26</v>
      </c>
      <c r="AO241" s="14">
        <f t="shared" si="369"/>
        <v>206284.37999999995</v>
      </c>
      <c r="AP241" s="14">
        <f t="shared" si="287"/>
        <v>1325.03</v>
      </c>
      <c r="AS241" s="14">
        <f t="shared" si="325"/>
        <v>1196.26</v>
      </c>
      <c r="AT241" s="14">
        <f t="shared" si="332"/>
        <v>218435.02000000043</v>
      </c>
      <c r="AU241" s="300">
        <f t="shared" si="333"/>
        <v>1068.7638984394105</v>
      </c>
      <c r="AV241" s="300">
        <f t="shared" si="334"/>
        <v>185425.82327420363</v>
      </c>
    </row>
    <row r="242" spans="1:48" ht="15.75" thickBot="1" x14ac:dyDescent="0.3">
      <c r="A242" s="538">
        <f t="shared" si="289"/>
        <v>51219</v>
      </c>
      <c r="B242" s="369">
        <f t="shared" si="326"/>
        <v>44066.529999999992</v>
      </c>
      <c r="C242" s="21">
        <f t="shared" si="319"/>
        <v>421.41</v>
      </c>
      <c r="D242" s="21">
        <f t="shared" si="335"/>
        <v>256.16000000000003</v>
      </c>
      <c r="E242" s="21">
        <f t="shared" si="320"/>
        <v>165.25</v>
      </c>
      <c r="F242" s="21">
        <f t="shared" si="278"/>
        <v>134.16999999999999</v>
      </c>
      <c r="G242" s="21">
        <f t="shared" si="275"/>
        <v>188.55</v>
      </c>
      <c r="H242" s="21">
        <f t="shared" si="276"/>
        <v>744.13000000000011</v>
      </c>
      <c r="I242" s="369">
        <f t="shared" si="290"/>
        <v>39671.050000000017</v>
      </c>
      <c r="J242" s="369">
        <f t="shared" si="291"/>
        <v>56722.32</v>
      </c>
      <c r="K242" s="369">
        <f t="shared" si="292"/>
        <v>43810.369999999988</v>
      </c>
      <c r="L242" s="450">
        <f t="shared" si="371"/>
        <v>15</v>
      </c>
      <c r="M242" s="450">
        <f t="shared" si="327"/>
        <v>183</v>
      </c>
      <c r="N242" s="369">
        <f t="shared" si="328"/>
        <v>178263.42000000022</v>
      </c>
      <c r="O242" s="369">
        <f t="shared" si="293"/>
        <v>1617.67</v>
      </c>
      <c r="P242" s="369">
        <f t="shared" si="336"/>
        <v>577.80000000000018</v>
      </c>
      <c r="Q242" s="369">
        <f t="shared" si="294"/>
        <v>1039.8699999999999</v>
      </c>
      <c r="R242" s="369">
        <f t="shared" si="281"/>
        <v>134.16999999999999</v>
      </c>
      <c r="S242" s="369">
        <f t="shared" si="282"/>
        <v>188.55</v>
      </c>
      <c r="T242" s="369">
        <f t="shared" si="279"/>
        <v>1940.39</v>
      </c>
      <c r="U242" s="369">
        <f t="shared" si="337"/>
        <v>65462.880000000012</v>
      </c>
      <c r="V242" s="369">
        <f t="shared" si="338"/>
        <v>232188.40000000002</v>
      </c>
      <c r="W242" s="369">
        <f t="shared" si="295"/>
        <v>177685.62000000023</v>
      </c>
      <c r="X242" s="538">
        <f t="shared" si="329"/>
        <v>51219</v>
      </c>
      <c r="Y242" s="369">
        <f t="shared" si="296"/>
        <v>274212.88000000006</v>
      </c>
      <c r="Z242" s="528">
        <f t="shared" si="321"/>
        <v>7.0000000000000007E-2</v>
      </c>
      <c r="AA242" s="369">
        <f t="shared" si="322"/>
        <v>1746.44</v>
      </c>
      <c r="AB242" s="369">
        <f t="shared" si="297"/>
        <v>146.86000000000013</v>
      </c>
      <c r="AC242" s="369">
        <f t="shared" si="323"/>
        <v>1599.58</v>
      </c>
      <c r="AD242" s="369">
        <f t="shared" ref="AD242:AE242" si="375">+AD241</f>
        <v>134.16999999999999</v>
      </c>
      <c r="AE242" s="369">
        <f t="shared" si="375"/>
        <v>188.55</v>
      </c>
      <c r="AF242" s="369">
        <f t="shared" si="299"/>
        <v>2069.1600000000003</v>
      </c>
      <c r="AG242" s="369">
        <f t="shared" si="300"/>
        <v>40858.07999999998</v>
      </c>
      <c r="AH242" s="369">
        <f t="shared" si="301"/>
        <v>271440.68</v>
      </c>
      <c r="AI242" s="546">
        <f t="shared" si="284"/>
        <v>-14647.480000000034</v>
      </c>
      <c r="AJ242" s="546">
        <f t="shared" si="350"/>
        <v>-96380.399999999849</v>
      </c>
      <c r="AK242" s="545">
        <f t="shared" si="285"/>
        <v>-111027.87999999989</v>
      </c>
      <c r="AL242" s="369">
        <f t="shared" si="302"/>
        <v>274066.02000000008</v>
      </c>
      <c r="AM242" s="450">
        <f t="shared" si="331"/>
        <v>15</v>
      </c>
      <c r="AN242" s="21">
        <f t="shared" si="286"/>
        <v>1196.26</v>
      </c>
      <c r="AO242" s="21">
        <f t="shared" si="369"/>
        <v>205962.74</v>
      </c>
      <c r="AP242" s="21">
        <f t="shared" si="287"/>
        <v>1325.03</v>
      </c>
      <c r="AQ242" s="21"/>
      <c r="AR242" s="23"/>
      <c r="AS242" s="21">
        <f t="shared" si="325"/>
        <v>1196.26</v>
      </c>
      <c r="AT242" s="21">
        <f t="shared" si="332"/>
        <v>219631.28000000044</v>
      </c>
      <c r="AU242" s="369">
        <f t="shared" si="333"/>
        <v>1071.4358081855091</v>
      </c>
      <c r="AV242" s="369">
        <f t="shared" si="334"/>
        <v>186497.25908238915</v>
      </c>
    </row>
    <row r="243" spans="1:48" x14ac:dyDescent="0.25">
      <c r="A243" s="535">
        <f t="shared" si="289"/>
        <v>51249</v>
      </c>
      <c r="B243" s="300">
        <f t="shared" si="326"/>
        <v>43810.369999999988</v>
      </c>
      <c r="C243" s="14">
        <f t="shared" si="319"/>
        <v>421.41</v>
      </c>
      <c r="D243" s="14">
        <f t="shared" si="335"/>
        <v>257.12</v>
      </c>
      <c r="E243" s="14">
        <f t="shared" si="320"/>
        <v>164.29</v>
      </c>
      <c r="F243" s="14">
        <f t="shared" si="278"/>
        <v>134.16999999999999</v>
      </c>
      <c r="G243" s="14">
        <f t="shared" si="275"/>
        <v>188.55</v>
      </c>
      <c r="H243" s="14">
        <f t="shared" si="276"/>
        <v>744.12999999999988</v>
      </c>
      <c r="I243" s="300">
        <f t="shared" si="290"/>
        <v>39928.17000000002</v>
      </c>
      <c r="J243" s="300">
        <f t="shared" si="291"/>
        <v>56886.61</v>
      </c>
      <c r="K243" s="300">
        <f t="shared" si="292"/>
        <v>43553.249999999985</v>
      </c>
      <c r="L243" s="449">
        <f t="shared" si="371"/>
        <v>15</v>
      </c>
      <c r="M243" s="449">
        <f t="shared" si="327"/>
        <v>184</v>
      </c>
      <c r="N243" s="300">
        <f t="shared" si="328"/>
        <v>177685.62000000023</v>
      </c>
      <c r="O243" s="300">
        <f t="shared" si="293"/>
        <v>1617.67</v>
      </c>
      <c r="P243" s="300">
        <f t="shared" si="336"/>
        <v>581.17000000000007</v>
      </c>
      <c r="Q243" s="300">
        <f t="shared" si="294"/>
        <v>1036.5</v>
      </c>
      <c r="R243" s="300">
        <f t="shared" si="281"/>
        <v>134.16999999999999</v>
      </c>
      <c r="S243" s="300">
        <f t="shared" si="282"/>
        <v>188.55</v>
      </c>
      <c r="T243" s="300">
        <f t="shared" si="279"/>
        <v>1940.39</v>
      </c>
      <c r="U243" s="300">
        <f t="shared" si="337"/>
        <v>66044.050000000017</v>
      </c>
      <c r="V243" s="300">
        <f t="shared" si="338"/>
        <v>233224.90000000002</v>
      </c>
      <c r="W243" s="300">
        <f t="shared" si="295"/>
        <v>177104.45000000022</v>
      </c>
      <c r="X243" s="535">
        <f t="shared" si="329"/>
        <v>51249</v>
      </c>
      <c r="Y243" s="300">
        <f t="shared" si="296"/>
        <v>274066.02000000008</v>
      </c>
      <c r="Z243" s="527">
        <f t="shared" si="321"/>
        <v>7.0000000000000007E-2</v>
      </c>
      <c r="AA243" s="300">
        <f t="shared" si="322"/>
        <v>1746.44</v>
      </c>
      <c r="AB243" s="300">
        <f t="shared" si="297"/>
        <v>147.72000000000003</v>
      </c>
      <c r="AC243" s="300">
        <f t="shared" si="323"/>
        <v>1598.72</v>
      </c>
      <c r="AD243" s="300">
        <f t="shared" ref="AD243:AE243" si="376">+AD242</f>
        <v>134.16999999999999</v>
      </c>
      <c r="AE243" s="300">
        <f t="shared" si="376"/>
        <v>188.55</v>
      </c>
      <c r="AF243" s="300">
        <f t="shared" si="299"/>
        <v>2069.1600000000003</v>
      </c>
      <c r="AG243" s="300">
        <f t="shared" si="300"/>
        <v>41005.799999999981</v>
      </c>
      <c r="AH243" s="300">
        <f t="shared" si="301"/>
        <v>273039.39999999997</v>
      </c>
      <c r="AI243" s="545">
        <f t="shared" si="284"/>
        <v>-14776.250000000035</v>
      </c>
      <c r="AJ243" s="545">
        <f t="shared" si="350"/>
        <v>-96813.849999999889</v>
      </c>
      <c r="AK243" s="545">
        <f t="shared" si="285"/>
        <v>-111590.09999999992</v>
      </c>
      <c r="AL243" s="300">
        <f t="shared" si="302"/>
        <v>273918.3000000001</v>
      </c>
      <c r="AM243" s="449">
        <f t="shared" si="331"/>
        <v>15</v>
      </c>
      <c r="AN243" s="14">
        <f t="shared" si="286"/>
        <v>1196.26</v>
      </c>
      <c r="AO243" s="14">
        <f t="shared" si="369"/>
        <v>205638.68999999997</v>
      </c>
      <c r="AP243" s="14">
        <f t="shared" si="287"/>
        <v>1325.03</v>
      </c>
      <c r="AS243" s="14">
        <f t="shared" si="325"/>
        <v>1196.26</v>
      </c>
      <c r="AT243" s="14">
        <f t="shared" si="332"/>
        <v>220827.54000000044</v>
      </c>
      <c r="AU243" s="300">
        <f t="shared" si="333"/>
        <v>1074.114397705973</v>
      </c>
      <c r="AV243" s="300">
        <f t="shared" si="334"/>
        <v>187571.37348009512</v>
      </c>
    </row>
    <row r="244" spans="1:48" x14ac:dyDescent="0.25">
      <c r="A244" s="535">
        <f t="shared" si="289"/>
        <v>51279</v>
      </c>
      <c r="B244" s="300">
        <f t="shared" si="326"/>
        <v>43553.249999999985</v>
      </c>
      <c r="C244" s="14">
        <f t="shared" si="319"/>
        <v>421.41</v>
      </c>
      <c r="D244" s="14">
        <f t="shared" si="335"/>
        <v>258.09000000000003</v>
      </c>
      <c r="E244" s="14">
        <f t="shared" si="320"/>
        <v>163.32</v>
      </c>
      <c r="F244" s="14">
        <f t="shared" si="278"/>
        <v>134.16999999999999</v>
      </c>
      <c r="G244" s="14">
        <f t="shared" si="275"/>
        <v>188.55</v>
      </c>
      <c r="H244" s="14">
        <f t="shared" si="276"/>
        <v>744.13000000000011</v>
      </c>
      <c r="I244" s="300">
        <f t="shared" si="290"/>
        <v>40186.260000000017</v>
      </c>
      <c r="J244" s="300">
        <f t="shared" si="291"/>
        <v>57049.93</v>
      </c>
      <c r="K244" s="300">
        <f t="shared" si="292"/>
        <v>43295.159999999989</v>
      </c>
      <c r="L244" s="449">
        <f t="shared" si="371"/>
        <v>15</v>
      </c>
      <c r="M244" s="449">
        <f t="shared" si="327"/>
        <v>185</v>
      </c>
      <c r="N244" s="300">
        <f t="shared" si="328"/>
        <v>177104.45000000022</v>
      </c>
      <c r="O244" s="300">
        <f t="shared" si="293"/>
        <v>1617.67</v>
      </c>
      <c r="P244" s="300">
        <f t="shared" si="336"/>
        <v>584.56000000000017</v>
      </c>
      <c r="Q244" s="300">
        <f t="shared" si="294"/>
        <v>1033.1099999999999</v>
      </c>
      <c r="R244" s="300">
        <f t="shared" si="281"/>
        <v>134.16999999999999</v>
      </c>
      <c r="S244" s="300">
        <f t="shared" si="282"/>
        <v>188.55</v>
      </c>
      <c r="T244" s="300">
        <f t="shared" si="279"/>
        <v>1940.39</v>
      </c>
      <c r="U244" s="300">
        <f t="shared" si="337"/>
        <v>66628.610000000015</v>
      </c>
      <c r="V244" s="300">
        <f t="shared" si="338"/>
        <v>234258.01</v>
      </c>
      <c r="W244" s="300">
        <f t="shared" si="295"/>
        <v>176519.89000000022</v>
      </c>
      <c r="X244" s="535">
        <f t="shared" si="329"/>
        <v>51279</v>
      </c>
      <c r="Y244" s="300">
        <f t="shared" si="296"/>
        <v>273918.3000000001</v>
      </c>
      <c r="Z244" s="527">
        <f t="shared" si="321"/>
        <v>7.0000000000000007E-2</v>
      </c>
      <c r="AA244" s="300">
        <f t="shared" si="322"/>
        <v>1746.44</v>
      </c>
      <c r="AB244" s="300">
        <f t="shared" si="297"/>
        <v>148.58000000000015</v>
      </c>
      <c r="AC244" s="300">
        <f t="shared" si="323"/>
        <v>1597.86</v>
      </c>
      <c r="AD244" s="300">
        <f t="shared" ref="AD244:AE244" si="377">+AD243</f>
        <v>134.16999999999999</v>
      </c>
      <c r="AE244" s="300">
        <f t="shared" si="377"/>
        <v>188.55</v>
      </c>
      <c r="AF244" s="300">
        <f t="shared" si="299"/>
        <v>2069.1600000000003</v>
      </c>
      <c r="AG244" s="300">
        <f t="shared" si="300"/>
        <v>41154.379999999983</v>
      </c>
      <c r="AH244" s="300">
        <f t="shared" si="301"/>
        <v>274637.25999999995</v>
      </c>
      <c r="AI244" s="545">
        <f t="shared" si="284"/>
        <v>-14905.020000000035</v>
      </c>
      <c r="AJ244" s="545">
        <f t="shared" si="350"/>
        <v>-97249.829999999871</v>
      </c>
      <c r="AK244" s="545">
        <f t="shared" si="285"/>
        <v>-112154.8499999999</v>
      </c>
      <c r="AL244" s="300">
        <f t="shared" si="302"/>
        <v>273769.72000000009</v>
      </c>
      <c r="AM244" s="449">
        <f t="shared" si="331"/>
        <v>15</v>
      </c>
      <c r="AN244" s="14">
        <f t="shared" si="286"/>
        <v>1196.26</v>
      </c>
      <c r="AO244" s="14">
        <f t="shared" si="369"/>
        <v>205312.22</v>
      </c>
      <c r="AP244" s="14">
        <f t="shared" si="287"/>
        <v>1325.03</v>
      </c>
      <c r="AS244" s="14">
        <f t="shared" si="325"/>
        <v>1196.26</v>
      </c>
      <c r="AT244" s="14">
        <f t="shared" si="332"/>
        <v>222023.80000000045</v>
      </c>
      <c r="AU244" s="300">
        <f t="shared" si="333"/>
        <v>1076.7996837002377</v>
      </c>
      <c r="AV244" s="300">
        <f t="shared" si="334"/>
        <v>188648.17316379535</v>
      </c>
    </row>
    <row r="245" spans="1:48" x14ac:dyDescent="0.25">
      <c r="A245" s="535">
        <f t="shared" si="289"/>
        <v>51309</v>
      </c>
      <c r="B245" s="300">
        <f t="shared" si="326"/>
        <v>43295.159999999989</v>
      </c>
      <c r="C245" s="14">
        <f t="shared" si="319"/>
        <v>421.41</v>
      </c>
      <c r="D245" s="14">
        <f t="shared" si="335"/>
        <v>259.05</v>
      </c>
      <c r="E245" s="14">
        <f t="shared" si="320"/>
        <v>162.36000000000001</v>
      </c>
      <c r="F245" s="14">
        <f t="shared" si="278"/>
        <v>134.16999999999999</v>
      </c>
      <c r="G245" s="14">
        <f t="shared" si="275"/>
        <v>188.55</v>
      </c>
      <c r="H245" s="14">
        <f t="shared" si="276"/>
        <v>744.13000000000011</v>
      </c>
      <c r="I245" s="300">
        <f t="shared" si="290"/>
        <v>40445.310000000019</v>
      </c>
      <c r="J245" s="300">
        <f t="shared" si="291"/>
        <v>57212.29</v>
      </c>
      <c r="K245" s="300">
        <f t="shared" si="292"/>
        <v>43036.109999999986</v>
      </c>
      <c r="L245" s="449">
        <f t="shared" si="371"/>
        <v>15</v>
      </c>
      <c r="M245" s="449">
        <f t="shared" si="327"/>
        <v>186</v>
      </c>
      <c r="N245" s="300">
        <f t="shared" si="328"/>
        <v>176519.89000000022</v>
      </c>
      <c r="O245" s="300">
        <f t="shared" si="293"/>
        <v>1617.67</v>
      </c>
      <c r="P245" s="300">
        <f t="shared" si="336"/>
        <v>587.97</v>
      </c>
      <c r="Q245" s="300">
        <f t="shared" si="294"/>
        <v>1029.7</v>
      </c>
      <c r="R245" s="300">
        <f t="shared" si="281"/>
        <v>134.16999999999999</v>
      </c>
      <c r="S245" s="300">
        <f t="shared" si="282"/>
        <v>188.55</v>
      </c>
      <c r="T245" s="300">
        <f t="shared" si="279"/>
        <v>1940.39</v>
      </c>
      <c r="U245" s="300">
        <f t="shared" si="337"/>
        <v>67216.580000000016</v>
      </c>
      <c r="V245" s="300">
        <f t="shared" si="338"/>
        <v>235287.71000000002</v>
      </c>
      <c r="W245" s="300">
        <f t="shared" si="295"/>
        <v>175931.92000000022</v>
      </c>
      <c r="X245" s="535">
        <f t="shared" si="329"/>
        <v>51309</v>
      </c>
      <c r="Y245" s="300">
        <f t="shared" si="296"/>
        <v>273769.72000000009</v>
      </c>
      <c r="Z245" s="527">
        <f t="shared" si="321"/>
        <v>7.0000000000000007E-2</v>
      </c>
      <c r="AA245" s="300">
        <f t="shared" si="322"/>
        <v>1746.44</v>
      </c>
      <c r="AB245" s="300">
        <f t="shared" si="297"/>
        <v>149.45000000000005</v>
      </c>
      <c r="AC245" s="300">
        <f t="shared" si="323"/>
        <v>1596.99</v>
      </c>
      <c r="AD245" s="300">
        <f t="shared" ref="AD245:AE245" si="378">+AD244</f>
        <v>134.16999999999999</v>
      </c>
      <c r="AE245" s="300">
        <f t="shared" si="378"/>
        <v>188.55</v>
      </c>
      <c r="AF245" s="300">
        <f t="shared" si="299"/>
        <v>2069.1600000000003</v>
      </c>
      <c r="AG245" s="300">
        <f t="shared" si="300"/>
        <v>41303.82999999998</v>
      </c>
      <c r="AH245" s="300">
        <f t="shared" si="301"/>
        <v>276234.24999999994</v>
      </c>
      <c r="AI245" s="545">
        <f t="shared" si="284"/>
        <v>-15033.790000000035</v>
      </c>
      <c r="AJ245" s="545">
        <f t="shared" si="350"/>
        <v>-97688.34999999986</v>
      </c>
      <c r="AK245" s="545">
        <f t="shared" si="285"/>
        <v>-112722.1399999999</v>
      </c>
      <c r="AL245" s="300">
        <f t="shared" si="302"/>
        <v>273620.27000000008</v>
      </c>
      <c r="AM245" s="449">
        <f t="shared" si="331"/>
        <v>15</v>
      </c>
      <c r="AN245" s="14">
        <f t="shared" si="286"/>
        <v>1196.26</v>
      </c>
      <c r="AO245" s="14">
        <f t="shared" si="369"/>
        <v>204983.3</v>
      </c>
      <c r="AP245" s="14">
        <f t="shared" si="287"/>
        <v>1325.03</v>
      </c>
      <c r="AS245" s="14">
        <f t="shared" si="325"/>
        <v>1196.26</v>
      </c>
      <c r="AT245" s="14">
        <f t="shared" si="332"/>
        <v>223220.06000000046</v>
      </c>
      <c r="AU245" s="300">
        <f t="shared" si="333"/>
        <v>1079.4916829094884</v>
      </c>
      <c r="AV245" s="300">
        <f t="shared" si="334"/>
        <v>189727.66484670484</v>
      </c>
    </row>
    <row r="246" spans="1:48" x14ac:dyDescent="0.25">
      <c r="A246" s="535">
        <f t="shared" si="289"/>
        <v>51339</v>
      </c>
      <c r="B246" s="300">
        <f t="shared" si="326"/>
        <v>43036.109999999986</v>
      </c>
      <c r="C246" s="14">
        <f t="shared" si="319"/>
        <v>421.41</v>
      </c>
      <c r="D246" s="14">
        <f t="shared" si="335"/>
        <v>260.02000000000004</v>
      </c>
      <c r="E246" s="14">
        <f t="shared" si="320"/>
        <v>161.38999999999999</v>
      </c>
      <c r="F246" s="14">
        <f t="shared" si="278"/>
        <v>134.16999999999999</v>
      </c>
      <c r="G246" s="14">
        <f t="shared" si="275"/>
        <v>188.55</v>
      </c>
      <c r="H246" s="14">
        <f t="shared" si="276"/>
        <v>744.13000000000011</v>
      </c>
      <c r="I246" s="300">
        <f t="shared" si="290"/>
        <v>40705.330000000016</v>
      </c>
      <c r="J246" s="300">
        <f t="shared" si="291"/>
        <v>57373.68</v>
      </c>
      <c r="K246" s="300">
        <f t="shared" si="292"/>
        <v>42776.089999999989</v>
      </c>
      <c r="L246" s="449">
        <f t="shared" si="371"/>
        <v>15</v>
      </c>
      <c r="M246" s="449">
        <f t="shared" si="327"/>
        <v>187</v>
      </c>
      <c r="N246" s="300">
        <f t="shared" si="328"/>
        <v>175931.92000000022</v>
      </c>
      <c r="O246" s="300">
        <f t="shared" si="293"/>
        <v>1617.67</v>
      </c>
      <c r="P246" s="300">
        <f t="shared" si="336"/>
        <v>591.40000000000009</v>
      </c>
      <c r="Q246" s="300">
        <f t="shared" si="294"/>
        <v>1026.27</v>
      </c>
      <c r="R246" s="300">
        <f t="shared" si="281"/>
        <v>134.16999999999999</v>
      </c>
      <c r="S246" s="300">
        <f t="shared" si="282"/>
        <v>188.55</v>
      </c>
      <c r="T246" s="300">
        <f t="shared" si="279"/>
        <v>1940.39</v>
      </c>
      <c r="U246" s="300">
        <f t="shared" si="337"/>
        <v>67807.98000000001</v>
      </c>
      <c r="V246" s="300">
        <f t="shared" si="338"/>
        <v>236313.98</v>
      </c>
      <c r="W246" s="300">
        <f t="shared" si="295"/>
        <v>175340.52000000022</v>
      </c>
      <c r="X246" s="535">
        <f t="shared" si="329"/>
        <v>51339</v>
      </c>
      <c r="Y246" s="300">
        <f t="shared" si="296"/>
        <v>273620.27000000008</v>
      </c>
      <c r="Z246" s="527">
        <f t="shared" si="321"/>
        <v>7.0000000000000007E-2</v>
      </c>
      <c r="AA246" s="300">
        <f t="shared" si="322"/>
        <v>1746.44</v>
      </c>
      <c r="AB246" s="300">
        <f t="shared" si="297"/>
        <v>150.32000000000016</v>
      </c>
      <c r="AC246" s="300">
        <f t="shared" si="323"/>
        <v>1596.12</v>
      </c>
      <c r="AD246" s="300">
        <f t="shared" ref="AD246:AE246" si="379">+AD245</f>
        <v>134.16999999999999</v>
      </c>
      <c r="AE246" s="300">
        <f t="shared" si="379"/>
        <v>188.55</v>
      </c>
      <c r="AF246" s="300">
        <f t="shared" si="299"/>
        <v>2069.1600000000003</v>
      </c>
      <c r="AG246" s="300">
        <f t="shared" si="300"/>
        <v>41454.14999999998</v>
      </c>
      <c r="AH246" s="300">
        <f t="shared" si="301"/>
        <v>277830.36999999994</v>
      </c>
      <c r="AI246" s="545">
        <f t="shared" si="284"/>
        <v>-15162.560000000036</v>
      </c>
      <c r="AJ246" s="545">
        <f t="shared" si="350"/>
        <v>-98129.429999999847</v>
      </c>
      <c r="AK246" s="545">
        <f t="shared" si="285"/>
        <v>-113291.98999999989</v>
      </c>
      <c r="AL246" s="300">
        <f t="shared" si="302"/>
        <v>273469.95000000007</v>
      </c>
      <c r="AM246" s="449">
        <f t="shared" si="331"/>
        <v>15</v>
      </c>
      <c r="AN246" s="14">
        <f t="shared" si="286"/>
        <v>1196.26</v>
      </c>
      <c r="AO246" s="14">
        <f t="shared" si="369"/>
        <v>204651.92</v>
      </c>
      <c r="AP246" s="14">
        <f t="shared" si="287"/>
        <v>1325.03</v>
      </c>
      <c r="AS246" s="14">
        <f t="shared" si="325"/>
        <v>1196.26</v>
      </c>
      <c r="AT246" s="14">
        <f t="shared" si="332"/>
        <v>224416.32000000047</v>
      </c>
      <c r="AU246" s="300">
        <f t="shared" si="333"/>
        <v>1082.190412116762</v>
      </c>
      <c r="AV246" s="300">
        <f t="shared" si="334"/>
        <v>190809.8552588216</v>
      </c>
    </row>
    <row r="247" spans="1:48" x14ac:dyDescent="0.25">
      <c r="A247" s="535">
        <f t="shared" si="289"/>
        <v>51369</v>
      </c>
      <c r="B247" s="300">
        <f t="shared" si="326"/>
        <v>42776.089999999989</v>
      </c>
      <c r="C247" s="14">
        <f t="shared" si="319"/>
        <v>421.41</v>
      </c>
      <c r="D247" s="14">
        <f t="shared" si="335"/>
        <v>261</v>
      </c>
      <c r="E247" s="14">
        <f t="shared" si="320"/>
        <v>160.41</v>
      </c>
      <c r="F247" s="14">
        <f t="shared" si="278"/>
        <v>134.16999999999999</v>
      </c>
      <c r="G247" s="14">
        <f t="shared" si="275"/>
        <v>188.55</v>
      </c>
      <c r="H247" s="14">
        <f t="shared" si="276"/>
        <v>744.12999999999988</v>
      </c>
      <c r="I247" s="300">
        <f t="shared" si="290"/>
        <v>40966.330000000016</v>
      </c>
      <c r="J247" s="300">
        <f t="shared" si="291"/>
        <v>57534.090000000004</v>
      </c>
      <c r="K247" s="300">
        <f t="shared" si="292"/>
        <v>42515.089999999989</v>
      </c>
      <c r="L247" s="449">
        <f t="shared" si="371"/>
        <v>15</v>
      </c>
      <c r="M247" s="449">
        <f t="shared" si="327"/>
        <v>188</v>
      </c>
      <c r="N247" s="300">
        <f t="shared" si="328"/>
        <v>175340.52000000022</v>
      </c>
      <c r="O247" s="300">
        <f t="shared" si="293"/>
        <v>1617.67</v>
      </c>
      <c r="P247" s="300">
        <f t="shared" si="336"/>
        <v>594.85</v>
      </c>
      <c r="Q247" s="300">
        <f t="shared" si="294"/>
        <v>1022.82</v>
      </c>
      <c r="R247" s="300">
        <f t="shared" si="281"/>
        <v>134.16999999999999</v>
      </c>
      <c r="S247" s="300">
        <f t="shared" si="282"/>
        <v>188.55</v>
      </c>
      <c r="T247" s="300">
        <f t="shared" si="279"/>
        <v>1940.39</v>
      </c>
      <c r="U247" s="300">
        <f t="shared" si="337"/>
        <v>68402.830000000016</v>
      </c>
      <c r="V247" s="300">
        <f t="shared" si="338"/>
        <v>237336.80000000002</v>
      </c>
      <c r="W247" s="300">
        <f t="shared" si="295"/>
        <v>174745.67000000022</v>
      </c>
      <c r="X247" s="535">
        <f t="shared" si="329"/>
        <v>51369</v>
      </c>
      <c r="Y247" s="300">
        <f t="shared" si="296"/>
        <v>273469.95000000007</v>
      </c>
      <c r="Z247" s="527">
        <f t="shared" si="321"/>
        <v>7.0000000000000007E-2</v>
      </c>
      <c r="AA247" s="300">
        <f t="shared" si="322"/>
        <v>1746.44</v>
      </c>
      <c r="AB247" s="300">
        <f t="shared" si="297"/>
        <v>151.20000000000005</v>
      </c>
      <c r="AC247" s="300">
        <f t="shared" si="323"/>
        <v>1595.24</v>
      </c>
      <c r="AD247" s="300">
        <f t="shared" ref="AD247:AE247" si="380">+AD246</f>
        <v>134.16999999999999</v>
      </c>
      <c r="AE247" s="300">
        <f t="shared" si="380"/>
        <v>188.55</v>
      </c>
      <c r="AF247" s="300">
        <f t="shared" si="299"/>
        <v>2069.1600000000003</v>
      </c>
      <c r="AG247" s="300">
        <f t="shared" si="300"/>
        <v>41605.349999999977</v>
      </c>
      <c r="AH247" s="300">
        <f t="shared" si="301"/>
        <v>279425.60999999993</v>
      </c>
      <c r="AI247" s="545">
        <f t="shared" si="284"/>
        <v>-15291.330000000036</v>
      </c>
      <c r="AJ247" s="545">
        <f t="shared" si="350"/>
        <v>-98573.079999999842</v>
      </c>
      <c r="AK247" s="545">
        <f t="shared" si="285"/>
        <v>-113864.40999999987</v>
      </c>
      <c r="AL247" s="300">
        <f t="shared" si="302"/>
        <v>273318.75000000006</v>
      </c>
      <c r="AM247" s="449">
        <f t="shared" si="331"/>
        <v>15</v>
      </c>
      <c r="AN247" s="14">
        <f t="shared" si="286"/>
        <v>1196.26</v>
      </c>
      <c r="AO247" s="14">
        <f t="shared" si="369"/>
        <v>204318.07</v>
      </c>
      <c r="AP247" s="14">
        <f t="shared" si="287"/>
        <v>1325.03</v>
      </c>
      <c r="AS247" s="14">
        <f t="shared" si="325"/>
        <v>1196.26</v>
      </c>
      <c r="AT247" s="14">
        <f t="shared" si="332"/>
        <v>225612.58000000048</v>
      </c>
      <c r="AU247" s="300">
        <f t="shared" si="333"/>
        <v>1084.8958881470542</v>
      </c>
      <c r="AV247" s="300">
        <f t="shared" si="334"/>
        <v>191894.75114696866</v>
      </c>
    </row>
    <row r="248" spans="1:48" x14ac:dyDescent="0.25">
      <c r="A248" s="535">
        <f t="shared" si="289"/>
        <v>51399</v>
      </c>
      <c r="B248" s="300">
        <f t="shared" si="326"/>
        <v>42515.089999999989</v>
      </c>
      <c r="C248" s="14">
        <f t="shared" si="319"/>
        <v>421.41</v>
      </c>
      <c r="D248" s="14">
        <f t="shared" si="335"/>
        <v>261.98</v>
      </c>
      <c r="E248" s="14">
        <f t="shared" si="320"/>
        <v>159.43</v>
      </c>
      <c r="F248" s="14">
        <f t="shared" si="278"/>
        <v>134.16999999999999</v>
      </c>
      <c r="G248" s="14">
        <f t="shared" si="275"/>
        <v>188.55</v>
      </c>
      <c r="H248" s="14">
        <f t="shared" si="276"/>
        <v>744.13000000000011</v>
      </c>
      <c r="I248" s="300">
        <f t="shared" si="290"/>
        <v>41228.310000000019</v>
      </c>
      <c r="J248" s="300">
        <f t="shared" si="291"/>
        <v>57693.520000000004</v>
      </c>
      <c r="K248" s="300">
        <f t="shared" si="292"/>
        <v>42253.109999999986</v>
      </c>
      <c r="L248" s="449">
        <f t="shared" si="371"/>
        <v>15</v>
      </c>
      <c r="M248" s="449">
        <f t="shared" si="327"/>
        <v>189</v>
      </c>
      <c r="N248" s="300">
        <f t="shared" si="328"/>
        <v>174745.67000000022</v>
      </c>
      <c r="O248" s="300">
        <f t="shared" si="293"/>
        <v>1617.67</v>
      </c>
      <c r="P248" s="300">
        <f t="shared" si="336"/>
        <v>598.32000000000005</v>
      </c>
      <c r="Q248" s="300">
        <f t="shared" si="294"/>
        <v>1019.35</v>
      </c>
      <c r="R248" s="300">
        <f t="shared" si="281"/>
        <v>134.16999999999999</v>
      </c>
      <c r="S248" s="300">
        <f t="shared" si="282"/>
        <v>188.55</v>
      </c>
      <c r="T248" s="300">
        <f t="shared" si="279"/>
        <v>1940.39</v>
      </c>
      <c r="U248" s="300">
        <f t="shared" si="337"/>
        <v>69001.150000000023</v>
      </c>
      <c r="V248" s="300">
        <f t="shared" si="338"/>
        <v>238356.15000000002</v>
      </c>
      <c r="W248" s="300">
        <f t="shared" si="295"/>
        <v>174147.35000000021</v>
      </c>
      <c r="X248" s="535">
        <f t="shared" si="329"/>
        <v>51399</v>
      </c>
      <c r="Y248" s="300">
        <f t="shared" si="296"/>
        <v>273318.75000000006</v>
      </c>
      <c r="Z248" s="527">
        <f t="shared" si="321"/>
        <v>7.0000000000000007E-2</v>
      </c>
      <c r="AA248" s="300">
        <f t="shared" si="322"/>
        <v>1746.44</v>
      </c>
      <c r="AB248" s="300">
        <f t="shared" si="297"/>
        <v>152.08000000000015</v>
      </c>
      <c r="AC248" s="300">
        <f t="shared" si="323"/>
        <v>1594.36</v>
      </c>
      <c r="AD248" s="300">
        <f t="shared" ref="AD248:AE248" si="381">+AD247</f>
        <v>134.16999999999999</v>
      </c>
      <c r="AE248" s="300">
        <f t="shared" si="381"/>
        <v>188.55</v>
      </c>
      <c r="AF248" s="300">
        <f t="shared" si="299"/>
        <v>2069.1600000000003</v>
      </c>
      <c r="AG248" s="300">
        <f t="shared" si="300"/>
        <v>41757.429999999978</v>
      </c>
      <c r="AH248" s="300">
        <f t="shared" si="301"/>
        <v>281019.96999999991</v>
      </c>
      <c r="AI248" s="545">
        <f t="shared" si="284"/>
        <v>-15420.100000000037</v>
      </c>
      <c r="AJ248" s="545">
        <f t="shared" si="350"/>
        <v>-99019.319999999832</v>
      </c>
      <c r="AK248" s="545">
        <f t="shared" si="285"/>
        <v>-114439.41999999987</v>
      </c>
      <c r="AL248" s="300">
        <f t="shared" si="302"/>
        <v>273166.67000000004</v>
      </c>
      <c r="AM248" s="449">
        <f t="shared" si="331"/>
        <v>15</v>
      </c>
      <c r="AN248" s="14">
        <f t="shared" si="286"/>
        <v>1196.26</v>
      </c>
      <c r="AO248" s="14">
        <f t="shared" si="369"/>
        <v>203981.72999999998</v>
      </c>
      <c r="AP248" s="14">
        <f t="shared" si="287"/>
        <v>1325.03</v>
      </c>
      <c r="AS248" s="14">
        <f t="shared" si="325"/>
        <v>1196.26</v>
      </c>
      <c r="AT248" s="14">
        <f t="shared" si="332"/>
        <v>226808.84000000049</v>
      </c>
      <c r="AU248" s="300">
        <f t="shared" si="333"/>
        <v>1087.6081278674217</v>
      </c>
      <c r="AV248" s="300">
        <f t="shared" si="334"/>
        <v>192982.35927483608</v>
      </c>
    </row>
    <row r="249" spans="1:48" x14ac:dyDescent="0.25">
      <c r="A249" s="535">
        <f t="shared" si="289"/>
        <v>51429</v>
      </c>
      <c r="B249" s="300">
        <f t="shared" si="326"/>
        <v>42253.109999999986</v>
      </c>
      <c r="C249" s="14">
        <f t="shared" si="319"/>
        <v>421.41</v>
      </c>
      <c r="D249" s="14">
        <f t="shared" si="335"/>
        <v>262.96000000000004</v>
      </c>
      <c r="E249" s="14">
        <f t="shared" si="320"/>
        <v>158.44999999999999</v>
      </c>
      <c r="F249" s="14">
        <f t="shared" si="278"/>
        <v>134.16999999999999</v>
      </c>
      <c r="G249" s="14">
        <f t="shared" si="275"/>
        <v>188.55</v>
      </c>
      <c r="H249" s="14">
        <f t="shared" si="276"/>
        <v>744.13000000000011</v>
      </c>
      <c r="I249" s="300">
        <f t="shared" si="290"/>
        <v>41491.270000000019</v>
      </c>
      <c r="J249" s="300">
        <f t="shared" si="291"/>
        <v>57851.97</v>
      </c>
      <c r="K249" s="300">
        <f t="shared" si="292"/>
        <v>41990.149999999987</v>
      </c>
      <c r="L249" s="449">
        <f t="shared" si="371"/>
        <v>15</v>
      </c>
      <c r="M249" s="449">
        <f t="shared" si="327"/>
        <v>190</v>
      </c>
      <c r="N249" s="300">
        <f t="shared" si="328"/>
        <v>174147.35000000021</v>
      </c>
      <c r="O249" s="300">
        <f t="shared" si="293"/>
        <v>1617.67</v>
      </c>
      <c r="P249" s="300">
        <f t="shared" si="336"/>
        <v>601.81000000000006</v>
      </c>
      <c r="Q249" s="300">
        <f t="shared" si="294"/>
        <v>1015.86</v>
      </c>
      <c r="R249" s="300">
        <f t="shared" si="281"/>
        <v>134.16999999999999</v>
      </c>
      <c r="S249" s="300">
        <f t="shared" si="282"/>
        <v>188.55</v>
      </c>
      <c r="T249" s="300">
        <f t="shared" si="279"/>
        <v>1940.39</v>
      </c>
      <c r="U249" s="300">
        <f t="shared" si="337"/>
        <v>69602.960000000021</v>
      </c>
      <c r="V249" s="300">
        <f t="shared" si="338"/>
        <v>239372.01</v>
      </c>
      <c r="W249" s="300">
        <f t="shared" si="295"/>
        <v>173545.54000000021</v>
      </c>
      <c r="X249" s="535">
        <f t="shared" si="329"/>
        <v>51429</v>
      </c>
      <c r="Y249" s="300">
        <f t="shared" si="296"/>
        <v>273166.67000000004</v>
      </c>
      <c r="Z249" s="527">
        <f t="shared" si="321"/>
        <v>7.0000000000000007E-2</v>
      </c>
      <c r="AA249" s="300">
        <f t="shared" si="322"/>
        <v>1746.44</v>
      </c>
      <c r="AB249" s="300">
        <f t="shared" si="297"/>
        <v>152.97000000000003</v>
      </c>
      <c r="AC249" s="300">
        <f t="shared" si="323"/>
        <v>1593.47</v>
      </c>
      <c r="AD249" s="300">
        <f t="shared" ref="AD249:AE249" si="382">+AD248</f>
        <v>134.16999999999999</v>
      </c>
      <c r="AE249" s="300">
        <f t="shared" si="382"/>
        <v>188.55</v>
      </c>
      <c r="AF249" s="300">
        <f t="shared" si="299"/>
        <v>2069.1600000000003</v>
      </c>
      <c r="AG249" s="300">
        <f t="shared" si="300"/>
        <v>41910.39999999998</v>
      </c>
      <c r="AH249" s="300">
        <f t="shared" si="301"/>
        <v>282613.43999999989</v>
      </c>
      <c r="AI249" s="545">
        <f t="shared" si="284"/>
        <v>-15548.870000000037</v>
      </c>
      <c r="AJ249" s="545">
        <f t="shared" si="350"/>
        <v>-99468.159999999858</v>
      </c>
      <c r="AK249" s="545">
        <f t="shared" si="285"/>
        <v>-115017.0299999999</v>
      </c>
      <c r="AL249" s="300">
        <f t="shared" si="302"/>
        <v>273013.70000000007</v>
      </c>
      <c r="AM249" s="449">
        <f t="shared" si="331"/>
        <v>15</v>
      </c>
      <c r="AN249" s="14">
        <f t="shared" si="286"/>
        <v>1196.26</v>
      </c>
      <c r="AO249" s="14">
        <f t="shared" si="369"/>
        <v>203642.87999999995</v>
      </c>
      <c r="AP249" s="14">
        <f t="shared" si="287"/>
        <v>1325.03</v>
      </c>
      <c r="AS249" s="14">
        <f t="shared" si="325"/>
        <v>1196.26</v>
      </c>
      <c r="AT249" s="14">
        <f t="shared" si="332"/>
        <v>228005.1000000005</v>
      </c>
      <c r="AU249" s="300">
        <f t="shared" si="333"/>
        <v>1090.3271481870902</v>
      </c>
      <c r="AV249" s="300">
        <f t="shared" si="334"/>
        <v>194072.68642302317</v>
      </c>
    </row>
    <row r="250" spans="1:48" x14ac:dyDescent="0.25">
      <c r="A250" s="535">
        <f t="shared" si="289"/>
        <v>51459</v>
      </c>
      <c r="B250" s="300">
        <f t="shared" si="326"/>
        <v>41990.149999999987</v>
      </c>
      <c r="C250" s="14">
        <f t="shared" si="319"/>
        <v>421.41</v>
      </c>
      <c r="D250" s="14">
        <f t="shared" si="335"/>
        <v>263.95000000000005</v>
      </c>
      <c r="E250" s="14">
        <f t="shared" si="320"/>
        <v>157.46</v>
      </c>
      <c r="F250" s="14">
        <f t="shared" si="278"/>
        <v>134.16999999999999</v>
      </c>
      <c r="G250" s="14">
        <f t="shared" ref="G250:G313" si="383">+G249</f>
        <v>188.55</v>
      </c>
      <c r="H250" s="14">
        <f t="shared" ref="H250:H313" si="384">SUM(D250:G250)</f>
        <v>744.13000000000011</v>
      </c>
      <c r="I250" s="300">
        <f t="shared" si="290"/>
        <v>41755.220000000016</v>
      </c>
      <c r="J250" s="300">
        <f t="shared" si="291"/>
        <v>58009.43</v>
      </c>
      <c r="K250" s="300">
        <f t="shared" si="292"/>
        <v>41726.19999999999</v>
      </c>
      <c r="L250" s="449">
        <f t="shared" si="371"/>
        <v>15</v>
      </c>
      <c r="M250" s="449">
        <f t="shared" si="327"/>
        <v>191</v>
      </c>
      <c r="N250" s="300">
        <f t="shared" si="328"/>
        <v>173545.54000000021</v>
      </c>
      <c r="O250" s="300">
        <f t="shared" si="293"/>
        <v>1617.67</v>
      </c>
      <c r="P250" s="300">
        <f t="shared" si="336"/>
        <v>605.32000000000005</v>
      </c>
      <c r="Q250" s="300">
        <f t="shared" si="294"/>
        <v>1012.35</v>
      </c>
      <c r="R250" s="300">
        <f t="shared" si="281"/>
        <v>134.16999999999999</v>
      </c>
      <c r="S250" s="300">
        <f t="shared" si="282"/>
        <v>188.55</v>
      </c>
      <c r="T250" s="300">
        <f t="shared" si="279"/>
        <v>1940.39</v>
      </c>
      <c r="U250" s="300">
        <f t="shared" si="337"/>
        <v>70208.280000000028</v>
      </c>
      <c r="V250" s="300">
        <f t="shared" si="338"/>
        <v>240384.36000000002</v>
      </c>
      <c r="W250" s="300">
        <f t="shared" si="295"/>
        <v>172940.2200000002</v>
      </c>
      <c r="X250" s="535">
        <f t="shared" si="329"/>
        <v>51459</v>
      </c>
      <c r="Y250" s="300">
        <f t="shared" si="296"/>
        <v>273013.70000000007</v>
      </c>
      <c r="Z250" s="527">
        <f t="shared" si="321"/>
        <v>7.0000000000000007E-2</v>
      </c>
      <c r="AA250" s="300">
        <f t="shared" si="322"/>
        <v>1746.44</v>
      </c>
      <c r="AB250" s="300">
        <f t="shared" si="297"/>
        <v>153.86000000000013</v>
      </c>
      <c r="AC250" s="300">
        <f t="shared" si="323"/>
        <v>1592.58</v>
      </c>
      <c r="AD250" s="300">
        <f t="shared" ref="AD250:AE250" si="385">+AD249</f>
        <v>134.16999999999999</v>
      </c>
      <c r="AE250" s="300">
        <f t="shared" si="385"/>
        <v>188.55</v>
      </c>
      <c r="AF250" s="300">
        <f t="shared" si="299"/>
        <v>2069.1600000000003</v>
      </c>
      <c r="AG250" s="300">
        <f t="shared" si="300"/>
        <v>42064.25999999998</v>
      </c>
      <c r="AH250" s="300">
        <f t="shared" si="301"/>
        <v>284206.0199999999</v>
      </c>
      <c r="AI250" s="545">
        <f t="shared" si="284"/>
        <v>-15677.640000000038</v>
      </c>
      <c r="AJ250" s="545">
        <f t="shared" si="350"/>
        <v>-99919.619999999879</v>
      </c>
      <c r="AK250" s="545">
        <f t="shared" si="285"/>
        <v>-115597.25999999992</v>
      </c>
      <c r="AL250" s="300">
        <f t="shared" si="302"/>
        <v>272859.84000000008</v>
      </c>
      <c r="AM250" s="449">
        <f t="shared" si="331"/>
        <v>15</v>
      </c>
      <c r="AN250" s="14">
        <f t="shared" si="286"/>
        <v>1196.26</v>
      </c>
      <c r="AO250" s="14">
        <f t="shared" si="369"/>
        <v>203301.50999999995</v>
      </c>
      <c r="AP250" s="14">
        <f t="shared" si="287"/>
        <v>1325.03</v>
      </c>
      <c r="AS250" s="14">
        <f t="shared" si="325"/>
        <v>1196.26</v>
      </c>
      <c r="AT250" s="14">
        <f t="shared" si="332"/>
        <v>229201.36000000051</v>
      </c>
      <c r="AU250" s="300">
        <f t="shared" si="333"/>
        <v>1093.0529660575578</v>
      </c>
      <c r="AV250" s="300">
        <f t="shared" si="334"/>
        <v>195165.73938908073</v>
      </c>
    </row>
    <row r="251" spans="1:48" x14ac:dyDescent="0.25">
      <c r="A251" s="535">
        <f t="shared" si="289"/>
        <v>51489</v>
      </c>
      <c r="B251" s="300">
        <f t="shared" si="326"/>
        <v>41726.19999999999</v>
      </c>
      <c r="C251" s="14">
        <f t="shared" si="319"/>
        <v>421.41</v>
      </c>
      <c r="D251" s="14">
        <f t="shared" si="335"/>
        <v>264.94000000000005</v>
      </c>
      <c r="E251" s="14">
        <f t="shared" si="320"/>
        <v>156.47</v>
      </c>
      <c r="F251" s="14">
        <f t="shared" ref="F251:F314" si="386">+F250</f>
        <v>134.16999999999999</v>
      </c>
      <c r="G251" s="14">
        <f t="shared" si="383"/>
        <v>188.55</v>
      </c>
      <c r="H251" s="14">
        <f t="shared" si="384"/>
        <v>744.13000000000011</v>
      </c>
      <c r="I251" s="300">
        <f t="shared" si="290"/>
        <v>42020.160000000018</v>
      </c>
      <c r="J251" s="300">
        <f t="shared" si="291"/>
        <v>58165.9</v>
      </c>
      <c r="K251" s="300">
        <f t="shared" si="292"/>
        <v>41461.259999999987</v>
      </c>
      <c r="L251" s="449">
        <f t="shared" si="371"/>
        <v>16</v>
      </c>
      <c r="M251" s="449">
        <f t="shared" si="327"/>
        <v>192</v>
      </c>
      <c r="N251" s="300">
        <f t="shared" si="328"/>
        <v>172940.2200000002</v>
      </c>
      <c r="O251" s="300">
        <f t="shared" si="293"/>
        <v>1617.67</v>
      </c>
      <c r="P251" s="300">
        <f t="shared" si="336"/>
        <v>608.85</v>
      </c>
      <c r="Q251" s="300">
        <f t="shared" si="294"/>
        <v>1008.82</v>
      </c>
      <c r="R251" s="300">
        <f t="shared" si="281"/>
        <v>134.16999999999999</v>
      </c>
      <c r="S251" s="300">
        <f t="shared" si="282"/>
        <v>188.55</v>
      </c>
      <c r="T251" s="300">
        <f t="shared" ref="T251:T314" si="387">SUM(P251:S251)</f>
        <v>1940.39</v>
      </c>
      <c r="U251" s="300">
        <f t="shared" si="337"/>
        <v>70817.130000000034</v>
      </c>
      <c r="V251" s="300">
        <f t="shared" si="338"/>
        <v>241393.18000000002</v>
      </c>
      <c r="W251" s="300">
        <f t="shared" si="295"/>
        <v>172331.3700000002</v>
      </c>
      <c r="X251" s="535">
        <f t="shared" si="329"/>
        <v>51489</v>
      </c>
      <c r="Y251" s="300">
        <f t="shared" si="296"/>
        <v>272859.84000000008</v>
      </c>
      <c r="Z251" s="527">
        <f t="shared" si="321"/>
        <v>7.0000000000000007E-2</v>
      </c>
      <c r="AA251" s="300">
        <f t="shared" si="322"/>
        <v>1746.44</v>
      </c>
      <c r="AB251" s="300">
        <f t="shared" si="297"/>
        <v>154.76</v>
      </c>
      <c r="AC251" s="300">
        <f t="shared" si="323"/>
        <v>1591.68</v>
      </c>
      <c r="AD251" s="300">
        <f t="shared" ref="AD251:AE251" si="388">+AD250</f>
        <v>134.16999999999999</v>
      </c>
      <c r="AE251" s="300">
        <f t="shared" si="388"/>
        <v>188.55</v>
      </c>
      <c r="AF251" s="300">
        <f t="shared" si="299"/>
        <v>2069.1600000000003</v>
      </c>
      <c r="AG251" s="300">
        <f t="shared" si="300"/>
        <v>42219.019999999982</v>
      </c>
      <c r="AH251" s="300">
        <f t="shared" si="301"/>
        <v>285797.6999999999</v>
      </c>
      <c r="AI251" s="545">
        <f t="shared" si="284"/>
        <v>-15806.410000000038</v>
      </c>
      <c r="AJ251" s="545">
        <f t="shared" si="350"/>
        <v>-100373.70999999988</v>
      </c>
      <c r="AK251" s="545">
        <f t="shared" si="285"/>
        <v>-116180.11999999991</v>
      </c>
      <c r="AL251" s="300">
        <f t="shared" si="302"/>
        <v>272705.08000000007</v>
      </c>
      <c r="AM251" s="449">
        <f t="shared" si="331"/>
        <v>16</v>
      </c>
      <c r="AN251" s="14">
        <f t="shared" si="286"/>
        <v>1196.26</v>
      </c>
      <c r="AO251" s="14">
        <f t="shared" si="369"/>
        <v>202957.59999999995</v>
      </c>
      <c r="AP251" s="14">
        <f t="shared" si="287"/>
        <v>1325.03</v>
      </c>
      <c r="AS251" s="14">
        <f t="shared" si="325"/>
        <v>1196.26</v>
      </c>
      <c r="AT251" s="14">
        <f t="shared" si="332"/>
        <v>230397.62000000052</v>
      </c>
      <c r="AU251" s="300">
        <f t="shared" si="333"/>
        <v>1095.7855984727018</v>
      </c>
      <c r="AV251" s="300">
        <f t="shared" si="334"/>
        <v>196261.52498755342</v>
      </c>
    </row>
    <row r="252" spans="1:48" x14ac:dyDescent="0.25">
      <c r="A252" s="535">
        <f t="shared" si="289"/>
        <v>51519</v>
      </c>
      <c r="B252" s="300">
        <f t="shared" si="326"/>
        <v>41461.259999999987</v>
      </c>
      <c r="C252" s="14">
        <f t="shared" si="319"/>
        <v>421.41</v>
      </c>
      <c r="D252" s="14">
        <f t="shared" si="335"/>
        <v>265.93000000000006</v>
      </c>
      <c r="E252" s="14">
        <f t="shared" si="320"/>
        <v>155.47999999999999</v>
      </c>
      <c r="F252" s="14">
        <f t="shared" si="386"/>
        <v>134.16999999999999</v>
      </c>
      <c r="G252" s="14">
        <f t="shared" si="383"/>
        <v>188.55</v>
      </c>
      <c r="H252" s="14">
        <f t="shared" si="384"/>
        <v>744.13000000000011</v>
      </c>
      <c r="I252" s="300">
        <f t="shared" si="290"/>
        <v>42286.090000000018</v>
      </c>
      <c r="J252" s="300">
        <f t="shared" si="291"/>
        <v>58321.380000000005</v>
      </c>
      <c r="K252" s="300">
        <f t="shared" si="292"/>
        <v>41195.329999999987</v>
      </c>
      <c r="L252" s="449">
        <f t="shared" si="371"/>
        <v>16</v>
      </c>
      <c r="M252" s="449">
        <f t="shared" si="327"/>
        <v>193</v>
      </c>
      <c r="N252" s="300">
        <f t="shared" si="328"/>
        <v>172331.3700000002</v>
      </c>
      <c r="O252" s="300">
        <f t="shared" si="293"/>
        <v>1617.67</v>
      </c>
      <c r="P252" s="300">
        <f t="shared" si="336"/>
        <v>612.40000000000009</v>
      </c>
      <c r="Q252" s="300">
        <f t="shared" si="294"/>
        <v>1005.27</v>
      </c>
      <c r="R252" s="300">
        <f t="shared" ref="R252:R315" si="389">+R251</f>
        <v>134.16999999999999</v>
      </c>
      <c r="S252" s="300">
        <f t="shared" ref="S252:S315" si="390">+S251</f>
        <v>188.55</v>
      </c>
      <c r="T252" s="300">
        <f t="shared" si="387"/>
        <v>1940.39</v>
      </c>
      <c r="U252" s="300">
        <f t="shared" si="337"/>
        <v>71429.530000000028</v>
      </c>
      <c r="V252" s="300">
        <f t="shared" si="338"/>
        <v>242398.45</v>
      </c>
      <c r="W252" s="300">
        <f t="shared" si="295"/>
        <v>171718.9700000002</v>
      </c>
      <c r="X252" s="535">
        <f t="shared" si="329"/>
        <v>51519</v>
      </c>
      <c r="Y252" s="300">
        <f t="shared" si="296"/>
        <v>272705.08000000007</v>
      </c>
      <c r="Z252" s="527">
        <f t="shared" si="321"/>
        <v>7.0000000000000007E-2</v>
      </c>
      <c r="AA252" s="300">
        <f t="shared" si="322"/>
        <v>1746.44</v>
      </c>
      <c r="AB252" s="300">
        <f t="shared" si="297"/>
        <v>155.66000000000008</v>
      </c>
      <c r="AC252" s="300">
        <f t="shared" si="323"/>
        <v>1590.78</v>
      </c>
      <c r="AD252" s="300">
        <f t="shared" ref="AD252:AE252" si="391">+AD251</f>
        <v>134.16999999999999</v>
      </c>
      <c r="AE252" s="300">
        <f t="shared" si="391"/>
        <v>188.55</v>
      </c>
      <c r="AF252" s="300">
        <f t="shared" si="299"/>
        <v>2069.1600000000003</v>
      </c>
      <c r="AG252" s="300">
        <f t="shared" si="300"/>
        <v>42374.679999999986</v>
      </c>
      <c r="AH252" s="300">
        <f t="shared" si="301"/>
        <v>287388.47999999992</v>
      </c>
      <c r="AI252" s="545">
        <f t="shared" ref="AI252:AI315" si="392">O252-AA252+AI251</f>
        <v>-15935.180000000038</v>
      </c>
      <c r="AJ252" s="545">
        <f t="shared" si="350"/>
        <v>-100830.4499999999</v>
      </c>
      <c r="AK252" s="545">
        <f t="shared" ref="AK252:AK315" si="393">SUM(AI252:AJ252)</f>
        <v>-116765.62999999993</v>
      </c>
      <c r="AL252" s="300">
        <f t="shared" si="302"/>
        <v>272549.4200000001</v>
      </c>
      <c r="AM252" s="449">
        <f t="shared" si="331"/>
        <v>16</v>
      </c>
      <c r="AN252" s="14">
        <f t="shared" ref="AN252:AN315" si="394">IF(O252=0,0,+O252-C252)</f>
        <v>1196.26</v>
      </c>
      <c r="AO252" s="14">
        <f t="shared" si="369"/>
        <v>202611.12999999995</v>
      </c>
      <c r="AP252" s="14">
        <f t="shared" ref="AP252:AP315" si="395">IF($O252=0,0,+AA252-$C252)</f>
        <v>1325.03</v>
      </c>
      <c r="AS252" s="14">
        <f t="shared" si="325"/>
        <v>1196.26</v>
      </c>
      <c r="AT252" s="14">
        <f t="shared" si="332"/>
        <v>231593.88000000053</v>
      </c>
      <c r="AU252" s="300">
        <f t="shared" si="333"/>
        <v>1098.5250624688836</v>
      </c>
      <c r="AV252" s="300">
        <f t="shared" si="334"/>
        <v>197360.05005002231</v>
      </c>
    </row>
    <row r="253" spans="1:48" x14ac:dyDescent="0.25">
      <c r="A253" s="535">
        <f t="shared" si="289"/>
        <v>51549</v>
      </c>
      <c r="B253" s="300">
        <f t="shared" si="326"/>
        <v>41195.329999999987</v>
      </c>
      <c r="C253" s="14">
        <f t="shared" si="319"/>
        <v>421.41</v>
      </c>
      <c r="D253" s="14">
        <f t="shared" si="335"/>
        <v>266.93000000000006</v>
      </c>
      <c r="E253" s="14">
        <f t="shared" si="320"/>
        <v>154.47999999999999</v>
      </c>
      <c r="F253" s="14">
        <f t="shared" si="386"/>
        <v>134.16999999999999</v>
      </c>
      <c r="G253" s="14">
        <f t="shared" si="383"/>
        <v>188.55</v>
      </c>
      <c r="H253" s="14">
        <f t="shared" si="384"/>
        <v>744.13000000000011</v>
      </c>
      <c r="I253" s="300">
        <f t="shared" si="290"/>
        <v>42553.020000000019</v>
      </c>
      <c r="J253" s="300">
        <f t="shared" si="291"/>
        <v>58475.860000000008</v>
      </c>
      <c r="K253" s="300">
        <f t="shared" si="292"/>
        <v>40928.399999999987</v>
      </c>
      <c r="L253" s="449">
        <f t="shared" si="371"/>
        <v>16</v>
      </c>
      <c r="M253" s="449">
        <f t="shared" si="327"/>
        <v>194</v>
      </c>
      <c r="N253" s="300">
        <f t="shared" si="328"/>
        <v>171718.9700000002</v>
      </c>
      <c r="O253" s="300">
        <f t="shared" si="293"/>
        <v>1617.67</v>
      </c>
      <c r="P253" s="300">
        <f t="shared" si="336"/>
        <v>615.98</v>
      </c>
      <c r="Q253" s="300">
        <f t="shared" si="294"/>
        <v>1001.69</v>
      </c>
      <c r="R253" s="300">
        <f t="shared" si="389"/>
        <v>134.16999999999999</v>
      </c>
      <c r="S253" s="300">
        <f t="shared" si="390"/>
        <v>188.55</v>
      </c>
      <c r="T253" s="300">
        <f t="shared" si="387"/>
        <v>1940.39</v>
      </c>
      <c r="U253" s="300">
        <f t="shared" si="337"/>
        <v>72045.510000000024</v>
      </c>
      <c r="V253" s="300">
        <f t="shared" si="338"/>
        <v>243400.14</v>
      </c>
      <c r="W253" s="300">
        <f t="shared" si="295"/>
        <v>171102.99000000019</v>
      </c>
      <c r="X253" s="535">
        <f t="shared" si="329"/>
        <v>51549</v>
      </c>
      <c r="Y253" s="300">
        <f t="shared" si="296"/>
        <v>272549.4200000001</v>
      </c>
      <c r="Z253" s="527">
        <f t="shared" si="321"/>
        <v>7.0000000000000007E-2</v>
      </c>
      <c r="AA253" s="300">
        <f t="shared" si="322"/>
        <v>1746.44</v>
      </c>
      <c r="AB253" s="300">
        <f t="shared" si="297"/>
        <v>156.57000000000016</v>
      </c>
      <c r="AC253" s="300">
        <f t="shared" si="323"/>
        <v>1589.87</v>
      </c>
      <c r="AD253" s="300">
        <f t="shared" ref="AD253:AE253" si="396">+AD252</f>
        <v>134.16999999999999</v>
      </c>
      <c r="AE253" s="300">
        <f t="shared" si="396"/>
        <v>188.55</v>
      </c>
      <c r="AF253" s="300">
        <f t="shared" si="299"/>
        <v>2069.1600000000003</v>
      </c>
      <c r="AG253" s="300">
        <f t="shared" si="300"/>
        <v>42531.249999999985</v>
      </c>
      <c r="AH253" s="300">
        <f t="shared" si="301"/>
        <v>288978.34999999992</v>
      </c>
      <c r="AI253" s="545">
        <f t="shared" si="392"/>
        <v>-16063.950000000039</v>
      </c>
      <c r="AJ253" s="545">
        <f t="shared" si="350"/>
        <v>-101289.8599999999</v>
      </c>
      <c r="AK253" s="545">
        <f t="shared" si="393"/>
        <v>-117353.80999999994</v>
      </c>
      <c r="AL253" s="300">
        <f t="shared" si="302"/>
        <v>272392.85000000009</v>
      </c>
      <c r="AM253" s="449">
        <f t="shared" si="331"/>
        <v>16</v>
      </c>
      <c r="AN253" s="14">
        <f t="shared" si="394"/>
        <v>1196.26</v>
      </c>
      <c r="AO253" s="14">
        <f t="shared" si="369"/>
        <v>202262.07999999996</v>
      </c>
      <c r="AP253" s="14">
        <f t="shared" si="395"/>
        <v>1325.03</v>
      </c>
      <c r="AS253" s="14">
        <f t="shared" si="325"/>
        <v>1196.26</v>
      </c>
      <c r="AT253" s="14">
        <f t="shared" si="332"/>
        <v>232790.14000000054</v>
      </c>
      <c r="AU253" s="300">
        <f t="shared" si="333"/>
        <v>1101.2713751250558</v>
      </c>
      <c r="AV253" s="300">
        <f t="shared" si="334"/>
        <v>198461.32142514735</v>
      </c>
    </row>
    <row r="254" spans="1:48" ht="15.75" thickBot="1" x14ac:dyDescent="0.3">
      <c r="A254" s="538">
        <f t="shared" ref="A254:A314" si="397">IF(K254&lt;=0," ",+A253+30)</f>
        <v>51579</v>
      </c>
      <c r="B254" s="369">
        <f t="shared" si="326"/>
        <v>40928.399999999987</v>
      </c>
      <c r="C254" s="21">
        <f t="shared" si="319"/>
        <v>421.41</v>
      </c>
      <c r="D254" s="21">
        <f t="shared" si="335"/>
        <v>267.93000000000006</v>
      </c>
      <c r="E254" s="21">
        <f t="shared" si="320"/>
        <v>153.47999999999999</v>
      </c>
      <c r="F254" s="21">
        <f t="shared" si="386"/>
        <v>134.16999999999999</v>
      </c>
      <c r="G254" s="21">
        <f t="shared" si="383"/>
        <v>188.55</v>
      </c>
      <c r="H254" s="21">
        <f t="shared" si="384"/>
        <v>744.13000000000011</v>
      </c>
      <c r="I254" s="369">
        <f t="shared" ref="I254:I314" si="398">$D254+$I253</f>
        <v>42820.950000000019</v>
      </c>
      <c r="J254" s="369">
        <f t="shared" ref="J254:J314" si="399">$E254+$J253</f>
        <v>58629.340000000011</v>
      </c>
      <c r="K254" s="369">
        <f t="shared" ref="K254:K314" si="400">+B254-D254</f>
        <v>40660.469999999987</v>
      </c>
      <c r="L254" s="450">
        <f t="shared" si="371"/>
        <v>16</v>
      </c>
      <c r="M254" s="450">
        <f t="shared" si="327"/>
        <v>195</v>
      </c>
      <c r="N254" s="369">
        <f t="shared" si="328"/>
        <v>171102.99000000019</v>
      </c>
      <c r="O254" s="369">
        <f t="shared" ref="O254:O317" si="401">IF($O$9&lt;=A254,IF(+$W253&lt;=0,0,$O$8),0)</f>
        <v>1617.67</v>
      </c>
      <c r="P254" s="369">
        <f t="shared" si="336"/>
        <v>619.57000000000005</v>
      </c>
      <c r="Q254" s="369">
        <f t="shared" ref="Q254:Q317" si="402">IF($O$9&lt;=A254,ROUND(N254*($O$6/12),2),0)</f>
        <v>998.1</v>
      </c>
      <c r="R254" s="369">
        <f t="shared" si="389"/>
        <v>134.16999999999999</v>
      </c>
      <c r="S254" s="369">
        <f t="shared" si="390"/>
        <v>188.55</v>
      </c>
      <c r="T254" s="369">
        <f t="shared" si="387"/>
        <v>1940.39</v>
      </c>
      <c r="U254" s="369">
        <f t="shared" si="337"/>
        <v>72665.080000000031</v>
      </c>
      <c r="V254" s="369">
        <f t="shared" si="338"/>
        <v>244398.24000000002</v>
      </c>
      <c r="W254" s="369">
        <f t="shared" ref="W254:W314" si="403">+N254-P254</f>
        <v>170483.42000000019</v>
      </c>
      <c r="X254" s="538">
        <f t="shared" si="329"/>
        <v>51579</v>
      </c>
      <c r="Y254" s="369">
        <f t="shared" ref="Y254:Y317" si="404">IF(+AL253&lt;0,0,+AL253)</f>
        <v>272392.85000000009</v>
      </c>
      <c r="Z254" s="528">
        <f t="shared" si="321"/>
        <v>7.0000000000000007E-2</v>
      </c>
      <c r="AA254" s="369">
        <f t="shared" si="322"/>
        <v>1746.44</v>
      </c>
      <c r="AB254" s="369">
        <f t="shared" ref="AB254:AB317" si="405">+AA254-AC254</f>
        <v>157.48000000000002</v>
      </c>
      <c r="AC254" s="369">
        <f t="shared" si="323"/>
        <v>1588.96</v>
      </c>
      <c r="AD254" s="369">
        <f t="shared" ref="AD254:AE254" si="406">+AD253</f>
        <v>134.16999999999999</v>
      </c>
      <c r="AE254" s="369">
        <f t="shared" si="406"/>
        <v>188.55</v>
      </c>
      <c r="AF254" s="369">
        <f t="shared" ref="AF254:AF317" si="407">SUM(AB254:AE254)</f>
        <v>2069.1600000000003</v>
      </c>
      <c r="AG254" s="369">
        <f t="shared" ref="AG254:AG317" si="408">+AB254+AG253</f>
        <v>42688.729999999989</v>
      </c>
      <c r="AH254" s="369">
        <f t="shared" ref="AH254:AH317" si="409">+AH253+AC254</f>
        <v>290567.30999999994</v>
      </c>
      <c r="AI254" s="546">
        <f t="shared" si="392"/>
        <v>-16192.720000000039</v>
      </c>
      <c r="AJ254" s="546">
        <f t="shared" si="350"/>
        <v>-101751.94999999992</v>
      </c>
      <c r="AK254" s="545">
        <f t="shared" si="393"/>
        <v>-117944.66999999997</v>
      </c>
      <c r="AL254" s="369">
        <f t="shared" ref="AL254:AL317" si="410">+Y254-AB254</f>
        <v>272235.37000000011</v>
      </c>
      <c r="AM254" s="450">
        <f t="shared" si="331"/>
        <v>16</v>
      </c>
      <c r="AN254" s="21">
        <f t="shared" si="394"/>
        <v>1196.26</v>
      </c>
      <c r="AO254" s="21">
        <f t="shared" si="369"/>
        <v>201910.44</v>
      </c>
      <c r="AP254" s="21">
        <f t="shared" si="395"/>
        <v>1325.03</v>
      </c>
      <c r="AQ254" s="21"/>
      <c r="AR254" s="23"/>
      <c r="AS254" s="21">
        <f t="shared" si="325"/>
        <v>1196.26</v>
      </c>
      <c r="AT254" s="21">
        <f t="shared" si="332"/>
        <v>233986.40000000055</v>
      </c>
      <c r="AU254" s="369">
        <f t="shared" si="333"/>
        <v>1104.0245535628683</v>
      </c>
      <c r="AV254" s="369">
        <f t="shared" si="334"/>
        <v>199565.34597871022</v>
      </c>
    </row>
    <row r="255" spans="1:48" x14ac:dyDescent="0.25">
      <c r="A255" s="535">
        <f t="shared" si="397"/>
        <v>51609</v>
      </c>
      <c r="B255" s="300">
        <f t="shared" si="326"/>
        <v>40660.469999999987</v>
      </c>
      <c r="C255" s="14">
        <f t="shared" si="319"/>
        <v>421.41</v>
      </c>
      <c r="D255" s="14">
        <f t="shared" si="335"/>
        <v>268.93000000000006</v>
      </c>
      <c r="E255" s="14">
        <f t="shared" si="320"/>
        <v>152.47999999999999</v>
      </c>
      <c r="F255" s="14">
        <f t="shared" si="386"/>
        <v>134.16999999999999</v>
      </c>
      <c r="G255" s="14">
        <f t="shared" si="383"/>
        <v>188.55</v>
      </c>
      <c r="H255" s="14">
        <f t="shared" si="384"/>
        <v>744.13000000000011</v>
      </c>
      <c r="I255" s="300">
        <f t="shared" si="398"/>
        <v>43089.880000000019</v>
      </c>
      <c r="J255" s="300">
        <f t="shared" si="399"/>
        <v>58781.820000000014</v>
      </c>
      <c r="K255" s="300">
        <f t="shared" si="400"/>
        <v>40391.539999999986</v>
      </c>
      <c r="L255" s="449">
        <f t="shared" si="371"/>
        <v>16</v>
      </c>
      <c r="M255" s="449">
        <f t="shared" si="327"/>
        <v>196</v>
      </c>
      <c r="N255" s="300">
        <f t="shared" si="328"/>
        <v>170483.42000000019</v>
      </c>
      <c r="O255" s="300">
        <f t="shared" si="401"/>
        <v>1617.67</v>
      </c>
      <c r="P255" s="300">
        <f t="shared" si="336"/>
        <v>623.18000000000006</v>
      </c>
      <c r="Q255" s="300">
        <f t="shared" si="402"/>
        <v>994.49</v>
      </c>
      <c r="R255" s="300">
        <f t="shared" si="389"/>
        <v>134.16999999999999</v>
      </c>
      <c r="S255" s="300">
        <f t="shared" si="390"/>
        <v>188.55</v>
      </c>
      <c r="T255" s="300">
        <f t="shared" si="387"/>
        <v>1940.39</v>
      </c>
      <c r="U255" s="300">
        <f t="shared" si="337"/>
        <v>73288.260000000024</v>
      </c>
      <c r="V255" s="300">
        <f t="shared" si="338"/>
        <v>245392.73</v>
      </c>
      <c r="W255" s="300">
        <f t="shared" si="403"/>
        <v>169860.24000000019</v>
      </c>
      <c r="X255" s="535">
        <f t="shared" si="329"/>
        <v>51609</v>
      </c>
      <c r="Y255" s="300">
        <f t="shared" si="404"/>
        <v>272235.37000000011</v>
      </c>
      <c r="Z255" s="527">
        <f t="shared" si="321"/>
        <v>7.0000000000000007E-2</v>
      </c>
      <c r="AA255" s="300">
        <f t="shared" si="322"/>
        <v>1746.44</v>
      </c>
      <c r="AB255" s="300">
        <f t="shared" si="405"/>
        <v>158.40000000000009</v>
      </c>
      <c r="AC255" s="300">
        <f t="shared" si="323"/>
        <v>1588.04</v>
      </c>
      <c r="AD255" s="300">
        <f t="shared" ref="AD255:AE255" si="411">+AD254</f>
        <v>134.16999999999999</v>
      </c>
      <c r="AE255" s="300">
        <f t="shared" si="411"/>
        <v>188.55</v>
      </c>
      <c r="AF255" s="300">
        <f t="shared" si="407"/>
        <v>2069.1600000000003</v>
      </c>
      <c r="AG255" s="300">
        <f t="shared" si="408"/>
        <v>42847.12999999999</v>
      </c>
      <c r="AH255" s="300">
        <f t="shared" si="409"/>
        <v>292155.34999999992</v>
      </c>
      <c r="AI255" s="545">
        <f t="shared" si="392"/>
        <v>-16321.49000000004</v>
      </c>
      <c r="AJ255" s="545">
        <f t="shared" si="350"/>
        <v>-102216.72999999989</v>
      </c>
      <c r="AK255" s="545">
        <f t="shared" si="393"/>
        <v>-118538.21999999993</v>
      </c>
      <c r="AL255" s="300">
        <f t="shared" si="410"/>
        <v>272076.97000000009</v>
      </c>
      <c r="AM255" s="449">
        <f t="shared" si="331"/>
        <v>16</v>
      </c>
      <c r="AN255" s="14">
        <f t="shared" si="394"/>
        <v>1196.26</v>
      </c>
      <c r="AO255" s="14">
        <f t="shared" si="369"/>
        <v>201556.19</v>
      </c>
      <c r="AP255" s="14">
        <f t="shared" si="395"/>
        <v>1325.03</v>
      </c>
      <c r="AS255" s="14">
        <f t="shared" si="325"/>
        <v>1196.26</v>
      </c>
      <c r="AT255" s="14">
        <f t="shared" si="332"/>
        <v>235182.66000000056</v>
      </c>
      <c r="AU255" s="300">
        <f t="shared" si="333"/>
        <v>1106.7846149467755</v>
      </c>
      <c r="AV255" s="300">
        <f t="shared" si="334"/>
        <v>200672.130593657</v>
      </c>
    </row>
    <row r="256" spans="1:48" x14ac:dyDescent="0.25">
      <c r="A256" s="535">
        <f t="shared" si="397"/>
        <v>51639</v>
      </c>
      <c r="B256" s="300">
        <f t="shared" si="326"/>
        <v>40391.539999999986</v>
      </c>
      <c r="C256" s="14">
        <f t="shared" si="319"/>
        <v>421.41</v>
      </c>
      <c r="D256" s="14">
        <f t="shared" si="335"/>
        <v>269.94000000000005</v>
      </c>
      <c r="E256" s="14">
        <f t="shared" si="320"/>
        <v>151.47</v>
      </c>
      <c r="F256" s="14">
        <f t="shared" si="386"/>
        <v>134.16999999999999</v>
      </c>
      <c r="G256" s="14">
        <f t="shared" si="383"/>
        <v>188.55</v>
      </c>
      <c r="H256" s="14">
        <f t="shared" si="384"/>
        <v>744.13000000000011</v>
      </c>
      <c r="I256" s="300">
        <f t="shared" si="398"/>
        <v>43359.820000000022</v>
      </c>
      <c r="J256" s="300">
        <f t="shared" si="399"/>
        <v>58933.290000000015</v>
      </c>
      <c r="K256" s="300">
        <f t="shared" si="400"/>
        <v>40121.599999999984</v>
      </c>
      <c r="L256" s="449">
        <f t="shared" si="371"/>
        <v>16</v>
      </c>
      <c r="M256" s="449">
        <f t="shared" si="327"/>
        <v>197</v>
      </c>
      <c r="N256" s="300">
        <f t="shared" si="328"/>
        <v>169860.24000000019</v>
      </c>
      <c r="O256" s="300">
        <f t="shared" si="401"/>
        <v>1617.67</v>
      </c>
      <c r="P256" s="300">
        <f t="shared" si="336"/>
        <v>626.82000000000005</v>
      </c>
      <c r="Q256" s="300">
        <f t="shared" si="402"/>
        <v>990.85</v>
      </c>
      <c r="R256" s="300">
        <f t="shared" si="389"/>
        <v>134.16999999999999</v>
      </c>
      <c r="S256" s="300">
        <f t="shared" si="390"/>
        <v>188.55</v>
      </c>
      <c r="T256" s="300">
        <f t="shared" si="387"/>
        <v>1940.39</v>
      </c>
      <c r="U256" s="300">
        <f t="shared" si="337"/>
        <v>73915.080000000031</v>
      </c>
      <c r="V256" s="300">
        <f t="shared" si="338"/>
        <v>246383.58000000002</v>
      </c>
      <c r="W256" s="300">
        <f t="shared" si="403"/>
        <v>169233.42000000019</v>
      </c>
      <c r="X256" s="535">
        <f t="shared" si="329"/>
        <v>51639</v>
      </c>
      <c r="Y256" s="300">
        <f t="shared" si="404"/>
        <v>272076.97000000009</v>
      </c>
      <c r="Z256" s="527">
        <f t="shared" si="321"/>
        <v>7.0000000000000007E-2</v>
      </c>
      <c r="AA256" s="300">
        <f t="shared" si="322"/>
        <v>1746.44</v>
      </c>
      <c r="AB256" s="300">
        <f t="shared" si="405"/>
        <v>159.32000000000016</v>
      </c>
      <c r="AC256" s="300">
        <f t="shared" si="323"/>
        <v>1587.12</v>
      </c>
      <c r="AD256" s="300">
        <f t="shared" ref="AD256:AE256" si="412">+AD255</f>
        <v>134.16999999999999</v>
      </c>
      <c r="AE256" s="300">
        <f t="shared" si="412"/>
        <v>188.55</v>
      </c>
      <c r="AF256" s="300">
        <f t="shared" si="407"/>
        <v>2069.1600000000003</v>
      </c>
      <c r="AG256" s="300">
        <f t="shared" si="408"/>
        <v>43006.44999999999</v>
      </c>
      <c r="AH256" s="300">
        <f t="shared" si="409"/>
        <v>293742.46999999991</v>
      </c>
      <c r="AI256" s="545">
        <f t="shared" si="392"/>
        <v>-16450.260000000038</v>
      </c>
      <c r="AJ256" s="545">
        <f t="shared" si="350"/>
        <v>-102684.22999999989</v>
      </c>
      <c r="AK256" s="545">
        <f t="shared" si="393"/>
        <v>-119134.48999999993</v>
      </c>
      <c r="AL256" s="300">
        <f t="shared" si="410"/>
        <v>271917.65000000008</v>
      </c>
      <c r="AM256" s="449">
        <f t="shared" si="331"/>
        <v>16</v>
      </c>
      <c r="AN256" s="14">
        <f t="shared" si="394"/>
        <v>1196.26</v>
      </c>
      <c r="AO256" s="14">
        <f t="shared" si="369"/>
        <v>201199.31</v>
      </c>
      <c r="AP256" s="14">
        <f t="shared" si="395"/>
        <v>1325.03</v>
      </c>
      <c r="AS256" s="14">
        <f t="shared" si="325"/>
        <v>1196.26</v>
      </c>
      <c r="AT256" s="14">
        <f t="shared" si="332"/>
        <v>236378.92000000057</v>
      </c>
      <c r="AU256" s="300">
        <f t="shared" si="333"/>
        <v>1109.5515764841425</v>
      </c>
      <c r="AV256" s="300">
        <f t="shared" si="334"/>
        <v>201781.68217014114</v>
      </c>
    </row>
    <row r="257" spans="1:48" x14ac:dyDescent="0.25">
      <c r="A257" s="535">
        <f t="shared" si="397"/>
        <v>51669</v>
      </c>
      <c r="B257" s="300">
        <f t="shared" si="326"/>
        <v>40121.599999999984</v>
      </c>
      <c r="C257" s="14">
        <f t="shared" si="319"/>
        <v>421.41</v>
      </c>
      <c r="D257" s="14">
        <f t="shared" si="335"/>
        <v>270.95000000000005</v>
      </c>
      <c r="E257" s="14">
        <f t="shared" si="320"/>
        <v>150.46</v>
      </c>
      <c r="F257" s="14">
        <f t="shared" si="386"/>
        <v>134.16999999999999</v>
      </c>
      <c r="G257" s="14">
        <f t="shared" si="383"/>
        <v>188.55</v>
      </c>
      <c r="H257" s="14">
        <f t="shared" si="384"/>
        <v>744.13000000000011</v>
      </c>
      <c r="I257" s="300">
        <f t="shared" si="398"/>
        <v>43630.770000000019</v>
      </c>
      <c r="J257" s="300">
        <f t="shared" si="399"/>
        <v>59083.750000000015</v>
      </c>
      <c r="K257" s="300">
        <f t="shared" si="400"/>
        <v>39850.649999999987</v>
      </c>
      <c r="L257" s="449">
        <f t="shared" si="371"/>
        <v>16</v>
      </c>
      <c r="M257" s="449">
        <f t="shared" si="327"/>
        <v>198</v>
      </c>
      <c r="N257" s="300">
        <f t="shared" si="328"/>
        <v>169233.42000000019</v>
      </c>
      <c r="O257" s="300">
        <f t="shared" si="401"/>
        <v>1617.67</v>
      </c>
      <c r="P257" s="300">
        <f t="shared" si="336"/>
        <v>630.48</v>
      </c>
      <c r="Q257" s="300">
        <f t="shared" si="402"/>
        <v>987.19</v>
      </c>
      <c r="R257" s="300">
        <f t="shared" si="389"/>
        <v>134.16999999999999</v>
      </c>
      <c r="S257" s="300">
        <f t="shared" si="390"/>
        <v>188.55</v>
      </c>
      <c r="T257" s="300">
        <f t="shared" si="387"/>
        <v>1940.39</v>
      </c>
      <c r="U257" s="300">
        <f t="shared" si="337"/>
        <v>74545.560000000027</v>
      </c>
      <c r="V257" s="300">
        <f t="shared" si="338"/>
        <v>247370.77000000002</v>
      </c>
      <c r="W257" s="300">
        <f t="shared" si="403"/>
        <v>168602.94000000018</v>
      </c>
      <c r="X257" s="535">
        <f t="shared" si="329"/>
        <v>51669</v>
      </c>
      <c r="Y257" s="300">
        <f t="shared" si="404"/>
        <v>271917.65000000008</v>
      </c>
      <c r="Z257" s="527">
        <f t="shared" si="321"/>
        <v>7.0000000000000007E-2</v>
      </c>
      <c r="AA257" s="300">
        <f t="shared" si="322"/>
        <v>1746.44</v>
      </c>
      <c r="AB257" s="300">
        <f t="shared" si="405"/>
        <v>160.25</v>
      </c>
      <c r="AC257" s="300">
        <f t="shared" si="323"/>
        <v>1586.19</v>
      </c>
      <c r="AD257" s="300">
        <f t="shared" ref="AD257:AE257" si="413">+AD256</f>
        <v>134.16999999999999</v>
      </c>
      <c r="AE257" s="300">
        <f t="shared" si="413"/>
        <v>188.55</v>
      </c>
      <c r="AF257" s="300">
        <f t="shared" si="407"/>
        <v>2069.1600000000003</v>
      </c>
      <c r="AG257" s="300">
        <f t="shared" si="408"/>
        <v>43166.69999999999</v>
      </c>
      <c r="AH257" s="300">
        <f t="shared" si="409"/>
        <v>295328.65999999992</v>
      </c>
      <c r="AI257" s="545">
        <f t="shared" si="392"/>
        <v>-16579.030000000039</v>
      </c>
      <c r="AJ257" s="545">
        <f t="shared" si="350"/>
        <v>-103154.4599999999</v>
      </c>
      <c r="AK257" s="545">
        <f t="shared" si="393"/>
        <v>-119733.48999999995</v>
      </c>
      <c r="AL257" s="300">
        <f t="shared" si="410"/>
        <v>271757.40000000008</v>
      </c>
      <c r="AM257" s="449">
        <f t="shared" si="331"/>
        <v>16</v>
      </c>
      <c r="AN257" s="14">
        <f t="shared" si="394"/>
        <v>1196.26</v>
      </c>
      <c r="AO257" s="14">
        <f t="shared" si="369"/>
        <v>200839.77999999994</v>
      </c>
      <c r="AP257" s="14">
        <f t="shared" si="395"/>
        <v>1325.03</v>
      </c>
      <c r="AS257" s="14">
        <f t="shared" si="325"/>
        <v>1196.26</v>
      </c>
      <c r="AT257" s="14">
        <f t="shared" si="332"/>
        <v>237575.18000000058</v>
      </c>
      <c r="AU257" s="300">
        <f t="shared" si="333"/>
        <v>1112.3254554253529</v>
      </c>
      <c r="AV257" s="300">
        <f t="shared" si="334"/>
        <v>202894.0076255665</v>
      </c>
    </row>
    <row r="258" spans="1:48" x14ac:dyDescent="0.25">
      <c r="A258" s="535">
        <f t="shared" si="397"/>
        <v>51699</v>
      </c>
      <c r="B258" s="300">
        <f t="shared" si="326"/>
        <v>39850.649999999987</v>
      </c>
      <c r="C258" s="14">
        <f t="shared" si="319"/>
        <v>421.41</v>
      </c>
      <c r="D258" s="14">
        <f t="shared" si="335"/>
        <v>271.97000000000003</v>
      </c>
      <c r="E258" s="14">
        <f t="shared" si="320"/>
        <v>149.44</v>
      </c>
      <c r="F258" s="14">
        <f t="shared" si="386"/>
        <v>134.16999999999999</v>
      </c>
      <c r="G258" s="14">
        <f t="shared" si="383"/>
        <v>188.55</v>
      </c>
      <c r="H258" s="14">
        <f t="shared" si="384"/>
        <v>744.13000000000011</v>
      </c>
      <c r="I258" s="300">
        <f t="shared" si="398"/>
        <v>43902.74000000002</v>
      </c>
      <c r="J258" s="300">
        <f t="shared" si="399"/>
        <v>59233.190000000017</v>
      </c>
      <c r="K258" s="300">
        <f t="shared" si="400"/>
        <v>39578.679999999986</v>
      </c>
      <c r="L258" s="449">
        <f t="shared" si="371"/>
        <v>16</v>
      </c>
      <c r="M258" s="449">
        <f t="shared" si="327"/>
        <v>199</v>
      </c>
      <c r="N258" s="300">
        <f t="shared" si="328"/>
        <v>168602.94000000018</v>
      </c>
      <c r="O258" s="300">
        <f t="shared" si="401"/>
        <v>1617.67</v>
      </c>
      <c r="P258" s="300">
        <f t="shared" si="336"/>
        <v>634.15000000000009</v>
      </c>
      <c r="Q258" s="300">
        <f t="shared" si="402"/>
        <v>983.52</v>
      </c>
      <c r="R258" s="300">
        <f t="shared" si="389"/>
        <v>134.16999999999999</v>
      </c>
      <c r="S258" s="300">
        <f t="shared" si="390"/>
        <v>188.55</v>
      </c>
      <c r="T258" s="300">
        <f t="shared" si="387"/>
        <v>1940.39</v>
      </c>
      <c r="U258" s="300">
        <f t="shared" si="337"/>
        <v>75179.710000000021</v>
      </c>
      <c r="V258" s="300">
        <f t="shared" si="338"/>
        <v>248354.29</v>
      </c>
      <c r="W258" s="300">
        <f t="shared" si="403"/>
        <v>167968.79000000018</v>
      </c>
      <c r="X258" s="535">
        <f t="shared" si="329"/>
        <v>51699</v>
      </c>
      <c r="Y258" s="300">
        <f t="shared" si="404"/>
        <v>271757.40000000008</v>
      </c>
      <c r="Z258" s="527">
        <f t="shared" si="321"/>
        <v>7.0000000000000007E-2</v>
      </c>
      <c r="AA258" s="300">
        <f t="shared" si="322"/>
        <v>1746.44</v>
      </c>
      <c r="AB258" s="300">
        <f t="shared" si="405"/>
        <v>161.19000000000005</v>
      </c>
      <c r="AC258" s="300">
        <f t="shared" si="323"/>
        <v>1585.25</v>
      </c>
      <c r="AD258" s="300">
        <f t="shared" ref="AD258:AE258" si="414">+AD257</f>
        <v>134.16999999999999</v>
      </c>
      <c r="AE258" s="300">
        <f t="shared" si="414"/>
        <v>188.55</v>
      </c>
      <c r="AF258" s="300">
        <f t="shared" si="407"/>
        <v>2069.1600000000003</v>
      </c>
      <c r="AG258" s="300">
        <f t="shared" si="408"/>
        <v>43327.889999999992</v>
      </c>
      <c r="AH258" s="300">
        <f t="shared" si="409"/>
        <v>296913.90999999992</v>
      </c>
      <c r="AI258" s="545">
        <f t="shared" si="392"/>
        <v>-16707.800000000039</v>
      </c>
      <c r="AJ258" s="545">
        <f t="shared" si="350"/>
        <v>-103627.4199999999</v>
      </c>
      <c r="AK258" s="545">
        <f t="shared" si="393"/>
        <v>-120335.21999999994</v>
      </c>
      <c r="AL258" s="300">
        <f t="shared" si="410"/>
        <v>271596.21000000008</v>
      </c>
      <c r="AM258" s="449">
        <f t="shared" si="331"/>
        <v>16</v>
      </c>
      <c r="AN258" s="14">
        <f t="shared" si="394"/>
        <v>1196.26</v>
      </c>
      <c r="AO258" s="14">
        <f t="shared" si="369"/>
        <v>200477.59999999998</v>
      </c>
      <c r="AP258" s="14">
        <f t="shared" si="395"/>
        <v>1325.03</v>
      </c>
      <c r="AS258" s="14">
        <f t="shared" si="325"/>
        <v>1196.26</v>
      </c>
      <c r="AT258" s="14">
        <f t="shared" si="332"/>
        <v>238771.44000000058</v>
      </c>
      <c r="AU258" s="300">
        <f t="shared" si="333"/>
        <v>1115.1062690639162</v>
      </c>
      <c r="AV258" s="300">
        <f t="shared" si="334"/>
        <v>204009.11389463043</v>
      </c>
    </row>
    <row r="259" spans="1:48" x14ac:dyDescent="0.25">
      <c r="A259" s="535">
        <f t="shared" si="397"/>
        <v>51729</v>
      </c>
      <c r="B259" s="300">
        <f t="shared" si="326"/>
        <v>39578.679999999986</v>
      </c>
      <c r="C259" s="14">
        <f t="shared" si="319"/>
        <v>421.41</v>
      </c>
      <c r="D259" s="14">
        <f t="shared" si="335"/>
        <v>272.99</v>
      </c>
      <c r="E259" s="14">
        <f t="shared" si="320"/>
        <v>148.41999999999999</v>
      </c>
      <c r="F259" s="14">
        <f t="shared" si="386"/>
        <v>134.16999999999999</v>
      </c>
      <c r="G259" s="14">
        <f t="shared" si="383"/>
        <v>188.55</v>
      </c>
      <c r="H259" s="14">
        <f t="shared" si="384"/>
        <v>744.12999999999988</v>
      </c>
      <c r="I259" s="300">
        <f t="shared" si="398"/>
        <v>44175.730000000018</v>
      </c>
      <c r="J259" s="300">
        <f t="shared" si="399"/>
        <v>59381.610000000015</v>
      </c>
      <c r="K259" s="300">
        <f t="shared" si="400"/>
        <v>39305.689999999988</v>
      </c>
      <c r="L259" s="449">
        <f t="shared" si="371"/>
        <v>16</v>
      </c>
      <c r="M259" s="449">
        <f t="shared" si="327"/>
        <v>200</v>
      </c>
      <c r="N259" s="300">
        <f t="shared" si="328"/>
        <v>167968.79000000018</v>
      </c>
      <c r="O259" s="300">
        <f t="shared" si="401"/>
        <v>1617.67</v>
      </c>
      <c r="P259" s="300">
        <f t="shared" si="336"/>
        <v>637.85</v>
      </c>
      <c r="Q259" s="300">
        <f t="shared" si="402"/>
        <v>979.82</v>
      </c>
      <c r="R259" s="300">
        <f t="shared" si="389"/>
        <v>134.16999999999999</v>
      </c>
      <c r="S259" s="300">
        <f t="shared" si="390"/>
        <v>188.55</v>
      </c>
      <c r="T259" s="300">
        <f t="shared" si="387"/>
        <v>1940.39</v>
      </c>
      <c r="U259" s="300">
        <f t="shared" si="337"/>
        <v>75817.560000000027</v>
      </c>
      <c r="V259" s="300">
        <f t="shared" si="338"/>
        <v>249334.11000000002</v>
      </c>
      <c r="W259" s="300">
        <f t="shared" si="403"/>
        <v>167330.94000000018</v>
      </c>
      <c r="X259" s="535">
        <f t="shared" si="329"/>
        <v>51729</v>
      </c>
      <c r="Y259" s="300">
        <f t="shared" si="404"/>
        <v>271596.21000000008</v>
      </c>
      <c r="Z259" s="527">
        <f t="shared" si="321"/>
        <v>7.0000000000000007E-2</v>
      </c>
      <c r="AA259" s="300">
        <f t="shared" si="322"/>
        <v>1746.44</v>
      </c>
      <c r="AB259" s="300">
        <f t="shared" si="405"/>
        <v>162.13000000000011</v>
      </c>
      <c r="AC259" s="300">
        <f t="shared" si="323"/>
        <v>1584.31</v>
      </c>
      <c r="AD259" s="300">
        <f t="shared" ref="AD259:AE259" si="415">+AD258</f>
        <v>134.16999999999999</v>
      </c>
      <c r="AE259" s="300">
        <f t="shared" si="415"/>
        <v>188.55</v>
      </c>
      <c r="AF259" s="300">
        <f t="shared" si="407"/>
        <v>2069.1600000000003</v>
      </c>
      <c r="AG259" s="300">
        <f t="shared" si="408"/>
        <v>43490.01999999999</v>
      </c>
      <c r="AH259" s="300">
        <f t="shared" si="409"/>
        <v>298498.21999999991</v>
      </c>
      <c r="AI259" s="545">
        <f t="shared" si="392"/>
        <v>-16836.57000000004</v>
      </c>
      <c r="AJ259" s="545">
        <f t="shared" si="350"/>
        <v>-104103.1399999999</v>
      </c>
      <c r="AK259" s="545">
        <f t="shared" si="393"/>
        <v>-120939.70999999993</v>
      </c>
      <c r="AL259" s="300">
        <f t="shared" si="410"/>
        <v>271434.08000000007</v>
      </c>
      <c r="AM259" s="449">
        <f t="shared" si="331"/>
        <v>16</v>
      </c>
      <c r="AN259" s="14">
        <f t="shared" si="394"/>
        <v>1196.26</v>
      </c>
      <c r="AO259" s="14">
        <f t="shared" si="369"/>
        <v>200112.73999999996</v>
      </c>
      <c r="AP259" s="14">
        <f t="shared" si="395"/>
        <v>1325.03</v>
      </c>
      <c r="AS259" s="14">
        <f t="shared" si="325"/>
        <v>1196.26</v>
      </c>
      <c r="AT259" s="14">
        <f t="shared" si="332"/>
        <v>239967.70000000059</v>
      </c>
      <c r="AU259" s="300">
        <f t="shared" si="333"/>
        <v>1117.894034736576</v>
      </c>
      <c r="AV259" s="300">
        <f t="shared" si="334"/>
        <v>205127.00792936701</v>
      </c>
    </row>
    <row r="260" spans="1:48" x14ac:dyDescent="0.25">
      <c r="A260" s="535">
        <f t="shared" si="397"/>
        <v>51759</v>
      </c>
      <c r="B260" s="300">
        <f t="shared" si="326"/>
        <v>39305.689999999988</v>
      </c>
      <c r="C260" s="14">
        <f t="shared" si="319"/>
        <v>421.41</v>
      </c>
      <c r="D260" s="14">
        <f t="shared" si="335"/>
        <v>274.01</v>
      </c>
      <c r="E260" s="14">
        <f t="shared" si="320"/>
        <v>147.4</v>
      </c>
      <c r="F260" s="14">
        <f t="shared" si="386"/>
        <v>134.16999999999999</v>
      </c>
      <c r="G260" s="14">
        <f t="shared" si="383"/>
        <v>188.55</v>
      </c>
      <c r="H260" s="14">
        <f t="shared" si="384"/>
        <v>744.12999999999988</v>
      </c>
      <c r="I260" s="300">
        <f t="shared" si="398"/>
        <v>44449.74000000002</v>
      </c>
      <c r="J260" s="300">
        <f t="shared" si="399"/>
        <v>59529.010000000017</v>
      </c>
      <c r="K260" s="300">
        <f t="shared" si="400"/>
        <v>39031.679999999986</v>
      </c>
      <c r="L260" s="449">
        <f t="shared" si="371"/>
        <v>16</v>
      </c>
      <c r="M260" s="449">
        <f t="shared" si="327"/>
        <v>201</v>
      </c>
      <c r="N260" s="300">
        <f t="shared" si="328"/>
        <v>167330.94000000018</v>
      </c>
      <c r="O260" s="300">
        <f t="shared" si="401"/>
        <v>1617.67</v>
      </c>
      <c r="P260" s="300">
        <f t="shared" si="336"/>
        <v>641.57000000000005</v>
      </c>
      <c r="Q260" s="300">
        <f t="shared" si="402"/>
        <v>976.1</v>
      </c>
      <c r="R260" s="300">
        <f t="shared" si="389"/>
        <v>134.16999999999999</v>
      </c>
      <c r="S260" s="300">
        <f t="shared" si="390"/>
        <v>188.55</v>
      </c>
      <c r="T260" s="300">
        <f t="shared" si="387"/>
        <v>1940.39</v>
      </c>
      <c r="U260" s="300">
        <f t="shared" si="337"/>
        <v>76459.130000000034</v>
      </c>
      <c r="V260" s="300">
        <f t="shared" si="338"/>
        <v>250310.21000000002</v>
      </c>
      <c r="W260" s="300">
        <f t="shared" si="403"/>
        <v>166689.37000000017</v>
      </c>
      <c r="X260" s="535">
        <f t="shared" si="329"/>
        <v>51759</v>
      </c>
      <c r="Y260" s="300">
        <f t="shared" si="404"/>
        <v>271434.08000000007</v>
      </c>
      <c r="Z260" s="527">
        <f t="shared" si="321"/>
        <v>7.0000000000000007E-2</v>
      </c>
      <c r="AA260" s="300">
        <f t="shared" si="322"/>
        <v>1746.44</v>
      </c>
      <c r="AB260" s="300">
        <f t="shared" si="405"/>
        <v>163.07000000000016</v>
      </c>
      <c r="AC260" s="300">
        <f t="shared" si="323"/>
        <v>1583.37</v>
      </c>
      <c r="AD260" s="300">
        <f t="shared" ref="AD260:AE260" si="416">+AD259</f>
        <v>134.16999999999999</v>
      </c>
      <c r="AE260" s="300">
        <f t="shared" si="416"/>
        <v>188.55</v>
      </c>
      <c r="AF260" s="300">
        <f t="shared" si="407"/>
        <v>2069.1600000000003</v>
      </c>
      <c r="AG260" s="300">
        <f t="shared" si="408"/>
        <v>43653.089999999989</v>
      </c>
      <c r="AH260" s="300">
        <f t="shared" si="409"/>
        <v>300081.58999999991</v>
      </c>
      <c r="AI260" s="545">
        <f t="shared" si="392"/>
        <v>-16965.34000000004</v>
      </c>
      <c r="AJ260" s="545">
        <f t="shared" si="350"/>
        <v>-104581.6399999999</v>
      </c>
      <c r="AK260" s="545">
        <f t="shared" si="393"/>
        <v>-121546.97999999994</v>
      </c>
      <c r="AL260" s="300">
        <f t="shared" si="410"/>
        <v>271271.01000000007</v>
      </c>
      <c r="AM260" s="449">
        <f t="shared" si="331"/>
        <v>16</v>
      </c>
      <c r="AN260" s="14">
        <f t="shared" si="394"/>
        <v>1196.26</v>
      </c>
      <c r="AO260" s="14">
        <f t="shared" si="369"/>
        <v>199745.17999999996</v>
      </c>
      <c r="AP260" s="14">
        <f t="shared" si="395"/>
        <v>1325.03</v>
      </c>
      <c r="AS260" s="14">
        <f t="shared" si="325"/>
        <v>1196.26</v>
      </c>
      <c r="AT260" s="14">
        <f t="shared" si="332"/>
        <v>241163.9600000006</v>
      </c>
      <c r="AU260" s="300">
        <f t="shared" si="333"/>
        <v>1120.6887698234175</v>
      </c>
      <c r="AV260" s="300">
        <f t="shared" si="334"/>
        <v>206247.69669919042</v>
      </c>
    </row>
    <row r="261" spans="1:48" x14ac:dyDescent="0.25">
      <c r="A261" s="535">
        <f t="shared" si="397"/>
        <v>51789</v>
      </c>
      <c r="B261" s="300">
        <f t="shared" si="326"/>
        <v>39031.679999999986</v>
      </c>
      <c r="C261" s="14">
        <f t="shared" si="319"/>
        <v>421.41</v>
      </c>
      <c r="D261" s="14">
        <f t="shared" si="335"/>
        <v>275.04000000000002</v>
      </c>
      <c r="E261" s="14">
        <f t="shared" si="320"/>
        <v>146.37</v>
      </c>
      <c r="F261" s="14">
        <f t="shared" si="386"/>
        <v>134.16999999999999</v>
      </c>
      <c r="G261" s="14">
        <f t="shared" si="383"/>
        <v>188.55</v>
      </c>
      <c r="H261" s="14">
        <f t="shared" si="384"/>
        <v>744.13000000000011</v>
      </c>
      <c r="I261" s="300">
        <f t="shared" si="398"/>
        <v>44724.780000000021</v>
      </c>
      <c r="J261" s="300">
        <f t="shared" si="399"/>
        <v>59675.380000000019</v>
      </c>
      <c r="K261" s="300">
        <f t="shared" si="400"/>
        <v>38756.639999999985</v>
      </c>
      <c r="L261" s="449">
        <f t="shared" si="371"/>
        <v>16</v>
      </c>
      <c r="M261" s="449">
        <f t="shared" si="327"/>
        <v>202</v>
      </c>
      <c r="N261" s="300">
        <f t="shared" si="328"/>
        <v>166689.37000000017</v>
      </c>
      <c r="O261" s="300">
        <f t="shared" si="401"/>
        <v>1617.67</v>
      </c>
      <c r="P261" s="300">
        <f t="shared" si="336"/>
        <v>645.32000000000005</v>
      </c>
      <c r="Q261" s="300">
        <f t="shared" si="402"/>
        <v>972.35</v>
      </c>
      <c r="R261" s="300">
        <f t="shared" si="389"/>
        <v>134.16999999999999</v>
      </c>
      <c r="S261" s="300">
        <f t="shared" si="390"/>
        <v>188.55</v>
      </c>
      <c r="T261" s="300">
        <f t="shared" si="387"/>
        <v>1940.39</v>
      </c>
      <c r="U261" s="300">
        <f t="shared" si="337"/>
        <v>77104.450000000041</v>
      </c>
      <c r="V261" s="300">
        <f t="shared" si="338"/>
        <v>251282.56000000003</v>
      </c>
      <c r="W261" s="300">
        <f t="shared" si="403"/>
        <v>166044.05000000016</v>
      </c>
      <c r="X261" s="535">
        <f t="shared" si="329"/>
        <v>51789</v>
      </c>
      <c r="Y261" s="300">
        <f t="shared" si="404"/>
        <v>271271.01000000007</v>
      </c>
      <c r="Z261" s="527">
        <f t="shared" si="321"/>
        <v>7.0000000000000007E-2</v>
      </c>
      <c r="AA261" s="300">
        <f t="shared" si="322"/>
        <v>1746.44</v>
      </c>
      <c r="AB261" s="300">
        <f t="shared" si="405"/>
        <v>164.02999999999997</v>
      </c>
      <c r="AC261" s="300">
        <f t="shared" si="323"/>
        <v>1582.41</v>
      </c>
      <c r="AD261" s="300">
        <f t="shared" ref="AD261:AE261" si="417">+AD260</f>
        <v>134.16999999999999</v>
      </c>
      <c r="AE261" s="300">
        <f t="shared" si="417"/>
        <v>188.55</v>
      </c>
      <c r="AF261" s="300">
        <f t="shared" si="407"/>
        <v>2069.1600000000003</v>
      </c>
      <c r="AG261" s="300">
        <f t="shared" si="408"/>
        <v>43817.119999999988</v>
      </c>
      <c r="AH261" s="300">
        <f t="shared" si="409"/>
        <v>301663.99999999988</v>
      </c>
      <c r="AI261" s="545">
        <f t="shared" si="392"/>
        <v>-17094.110000000041</v>
      </c>
      <c r="AJ261" s="545">
        <f t="shared" si="350"/>
        <v>-105062.92999999988</v>
      </c>
      <c r="AK261" s="545">
        <f t="shared" si="393"/>
        <v>-122157.03999999992</v>
      </c>
      <c r="AL261" s="300">
        <f t="shared" si="410"/>
        <v>271106.98000000004</v>
      </c>
      <c r="AM261" s="449">
        <f t="shared" si="331"/>
        <v>16</v>
      </c>
      <c r="AN261" s="14">
        <f t="shared" si="394"/>
        <v>1196.26</v>
      </c>
      <c r="AO261" s="14">
        <f t="shared" si="369"/>
        <v>199374.89999999994</v>
      </c>
      <c r="AP261" s="14">
        <f t="shared" si="395"/>
        <v>1325.03</v>
      </c>
      <c r="AS261" s="14">
        <f t="shared" si="325"/>
        <v>1196.26</v>
      </c>
      <c r="AT261" s="14">
        <f t="shared" si="332"/>
        <v>242360.22000000061</v>
      </c>
      <c r="AU261" s="300">
        <f t="shared" si="333"/>
        <v>1123.490491747976</v>
      </c>
      <c r="AV261" s="300">
        <f t="shared" si="334"/>
        <v>207371.18719093839</v>
      </c>
    </row>
    <row r="262" spans="1:48" x14ac:dyDescent="0.25">
      <c r="A262" s="535">
        <f t="shared" si="397"/>
        <v>51819</v>
      </c>
      <c r="B262" s="300">
        <f t="shared" si="326"/>
        <v>38756.639999999985</v>
      </c>
      <c r="C262" s="14">
        <f t="shared" si="319"/>
        <v>421.41</v>
      </c>
      <c r="D262" s="14">
        <f t="shared" si="335"/>
        <v>276.07000000000005</v>
      </c>
      <c r="E262" s="14">
        <f t="shared" si="320"/>
        <v>145.34</v>
      </c>
      <c r="F262" s="14">
        <f t="shared" si="386"/>
        <v>134.16999999999999</v>
      </c>
      <c r="G262" s="14">
        <f t="shared" si="383"/>
        <v>188.55</v>
      </c>
      <c r="H262" s="14">
        <f t="shared" si="384"/>
        <v>744.13000000000011</v>
      </c>
      <c r="I262" s="300">
        <f t="shared" si="398"/>
        <v>45000.85000000002</v>
      </c>
      <c r="J262" s="300">
        <f t="shared" si="399"/>
        <v>59820.720000000016</v>
      </c>
      <c r="K262" s="300">
        <f t="shared" si="400"/>
        <v>38480.569999999985</v>
      </c>
      <c r="L262" s="449">
        <f t="shared" si="371"/>
        <v>16</v>
      </c>
      <c r="M262" s="449">
        <f t="shared" si="327"/>
        <v>203</v>
      </c>
      <c r="N262" s="300">
        <f t="shared" si="328"/>
        <v>166044.05000000016</v>
      </c>
      <c r="O262" s="300">
        <f t="shared" si="401"/>
        <v>1617.67</v>
      </c>
      <c r="P262" s="300">
        <f t="shared" si="336"/>
        <v>649.08000000000004</v>
      </c>
      <c r="Q262" s="300">
        <f t="shared" si="402"/>
        <v>968.59</v>
      </c>
      <c r="R262" s="300">
        <f t="shared" si="389"/>
        <v>134.16999999999999</v>
      </c>
      <c r="S262" s="300">
        <f t="shared" si="390"/>
        <v>188.55</v>
      </c>
      <c r="T262" s="300">
        <f t="shared" si="387"/>
        <v>1940.39</v>
      </c>
      <c r="U262" s="300">
        <f t="shared" si="337"/>
        <v>77753.530000000042</v>
      </c>
      <c r="V262" s="300">
        <f t="shared" si="338"/>
        <v>252251.15000000002</v>
      </c>
      <c r="W262" s="300">
        <f t="shared" si="403"/>
        <v>165394.97000000018</v>
      </c>
      <c r="X262" s="535">
        <f t="shared" si="329"/>
        <v>51819</v>
      </c>
      <c r="Y262" s="300">
        <f t="shared" si="404"/>
        <v>271106.98000000004</v>
      </c>
      <c r="Z262" s="527">
        <f t="shared" si="321"/>
        <v>7.0000000000000007E-2</v>
      </c>
      <c r="AA262" s="300">
        <f t="shared" si="322"/>
        <v>1746.44</v>
      </c>
      <c r="AB262" s="300">
        <f t="shared" si="405"/>
        <v>164.98000000000002</v>
      </c>
      <c r="AC262" s="300">
        <f t="shared" si="323"/>
        <v>1581.46</v>
      </c>
      <c r="AD262" s="300">
        <f t="shared" ref="AD262:AE262" si="418">+AD261</f>
        <v>134.16999999999999</v>
      </c>
      <c r="AE262" s="300">
        <f t="shared" si="418"/>
        <v>188.55</v>
      </c>
      <c r="AF262" s="300">
        <f t="shared" si="407"/>
        <v>2069.1600000000003</v>
      </c>
      <c r="AG262" s="300">
        <f t="shared" si="408"/>
        <v>43982.099999999991</v>
      </c>
      <c r="AH262" s="300">
        <f t="shared" si="409"/>
        <v>303245.4599999999</v>
      </c>
      <c r="AI262" s="545">
        <f t="shared" si="392"/>
        <v>-17222.880000000041</v>
      </c>
      <c r="AJ262" s="545">
        <f t="shared" si="350"/>
        <v>-105547.02999999988</v>
      </c>
      <c r="AK262" s="545">
        <f t="shared" si="393"/>
        <v>-122769.90999999992</v>
      </c>
      <c r="AL262" s="300">
        <f t="shared" si="410"/>
        <v>270942.00000000006</v>
      </c>
      <c r="AM262" s="449">
        <f t="shared" si="331"/>
        <v>16</v>
      </c>
      <c r="AN262" s="14">
        <f t="shared" si="394"/>
        <v>1196.26</v>
      </c>
      <c r="AO262" s="14">
        <f t="shared" si="369"/>
        <v>199001.88999999996</v>
      </c>
      <c r="AP262" s="14">
        <f t="shared" si="395"/>
        <v>1325.03</v>
      </c>
      <c r="AS262" s="14">
        <f t="shared" si="325"/>
        <v>1196.26</v>
      </c>
      <c r="AT262" s="14">
        <f t="shared" si="332"/>
        <v>243556.48000000062</v>
      </c>
      <c r="AU262" s="300">
        <f t="shared" si="333"/>
        <v>1126.299217977346</v>
      </c>
      <c r="AV262" s="300">
        <f t="shared" si="334"/>
        <v>208497.48640891575</v>
      </c>
    </row>
    <row r="263" spans="1:48" x14ac:dyDescent="0.25">
      <c r="A263" s="535">
        <f t="shared" si="397"/>
        <v>51849</v>
      </c>
      <c r="B263" s="300">
        <f t="shared" si="326"/>
        <v>38480.569999999985</v>
      </c>
      <c r="C263" s="14">
        <f t="shared" si="319"/>
        <v>421.41</v>
      </c>
      <c r="D263" s="14">
        <f t="shared" si="335"/>
        <v>277.11</v>
      </c>
      <c r="E263" s="14">
        <f t="shared" si="320"/>
        <v>144.30000000000001</v>
      </c>
      <c r="F263" s="14">
        <f t="shared" si="386"/>
        <v>134.16999999999999</v>
      </c>
      <c r="G263" s="14">
        <f t="shared" si="383"/>
        <v>188.55</v>
      </c>
      <c r="H263" s="14">
        <f t="shared" si="384"/>
        <v>744.13000000000011</v>
      </c>
      <c r="I263" s="300">
        <f t="shared" si="398"/>
        <v>45277.960000000021</v>
      </c>
      <c r="J263" s="300">
        <f t="shared" si="399"/>
        <v>59965.020000000019</v>
      </c>
      <c r="K263" s="300">
        <f t="shared" si="400"/>
        <v>38203.459999999985</v>
      </c>
      <c r="L263" s="449">
        <f t="shared" si="371"/>
        <v>17</v>
      </c>
      <c r="M263" s="449">
        <f t="shared" si="327"/>
        <v>204</v>
      </c>
      <c r="N263" s="300">
        <f t="shared" si="328"/>
        <v>165394.97000000018</v>
      </c>
      <c r="O263" s="300">
        <f t="shared" si="401"/>
        <v>1617.67</v>
      </c>
      <c r="P263" s="300">
        <f t="shared" si="336"/>
        <v>652.87000000000012</v>
      </c>
      <c r="Q263" s="300">
        <f t="shared" si="402"/>
        <v>964.8</v>
      </c>
      <c r="R263" s="300">
        <f t="shared" si="389"/>
        <v>134.16999999999999</v>
      </c>
      <c r="S263" s="300">
        <f t="shared" si="390"/>
        <v>188.55</v>
      </c>
      <c r="T263" s="300">
        <f t="shared" si="387"/>
        <v>1940.39</v>
      </c>
      <c r="U263" s="300">
        <f t="shared" si="337"/>
        <v>78406.400000000038</v>
      </c>
      <c r="V263" s="300">
        <f t="shared" si="338"/>
        <v>253215.95</v>
      </c>
      <c r="W263" s="300">
        <f t="shared" si="403"/>
        <v>164742.10000000018</v>
      </c>
      <c r="X263" s="535">
        <f t="shared" si="329"/>
        <v>51849</v>
      </c>
      <c r="Y263" s="300">
        <f t="shared" si="404"/>
        <v>270942.00000000006</v>
      </c>
      <c r="Z263" s="527">
        <f t="shared" si="321"/>
        <v>7.0000000000000007E-2</v>
      </c>
      <c r="AA263" s="300">
        <f t="shared" si="322"/>
        <v>1746.44</v>
      </c>
      <c r="AB263" s="300">
        <f t="shared" si="405"/>
        <v>165.94000000000005</v>
      </c>
      <c r="AC263" s="300">
        <f t="shared" si="323"/>
        <v>1580.5</v>
      </c>
      <c r="AD263" s="300">
        <f t="shared" ref="AD263:AE263" si="419">+AD262</f>
        <v>134.16999999999999</v>
      </c>
      <c r="AE263" s="300">
        <f t="shared" si="419"/>
        <v>188.55</v>
      </c>
      <c r="AF263" s="300">
        <f t="shared" si="407"/>
        <v>2069.1600000000003</v>
      </c>
      <c r="AG263" s="300">
        <f t="shared" si="408"/>
        <v>44148.039999999994</v>
      </c>
      <c r="AH263" s="300">
        <f t="shared" si="409"/>
        <v>304825.9599999999</v>
      </c>
      <c r="AI263" s="545">
        <f t="shared" si="392"/>
        <v>-17351.650000000041</v>
      </c>
      <c r="AJ263" s="545">
        <f t="shared" si="350"/>
        <v>-106033.95999999988</v>
      </c>
      <c r="AK263" s="545">
        <f t="shared" si="393"/>
        <v>-123385.60999999991</v>
      </c>
      <c r="AL263" s="300">
        <f t="shared" si="410"/>
        <v>270776.06000000006</v>
      </c>
      <c r="AM263" s="449">
        <f t="shared" si="331"/>
        <v>17</v>
      </c>
      <c r="AN263" s="14">
        <f t="shared" si="394"/>
        <v>1196.26</v>
      </c>
      <c r="AO263" s="14">
        <f t="shared" si="369"/>
        <v>198626.13</v>
      </c>
      <c r="AP263" s="14">
        <f t="shared" si="395"/>
        <v>1325.03</v>
      </c>
      <c r="AS263" s="14">
        <f t="shared" si="325"/>
        <v>1196.26</v>
      </c>
      <c r="AT263" s="14">
        <f t="shared" si="332"/>
        <v>244752.74000000063</v>
      </c>
      <c r="AU263" s="300">
        <f t="shared" si="333"/>
        <v>1129.1149660222893</v>
      </c>
      <c r="AV263" s="300">
        <f t="shared" si="334"/>
        <v>209626.60137493804</v>
      </c>
    </row>
    <row r="264" spans="1:48" x14ac:dyDescent="0.25">
      <c r="A264" s="535">
        <f t="shared" si="397"/>
        <v>51879</v>
      </c>
      <c r="B264" s="300">
        <f t="shared" si="326"/>
        <v>38203.459999999985</v>
      </c>
      <c r="C264" s="14">
        <f t="shared" si="319"/>
        <v>421.41</v>
      </c>
      <c r="D264" s="14">
        <f t="shared" si="335"/>
        <v>278.15000000000003</v>
      </c>
      <c r="E264" s="14">
        <f t="shared" si="320"/>
        <v>143.26</v>
      </c>
      <c r="F264" s="14">
        <f t="shared" si="386"/>
        <v>134.16999999999999</v>
      </c>
      <c r="G264" s="14">
        <f t="shared" si="383"/>
        <v>188.55</v>
      </c>
      <c r="H264" s="14">
        <f t="shared" si="384"/>
        <v>744.13000000000011</v>
      </c>
      <c r="I264" s="300">
        <f t="shared" si="398"/>
        <v>45556.110000000022</v>
      </c>
      <c r="J264" s="300">
        <f t="shared" si="399"/>
        <v>60108.280000000021</v>
      </c>
      <c r="K264" s="300">
        <f t="shared" si="400"/>
        <v>37925.309999999983</v>
      </c>
      <c r="L264" s="449">
        <f t="shared" si="371"/>
        <v>17</v>
      </c>
      <c r="M264" s="449">
        <f t="shared" si="327"/>
        <v>205</v>
      </c>
      <c r="N264" s="300">
        <f t="shared" si="328"/>
        <v>164742.10000000018</v>
      </c>
      <c r="O264" s="300">
        <f t="shared" si="401"/>
        <v>1617.67</v>
      </c>
      <c r="P264" s="300">
        <f t="shared" si="336"/>
        <v>656.67000000000007</v>
      </c>
      <c r="Q264" s="300">
        <f t="shared" si="402"/>
        <v>961</v>
      </c>
      <c r="R264" s="300">
        <f t="shared" si="389"/>
        <v>134.16999999999999</v>
      </c>
      <c r="S264" s="300">
        <f t="shared" si="390"/>
        <v>188.55</v>
      </c>
      <c r="T264" s="300">
        <f t="shared" si="387"/>
        <v>1940.39</v>
      </c>
      <c r="U264" s="300">
        <f t="shared" si="337"/>
        <v>79063.070000000036</v>
      </c>
      <c r="V264" s="300">
        <f t="shared" si="338"/>
        <v>254176.95</v>
      </c>
      <c r="W264" s="300">
        <f t="shared" si="403"/>
        <v>164085.43000000017</v>
      </c>
      <c r="X264" s="535">
        <f t="shared" si="329"/>
        <v>51879</v>
      </c>
      <c r="Y264" s="300">
        <f t="shared" si="404"/>
        <v>270776.06000000006</v>
      </c>
      <c r="Z264" s="527">
        <f t="shared" si="321"/>
        <v>7.0000000000000007E-2</v>
      </c>
      <c r="AA264" s="300">
        <f t="shared" si="322"/>
        <v>1746.44</v>
      </c>
      <c r="AB264" s="300">
        <f t="shared" si="405"/>
        <v>166.91000000000008</v>
      </c>
      <c r="AC264" s="300">
        <f t="shared" si="323"/>
        <v>1579.53</v>
      </c>
      <c r="AD264" s="300">
        <f t="shared" ref="AD264:AE264" si="420">+AD263</f>
        <v>134.16999999999999</v>
      </c>
      <c r="AE264" s="300">
        <f t="shared" si="420"/>
        <v>188.55</v>
      </c>
      <c r="AF264" s="300">
        <f t="shared" si="407"/>
        <v>2069.1600000000003</v>
      </c>
      <c r="AG264" s="300">
        <f t="shared" si="408"/>
        <v>44314.95</v>
      </c>
      <c r="AH264" s="300">
        <f t="shared" si="409"/>
        <v>306405.48999999993</v>
      </c>
      <c r="AI264" s="545">
        <f t="shared" si="392"/>
        <v>-17480.420000000042</v>
      </c>
      <c r="AJ264" s="545">
        <f t="shared" si="350"/>
        <v>-106523.71999999991</v>
      </c>
      <c r="AK264" s="545">
        <f t="shared" si="393"/>
        <v>-124004.13999999996</v>
      </c>
      <c r="AL264" s="300">
        <f t="shared" si="410"/>
        <v>270609.15000000008</v>
      </c>
      <c r="AM264" s="449">
        <f t="shared" si="331"/>
        <v>17</v>
      </c>
      <c r="AN264" s="14">
        <f t="shared" si="394"/>
        <v>1196.26</v>
      </c>
      <c r="AO264" s="14">
        <f t="shared" si="369"/>
        <v>198247.60999999996</v>
      </c>
      <c r="AP264" s="14">
        <f t="shared" si="395"/>
        <v>1325.03</v>
      </c>
      <c r="AS264" s="14">
        <f t="shared" si="325"/>
        <v>1196.26</v>
      </c>
      <c r="AT264" s="14">
        <f t="shared" si="332"/>
        <v>245949.00000000064</v>
      </c>
      <c r="AU264" s="300">
        <f t="shared" si="333"/>
        <v>1131.937753437345</v>
      </c>
      <c r="AV264" s="300">
        <f t="shared" si="334"/>
        <v>210758.53912837539</v>
      </c>
    </row>
    <row r="265" spans="1:48" x14ac:dyDescent="0.25">
      <c r="A265" s="535">
        <f t="shared" si="397"/>
        <v>51909</v>
      </c>
      <c r="B265" s="300">
        <f t="shared" si="326"/>
        <v>37925.309999999983</v>
      </c>
      <c r="C265" s="14">
        <f t="shared" si="319"/>
        <v>421.41</v>
      </c>
      <c r="D265" s="14">
        <f t="shared" si="335"/>
        <v>279.19000000000005</v>
      </c>
      <c r="E265" s="14">
        <f t="shared" si="320"/>
        <v>142.22</v>
      </c>
      <c r="F265" s="14">
        <f t="shared" si="386"/>
        <v>134.16999999999999</v>
      </c>
      <c r="G265" s="14">
        <f t="shared" si="383"/>
        <v>188.55</v>
      </c>
      <c r="H265" s="14">
        <f t="shared" si="384"/>
        <v>744.13000000000011</v>
      </c>
      <c r="I265" s="300">
        <f t="shared" si="398"/>
        <v>45835.300000000025</v>
      </c>
      <c r="J265" s="300">
        <f t="shared" si="399"/>
        <v>60250.500000000022</v>
      </c>
      <c r="K265" s="300">
        <f t="shared" si="400"/>
        <v>37646.119999999981</v>
      </c>
      <c r="L265" s="449">
        <f t="shared" si="371"/>
        <v>17</v>
      </c>
      <c r="M265" s="449">
        <f t="shared" si="327"/>
        <v>206</v>
      </c>
      <c r="N265" s="300">
        <f t="shared" si="328"/>
        <v>164085.43000000017</v>
      </c>
      <c r="O265" s="300">
        <f t="shared" si="401"/>
        <v>1617.67</v>
      </c>
      <c r="P265" s="300">
        <f t="shared" si="336"/>
        <v>660.50000000000011</v>
      </c>
      <c r="Q265" s="300">
        <f t="shared" si="402"/>
        <v>957.17</v>
      </c>
      <c r="R265" s="300">
        <f t="shared" si="389"/>
        <v>134.16999999999999</v>
      </c>
      <c r="S265" s="300">
        <f t="shared" si="390"/>
        <v>188.55</v>
      </c>
      <c r="T265" s="300">
        <f t="shared" si="387"/>
        <v>1940.39</v>
      </c>
      <c r="U265" s="300">
        <f t="shared" si="337"/>
        <v>79723.570000000036</v>
      </c>
      <c r="V265" s="300">
        <f t="shared" si="338"/>
        <v>255134.12000000002</v>
      </c>
      <c r="W265" s="300">
        <f t="shared" si="403"/>
        <v>163424.93000000017</v>
      </c>
      <c r="X265" s="535">
        <f t="shared" si="329"/>
        <v>51909</v>
      </c>
      <c r="Y265" s="300">
        <f t="shared" si="404"/>
        <v>270609.15000000008</v>
      </c>
      <c r="Z265" s="527">
        <f t="shared" si="321"/>
        <v>7.0000000000000007E-2</v>
      </c>
      <c r="AA265" s="300">
        <f t="shared" si="322"/>
        <v>1746.44</v>
      </c>
      <c r="AB265" s="300">
        <f t="shared" si="405"/>
        <v>167.8900000000001</v>
      </c>
      <c r="AC265" s="300">
        <f t="shared" si="323"/>
        <v>1578.55</v>
      </c>
      <c r="AD265" s="300">
        <f t="shared" ref="AD265:AE265" si="421">+AD264</f>
        <v>134.16999999999999</v>
      </c>
      <c r="AE265" s="300">
        <f t="shared" si="421"/>
        <v>188.55</v>
      </c>
      <c r="AF265" s="300">
        <f t="shared" si="407"/>
        <v>2069.1600000000003</v>
      </c>
      <c r="AG265" s="300">
        <f t="shared" si="408"/>
        <v>44482.84</v>
      </c>
      <c r="AH265" s="300">
        <f t="shared" si="409"/>
        <v>307984.03999999992</v>
      </c>
      <c r="AI265" s="545">
        <f t="shared" si="392"/>
        <v>-17609.190000000042</v>
      </c>
      <c r="AJ265" s="545">
        <f t="shared" si="350"/>
        <v>-107016.3299999999</v>
      </c>
      <c r="AK265" s="545">
        <f t="shared" si="393"/>
        <v>-124625.51999999995</v>
      </c>
      <c r="AL265" s="300">
        <f t="shared" si="410"/>
        <v>270441.26000000007</v>
      </c>
      <c r="AM265" s="449">
        <f t="shared" si="331"/>
        <v>17</v>
      </c>
      <c r="AN265" s="14">
        <f t="shared" si="394"/>
        <v>1196.26</v>
      </c>
      <c r="AO265" s="14">
        <f t="shared" si="369"/>
        <v>197866.29999999996</v>
      </c>
      <c r="AP265" s="14">
        <f t="shared" si="395"/>
        <v>1325.03</v>
      </c>
      <c r="AS265" s="14">
        <f t="shared" si="325"/>
        <v>1196.26</v>
      </c>
      <c r="AT265" s="14">
        <f t="shared" si="332"/>
        <v>247145.26000000065</v>
      </c>
      <c r="AU265" s="300">
        <f t="shared" si="333"/>
        <v>1134.7675978209384</v>
      </c>
      <c r="AV265" s="300">
        <f t="shared" si="334"/>
        <v>211893.30672619632</v>
      </c>
    </row>
    <row r="266" spans="1:48" ht="15.75" thickBot="1" x14ac:dyDescent="0.3">
      <c r="A266" s="538">
        <f t="shared" si="397"/>
        <v>51939</v>
      </c>
      <c r="B266" s="369">
        <f t="shared" si="326"/>
        <v>37646.119999999981</v>
      </c>
      <c r="C266" s="21">
        <f t="shared" si="319"/>
        <v>421.41</v>
      </c>
      <c r="D266" s="21">
        <f t="shared" si="335"/>
        <v>280.24</v>
      </c>
      <c r="E266" s="21">
        <f t="shared" si="320"/>
        <v>141.16999999999999</v>
      </c>
      <c r="F266" s="21">
        <f t="shared" si="386"/>
        <v>134.16999999999999</v>
      </c>
      <c r="G266" s="21">
        <f t="shared" si="383"/>
        <v>188.55</v>
      </c>
      <c r="H266" s="21">
        <f t="shared" si="384"/>
        <v>744.12999999999988</v>
      </c>
      <c r="I266" s="369">
        <f t="shared" si="398"/>
        <v>46115.540000000023</v>
      </c>
      <c r="J266" s="369">
        <f t="shared" si="399"/>
        <v>60391.67000000002</v>
      </c>
      <c r="K266" s="369">
        <f t="shared" si="400"/>
        <v>37365.879999999983</v>
      </c>
      <c r="L266" s="450">
        <f t="shared" si="371"/>
        <v>17</v>
      </c>
      <c r="M266" s="450">
        <f t="shared" si="327"/>
        <v>207</v>
      </c>
      <c r="N266" s="369">
        <f t="shared" si="328"/>
        <v>163424.93000000017</v>
      </c>
      <c r="O266" s="369">
        <f t="shared" si="401"/>
        <v>1617.67</v>
      </c>
      <c r="P266" s="369">
        <f t="shared" si="336"/>
        <v>664.36000000000013</v>
      </c>
      <c r="Q266" s="369">
        <f t="shared" si="402"/>
        <v>953.31</v>
      </c>
      <c r="R266" s="369">
        <f t="shared" si="389"/>
        <v>134.16999999999999</v>
      </c>
      <c r="S266" s="369">
        <f t="shared" si="390"/>
        <v>188.55</v>
      </c>
      <c r="T266" s="369">
        <f t="shared" si="387"/>
        <v>1940.39</v>
      </c>
      <c r="U266" s="369">
        <f t="shared" si="337"/>
        <v>80387.930000000037</v>
      </c>
      <c r="V266" s="369">
        <f t="shared" si="338"/>
        <v>256087.43000000002</v>
      </c>
      <c r="W266" s="369">
        <f t="shared" si="403"/>
        <v>162760.57000000018</v>
      </c>
      <c r="X266" s="538">
        <f t="shared" si="329"/>
        <v>51939</v>
      </c>
      <c r="Y266" s="369">
        <f t="shared" si="404"/>
        <v>270441.26000000007</v>
      </c>
      <c r="Z266" s="528">
        <f t="shared" si="321"/>
        <v>7.0000000000000007E-2</v>
      </c>
      <c r="AA266" s="369">
        <f t="shared" si="322"/>
        <v>1746.44</v>
      </c>
      <c r="AB266" s="369">
        <f t="shared" si="405"/>
        <v>168.87000000000012</v>
      </c>
      <c r="AC266" s="369">
        <f t="shared" si="323"/>
        <v>1577.57</v>
      </c>
      <c r="AD266" s="369">
        <f t="shared" ref="AD266:AE266" si="422">+AD265</f>
        <v>134.16999999999999</v>
      </c>
      <c r="AE266" s="369">
        <f t="shared" si="422"/>
        <v>188.55</v>
      </c>
      <c r="AF266" s="369">
        <f t="shared" si="407"/>
        <v>2069.1600000000003</v>
      </c>
      <c r="AG266" s="369">
        <f t="shared" si="408"/>
        <v>44651.71</v>
      </c>
      <c r="AH266" s="369">
        <f t="shared" si="409"/>
        <v>309561.60999999993</v>
      </c>
      <c r="AI266" s="546">
        <f t="shared" si="392"/>
        <v>-17737.960000000043</v>
      </c>
      <c r="AJ266" s="546">
        <f t="shared" si="350"/>
        <v>-107511.81999999989</v>
      </c>
      <c r="AK266" s="545">
        <f t="shared" si="393"/>
        <v>-125249.77999999994</v>
      </c>
      <c r="AL266" s="369">
        <f t="shared" si="410"/>
        <v>270272.39000000007</v>
      </c>
      <c r="AM266" s="450">
        <f t="shared" si="331"/>
        <v>17</v>
      </c>
      <c r="AN266" s="21">
        <f t="shared" si="394"/>
        <v>1196.26</v>
      </c>
      <c r="AO266" s="21">
        <f t="shared" si="369"/>
        <v>197482.17999999993</v>
      </c>
      <c r="AP266" s="21">
        <f t="shared" si="395"/>
        <v>1325.03</v>
      </c>
      <c r="AQ266" s="21"/>
      <c r="AR266" s="23"/>
      <c r="AS266" s="21">
        <f t="shared" si="325"/>
        <v>1196.26</v>
      </c>
      <c r="AT266" s="21">
        <f t="shared" si="332"/>
        <v>248341.52000000066</v>
      </c>
      <c r="AU266" s="369">
        <f t="shared" si="333"/>
        <v>1137.6045168154908</v>
      </c>
      <c r="AV266" s="369">
        <f t="shared" si="334"/>
        <v>213030.9112430118</v>
      </c>
    </row>
    <row r="267" spans="1:48" x14ac:dyDescent="0.25">
      <c r="A267" s="535">
        <f t="shared" si="397"/>
        <v>51969</v>
      </c>
      <c r="B267" s="300">
        <f t="shared" si="326"/>
        <v>37365.879999999983</v>
      </c>
      <c r="C267" s="14">
        <f t="shared" si="319"/>
        <v>421.41</v>
      </c>
      <c r="D267" s="14">
        <f t="shared" si="335"/>
        <v>281.29000000000002</v>
      </c>
      <c r="E267" s="14">
        <f t="shared" si="320"/>
        <v>140.12</v>
      </c>
      <c r="F267" s="14">
        <f t="shared" si="386"/>
        <v>134.16999999999999</v>
      </c>
      <c r="G267" s="14">
        <f t="shared" si="383"/>
        <v>188.55</v>
      </c>
      <c r="H267" s="14">
        <f t="shared" si="384"/>
        <v>744.13000000000011</v>
      </c>
      <c r="I267" s="300">
        <f t="shared" si="398"/>
        <v>46396.830000000024</v>
      </c>
      <c r="J267" s="300">
        <f t="shared" si="399"/>
        <v>60531.790000000023</v>
      </c>
      <c r="K267" s="300">
        <f t="shared" si="400"/>
        <v>37084.589999999982</v>
      </c>
      <c r="L267" s="449">
        <f t="shared" si="371"/>
        <v>17</v>
      </c>
      <c r="M267" s="449">
        <f t="shared" si="327"/>
        <v>208</v>
      </c>
      <c r="N267" s="300">
        <f t="shared" si="328"/>
        <v>162760.57000000018</v>
      </c>
      <c r="O267" s="300">
        <f t="shared" si="401"/>
        <v>1617.67</v>
      </c>
      <c r="P267" s="300">
        <f t="shared" si="336"/>
        <v>668.23</v>
      </c>
      <c r="Q267" s="300">
        <f t="shared" si="402"/>
        <v>949.44</v>
      </c>
      <c r="R267" s="300">
        <f t="shared" si="389"/>
        <v>134.16999999999999</v>
      </c>
      <c r="S267" s="300">
        <f t="shared" si="390"/>
        <v>188.55</v>
      </c>
      <c r="T267" s="300">
        <f t="shared" si="387"/>
        <v>1940.39</v>
      </c>
      <c r="U267" s="300">
        <f t="shared" si="337"/>
        <v>81056.160000000033</v>
      </c>
      <c r="V267" s="300">
        <f t="shared" si="338"/>
        <v>257036.87000000002</v>
      </c>
      <c r="W267" s="300">
        <f t="shared" si="403"/>
        <v>162092.34000000017</v>
      </c>
      <c r="X267" s="535">
        <f t="shared" si="329"/>
        <v>51969</v>
      </c>
      <c r="Y267" s="300">
        <f t="shared" si="404"/>
        <v>270272.39000000007</v>
      </c>
      <c r="Z267" s="527">
        <f t="shared" si="321"/>
        <v>7.0000000000000007E-2</v>
      </c>
      <c r="AA267" s="300">
        <f t="shared" si="322"/>
        <v>1746.44</v>
      </c>
      <c r="AB267" s="300">
        <f t="shared" si="405"/>
        <v>169.85000000000014</v>
      </c>
      <c r="AC267" s="300">
        <f t="shared" si="323"/>
        <v>1576.59</v>
      </c>
      <c r="AD267" s="300">
        <f t="shared" ref="AD267:AE267" si="423">+AD266</f>
        <v>134.16999999999999</v>
      </c>
      <c r="AE267" s="300">
        <f t="shared" si="423"/>
        <v>188.55</v>
      </c>
      <c r="AF267" s="300">
        <f t="shared" si="407"/>
        <v>2069.1600000000003</v>
      </c>
      <c r="AG267" s="300">
        <f t="shared" si="408"/>
        <v>44821.56</v>
      </c>
      <c r="AH267" s="300">
        <f t="shared" si="409"/>
        <v>311138.19999999995</v>
      </c>
      <c r="AI267" s="545">
        <f t="shared" si="392"/>
        <v>-17866.730000000043</v>
      </c>
      <c r="AJ267" s="545">
        <f t="shared" si="350"/>
        <v>-108010.19999999992</v>
      </c>
      <c r="AK267" s="545">
        <f t="shared" si="393"/>
        <v>-125876.92999999996</v>
      </c>
      <c r="AL267" s="300">
        <f t="shared" si="410"/>
        <v>270102.5400000001</v>
      </c>
      <c r="AM267" s="449">
        <f t="shared" si="331"/>
        <v>17</v>
      </c>
      <c r="AN267" s="14">
        <f t="shared" si="394"/>
        <v>1196.26</v>
      </c>
      <c r="AO267" s="14">
        <f t="shared" si="369"/>
        <v>197095.24</v>
      </c>
      <c r="AP267" s="14">
        <f t="shared" si="395"/>
        <v>1325.03</v>
      </c>
      <c r="AS267" s="14">
        <f t="shared" si="325"/>
        <v>1196.26</v>
      </c>
      <c r="AT267" s="14">
        <f t="shared" si="332"/>
        <v>249537.78000000067</v>
      </c>
      <c r="AU267" s="300">
        <f t="shared" si="333"/>
        <v>1140.4485281075295</v>
      </c>
      <c r="AV267" s="300">
        <f t="shared" si="334"/>
        <v>214171.35977111931</v>
      </c>
    </row>
    <row r="268" spans="1:48" x14ac:dyDescent="0.25">
      <c r="A268" s="535">
        <f t="shared" si="397"/>
        <v>51999</v>
      </c>
      <c r="B268" s="300">
        <f t="shared" si="326"/>
        <v>37084.589999999982</v>
      </c>
      <c r="C268" s="14">
        <f t="shared" si="319"/>
        <v>421.41</v>
      </c>
      <c r="D268" s="14">
        <f t="shared" si="335"/>
        <v>282.34000000000003</v>
      </c>
      <c r="E268" s="14">
        <f t="shared" si="320"/>
        <v>139.07</v>
      </c>
      <c r="F268" s="14">
        <f t="shared" si="386"/>
        <v>134.16999999999999</v>
      </c>
      <c r="G268" s="14">
        <f t="shared" si="383"/>
        <v>188.55</v>
      </c>
      <c r="H268" s="14">
        <f t="shared" si="384"/>
        <v>744.13000000000011</v>
      </c>
      <c r="I268" s="300">
        <f t="shared" si="398"/>
        <v>46679.17000000002</v>
      </c>
      <c r="J268" s="300">
        <f t="shared" si="399"/>
        <v>60670.860000000022</v>
      </c>
      <c r="K268" s="300">
        <f t="shared" si="400"/>
        <v>36802.249999999985</v>
      </c>
      <c r="L268" s="449">
        <f t="shared" si="371"/>
        <v>17</v>
      </c>
      <c r="M268" s="449">
        <f t="shared" si="327"/>
        <v>209</v>
      </c>
      <c r="N268" s="300">
        <f t="shared" si="328"/>
        <v>162092.34000000017</v>
      </c>
      <c r="O268" s="300">
        <f t="shared" si="401"/>
        <v>1617.67</v>
      </c>
      <c r="P268" s="300">
        <f t="shared" si="336"/>
        <v>672.13000000000011</v>
      </c>
      <c r="Q268" s="300">
        <f t="shared" si="402"/>
        <v>945.54</v>
      </c>
      <c r="R268" s="300">
        <f t="shared" si="389"/>
        <v>134.16999999999999</v>
      </c>
      <c r="S268" s="300">
        <f t="shared" si="390"/>
        <v>188.55</v>
      </c>
      <c r="T268" s="300">
        <f t="shared" si="387"/>
        <v>1940.39</v>
      </c>
      <c r="U268" s="300">
        <f t="shared" si="337"/>
        <v>81728.290000000037</v>
      </c>
      <c r="V268" s="300">
        <f t="shared" si="338"/>
        <v>257982.41000000003</v>
      </c>
      <c r="W268" s="300">
        <f t="shared" si="403"/>
        <v>161420.21000000017</v>
      </c>
      <c r="X268" s="535">
        <f t="shared" si="329"/>
        <v>51999</v>
      </c>
      <c r="Y268" s="300">
        <f t="shared" si="404"/>
        <v>270102.5400000001</v>
      </c>
      <c r="Z268" s="527">
        <f t="shared" si="321"/>
        <v>7.0000000000000007E-2</v>
      </c>
      <c r="AA268" s="300">
        <f t="shared" si="322"/>
        <v>1746.44</v>
      </c>
      <c r="AB268" s="300">
        <f t="shared" si="405"/>
        <v>170.84000000000015</v>
      </c>
      <c r="AC268" s="300">
        <f t="shared" si="323"/>
        <v>1575.6</v>
      </c>
      <c r="AD268" s="300">
        <f t="shared" ref="AD268:AE268" si="424">+AD267</f>
        <v>134.16999999999999</v>
      </c>
      <c r="AE268" s="300">
        <f t="shared" si="424"/>
        <v>188.55</v>
      </c>
      <c r="AF268" s="300">
        <f t="shared" si="407"/>
        <v>2069.1600000000003</v>
      </c>
      <c r="AG268" s="300">
        <f t="shared" si="408"/>
        <v>44992.399999999994</v>
      </c>
      <c r="AH268" s="300">
        <f t="shared" si="409"/>
        <v>312713.79999999993</v>
      </c>
      <c r="AI268" s="545">
        <f t="shared" si="392"/>
        <v>-17995.500000000044</v>
      </c>
      <c r="AJ268" s="545">
        <f t="shared" si="350"/>
        <v>-108511.4899999999</v>
      </c>
      <c r="AK268" s="545">
        <f t="shared" si="393"/>
        <v>-126506.98999999995</v>
      </c>
      <c r="AL268" s="300">
        <f t="shared" si="410"/>
        <v>269931.70000000007</v>
      </c>
      <c r="AM268" s="449">
        <f t="shared" si="331"/>
        <v>17</v>
      </c>
      <c r="AN268" s="14">
        <f t="shared" si="394"/>
        <v>1196.26</v>
      </c>
      <c r="AO268" s="14">
        <f t="shared" si="369"/>
        <v>196705.44999999995</v>
      </c>
      <c r="AP268" s="14">
        <f t="shared" si="395"/>
        <v>1325.03</v>
      </c>
      <c r="AS268" s="14">
        <f t="shared" si="325"/>
        <v>1196.26</v>
      </c>
      <c r="AT268" s="14">
        <f t="shared" si="332"/>
        <v>250734.04000000068</v>
      </c>
      <c r="AU268" s="300">
        <f t="shared" si="333"/>
        <v>1143.2996494277984</v>
      </c>
      <c r="AV268" s="300">
        <f t="shared" si="334"/>
        <v>215314.6594205471</v>
      </c>
    </row>
    <row r="269" spans="1:48" x14ac:dyDescent="0.25">
      <c r="A269" s="535">
        <f t="shared" si="397"/>
        <v>52029</v>
      </c>
      <c r="B269" s="300">
        <f t="shared" si="326"/>
        <v>36802.249999999985</v>
      </c>
      <c r="C269" s="14">
        <f t="shared" si="319"/>
        <v>421.41</v>
      </c>
      <c r="D269" s="14">
        <f t="shared" si="335"/>
        <v>283.40000000000003</v>
      </c>
      <c r="E269" s="14">
        <f t="shared" si="320"/>
        <v>138.01</v>
      </c>
      <c r="F269" s="14">
        <f t="shared" si="386"/>
        <v>134.16999999999999</v>
      </c>
      <c r="G269" s="14">
        <f t="shared" si="383"/>
        <v>188.55</v>
      </c>
      <c r="H269" s="14">
        <f t="shared" si="384"/>
        <v>744.13000000000011</v>
      </c>
      <c r="I269" s="300">
        <f t="shared" si="398"/>
        <v>46962.570000000022</v>
      </c>
      <c r="J269" s="300">
        <f t="shared" si="399"/>
        <v>60808.870000000024</v>
      </c>
      <c r="K269" s="300">
        <f t="shared" si="400"/>
        <v>36518.849999999984</v>
      </c>
      <c r="L269" s="449">
        <f t="shared" si="371"/>
        <v>17</v>
      </c>
      <c r="M269" s="449">
        <f t="shared" si="327"/>
        <v>210</v>
      </c>
      <c r="N269" s="300">
        <f t="shared" si="328"/>
        <v>161420.21000000017</v>
      </c>
      <c r="O269" s="300">
        <f t="shared" si="401"/>
        <v>1617.67</v>
      </c>
      <c r="P269" s="300">
        <f t="shared" si="336"/>
        <v>676.05000000000007</v>
      </c>
      <c r="Q269" s="300">
        <f t="shared" si="402"/>
        <v>941.62</v>
      </c>
      <c r="R269" s="300">
        <f t="shared" si="389"/>
        <v>134.16999999999999</v>
      </c>
      <c r="S269" s="300">
        <f t="shared" si="390"/>
        <v>188.55</v>
      </c>
      <c r="T269" s="300">
        <f t="shared" si="387"/>
        <v>1940.39</v>
      </c>
      <c r="U269" s="300">
        <f t="shared" si="337"/>
        <v>82404.34000000004</v>
      </c>
      <c r="V269" s="300">
        <f t="shared" si="338"/>
        <v>258924.03000000003</v>
      </c>
      <c r="W269" s="300">
        <f t="shared" si="403"/>
        <v>160744.16000000018</v>
      </c>
      <c r="X269" s="535">
        <f t="shared" si="329"/>
        <v>52029</v>
      </c>
      <c r="Y269" s="300">
        <f t="shared" si="404"/>
        <v>269931.70000000007</v>
      </c>
      <c r="Z269" s="527">
        <f t="shared" si="321"/>
        <v>7.0000000000000007E-2</v>
      </c>
      <c r="AA269" s="300">
        <f t="shared" si="322"/>
        <v>1746.44</v>
      </c>
      <c r="AB269" s="300">
        <f t="shared" si="405"/>
        <v>171.84000000000015</v>
      </c>
      <c r="AC269" s="300">
        <f t="shared" si="323"/>
        <v>1574.6</v>
      </c>
      <c r="AD269" s="300">
        <f t="shared" ref="AD269:AE269" si="425">+AD268</f>
        <v>134.16999999999999</v>
      </c>
      <c r="AE269" s="300">
        <f t="shared" si="425"/>
        <v>188.55</v>
      </c>
      <c r="AF269" s="300">
        <f t="shared" si="407"/>
        <v>2069.1600000000003</v>
      </c>
      <c r="AG269" s="300">
        <f t="shared" si="408"/>
        <v>45164.239999999991</v>
      </c>
      <c r="AH269" s="300">
        <f t="shared" si="409"/>
        <v>314288.39999999991</v>
      </c>
      <c r="AI269" s="545">
        <f t="shared" si="392"/>
        <v>-18124.270000000044</v>
      </c>
      <c r="AJ269" s="545">
        <f t="shared" si="350"/>
        <v>-109015.69999999987</v>
      </c>
      <c r="AK269" s="545">
        <f t="shared" si="393"/>
        <v>-127139.96999999991</v>
      </c>
      <c r="AL269" s="300">
        <f t="shared" si="410"/>
        <v>269759.86000000004</v>
      </c>
      <c r="AM269" s="449">
        <f t="shared" si="331"/>
        <v>17</v>
      </c>
      <c r="AN269" s="14">
        <f t="shared" si="394"/>
        <v>1196.26</v>
      </c>
      <c r="AO269" s="14">
        <f t="shared" si="369"/>
        <v>196312.8</v>
      </c>
      <c r="AP269" s="14">
        <f t="shared" si="395"/>
        <v>1325.03</v>
      </c>
      <c r="AS269" s="14">
        <f t="shared" si="325"/>
        <v>1196.26</v>
      </c>
      <c r="AT269" s="14">
        <f t="shared" si="332"/>
        <v>251930.30000000069</v>
      </c>
      <c r="AU269" s="300">
        <f t="shared" si="333"/>
        <v>1146.1578985513677</v>
      </c>
      <c r="AV269" s="300">
        <f t="shared" si="334"/>
        <v>216460.81731909848</v>
      </c>
    </row>
    <row r="270" spans="1:48" x14ac:dyDescent="0.25">
      <c r="A270" s="535">
        <f t="shared" si="397"/>
        <v>52059</v>
      </c>
      <c r="B270" s="300">
        <f t="shared" si="326"/>
        <v>36518.849999999984</v>
      </c>
      <c r="C270" s="14">
        <f t="shared" si="319"/>
        <v>421.41</v>
      </c>
      <c r="D270" s="14">
        <f t="shared" si="335"/>
        <v>284.46000000000004</v>
      </c>
      <c r="E270" s="14">
        <f t="shared" si="320"/>
        <v>136.94999999999999</v>
      </c>
      <c r="F270" s="14">
        <f t="shared" si="386"/>
        <v>134.16999999999999</v>
      </c>
      <c r="G270" s="14">
        <f t="shared" si="383"/>
        <v>188.55</v>
      </c>
      <c r="H270" s="14">
        <f t="shared" si="384"/>
        <v>744.13000000000011</v>
      </c>
      <c r="I270" s="300">
        <f t="shared" si="398"/>
        <v>47247.030000000021</v>
      </c>
      <c r="J270" s="300">
        <f t="shared" si="399"/>
        <v>60945.820000000022</v>
      </c>
      <c r="K270" s="300">
        <f t="shared" si="400"/>
        <v>36234.389999999985</v>
      </c>
      <c r="L270" s="449">
        <f t="shared" si="371"/>
        <v>17</v>
      </c>
      <c r="M270" s="449">
        <f t="shared" si="327"/>
        <v>211</v>
      </c>
      <c r="N270" s="300">
        <f t="shared" si="328"/>
        <v>160744.16000000018</v>
      </c>
      <c r="O270" s="300">
        <f t="shared" si="401"/>
        <v>1617.67</v>
      </c>
      <c r="P270" s="300">
        <f t="shared" si="336"/>
        <v>680.00000000000011</v>
      </c>
      <c r="Q270" s="300">
        <f t="shared" si="402"/>
        <v>937.67</v>
      </c>
      <c r="R270" s="300">
        <f t="shared" si="389"/>
        <v>134.16999999999999</v>
      </c>
      <c r="S270" s="300">
        <f t="shared" si="390"/>
        <v>188.55</v>
      </c>
      <c r="T270" s="300">
        <f t="shared" si="387"/>
        <v>1940.39</v>
      </c>
      <c r="U270" s="300">
        <f t="shared" si="337"/>
        <v>83084.34000000004</v>
      </c>
      <c r="V270" s="300">
        <f t="shared" si="338"/>
        <v>259861.70000000004</v>
      </c>
      <c r="W270" s="300">
        <f t="shared" si="403"/>
        <v>160064.16000000018</v>
      </c>
      <c r="X270" s="535">
        <f t="shared" si="329"/>
        <v>52059</v>
      </c>
      <c r="Y270" s="300">
        <f t="shared" si="404"/>
        <v>269759.86000000004</v>
      </c>
      <c r="Z270" s="527">
        <f t="shared" si="321"/>
        <v>7.0000000000000007E-2</v>
      </c>
      <c r="AA270" s="300">
        <f t="shared" si="322"/>
        <v>1746.44</v>
      </c>
      <c r="AB270" s="300">
        <f t="shared" si="405"/>
        <v>172.84000000000015</v>
      </c>
      <c r="AC270" s="300">
        <f t="shared" si="323"/>
        <v>1573.6</v>
      </c>
      <c r="AD270" s="300">
        <f t="shared" ref="AD270:AE270" si="426">+AD269</f>
        <v>134.16999999999999</v>
      </c>
      <c r="AE270" s="300">
        <f t="shared" si="426"/>
        <v>188.55</v>
      </c>
      <c r="AF270" s="300">
        <f t="shared" si="407"/>
        <v>2069.1600000000003</v>
      </c>
      <c r="AG270" s="300">
        <f t="shared" si="408"/>
        <v>45337.079999999987</v>
      </c>
      <c r="AH270" s="300">
        <f t="shared" si="409"/>
        <v>315861.99999999988</v>
      </c>
      <c r="AI270" s="545">
        <f t="shared" si="392"/>
        <v>-18253.040000000045</v>
      </c>
      <c r="AJ270" s="545">
        <f t="shared" si="350"/>
        <v>-109522.85999999984</v>
      </c>
      <c r="AK270" s="545">
        <f t="shared" si="393"/>
        <v>-127775.89999999988</v>
      </c>
      <c r="AL270" s="300">
        <f t="shared" si="410"/>
        <v>269587.02</v>
      </c>
      <c r="AM270" s="449">
        <f t="shared" si="331"/>
        <v>17</v>
      </c>
      <c r="AN270" s="14">
        <f t="shared" si="394"/>
        <v>1196.26</v>
      </c>
      <c r="AO270" s="14">
        <f t="shared" si="369"/>
        <v>195917.25999999995</v>
      </c>
      <c r="AP270" s="14">
        <f t="shared" si="395"/>
        <v>1325.03</v>
      </c>
      <c r="AS270" s="14">
        <f t="shared" si="325"/>
        <v>1196.26</v>
      </c>
      <c r="AT270" s="14">
        <f t="shared" si="332"/>
        <v>253126.5600000007</v>
      </c>
      <c r="AU270" s="300">
        <f t="shared" si="333"/>
        <v>1149.0232932977462</v>
      </c>
      <c r="AV270" s="300">
        <f t="shared" si="334"/>
        <v>217609.84061239622</v>
      </c>
    </row>
    <row r="271" spans="1:48" x14ac:dyDescent="0.25">
      <c r="A271" s="535">
        <f t="shared" si="397"/>
        <v>52089</v>
      </c>
      <c r="B271" s="300">
        <f t="shared" si="326"/>
        <v>36234.389999999985</v>
      </c>
      <c r="C271" s="14">
        <f t="shared" ref="C271:C334" si="427">IF(+$K270&lt;=0,0,$C$5)</f>
        <v>421.41</v>
      </c>
      <c r="D271" s="14">
        <f t="shared" si="335"/>
        <v>285.53000000000003</v>
      </c>
      <c r="E271" s="14">
        <f t="shared" ref="E271:E334" si="428">ROUND($B271*($C$3/12), 2)</f>
        <v>135.88</v>
      </c>
      <c r="F271" s="14">
        <f t="shared" si="386"/>
        <v>134.16999999999999</v>
      </c>
      <c r="G271" s="14">
        <f t="shared" si="383"/>
        <v>188.55</v>
      </c>
      <c r="H271" s="14">
        <f t="shared" si="384"/>
        <v>744.13000000000011</v>
      </c>
      <c r="I271" s="300">
        <f t="shared" si="398"/>
        <v>47532.560000000019</v>
      </c>
      <c r="J271" s="300">
        <f t="shared" si="399"/>
        <v>61081.700000000019</v>
      </c>
      <c r="K271" s="300">
        <f t="shared" si="400"/>
        <v>35948.859999999986</v>
      </c>
      <c r="L271" s="449">
        <f t="shared" si="371"/>
        <v>17</v>
      </c>
      <c r="M271" s="449">
        <f t="shared" si="327"/>
        <v>212</v>
      </c>
      <c r="N271" s="300">
        <f t="shared" si="328"/>
        <v>160064.16000000018</v>
      </c>
      <c r="O271" s="300">
        <f t="shared" si="401"/>
        <v>1617.67</v>
      </c>
      <c r="P271" s="300">
        <f t="shared" si="336"/>
        <v>683.96</v>
      </c>
      <c r="Q271" s="300">
        <f t="shared" si="402"/>
        <v>933.71</v>
      </c>
      <c r="R271" s="300">
        <f t="shared" si="389"/>
        <v>134.16999999999999</v>
      </c>
      <c r="S271" s="300">
        <f t="shared" si="390"/>
        <v>188.55</v>
      </c>
      <c r="T271" s="300">
        <f t="shared" si="387"/>
        <v>1940.39</v>
      </c>
      <c r="U271" s="300">
        <f t="shared" si="337"/>
        <v>83768.300000000047</v>
      </c>
      <c r="V271" s="300">
        <f t="shared" si="338"/>
        <v>260795.41000000003</v>
      </c>
      <c r="W271" s="300">
        <f t="shared" si="403"/>
        <v>159380.20000000019</v>
      </c>
      <c r="X271" s="535">
        <f t="shared" si="329"/>
        <v>52089</v>
      </c>
      <c r="Y271" s="300">
        <f t="shared" si="404"/>
        <v>269587.02</v>
      </c>
      <c r="Z271" s="527">
        <f t="shared" ref="Z271:Z334" si="429">IF(L271&gt;4,$AA$9,$AA$8)</f>
        <v>7.0000000000000007E-2</v>
      </c>
      <c r="AA271" s="300">
        <f t="shared" ref="AA271:AA334" si="430">IF($O$9&lt;=$A271,IF(+AL270&lt;=0,0,IF(Z271=$AA$8,$Z$8,$Z$9)),0)</f>
        <v>1746.44</v>
      </c>
      <c r="AB271" s="300">
        <f t="shared" si="405"/>
        <v>173.85000000000014</v>
      </c>
      <c r="AC271" s="300">
        <f t="shared" ref="AC271:AC334" si="431">IF($O$9&lt;=$A271,ROUND(Y271*(Z271/12),2),0)</f>
        <v>1572.59</v>
      </c>
      <c r="AD271" s="300">
        <f t="shared" ref="AD271:AE271" si="432">+AD270</f>
        <v>134.16999999999999</v>
      </c>
      <c r="AE271" s="300">
        <f t="shared" si="432"/>
        <v>188.55</v>
      </c>
      <c r="AF271" s="300">
        <f t="shared" si="407"/>
        <v>2069.1600000000003</v>
      </c>
      <c r="AG271" s="300">
        <f t="shared" si="408"/>
        <v>45510.929999999986</v>
      </c>
      <c r="AH271" s="300">
        <f t="shared" si="409"/>
        <v>317434.58999999991</v>
      </c>
      <c r="AI271" s="545">
        <f t="shared" si="392"/>
        <v>-18381.810000000045</v>
      </c>
      <c r="AJ271" s="545">
        <f t="shared" si="350"/>
        <v>-110032.96999999986</v>
      </c>
      <c r="AK271" s="545">
        <f t="shared" si="393"/>
        <v>-128414.7799999999</v>
      </c>
      <c r="AL271" s="300">
        <f t="shared" si="410"/>
        <v>269413.17000000004</v>
      </c>
      <c r="AM271" s="449">
        <f t="shared" si="331"/>
        <v>17</v>
      </c>
      <c r="AN271" s="14">
        <f t="shared" si="394"/>
        <v>1196.26</v>
      </c>
      <c r="AO271" s="14">
        <f t="shared" si="369"/>
        <v>195518.82999999996</v>
      </c>
      <c r="AP271" s="14">
        <f t="shared" si="395"/>
        <v>1325.03</v>
      </c>
      <c r="AS271" s="14">
        <f t="shared" ref="AS271:AS334" si="433">+AN271-AR271</f>
        <v>1196.26</v>
      </c>
      <c r="AT271" s="14">
        <f t="shared" si="332"/>
        <v>254322.82000000071</v>
      </c>
      <c r="AU271" s="300">
        <f t="shared" si="333"/>
        <v>1151.8958515309905</v>
      </c>
      <c r="AV271" s="300">
        <f t="shared" si="334"/>
        <v>218761.7364639272</v>
      </c>
    </row>
    <row r="272" spans="1:48" x14ac:dyDescent="0.25">
      <c r="A272" s="535">
        <f t="shared" si="397"/>
        <v>52119</v>
      </c>
      <c r="B272" s="300">
        <f t="shared" ref="B272:B335" si="434">IF(+K271&lt;0,0,+K271)</f>
        <v>35948.859999999986</v>
      </c>
      <c r="C272" s="14">
        <f t="shared" si="427"/>
        <v>421.41</v>
      </c>
      <c r="D272" s="14">
        <f t="shared" si="335"/>
        <v>286.60000000000002</v>
      </c>
      <c r="E272" s="14">
        <f t="shared" si="428"/>
        <v>134.81</v>
      </c>
      <c r="F272" s="14">
        <f t="shared" si="386"/>
        <v>134.16999999999999</v>
      </c>
      <c r="G272" s="14">
        <f t="shared" si="383"/>
        <v>188.55</v>
      </c>
      <c r="H272" s="14">
        <f t="shared" si="384"/>
        <v>744.13000000000011</v>
      </c>
      <c r="I272" s="300">
        <f t="shared" si="398"/>
        <v>47819.160000000018</v>
      </c>
      <c r="J272" s="300">
        <f t="shared" si="399"/>
        <v>61216.510000000017</v>
      </c>
      <c r="K272" s="300">
        <f t="shared" si="400"/>
        <v>35662.259999999987</v>
      </c>
      <c r="L272" s="449">
        <f t="shared" si="371"/>
        <v>17</v>
      </c>
      <c r="M272" s="449">
        <f t="shared" ref="M272:M335" si="435">IF(N272&lt;&gt;"",IF(N272=$O$5,0,+M271+1),0)</f>
        <v>213</v>
      </c>
      <c r="N272" s="300">
        <f t="shared" ref="N272:N335" si="436">IF(+W271&lt;0,0,+W271)</f>
        <v>159380.20000000019</v>
      </c>
      <c r="O272" s="300">
        <f t="shared" si="401"/>
        <v>1617.67</v>
      </c>
      <c r="P272" s="300">
        <f t="shared" si="336"/>
        <v>687.95</v>
      </c>
      <c r="Q272" s="300">
        <f t="shared" si="402"/>
        <v>929.72</v>
      </c>
      <c r="R272" s="300">
        <f t="shared" si="389"/>
        <v>134.16999999999999</v>
      </c>
      <c r="S272" s="300">
        <f t="shared" si="390"/>
        <v>188.55</v>
      </c>
      <c r="T272" s="300">
        <f t="shared" si="387"/>
        <v>1940.39</v>
      </c>
      <c r="U272" s="300">
        <f t="shared" si="337"/>
        <v>84456.250000000044</v>
      </c>
      <c r="V272" s="300">
        <f t="shared" si="338"/>
        <v>261725.13000000003</v>
      </c>
      <c r="W272" s="300">
        <f t="shared" si="403"/>
        <v>158692.25000000017</v>
      </c>
      <c r="X272" s="535">
        <f t="shared" ref="X272:X335" si="437">+A272</f>
        <v>52119</v>
      </c>
      <c r="Y272" s="300">
        <f t="shared" si="404"/>
        <v>269413.17000000004</v>
      </c>
      <c r="Z272" s="527">
        <f t="shared" si="429"/>
        <v>7.0000000000000007E-2</v>
      </c>
      <c r="AA272" s="300">
        <f t="shared" si="430"/>
        <v>1746.44</v>
      </c>
      <c r="AB272" s="300">
        <f t="shared" si="405"/>
        <v>174.86000000000013</v>
      </c>
      <c r="AC272" s="300">
        <f t="shared" si="431"/>
        <v>1571.58</v>
      </c>
      <c r="AD272" s="300">
        <f t="shared" ref="AD272:AE272" si="438">+AD271</f>
        <v>134.16999999999999</v>
      </c>
      <c r="AE272" s="300">
        <f t="shared" si="438"/>
        <v>188.55</v>
      </c>
      <c r="AF272" s="300">
        <f t="shared" si="407"/>
        <v>2069.1600000000003</v>
      </c>
      <c r="AG272" s="300">
        <f t="shared" si="408"/>
        <v>45685.789999999986</v>
      </c>
      <c r="AH272" s="300">
        <f t="shared" si="409"/>
        <v>319006.16999999993</v>
      </c>
      <c r="AI272" s="545">
        <f t="shared" si="392"/>
        <v>-18510.580000000045</v>
      </c>
      <c r="AJ272" s="545">
        <f t="shared" si="350"/>
        <v>-110546.05999999988</v>
      </c>
      <c r="AK272" s="545">
        <f t="shared" si="393"/>
        <v>-129056.63999999993</v>
      </c>
      <c r="AL272" s="300">
        <f t="shared" si="410"/>
        <v>269238.31000000006</v>
      </c>
      <c r="AM272" s="449">
        <f t="shared" ref="AM272:AM335" si="439">+L272</f>
        <v>17</v>
      </c>
      <c r="AN272" s="14">
        <f t="shared" si="394"/>
        <v>1196.26</v>
      </c>
      <c r="AO272" s="14">
        <f t="shared" si="369"/>
        <v>195117.47999999992</v>
      </c>
      <c r="AP272" s="14">
        <f t="shared" si="395"/>
        <v>1325.03</v>
      </c>
      <c r="AS272" s="14">
        <f t="shared" si="433"/>
        <v>1196.26</v>
      </c>
      <c r="AT272" s="14">
        <f t="shared" ref="AT272:AT335" si="440">IF(W272&lt;=0,0,+AS272+AT271)</f>
        <v>255519.08000000071</v>
      </c>
      <c r="AU272" s="300">
        <f t="shared" ref="AU272:AU335" si="441">IF(W272&lt;=0,0,+($O$5+AV271)*$AQ$2/12)</f>
        <v>1154.7755911598181</v>
      </c>
      <c r="AV272" s="300">
        <f t="shared" ref="AV272:AV335" si="442">IF(W272&lt;=0,0,+AV271+AU272)</f>
        <v>219916.51205508702</v>
      </c>
    </row>
    <row r="273" spans="1:48" x14ac:dyDescent="0.25">
      <c r="A273" s="535">
        <f t="shared" si="397"/>
        <v>52149</v>
      </c>
      <c r="B273" s="300">
        <f t="shared" si="434"/>
        <v>35662.259999999987</v>
      </c>
      <c r="C273" s="14">
        <f t="shared" si="427"/>
        <v>421.41</v>
      </c>
      <c r="D273" s="14">
        <f t="shared" ref="D273:D336" si="443">+C273-E273</f>
        <v>287.68000000000006</v>
      </c>
      <c r="E273" s="14">
        <f t="shared" si="428"/>
        <v>133.72999999999999</v>
      </c>
      <c r="F273" s="14">
        <f t="shared" si="386"/>
        <v>134.16999999999999</v>
      </c>
      <c r="G273" s="14">
        <f t="shared" si="383"/>
        <v>188.55</v>
      </c>
      <c r="H273" s="14">
        <f t="shared" si="384"/>
        <v>744.13000000000011</v>
      </c>
      <c r="I273" s="300">
        <f t="shared" si="398"/>
        <v>48106.840000000018</v>
      </c>
      <c r="J273" s="300">
        <f t="shared" si="399"/>
        <v>61350.24000000002</v>
      </c>
      <c r="K273" s="300">
        <f t="shared" si="400"/>
        <v>35374.579999999987</v>
      </c>
      <c r="L273" s="449">
        <f t="shared" si="371"/>
        <v>17</v>
      </c>
      <c r="M273" s="449">
        <f t="shared" si="435"/>
        <v>214</v>
      </c>
      <c r="N273" s="300">
        <f t="shared" si="436"/>
        <v>158692.25000000017</v>
      </c>
      <c r="O273" s="300">
        <f t="shared" si="401"/>
        <v>1617.67</v>
      </c>
      <c r="P273" s="300">
        <f t="shared" ref="P273:P336" si="444">+O273-Q273</f>
        <v>691.97</v>
      </c>
      <c r="Q273" s="300">
        <f t="shared" si="402"/>
        <v>925.7</v>
      </c>
      <c r="R273" s="300">
        <f t="shared" si="389"/>
        <v>134.16999999999999</v>
      </c>
      <c r="S273" s="300">
        <f t="shared" si="390"/>
        <v>188.55</v>
      </c>
      <c r="T273" s="300">
        <f t="shared" si="387"/>
        <v>1940.39</v>
      </c>
      <c r="U273" s="300">
        <f t="shared" ref="U273:U336" si="445">+P273+U272</f>
        <v>85148.220000000045</v>
      </c>
      <c r="V273" s="300">
        <f t="shared" ref="V273:V336" si="446">+V272+Q273</f>
        <v>262650.83</v>
      </c>
      <c r="W273" s="300">
        <f t="shared" si="403"/>
        <v>158000.28000000017</v>
      </c>
      <c r="X273" s="535">
        <f t="shared" si="437"/>
        <v>52149</v>
      </c>
      <c r="Y273" s="300">
        <f t="shared" si="404"/>
        <v>269238.31000000006</v>
      </c>
      <c r="Z273" s="527">
        <f t="shared" si="429"/>
        <v>7.0000000000000007E-2</v>
      </c>
      <c r="AA273" s="300">
        <f t="shared" si="430"/>
        <v>1746.44</v>
      </c>
      <c r="AB273" s="300">
        <f t="shared" si="405"/>
        <v>175.88000000000011</v>
      </c>
      <c r="AC273" s="300">
        <f t="shared" si="431"/>
        <v>1570.56</v>
      </c>
      <c r="AD273" s="300">
        <f t="shared" ref="AD273:AE273" si="447">+AD272</f>
        <v>134.16999999999999</v>
      </c>
      <c r="AE273" s="300">
        <f t="shared" si="447"/>
        <v>188.55</v>
      </c>
      <c r="AF273" s="300">
        <f t="shared" si="407"/>
        <v>2069.1600000000003</v>
      </c>
      <c r="AG273" s="300">
        <f t="shared" si="408"/>
        <v>45861.669999999984</v>
      </c>
      <c r="AH273" s="300">
        <f t="shared" si="409"/>
        <v>320576.72999999992</v>
      </c>
      <c r="AI273" s="545">
        <f t="shared" si="392"/>
        <v>-18639.350000000046</v>
      </c>
      <c r="AJ273" s="545">
        <f t="shared" si="350"/>
        <v>-111062.14999999988</v>
      </c>
      <c r="AK273" s="545">
        <f t="shared" si="393"/>
        <v>-129701.49999999993</v>
      </c>
      <c r="AL273" s="300">
        <f t="shared" si="410"/>
        <v>269062.43000000005</v>
      </c>
      <c r="AM273" s="449">
        <f t="shared" si="439"/>
        <v>17</v>
      </c>
      <c r="AN273" s="14">
        <f t="shared" si="394"/>
        <v>1196.26</v>
      </c>
      <c r="AO273" s="14">
        <f t="shared" si="369"/>
        <v>194713.18999999994</v>
      </c>
      <c r="AP273" s="14">
        <f t="shared" si="395"/>
        <v>1325.03</v>
      </c>
      <c r="AS273" s="14">
        <f t="shared" si="433"/>
        <v>1196.26</v>
      </c>
      <c r="AT273" s="14">
        <f t="shared" si="440"/>
        <v>256715.34000000072</v>
      </c>
      <c r="AU273" s="300">
        <f t="shared" si="441"/>
        <v>1157.6625301377176</v>
      </c>
      <c r="AV273" s="300">
        <f t="shared" si="442"/>
        <v>221074.17458522474</v>
      </c>
    </row>
    <row r="274" spans="1:48" x14ac:dyDescent="0.25">
      <c r="A274" s="535">
        <f t="shared" si="397"/>
        <v>52179</v>
      </c>
      <c r="B274" s="300">
        <f t="shared" si="434"/>
        <v>35374.579999999987</v>
      </c>
      <c r="C274" s="14">
        <f t="shared" si="427"/>
        <v>421.41</v>
      </c>
      <c r="D274" s="14">
        <f t="shared" si="443"/>
        <v>288.76</v>
      </c>
      <c r="E274" s="14">
        <f t="shared" si="428"/>
        <v>132.65</v>
      </c>
      <c r="F274" s="14">
        <f t="shared" si="386"/>
        <v>134.16999999999999</v>
      </c>
      <c r="G274" s="14">
        <f t="shared" si="383"/>
        <v>188.55</v>
      </c>
      <c r="H274" s="14">
        <f t="shared" si="384"/>
        <v>744.12999999999988</v>
      </c>
      <c r="I274" s="300">
        <f t="shared" si="398"/>
        <v>48395.60000000002</v>
      </c>
      <c r="J274" s="300">
        <f t="shared" si="399"/>
        <v>61482.890000000021</v>
      </c>
      <c r="K274" s="300">
        <f t="shared" si="400"/>
        <v>35085.819999999985</v>
      </c>
      <c r="L274" s="449">
        <f t="shared" si="371"/>
        <v>17</v>
      </c>
      <c r="M274" s="449">
        <f t="shared" si="435"/>
        <v>215</v>
      </c>
      <c r="N274" s="300">
        <f t="shared" si="436"/>
        <v>158000.28000000017</v>
      </c>
      <c r="O274" s="300">
        <f t="shared" si="401"/>
        <v>1617.67</v>
      </c>
      <c r="P274" s="300">
        <f t="shared" si="444"/>
        <v>696.00000000000011</v>
      </c>
      <c r="Q274" s="300">
        <f t="shared" si="402"/>
        <v>921.67</v>
      </c>
      <c r="R274" s="300">
        <f t="shared" si="389"/>
        <v>134.16999999999999</v>
      </c>
      <c r="S274" s="300">
        <f t="shared" si="390"/>
        <v>188.55</v>
      </c>
      <c r="T274" s="300">
        <f t="shared" si="387"/>
        <v>1940.39</v>
      </c>
      <c r="U274" s="300">
        <f t="shared" si="445"/>
        <v>85844.220000000045</v>
      </c>
      <c r="V274" s="300">
        <f t="shared" si="446"/>
        <v>263572.5</v>
      </c>
      <c r="W274" s="300">
        <f t="shared" si="403"/>
        <v>157304.28000000017</v>
      </c>
      <c r="X274" s="535">
        <f t="shared" si="437"/>
        <v>52179</v>
      </c>
      <c r="Y274" s="300">
        <f t="shared" si="404"/>
        <v>269062.43000000005</v>
      </c>
      <c r="Z274" s="527">
        <f t="shared" si="429"/>
        <v>7.0000000000000007E-2</v>
      </c>
      <c r="AA274" s="300">
        <f t="shared" si="430"/>
        <v>1746.44</v>
      </c>
      <c r="AB274" s="300">
        <f t="shared" si="405"/>
        <v>176.91000000000008</v>
      </c>
      <c r="AC274" s="300">
        <f t="shared" si="431"/>
        <v>1569.53</v>
      </c>
      <c r="AD274" s="300">
        <f t="shared" ref="AD274:AE274" si="448">+AD273</f>
        <v>134.16999999999999</v>
      </c>
      <c r="AE274" s="300">
        <f t="shared" si="448"/>
        <v>188.55</v>
      </c>
      <c r="AF274" s="300">
        <f t="shared" si="407"/>
        <v>2069.1600000000003</v>
      </c>
      <c r="AG274" s="300">
        <f t="shared" si="408"/>
        <v>46038.579999999987</v>
      </c>
      <c r="AH274" s="300">
        <f t="shared" si="409"/>
        <v>322146.25999999995</v>
      </c>
      <c r="AI274" s="545">
        <f t="shared" si="392"/>
        <v>-18768.120000000046</v>
      </c>
      <c r="AJ274" s="545">
        <f t="shared" si="350"/>
        <v>-111581.2399999999</v>
      </c>
      <c r="AK274" s="545">
        <f t="shared" si="393"/>
        <v>-130349.35999999996</v>
      </c>
      <c r="AL274" s="300">
        <f t="shared" si="410"/>
        <v>268885.52000000008</v>
      </c>
      <c r="AM274" s="449">
        <f t="shared" si="439"/>
        <v>17</v>
      </c>
      <c r="AN274" s="14">
        <f t="shared" si="394"/>
        <v>1196.26</v>
      </c>
      <c r="AO274" s="14">
        <f t="shared" si="369"/>
        <v>194305.94999999995</v>
      </c>
      <c r="AP274" s="14">
        <f t="shared" si="395"/>
        <v>1325.03</v>
      </c>
      <c r="AS274" s="14">
        <f t="shared" si="433"/>
        <v>1196.26</v>
      </c>
      <c r="AT274" s="14">
        <f t="shared" si="440"/>
        <v>257911.60000000073</v>
      </c>
      <c r="AU274" s="300">
        <f t="shared" si="441"/>
        <v>1160.5566864630616</v>
      </c>
      <c r="AV274" s="300">
        <f t="shared" si="442"/>
        <v>222234.73127168781</v>
      </c>
    </row>
    <row r="275" spans="1:48" x14ac:dyDescent="0.25">
      <c r="A275" s="535">
        <f t="shared" si="397"/>
        <v>52209</v>
      </c>
      <c r="B275" s="300">
        <f t="shared" si="434"/>
        <v>35085.819999999985</v>
      </c>
      <c r="C275" s="14">
        <f t="shared" si="427"/>
        <v>421.41</v>
      </c>
      <c r="D275" s="14">
        <f t="shared" si="443"/>
        <v>289.84000000000003</v>
      </c>
      <c r="E275" s="14">
        <f t="shared" si="428"/>
        <v>131.57</v>
      </c>
      <c r="F275" s="14">
        <f t="shared" si="386"/>
        <v>134.16999999999999</v>
      </c>
      <c r="G275" s="14">
        <f t="shared" si="383"/>
        <v>188.55</v>
      </c>
      <c r="H275" s="14">
        <f t="shared" si="384"/>
        <v>744.13000000000011</v>
      </c>
      <c r="I275" s="300">
        <f t="shared" si="398"/>
        <v>48685.440000000017</v>
      </c>
      <c r="J275" s="300">
        <f t="shared" si="399"/>
        <v>61614.460000000021</v>
      </c>
      <c r="K275" s="300">
        <f t="shared" si="400"/>
        <v>34795.979999999989</v>
      </c>
      <c r="L275" s="449">
        <f t="shared" si="371"/>
        <v>18</v>
      </c>
      <c r="M275" s="449">
        <f t="shared" si="435"/>
        <v>216</v>
      </c>
      <c r="N275" s="300">
        <f t="shared" si="436"/>
        <v>157304.28000000017</v>
      </c>
      <c r="O275" s="300">
        <f t="shared" si="401"/>
        <v>1617.67</v>
      </c>
      <c r="P275" s="300">
        <f t="shared" si="444"/>
        <v>700.06000000000006</v>
      </c>
      <c r="Q275" s="300">
        <f t="shared" si="402"/>
        <v>917.61</v>
      </c>
      <c r="R275" s="300">
        <f t="shared" si="389"/>
        <v>134.16999999999999</v>
      </c>
      <c r="S275" s="300">
        <f t="shared" si="390"/>
        <v>188.55</v>
      </c>
      <c r="T275" s="300">
        <f t="shared" si="387"/>
        <v>1940.39</v>
      </c>
      <c r="U275" s="300">
        <f t="shared" si="445"/>
        <v>86544.280000000042</v>
      </c>
      <c r="V275" s="300">
        <f t="shared" si="446"/>
        <v>264490.11</v>
      </c>
      <c r="W275" s="300">
        <f t="shared" si="403"/>
        <v>156604.22000000018</v>
      </c>
      <c r="X275" s="535">
        <f t="shared" si="437"/>
        <v>52209</v>
      </c>
      <c r="Y275" s="300">
        <f t="shared" si="404"/>
        <v>268885.52000000008</v>
      </c>
      <c r="Z275" s="527">
        <f t="shared" si="429"/>
        <v>7.0000000000000007E-2</v>
      </c>
      <c r="AA275" s="300">
        <f t="shared" si="430"/>
        <v>1746.44</v>
      </c>
      <c r="AB275" s="300">
        <f t="shared" si="405"/>
        <v>177.94000000000005</v>
      </c>
      <c r="AC275" s="300">
        <f t="shared" si="431"/>
        <v>1568.5</v>
      </c>
      <c r="AD275" s="300">
        <f t="shared" ref="AD275:AE275" si="449">+AD274</f>
        <v>134.16999999999999</v>
      </c>
      <c r="AE275" s="300">
        <f t="shared" si="449"/>
        <v>188.55</v>
      </c>
      <c r="AF275" s="300">
        <f t="shared" si="407"/>
        <v>2069.1600000000003</v>
      </c>
      <c r="AG275" s="300">
        <f t="shared" si="408"/>
        <v>46216.51999999999</v>
      </c>
      <c r="AH275" s="300">
        <f t="shared" si="409"/>
        <v>323714.75999999995</v>
      </c>
      <c r="AI275" s="545">
        <f t="shared" si="392"/>
        <v>-18896.890000000047</v>
      </c>
      <c r="AJ275" s="545">
        <f t="shared" si="350"/>
        <v>-112103.3599999999</v>
      </c>
      <c r="AK275" s="545">
        <f t="shared" si="393"/>
        <v>-131000.24999999994</v>
      </c>
      <c r="AL275" s="300">
        <f t="shared" si="410"/>
        <v>268707.58000000007</v>
      </c>
      <c r="AM275" s="449">
        <f t="shared" si="439"/>
        <v>18</v>
      </c>
      <c r="AN275" s="14">
        <f t="shared" si="394"/>
        <v>1196.26</v>
      </c>
      <c r="AO275" s="14">
        <f t="shared" si="369"/>
        <v>193895.72999999998</v>
      </c>
      <c r="AP275" s="14">
        <f t="shared" si="395"/>
        <v>1325.03</v>
      </c>
      <c r="AS275" s="14">
        <f t="shared" si="433"/>
        <v>1196.26</v>
      </c>
      <c r="AT275" s="14">
        <f t="shared" si="440"/>
        <v>259107.86000000074</v>
      </c>
      <c r="AU275" s="300">
        <f t="shared" si="441"/>
        <v>1163.4580781792195</v>
      </c>
      <c r="AV275" s="300">
        <f t="shared" si="442"/>
        <v>223398.18934986703</v>
      </c>
    </row>
    <row r="276" spans="1:48" x14ac:dyDescent="0.25">
      <c r="A276" s="535">
        <f t="shared" si="397"/>
        <v>52239</v>
      </c>
      <c r="B276" s="300">
        <f t="shared" si="434"/>
        <v>34795.979999999989</v>
      </c>
      <c r="C276" s="14">
        <f t="shared" si="427"/>
        <v>421.41</v>
      </c>
      <c r="D276" s="14">
        <f t="shared" si="443"/>
        <v>290.93000000000006</v>
      </c>
      <c r="E276" s="14">
        <f t="shared" si="428"/>
        <v>130.47999999999999</v>
      </c>
      <c r="F276" s="14">
        <f t="shared" si="386"/>
        <v>134.16999999999999</v>
      </c>
      <c r="G276" s="14">
        <f t="shared" si="383"/>
        <v>188.55</v>
      </c>
      <c r="H276" s="14">
        <f t="shared" si="384"/>
        <v>744.13000000000011</v>
      </c>
      <c r="I276" s="300">
        <f t="shared" si="398"/>
        <v>48976.370000000017</v>
      </c>
      <c r="J276" s="300">
        <f t="shared" si="399"/>
        <v>61744.940000000024</v>
      </c>
      <c r="K276" s="300">
        <f t="shared" si="400"/>
        <v>34505.049999999988</v>
      </c>
      <c r="L276" s="449">
        <f t="shared" si="371"/>
        <v>18</v>
      </c>
      <c r="M276" s="449">
        <f t="shared" si="435"/>
        <v>217</v>
      </c>
      <c r="N276" s="300">
        <f t="shared" si="436"/>
        <v>156604.22000000018</v>
      </c>
      <c r="O276" s="300">
        <f t="shared" si="401"/>
        <v>1617.67</v>
      </c>
      <c r="P276" s="300">
        <f t="shared" si="444"/>
        <v>704.15000000000009</v>
      </c>
      <c r="Q276" s="300">
        <f t="shared" si="402"/>
        <v>913.52</v>
      </c>
      <c r="R276" s="300">
        <f t="shared" si="389"/>
        <v>134.16999999999999</v>
      </c>
      <c r="S276" s="300">
        <f t="shared" si="390"/>
        <v>188.55</v>
      </c>
      <c r="T276" s="300">
        <f t="shared" si="387"/>
        <v>1940.39</v>
      </c>
      <c r="U276" s="300">
        <f t="shared" si="445"/>
        <v>87248.430000000037</v>
      </c>
      <c r="V276" s="300">
        <f t="shared" si="446"/>
        <v>265403.63</v>
      </c>
      <c r="W276" s="300">
        <f t="shared" si="403"/>
        <v>155900.07000000018</v>
      </c>
      <c r="X276" s="535">
        <f t="shared" si="437"/>
        <v>52239</v>
      </c>
      <c r="Y276" s="300">
        <f t="shared" si="404"/>
        <v>268707.58000000007</v>
      </c>
      <c r="Z276" s="527">
        <f t="shared" si="429"/>
        <v>7.0000000000000007E-2</v>
      </c>
      <c r="AA276" s="300">
        <f t="shared" si="430"/>
        <v>1746.44</v>
      </c>
      <c r="AB276" s="300">
        <f t="shared" si="405"/>
        <v>178.98000000000002</v>
      </c>
      <c r="AC276" s="300">
        <f t="shared" si="431"/>
        <v>1567.46</v>
      </c>
      <c r="AD276" s="300">
        <f t="shared" ref="AD276:AE276" si="450">+AD275</f>
        <v>134.16999999999999</v>
      </c>
      <c r="AE276" s="300">
        <f t="shared" si="450"/>
        <v>188.55</v>
      </c>
      <c r="AF276" s="300">
        <f t="shared" si="407"/>
        <v>2069.1600000000003</v>
      </c>
      <c r="AG276" s="300">
        <f t="shared" si="408"/>
        <v>46395.499999999993</v>
      </c>
      <c r="AH276" s="300">
        <f t="shared" si="409"/>
        <v>325282.21999999997</v>
      </c>
      <c r="AI276" s="545">
        <f t="shared" si="392"/>
        <v>-19025.660000000047</v>
      </c>
      <c r="AJ276" s="545">
        <f t="shared" si="350"/>
        <v>-112628.52999999991</v>
      </c>
      <c r="AK276" s="545">
        <f t="shared" si="393"/>
        <v>-131654.18999999994</v>
      </c>
      <c r="AL276" s="300">
        <f t="shared" si="410"/>
        <v>268528.60000000009</v>
      </c>
      <c r="AM276" s="449">
        <f t="shared" si="439"/>
        <v>18</v>
      </c>
      <c r="AN276" s="14">
        <f t="shared" si="394"/>
        <v>1196.26</v>
      </c>
      <c r="AO276" s="14">
        <f t="shared" si="369"/>
        <v>193482.50999999995</v>
      </c>
      <c r="AP276" s="14">
        <f t="shared" si="395"/>
        <v>1325.03</v>
      </c>
      <c r="AS276" s="14">
        <f t="shared" si="433"/>
        <v>1196.26</v>
      </c>
      <c r="AT276" s="14">
        <f t="shared" si="440"/>
        <v>260304.12000000075</v>
      </c>
      <c r="AU276" s="300">
        <f t="shared" si="441"/>
        <v>1166.3667233746676</v>
      </c>
      <c r="AV276" s="300">
        <f t="shared" si="442"/>
        <v>224564.55607324169</v>
      </c>
    </row>
    <row r="277" spans="1:48" x14ac:dyDescent="0.25">
      <c r="A277" s="535">
        <f t="shared" si="397"/>
        <v>52269</v>
      </c>
      <c r="B277" s="300">
        <f t="shared" si="434"/>
        <v>34505.049999999988</v>
      </c>
      <c r="C277" s="14">
        <f t="shared" si="427"/>
        <v>421.41</v>
      </c>
      <c r="D277" s="14">
        <f t="shared" si="443"/>
        <v>292.02000000000004</v>
      </c>
      <c r="E277" s="14">
        <f t="shared" si="428"/>
        <v>129.38999999999999</v>
      </c>
      <c r="F277" s="14">
        <f t="shared" si="386"/>
        <v>134.16999999999999</v>
      </c>
      <c r="G277" s="14">
        <f t="shared" si="383"/>
        <v>188.55</v>
      </c>
      <c r="H277" s="14">
        <f t="shared" si="384"/>
        <v>744.13000000000011</v>
      </c>
      <c r="I277" s="300">
        <f t="shared" si="398"/>
        <v>49268.390000000014</v>
      </c>
      <c r="J277" s="300">
        <f t="shared" si="399"/>
        <v>61874.330000000024</v>
      </c>
      <c r="K277" s="300">
        <f t="shared" si="400"/>
        <v>34213.029999999992</v>
      </c>
      <c r="L277" s="449">
        <f t="shared" si="371"/>
        <v>18</v>
      </c>
      <c r="M277" s="449">
        <f t="shared" si="435"/>
        <v>218</v>
      </c>
      <c r="N277" s="300">
        <f t="shared" si="436"/>
        <v>155900.07000000018</v>
      </c>
      <c r="O277" s="300">
        <f t="shared" si="401"/>
        <v>1617.67</v>
      </c>
      <c r="P277" s="300">
        <f t="shared" si="444"/>
        <v>708.25000000000011</v>
      </c>
      <c r="Q277" s="300">
        <f t="shared" si="402"/>
        <v>909.42</v>
      </c>
      <c r="R277" s="300">
        <f t="shared" si="389"/>
        <v>134.16999999999999</v>
      </c>
      <c r="S277" s="300">
        <f t="shared" si="390"/>
        <v>188.55</v>
      </c>
      <c r="T277" s="300">
        <f t="shared" si="387"/>
        <v>1940.39</v>
      </c>
      <c r="U277" s="300">
        <f t="shared" si="445"/>
        <v>87956.680000000037</v>
      </c>
      <c r="V277" s="300">
        <f t="shared" si="446"/>
        <v>266313.05</v>
      </c>
      <c r="W277" s="300">
        <f t="shared" si="403"/>
        <v>155191.82000000018</v>
      </c>
      <c r="X277" s="535">
        <f t="shared" si="437"/>
        <v>52269</v>
      </c>
      <c r="Y277" s="300">
        <f t="shared" si="404"/>
        <v>268528.60000000009</v>
      </c>
      <c r="Z277" s="527">
        <f t="shared" si="429"/>
        <v>7.0000000000000007E-2</v>
      </c>
      <c r="AA277" s="300">
        <f t="shared" si="430"/>
        <v>1746.44</v>
      </c>
      <c r="AB277" s="300">
        <f t="shared" si="405"/>
        <v>180.01999999999998</v>
      </c>
      <c r="AC277" s="300">
        <f t="shared" si="431"/>
        <v>1566.42</v>
      </c>
      <c r="AD277" s="300">
        <f t="shared" ref="AD277:AE277" si="451">+AD276</f>
        <v>134.16999999999999</v>
      </c>
      <c r="AE277" s="300">
        <f t="shared" si="451"/>
        <v>188.55</v>
      </c>
      <c r="AF277" s="300">
        <f t="shared" si="407"/>
        <v>2069.1600000000003</v>
      </c>
      <c r="AG277" s="300">
        <f t="shared" si="408"/>
        <v>46575.51999999999</v>
      </c>
      <c r="AH277" s="300">
        <f t="shared" si="409"/>
        <v>326848.63999999996</v>
      </c>
      <c r="AI277" s="545">
        <f t="shared" si="392"/>
        <v>-19154.430000000048</v>
      </c>
      <c r="AJ277" s="545">
        <f t="shared" si="350"/>
        <v>-113156.75999999989</v>
      </c>
      <c r="AK277" s="545">
        <f t="shared" si="393"/>
        <v>-132311.18999999994</v>
      </c>
      <c r="AL277" s="300">
        <f t="shared" si="410"/>
        <v>268348.58000000007</v>
      </c>
      <c r="AM277" s="449">
        <f t="shared" si="439"/>
        <v>18</v>
      </c>
      <c r="AN277" s="14">
        <f t="shared" si="394"/>
        <v>1196.26</v>
      </c>
      <c r="AO277" s="14">
        <f t="shared" si="369"/>
        <v>193066.27999999991</v>
      </c>
      <c r="AP277" s="14">
        <f t="shared" si="395"/>
        <v>1325.03</v>
      </c>
      <c r="AS277" s="14">
        <f t="shared" si="433"/>
        <v>1196.26</v>
      </c>
      <c r="AT277" s="14">
        <f t="shared" si="440"/>
        <v>261500.38000000076</v>
      </c>
      <c r="AU277" s="300">
        <f t="shared" si="441"/>
        <v>1169.2826401831041</v>
      </c>
      <c r="AV277" s="300">
        <f t="shared" si="442"/>
        <v>225733.8387134248</v>
      </c>
    </row>
    <row r="278" spans="1:48" ht="15.75" thickBot="1" x14ac:dyDescent="0.3">
      <c r="A278" s="538">
        <f t="shared" si="397"/>
        <v>52299</v>
      </c>
      <c r="B278" s="369">
        <f t="shared" si="434"/>
        <v>34213.029999999992</v>
      </c>
      <c r="C278" s="21">
        <f t="shared" si="427"/>
        <v>421.41</v>
      </c>
      <c r="D278" s="21">
        <f t="shared" si="443"/>
        <v>293.11</v>
      </c>
      <c r="E278" s="21">
        <f t="shared" si="428"/>
        <v>128.30000000000001</v>
      </c>
      <c r="F278" s="21">
        <f t="shared" si="386"/>
        <v>134.16999999999999</v>
      </c>
      <c r="G278" s="21">
        <f t="shared" si="383"/>
        <v>188.55</v>
      </c>
      <c r="H278" s="21">
        <f t="shared" si="384"/>
        <v>744.13000000000011</v>
      </c>
      <c r="I278" s="369">
        <f t="shared" si="398"/>
        <v>49561.500000000015</v>
      </c>
      <c r="J278" s="369">
        <f t="shared" si="399"/>
        <v>62002.630000000026</v>
      </c>
      <c r="K278" s="369">
        <f t="shared" si="400"/>
        <v>33919.919999999991</v>
      </c>
      <c r="L278" s="450">
        <f t="shared" si="371"/>
        <v>18</v>
      </c>
      <c r="M278" s="450">
        <f t="shared" si="435"/>
        <v>219</v>
      </c>
      <c r="N278" s="369">
        <f t="shared" si="436"/>
        <v>155191.82000000018</v>
      </c>
      <c r="O278" s="369">
        <f t="shared" si="401"/>
        <v>1617.67</v>
      </c>
      <c r="P278" s="369">
        <f t="shared" si="444"/>
        <v>712.38000000000011</v>
      </c>
      <c r="Q278" s="369">
        <f t="shared" si="402"/>
        <v>905.29</v>
      </c>
      <c r="R278" s="369">
        <f t="shared" si="389"/>
        <v>134.16999999999999</v>
      </c>
      <c r="S278" s="369">
        <f t="shared" si="390"/>
        <v>188.55</v>
      </c>
      <c r="T278" s="369">
        <f t="shared" si="387"/>
        <v>1940.39</v>
      </c>
      <c r="U278" s="369">
        <f t="shared" si="445"/>
        <v>88669.060000000041</v>
      </c>
      <c r="V278" s="369">
        <f t="shared" si="446"/>
        <v>267218.33999999997</v>
      </c>
      <c r="W278" s="369">
        <f t="shared" si="403"/>
        <v>154479.44000000018</v>
      </c>
      <c r="X278" s="538">
        <f t="shared" si="437"/>
        <v>52299</v>
      </c>
      <c r="Y278" s="369">
        <f t="shared" si="404"/>
        <v>268348.58000000007</v>
      </c>
      <c r="Z278" s="528">
        <f t="shared" si="429"/>
        <v>7.0000000000000007E-2</v>
      </c>
      <c r="AA278" s="369">
        <f t="shared" si="430"/>
        <v>1746.44</v>
      </c>
      <c r="AB278" s="369">
        <f t="shared" si="405"/>
        <v>181.07000000000016</v>
      </c>
      <c r="AC278" s="369">
        <f t="shared" si="431"/>
        <v>1565.37</v>
      </c>
      <c r="AD278" s="369">
        <f t="shared" ref="AD278:AE278" si="452">+AD277</f>
        <v>134.16999999999999</v>
      </c>
      <c r="AE278" s="369">
        <f t="shared" si="452"/>
        <v>188.55</v>
      </c>
      <c r="AF278" s="369">
        <f t="shared" si="407"/>
        <v>2069.1600000000003</v>
      </c>
      <c r="AG278" s="369">
        <f t="shared" si="408"/>
        <v>46756.589999999989</v>
      </c>
      <c r="AH278" s="369">
        <f t="shared" si="409"/>
        <v>328414.00999999995</v>
      </c>
      <c r="AI278" s="546">
        <f t="shared" si="392"/>
        <v>-19283.200000000048</v>
      </c>
      <c r="AJ278" s="546">
        <f t="shared" si="350"/>
        <v>-113688.06999999989</v>
      </c>
      <c r="AK278" s="545">
        <f t="shared" si="393"/>
        <v>-132971.26999999993</v>
      </c>
      <c r="AL278" s="369">
        <f t="shared" si="410"/>
        <v>268167.51000000007</v>
      </c>
      <c r="AM278" s="450">
        <f t="shared" si="439"/>
        <v>18</v>
      </c>
      <c r="AN278" s="21">
        <f t="shared" si="394"/>
        <v>1196.26</v>
      </c>
      <c r="AO278" s="21">
        <f t="shared" si="369"/>
        <v>192647.00999999995</v>
      </c>
      <c r="AP278" s="21">
        <f t="shared" si="395"/>
        <v>1325.03</v>
      </c>
      <c r="AQ278" s="21"/>
      <c r="AR278" s="23"/>
      <c r="AS278" s="21">
        <f t="shared" si="433"/>
        <v>1196.26</v>
      </c>
      <c r="AT278" s="21">
        <f t="shared" si="440"/>
        <v>262696.64000000077</v>
      </c>
      <c r="AU278" s="369">
        <f t="shared" si="441"/>
        <v>1172.205846783562</v>
      </c>
      <c r="AV278" s="369">
        <f t="shared" si="442"/>
        <v>226906.04456020836</v>
      </c>
    </row>
    <row r="279" spans="1:48" x14ac:dyDescent="0.25">
      <c r="A279" s="535">
        <f t="shared" si="397"/>
        <v>52329</v>
      </c>
      <c r="B279" s="300">
        <f t="shared" si="434"/>
        <v>33919.919999999991</v>
      </c>
      <c r="C279" s="14">
        <f t="shared" si="427"/>
        <v>421.41</v>
      </c>
      <c r="D279" s="14">
        <f t="shared" si="443"/>
        <v>294.21000000000004</v>
      </c>
      <c r="E279" s="14">
        <f t="shared" si="428"/>
        <v>127.2</v>
      </c>
      <c r="F279" s="14">
        <f t="shared" si="386"/>
        <v>134.16999999999999</v>
      </c>
      <c r="G279" s="14">
        <f t="shared" si="383"/>
        <v>188.55</v>
      </c>
      <c r="H279" s="14">
        <f t="shared" si="384"/>
        <v>744.13000000000011</v>
      </c>
      <c r="I279" s="300">
        <f t="shared" si="398"/>
        <v>49855.710000000014</v>
      </c>
      <c r="J279" s="300">
        <f t="shared" si="399"/>
        <v>62129.830000000024</v>
      </c>
      <c r="K279" s="300">
        <f t="shared" si="400"/>
        <v>33625.709999999992</v>
      </c>
      <c r="L279" s="449">
        <f t="shared" si="371"/>
        <v>18</v>
      </c>
      <c r="M279" s="449">
        <f t="shared" si="435"/>
        <v>220</v>
      </c>
      <c r="N279" s="300">
        <f t="shared" si="436"/>
        <v>154479.44000000018</v>
      </c>
      <c r="O279" s="300">
        <f t="shared" si="401"/>
        <v>1617.67</v>
      </c>
      <c r="P279" s="300">
        <f t="shared" si="444"/>
        <v>716.54000000000008</v>
      </c>
      <c r="Q279" s="300">
        <f t="shared" si="402"/>
        <v>901.13</v>
      </c>
      <c r="R279" s="300">
        <f t="shared" si="389"/>
        <v>134.16999999999999</v>
      </c>
      <c r="S279" s="300">
        <f t="shared" si="390"/>
        <v>188.55</v>
      </c>
      <c r="T279" s="300">
        <f t="shared" si="387"/>
        <v>1940.39</v>
      </c>
      <c r="U279" s="300">
        <f t="shared" si="445"/>
        <v>89385.600000000035</v>
      </c>
      <c r="V279" s="300">
        <f t="shared" si="446"/>
        <v>268119.46999999997</v>
      </c>
      <c r="W279" s="300">
        <f t="shared" si="403"/>
        <v>153762.90000000017</v>
      </c>
      <c r="X279" s="535">
        <f t="shared" si="437"/>
        <v>52329</v>
      </c>
      <c r="Y279" s="300">
        <f t="shared" si="404"/>
        <v>268167.51000000007</v>
      </c>
      <c r="Z279" s="527">
        <f t="shared" si="429"/>
        <v>7.0000000000000007E-2</v>
      </c>
      <c r="AA279" s="300">
        <f t="shared" si="430"/>
        <v>1746.44</v>
      </c>
      <c r="AB279" s="300">
        <f t="shared" si="405"/>
        <v>182.13000000000011</v>
      </c>
      <c r="AC279" s="300">
        <f t="shared" si="431"/>
        <v>1564.31</v>
      </c>
      <c r="AD279" s="300">
        <f t="shared" ref="AD279:AE279" si="453">+AD278</f>
        <v>134.16999999999999</v>
      </c>
      <c r="AE279" s="300">
        <f t="shared" si="453"/>
        <v>188.55</v>
      </c>
      <c r="AF279" s="300">
        <f t="shared" si="407"/>
        <v>2069.1600000000003</v>
      </c>
      <c r="AG279" s="300">
        <f t="shared" si="408"/>
        <v>46938.719999999987</v>
      </c>
      <c r="AH279" s="300">
        <f t="shared" si="409"/>
        <v>329978.31999999995</v>
      </c>
      <c r="AI279" s="545">
        <f t="shared" si="392"/>
        <v>-19411.970000000048</v>
      </c>
      <c r="AJ279" s="545">
        <f t="shared" si="350"/>
        <v>-114222.47999999989</v>
      </c>
      <c r="AK279" s="545">
        <f t="shared" si="393"/>
        <v>-133634.44999999995</v>
      </c>
      <c r="AL279" s="300">
        <f t="shared" si="410"/>
        <v>267985.38000000006</v>
      </c>
      <c r="AM279" s="449">
        <f t="shared" si="439"/>
        <v>18</v>
      </c>
      <c r="AN279" s="14">
        <f t="shared" si="394"/>
        <v>1196.26</v>
      </c>
      <c r="AO279" s="14">
        <f t="shared" si="369"/>
        <v>192224.67999999993</v>
      </c>
      <c r="AP279" s="14">
        <f t="shared" si="395"/>
        <v>1325.03</v>
      </c>
      <c r="AS279" s="14">
        <f t="shared" si="433"/>
        <v>1196.26</v>
      </c>
      <c r="AT279" s="14">
        <f t="shared" si="440"/>
        <v>263892.90000000078</v>
      </c>
      <c r="AU279" s="300">
        <f t="shared" si="441"/>
        <v>1175.1363614005209</v>
      </c>
      <c r="AV279" s="300">
        <f t="shared" si="442"/>
        <v>228081.18092160887</v>
      </c>
    </row>
    <row r="280" spans="1:48" x14ac:dyDescent="0.25">
      <c r="A280" s="535">
        <f t="shared" si="397"/>
        <v>52359</v>
      </c>
      <c r="B280" s="300">
        <f t="shared" si="434"/>
        <v>33625.709999999992</v>
      </c>
      <c r="C280" s="14">
        <f t="shared" si="427"/>
        <v>421.41</v>
      </c>
      <c r="D280" s="14">
        <f t="shared" si="443"/>
        <v>295.31000000000006</v>
      </c>
      <c r="E280" s="14">
        <f t="shared" si="428"/>
        <v>126.1</v>
      </c>
      <c r="F280" s="14">
        <f t="shared" si="386"/>
        <v>134.16999999999999</v>
      </c>
      <c r="G280" s="14">
        <f t="shared" si="383"/>
        <v>188.55</v>
      </c>
      <c r="H280" s="14">
        <f t="shared" si="384"/>
        <v>744.13000000000011</v>
      </c>
      <c r="I280" s="300">
        <f t="shared" si="398"/>
        <v>50151.020000000011</v>
      </c>
      <c r="J280" s="300">
        <f t="shared" si="399"/>
        <v>62255.930000000022</v>
      </c>
      <c r="K280" s="300">
        <f t="shared" si="400"/>
        <v>33330.399999999994</v>
      </c>
      <c r="L280" s="449">
        <f t="shared" si="371"/>
        <v>18</v>
      </c>
      <c r="M280" s="449">
        <f t="shared" si="435"/>
        <v>221</v>
      </c>
      <c r="N280" s="300">
        <f t="shared" si="436"/>
        <v>153762.90000000017</v>
      </c>
      <c r="O280" s="300">
        <f t="shared" si="401"/>
        <v>1617.67</v>
      </c>
      <c r="P280" s="300">
        <f t="shared" si="444"/>
        <v>720.72</v>
      </c>
      <c r="Q280" s="300">
        <f t="shared" si="402"/>
        <v>896.95</v>
      </c>
      <c r="R280" s="300">
        <f t="shared" si="389"/>
        <v>134.16999999999999</v>
      </c>
      <c r="S280" s="300">
        <f t="shared" si="390"/>
        <v>188.55</v>
      </c>
      <c r="T280" s="300">
        <f t="shared" si="387"/>
        <v>1940.39</v>
      </c>
      <c r="U280" s="300">
        <f t="shared" si="445"/>
        <v>90106.320000000036</v>
      </c>
      <c r="V280" s="300">
        <f t="shared" si="446"/>
        <v>269016.42</v>
      </c>
      <c r="W280" s="300">
        <f t="shared" si="403"/>
        <v>153042.18000000017</v>
      </c>
      <c r="X280" s="535">
        <f t="shared" si="437"/>
        <v>52359</v>
      </c>
      <c r="Y280" s="300">
        <f t="shared" si="404"/>
        <v>267985.38000000006</v>
      </c>
      <c r="Z280" s="527">
        <f t="shared" si="429"/>
        <v>7.0000000000000007E-2</v>
      </c>
      <c r="AA280" s="300">
        <f t="shared" si="430"/>
        <v>1746.44</v>
      </c>
      <c r="AB280" s="300">
        <f t="shared" si="405"/>
        <v>183.19000000000005</v>
      </c>
      <c r="AC280" s="300">
        <f t="shared" si="431"/>
        <v>1563.25</v>
      </c>
      <c r="AD280" s="300">
        <f t="shared" ref="AD280:AE280" si="454">+AD279</f>
        <v>134.16999999999999</v>
      </c>
      <c r="AE280" s="300">
        <f t="shared" si="454"/>
        <v>188.55</v>
      </c>
      <c r="AF280" s="300">
        <f t="shared" si="407"/>
        <v>2069.1600000000003</v>
      </c>
      <c r="AG280" s="300">
        <f t="shared" si="408"/>
        <v>47121.909999999989</v>
      </c>
      <c r="AH280" s="300">
        <f t="shared" si="409"/>
        <v>331541.56999999995</v>
      </c>
      <c r="AI280" s="545">
        <f t="shared" si="392"/>
        <v>-19540.740000000049</v>
      </c>
      <c r="AJ280" s="545">
        <f t="shared" si="350"/>
        <v>-114760.00999999989</v>
      </c>
      <c r="AK280" s="545">
        <f t="shared" si="393"/>
        <v>-134300.74999999994</v>
      </c>
      <c r="AL280" s="300">
        <f t="shared" si="410"/>
        <v>267802.19000000006</v>
      </c>
      <c r="AM280" s="449">
        <f t="shared" si="439"/>
        <v>18</v>
      </c>
      <c r="AN280" s="14">
        <f t="shared" si="394"/>
        <v>1196.26</v>
      </c>
      <c r="AO280" s="14">
        <f t="shared" si="369"/>
        <v>191799.26999999993</v>
      </c>
      <c r="AP280" s="14">
        <f t="shared" si="395"/>
        <v>1325.03</v>
      </c>
      <c r="AS280" s="14">
        <f t="shared" si="433"/>
        <v>1196.26</v>
      </c>
      <c r="AT280" s="14">
        <f t="shared" si="440"/>
        <v>265089.16000000079</v>
      </c>
      <c r="AU280" s="300">
        <f t="shared" si="441"/>
        <v>1178.0742023040223</v>
      </c>
      <c r="AV280" s="300">
        <f t="shared" si="442"/>
        <v>229259.25512391291</v>
      </c>
    </row>
    <row r="281" spans="1:48" x14ac:dyDescent="0.25">
      <c r="A281" s="535">
        <f t="shared" si="397"/>
        <v>52389</v>
      </c>
      <c r="B281" s="300">
        <f t="shared" si="434"/>
        <v>33330.399999999994</v>
      </c>
      <c r="C281" s="14">
        <f t="shared" si="427"/>
        <v>421.41</v>
      </c>
      <c r="D281" s="14">
        <f t="shared" si="443"/>
        <v>296.42</v>
      </c>
      <c r="E281" s="14">
        <f t="shared" si="428"/>
        <v>124.99</v>
      </c>
      <c r="F281" s="14">
        <f t="shared" si="386"/>
        <v>134.16999999999999</v>
      </c>
      <c r="G281" s="14">
        <f t="shared" si="383"/>
        <v>188.55</v>
      </c>
      <c r="H281" s="14">
        <f t="shared" si="384"/>
        <v>744.13000000000011</v>
      </c>
      <c r="I281" s="300">
        <f t="shared" si="398"/>
        <v>50447.44000000001</v>
      </c>
      <c r="J281" s="300">
        <f t="shared" si="399"/>
        <v>62380.92000000002</v>
      </c>
      <c r="K281" s="300">
        <f t="shared" si="400"/>
        <v>33033.979999999996</v>
      </c>
      <c r="L281" s="449">
        <f t="shared" si="371"/>
        <v>18</v>
      </c>
      <c r="M281" s="449">
        <f t="shared" si="435"/>
        <v>222</v>
      </c>
      <c r="N281" s="300">
        <f t="shared" si="436"/>
        <v>153042.18000000017</v>
      </c>
      <c r="O281" s="300">
        <f t="shared" si="401"/>
        <v>1617.67</v>
      </c>
      <c r="P281" s="300">
        <f t="shared" si="444"/>
        <v>724.92000000000007</v>
      </c>
      <c r="Q281" s="300">
        <f t="shared" si="402"/>
        <v>892.75</v>
      </c>
      <c r="R281" s="300">
        <f t="shared" si="389"/>
        <v>134.16999999999999</v>
      </c>
      <c r="S281" s="300">
        <f t="shared" si="390"/>
        <v>188.55</v>
      </c>
      <c r="T281" s="300">
        <f t="shared" si="387"/>
        <v>1940.39</v>
      </c>
      <c r="U281" s="300">
        <f t="shared" si="445"/>
        <v>90831.240000000034</v>
      </c>
      <c r="V281" s="300">
        <f t="shared" si="446"/>
        <v>269909.17</v>
      </c>
      <c r="W281" s="300">
        <f t="shared" si="403"/>
        <v>152317.26000000015</v>
      </c>
      <c r="X281" s="535">
        <f t="shared" si="437"/>
        <v>52389</v>
      </c>
      <c r="Y281" s="300">
        <f t="shared" si="404"/>
        <v>267802.19000000006</v>
      </c>
      <c r="Z281" s="527">
        <f t="shared" si="429"/>
        <v>7.0000000000000007E-2</v>
      </c>
      <c r="AA281" s="300">
        <f t="shared" si="430"/>
        <v>1746.44</v>
      </c>
      <c r="AB281" s="300">
        <f t="shared" si="405"/>
        <v>184.26</v>
      </c>
      <c r="AC281" s="300">
        <f t="shared" si="431"/>
        <v>1562.18</v>
      </c>
      <c r="AD281" s="300">
        <f t="shared" ref="AD281:AE281" si="455">+AD280</f>
        <v>134.16999999999999</v>
      </c>
      <c r="AE281" s="300">
        <f t="shared" si="455"/>
        <v>188.55</v>
      </c>
      <c r="AF281" s="300">
        <f t="shared" si="407"/>
        <v>2069.1600000000003</v>
      </c>
      <c r="AG281" s="300">
        <f t="shared" si="408"/>
        <v>47306.169999999991</v>
      </c>
      <c r="AH281" s="300">
        <f t="shared" si="409"/>
        <v>333103.74999999994</v>
      </c>
      <c r="AI281" s="545">
        <f t="shared" si="392"/>
        <v>-19669.510000000049</v>
      </c>
      <c r="AJ281" s="545">
        <f t="shared" si="350"/>
        <v>-115300.6699999999</v>
      </c>
      <c r="AK281" s="545">
        <f t="shared" si="393"/>
        <v>-134970.17999999993</v>
      </c>
      <c r="AL281" s="300">
        <f t="shared" si="410"/>
        <v>267617.93000000005</v>
      </c>
      <c r="AM281" s="449">
        <f t="shared" si="439"/>
        <v>18</v>
      </c>
      <c r="AN281" s="14">
        <f t="shared" si="394"/>
        <v>1196.26</v>
      </c>
      <c r="AO281" s="14">
        <f t="shared" si="369"/>
        <v>191370.76999999996</v>
      </c>
      <c r="AP281" s="14">
        <f t="shared" si="395"/>
        <v>1325.03</v>
      </c>
      <c r="AS281" s="14">
        <f t="shared" si="433"/>
        <v>1196.26</v>
      </c>
      <c r="AT281" s="14">
        <f t="shared" si="440"/>
        <v>266285.4200000008</v>
      </c>
      <c r="AU281" s="300">
        <f t="shared" si="441"/>
        <v>1181.0193878097823</v>
      </c>
      <c r="AV281" s="300">
        <f t="shared" si="442"/>
        <v>230440.2745117227</v>
      </c>
    </row>
    <row r="282" spans="1:48" x14ac:dyDescent="0.25">
      <c r="A282" s="535">
        <f t="shared" si="397"/>
        <v>52419</v>
      </c>
      <c r="B282" s="300">
        <f t="shared" si="434"/>
        <v>33033.979999999996</v>
      </c>
      <c r="C282" s="14">
        <f t="shared" si="427"/>
        <v>421.41</v>
      </c>
      <c r="D282" s="14">
        <f t="shared" si="443"/>
        <v>297.53000000000003</v>
      </c>
      <c r="E282" s="14">
        <f t="shared" si="428"/>
        <v>123.88</v>
      </c>
      <c r="F282" s="14">
        <f t="shared" si="386"/>
        <v>134.16999999999999</v>
      </c>
      <c r="G282" s="14">
        <f t="shared" si="383"/>
        <v>188.55</v>
      </c>
      <c r="H282" s="14">
        <f t="shared" si="384"/>
        <v>744.13000000000011</v>
      </c>
      <c r="I282" s="300">
        <f t="shared" si="398"/>
        <v>50744.970000000008</v>
      </c>
      <c r="J282" s="300">
        <f t="shared" si="399"/>
        <v>62504.800000000017</v>
      </c>
      <c r="K282" s="300">
        <f t="shared" si="400"/>
        <v>32736.449999999997</v>
      </c>
      <c r="L282" s="449">
        <f t="shared" si="371"/>
        <v>18</v>
      </c>
      <c r="M282" s="449">
        <f t="shared" si="435"/>
        <v>223</v>
      </c>
      <c r="N282" s="300">
        <f t="shared" si="436"/>
        <v>152317.26000000015</v>
      </c>
      <c r="O282" s="300">
        <f t="shared" si="401"/>
        <v>1617.67</v>
      </c>
      <c r="P282" s="300">
        <f t="shared" si="444"/>
        <v>729.15000000000009</v>
      </c>
      <c r="Q282" s="300">
        <f t="shared" si="402"/>
        <v>888.52</v>
      </c>
      <c r="R282" s="300">
        <f t="shared" si="389"/>
        <v>134.16999999999999</v>
      </c>
      <c r="S282" s="300">
        <f t="shared" si="390"/>
        <v>188.55</v>
      </c>
      <c r="T282" s="300">
        <f t="shared" si="387"/>
        <v>1940.39</v>
      </c>
      <c r="U282" s="300">
        <f t="shared" si="445"/>
        <v>91560.390000000029</v>
      </c>
      <c r="V282" s="300">
        <f t="shared" si="446"/>
        <v>270797.69</v>
      </c>
      <c r="W282" s="300">
        <f t="shared" si="403"/>
        <v>151588.11000000016</v>
      </c>
      <c r="X282" s="535">
        <f t="shared" si="437"/>
        <v>52419</v>
      </c>
      <c r="Y282" s="300">
        <f t="shared" si="404"/>
        <v>267617.93000000005</v>
      </c>
      <c r="Z282" s="527">
        <f t="shared" si="429"/>
        <v>7.0000000000000007E-2</v>
      </c>
      <c r="AA282" s="300">
        <f t="shared" si="430"/>
        <v>1746.44</v>
      </c>
      <c r="AB282" s="300">
        <f t="shared" si="405"/>
        <v>185.34000000000015</v>
      </c>
      <c r="AC282" s="300">
        <f t="shared" si="431"/>
        <v>1561.1</v>
      </c>
      <c r="AD282" s="300">
        <f t="shared" ref="AD282:AE282" si="456">+AD281</f>
        <v>134.16999999999999</v>
      </c>
      <c r="AE282" s="300">
        <f t="shared" si="456"/>
        <v>188.55</v>
      </c>
      <c r="AF282" s="300">
        <f t="shared" si="407"/>
        <v>2069.1600000000003</v>
      </c>
      <c r="AG282" s="300">
        <f t="shared" si="408"/>
        <v>47491.509999999995</v>
      </c>
      <c r="AH282" s="300">
        <f t="shared" si="409"/>
        <v>334664.84999999992</v>
      </c>
      <c r="AI282" s="545">
        <f t="shared" si="392"/>
        <v>-19798.28000000005</v>
      </c>
      <c r="AJ282" s="545">
        <f t="shared" si="350"/>
        <v>-115844.47999999986</v>
      </c>
      <c r="AK282" s="545">
        <f t="shared" si="393"/>
        <v>-135642.75999999992</v>
      </c>
      <c r="AL282" s="300">
        <f t="shared" si="410"/>
        <v>267432.59000000003</v>
      </c>
      <c r="AM282" s="449">
        <f t="shared" si="439"/>
        <v>18</v>
      </c>
      <c r="AN282" s="14">
        <f t="shared" si="394"/>
        <v>1196.26</v>
      </c>
      <c r="AO282" s="14">
        <f t="shared" si="369"/>
        <v>190939.14999999997</v>
      </c>
      <c r="AP282" s="14">
        <f t="shared" si="395"/>
        <v>1325.03</v>
      </c>
      <c r="AS282" s="14">
        <f t="shared" si="433"/>
        <v>1196.26</v>
      </c>
      <c r="AT282" s="14">
        <f t="shared" si="440"/>
        <v>267481.68000000081</v>
      </c>
      <c r="AU282" s="300">
        <f t="shared" si="441"/>
        <v>1183.9719362793069</v>
      </c>
      <c r="AV282" s="300">
        <f t="shared" si="442"/>
        <v>231624.246448002</v>
      </c>
    </row>
    <row r="283" spans="1:48" x14ac:dyDescent="0.25">
      <c r="A283" s="535">
        <f t="shared" si="397"/>
        <v>52449</v>
      </c>
      <c r="B283" s="300">
        <f t="shared" si="434"/>
        <v>32736.449999999997</v>
      </c>
      <c r="C283" s="14">
        <f t="shared" si="427"/>
        <v>421.41</v>
      </c>
      <c r="D283" s="14">
        <f t="shared" si="443"/>
        <v>298.65000000000003</v>
      </c>
      <c r="E283" s="14">
        <f t="shared" si="428"/>
        <v>122.76</v>
      </c>
      <c r="F283" s="14">
        <f t="shared" si="386"/>
        <v>134.16999999999999</v>
      </c>
      <c r="G283" s="14">
        <f t="shared" si="383"/>
        <v>188.55</v>
      </c>
      <c r="H283" s="14">
        <f t="shared" si="384"/>
        <v>744.13000000000011</v>
      </c>
      <c r="I283" s="300">
        <f t="shared" si="398"/>
        <v>51043.62000000001</v>
      </c>
      <c r="J283" s="300">
        <f t="shared" si="399"/>
        <v>62627.560000000019</v>
      </c>
      <c r="K283" s="300">
        <f t="shared" si="400"/>
        <v>32437.799999999996</v>
      </c>
      <c r="L283" s="449">
        <f t="shared" si="371"/>
        <v>18</v>
      </c>
      <c r="M283" s="449">
        <f t="shared" si="435"/>
        <v>224</v>
      </c>
      <c r="N283" s="300">
        <f t="shared" si="436"/>
        <v>151588.11000000016</v>
      </c>
      <c r="O283" s="300">
        <f t="shared" si="401"/>
        <v>1617.67</v>
      </c>
      <c r="P283" s="300">
        <f t="shared" si="444"/>
        <v>733.41000000000008</v>
      </c>
      <c r="Q283" s="300">
        <f t="shared" si="402"/>
        <v>884.26</v>
      </c>
      <c r="R283" s="300">
        <f t="shared" si="389"/>
        <v>134.16999999999999</v>
      </c>
      <c r="S283" s="300">
        <f t="shared" si="390"/>
        <v>188.55</v>
      </c>
      <c r="T283" s="300">
        <f t="shared" si="387"/>
        <v>1940.39</v>
      </c>
      <c r="U283" s="300">
        <f t="shared" si="445"/>
        <v>92293.800000000032</v>
      </c>
      <c r="V283" s="300">
        <f t="shared" si="446"/>
        <v>271681.95</v>
      </c>
      <c r="W283" s="300">
        <f t="shared" si="403"/>
        <v>150854.70000000016</v>
      </c>
      <c r="X283" s="535">
        <f t="shared" si="437"/>
        <v>52449</v>
      </c>
      <c r="Y283" s="300">
        <f t="shared" si="404"/>
        <v>267432.59000000003</v>
      </c>
      <c r="Z283" s="527">
        <f t="shared" si="429"/>
        <v>7.0000000000000007E-2</v>
      </c>
      <c r="AA283" s="300">
        <f t="shared" si="430"/>
        <v>1746.44</v>
      </c>
      <c r="AB283" s="300">
        <f t="shared" si="405"/>
        <v>186.42000000000007</v>
      </c>
      <c r="AC283" s="300">
        <f t="shared" si="431"/>
        <v>1560.02</v>
      </c>
      <c r="AD283" s="300">
        <f t="shared" ref="AD283:AE283" si="457">+AD282</f>
        <v>134.16999999999999</v>
      </c>
      <c r="AE283" s="300">
        <f t="shared" si="457"/>
        <v>188.55</v>
      </c>
      <c r="AF283" s="300">
        <f t="shared" si="407"/>
        <v>2069.1600000000003</v>
      </c>
      <c r="AG283" s="300">
        <f t="shared" si="408"/>
        <v>47677.929999999993</v>
      </c>
      <c r="AH283" s="300">
        <f t="shared" si="409"/>
        <v>336224.86999999994</v>
      </c>
      <c r="AI283" s="545">
        <f t="shared" si="392"/>
        <v>-19927.05000000005</v>
      </c>
      <c r="AJ283" s="545">
        <f t="shared" ref="AJ283:AJ346" si="458">+W283-AL283</f>
        <v>-116391.46999999988</v>
      </c>
      <c r="AK283" s="545">
        <f t="shared" si="393"/>
        <v>-136318.51999999993</v>
      </c>
      <c r="AL283" s="300">
        <f t="shared" si="410"/>
        <v>267246.17000000004</v>
      </c>
      <c r="AM283" s="449">
        <f t="shared" si="439"/>
        <v>18</v>
      </c>
      <c r="AN283" s="14">
        <f t="shared" si="394"/>
        <v>1196.26</v>
      </c>
      <c r="AO283" s="14">
        <f t="shared" si="369"/>
        <v>190504.38999999996</v>
      </c>
      <c r="AP283" s="14">
        <f t="shared" si="395"/>
        <v>1325.03</v>
      </c>
      <c r="AS283" s="14">
        <f t="shared" si="433"/>
        <v>1196.26</v>
      </c>
      <c r="AT283" s="14">
        <f t="shared" si="440"/>
        <v>268677.94000000082</v>
      </c>
      <c r="AU283" s="300">
        <f t="shared" si="441"/>
        <v>1186.931866120005</v>
      </c>
      <c r="AV283" s="300">
        <f t="shared" si="442"/>
        <v>232811.17831412199</v>
      </c>
    </row>
    <row r="284" spans="1:48" x14ac:dyDescent="0.25">
      <c r="A284" s="535">
        <f t="shared" si="397"/>
        <v>52479</v>
      </c>
      <c r="B284" s="300">
        <f t="shared" si="434"/>
        <v>32437.799999999996</v>
      </c>
      <c r="C284" s="14">
        <f t="shared" si="427"/>
        <v>421.41</v>
      </c>
      <c r="D284" s="14">
        <f t="shared" si="443"/>
        <v>299.77000000000004</v>
      </c>
      <c r="E284" s="14">
        <f t="shared" si="428"/>
        <v>121.64</v>
      </c>
      <c r="F284" s="14">
        <f t="shared" si="386"/>
        <v>134.16999999999999</v>
      </c>
      <c r="G284" s="14">
        <f t="shared" si="383"/>
        <v>188.55</v>
      </c>
      <c r="H284" s="14">
        <f t="shared" si="384"/>
        <v>744.13000000000011</v>
      </c>
      <c r="I284" s="300">
        <f t="shared" si="398"/>
        <v>51343.390000000007</v>
      </c>
      <c r="J284" s="300">
        <f t="shared" si="399"/>
        <v>62749.200000000019</v>
      </c>
      <c r="K284" s="300">
        <f t="shared" si="400"/>
        <v>32138.029999999995</v>
      </c>
      <c r="L284" s="449">
        <f t="shared" si="371"/>
        <v>18</v>
      </c>
      <c r="M284" s="449">
        <f t="shared" si="435"/>
        <v>225</v>
      </c>
      <c r="N284" s="300">
        <f t="shared" si="436"/>
        <v>150854.70000000016</v>
      </c>
      <c r="O284" s="300">
        <f t="shared" si="401"/>
        <v>1617.67</v>
      </c>
      <c r="P284" s="300">
        <f t="shared" si="444"/>
        <v>737.68000000000006</v>
      </c>
      <c r="Q284" s="300">
        <f t="shared" si="402"/>
        <v>879.99</v>
      </c>
      <c r="R284" s="300">
        <f t="shared" si="389"/>
        <v>134.16999999999999</v>
      </c>
      <c r="S284" s="300">
        <f t="shared" si="390"/>
        <v>188.55</v>
      </c>
      <c r="T284" s="300">
        <f t="shared" si="387"/>
        <v>1940.39</v>
      </c>
      <c r="U284" s="300">
        <f t="shared" si="445"/>
        <v>93031.480000000025</v>
      </c>
      <c r="V284" s="300">
        <f t="shared" si="446"/>
        <v>272561.94</v>
      </c>
      <c r="W284" s="300">
        <f t="shared" si="403"/>
        <v>150117.02000000016</v>
      </c>
      <c r="X284" s="535">
        <f t="shared" si="437"/>
        <v>52479</v>
      </c>
      <c r="Y284" s="300">
        <f t="shared" si="404"/>
        <v>267246.17000000004</v>
      </c>
      <c r="Z284" s="527">
        <f t="shared" si="429"/>
        <v>7.0000000000000007E-2</v>
      </c>
      <c r="AA284" s="300">
        <f t="shared" si="430"/>
        <v>1746.44</v>
      </c>
      <c r="AB284" s="300">
        <f t="shared" si="405"/>
        <v>187.5</v>
      </c>
      <c r="AC284" s="300">
        <f t="shared" si="431"/>
        <v>1558.94</v>
      </c>
      <c r="AD284" s="300">
        <f t="shared" ref="AD284:AE284" si="459">+AD283</f>
        <v>134.16999999999999</v>
      </c>
      <c r="AE284" s="300">
        <f t="shared" si="459"/>
        <v>188.55</v>
      </c>
      <c r="AF284" s="300">
        <f t="shared" si="407"/>
        <v>2069.1600000000003</v>
      </c>
      <c r="AG284" s="300">
        <f t="shared" si="408"/>
        <v>47865.429999999993</v>
      </c>
      <c r="AH284" s="300">
        <f t="shared" si="409"/>
        <v>337783.80999999994</v>
      </c>
      <c r="AI284" s="545">
        <f t="shared" si="392"/>
        <v>-20055.820000000051</v>
      </c>
      <c r="AJ284" s="545">
        <f t="shared" si="458"/>
        <v>-116941.64999999988</v>
      </c>
      <c r="AK284" s="545">
        <f t="shared" si="393"/>
        <v>-136997.46999999991</v>
      </c>
      <c r="AL284" s="300">
        <f t="shared" si="410"/>
        <v>267058.67000000004</v>
      </c>
      <c r="AM284" s="449">
        <f t="shared" si="439"/>
        <v>18</v>
      </c>
      <c r="AN284" s="14">
        <f t="shared" si="394"/>
        <v>1196.26</v>
      </c>
      <c r="AO284" s="14">
        <f t="shared" si="369"/>
        <v>190066.47999999992</v>
      </c>
      <c r="AP284" s="14">
        <f t="shared" si="395"/>
        <v>1325.03</v>
      </c>
      <c r="AS284" s="14">
        <f t="shared" si="433"/>
        <v>1196.26</v>
      </c>
      <c r="AT284" s="14">
        <f t="shared" si="440"/>
        <v>269874.20000000083</v>
      </c>
      <c r="AU284" s="300">
        <f t="shared" si="441"/>
        <v>1189.899195785305</v>
      </c>
      <c r="AV284" s="300">
        <f t="shared" si="442"/>
        <v>234001.07750990731</v>
      </c>
    </row>
    <row r="285" spans="1:48" x14ac:dyDescent="0.25">
      <c r="A285" s="535">
        <f t="shared" si="397"/>
        <v>52509</v>
      </c>
      <c r="B285" s="300">
        <f t="shared" si="434"/>
        <v>32138.029999999995</v>
      </c>
      <c r="C285" s="14">
        <f t="shared" si="427"/>
        <v>421.41</v>
      </c>
      <c r="D285" s="14">
        <f t="shared" si="443"/>
        <v>300.89000000000004</v>
      </c>
      <c r="E285" s="14">
        <f t="shared" si="428"/>
        <v>120.52</v>
      </c>
      <c r="F285" s="14">
        <f t="shared" si="386"/>
        <v>134.16999999999999</v>
      </c>
      <c r="G285" s="14">
        <f t="shared" si="383"/>
        <v>188.55</v>
      </c>
      <c r="H285" s="14">
        <f t="shared" si="384"/>
        <v>744.13000000000011</v>
      </c>
      <c r="I285" s="300">
        <f t="shared" si="398"/>
        <v>51644.280000000006</v>
      </c>
      <c r="J285" s="300">
        <f t="shared" si="399"/>
        <v>62869.720000000016</v>
      </c>
      <c r="K285" s="300">
        <f t="shared" si="400"/>
        <v>31837.139999999996</v>
      </c>
      <c r="L285" s="449">
        <f t="shared" si="371"/>
        <v>18</v>
      </c>
      <c r="M285" s="449">
        <f t="shared" si="435"/>
        <v>226</v>
      </c>
      <c r="N285" s="300">
        <f t="shared" si="436"/>
        <v>150117.02000000016</v>
      </c>
      <c r="O285" s="300">
        <f t="shared" si="401"/>
        <v>1617.67</v>
      </c>
      <c r="P285" s="300">
        <f t="shared" si="444"/>
        <v>741.99000000000012</v>
      </c>
      <c r="Q285" s="300">
        <f t="shared" si="402"/>
        <v>875.68</v>
      </c>
      <c r="R285" s="300">
        <f t="shared" si="389"/>
        <v>134.16999999999999</v>
      </c>
      <c r="S285" s="300">
        <f t="shared" si="390"/>
        <v>188.55</v>
      </c>
      <c r="T285" s="300">
        <f t="shared" si="387"/>
        <v>1940.39</v>
      </c>
      <c r="U285" s="300">
        <f t="shared" si="445"/>
        <v>93773.47000000003</v>
      </c>
      <c r="V285" s="300">
        <f t="shared" si="446"/>
        <v>273437.62</v>
      </c>
      <c r="W285" s="300">
        <f t="shared" si="403"/>
        <v>149375.03000000017</v>
      </c>
      <c r="X285" s="535">
        <f t="shared" si="437"/>
        <v>52509</v>
      </c>
      <c r="Y285" s="300">
        <f t="shared" si="404"/>
        <v>267058.67000000004</v>
      </c>
      <c r="Z285" s="527">
        <f t="shared" si="429"/>
        <v>7.0000000000000007E-2</v>
      </c>
      <c r="AA285" s="300">
        <f t="shared" si="430"/>
        <v>1746.44</v>
      </c>
      <c r="AB285" s="300">
        <f t="shared" si="405"/>
        <v>188.60000000000014</v>
      </c>
      <c r="AC285" s="300">
        <f t="shared" si="431"/>
        <v>1557.84</v>
      </c>
      <c r="AD285" s="300">
        <f t="shared" ref="AD285:AE285" si="460">+AD284</f>
        <v>134.16999999999999</v>
      </c>
      <c r="AE285" s="300">
        <f t="shared" si="460"/>
        <v>188.55</v>
      </c>
      <c r="AF285" s="300">
        <f t="shared" si="407"/>
        <v>2069.1600000000003</v>
      </c>
      <c r="AG285" s="300">
        <f t="shared" si="408"/>
        <v>48054.029999999992</v>
      </c>
      <c r="AH285" s="300">
        <f t="shared" si="409"/>
        <v>339341.64999999997</v>
      </c>
      <c r="AI285" s="545">
        <f t="shared" si="392"/>
        <v>-20184.590000000051</v>
      </c>
      <c r="AJ285" s="545">
        <f t="shared" si="458"/>
        <v>-117495.03999999989</v>
      </c>
      <c r="AK285" s="545">
        <f t="shared" si="393"/>
        <v>-137679.62999999995</v>
      </c>
      <c r="AL285" s="300">
        <f t="shared" si="410"/>
        <v>266870.07000000007</v>
      </c>
      <c r="AM285" s="449">
        <f t="shared" si="439"/>
        <v>18</v>
      </c>
      <c r="AN285" s="14">
        <f t="shared" si="394"/>
        <v>1196.26</v>
      </c>
      <c r="AO285" s="14">
        <f t="shared" si="369"/>
        <v>189625.37999999995</v>
      </c>
      <c r="AP285" s="14">
        <f t="shared" si="395"/>
        <v>1325.03</v>
      </c>
      <c r="AS285" s="14">
        <f t="shared" si="433"/>
        <v>1196.26</v>
      </c>
      <c r="AT285" s="14">
        <f t="shared" si="440"/>
        <v>271070.46000000084</v>
      </c>
      <c r="AU285" s="300">
        <f t="shared" si="441"/>
        <v>1192.8739437747683</v>
      </c>
      <c r="AV285" s="300">
        <f t="shared" si="442"/>
        <v>235193.95145368206</v>
      </c>
    </row>
    <row r="286" spans="1:48" x14ac:dyDescent="0.25">
      <c r="A286" s="535">
        <f t="shared" si="397"/>
        <v>52539</v>
      </c>
      <c r="B286" s="300">
        <f t="shared" si="434"/>
        <v>31837.139999999996</v>
      </c>
      <c r="C286" s="14">
        <f t="shared" si="427"/>
        <v>421.41</v>
      </c>
      <c r="D286" s="14">
        <f t="shared" si="443"/>
        <v>302.02000000000004</v>
      </c>
      <c r="E286" s="14">
        <f t="shared" si="428"/>
        <v>119.39</v>
      </c>
      <c r="F286" s="14">
        <f t="shared" si="386"/>
        <v>134.16999999999999</v>
      </c>
      <c r="G286" s="14">
        <f t="shared" si="383"/>
        <v>188.55</v>
      </c>
      <c r="H286" s="14">
        <f t="shared" si="384"/>
        <v>744.13000000000011</v>
      </c>
      <c r="I286" s="300">
        <f t="shared" si="398"/>
        <v>51946.3</v>
      </c>
      <c r="J286" s="300">
        <f t="shared" si="399"/>
        <v>62989.110000000015</v>
      </c>
      <c r="K286" s="300">
        <f t="shared" si="400"/>
        <v>31535.119999999995</v>
      </c>
      <c r="L286" s="449">
        <f t="shared" si="371"/>
        <v>18</v>
      </c>
      <c r="M286" s="449">
        <f t="shared" si="435"/>
        <v>227</v>
      </c>
      <c r="N286" s="300">
        <f t="shared" si="436"/>
        <v>149375.03000000017</v>
      </c>
      <c r="O286" s="300">
        <f t="shared" si="401"/>
        <v>1617.67</v>
      </c>
      <c r="P286" s="300">
        <f t="shared" si="444"/>
        <v>746.32</v>
      </c>
      <c r="Q286" s="300">
        <f t="shared" si="402"/>
        <v>871.35</v>
      </c>
      <c r="R286" s="300">
        <f t="shared" si="389"/>
        <v>134.16999999999999</v>
      </c>
      <c r="S286" s="300">
        <f t="shared" si="390"/>
        <v>188.55</v>
      </c>
      <c r="T286" s="300">
        <f t="shared" si="387"/>
        <v>1940.39</v>
      </c>
      <c r="U286" s="300">
        <f t="shared" si="445"/>
        <v>94519.790000000037</v>
      </c>
      <c r="V286" s="300">
        <f t="shared" si="446"/>
        <v>274308.96999999997</v>
      </c>
      <c r="W286" s="300">
        <f t="shared" si="403"/>
        <v>148628.71000000017</v>
      </c>
      <c r="X286" s="535">
        <f t="shared" si="437"/>
        <v>52539</v>
      </c>
      <c r="Y286" s="300">
        <f t="shared" si="404"/>
        <v>266870.07000000007</v>
      </c>
      <c r="Z286" s="527">
        <f t="shared" si="429"/>
        <v>7.0000000000000007E-2</v>
      </c>
      <c r="AA286" s="300">
        <f t="shared" si="430"/>
        <v>1746.44</v>
      </c>
      <c r="AB286" s="300">
        <f t="shared" si="405"/>
        <v>189.70000000000005</v>
      </c>
      <c r="AC286" s="300">
        <f t="shared" si="431"/>
        <v>1556.74</v>
      </c>
      <c r="AD286" s="300">
        <f t="shared" ref="AD286:AE286" si="461">+AD285</f>
        <v>134.16999999999999</v>
      </c>
      <c r="AE286" s="300">
        <f t="shared" si="461"/>
        <v>188.55</v>
      </c>
      <c r="AF286" s="300">
        <f t="shared" si="407"/>
        <v>2069.1600000000003</v>
      </c>
      <c r="AG286" s="300">
        <f t="shared" si="408"/>
        <v>48243.729999999989</v>
      </c>
      <c r="AH286" s="300">
        <f t="shared" si="409"/>
        <v>340898.38999999996</v>
      </c>
      <c r="AI286" s="545">
        <f t="shared" si="392"/>
        <v>-20313.360000000052</v>
      </c>
      <c r="AJ286" s="545">
        <f t="shared" si="458"/>
        <v>-118051.65999999989</v>
      </c>
      <c r="AK286" s="545">
        <f t="shared" si="393"/>
        <v>-138365.01999999993</v>
      </c>
      <c r="AL286" s="300">
        <f t="shared" si="410"/>
        <v>266680.37000000005</v>
      </c>
      <c r="AM286" s="449">
        <f t="shared" si="439"/>
        <v>18</v>
      </c>
      <c r="AN286" s="14">
        <f t="shared" si="394"/>
        <v>1196.26</v>
      </c>
      <c r="AO286" s="14">
        <f t="shared" si="369"/>
        <v>189181.07999999996</v>
      </c>
      <c r="AP286" s="14">
        <f t="shared" si="395"/>
        <v>1325.03</v>
      </c>
      <c r="AS286" s="14">
        <f t="shared" si="433"/>
        <v>1196.26</v>
      </c>
      <c r="AT286" s="14">
        <f t="shared" si="440"/>
        <v>272266.72000000085</v>
      </c>
      <c r="AU286" s="300">
        <f t="shared" si="441"/>
        <v>1195.8561286342051</v>
      </c>
      <c r="AV286" s="300">
        <f t="shared" si="442"/>
        <v>236389.80758231628</v>
      </c>
    </row>
    <row r="287" spans="1:48" x14ac:dyDescent="0.25">
      <c r="A287" s="535">
        <f t="shared" si="397"/>
        <v>52569</v>
      </c>
      <c r="B287" s="300">
        <f t="shared" si="434"/>
        <v>31535.119999999995</v>
      </c>
      <c r="C287" s="14">
        <f t="shared" si="427"/>
        <v>421.41</v>
      </c>
      <c r="D287" s="14">
        <f t="shared" si="443"/>
        <v>303.15000000000003</v>
      </c>
      <c r="E287" s="14">
        <f t="shared" si="428"/>
        <v>118.26</v>
      </c>
      <c r="F287" s="14">
        <f t="shared" si="386"/>
        <v>134.16999999999999</v>
      </c>
      <c r="G287" s="14">
        <f t="shared" si="383"/>
        <v>188.55</v>
      </c>
      <c r="H287" s="14">
        <f t="shared" si="384"/>
        <v>744.13000000000011</v>
      </c>
      <c r="I287" s="300">
        <f t="shared" si="398"/>
        <v>52249.450000000004</v>
      </c>
      <c r="J287" s="300">
        <f t="shared" si="399"/>
        <v>63107.370000000017</v>
      </c>
      <c r="K287" s="300">
        <f t="shared" si="400"/>
        <v>31231.969999999994</v>
      </c>
      <c r="L287" s="449">
        <f t="shared" si="371"/>
        <v>19</v>
      </c>
      <c r="M287" s="449">
        <f t="shared" si="435"/>
        <v>228</v>
      </c>
      <c r="N287" s="300">
        <f t="shared" si="436"/>
        <v>148628.71000000017</v>
      </c>
      <c r="O287" s="300">
        <f t="shared" si="401"/>
        <v>1617.67</v>
      </c>
      <c r="P287" s="300">
        <f t="shared" si="444"/>
        <v>750.67000000000007</v>
      </c>
      <c r="Q287" s="300">
        <f t="shared" si="402"/>
        <v>867</v>
      </c>
      <c r="R287" s="300">
        <f t="shared" si="389"/>
        <v>134.16999999999999</v>
      </c>
      <c r="S287" s="300">
        <f t="shared" si="390"/>
        <v>188.55</v>
      </c>
      <c r="T287" s="300">
        <f t="shared" si="387"/>
        <v>1940.39</v>
      </c>
      <c r="U287" s="300">
        <f t="shared" si="445"/>
        <v>95270.460000000036</v>
      </c>
      <c r="V287" s="300">
        <f t="shared" si="446"/>
        <v>275175.96999999997</v>
      </c>
      <c r="W287" s="300">
        <f t="shared" si="403"/>
        <v>147878.04000000015</v>
      </c>
      <c r="X287" s="535">
        <f t="shared" si="437"/>
        <v>52569</v>
      </c>
      <c r="Y287" s="300">
        <f t="shared" si="404"/>
        <v>266680.37000000005</v>
      </c>
      <c r="Z287" s="527">
        <f t="shared" si="429"/>
        <v>7.0000000000000007E-2</v>
      </c>
      <c r="AA287" s="300">
        <f t="shared" si="430"/>
        <v>1746.44</v>
      </c>
      <c r="AB287" s="300">
        <f t="shared" si="405"/>
        <v>190.79999999999995</v>
      </c>
      <c r="AC287" s="300">
        <f t="shared" si="431"/>
        <v>1555.64</v>
      </c>
      <c r="AD287" s="300">
        <f t="shared" ref="AD287:AE287" si="462">+AD286</f>
        <v>134.16999999999999</v>
      </c>
      <c r="AE287" s="300">
        <f t="shared" si="462"/>
        <v>188.55</v>
      </c>
      <c r="AF287" s="300">
        <f t="shared" si="407"/>
        <v>2069.1600000000003</v>
      </c>
      <c r="AG287" s="300">
        <f t="shared" si="408"/>
        <v>48434.529999999992</v>
      </c>
      <c r="AH287" s="300">
        <f t="shared" si="409"/>
        <v>342454.02999999997</v>
      </c>
      <c r="AI287" s="545">
        <f t="shared" si="392"/>
        <v>-20442.130000000052</v>
      </c>
      <c r="AJ287" s="545">
        <f t="shared" si="458"/>
        <v>-118611.52999999991</v>
      </c>
      <c r="AK287" s="545">
        <f t="shared" si="393"/>
        <v>-139053.65999999997</v>
      </c>
      <c r="AL287" s="300">
        <f t="shared" si="410"/>
        <v>266489.57000000007</v>
      </c>
      <c r="AM287" s="449">
        <f t="shared" si="439"/>
        <v>19</v>
      </c>
      <c r="AN287" s="14">
        <f t="shared" si="394"/>
        <v>1196.26</v>
      </c>
      <c r="AO287" s="14">
        <f t="shared" si="369"/>
        <v>188733.55999999994</v>
      </c>
      <c r="AP287" s="14">
        <f t="shared" si="395"/>
        <v>1325.03</v>
      </c>
      <c r="AS287" s="14">
        <f t="shared" si="433"/>
        <v>1196.26</v>
      </c>
      <c r="AT287" s="14">
        <f t="shared" si="440"/>
        <v>273462.98000000085</v>
      </c>
      <c r="AU287" s="300">
        <f t="shared" si="441"/>
        <v>1198.8457689557906</v>
      </c>
      <c r="AV287" s="300">
        <f t="shared" si="442"/>
        <v>237588.65335127208</v>
      </c>
    </row>
    <row r="288" spans="1:48" x14ac:dyDescent="0.25">
      <c r="A288" s="535">
        <f t="shared" si="397"/>
        <v>52599</v>
      </c>
      <c r="B288" s="300">
        <f t="shared" si="434"/>
        <v>31231.969999999994</v>
      </c>
      <c r="C288" s="14">
        <f t="shared" si="427"/>
        <v>421.41</v>
      </c>
      <c r="D288" s="14">
        <f t="shared" si="443"/>
        <v>304.29000000000002</v>
      </c>
      <c r="E288" s="14">
        <f t="shared" si="428"/>
        <v>117.12</v>
      </c>
      <c r="F288" s="14">
        <f t="shared" si="386"/>
        <v>134.16999999999999</v>
      </c>
      <c r="G288" s="14">
        <f t="shared" si="383"/>
        <v>188.55</v>
      </c>
      <c r="H288" s="14">
        <f t="shared" si="384"/>
        <v>744.13000000000011</v>
      </c>
      <c r="I288" s="300">
        <f t="shared" si="398"/>
        <v>52553.740000000005</v>
      </c>
      <c r="J288" s="300">
        <f t="shared" si="399"/>
        <v>63224.49000000002</v>
      </c>
      <c r="K288" s="300">
        <f t="shared" si="400"/>
        <v>30927.679999999993</v>
      </c>
      <c r="L288" s="449">
        <f t="shared" si="371"/>
        <v>19</v>
      </c>
      <c r="M288" s="449">
        <f t="shared" si="435"/>
        <v>229</v>
      </c>
      <c r="N288" s="300">
        <f t="shared" si="436"/>
        <v>147878.04000000015</v>
      </c>
      <c r="O288" s="300">
        <f t="shared" si="401"/>
        <v>1617.67</v>
      </c>
      <c r="P288" s="300">
        <f t="shared" si="444"/>
        <v>755.05000000000007</v>
      </c>
      <c r="Q288" s="300">
        <f t="shared" si="402"/>
        <v>862.62</v>
      </c>
      <c r="R288" s="300">
        <f t="shared" si="389"/>
        <v>134.16999999999999</v>
      </c>
      <c r="S288" s="300">
        <f t="shared" si="390"/>
        <v>188.55</v>
      </c>
      <c r="T288" s="300">
        <f t="shared" si="387"/>
        <v>1940.39</v>
      </c>
      <c r="U288" s="300">
        <f t="shared" si="445"/>
        <v>96025.510000000038</v>
      </c>
      <c r="V288" s="300">
        <f t="shared" si="446"/>
        <v>276038.58999999997</v>
      </c>
      <c r="W288" s="300">
        <f t="shared" si="403"/>
        <v>147122.99000000017</v>
      </c>
      <c r="X288" s="535">
        <f t="shared" si="437"/>
        <v>52599</v>
      </c>
      <c r="Y288" s="300">
        <f t="shared" si="404"/>
        <v>266489.57000000007</v>
      </c>
      <c r="Z288" s="527">
        <f t="shared" si="429"/>
        <v>7.0000000000000007E-2</v>
      </c>
      <c r="AA288" s="300">
        <f t="shared" si="430"/>
        <v>1746.44</v>
      </c>
      <c r="AB288" s="300">
        <f t="shared" si="405"/>
        <v>191.92000000000007</v>
      </c>
      <c r="AC288" s="300">
        <f t="shared" si="431"/>
        <v>1554.52</v>
      </c>
      <c r="AD288" s="300">
        <f t="shared" ref="AD288:AE288" si="463">+AD287</f>
        <v>134.16999999999999</v>
      </c>
      <c r="AE288" s="300">
        <f t="shared" si="463"/>
        <v>188.55</v>
      </c>
      <c r="AF288" s="300">
        <f t="shared" si="407"/>
        <v>2069.1600000000003</v>
      </c>
      <c r="AG288" s="300">
        <f t="shared" si="408"/>
        <v>48626.44999999999</v>
      </c>
      <c r="AH288" s="300">
        <f t="shared" si="409"/>
        <v>344008.55</v>
      </c>
      <c r="AI288" s="545">
        <f t="shared" si="392"/>
        <v>-20570.900000000052</v>
      </c>
      <c r="AJ288" s="545">
        <f t="shared" si="458"/>
        <v>-119174.65999999992</v>
      </c>
      <c r="AK288" s="545">
        <f t="shared" si="393"/>
        <v>-139745.55999999997</v>
      </c>
      <c r="AL288" s="300">
        <f t="shared" si="410"/>
        <v>266297.65000000008</v>
      </c>
      <c r="AM288" s="449">
        <f t="shared" si="439"/>
        <v>19</v>
      </c>
      <c r="AN288" s="14">
        <f t="shared" si="394"/>
        <v>1196.26</v>
      </c>
      <c r="AO288" s="14">
        <f t="shared" si="369"/>
        <v>188282.79999999996</v>
      </c>
      <c r="AP288" s="14">
        <f t="shared" si="395"/>
        <v>1325.03</v>
      </c>
      <c r="AS288" s="14">
        <f t="shared" si="433"/>
        <v>1196.26</v>
      </c>
      <c r="AT288" s="14">
        <f t="shared" si="440"/>
        <v>274659.24000000086</v>
      </c>
      <c r="AU288" s="300">
        <f t="shared" si="441"/>
        <v>1201.8428833781802</v>
      </c>
      <c r="AV288" s="300">
        <f t="shared" si="442"/>
        <v>238790.49623465026</v>
      </c>
    </row>
    <row r="289" spans="1:48" x14ac:dyDescent="0.25">
      <c r="A289" s="535">
        <f t="shared" si="397"/>
        <v>52629</v>
      </c>
      <c r="B289" s="300">
        <f t="shared" si="434"/>
        <v>30927.679999999993</v>
      </c>
      <c r="C289" s="14">
        <f t="shared" si="427"/>
        <v>421.41</v>
      </c>
      <c r="D289" s="14">
        <f t="shared" si="443"/>
        <v>305.43</v>
      </c>
      <c r="E289" s="14">
        <f t="shared" si="428"/>
        <v>115.98</v>
      </c>
      <c r="F289" s="14">
        <f t="shared" si="386"/>
        <v>134.16999999999999</v>
      </c>
      <c r="G289" s="14">
        <f t="shared" si="383"/>
        <v>188.55</v>
      </c>
      <c r="H289" s="14">
        <f t="shared" si="384"/>
        <v>744.13000000000011</v>
      </c>
      <c r="I289" s="300">
        <f t="shared" si="398"/>
        <v>52859.170000000006</v>
      </c>
      <c r="J289" s="300">
        <f t="shared" si="399"/>
        <v>63340.470000000023</v>
      </c>
      <c r="K289" s="300">
        <f t="shared" si="400"/>
        <v>30622.249999999993</v>
      </c>
      <c r="L289" s="449">
        <f t="shared" si="371"/>
        <v>19</v>
      </c>
      <c r="M289" s="449">
        <f t="shared" si="435"/>
        <v>230</v>
      </c>
      <c r="N289" s="300">
        <f t="shared" si="436"/>
        <v>147122.99000000017</v>
      </c>
      <c r="O289" s="300">
        <f t="shared" si="401"/>
        <v>1617.67</v>
      </c>
      <c r="P289" s="300">
        <f t="shared" si="444"/>
        <v>759.45</v>
      </c>
      <c r="Q289" s="300">
        <f t="shared" si="402"/>
        <v>858.22</v>
      </c>
      <c r="R289" s="300">
        <f t="shared" si="389"/>
        <v>134.16999999999999</v>
      </c>
      <c r="S289" s="300">
        <f t="shared" si="390"/>
        <v>188.55</v>
      </c>
      <c r="T289" s="300">
        <f t="shared" si="387"/>
        <v>1940.39</v>
      </c>
      <c r="U289" s="300">
        <f t="shared" si="445"/>
        <v>96784.960000000036</v>
      </c>
      <c r="V289" s="300">
        <f t="shared" si="446"/>
        <v>276896.80999999994</v>
      </c>
      <c r="W289" s="300">
        <f t="shared" si="403"/>
        <v>146363.54000000015</v>
      </c>
      <c r="X289" s="535">
        <f t="shared" si="437"/>
        <v>52629</v>
      </c>
      <c r="Y289" s="300">
        <f t="shared" si="404"/>
        <v>266297.65000000008</v>
      </c>
      <c r="Z289" s="527">
        <f t="shared" si="429"/>
        <v>7.0000000000000007E-2</v>
      </c>
      <c r="AA289" s="300">
        <f t="shared" si="430"/>
        <v>1746.44</v>
      </c>
      <c r="AB289" s="300">
        <f t="shared" si="405"/>
        <v>193.03999999999996</v>
      </c>
      <c r="AC289" s="300">
        <f t="shared" si="431"/>
        <v>1553.4</v>
      </c>
      <c r="AD289" s="300">
        <f t="shared" ref="AD289:AE289" si="464">+AD288</f>
        <v>134.16999999999999</v>
      </c>
      <c r="AE289" s="300">
        <f t="shared" si="464"/>
        <v>188.55</v>
      </c>
      <c r="AF289" s="300">
        <f t="shared" si="407"/>
        <v>2069.1600000000003</v>
      </c>
      <c r="AG289" s="300">
        <f t="shared" si="408"/>
        <v>48819.489999999991</v>
      </c>
      <c r="AH289" s="300">
        <f t="shared" si="409"/>
        <v>345561.95</v>
      </c>
      <c r="AI289" s="545">
        <f t="shared" si="392"/>
        <v>-20699.670000000053</v>
      </c>
      <c r="AJ289" s="545">
        <f t="shared" si="458"/>
        <v>-119741.06999999995</v>
      </c>
      <c r="AK289" s="545">
        <f t="shared" si="393"/>
        <v>-140440.74</v>
      </c>
      <c r="AL289" s="300">
        <f t="shared" si="410"/>
        <v>266104.6100000001</v>
      </c>
      <c r="AM289" s="449">
        <f t="shared" si="439"/>
        <v>19</v>
      </c>
      <c r="AN289" s="14">
        <f t="shared" si="394"/>
        <v>1196.26</v>
      </c>
      <c r="AO289" s="14">
        <f t="shared" si="369"/>
        <v>187828.77999999997</v>
      </c>
      <c r="AP289" s="14">
        <f t="shared" si="395"/>
        <v>1325.03</v>
      </c>
      <c r="AS289" s="14">
        <f t="shared" si="433"/>
        <v>1196.26</v>
      </c>
      <c r="AT289" s="14">
        <f t="shared" si="440"/>
        <v>275855.50000000087</v>
      </c>
      <c r="AU289" s="300">
        <f t="shared" si="441"/>
        <v>1204.8474905866256</v>
      </c>
      <c r="AV289" s="300">
        <f t="shared" si="442"/>
        <v>239995.34372523689</v>
      </c>
    </row>
    <row r="290" spans="1:48" ht="15.75" thickBot="1" x14ac:dyDescent="0.3">
      <c r="A290" s="538">
        <f t="shared" si="397"/>
        <v>52659</v>
      </c>
      <c r="B290" s="369">
        <f t="shared" si="434"/>
        <v>30622.249999999993</v>
      </c>
      <c r="C290" s="21">
        <f t="shared" si="427"/>
        <v>421.41</v>
      </c>
      <c r="D290" s="21">
        <f t="shared" si="443"/>
        <v>306.58000000000004</v>
      </c>
      <c r="E290" s="21">
        <f t="shared" si="428"/>
        <v>114.83</v>
      </c>
      <c r="F290" s="21">
        <f t="shared" si="386"/>
        <v>134.16999999999999</v>
      </c>
      <c r="G290" s="21">
        <f t="shared" si="383"/>
        <v>188.55</v>
      </c>
      <c r="H290" s="21">
        <f t="shared" si="384"/>
        <v>744.13000000000011</v>
      </c>
      <c r="I290" s="369">
        <f t="shared" si="398"/>
        <v>53165.750000000007</v>
      </c>
      <c r="J290" s="369">
        <f t="shared" si="399"/>
        <v>63455.300000000025</v>
      </c>
      <c r="K290" s="369">
        <f t="shared" si="400"/>
        <v>30315.669999999991</v>
      </c>
      <c r="L290" s="450">
        <f t="shared" si="371"/>
        <v>19</v>
      </c>
      <c r="M290" s="450">
        <f t="shared" si="435"/>
        <v>231</v>
      </c>
      <c r="N290" s="369">
        <f t="shared" si="436"/>
        <v>146363.54000000015</v>
      </c>
      <c r="O290" s="369">
        <f t="shared" si="401"/>
        <v>1617.67</v>
      </c>
      <c r="P290" s="369">
        <f t="shared" si="444"/>
        <v>763.88000000000011</v>
      </c>
      <c r="Q290" s="369">
        <f t="shared" si="402"/>
        <v>853.79</v>
      </c>
      <c r="R290" s="369">
        <f t="shared" si="389"/>
        <v>134.16999999999999</v>
      </c>
      <c r="S290" s="369">
        <f t="shared" si="390"/>
        <v>188.55</v>
      </c>
      <c r="T290" s="369">
        <f t="shared" si="387"/>
        <v>1940.39</v>
      </c>
      <c r="U290" s="369">
        <f t="shared" si="445"/>
        <v>97548.84000000004</v>
      </c>
      <c r="V290" s="369">
        <f t="shared" si="446"/>
        <v>277750.59999999992</v>
      </c>
      <c r="W290" s="369">
        <f t="shared" si="403"/>
        <v>145599.66000000015</v>
      </c>
      <c r="X290" s="538">
        <f t="shared" si="437"/>
        <v>52659</v>
      </c>
      <c r="Y290" s="369">
        <f t="shared" si="404"/>
        <v>266104.6100000001</v>
      </c>
      <c r="Z290" s="528">
        <f t="shared" si="429"/>
        <v>7.0000000000000007E-2</v>
      </c>
      <c r="AA290" s="369">
        <f t="shared" si="430"/>
        <v>1746.44</v>
      </c>
      <c r="AB290" s="369">
        <f t="shared" si="405"/>
        <v>194.16000000000008</v>
      </c>
      <c r="AC290" s="369">
        <f t="shared" si="431"/>
        <v>1552.28</v>
      </c>
      <c r="AD290" s="369">
        <f t="shared" ref="AD290:AE290" si="465">+AD289</f>
        <v>134.16999999999999</v>
      </c>
      <c r="AE290" s="369">
        <f t="shared" si="465"/>
        <v>188.55</v>
      </c>
      <c r="AF290" s="369">
        <f t="shared" si="407"/>
        <v>2069.1600000000003</v>
      </c>
      <c r="AG290" s="369">
        <f t="shared" si="408"/>
        <v>49013.649999999994</v>
      </c>
      <c r="AH290" s="369">
        <f t="shared" si="409"/>
        <v>347114.23000000004</v>
      </c>
      <c r="AI290" s="546">
        <f t="shared" si="392"/>
        <v>-20828.440000000053</v>
      </c>
      <c r="AJ290" s="546">
        <f t="shared" si="458"/>
        <v>-120310.78999999998</v>
      </c>
      <c r="AK290" s="545">
        <f t="shared" si="393"/>
        <v>-141139.23000000004</v>
      </c>
      <c r="AL290" s="369">
        <f t="shared" si="410"/>
        <v>265910.45000000013</v>
      </c>
      <c r="AM290" s="450">
        <f t="shared" si="439"/>
        <v>19</v>
      </c>
      <c r="AN290" s="21">
        <f t="shared" si="394"/>
        <v>1196.26</v>
      </c>
      <c r="AO290" s="21">
        <f t="shared" si="369"/>
        <v>187371.47999999998</v>
      </c>
      <c r="AP290" s="21">
        <f t="shared" si="395"/>
        <v>1325.03</v>
      </c>
      <c r="AQ290" s="21"/>
      <c r="AR290" s="23"/>
      <c r="AS290" s="21">
        <f t="shared" si="433"/>
        <v>1196.26</v>
      </c>
      <c r="AT290" s="21">
        <f t="shared" si="440"/>
        <v>277051.76000000088</v>
      </c>
      <c r="AU290" s="369">
        <f t="shared" si="441"/>
        <v>1207.8596093130921</v>
      </c>
      <c r="AV290" s="369">
        <f t="shared" si="442"/>
        <v>241203.20333454999</v>
      </c>
    </row>
    <row r="291" spans="1:48" x14ac:dyDescent="0.25">
      <c r="A291" s="535">
        <f t="shared" si="397"/>
        <v>52689</v>
      </c>
      <c r="B291" s="300">
        <f t="shared" si="434"/>
        <v>30315.669999999991</v>
      </c>
      <c r="C291" s="14">
        <f t="shared" si="427"/>
        <v>421.41</v>
      </c>
      <c r="D291" s="14">
        <f t="shared" si="443"/>
        <v>307.73</v>
      </c>
      <c r="E291" s="14">
        <f t="shared" si="428"/>
        <v>113.68</v>
      </c>
      <c r="F291" s="14">
        <f t="shared" si="386"/>
        <v>134.16999999999999</v>
      </c>
      <c r="G291" s="14">
        <f t="shared" si="383"/>
        <v>188.55</v>
      </c>
      <c r="H291" s="14">
        <f t="shared" si="384"/>
        <v>744.13000000000011</v>
      </c>
      <c r="I291" s="300">
        <f t="shared" si="398"/>
        <v>53473.48000000001</v>
      </c>
      <c r="J291" s="300">
        <f t="shared" si="399"/>
        <v>63568.980000000025</v>
      </c>
      <c r="K291" s="300">
        <f t="shared" si="400"/>
        <v>30007.939999999991</v>
      </c>
      <c r="L291" s="449">
        <f t="shared" si="371"/>
        <v>19</v>
      </c>
      <c r="M291" s="449">
        <f t="shared" si="435"/>
        <v>232</v>
      </c>
      <c r="N291" s="300">
        <f t="shared" si="436"/>
        <v>145599.66000000015</v>
      </c>
      <c r="O291" s="300">
        <f t="shared" si="401"/>
        <v>1617.67</v>
      </c>
      <c r="P291" s="300">
        <f t="shared" si="444"/>
        <v>768.34</v>
      </c>
      <c r="Q291" s="300">
        <f t="shared" si="402"/>
        <v>849.33</v>
      </c>
      <c r="R291" s="300">
        <f t="shared" si="389"/>
        <v>134.16999999999999</v>
      </c>
      <c r="S291" s="300">
        <f t="shared" si="390"/>
        <v>188.55</v>
      </c>
      <c r="T291" s="300">
        <f t="shared" si="387"/>
        <v>1940.39</v>
      </c>
      <c r="U291" s="300">
        <f t="shared" si="445"/>
        <v>98317.180000000037</v>
      </c>
      <c r="V291" s="300">
        <f t="shared" si="446"/>
        <v>278599.92999999993</v>
      </c>
      <c r="W291" s="300">
        <f t="shared" si="403"/>
        <v>144831.32000000015</v>
      </c>
      <c r="X291" s="535">
        <f t="shared" si="437"/>
        <v>52689</v>
      </c>
      <c r="Y291" s="300">
        <f t="shared" si="404"/>
        <v>265910.45000000013</v>
      </c>
      <c r="Z291" s="527">
        <f t="shared" si="429"/>
        <v>7.0000000000000007E-2</v>
      </c>
      <c r="AA291" s="300">
        <f t="shared" si="430"/>
        <v>1746.44</v>
      </c>
      <c r="AB291" s="300">
        <f t="shared" si="405"/>
        <v>195.29999999999995</v>
      </c>
      <c r="AC291" s="300">
        <f t="shared" si="431"/>
        <v>1551.14</v>
      </c>
      <c r="AD291" s="300">
        <f t="shared" ref="AD291:AE291" si="466">+AD290</f>
        <v>134.16999999999999</v>
      </c>
      <c r="AE291" s="300">
        <f t="shared" si="466"/>
        <v>188.55</v>
      </c>
      <c r="AF291" s="300">
        <f t="shared" si="407"/>
        <v>2069.1600000000003</v>
      </c>
      <c r="AG291" s="300">
        <f t="shared" si="408"/>
        <v>49208.95</v>
      </c>
      <c r="AH291" s="300">
        <f t="shared" si="409"/>
        <v>348665.37000000005</v>
      </c>
      <c r="AI291" s="545">
        <f t="shared" si="392"/>
        <v>-20957.210000000054</v>
      </c>
      <c r="AJ291" s="545">
        <f t="shared" si="458"/>
        <v>-120883.82999999999</v>
      </c>
      <c r="AK291" s="545">
        <f t="shared" si="393"/>
        <v>-141841.04000000004</v>
      </c>
      <c r="AL291" s="300">
        <f t="shared" si="410"/>
        <v>265715.15000000014</v>
      </c>
      <c r="AM291" s="449">
        <f t="shared" si="439"/>
        <v>19</v>
      </c>
      <c r="AN291" s="14">
        <f t="shared" si="394"/>
        <v>1196.26</v>
      </c>
      <c r="AO291" s="14">
        <f t="shared" si="369"/>
        <v>186910.86999999994</v>
      </c>
      <c r="AP291" s="14">
        <f t="shared" si="395"/>
        <v>1325.03</v>
      </c>
      <c r="AS291" s="14">
        <f t="shared" si="433"/>
        <v>1196.26</v>
      </c>
      <c r="AT291" s="14">
        <f t="shared" si="440"/>
        <v>278248.02000000089</v>
      </c>
      <c r="AU291" s="300">
        <f t="shared" si="441"/>
        <v>1210.879258336375</v>
      </c>
      <c r="AV291" s="300">
        <f t="shared" si="442"/>
        <v>242414.08259288638</v>
      </c>
    </row>
    <row r="292" spans="1:48" x14ac:dyDescent="0.25">
      <c r="A292" s="535">
        <f t="shared" si="397"/>
        <v>52719</v>
      </c>
      <c r="B292" s="300">
        <f t="shared" si="434"/>
        <v>30007.939999999991</v>
      </c>
      <c r="C292" s="14">
        <f t="shared" si="427"/>
        <v>421.41</v>
      </c>
      <c r="D292" s="14">
        <f t="shared" si="443"/>
        <v>308.88</v>
      </c>
      <c r="E292" s="14">
        <f t="shared" si="428"/>
        <v>112.53</v>
      </c>
      <c r="F292" s="14">
        <f t="shared" si="386"/>
        <v>134.16999999999999</v>
      </c>
      <c r="G292" s="14">
        <f t="shared" si="383"/>
        <v>188.55</v>
      </c>
      <c r="H292" s="14">
        <f t="shared" si="384"/>
        <v>744.12999999999988</v>
      </c>
      <c r="I292" s="300">
        <f t="shared" si="398"/>
        <v>53782.360000000008</v>
      </c>
      <c r="J292" s="300">
        <f t="shared" si="399"/>
        <v>63681.510000000024</v>
      </c>
      <c r="K292" s="300">
        <f t="shared" si="400"/>
        <v>29699.05999999999</v>
      </c>
      <c r="L292" s="449">
        <f t="shared" si="371"/>
        <v>19</v>
      </c>
      <c r="M292" s="449">
        <f t="shared" si="435"/>
        <v>233</v>
      </c>
      <c r="N292" s="300">
        <f t="shared" si="436"/>
        <v>144831.32000000015</v>
      </c>
      <c r="O292" s="300">
        <f t="shared" si="401"/>
        <v>1617.67</v>
      </c>
      <c r="P292" s="300">
        <f t="shared" si="444"/>
        <v>772.82</v>
      </c>
      <c r="Q292" s="300">
        <f t="shared" si="402"/>
        <v>844.85</v>
      </c>
      <c r="R292" s="300">
        <f t="shared" si="389"/>
        <v>134.16999999999999</v>
      </c>
      <c r="S292" s="300">
        <f t="shared" si="390"/>
        <v>188.55</v>
      </c>
      <c r="T292" s="300">
        <f t="shared" si="387"/>
        <v>1940.39</v>
      </c>
      <c r="U292" s="300">
        <f t="shared" si="445"/>
        <v>99090.000000000044</v>
      </c>
      <c r="V292" s="300">
        <f t="shared" si="446"/>
        <v>279444.77999999991</v>
      </c>
      <c r="W292" s="300">
        <f t="shared" si="403"/>
        <v>144058.50000000015</v>
      </c>
      <c r="X292" s="535">
        <f t="shared" si="437"/>
        <v>52719</v>
      </c>
      <c r="Y292" s="300">
        <f t="shared" si="404"/>
        <v>265715.15000000014</v>
      </c>
      <c r="Z292" s="527">
        <f t="shared" si="429"/>
        <v>7.0000000000000007E-2</v>
      </c>
      <c r="AA292" s="300">
        <f t="shared" si="430"/>
        <v>1746.44</v>
      </c>
      <c r="AB292" s="300">
        <f t="shared" si="405"/>
        <v>196.43000000000006</v>
      </c>
      <c r="AC292" s="300">
        <f t="shared" si="431"/>
        <v>1550.01</v>
      </c>
      <c r="AD292" s="300">
        <f t="shared" ref="AD292:AE292" si="467">+AD291</f>
        <v>134.16999999999999</v>
      </c>
      <c r="AE292" s="300">
        <f t="shared" si="467"/>
        <v>188.55</v>
      </c>
      <c r="AF292" s="300">
        <f t="shared" si="407"/>
        <v>2069.1600000000003</v>
      </c>
      <c r="AG292" s="300">
        <f t="shared" si="408"/>
        <v>49405.38</v>
      </c>
      <c r="AH292" s="300">
        <f t="shared" si="409"/>
        <v>350215.38000000006</v>
      </c>
      <c r="AI292" s="545">
        <f t="shared" si="392"/>
        <v>-21085.980000000054</v>
      </c>
      <c r="AJ292" s="545">
        <f t="shared" si="458"/>
        <v>-121460.22</v>
      </c>
      <c r="AK292" s="545">
        <f t="shared" si="393"/>
        <v>-142546.20000000007</v>
      </c>
      <c r="AL292" s="300">
        <f t="shared" si="410"/>
        <v>265518.72000000015</v>
      </c>
      <c r="AM292" s="449">
        <f t="shared" si="439"/>
        <v>19</v>
      </c>
      <c r="AN292" s="14">
        <f t="shared" si="394"/>
        <v>1196.26</v>
      </c>
      <c r="AO292" s="14">
        <f t="shared" si="369"/>
        <v>186446.92999999993</v>
      </c>
      <c r="AP292" s="14">
        <f t="shared" si="395"/>
        <v>1325.03</v>
      </c>
      <c r="AS292" s="14">
        <f t="shared" si="433"/>
        <v>1196.26</v>
      </c>
      <c r="AT292" s="14">
        <f t="shared" si="440"/>
        <v>279444.2800000009</v>
      </c>
      <c r="AU292" s="300">
        <f t="shared" si="441"/>
        <v>1213.9064564822158</v>
      </c>
      <c r="AV292" s="300">
        <f t="shared" si="442"/>
        <v>243627.9890493686</v>
      </c>
    </row>
    <row r="293" spans="1:48" x14ac:dyDescent="0.25">
      <c r="A293" s="535">
        <f t="shared" si="397"/>
        <v>52749</v>
      </c>
      <c r="B293" s="300">
        <f t="shared" si="434"/>
        <v>29699.05999999999</v>
      </c>
      <c r="C293" s="14">
        <f t="shared" si="427"/>
        <v>421.41</v>
      </c>
      <c r="D293" s="14">
        <f t="shared" si="443"/>
        <v>310.04000000000002</v>
      </c>
      <c r="E293" s="14">
        <f t="shared" si="428"/>
        <v>111.37</v>
      </c>
      <c r="F293" s="14">
        <f t="shared" si="386"/>
        <v>134.16999999999999</v>
      </c>
      <c r="G293" s="14">
        <f t="shared" si="383"/>
        <v>188.55</v>
      </c>
      <c r="H293" s="14">
        <f t="shared" si="384"/>
        <v>744.13000000000011</v>
      </c>
      <c r="I293" s="300">
        <f t="shared" si="398"/>
        <v>54092.400000000009</v>
      </c>
      <c r="J293" s="300">
        <f t="shared" si="399"/>
        <v>63792.880000000026</v>
      </c>
      <c r="K293" s="300">
        <f t="shared" si="400"/>
        <v>29389.01999999999</v>
      </c>
      <c r="L293" s="449">
        <f t="shared" si="371"/>
        <v>19</v>
      </c>
      <c r="M293" s="449">
        <f t="shared" si="435"/>
        <v>234</v>
      </c>
      <c r="N293" s="300">
        <f t="shared" si="436"/>
        <v>144058.50000000015</v>
      </c>
      <c r="O293" s="300">
        <f t="shared" si="401"/>
        <v>1617.67</v>
      </c>
      <c r="P293" s="300">
        <f t="shared" si="444"/>
        <v>777.33</v>
      </c>
      <c r="Q293" s="300">
        <f t="shared" si="402"/>
        <v>840.34</v>
      </c>
      <c r="R293" s="300">
        <f t="shared" si="389"/>
        <v>134.16999999999999</v>
      </c>
      <c r="S293" s="300">
        <f t="shared" si="390"/>
        <v>188.55</v>
      </c>
      <c r="T293" s="300">
        <f t="shared" si="387"/>
        <v>1940.39</v>
      </c>
      <c r="U293" s="300">
        <f t="shared" si="445"/>
        <v>99867.330000000045</v>
      </c>
      <c r="V293" s="300">
        <f t="shared" si="446"/>
        <v>280285.11999999994</v>
      </c>
      <c r="W293" s="300">
        <f t="shared" si="403"/>
        <v>143281.17000000016</v>
      </c>
      <c r="X293" s="535">
        <f t="shared" si="437"/>
        <v>52749</v>
      </c>
      <c r="Y293" s="300">
        <f t="shared" si="404"/>
        <v>265518.72000000015</v>
      </c>
      <c r="Z293" s="527">
        <f t="shared" si="429"/>
        <v>7.0000000000000007E-2</v>
      </c>
      <c r="AA293" s="300">
        <f t="shared" si="430"/>
        <v>1746.44</v>
      </c>
      <c r="AB293" s="300">
        <f t="shared" si="405"/>
        <v>197.58000000000015</v>
      </c>
      <c r="AC293" s="300">
        <f t="shared" si="431"/>
        <v>1548.86</v>
      </c>
      <c r="AD293" s="300">
        <f t="shared" ref="AD293:AE293" si="468">+AD292</f>
        <v>134.16999999999999</v>
      </c>
      <c r="AE293" s="300">
        <f t="shared" si="468"/>
        <v>188.55</v>
      </c>
      <c r="AF293" s="300">
        <f t="shared" si="407"/>
        <v>2069.1600000000003</v>
      </c>
      <c r="AG293" s="300">
        <f t="shared" si="408"/>
        <v>49602.96</v>
      </c>
      <c r="AH293" s="300">
        <f t="shared" si="409"/>
        <v>351764.24000000005</v>
      </c>
      <c r="AI293" s="545">
        <f t="shared" si="392"/>
        <v>-21214.750000000055</v>
      </c>
      <c r="AJ293" s="545">
        <f t="shared" si="458"/>
        <v>-122039.96999999997</v>
      </c>
      <c r="AK293" s="545">
        <f t="shared" si="393"/>
        <v>-143254.72000000003</v>
      </c>
      <c r="AL293" s="300">
        <f t="shared" si="410"/>
        <v>265321.14000000013</v>
      </c>
      <c r="AM293" s="449">
        <f t="shared" si="439"/>
        <v>19</v>
      </c>
      <c r="AN293" s="14">
        <f t="shared" si="394"/>
        <v>1196.26</v>
      </c>
      <c r="AO293" s="14">
        <f t="shared" si="369"/>
        <v>185979.63999999993</v>
      </c>
      <c r="AP293" s="14">
        <f t="shared" si="395"/>
        <v>1325.03</v>
      </c>
      <c r="AS293" s="14">
        <f t="shared" si="433"/>
        <v>1196.26</v>
      </c>
      <c r="AT293" s="14">
        <f t="shared" si="440"/>
        <v>280640.54000000091</v>
      </c>
      <c r="AU293" s="300">
        <f t="shared" si="441"/>
        <v>1216.9412226234215</v>
      </c>
      <c r="AV293" s="300">
        <f t="shared" si="442"/>
        <v>244844.93027199202</v>
      </c>
    </row>
    <row r="294" spans="1:48" x14ac:dyDescent="0.25">
      <c r="A294" s="535">
        <f t="shared" si="397"/>
        <v>52779</v>
      </c>
      <c r="B294" s="300">
        <f t="shared" si="434"/>
        <v>29389.01999999999</v>
      </c>
      <c r="C294" s="14">
        <f t="shared" si="427"/>
        <v>421.41</v>
      </c>
      <c r="D294" s="14">
        <f t="shared" si="443"/>
        <v>311.20000000000005</v>
      </c>
      <c r="E294" s="14">
        <f t="shared" si="428"/>
        <v>110.21</v>
      </c>
      <c r="F294" s="14">
        <f t="shared" si="386"/>
        <v>134.16999999999999</v>
      </c>
      <c r="G294" s="14">
        <f t="shared" si="383"/>
        <v>188.55</v>
      </c>
      <c r="H294" s="14">
        <f t="shared" si="384"/>
        <v>744.13000000000011</v>
      </c>
      <c r="I294" s="300">
        <f t="shared" si="398"/>
        <v>54403.600000000006</v>
      </c>
      <c r="J294" s="300">
        <f t="shared" si="399"/>
        <v>63903.090000000026</v>
      </c>
      <c r="K294" s="300">
        <f t="shared" si="400"/>
        <v>29077.819999999989</v>
      </c>
      <c r="L294" s="449">
        <f t="shared" si="371"/>
        <v>19</v>
      </c>
      <c r="M294" s="449">
        <f t="shared" si="435"/>
        <v>235</v>
      </c>
      <c r="N294" s="300">
        <f t="shared" si="436"/>
        <v>143281.17000000016</v>
      </c>
      <c r="O294" s="300">
        <f t="shared" si="401"/>
        <v>1617.67</v>
      </c>
      <c r="P294" s="300">
        <f t="shared" si="444"/>
        <v>781.86000000000013</v>
      </c>
      <c r="Q294" s="300">
        <f t="shared" si="402"/>
        <v>835.81</v>
      </c>
      <c r="R294" s="300">
        <f t="shared" si="389"/>
        <v>134.16999999999999</v>
      </c>
      <c r="S294" s="300">
        <f t="shared" si="390"/>
        <v>188.55</v>
      </c>
      <c r="T294" s="300">
        <f t="shared" si="387"/>
        <v>1940.39</v>
      </c>
      <c r="U294" s="300">
        <f t="shared" si="445"/>
        <v>100649.19000000005</v>
      </c>
      <c r="V294" s="300">
        <f t="shared" si="446"/>
        <v>281120.92999999993</v>
      </c>
      <c r="W294" s="300">
        <f t="shared" si="403"/>
        <v>142499.31000000017</v>
      </c>
      <c r="X294" s="535">
        <f t="shared" si="437"/>
        <v>52779</v>
      </c>
      <c r="Y294" s="300">
        <f t="shared" si="404"/>
        <v>265321.14000000013</v>
      </c>
      <c r="Z294" s="527">
        <f t="shared" si="429"/>
        <v>7.0000000000000007E-2</v>
      </c>
      <c r="AA294" s="300">
        <f t="shared" si="430"/>
        <v>1746.44</v>
      </c>
      <c r="AB294" s="300">
        <f t="shared" si="405"/>
        <v>198.73000000000002</v>
      </c>
      <c r="AC294" s="300">
        <f t="shared" si="431"/>
        <v>1547.71</v>
      </c>
      <c r="AD294" s="300">
        <f t="shared" ref="AD294:AE294" si="469">+AD293</f>
        <v>134.16999999999999</v>
      </c>
      <c r="AE294" s="300">
        <f t="shared" si="469"/>
        <v>188.55</v>
      </c>
      <c r="AF294" s="300">
        <f t="shared" si="407"/>
        <v>2069.1600000000003</v>
      </c>
      <c r="AG294" s="300">
        <f t="shared" si="408"/>
        <v>49801.69</v>
      </c>
      <c r="AH294" s="300">
        <f t="shared" si="409"/>
        <v>353311.95000000007</v>
      </c>
      <c r="AI294" s="545">
        <f t="shared" si="392"/>
        <v>-21343.520000000055</v>
      </c>
      <c r="AJ294" s="545">
        <f t="shared" si="458"/>
        <v>-122623.09999999998</v>
      </c>
      <c r="AK294" s="545">
        <f t="shared" si="393"/>
        <v>-143966.62000000002</v>
      </c>
      <c r="AL294" s="300">
        <f t="shared" si="410"/>
        <v>265122.41000000015</v>
      </c>
      <c r="AM294" s="449">
        <f t="shared" si="439"/>
        <v>19</v>
      </c>
      <c r="AN294" s="14">
        <f t="shared" si="394"/>
        <v>1196.26</v>
      </c>
      <c r="AO294" s="14">
        <f t="shared" si="369"/>
        <v>185508.97999999992</v>
      </c>
      <c r="AP294" s="14">
        <f t="shared" si="395"/>
        <v>1325.03</v>
      </c>
      <c r="AS294" s="14">
        <f t="shared" si="433"/>
        <v>1196.26</v>
      </c>
      <c r="AT294" s="14">
        <f t="shared" si="440"/>
        <v>281836.80000000092</v>
      </c>
      <c r="AU294" s="300">
        <f t="shared" si="441"/>
        <v>1219.98357567998</v>
      </c>
      <c r="AV294" s="300">
        <f t="shared" si="442"/>
        <v>246064.913847672</v>
      </c>
    </row>
    <row r="295" spans="1:48" x14ac:dyDescent="0.25">
      <c r="A295" s="535">
        <f t="shared" si="397"/>
        <v>52809</v>
      </c>
      <c r="B295" s="300">
        <f t="shared" si="434"/>
        <v>29077.819999999989</v>
      </c>
      <c r="C295" s="14">
        <f t="shared" si="427"/>
        <v>421.41</v>
      </c>
      <c r="D295" s="14">
        <f t="shared" si="443"/>
        <v>312.37</v>
      </c>
      <c r="E295" s="14">
        <f t="shared" si="428"/>
        <v>109.04</v>
      </c>
      <c r="F295" s="14">
        <f t="shared" si="386"/>
        <v>134.16999999999999</v>
      </c>
      <c r="G295" s="14">
        <f t="shared" si="383"/>
        <v>188.55</v>
      </c>
      <c r="H295" s="14">
        <f t="shared" si="384"/>
        <v>744.13000000000011</v>
      </c>
      <c r="I295" s="300">
        <f t="shared" si="398"/>
        <v>54715.970000000008</v>
      </c>
      <c r="J295" s="300">
        <f t="shared" si="399"/>
        <v>64012.130000000026</v>
      </c>
      <c r="K295" s="300">
        <f t="shared" si="400"/>
        <v>28765.44999999999</v>
      </c>
      <c r="L295" s="449">
        <f t="shared" si="371"/>
        <v>19</v>
      </c>
      <c r="M295" s="449">
        <f t="shared" si="435"/>
        <v>236</v>
      </c>
      <c r="N295" s="300">
        <f t="shared" si="436"/>
        <v>142499.31000000017</v>
      </c>
      <c r="O295" s="300">
        <f t="shared" si="401"/>
        <v>1617.67</v>
      </c>
      <c r="P295" s="300">
        <f t="shared" si="444"/>
        <v>786.42000000000007</v>
      </c>
      <c r="Q295" s="300">
        <f t="shared" si="402"/>
        <v>831.25</v>
      </c>
      <c r="R295" s="300">
        <f t="shared" si="389"/>
        <v>134.16999999999999</v>
      </c>
      <c r="S295" s="300">
        <f t="shared" si="390"/>
        <v>188.55</v>
      </c>
      <c r="T295" s="300">
        <f t="shared" si="387"/>
        <v>1940.39</v>
      </c>
      <c r="U295" s="300">
        <f t="shared" si="445"/>
        <v>101435.61000000004</v>
      </c>
      <c r="V295" s="300">
        <f t="shared" si="446"/>
        <v>281952.17999999993</v>
      </c>
      <c r="W295" s="300">
        <f t="shared" si="403"/>
        <v>141712.89000000016</v>
      </c>
      <c r="X295" s="535">
        <f t="shared" si="437"/>
        <v>52809</v>
      </c>
      <c r="Y295" s="300">
        <f t="shared" si="404"/>
        <v>265122.41000000015</v>
      </c>
      <c r="Z295" s="527">
        <f t="shared" si="429"/>
        <v>7.0000000000000007E-2</v>
      </c>
      <c r="AA295" s="300">
        <f t="shared" si="430"/>
        <v>1746.44</v>
      </c>
      <c r="AB295" s="300">
        <f t="shared" si="405"/>
        <v>199.8900000000001</v>
      </c>
      <c r="AC295" s="300">
        <f t="shared" si="431"/>
        <v>1546.55</v>
      </c>
      <c r="AD295" s="300">
        <f t="shared" ref="AD295:AE295" si="470">+AD294</f>
        <v>134.16999999999999</v>
      </c>
      <c r="AE295" s="300">
        <f t="shared" si="470"/>
        <v>188.55</v>
      </c>
      <c r="AF295" s="300">
        <f t="shared" si="407"/>
        <v>2069.1600000000003</v>
      </c>
      <c r="AG295" s="300">
        <f t="shared" si="408"/>
        <v>50001.58</v>
      </c>
      <c r="AH295" s="300">
        <f t="shared" si="409"/>
        <v>354858.50000000006</v>
      </c>
      <c r="AI295" s="545">
        <f t="shared" si="392"/>
        <v>-21472.290000000055</v>
      </c>
      <c r="AJ295" s="545">
        <f t="shared" si="458"/>
        <v>-123209.62999999998</v>
      </c>
      <c r="AK295" s="545">
        <f t="shared" si="393"/>
        <v>-144681.92000000004</v>
      </c>
      <c r="AL295" s="300">
        <f t="shared" si="410"/>
        <v>264922.52000000014</v>
      </c>
      <c r="AM295" s="449">
        <f t="shared" si="439"/>
        <v>19</v>
      </c>
      <c r="AN295" s="14">
        <f t="shared" si="394"/>
        <v>1196.26</v>
      </c>
      <c r="AO295" s="14">
        <f t="shared" si="369"/>
        <v>185034.92999999993</v>
      </c>
      <c r="AP295" s="14">
        <f t="shared" si="395"/>
        <v>1325.03</v>
      </c>
      <c r="AS295" s="14">
        <f t="shared" si="433"/>
        <v>1196.26</v>
      </c>
      <c r="AT295" s="14">
        <f t="shared" si="440"/>
        <v>283033.06000000093</v>
      </c>
      <c r="AU295" s="300">
        <f t="shared" si="441"/>
        <v>1223.0335346191798</v>
      </c>
      <c r="AV295" s="300">
        <f t="shared" si="442"/>
        <v>247287.94738229117</v>
      </c>
    </row>
    <row r="296" spans="1:48" x14ac:dyDescent="0.25">
      <c r="A296" s="535">
        <f t="shared" si="397"/>
        <v>52839</v>
      </c>
      <c r="B296" s="300">
        <f t="shared" si="434"/>
        <v>28765.44999999999</v>
      </c>
      <c r="C296" s="14">
        <f t="shared" si="427"/>
        <v>421.41</v>
      </c>
      <c r="D296" s="14">
        <f t="shared" si="443"/>
        <v>313.54000000000002</v>
      </c>
      <c r="E296" s="14">
        <f t="shared" si="428"/>
        <v>107.87</v>
      </c>
      <c r="F296" s="14">
        <f t="shared" si="386"/>
        <v>134.16999999999999</v>
      </c>
      <c r="G296" s="14">
        <f t="shared" si="383"/>
        <v>188.55</v>
      </c>
      <c r="H296" s="14">
        <f t="shared" si="384"/>
        <v>744.13000000000011</v>
      </c>
      <c r="I296" s="300">
        <f t="shared" si="398"/>
        <v>55029.510000000009</v>
      </c>
      <c r="J296" s="300">
        <f t="shared" si="399"/>
        <v>64120.000000000029</v>
      </c>
      <c r="K296" s="300">
        <f t="shared" si="400"/>
        <v>28451.909999999989</v>
      </c>
      <c r="L296" s="449">
        <f t="shared" si="371"/>
        <v>19</v>
      </c>
      <c r="M296" s="449">
        <f t="shared" si="435"/>
        <v>237</v>
      </c>
      <c r="N296" s="300">
        <f t="shared" si="436"/>
        <v>141712.89000000016</v>
      </c>
      <c r="O296" s="300">
        <f t="shared" si="401"/>
        <v>1617.67</v>
      </c>
      <c r="P296" s="300">
        <f t="shared" si="444"/>
        <v>791.0100000000001</v>
      </c>
      <c r="Q296" s="300">
        <f t="shared" si="402"/>
        <v>826.66</v>
      </c>
      <c r="R296" s="300">
        <f t="shared" si="389"/>
        <v>134.16999999999999</v>
      </c>
      <c r="S296" s="300">
        <f t="shared" si="390"/>
        <v>188.55</v>
      </c>
      <c r="T296" s="300">
        <f t="shared" si="387"/>
        <v>1940.39</v>
      </c>
      <c r="U296" s="300">
        <f t="shared" si="445"/>
        <v>102226.62000000004</v>
      </c>
      <c r="V296" s="300">
        <f t="shared" si="446"/>
        <v>282778.83999999991</v>
      </c>
      <c r="W296" s="300">
        <f t="shared" si="403"/>
        <v>140921.88000000015</v>
      </c>
      <c r="X296" s="535">
        <f t="shared" si="437"/>
        <v>52839</v>
      </c>
      <c r="Y296" s="300">
        <f t="shared" si="404"/>
        <v>264922.52000000014</v>
      </c>
      <c r="Z296" s="527">
        <f t="shared" si="429"/>
        <v>7.0000000000000007E-2</v>
      </c>
      <c r="AA296" s="300">
        <f t="shared" si="430"/>
        <v>1746.44</v>
      </c>
      <c r="AB296" s="300">
        <f t="shared" si="405"/>
        <v>201.05999999999995</v>
      </c>
      <c r="AC296" s="300">
        <f t="shared" si="431"/>
        <v>1545.38</v>
      </c>
      <c r="AD296" s="300">
        <f t="shared" ref="AD296:AE296" si="471">+AD295</f>
        <v>134.16999999999999</v>
      </c>
      <c r="AE296" s="300">
        <f t="shared" si="471"/>
        <v>188.55</v>
      </c>
      <c r="AF296" s="300">
        <f t="shared" si="407"/>
        <v>2069.1600000000003</v>
      </c>
      <c r="AG296" s="300">
        <f t="shared" si="408"/>
        <v>50202.64</v>
      </c>
      <c r="AH296" s="300">
        <f t="shared" si="409"/>
        <v>356403.88000000006</v>
      </c>
      <c r="AI296" s="545">
        <f t="shared" si="392"/>
        <v>-21601.060000000056</v>
      </c>
      <c r="AJ296" s="545">
        <f t="shared" si="458"/>
        <v>-123799.57999999999</v>
      </c>
      <c r="AK296" s="545">
        <f t="shared" si="393"/>
        <v>-145400.64000000004</v>
      </c>
      <c r="AL296" s="300">
        <f t="shared" si="410"/>
        <v>264721.46000000014</v>
      </c>
      <c r="AM296" s="449">
        <f t="shared" si="439"/>
        <v>19</v>
      </c>
      <c r="AN296" s="14">
        <f t="shared" si="394"/>
        <v>1196.26</v>
      </c>
      <c r="AO296" s="14">
        <f t="shared" si="369"/>
        <v>184557.4599999999</v>
      </c>
      <c r="AP296" s="14">
        <f t="shared" si="395"/>
        <v>1325.03</v>
      </c>
      <c r="AS296" s="14">
        <f t="shared" si="433"/>
        <v>1196.26</v>
      </c>
      <c r="AT296" s="14">
        <f t="shared" si="440"/>
        <v>284229.32000000094</v>
      </c>
      <c r="AU296" s="300">
        <f t="shared" si="441"/>
        <v>1226.0911184557278</v>
      </c>
      <c r="AV296" s="300">
        <f t="shared" si="442"/>
        <v>248514.03850074689</v>
      </c>
    </row>
    <row r="297" spans="1:48" x14ac:dyDescent="0.25">
      <c r="A297" s="535">
        <f t="shared" si="397"/>
        <v>52869</v>
      </c>
      <c r="B297" s="300">
        <f t="shared" si="434"/>
        <v>28451.909999999989</v>
      </c>
      <c r="C297" s="14">
        <f t="shared" si="427"/>
        <v>421.41</v>
      </c>
      <c r="D297" s="14">
        <f t="shared" si="443"/>
        <v>314.72000000000003</v>
      </c>
      <c r="E297" s="14">
        <f t="shared" si="428"/>
        <v>106.69</v>
      </c>
      <c r="F297" s="14">
        <f t="shared" si="386"/>
        <v>134.16999999999999</v>
      </c>
      <c r="G297" s="14">
        <f t="shared" si="383"/>
        <v>188.55</v>
      </c>
      <c r="H297" s="14">
        <f t="shared" si="384"/>
        <v>744.13000000000011</v>
      </c>
      <c r="I297" s="300">
        <f t="shared" si="398"/>
        <v>55344.23000000001</v>
      </c>
      <c r="J297" s="300">
        <f t="shared" si="399"/>
        <v>64226.690000000031</v>
      </c>
      <c r="K297" s="300">
        <f t="shared" si="400"/>
        <v>28137.189999999988</v>
      </c>
      <c r="L297" s="449">
        <f t="shared" si="371"/>
        <v>19</v>
      </c>
      <c r="M297" s="449">
        <f t="shared" si="435"/>
        <v>238</v>
      </c>
      <c r="N297" s="300">
        <f t="shared" si="436"/>
        <v>140921.88000000015</v>
      </c>
      <c r="O297" s="300">
        <f t="shared" si="401"/>
        <v>1617.67</v>
      </c>
      <c r="P297" s="300">
        <f t="shared" si="444"/>
        <v>795.63000000000011</v>
      </c>
      <c r="Q297" s="300">
        <f t="shared" si="402"/>
        <v>822.04</v>
      </c>
      <c r="R297" s="300">
        <f t="shared" si="389"/>
        <v>134.16999999999999</v>
      </c>
      <c r="S297" s="300">
        <f t="shared" si="390"/>
        <v>188.55</v>
      </c>
      <c r="T297" s="300">
        <f t="shared" si="387"/>
        <v>1940.39</v>
      </c>
      <c r="U297" s="300">
        <f t="shared" si="445"/>
        <v>103022.25000000004</v>
      </c>
      <c r="V297" s="300">
        <f t="shared" si="446"/>
        <v>283600.87999999989</v>
      </c>
      <c r="W297" s="300">
        <f t="shared" si="403"/>
        <v>140126.25000000015</v>
      </c>
      <c r="X297" s="535">
        <f t="shared" si="437"/>
        <v>52869</v>
      </c>
      <c r="Y297" s="300">
        <f t="shared" si="404"/>
        <v>264721.46000000014</v>
      </c>
      <c r="Z297" s="527">
        <f t="shared" si="429"/>
        <v>7.0000000000000007E-2</v>
      </c>
      <c r="AA297" s="300">
        <f t="shared" si="430"/>
        <v>1746.44</v>
      </c>
      <c r="AB297" s="300">
        <f t="shared" si="405"/>
        <v>202.23000000000002</v>
      </c>
      <c r="AC297" s="300">
        <f t="shared" si="431"/>
        <v>1544.21</v>
      </c>
      <c r="AD297" s="300">
        <f t="shared" ref="AD297:AE297" si="472">+AD296</f>
        <v>134.16999999999999</v>
      </c>
      <c r="AE297" s="300">
        <f t="shared" si="472"/>
        <v>188.55</v>
      </c>
      <c r="AF297" s="300">
        <f t="shared" si="407"/>
        <v>2069.1600000000003</v>
      </c>
      <c r="AG297" s="300">
        <f t="shared" si="408"/>
        <v>50404.87</v>
      </c>
      <c r="AH297" s="300">
        <f t="shared" si="409"/>
        <v>357948.09000000008</v>
      </c>
      <c r="AI297" s="545">
        <f t="shared" si="392"/>
        <v>-21729.830000000056</v>
      </c>
      <c r="AJ297" s="545">
        <f t="shared" si="458"/>
        <v>-124392.98000000001</v>
      </c>
      <c r="AK297" s="545">
        <f t="shared" si="393"/>
        <v>-146122.81000000006</v>
      </c>
      <c r="AL297" s="300">
        <f t="shared" si="410"/>
        <v>264519.23000000016</v>
      </c>
      <c r="AM297" s="449">
        <f t="shared" si="439"/>
        <v>19</v>
      </c>
      <c r="AN297" s="14">
        <f t="shared" si="394"/>
        <v>1196.26</v>
      </c>
      <c r="AO297" s="14">
        <f t="shared" si="369"/>
        <v>184076.54999999993</v>
      </c>
      <c r="AP297" s="14">
        <f t="shared" si="395"/>
        <v>1325.03</v>
      </c>
      <c r="AS297" s="14">
        <f t="shared" si="433"/>
        <v>1196.26</v>
      </c>
      <c r="AT297" s="14">
        <f t="shared" si="440"/>
        <v>285425.58000000095</v>
      </c>
      <c r="AU297" s="300">
        <f t="shared" si="441"/>
        <v>1229.1563462518673</v>
      </c>
      <c r="AV297" s="300">
        <f t="shared" si="442"/>
        <v>249743.19484699875</v>
      </c>
    </row>
    <row r="298" spans="1:48" x14ac:dyDescent="0.25">
      <c r="A298" s="535">
        <f t="shared" si="397"/>
        <v>52899</v>
      </c>
      <c r="B298" s="300">
        <f t="shared" si="434"/>
        <v>28137.189999999988</v>
      </c>
      <c r="C298" s="14">
        <f t="shared" si="427"/>
        <v>421.41</v>
      </c>
      <c r="D298" s="14">
        <f t="shared" si="443"/>
        <v>315.90000000000003</v>
      </c>
      <c r="E298" s="14">
        <f t="shared" si="428"/>
        <v>105.51</v>
      </c>
      <c r="F298" s="14">
        <f t="shared" si="386"/>
        <v>134.16999999999999</v>
      </c>
      <c r="G298" s="14">
        <f t="shared" si="383"/>
        <v>188.55</v>
      </c>
      <c r="H298" s="14">
        <f t="shared" si="384"/>
        <v>744.13000000000011</v>
      </c>
      <c r="I298" s="300">
        <f t="shared" si="398"/>
        <v>55660.130000000012</v>
      </c>
      <c r="J298" s="300">
        <f t="shared" si="399"/>
        <v>64332.200000000033</v>
      </c>
      <c r="K298" s="300">
        <f t="shared" si="400"/>
        <v>27821.289999999986</v>
      </c>
      <c r="L298" s="449">
        <f t="shared" si="371"/>
        <v>19</v>
      </c>
      <c r="M298" s="449">
        <f t="shared" si="435"/>
        <v>239</v>
      </c>
      <c r="N298" s="300">
        <f t="shared" si="436"/>
        <v>140126.25000000015</v>
      </c>
      <c r="O298" s="300">
        <f t="shared" si="401"/>
        <v>1617.67</v>
      </c>
      <c r="P298" s="300">
        <f t="shared" si="444"/>
        <v>800.2700000000001</v>
      </c>
      <c r="Q298" s="300">
        <f t="shared" si="402"/>
        <v>817.4</v>
      </c>
      <c r="R298" s="300">
        <f t="shared" si="389"/>
        <v>134.16999999999999</v>
      </c>
      <c r="S298" s="300">
        <f t="shared" si="390"/>
        <v>188.55</v>
      </c>
      <c r="T298" s="300">
        <f t="shared" si="387"/>
        <v>1940.39</v>
      </c>
      <c r="U298" s="300">
        <f t="shared" si="445"/>
        <v>103822.52000000005</v>
      </c>
      <c r="V298" s="300">
        <f t="shared" si="446"/>
        <v>284418.27999999991</v>
      </c>
      <c r="W298" s="300">
        <f t="shared" si="403"/>
        <v>139325.98000000016</v>
      </c>
      <c r="X298" s="535">
        <f t="shared" si="437"/>
        <v>52899</v>
      </c>
      <c r="Y298" s="300">
        <f t="shared" si="404"/>
        <v>264519.23000000016</v>
      </c>
      <c r="Z298" s="527">
        <f t="shared" si="429"/>
        <v>7.0000000000000007E-2</v>
      </c>
      <c r="AA298" s="300">
        <f t="shared" si="430"/>
        <v>1746.44</v>
      </c>
      <c r="AB298" s="300">
        <f t="shared" si="405"/>
        <v>203.41000000000008</v>
      </c>
      <c r="AC298" s="300">
        <f t="shared" si="431"/>
        <v>1543.03</v>
      </c>
      <c r="AD298" s="300">
        <f t="shared" ref="AD298:AE298" si="473">+AD297</f>
        <v>134.16999999999999</v>
      </c>
      <c r="AE298" s="300">
        <f t="shared" si="473"/>
        <v>188.55</v>
      </c>
      <c r="AF298" s="300">
        <f t="shared" si="407"/>
        <v>2069.1600000000003</v>
      </c>
      <c r="AG298" s="300">
        <f t="shared" si="408"/>
        <v>50608.280000000006</v>
      </c>
      <c r="AH298" s="300">
        <f t="shared" si="409"/>
        <v>359491.12000000011</v>
      </c>
      <c r="AI298" s="545">
        <f t="shared" si="392"/>
        <v>-21858.600000000057</v>
      </c>
      <c r="AJ298" s="545">
        <f t="shared" si="458"/>
        <v>-124989.84000000003</v>
      </c>
      <c r="AK298" s="545">
        <f t="shared" si="393"/>
        <v>-146848.44000000009</v>
      </c>
      <c r="AL298" s="300">
        <f t="shared" si="410"/>
        <v>264315.82000000018</v>
      </c>
      <c r="AM298" s="449">
        <f t="shared" si="439"/>
        <v>19</v>
      </c>
      <c r="AN298" s="14">
        <f t="shared" si="394"/>
        <v>1196.26</v>
      </c>
      <c r="AO298" s="14">
        <f t="shared" si="369"/>
        <v>183592.17999999996</v>
      </c>
      <c r="AP298" s="14">
        <f t="shared" si="395"/>
        <v>1325.03</v>
      </c>
      <c r="AS298" s="14">
        <f t="shared" si="433"/>
        <v>1196.26</v>
      </c>
      <c r="AT298" s="14">
        <f t="shared" si="440"/>
        <v>286621.84000000096</v>
      </c>
      <c r="AU298" s="300">
        <f t="shared" si="441"/>
        <v>1232.229237117497</v>
      </c>
      <c r="AV298" s="300">
        <f t="shared" si="442"/>
        <v>250975.42408411624</v>
      </c>
    </row>
    <row r="299" spans="1:48" x14ac:dyDescent="0.25">
      <c r="A299" s="535">
        <f t="shared" si="397"/>
        <v>52929</v>
      </c>
      <c r="B299" s="300">
        <f t="shared" si="434"/>
        <v>27821.289999999986</v>
      </c>
      <c r="C299" s="14">
        <f t="shared" si="427"/>
        <v>421.41</v>
      </c>
      <c r="D299" s="14">
        <f t="shared" si="443"/>
        <v>317.08000000000004</v>
      </c>
      <c r="E299" s="14">
        <f t="shared" si="428"/>
        <v>104.33</v>
      </c>
      <c r="F299" s="14">
        <f t="shared" si="386"/>
        <v>134.16999999999999</v>
      </c>
      <c r="G299" s="14">
        <f t="shared" si="383"/>
        <v>188.55</v>
      </c>
      <c r="H299" s="14">
        <f t="shared" si="384"/>
        <v>744.13000000000011</v>
      </c>
      <c r="I299" s="300">
        <f t="shared" si="398"/>
        <v>55977.210000000014</v>
      </c>
      <c r="J299" s="300">
        <f t="shared" si="399"/>
        <v>64436.530000000035</v>
      </c>
      <c r="K299" s="300">
        <f t="shared" si="400"/>
        <v>27504.209999999985</v>
      </c>
      <c r="L299" s="449">
        <f t="shared" si="371"/>
        <v>20</v>
      </c>
      <c r="M299" s="449">
        <f t="shared" si="435"/>
        <v>240</v>
      </c>
      <c r="N299" s="300">
        <f t="shared" si="436"/>
        <v>139325.98000000016</v>
      </c>
      <c r="O299" s="300">
        <f t="shared" si="401"/>
        <v>1617.67</v>
      </c>
      <c r="P299" s="300">
        <f t="shared" si="444"/>
        <v>804.94</v>
      </c>
      <c r="Q299" s="300">
        <f t="shared" si="402"/>
        <v>812.73</v>
      </c>
      <c r="R299" s="300">
        <f t="shared" si="389"/>
        <v>134.16999999999999</v>
      </c>
      <c r="S299" s="300">
        <f t="shared" si="390"/>
        <v>188.55</v>
      </c>
      <c r="T299" s="300">
        <f t="shared" si="387"/>
        <v>1940.39</v>
      </c>
      <c r="U299" s="300">
        <f t="shared" si="445"/>
        <v>104627.46000000005</v>
      </c>
      <c r="V299" s="300">
        <f t="shared" si="446"/>
        <v>285231.00999999989</v>
      </c>
      <c r="W299" s="300">
        <f t="shared" si="403"/>
        <v>138521.04000000015</v>
      </c>
      <c r="X299" s="535">
        <f t="shared" si="437"/>
        <v>52929</v>
      </c>
      <c r="Y299" s="300">
        <f t="shared" si="404"/>
        <v>264315.82000000018</v>
      </c>
      <c r="Z299" s="527">
        <f t="shared" si="429"/>
        <v>7.0000000000000007E-2</v>
      </c>
      <c r="AA299" s="300">
        <f t="shared" si="430"/>
        <v>1746.44</v>
      </c>
      <c r="AB299" s="300">
        <f t="shared" si="405"/>
        <v>204.60000000000014</v>
      </c>
      <c r="AC299" s="300">
        <f t="shared" si="431"/>
        <v>1541.84</v>
      </c>
      <c r="AD299" s="300">
        <f t="shared" ref="AD299:AE299" si="474">+AD298</f>
        <v>134.16999999999999</v>
      </c>
      <c r="AE299" s="300">
        <f t="shared" si="474"/>
        <v>188.55</v>
      </c>
      <c r="AF299" s="300">
        <f t="shared" si="407"/>
        <v>2069.1600000000003</v>
      </c>
      <c r="AG299" s="300">
        <f t="shared" si="408"/>
        <v>50812.880000000005</v>
      </c>
      <c r="AH299" s="300">
        <f t="shared" si="409"/>
        <v>361032.96000000014</v>
      </c>
      <c r="AI299" s="545">
        <f t="shared" si="392"/>
        <v>-21987.370000000057</v>
      </c>
      <c r="AJ299" s="545">
        <f t="shared" si="458"/>
        <v>-125590.18000000005</v>
      </c>
      <c r="AK299" s="545">
        <f t="shared" si="393"/>
        <v>-147577.5500000001</v>
      </c>
      <c r="AL299" s="300">
        <f t="shared" si="410"/>
        <v>264111.2200000002</v>
      </c>
      <c r="AM299" s="449">
        <f t="shared" si="439"/>
        <v>20</v>
      </c>
      <c r="AN299" s="14">
        <f t="shared" si="394"/>
        <v>1196.26</v>
      </c>
      <c r="AO299" s="14">
        <f t="shared" si="369"/>
        <v>183104.31999999992</v>
      </c>
      <c r="AP299" s="14">
        <f t="shared" si="395"/>
        <v>1325.03</v>
      </c>
      <c r="AS299" s="14">
        <f t="shared" si="433"/>
        <v>1196.26</v>
      </c>
      <c r="AT299" s="14">
        <f t="shared" si="440"/>
        <v>287818.10000000097</v>
      </c>
      <c r="AU299" s="300">
        <f t="shared" si="441"/>
        <v>1235.3098102102906</v>
      </c>
      <c r="AV299" s="300">
        <f t="shared" si="442"/>
        <v>252210.73389432652</v>
      </c>
    </row>
    <row r="300" spans="1:48" x14ac:dyDescent="0.25">
      <c r="A300" s="535">
        <f t="shared" si="397"/>
        <v>52959</v>
      </c>
      <c r="B300" s="300">
        <f t="shared" si="434"/>
        <v>27504.209999999985</v>
      </c>
      <c r="C300" s="14">
        <f t="shared" si="427"/>
        <v>421.41</v>
      </c>
      <c r="D300" s="14">
        <f t="shared" si="443"/>
        <v>318.27000000000004</v>
      </c>
      <c r="E300" s="14">
        <f t="shared" si="428"/>
        <v>103.14</v>
      </c>
      <c r="F300" s="14">
        <f t="shared" si="386"/>
        <v>134.16999999999999</v>
      </c>
      <c r="G300" s="14">
        <f t="shared" si="383"/>
        <v>188.55</v>
      </c>
      <c r="H300" s="14">
        <f t="shared" si="384"/>
        <v>744.13000000000011</v>
      </c>
      <c r="I300" s="300">
        <f t="shared" si="398"/>
        <v>56295.48000000001</v>
      </c>
      <c r="J300" s="300">
        <f t="shared" si="399"/>
        <v>64539.670000000035</v>
      </c>
      <c r="K300" s="300">
        <f t="shared" si="400"/>
        <v>27185.939999999984</v>
      </c>
      <c r="L300" s="449">
        <f t="shared" si="371"/>
        <v>20</v>
      </c>
      <c r="M300" s="449">
        <f t="shared" si="435"/>
        <v>241</v>
      </c>
      <c r="N300" s="300">
        <f t="shared" si="436"/>
        <v>138521.04000000015</v>
      </c>
      <c r="O300" s="300">
        <f t="shared" si="401"/>
        <v>1617.67</v>
      </c>
      <c r="P300" s="300">
        <f t="shared" si="444"/>
        <v>809.63000000000011</v>
      </c>
      <c r="Q300" s="300">
        <f t="shared" si="402"/>
        <v>808.04</v>
      </c>
      <c r="R300" s="300">
        <f t="shared" si="389"/>
        <v>134.16999999999999</v>
      </c>
      <c r="S300" s="300">
        <f t="shared" si="390"/>
        <v>188.55</v>
      </c>
      <c r="T300" s="300">
        <f t="shared" si="387"/>
        <v>1940.39</v>
      </c>
      <c r="U300" s="300">
        <f t="shared" si="445"/>
        <v>105437.09000000005</v>
      </c>
      <c r="V300" s="300">
        <f t="shared" si="446"/>
        <v>286039.04999999987</v>
      </c>
      <c r="W300" s="300">
        <f t="shared" si="403"/>
        <v>137711.41000000015</v>
      </c>
      <c r="X300" s="535">
        <f t="shared" si="437"/>
        <v>52959</v>
      </c>
      <c r="Y300" s="300">
        <f t="shared" si="404"/>
        <v>264111.2200000002</v>
      </c>
      <c r="Z300" s="527">
        <f t="shared" si="429"/>
        <v>7.0000000000000007E-2</v>
      </c>
      <c r="AA300" s="300">
        <f t="shared" si="430"/>
        <v>1746.44</v>
      </c>
      <c r="AB300" s="300">
        <f t="shared" si="405"/>
        <v>205.78999999999996</v>
      </c>
      <c r="AC300" s="300">
        <f t="shared" si="431"/>
        <v>1540.65</v>
      </c>
      <c r="AD300" s="300">
        <f t="shared" ref="AD300:AE300" si="475">+AD299</f>
        <v>134.16999999999999</v>
      </c>
      <c r="AE300" s="300">
        <f t="shared" si="475"/>
        <v>188.55</v>
      </c>
      <c r="AF300" s="300">
        <f t="shared" si="407"/>
        <v>2069.1600000000003</v>
      </c>
      <c r="AG300" s="300">
        <f t="shared" si="408"/>
        <v>51018.670000000006</v>
      </c>
      <c r="AH300" s="300">
        <f t="shared" si="409"/>
        <v>362573.61000000016</v>
      </c>
      <c r="AI300" s="545">
        <f t="shared" si="392"/>
        <v>-22116.140000000058</v>
      </c>
      <c r="AJ300" s="545">
        <f t="shared" si="458"/>
        <v>-126194.02000000008</v>
      </c>
      <c r="AK300" s="545">
        <f t="shared" si="393"/>
        <v>-148310.16000000015</v>
      </c>
      <c r="AL300" s="300">
        <f t="shared" si="410"/>
        <v>263905.43000000023</v>
      </c>
      <c r="AM300" s="449">
        <f t="shared" si="439"/>
        <v>20</v>
      </c>
      <c r="AN300" s="14">
        <f t="shared" si="394"/>
        <v>1196.26</v>
      </c>
      <c r="AO300" s="14">
        <f t="shared" si="369"/>
        <v>182612.95999999993</v>
      </c>
      <c r="AP300" s="14">
        <f t="shared" si="395"/>
        <v>1325.03</v>
      </c>
      <c r="AS300" s="14">
        <f t="shared" si="433"/>
        <v>1196.26</v>
      </c>
      <c r="AT300" s="14">
        <f t="shared" si="440"/>
        <v>289014.36000000098</v>
      </c>
      <c r="AU300" s="300">
        <f t="shared" si="441"/>
        <v>1238.3980847358162</v>
      </c>
      <c r="AV300" s="300">
        <f t="shared" si="442"/>
        <v>253449.13197906234</v>
      </c>
    </row>
    <row r="301" spans="1:48" x14ac:dyDescent="0.25">
      <c r="A301" s="535">
        <f t="shared" si="397"/>
        <v>52989</v>
      </c>
      <c r="B301" s="300">
        <f t="shared" si="434"/>
        <v>27185.939999999984</v>
      </c>
      <c r="C301" s="14">
        <f t="shared" si="427"/>
        <v>421.41</v>
      </c>
      <c r="D301" s="14">
        <f t="shared" si="443"/>
        <v>319.46000000000004</v>
      </c>
      <c r="E301" s="14">
        <f t="shared" si="428"/>
        <v>101.95</v>
      </c>
      <c r="F301" s="14">
        <f t="shared" si="386"/>
        <v>134.16999999999999</v>
      </c>
      <c r="G301" s="14">
        <f t="shared" si="383"/>
        <v>188.55</v>
      </c>
      <c r="H301" s="14">
        <f t="shared" si="384"/>
        <v>744.13000000000011</v>
      </c>
      <c r="I301" s="300">
        <f t="shared" si="398"/>
        <v>56614.94000000001</v>
      </c>
      <c r="J301" s="300">
        <f t="shared" si="399"/>
        <v>64641.620000000032</v>
      </c>
      <c r="K301" s="300">
        <f t="shared" si="400"/>
        <v>26866.479999999985</v>
      </c>
      <c r="L301" s="449">
        <f t="shared" si="371"/>
        <v>20</v>
      </c>
      <c r="M301" s="449">
        <f t="shared" si="435"/>
        <v>242</v>
      </c>
      <c r="N301" s="300">
        <f t="shared" si="436"/>
        <v>137711.41000000015</v>
      </c>
      <c r="O301" s="300">
        <f t="shared" si="401"/>
        <v>1617.67</v>
      </c>
      <c r="P301" s="300">
        <f t="shared" si="444"/>
        <v>814.35</v>
      </c>
      <c r="Q301" s="300">
        <f t="shared" si="402"/>
        <v>803.32</v>
      </c>
      <c r="R301" s="300">
        <f t="shared" si="389"/>
        <v>134.16999999999999</v>
      </c>
      <c r="S301" s="300">
        <f t="shared" si="390"/>
        <v>188.55</v>
      </c>
      <c r="T301" s="300">
        <f t="shared" si="387"/>
        <v>1940.39</v>
      </c>
      <c r="U301" s="300">
        <f t="shared" si="445"/>
        <v>106251.44000000006</v>
      </c>
      <c r="V301" s="300">
        <f t="shared" si="446"/>
        <v>286842.36999999988</v>
      </c>
      <c r="W301" s="300">
        <f t="shared" si="403"/>
        <v>136897.06000000014</v>
      </c>
      <c r="X301" s="535">
        <f t="shared" si="437"/>
        <v>52989</v>
      </c>
      <c r="Y301" s="300">
        <f t="shared" si="404"/>
        <v>263905.43000000023</v>
      </c>
      <c r="Z301" s="527">
        <f t="shared" si="429"/>
        <v>7.0000000000000007E-2</v>
      </c>
      <c r="AA301" s="300">
        <f t="shared" si="430"/>
        <v>1746.44</v>
      </c>
      <c r="AB301" s="300">
        <f t="shared" si="405"/>
        <v>206.99</v>
      </c>
      <c r="AC301" s="300">
        <f t="shared" si="431"/>
        <v>1539.45</v>
      </c>
      <c r="AD301" s="300">
        <f t="shared" ref="AD301:AE301" si="476">+AD300</f>
        <v>134.16999999999999</v>
      </c>
      <c r="AE301" s="300">
        <f t="shared" si="476"/>
        <v>188.55</v>
      </c>
      <c r="AF301" s="300">
        <f t="shared" si="407"/>
        <v>2069.1600000000003</v>
      </c>
      <c r="AG301" s="300">
        <f t="shared" si="408"/>
        <v>51225.66</v>
      </c>
      <c r="AH301" s="300">
        <f t="shared" si="409"/>
        <v>364113.06000000017</v>
      </c>
      <c r="AI301" s="545">
        <f t="shared" si="392"/>
        <v>-22244.910000000058</v>
      </c>
      <c r="AJ301" s="545">
        <f t="shared" si="458"/>
        <v>-126801.38000000009</v>
      </c>
      <c r="AK301" s="545">
        <f t="shared" si="393"/>
        <v>-149046.29000000015</v>
      </c>
      <c r="AL301" s="300">
        <f t="shared" si="410"/>
        <v>263698.44000000024</v>
      </c>
      <c r="AM301" s="449">
        <f t="shared" si="439"/>
        <v>20</v>
      </c>
      <c r="AN301" s="14">
        <f t="shared" si="394"/>
        <v>1196.26</v>
      </c>
      <c r="AO301" s="14">
        <f t="shared" ref="AO301:AO364" si="477">IF(W301&lt;=0,0,+$AA$5-$C$2+I301-U301)</f>
        <v>182118.06999999995</v>
      </c>
      <c r="AP301" s="14">
        <f t="shared" si="395"/>
        <v>1325.03</v>
      </c>
      <c r="AS301" s="14">
        <f t="shared" si="433"/>
        <v>1196.26</v>
      </c>
      <c r="AT301" s="14">
        <f t="shared" si="440"/>
        <v>290210.62000000098</v>
      </c>
      <c r="AU301" s="300">
        <f t="shared" si="441"/>
        <v>1241.4940799476558</v>
      </c>
      <c r="AV301" s="300">
        <f t="shared" si="442"/>
        <v>254690.62605900998</v>
      </c>
    </row>
    <row r="302" spans="1:48" ht="15.75" thickBot="1" x14ac:dyDescent="0.3">
      <c r="A302" s="538">
        <f t="shared" si="397"/>
        <v>53019</v>
      </c>
      <c r="B302" s="369">
        <f t="shared" si="434"/>
        <v>26866.479999999985</v>
      </c>
      <c r="C302" s="21">
        <f t="shared" si="427"/>
        <v>421.41</v>
      </c>
      <c r="D302" s="21">
        <f t="shared" si="443"/>
        <v>320.66000000000003</v>
      </c>
      <c r="E302" s="21">
        <f t="shared" si="428"/>
        <v>100.75</v>
      </c>
      <c r="F302" s="21">
        <f t="shared" si="386"/>
        <v>134.16999999999999</v>
      </c>
      <c r="G302" s="21">
        <f t="shared" si="383"/>
        <v>188.55</v>
      </c>
      <c r="H302" s="21">
        <f t="shared" si="384"/>
        <v>744.13000000000011</v>
      </c>
      <c r="I302" s="369">
        <f t="shared" si="398"/>
        <v>56935.600000000013</v>
      </c>
      <c r="J302" s="369">
        <f t="shared" si="399"/>
        <v>64742.370000000032</v>
      </c>
      <c r="K302" s="369">
        <f t="shared" si="400"/>
        <v>26545.819999999985</v>
      </c>
      <c r="L302" s="450">
        <f t="shared" si="371"/>
        <v>20</v>
      </c>
      <c r="M302" s="450">
        <f t="shared" si="435"/>
        <v>243</v>
      </c>
      <c r="N302" s="369">
        <f t="shared" si="436"/>
        <v>136897.06000000014</v>
      </c>
      <c r="O302" s="369">
        <f t="shared" si="401"/>
        <v>1617.67</v>
      </c>
      <c r="P302" s="369">
        <f t="shared" si="444"/>
        <v>819.1</v>
      </c>
      <c r="Q302" s="369">
        <f t="shared" si="402"/>
        <v>798.57</v>
      </c>
      <c r="R302" s="369">
        <f t="shared" si="389"/>
        <v>134.16999999999999</v>
      </c>
      <c r="S302" s="369">
        <f t="shared" si="390"/>
        <v>188.55</v>
      </c>
      <c r="T302" s="369">
        <f t="shared" si="387"/>
        <v>1940.39</v>
      </c>
      <c r="U302" s="369">
        <f t="shared" si="445"/>
        <v>107070.54000000007</v>
      </c>
      <c r="V302" s="369">
        <f t="shared" si="446"/>
        <v>287640.93999999989</v>
      </c>
      <c r="W302" s="369">
        <f t="shared" si="403"/>
        <v>136077.96000000014</v>
      </c>
      <c r="X302" s="538">
        <f t="shared" si="437"/>
        <v>53019</v>
      </c>
      <c r="Y302" s="369">
        <f t="shared" si="404"/>
        <v>263698.44000000024</v>
      </c>
      <c r="Z302" s="528">
        <f t="shared" si="429"/>
        <v>7.0000000000000007E-2</v>
      </c>
      <c r="AA302" s="369">
        <f t="shared" si="430"/>
        <v>1746.44</v>
      </c>
      <c r="AB302" s="369">
        <f t="shared" si="405"/>
        <v>208.20000000000005</v>
      </c>
      <c r="AC302" s="369">
        <f t="shared" si="431"/>
        <v>1538.24</v>
      </c>
      <c r="AD302" s="369">
        <f t="shared" ref="AD302:AE302" si="478">+AD301</f>
        <v>134.16999999999999</v>
      </c>
      <c r="AE302" s="369">
        <f t="shared" si="478"/>
        <v>188.55</v>
      </c>
      <c r="AF302" s="369">
        <f t="shared" si="407"/>
        <v>2069.1600000000003</v>
      </c>
      <c r="AG302" s="369">
        <f t="shared" si="408"/>
        <v>51433.86</v>
      </c>
      <c r="AH302" s="369">
        <f t="shared" si="409"/>
        <v>365651.30000000016</v>
      </c>
      <c r="AI302" s="546">
        <f t="shared" si="392"/>
        <v>-22373.680000000058</v>
      </c>
      <c r="AJ302" s="546">
        <f t="shared" si="458"/>
        <v>-127412.28000000009</v>
      </c>
      <c r="AK302" s="545">
        <f t="shared" si="393"/>
        <v>-149785.96000000014</v>
      </c>
      <c r="AL302" s="369">
        <f t="shared" si="410"/>
        <v>263490.24000000022</v>
      </c>
      <c r="AM302" s="450">
        <f t="shared" si="439"/>
        <v>20</v>
      </c>
      <c r="AN302" s="21">
        <f t="shared" si="394"/>
        <v>1196.26</v>
      </c>
      <c r="AO302" s="21">
        <f t="shared" si="477"/>
        <v>181619.62999999992</v>
      </c>
      <c r="AP302" s="21">
        <f t="shared" si="395"/>
        <v>1325.03</v>
      </c>
      <c r="AQ302" s="21"/>
      <c r="AR302" s="23"/>
      <c r="AS302" s="21">
        <f t="shared" si="433"/>
        <v>1196.26</v>
      </c>
      <c r="AT302" s="21">
        <f t="shared" si="440"/>
        <v>291406.88000000099</v>
      </c>
      <c r="AU302" s="369">
        <f t="shared" si="441"/>
        <v>1244.5978151475249</v>
      </c>
      <c r="AV302" s="369">
        <f t="shared" si="442"/>
        <v>255935.2238741575</v>
      </c>
    </row>
    <row r="303" spans="1:48" x14ac:dyDescent="0.25">
      <c r="A303" s="535">
        <f t="shared" si="397"/>
        <v>53049</v>
      </c>
      <c r="B303" s="300">
        <f t="shared" si="434"/>
        <v>26545.819999999985</v>
      </c>
      <c r="C303" s="14">
        <f t="shared" si="427"/>
        <v>421.41</v>
      </c>
      <c r="D303" s="14">
        <f t="shared" si="443"/>
        <v>321.86</v>
      </c>
      <c r="E303" s="14">
        <f t="shared" si="428"/>
        <v>99.55</v>
      </c>
      <c r="F303" s="14">
        <f t="shared" si="386"/>
        <v>134.16999999999999</v>
      </c>
      <c r="G303" s="14">
        <f t="shared" si="383"/>
        <v>188.55</v>
      </c>
      <c r="H303" s="14">
        <f t="shared" si="384"/>
        <v>744.13000000000011</v>
      </c>
      <c r="I303" s="300">
        <f t="shared" si="398"/>
        <v>57257.460000000014</v>
      </c>
      <c r="J303" s="300">
        <f t="shared" si="399"/>
        <v>64841.920000000035</v>
      </c>
      <c r="K303" s="300">
        <f t="shared" si="400"/>
        <v>26223.959999999985</v>
      </c>
      <c r="L303" s="449">
        <f t="shared" ref="L303:L366" si="479">IF(MOD(M303,12)=0,M303/12,L302)</f>
        <v>20</v>
      </c>
      <c r="M303" s="449">
        <f t="shared" si="435"/>
        <v>244</v>
      </c>
      <c r="N303" s="300">
        <f t="shared" si="436"/>
        <v>136077.96000000014</v>
      </c>
      <c r="O303" s="300">
        <f t="shared" si="401"/>
        <v>1617.67</v>
      </c>
      <c r="P303" s="300">
        <f t="shared" si="444"/>
        <v>823.88000000000011</v>
      </c>
      <c r="Q303" s="300">
        <f t="shared" si="402"/>
        <v>793.79</v>
      </c>
      <c r="R303" s="300">
        <f t="shared" si="389"/>
        <v>134.16999999999999</v>
      </c>
      <c r="S303" s="300">
        <f t="shared" si="390"/>
        <v>188.55</v>
      </c>
      <c r="T303" s="300">
        <f t="shared" si="387"/>
        <v>1940.39</v>
      </c>
      <c r="U303" s="300">
        <f t="shared" si="445"/>
        <v>107894.42000000007</v>
      </c>
      <c r="V303" s="300">
        <f t="shared" si="446"/>
        <v>288434.72999999986</v>
      </c>
      <c r="W303" s="300">
        <f t="shared" si="403"/>
        <v>135254.08000000013</v>
      </c>
      <c r="X303" s="535">
        <f t="shared" si="437"/>
        <v>53049</v>
      </c>
      <c r="Y303" s="300">
        <f t="shared" si="404"/>
        <v>263490.24000000022</v>
      </c>
      <c r="Z303" s="527">
        <f t="shared" si="429"/>
        <v>7.0000000000000007E-2</v>
      </c>
      <c r="AA303" s="300">
        <f t="shared" si="430"/>
        <v>1746.44</v>
      </c>
      <c r="AB303" s="300">
        <f t="shared" si="405"/>
        <v>209.41000000000008</v>
      </c>
      <c r="AC303" s="300">
        <f t="shared" si="431"/>
        <v>1537.03</v>
      </c>
      <c r="AD303" s="300">
        <f t="shared" ref="AD303:AE303" si="480">+AD302</f>
        <v>134.16999999999999</v>
      </c>
      <c r="AE303" s="300">
        <f t="shared" si="480"/>
        <v>188.55</v>
      </c>
      <c r="AF303" s="300">
        <f t="shared" si="407"/>
        <v>2069.1600000000003</v>
      </c>
      <c r="AG303" s="300">
        <f t="shared" si="408"/>
        <v>51643.270000000004</v>
      </c>
      <c r="AH303" s="300">
        <f t="shared" si="409"/>
        <v>367188.33000000019</v>
      </c>
      <c r="AI303" s="545">
        <f t="shared" si="392"/>
        <v>-22502.450000000059</v>
      </c>
      <c r="AJ303" s="545">
        <f t="shared" si="458"/>
        <v>-128026.75000000012</v>
      </c>
      <c r="AK303" s="545">
        <f t="shared" si="393"/>
        <v>-150529.20000000019</v>
      </c>
      <c r="AL303" s="300">
        <f t="shared" si="410"/>
        <v>263280.83000000025</v>
      </c>
      <c r="AM303" s="449">
        <f t="shared" si="439"/>
        <v>20</v>
      </c>
      <c r="AN303" s="14">
        <f t="shared" si="394"/>
        <v>1196.26</v>
      </c>
      <c r="AO303" s="14">
        <f t="shared" si="477"/>
        <v>181117.6099999999</v>
      </c>
      <c r="AP303" s="14">
        <f t="shared" si="395"/>
        <v>1325.03</v>
      </c>
      <c r="AS303" s="14">
        <f t="shared" si="433"/>
        <v>1196.26</v>
      </c>
      <c r="AT303" s="14">
        <f t="shared" si="440"/>
        <v>292603.140000001</v>
      </c>
      <c r="AU303" s="300">
        <f t="shared" si="441"/>
        <v>1247.7093096853939</v>
      </c>
      <c r="AV303" s="300">
        <f t="shared" si="442"/>
        <v>257182.93318384289</v>
      </c>
    </row>
    <row r="304" spans="1:48" x14ac:dyDescent="0.25">
      <c r="A304" s="535">
        <f t="shared" si="397"/>
        <v>53079</v>
      </c>
      <c r="B304" s="300">
        <f t="shared" si="434"/>
        <v>26223.959999999985</v>
      </c>
      <c r="C304" s="14">
        <f t="shared" si="427"/>
        <v>421.41</v>
      </c>
      <c r="D304" s="14">
        <f t="shared" si="443"/>
        <v>323.07000000000005</v>
      </c>
      <c r="E304" s="14">
        <f t="shared" si="428"/>
        <v>98.34</v>
      </c>
      <c r="F304" s="14">
        <f t="shared" si="386"/>
        <v>134.16999999999999</v>
      </c>
      <c r="G304" s="14">
        <f t="shared" si="383"/>
        <v>188.55</v>
      </c>
      <c r="H304" s="14">
        <f t="shared" si="384"/>
        <v>744.13000000000011</v>
      </c>
      <c r="I304" s="300">
        <f t="shared" si="398"/>
        <v>57580.530000000013</v>
      </c>
      <c r="J304" s="300">
        <f t="shared" si="399"/>
        <v>64940.260000000031</v>
      </c>
      <c r="K304" s="300">
        <f t="shared" si="400"/>
        <v>25900.889999999985</v>
      </c>
      <c r="L304" s="449">
        <f t="shared" si="479"/>
        <v>20</v>
      </c>
      <c r="M304" s="449">
        <f t="shared" si="435"/>
        <v>245</v>
      </c>
      <c r="N304" s="300">
        <f t="shared" si="436"/>
        <v>135254.08000000013</v>
      </c>
      <c r="O304" s="300">
        <f t="shared" si="401"/>
        <v>1617.67</v>
      </c>
      <c r="P304" s="300">
        <f t="shared" si="444"/>
        <v>828.69</v>
      </c>
      <c r="Q304" s="300">
        <f t="shared" si="402"/>
        <v>788.98</v>
      </c>
      <c r="R304" s="300">
        <f t="shared" si="389"/>
        <v>134.16999999999999</v>
      </c>
      <c r="S304" s="300">
        <f t="shared" si="390"/>
        <v>188.55</v>
      </c>
      <c r="T304" s="300">
        <f t="shared" si="387"/>
        <v>1940.39</v>
      </c>
      <c r="U304" s="300">
        <f t="shared" si="445"/>
        <v>108723.11000000007</v>
      </c>
      <c r="V304" s="300">
        <f t="shared" si="446"/>
        <v>289223.70999999985</v>
      </c>
      <c r="W304" s="300">
        <f t="shared" si="403"/>
        <v>134425.39000000013</v>
      </c>
      <c r="X304" s="535">
        <f t="shared" si="437"/>
        <v>53079</v>
      </c>
      <c r="Y304" s="300">
        <f t="shared" si="404"/>
        <v>263280.83000000025</v>
      </c>
      <c r="Z304" s="527">
        <f t="shared" si="429"/>
        <v>7.0000000000000007E-2</v>
      </c>
      <c r="AA304" s="300">
        <f t="shared" si="430"/>
        <v>1746.44</v>
      </c>
      <c r="AB304" s="300">
        <f t="shared" si="405"/>
        <v>210.6400000000001</v>
      </c>
      <c r="AC304" s="300">
        <f t="shared" si="431"/>
        <v>1535.8</v>
      </c>
      <c r="AD304" s="300">
        <f t="shared" ref="AD304:AE304" si="481">+AD303</f>
        <v>134.16999999999999</v>
      </c>
      <c r="AE304" s="300">
        <f t="shared" si="481"/>
        <v>188.55</v>
      </c>
      <c r="AF304" s="300">
        <f t="shared" si="407"/>
        <v>2069.1600000000003</v>
      </c>
      <c r="AG304" s="300">
        <f t="shared" si="408"/>
        <v>51853.91</v>
      </c>
      <c r="AH304" s="300">
        <f t="shared" si="409"/>
        <v>368724.13000000018</v>
      </c>
      <c r="AI304" s="545">
        <f t="shared" si="392"/>
        <v>-22631.220000000059</v>
      </c>
      <c r="AJ304" s="545">
        <f t="shared" si="458"/>
        <v>-128644.8000000001</v>
      </c>
      <c r="AK304" s="545">
        <f t="shared" si="393"/>
        <v>-151276.02000000016</v>
      </c>
      <c r="AL304" s="300">
        <f t="shared" si="410"/>
        <v>263070.19000000024</v>
      </c>
      <c r="AM304" s="449">
        <f t="shared" si="439"/>
        <v>20</v>
      </c>
      <c r="AN304" s="14">
        <f t="shared" si="394"/>
        <v>1196.26</v>
      </c>
      <c r="AO304" s="14">
        <f t="shared" si="477"/>
        <v>180611.9899999999</v>
      </c>
      <c r="AP304" s="14">
        <f t="shared" si="395"/>
        <v>1325.03</v>
      </c>
      <c r="AS304" s="14">
        <f t="shared" si="433"/>
        <v>1196.26</v>
      </c>
      <c r="AT304" s="14">
        <f t="shared" si="440"/>
        <v>293799.40000000101</v>
      </c>
      <c r="AU304" s="300">
        <f t="shared" si="441"/>
        <v>1250.8285829596073</v>
      </c>
      <c r="AV304" s="300">
        <f t="shared" si="442"/>
        <v>258433.76176680249</v>
      </c>
    </row>
    <row r="305" spans="1:48" x14ac:dyDescent="0.25">
      <c r="A305" s="535">
        <f t="shared" si="397"/>
        <v>53109</v>
      </c>
      <c r="B305" s="300">
        <f t="shared" si="434"/>
        <v>25900.889999999985</v>
      </c>
      <c r="C305" s="14">
        <f t="shared" si="427"/>
        <v>421.41</v>
      </c>
      <c r="D305" s="14">
        <f t="shared" si="443"/>
        <v>324.28000000000003</v>
      </c>
      <c r="E305" s="14">
        <f t="shared" si="428"/>
        <v>97.13</v>
      </c>
      <c r="F305" s="14">
        <f t="shared" si="386"/>
        <v>134.16999999999999</v>
      </c>
      <c r="G305" s="14">
        <f t="shared" si="383"/>
        <v>188.55</v>
      </c>
      <c r="H305" s="14">
        <f t="shared" si="384"/>
        <v>744.13000000000011</v>
      </c>
      <c r="I305" s="300">
        <f t="shared" si="398"/>
        <v>57904.810000000012</v>
      </c>
      <c r="J305" s="300">
        <f t="shared" si="399"/>
        <v>65037.390000000029</v>
      </c>
      <c r="K305" s="300">
        <f t="shared" si="400"/>
        <v>25576.609999999986</v>
      </c>
      <c r="L305" s="449">
        <f t="shared" si="479"/>
        <v>20</v>
      </c>
      <c r="M305" s="449">
        <f t="shared" si="435"/>
        <v>246</v>
      </c>
      <c r="N305" s="300">
        <f t="shared" si="436"/>
        <v>134425.39000000013</v>
      </c>
      <c r="O305" s="300">
        <f t="shared" si="401"/>
        <v>1617.67</v>
      </c>
      <c r="P305" s="300">
        <f t="shared" si="444"/>
        <v>833.5200000000001</v>
      </c>
      <c r="Q305" s="300">
        <f t="shared" si="402"/>
        <v>784.15</v>
      </c>
      <c r="R305" s="300">
        <f t="shared" si="389"/>
        <v>134.16999999999999</v>
      </c>
      <c r="S305" s="300">
        <f t="shared" si="390"/>
        <v>188.55</v>
      </c>
      <c r="T305" s="300">
        <f t="shared" si="387"/>
        <v>1940.39</v>
      </c>
      <c r="U305" s="300">
        <f t="shared" si="445"/>
        <v>109556.63000000008</v>
      </c>
      <c r="V305" s="300">
        <f t="shared" si="446"/>
        <v>290007.85999999987</v>
      </c>
      <c r="W305" s="300">
        <f t="shared" si="403"/>
        <v>133591.87000000014</v>
      </c>
      <c r="X305" s="535">
        <f t="shared" si="437"/>
        <v>53109</v>
      </c>
      <c r="Y305" s="300">
        <f t="shared" si="404"/>
        <v>263070.19000000024</v>
      </c>
      <c r="Z305" s="527">
        <f t="shared" si="429"/>
        <v>7.0000000000000007E-2</v>
      </c>
      <c r="AA305" s="300">
        <f t="shared" si="430"/>
        <v>1746.44</v>
      </c>
      <c r="AB305" s="300">
        <f t="shared" si="405"/>
        <v>211.86000000000013</v>
      </c>
      <c r="AC305" s="300">
        <f t="shared" si="431"/>
        <v>1534.58</v>
      </c>
      <c r="AD305" s="300">
        <f t="shared" ref="AD305:AE305" si="482">+AD304</f>
        <v>134.16999999999999</v>
      </c>
      <c r="AE305" s="300">
        <f t="shared" si="482"/>
        <v>188.55</v>
      </c>
      <c r="AF305" s="300">
        <f t="shared" si="407"/>
        <v>2069.1600000000003</v>
      </c>
      <c r="AG305" s="300">
        <f t="shared" si="408"/>
        <v>52065.770000000004</v>
      </c>
      <c r="AH305" s="300">
        <f t="shared" si="409"/>
        <v>370258.7100000002</v>
      </c>
      <c r="AI305" s="545">
        <f t="shared" si="392"/>
        <v>-22759.99000000006</v>
      </c>
      <c r="AJ305" s="545">
        <f t="shared" si="458"/>
        <v>-129266.46000000011</v>
      </c>
      <c r="AK305" s="545">
        <f t="shared" si="393"/>
        <v>-152026.45000000016</v>
      </c>
      <c r="AL305" s="300">
        <f t="shared" si="410"/>
        <v>262858.33000000025</v>
      </c>
      <c r="AM305" s="449">
        <f t="shared" si="439"/>
        <v>20</v>
      </c>
      <c r="AN305" s="14">
        <f t="shared" si="394"/>
        <v>1196.26</v>
      </c>
      <c r="AO305" s="14">
        <f t="shared" si="477"/>
        <v>180102.74999999994</v>
      </c>
      <c r="AP305" s="14">
        <f t="shared" si="395"/>
        <v>1325.03</v>
      </c>
      <c r="AS305" s="14">
        <f t="shared" si="433"/>
        <v>1196.26</v>
      </c>
      <c r="AT305" s="14">
        <f t="shared" si="440"/>
        <v>294995.66000000102</v>
      </c>
      <c r="AU305" s="300">
        <f t="shared" si="441"/>
        <v>1253.9556544170061</v>
      </c>
      <c r="AV305" s="300">
        <f t="shared" si="442"/>
        <v>259687.71742121951</v>
      </c>
    </row>
    <row r="306" spans="1:48" x14ac:dyDescent="0.25">
      <c r="A306" s="535">
        <f t="shared" si="397"/>
        <v>53139</v>
      </c>
      <c r="B306" s="300">
        <f t="shared" si="434"/>
        <v>25576.609999999986</v>
      </c>
      <c r="C306" s="14">
        <f t="shared" si="427"/>
        <v>421.41</v>
      </c>
      <c r="D306" s="14">
        <f t="shared" si="443"/>
        <v>325.5</v>
      </c>
      <c r="E306" s="14">
        <f t="shared" si="428"/>
        <v>95.91</v>
      </c>
      <c r="F306" s="14">
        <f t="shared" si="386"/>
        <v>134.16999999999999</v>
      </c>
      <c r="G306" s="14">
        <f t="shared" si="383"/>
        <v>188.55</v>
      </c>
      <c r="H306" s="14">
        <f t="shared" si="384"/>
        <v>744.12999999999988</v>
      </c>
      <c r="I306" s="300">
        <f t="shared" si="398"/>
        <v>58230.310000000012</v>
      </c>
      <c r="J306" s="300">
        <f t="shared" si="399"/>
        <v>65133.300000000032</v>
      </c>
      <c r="K306" s="300">
        <f t="shared" si="400"/>
        <v>25251.109999999986</v>
      </c>
      <c r="L306" s="449">
        <f t="shared" si="479"/>
        <v>20</v>
      </c>
      <c r="M306" s="449">
        <f t="shared" si="435"/>
        <v>247</v>
      </c>
      <c r="N306" s="300">
        <f t="shared" si="436"/>
        <v>133591.87000000014</v>
      </c>
      <c r="O306" s="300">
        <f t="shared" si="401"/>
        <v>1617.67</v>
      </c>
      <c r="P306" s="300">
        <f t="shared" si="444"/>
        <v>838.38000000000011</v>
      </c>
      <c r="Q306" s="300">
        <f t="shared" si="402"/>
        <v>779.29</v>
      </c>
      <c r="R306" s="300">
        <f t="shared" si="389"/>
        <v>134.16999999999999</v>
      </c>
      <c r="S306" s="300">
        <f t="shared" si="390"/>
        <v>188.55</v>
      </c>
      <c r="T306" s="300">
        <f t="shared" si="387"/>
        <v>1940.39</v>
      </c>
      <c r="U306" s="300">
        <f t="shared" si="445"/>
        <v>110395.01000000008</v>
      </c>
      <c r="V306" s="300">
        <f t="shared" si="446"/>
        <v>290787.14999999985</v>
      </c>
      <c r="W306" s="300">
        <f t="shared" si="403"/>
        <v>132753.49000000014</v>
      </c>
      <c r="X306" s="535">
        <f t="shared" si="437"/>
        <v>53139</v>
      </c>
      <c r="Y306" s="300">
        <f t="shared" si="404"/>
        <v>262858.33000000025</v>
      </c>
      <c r="Z306" s="527">
        <f t="shared" si="429"/>
        <v>7.0000000000000007E-2</v>
      </c>
      <c r="AA306" s="300">
        <f t="shared" si="430"/>
        <v>1746.44</v>
      </c>
      <c r="AB306" s="300">
        <f t="shared" si="405"/>
        <v>213.10000000000014</v>
      </c>
      <c r="AC306" s="300">
        <f t="shared" si="431"/>
        <v>1533.34</v>
      </c>
      <c r="AD306" s="300">
        <f t="shared" ref="AD306:AE306" si="483">+AD305</f>
        <v>134.16999999999999</v>
      </c>
      <c r="AE306" s="300">
        <f t="shared" si="483"/>
        <v>188.55</v>
      </c>
      <c r="AF306" s="300">
        <f t="shared" si="407"/>
        <v>2069.1600000000003</v>
      </c>
      <c r="AG306" s="300">
        <f t="shared" si="408"/>
        <v>52278.87</v>
      </c>
      <c r="AH306" s="300">
        <f t="shared" si="409"/>
        <v>371792.05000000022</v>
      </c>
      <c r="AI306" s="545">
        <f t="shared" si="392"/>
        <v>-22888.76000000006</v>
      </c>
      <c r="AJ306" s="545">
        <f t="shared" si="458"/>
        <v>-129891.74000000014</v>
      </c>
      <c r="AK306" s="545">
        <f t="shared" si="393"/>
        <v>-152780.5000000002</v>
      </c>
      <c r="AL306" s="300">
        <f t="shared" si="410"/>
        <v>262645.23000000027</v>
      </c>
      <c r="AM306" s="449">
        <f t="shared" si="439"/>
        <v>20</v>
      </c>
      <c r="AN306" s="14">
        <f t="shared" si="394"/>
        <v>1196.26</v>
      </c>
      <c r="AO306" s="14">
        <f t="shared" si="477"/>
        <v>179589.86999999994</v>
      </c>
      <c r="AP306" s="14">
        <f t="shared" si="395"/>
        <v>1325.03</v>
      </c>
      <c r="AS306" s="14">
        <f t="shared" si="433"/>
        <v>1196.26</v>
      </c>
      <c r="AT306" s="14">
        <f t="shared" si="440"/>
        <v>296191.92000000103</v>
      </c>
      <c r="AU306" s="300">
        <f t="shared" si="441"/>
        <v>1257.0905435530487</v>
      </c>
      <c r="AV306" s="300">
        <f t="shared" si="442"/>
        <v>260944.80796477257</v>
      </c>
    </row>
    <row r="307" spans="1:48" x14ac:dyDescent="0.25">
      <c r="A307" s="535">
        <f t="shared" si="397"/>
        <v>53169</v>
      </c>
      <c r="B307" s="300">
        <f t="shared" si="434"/>
        <v>25251.109999999986</v>
      </c>
      <c r="C307" s="14">
        <f t="shared" si="427"/>
        <v>421.41</v>
      </c>
      <c r="D307" s="14">
        <f t="shared" si="443"/>
        <v>326.72000000000003</v>
      </c>
      <c r="E307" s="14">
        <f t="shared" si="428"/>
        <v>94.69</v>
      </c>
      <c r="F307" s="14">
        <f t="shared" si="386"/>
        <v>134.16999999999999</v>
      </c>
      <c r="G307" s="14">
        <f t="shared" si="383"/>
        <v>188.55</v>
      </c>
      <c r="H307" s="14">
        <f t="shared" si="384"/>
        <v>744.13000000000011</v>
      </c>
      <c r="I307" s="300">
        <f t="shared" si="398"/>
        <v>58557.030000000013</v>
      </c>
      <c r="J307" s="300">
        <f t="shared" si="399"/>
        <v>65227.990000000034</v>
      </c>
      <c r="K307" s="300">
        <f t="shared" si="400"/>
        <v>24924.389999999985</v>
      </c>
      <c r="L307" s="449">
        <f t="shared" si="479"/>
        <v>20</v>
      </c>
      <c r="M307" s="449">
        <f t="shared" si="435"/>
        <v>248</v>
      </c>
      <c r="N307" s="300">
        <f t="shared" si="436"/>
        <v>132753.49000000014</v>
      </c>
      <c r="O307" s="300">
        <f t="shared" si="401"/>
        <v>1617.67</v>
      </c>
      <c r="P307" s="300">
        <f t="shared" si="444"/>
        <v>843.2700000000001</v>
      </c>
      <c r="Q307" s="300">
        <f t="shared" si="402"/>
        <v>774.4</v>
      </c>
      <c r="R307" s="300">
        <f t="shared" si="389"/>
        <v>134.16999999999999</v>
      </c>
      <c r="S307" s="300">
        <f t="shared" si="390"/>
        <v>188.55</v>
      </c>
      <c r="T307" s="300">
        <f t="shared" si="387"/>
        <v>1940.39</v>
      </c>
      <c r="U307" s="300">
        <f t="shared" si="445"/>
        <v>111238.28000000009</v>
      </c>
      <c r="V307" s="300">
        <f t="shared" si="446"/>
        <v>291561.54999999987</v>
      </c>
      <c r="W307" s="300">
        <f t="shared" si="403"/>
        <v>131910.22000000015</v>
      </c>
      <c r="X307" s="535">
        <f t="shared" si="437"/>
        <v>53169</v>
      </c>
      <c r="Y307" s="300">
        <f t="shared" si="404"/>
        <v>262645.23000000027</v>
      </c>
      <c r="Z307" s="527">
        <f t="shared" si="429"/>
        <v>7.0000000000000007E-2</v>
      </c>
      <c r="AA307" s="300">
        <f t="shared" si="430"/>
        <v>1746.44</v>
      </c>
      <c r="AB307" s="300">
        <f t="shared" si="405"/>
        <v>214.34000000000015</v>
      </c>
      <c r="AC307" s="300">
        <f t="shared" si="431"/>
        <v>1532.1</v>
      </c>
      <c r="AD307" s="300">
        <f t="shared" ref="AD307:AE307" si="484">+AD306</f>
        <v>134.16999999999999</v>
      </c>
      <c r="AE307" s="300">
        <f t="shared" si="484"/>
        <v>188.55</v>
      </c>
      <c r="AF307" s="300">
        <f t="shared" si="407"/>
        <v>2069.1600000000003</v>
      </c>
      <c r="AG307" s="300">
        <f t="shared" si="408"/>
        <v>52493.210000000006</v>
      </c>
      <c r="AH307" s="300">
        <f t="shared" si="409"/>
        <v>373324.1500000002</v>
      </c>
      <c r="AI307" s="545">
        <f t="shared" si="392"/>
        <v>-23017.530000000061</v>
      </c>
      <c r="AJ307" s="545">
        <f t="shared" si="458"/>
        <v>-130520.6700000001</v>
      </c>
      <c r="AK307" s="545">
        <f t="shared" si="393"/>
        <v>-153538.20000000016</v>
      </c>
      <c r="AL307" s="300">
        <f t="shared" si="410"/>
        <v>262430.89000000025</v>
      </c>
      <c r="AM307" s="449">
        <f t="shared" si="439"/>
        <v>20</v>
      </c>
      <c r="AN307" s="14">
        <f t="shared" si="394"/>
        <v>1196.26</v>
      </c>
      <c r="AO307" s="14">
        <f t="shared" si="477"/>
        <v>179073.31999999989</v>
      </c>
      <c r="AP307" s="14">
        <f t="shared" si="395"/>
        <v>1325.03</v>
      </c>
      <c r="AS307" s="14">
        <f t="shared" si="433"/>
        <v>1196.26</v>
      </c>
      <c r="AT307" s="14">
        <f t="shared" si="440"/>
        <v>297388.18000000104</v>
      </c>
      <c r="AU307" s="300">
        <f t="shared" si="441"/>
        <v>1260.2332699119313</v>
      </c>
      <c r="AV307" s="300">
        <f t="shared" si="442"/>
        <v>262205.04123468453</v>
      </c>
    </row>
    <row r="308" spans="1:48" x14ac:dyDescent="0.25">
      <c r="A308" s="535">
        <f t="shared" si="397"/>
        <v>53199</v>
      </c>
      <c r="B308" s="300">
        <f t="shared" si="434"/>
        <v>24924.389999999985</v>
      </c>
      <c r="C308" s="14">
        <f t="shared" si="427"/>
        <v>421.41</v>
      </c>
      <c r="D308" s="14">
        <f t="shared" si="443"/>
        <v>327.94000000000005</v>
      </c>
      <c r="E308" s="14">
        <f t="shared" si="428"/>
        <v>93.47</v>
      </c>
      <c r="F308" s="14">
        <f t="shared" si="386"/>
        <v>134.16999999999999</v>
      </c>
      <c r="G308" s="14">
        <f t="shared" si="383"/>
        <v>188.55</v>
      </c>
      <c r="H308" s="14">
        <f t="shared" si="384"/>
        <v>744.13000000000011</v>
      </c>
      <c r="I308" s="300">
        <f t="shared" si="398"/>
        <v>58884.970000000016</v>
      </c>
      <c r="J308" s="300">
        <f t="shared" si="399"/>
        <v>65321.460000000036</v>
      </c>
      <c r="K308" s="300">
        <f t="shared" si="400"/>
        <v>24596.449999999986</v>
      </c>
      <c r="L308" s="449">
        <f t="shared" si="479"/>
        <v>20</v>
      </c>
      <c r="M308" s="449">
        <f t="shared" si="435"/>
        <v>249</v>
      </c>
      <c r="N308" s="300">
        <f t="shared" si="436"/>
        <v>131910.22000000015</v>
      </c>
      <c r="O308" s="300">
        <f t="shared" si="401"/>
        <v>1617.67</v>
      </c>
      <c r="P308" s="300">
        <f t="shared" si="444"/>
        <v>848.19</v>
      </c>
      <c r="Q308" s="300">
        <f t="shared" si="402"/>
        <v>769.48</v>
      </c>
      <c r="R308" s="300">
        <f t="shared" si="389"/>
        <v>134.16999999999999</v>
      </c>
      <c r="S308" s="300">
        <f t="shared" si="390"/>
        <v>188.55</v>
      </c>
      <c r="T308" s="300">
        <f t="shared" si="387"/>
        <v>1940.39</v>
      </c>
      <c r="U308" s="300">
        <f t="shared" si="445"/>
        <v>112086.47000000009</v>
      </c>
      <c r="V308" s="300">
        <f t="shared" si="446"/>
        <v>292331.02999999985</v>
      </c>
      <c r="W308" s="300">
        <f t="shared" si="403"/>
        <v>131062.03000000014</v>
      </c>
      <c r="X308" s="535">
        <f t="shared" si="437"/>
        <v>53199</v>
      </c>
      <c r="Y308" s="300">
        <f t="shared" si="404"/>
        <v>262430.89000000025</v>
      </c>
      <c r="Z308" s="527">
        <f t="shared" si="429"/>
        <v>7.0000000000000007E-2</v>
      </c>
      <c r="AA308" s="300">
        <f t="shared" si="430"/>
        <v>1746.44</v>
      </c>
      <c r="AB308" s="300">
        <f t="shared" si="405"/>
        <v>215.59000000000015</v>
      </c>
      <c r="AC308" s="300">
        <f t="shared" si="431"/>
        <v>1530.85</v>
      </c>
      <c r="AD308" s="300">
        <f t="shared" ref="AD308:AE308" si="485">+AD307</f>
        <v>134.16999999999999</v>
      </c>
      <c r="AE308" s="300">
        <f t="shared" si="485"/>
        <v>188.55</v>
      </c>
      <c r="AF308" s="300">
        <f t="shared" si="407"/>
        <v>2069.1600000000003</v>
      </c>
      <c r="AG308" s="300">
        <f t="shared" si="408"/>
        <v>52708.800000000003</v>
      </c>
      <c r="AH308" s="300">
        <f t="shared" si="409"/>
        <v>374855.00000000017</v>
      </c>
      <c r="AI308" s="545">
        <f t="shared" si="392"/>
        <v>-23146.300000000061</v>
      </c>
      <c r="AJ308" s="545">
        <f t="shared" si="458"/>
        <v>-131153.27000000008</v>
      </c>
      <c r="AK308" s="545">
        <f t="shared" si="393"/>
        <v>-154299.57000000012</v>
      </c>
      <c r="AL308" s="300">
        <f t="shared" si="410"/>
        <v>262215.30000000022</v>
      </c>
      <c r="AM308" s="449">
        <f t="shared" si="439"/>
        <v>20</v>
      </c>
      <c r="AN308" s="14">
        <f t="shared" si="394"/>
        <v>1196.26</v>
      </c>
      <c r="AO308" s="14">
        <f t="shared" si="477"/>
        <v>178553.06999999989</v>
      </c>
      <c r="AP308" s="14">
        <f t="shared" si="395"/>
        <v>1325.03</v>
      </c>
      <c r="AS308" s="14">
        <f t="shared" si="433"/>
        <v>1196.26</v>
      </c>
      <c r="AT308" s="14">
        <f t="shared" si="440"/>
        <v>298584.44000000105</v>
      </c>
      <c r="AU308" s="300">
        <f t="shared" si="441"/>
        <v>1263.3838530867113</v>
      </c>
      <c r="AV308" s="300">
        <f t="shared" si="442"/>
        <v>263468.42508777126</v>
      </c>
    </row>
    <row r="309" spans="1:48" x14ac:dyDescent="0.25">
      <c r="A309" s="535">
        <f t="shared" si="397"/>
        <v>53229</v>
      </c>
      <c r="B309" s="300">
        <f t="shared" si="434"/>
        <v>24596.449999999986</v>
      </c>
      <c r="C309" s="14">
        <f t="shared" si="427"/>
        <v>421.41</v>
      </c>
      <c r="D309" s="14">
        <f t="shared" si="443"/>
        <v>329.17</v>
      </c>
      <c r="E309" s="14">
        <f t="shared" si="428"/>
        <v>92.24</v>
      </c>
      <c r="F309" s="14">
        <f t="shared" si="386"/>
        <v>134.16999999999999</v>
      </c>
      <c r="G309" s="14">
        <f t="shared" si="383"/>
        <v>188.55</v>
      </c>
      <c r="H309" s="14">
        <f t="shared" si="384"/>
        <v>744.13000000000011</v>
      </c>
      <c r="I309" s="300">
        <f t="shared" si="398"/>
        <v>59214.140000000014</v>
      </c>
      <c r="J309" s="300">
        <f t="shared" si="399"/>
        <v>65413.700000000033</v>
      </c>
      <c r="K309" s="300">
        <f t="shared" si="400"/>
        <v>24267.279999999988</v>
      </c>
      <c r="L309" s="449">
        <f t="shared" si="479"/>
        <v>20</v>
      </c>
      <c r="M309" s="449">
        <f t="shared" si="435"/>
        <v>250</v>
      </c>
      <c r="N309" s="300">
        <f t="shared" si="436"/>
        <v>131062.03000000014</v>
      </c>
      <c r="O309" s="300">
        <f t="shared" si="401"/>
        <v>1617.67</v>
      </c>
      <c r="P309" s="300">
        <f t="shared" si="444"/>
        <v>853.1400000000001</v>
      </c>
      <c r="Q309" s="300">
        <f t="shared" si="402"/>
        <v>764.53</v>
      </c>
      <c r="R309" s="300">
        <f t="shared" si="389"/>
        <v>134.16999999999999</v>
      </c>
      <c r="S309" s="300">
        <f t="shared" si="390"/>
        <v>188.55</v>
      </c>
      <c r="T309" s="300">
        <f t="shared" si="387"/>
        <v>1940.39</v>
      </c>
      <c r="U309" s="300">
        <f t="shared" si="445"/>
        <v>112939.61000000009</v>
      </c>
      <c r="V309" s="300">
        <f t="shared" si="446"/>
        <v>293095.55999999988</v>
      </c>
      <c r="W309" s="300">
        <f t="shared" si="403"/>
        <v>130208.89000000014</v>
      </c>
      <c r="X309" s="535">
        <f t="shared" si="437"/>
        <v>53229</v>
      </c>
      <c r="Y309" s="300">
        <f t="shared" si="404"/>
        <v>262215.30000000022</v>
      </c>
      <c r="Z309" s="527">
        <f t="shared" si="429"/>
        <v>7.0000000000000007E-2</v>
      </c>
      <c r="AA309" s="300">
        <f t="shared" si="430"/>
        <v>1746.44</v>
      </c>
      <c r="AB309" s="300">
        <f t="shared" si="405"/>
        <v>216.85000000000014</v>
      </c>
      <c r="AC309" s="300">
        <f t="shared" si="431"/>
        <v>1529.59</v>
      </c>
      <c r="AD309" s="300">
        <f t="shared" ref="AD309:AE309" si="486">+AD308</f>
        <v>134.16999999999999</v>
      </c>
      <c r="AE309" s="300">
        <f t="shared" si="486"/>
        <v>188.55</v>
      </c>
      <c r="AF309" s="300">
        <f t="shared" si="407"/>
        <v>2069.1600000000003</v>
      </c>
      <c r="AG309" s="300">
        <f t="shared" si="408"/>
        <v>52925.65</v>
      </c>
      <c r="AH309" s="300">
        <f t="shared" si="409"/>
        <v>376384.5900000002</v>
      </c>
      <c r="AI309" s="545">
        <f t="shared" si="392"/>
        <v>-23275.070000000062</v>
      </c>
      <c r="AJ309" s="545">
        <f t="shared" si="458"/>
        <v>-131789.56000000006</v>
      </c>
      <c r="AK309" s="545">
        <f t="shared" si="393"/>
        <v>-155064.63000000012</v>
      </c>
      <c r="AL309" s="300">
        <f t="shared" si="410"/>
        <v>261998.45000000022</v>
      </c>
      <c r="AM309" s="449">
        <f t="shared" si="439"/>
        <v>20</v>
      </c>
      <c r="AN309" s="14">
        <f t="shared" si="394"/>
        <v>1196.26</v>
      </c>
      <c r="AO309" s="14">
        <f t="shared" si="477"/>
        <v>178029.09999999986</v>
      </c>
      <c r="AP309" s="14">
        <f t="shared" si="395"/>
        <v>1325.03</v>
      </c>
      <c r="AS309" s="14">
        <f t="shared" si="433"/>
        <v>1196.26</v>
      </c>
      <c r="AT309" s="14">
        <f t="shared" si="440"/>
        <v>299780.70000000106</v>
      </c>
      <c r="AU309" s="300">
        <f t="shared" si="441"/>
        <v>1266.5423127194281</v>
      </c>
      <c r="AV309" s="300">
        <f t="shared" si="442"/>
        <v>264734.96740049071</v>
      </c>
    </row>
    <row r="310" spans="1:48" x14ac:dyDescent="0.25">
      <c r="A310" s="535">
        <f t="shared" si="397"/>
        <v>53259</v>
      </c>
      <c r="B310" s="300">
        <f t="shared" si="434"/>
        <v>24267.279999999988</v>
      </c>
      <c r="C310" s="14">
        <f t="shared" si="427"/>
        <v>421.41</v>
      </c>
      <c r="D310" s="14">
        <f t="shared" si="443"/>
        <v>330.41</v>
      </c>
      <c r="E310" s="14">
        <f t="shared" si="428"/>
        <v>91</v>
      </c>
      <c r="F310" s="14">
        <f t="shared" si="386"/>
        <v>134.16999999999999</v>
      </c>
      <c r="G310" s="14">
        <f t="shared" si="383"/>
        <v>188.55</v>
      </c>
      <c r="H310" s="14">
        <f t="shared" si="384"/>
        <v>744.13000000000011</v>
      </c>
      <c r="I310" s="300">
        <f t="shared" si="398"/>
        <v>59544.550000000017</v>
      </c>
      <c r="J310" s="300">
        <f t="shared" si="399"/>
        <v>65504.700000000033</v>
      </c>
      <c r="K310" s="300">
        <f t="shared" si="400"/>
        <v>23936.869999999988</v>
      </c>
      <c r="L310" s="449">
        <f t="shared" si="479"/>
        <v>20</v>
      </c>
      <c r="M310" s="449">
        <f t="shared" si="435"/>
        <v>251</v>
      </c>
      <c r="N310" s="300">
        <f t="shared" si="436"/>
        <v>130208.89000000014</v>
      </c>
      <c r="O310" s="300">
        <f t="shared" si="401"/>
        <v>1617.67</v>
      </c>
      <c r="P310" s="300">
        <f t="shared" si="444"/>
        <v>858.12000000000012</v>
      </c>
      <c r="Q310" s="300">
        <f t="shared" si="402"/>
        <v>759.55</v>
      </c>
      <c r="R310" s="300">
        <f t="shared" si="389"/>
        <v>134.16999999999999</v>
      </c>
      <c r="S310" s="300">
        <f t="shared" si="390"/>
        <v>188.55</v>
      </c>
      <c r="T310" s="300">
        <f t="shared" si="387"/>
        <v>1940.39</v>
      </c>
      <c r="U310" s="300">
        <f t="shared" si="445"/>
        <v>113797.73000000008</v>
      </c>
      <c r="V310" s="300">
        <f t="shared" si="446"/>
        <v>293855.10999999987</v>
      </c>
      <c r="W310" s="300">
        <f t="shared" si="403"/>
        <v>129350.77000000015</v>
      </c>
      <c r="X310" s="535">
        <f t="shared" si="437"/>
        <v>53259</v>
      </c>
      <c r="Y310" s="300">
        <f t="shared" si="404"/>
        <v>261998.45000000022</v>
      </c>
      <c r="Z310" s="527">
        <f t="shared" si="429"/>
        <v>7.0000000000000007E-2</v>
      </c>
      <c r="AA310" s="300">
        <f t="shared" si="430"/>
        <v>1746.44</v>
      </c>
      <c r="AB310" s="300">
        <f t="shared" si="405"/>
        <v>218.12000000000012</v>
      </c>
      <c r="AC310" s="300">
        <f t="shared" si="431"/>
        <v>1528.32</v>
      </c>
      <c r="AD310" s="300">
        <f t="shared" ref="AD310:AE310" si="487">+AD309</f>
        <v>134.16999999999999</v>
      </c>
      <c r="AE310" s="300">
        <f t="shared" si="487"/>
        <v>188.55</v>
      </c>
      <c r="AF310" s="300">
        <f t="shared" si="407"/>
        <v>2069.1600000000003</v>
      </c>
      <c r="AG310" s="300">
        <f t="shared" si="408"/>
        <v>53143.770000000004</v>
      </c>
      <c r="AH310" s="300">
        <f t="shared" si="409"/>
        <v>377912.91000000021</v>
      </c>
      <c r="AI310" s="545">
        <f t="shared" si="392"/>
        <v>-23403.840000000062</v>
      </c>
      <c r="AJ310" s="545">
        <f t="shared" si="458"/>
        <v>-132429.56000000006</v>
      </c>
      <c r="AK310" s="545">
        <f t="shared" si="393"/>
        <v>-155833.40000000011</v>
      </c>
      <c r="AL310" s="300">
        <f t="shared" si="410"/>
        <v>261780.33000000022</v>
      </c>
      <c r="AM310" s="449">
        <f t="shared" si="439"/>
        <v>20</v>
      </c>
      <c r="AN310" s="14">
        <f t="shared" si="394"/>
        <v>1196.26</v>
      </c>
      <c r="AO310" s="14">
        <f t="shared" si="477"/>
        <v>177501.3899999999</v>
      </c>
      <c r="AP310" s="14">
        <f t="shared" si="395"/>
        <v>1325.03</v>
      </c>
      <c r="AS310" s="14">
        <f t="shared" si="433"/>
        <v>1196.26</v>
      </c>
      <c r="AT310" s="14">
        <f t="shared" si="440"/>
        <v>300976.96000000107</v>
      </c>
      <c r="AU310" s="300">
        <f t="shared" si="441"/>
        <v>1269.7086685012266</v>
      </c>
      <c r="AV310" s="300">
        <f t="shared" si="442"/>
        <v>266004.67606899195</v>
      </c>
    </row>
    <row r="311" spans="1:48" x14ac:dyDescent="0.25">
      <c r="A311" s="535">
        <f t="shared" si="397"/>
        <v>53289</v>
      </c>
      <c r="B311" s="300">
        <f t="shared" si="434"/>
        <v>23936.869999999988</v>
      </c>
      <c r="C311" s="14">
        <f t="shared" si="427"/>
        <v>421.41</v>
      </c>
      <c r="D311" s="14">
        <f t="shared" si="443"/>
        <v>331.65000000000003</v>
      </c>
      <c r="E311" s="14">
        <f t="shared" si="428"/>
        <v>89.76</v>
      </c>
      <c r="F311" s="14">
        <f t="shared" si="386"/>
        <v>134.16999999999999</v>
      </c>
      <c r="G311" s="14">
        <f t="shared" si="383"/>
        <v>188.55</v>
      </c>
      <c r="H311" s="14">
        <f t="shared" si="384"/>
        <v>744.13000000000011</v>
      </c>
      <c r="I311" s="300">
        <f t="shared" si="398"/>
        <v>59876.200000000019</v>
      </c>
      <c r="J311" s="300">
        <f t="shared" si="399"/>
        <v>65594.460000000036</v>
      </c>
      <c r="K311" s="300">
        <f t="shared" si="400"/>
        <v>23605.219999999987</v>
      </c>
      <c r="L311" s="449">
        <f t="shared" si="479"/>
        <v>21</v>
      </c>
      <c r="M311" s="449">
        <f t="shared" si="435"/>
        <v>252</v>
      </c>
      <c r="N311" s="300">
        <f t="shared" si="436"/>
        <v>129350.77000000015</v>
      </c>
      <c r="O311" s="300">
        <f t="shared" si="401"/>
        <v>1617.67</v>
      </c>
      <c r="P311" s="300">
        <f t="shared" si="444"/>
        <v>863.12000000000012</v>
      </c>
      <c r="Q311" s="300">
        <f t="shared" si="402"/>
        <v>754.55</v>
      </c>
      <c r="R311" s="300">
        <f t="shared" si="389"/>
        <v>134.16999999999999</v>
      </c>
      <c r="S311" s="300">
        <f t="shared" si="390"/>
        <v>188.55</v>
      </c>
      <c r="T311" s="300">
        <f t="shared" si="387"/>
        <v>1940.39</v>
      </c>
      <c r="U311" s="300">
        <f t="shared" si="445"/>
        <v>114660.85000000008</v>
      </c>
      <c r="V311" s="300">
        <f t="shared" si="446"/>
        <v>294609.65999999986</v>
      </c>
      <c r="W311" s="300">
        <f t="shared" si="403"/>
        <v>128487.65000000015</v>
      </c>
      <c r="X311" s="535">
        <f t="shared" si="437"/>
        <v>53289</v>
      </c>
      <c r="Y311" s="300">
        <f t="shared" si="404"/>
        <v>261780.33000000022</v>
      </c>
      <c r="Z311" s="527">
        <f t="shared" si="429"/>
        <v>7.0000000000000007E-2</v>
      </c>
      <c r="AA311" s="300">
        <f t="shared" si="430"/>
        <v>1746.44</v>
      </c>
      <c r="AB311" s="300">
        <f t="shared" si="405"/>
        <v>219.3900000000001</v>
      </c>
      <c r="AC311" s="300">
        <f t="shared" si="431"/>
        <v>1527.05</v>
      </c>
      <c r="AD311" s="300">
        <f t="shared" ref="AD311:AE311" si="488">+AD310</f>
        <v>134.16999999999999</v>
      </c>
      <c r="AE311" s="300">
        <f t="shared" si="488"/>
        <v>188.55</v>
      </c>
      <c r="AF311" s="300">
        <f t="shared" si="407"/>
        <v>2069.1600000000003</v>
      </c>
      <c r="AG311" s="300">
        <f t="shared" si="408"/>
        <v>53363.16</v>
      </c>
      <c r="AH311" s="300">
        <f t="shared" si="409"/>
        <v>379439.9600000002</v>
      </c>
      <c r="AI311" s="545">
        <f t="shared" si="392"/>
        <v>-23532.610000000062</v>
      </c>
      <c r="AJ311" s="545">
        <f t="shared" si="458"/>
        <v>-133073.29000000004</v>
      </c>
      <c r="AK311" s="545">
        <f t="shared" si="393"/>
        <v>-156605.90000000011</v>
      </c>
      <c r="AL311" s="300">
        <f t="shared" si="410"/>
        <v>261560.94000000021</v>
      </c>
      <c r="AM311" s="449">
        <f t="shared" si="439"/>
        <v>21</v>
      </c>
      <c r="AN311" s="14">
        <f t="shared" si="394"/>
        <v>1196.26</v>
      </c>
      <c r="AO311" s="14">
        <f t="shared" si="477"/>
        <v>176969.91999999993</v>
      </c>
      <c r="AP311" s="14">
        <f t="shared" si="395"/>
        <v>1325.03</v>
      </c>
      <c r="AS311" s="14">
        <f t="shared" si="433"/>
        <v>1196.26</v>
      </c>
      <c r="AT311" s="14">
        <f t="shared" si="440"/>
        <v>302173.22000000108</v>
      </c>
      <c r="AU311" s="300">
        <f t="shared" si="441"/>
        <v>1272.8829401724799</v>
      </c>
      <c r="AV311" s="300">
        <f t="shared" si="442"/>
        <v>267277.55900916446</v>
      </c>
    </row>
    <row r="312" spans="1:48" x14ac:dyDescent="0.25">
      <c r="A312" s="535">
        <f t="shared" si="397"/>
        <v>53319</v>
      </c>
      <c r="B312" s="300">
        <f t="shared" si="434"/>
        <v>23605.219999999987</v>
      </c>
      <c r="C312" s="14">
        <f t="shared" si="427"/>
        <v>421.41</v>
      </c>
      <c r="D312" s="14">
        <f t="shared" si="443"/>
        <v>332.89000000000004</v>
      </c>
      <c r="E312" s="14">
        <f t="shared" si="428"/>
        <v>88.52</v>
      </c>
      <c r="F312" s="14">
        <f t="shared" si="386"/>
        <v>134.16999999999999</v>
      </c>
      <c r="G312" s="14">
        <f t="shared" si="383"/>
        <v>188.55</v>
      </c>
      <c r="H312" s="14">
        <f t="shared" si="384"/>
        <v>744.13000000000011</v>
      </c>
      <c r="I312" s="300">
        <f t="shared" si="398"/>
        <v>60209.090000000018</v>
      </c>
      <c r="J312" s="300">
        <f t="shared" si="399"/>
        <v>65682.98000000004</v>
      </c>
      <c r="K312" s="300">
        <f t="shared" si="400"/>
        <v>23272.329999999987</v>
      </c>
      <c r="L312" s="449">
        <f t="shared" si="479"/>
        <v>21</v>
      </c>
      <c r="M312" s="449">
        <f t="shared" si="435"/>
        <v>253</v>
      </c>
      <c r="N312" s="300">
        <f t="shared" si="436"/>
        <v>128487.65000000015</v>
      </c>
      <c r="O312" s="300">
        <f t="shared" si="401"/>
        <v>1617.67</v>
      </c>
      <c r="P312" s="300">
        <f t="shared" si="444"/>
        <v>868.16000000000008</v>
      </c>
      <c r="Q312" s="300">
        <f t="shared" si="402"/>
        <v>749.51</v>
      </c>
      <c r="R312" s="300">
        <f t="shared" si="389"/>
        <v>134.16999999999999</v>
      </c>
      <c r="S312" s="300">
        <f t="shared" si="390"/>
        <v>188.55</v>
      </c>
      <c r="T312" s="300">
        <f t="shared" si="387"/>
        <v>1940.39</v>
      </c>
      <c r="U312" s="300">
        <f t="shared" si="445"/>
        <v>115529.01000000008</v>
      </c>
      <c r="V312" s="300">
        <f t="shared" si="446"/>
        <v>295359.16999999987</v>
      </c>
      <c r="W312" s="300">
        <f t="shared" si="403"/>
        <v>127619.49000000015</v>
      </c>
      <c r="X312" s="535">
        <f t="shared" si="437"/>
        <v>53319</v>
      </c>
      <c r="Y312" s="300">
        <f t="shared" si="404"/>
        <v>261560.94000000021</v>
      </c>
      <c r="Z312" s="527">
        <f t="shared" si="429"/>
        <v>7.0000000000000007E-2</v>
      </c>
      <c r="AA312" s="300">
        <f t="shared" si="430"/>
        <v>1746.44</v>
      </c>
      <c r="AB312" s="300">
        <f t="shared" si="405"/>
        <v>220.67000000000007</v>
      </c>
      <c r="AC312" s="300">
        <f t="shared" si="431"/>
        <v>1525.77</v>
      </c>
      <c r="AD312" s="300">
        <f t="shared" ref="AD312:AE312" si="489">+AD311</f>
        <v>134.16999999999999</v>
      </c>
      <c r="AE312" s="300">
        <f t="shared" si="489"/>
        <v>188.55</v>
      </c>
      <c r="AF312" s="300">
        <f t="shared" si="407"/>
        <v>2069.1600000000003</v>
      </c>
      <c r="AG312" s="300">
        <f t="shared" si="408"/>
        <v>53583.83</v>
      </c>
      <c r="AH312" s="300">
        <f t="shared" si="409"/>
        <v>380965.73000000021</v>
      </c>
      <c r="AI312" s="545">
        <f t="shared" si="392"/>
        <v>-23661.380000000063</v>
      </c>
      <c r="AJ312" s="545">
        <f t="shared" si="458"/>
        <v>-133720.78000000003</v>
      </c>
      <c r="AK312" s="545">
        <f t="shared" si="393"/>
        <v>-157382.16000000009</v>
      </c>
      <c r="AL312" s="300">
        <f t="shared" si="410"/>
        <v>261340.27000000019</v>
      </c>
      <c r="AM312" s="449">
        <f t="shared" si="439"/>
        <v>21</v>
      </c>
      <c r="AN312" s="14">
        <f t="shared" si="394"/>
        <v>1196.26</v>
      </c>
      <c r="AO312" s="14">
        <f t="shared" si="477"/>
        <v>176434.64999999991</v>
      </c>
      <c r="AP312" s="14">
        <f t="shared" si="395"/>
        <v>1325.03</v>
      </c>
      <c r="AS312" s="14">
        <f t="shared" si="433"/>
        <v>1196.26</v>
      </c>
      <c r="AT312" s="14">
        <f t="shared" si="440"/>
        <v>303369.48000000109</v>
      </c>
      <c r="AU312" s="300">
        <f t="shared" si="441"/>
        <v>1276.065147522911</v>
      </c>
      <c r="AV312" s="300">
        <f t="shared" si="442"/>
        <v>268553.62415668735</v>
      </c>
    </row>
    <row r="313" spans="1:48" x14ac:dyDescent="0.25">
      <c r="A313" s="535">
        <f t="shared" si="397"/>
        <v>53349</v>
      </c>
      <c r="B313" s="300">
        <f t="shared" si="434"/>
        <v>23272.329999999987</v>
      </c>
      <c r="C313" s="14">
        <f t="shared" si="427"/>
        <v>421.41</v>
      </c>
      <c r="D313" s="14">
        <f t="shared" si="443"/>
        <v>334.14000000000004</v>
      </c>
      <c r="E313" s="14">
        <f t="shared" si="428"/>
        <v>87.27</v>
      </c>
      <c r="F313" s="14">
        <f t="shared" si="386"/>
        <v>134.16999999999999</v>
      </c>
      <c r="G313" s="14">
        <f t="shared" si="383"/>
        <v>188.55</v>
      </c>
      <c r="H313" s="14">
        <f t="shared" si="384"/>
        <v>744.13000000000011</v>
      </c>
      <c r="I313" s="300">
        <f t="shared" si="398"/>
        <v>60543.230000000018</v>
      </c>
      <c r="J313" s="300">
        <f t="shared" si="399"/>
        <v>65770.250000000044</v>
      </c>
      <c r="K313" s="300">
        <f t="shared" si="400"/>
        <v>22938.189999999988</v>
      </c>
      <c r="L313" s="449">
        <f t="shared" si="479"/>
        <v>21</v>
      </c>
      <c r="M313" s="449">
        <f t="shared" si="435"/>
        <v>254</v>
      </c>
      <c r="N313" s="300">
        <f t="shared" si="436"/>
        <v>127619.49000000015</v>
      </c>
      <c r="O313" s="300">
        <f t="shared" si="401"/>
        <v>1617.67</v>
      </c>
      <c r="P313" s="300">
        <f t="shared" si="444"/>
        <v>873.22</v>
      </c>
      <c r="Q313" s="300">
        <f t="shared" si="402"/>
        <v>744.45</v>
      </c>
      <c r="R313" s="300">
        <f t="shared" si="389"/>
        <v>134.16999999999999</v>
      </c>
      <c r="S313" s="300">
        <f t="shared" si="390"/>
        <v>188.55</v>
      </c>
      <c r="T313" s="300">
        <f t="shared" si="387"/>
        <v>1940.39</v>
      </c>
      <c r="U313" s="300">
        <f t="shared" si="445"/>
        <v>116402.23000000008</v>
      </c>
      <c r="V313" s="300">
        <f t="shared" si="446"/>
        <v>296103.61999999988</v>
      </c>
      <c r="W313" s="300">
        <f t="shared" si="403"/>
        <v>126746.27000000015</v>
      </c>
      <c r="X313" s="535">
        <f t="shared" si="437"/>
        <v>53349</v>
      </c>
      <c r="Y313" s="300">
        <f t="shared" si="404"/>
        <v>261340.27000000019</v>
      </c>
      <c r="Z313" s="527">
        <f t="shared" si="429"/>
        <v>7.0000000000000007E-2</v>
      </c>
      <c r="AA313" s="300">
        <f t="shared" si="430"/>
        <v>1746.44</v>
      </c>
      <c r="AB313" s="300">
        <f t="shared" si="405"/>
        <v>221.96000000000004</v>
      </c>
      <c r="AC313" s="300">
        <f t="shared" si="431"/>
        <v>1524.48</v>
      </c>
      <c r="AD313" s="300">
        <f t="shared" ref="AD313:AE313" si="490">+AD312</f>
        <v>134.16999999999999</v>
      </c>
      <c r="AE313" s="300">
        <f t="shared" si="490"/>
        <v>188.55</v>
      </c>
      <c r="AF313" s="300">
        <f t="shared" si="407"/>
        <v>2069.1600000000003</v>
      </c>
      <c r="AG313" s="300">
        <f t="shared" si="408"/>
        <v>53805.79</v>
      </c>
      <c r="AH313" s="300">
        <f t="shared" si="409"/>
        <v>382490.2100000002</v>
      </c>
      <c r="AI313" s="545">
        <f t="shared" si="392"/>
        <v>-23790.150000000063</v>
      </c>
      <c r="AJ313" s="545">
        <f t="shared" si="458"/>
        <v>-134372.04000000004</v>
      </c>
      <c r="AK313" s="545">
        <f t="shared" si="393"/>
        <v>-158162.19000000009</v>
      </c>
      <c r="AL313" s="300">
        <f t="shared" si="410"/>
        <v>261118.3100000002</v>
      </c>
      <c r="AM313" s="449">
        <f t="shared" si="439"/>
        <v>21</v>
      </c>
      <c r="AN313" s="14">
        <f t="shared" si="394"/>
        <v>1196.26</v>
      </c>
      <c r="AO313" s="14">
        <f t="shared" si="477"/>
        <v>175895.56999999989</v>
      </c>
      <c r="AP313" s="14">
        <f t="shared" si="395"/>
        <v>1325.03</v>
      </c>
      <c r="AS313" s="14">
        <f t="shared" si="433"/>
        <v>1196.26</v>
      </c>
      <c r="AT313" s="14">
        <f t="shared" si="440"/>
        <v>304565.7400000011</v>
      </c>
      <c r="AU313" s="300">
        <f t="shared" si="441"/>
        <v>1279.2553103917182</v>
      </c>
      <c r="AV313" s="300">
        <f t="shared" si="442"/>
        <v>269832.87946707907</v>
      </c>
    </row>
    <row r="314" spans="1:48" ht="15.75" thickBot="1" x14ac:dyDescent="0.3">
      <c r="A314" s="538">
        <f t="shared" si="397"/>
        <v>53379</v>
      </c>
      <c r="B314" s="369">
        <f t="shared" si="434"/>
        <v>22938.189999999988</v>
      </c>
      <c r="C314" s="21">
        <f t="shared" si="427"/>
        <v>421.41</v>
      </c>
      <c r="D314" s="21">
        <f t="shared" si="443"/>
        <v>335.39000000000004</v>
      </c>
      <c r="E314" s="21">
        <f t="shared" si="428"/>
        <v>86.02</v>
      </c>
      <c r="F314" s="21">
        <f t="shared" si="386"/>
        <v>134.16999999999999</v>
      </c>
      <c r="G314" s="21">
        <f t="shared" ref="G314:G377" si="491">+G313</f>
        <v>188.55</v>
      </c>
      <c r="H314" s="21">
        <f t="shared" ref="H314:H377" si="492">SUM(D314:G314)</f>
        <v>744.13000000000011</v>
      </c>
      <c r="I314" s="369">
        <f t="shared" si="398"/>
        <v>60878.620000000017</v>
      </c>
      <c r="J314" s="369">
        <f t="shared" si="399"/>
        <v>65856.270000000048</v>
      </c>
      <c r="K314" s="369">
        <f t="shared" si="400"/>
        <v>22602.799999999988</v>
      </c>
      <c r="L314" s="450">
        <f t="shared" si="479"/>
        <v>21</v>
      </c>
      <c r="M314" s="450">
        <f t="shared" si="435"/>
        <v>255</v>
      </c>
      <c r="N314" s="369">
        <f t="shared" si="436"/>
        <v>126746.27000000015</v>
      </c>
      <c r="O314" s="369">
        <f t="shared" si="401"/>
        <v>1617.67</v>
      </c>
      <c r="P314" s="369">
        <f t="shared" si="444"/>
        <v>878.32</v>
      </c>
      <c r="Q314" s="369">
        <f t="shared" si="402"/>
        <v>739.35</v>
      </c>
      <c r="R314" s="369">
        <f t="shared" si="389"/>
        <v>134.16999999999999</v>
      </c>
      <c r="S314" s="369">
        <f t="shared" si="390"/>
        <v>188.55</v>
      </c>
      <c r="T314" s="369">
        <f t="shared" si="387"/>
        <v>1940.39</v>
      </c>
      <c r="U314" s="369">
        <f t="shared" si="445"/>
        <v>117280.55000000009</v>
      </c>
      <c r="V314" s="369">
        <f t="shared" si="446"/>
        <v>296842.96999999986</v>
      </c>
      <c r="W314" s="369">
        <f t="shared" si="403"/>
        <v>125867.95000000014</v>
      </c>
      <c r="X314" s="538">
        <f t="shared" si="437"/>
        <v>53379</v>
      </c>
      <c r="Y314" s="369">
        <f t="shared" si="404"/>
        <v>261118.3100000002</v>
      </c>
      <c r="Z314" s="528">
        <f t="shared" si="429"/>
        <v>7.0000000000000007E-2</v>
      </c>
      <c r="AA314" s="369">
        <f t="shared" si="430"/>
        <v>1746.44</v>
      </c>
      <c r="AB314" s="369">
        <f t="shared" si="405"/>
        <v>223.25</v>
      </c>
      <c r="AC314" s="369">
        <f t="shared" si="431"/>
        <v>1523.19</v>
      </c>
      <c r="AD314" s="369">
        <f t="shared" ref="AD314:AE314" si="493">+AD313</f>
        <v>134.16999999999999</v>
      </c>
      <c r="AE314" s="369">
        <f t="shared" si="493"/>
        <v>188.55</v>
      </c>
      <c r="AF314" s="369">
        <f t="shared" si="407"/>
        <v>2069.1600000000003</v>
      </c>
      <c r="AG314" s="369">
        <f t="shared" si="408"/>
        <v>54029.04</v>
      </c>
      <c r="AH314" s="369">
        <f t="shared" si="409"/>
        <v>384013.4000000002</v>
      </c>
      <c r="AI314" s="546">
        <f t="shared" si="392"/>
        <v>-23918.920000000064</v>
      </c>
      <c r="AJ314" s="546">
        <f t="shared" si="458"/>
        <v>-135027.11000000004</v>
      </c>
      <c r="AK314" s="545">
        <f t="shared" si="393"/>
        <v>-158946.03000000012</v>
      </c>
      <c r="AL314" s="369">
        <f t="shared" si="410"/>
        <v>260895.0600000002</v>
      </c>
      <c r="AM314" s="450">
        <f t="shared" si="439"/>
        <v>21</v>
      </c>
      <c r="AN314" s="21">
        <f t="shared" si="394"/>
        <v>1196.26</v>
      </c>
      <c r="AO314" s="21">
        <f t="shared" si="477"/>
        <v>175352.6399999999</v>
      </c>
      <c r="AP314" s="21">
        <f t="shared" si="395"/>
        <v>1325.03</v>
      </c>
      <c r="AQ314" s="21"/>
      <c r="AR314" s="23"/>
      <c r="AS314" s="21">
        <f t="shared" si="433"/>
        <v>1196.26</v>
      </c>
      <c r="AT314" s="21">
        <f t="shared" si="440"/>
        <v>305762.00000000111</v>
      </c>
      <c r="AU314" s="369">
        <f t="shared" si="441"/>
        <v>1282.4534486676976</v>
      </c>
      <c r="AV314" s="369">
        <f t="shared" si="442"/>
        <v>271115.33291574678</v>
      </c>
    </row>
    <row r="315" spans="1:48" x14ac:dyDescent="0.25">
      <c r="A315" s="535">
        <f t="shared" ref="A315:A378" si="494">IF(K315&lt;=0," ",+A314+30)</f>
        <v>53409</v>
      </c>
      <c r="B315" s="300">
        <f t="shared" si="434"/>
        <v>22602.799999999988</v>
      </c>
      <c r="C315" s="14">
        <f t="shared" si="427"/>
        <v>421.41</v>
      </c>
      <c r="D315" s="14">
        <f t="shared" si="443"/>
        <v>336.65000000000003</v>
      </c>
      <c r="E315" s="14">
        <f t="shared" si="428"/>
        <v>84.76</v>
      </c>
      <c r="F315" s="14">
        <f t="shared" ref="F315:F378" si="495">+F314</f>
        <v>134.16999999999999</v>
      </c>
      <c r="G315" s="14">
        <f t="shared" si="491"/>
        <v>188.55</v>
      </c>
      <c r="H315" s="14">
        <f t="shared" si="492"/>
        <v>744.13000000000011</v>
      </c>
      <c r="I315" s="300">
        <f t="shared" ref="I315:I378" si="496">$D315+$I314</f>
        <v>61215.270000000019</v>
      </c>
      <c r="J315" s="300">
        <f t="shared" ref="J315:J378" si="497">$E315+$J314</f>
        <v>65941.030000000042</v>
      </c>
      <c r="K315" s="300">
        <f t="shared" ref="K315:K378" si="498">+B315-D315</f>
        <v>22266.149999999987</v>
      </c>
      <c r="L315" s="449">
        <f t="shared" si="479"/>
        <v>21</v>
      </c>
      <c r="M315" s="449">
        <f t="shared" si="435"/>
        <v>256</v>
      </c>
      <c r="N315" s="300">
        <f t="shared" si="436"/>
        <v>125867.95000000014</v>
      </c>
      <c r="O315" s="300">
        <f t="shared" si="401"/>
        <v>1617.67</v>
      </c>
      <c r="P315" s="300">
        <f t="shared" si="444"/>
        <v>883.44</v>
      </c>
      <c r="Q315" s="300">
        <f t="shared" si="402"/>
        <v>734.23</v>
      </c>
      <c r="R315" s="300">
        <f t="shared" si="389"/>
        <v>134.16999999999999</v>
      </c>
      <c r="S315" s="300">
        <f t="shared" si="390"/>
        <v>188.55</v>
      </c>
      <c r="T315" s="300">
        <f t="shared" ref="T315:T378" si="499">SUM(P315:S315)</f>
        <v>1940.39</v>
      </c>
      <c r="U315" s="300">
        <f t="shared" si="445"/>
        <v>118163.99000000009</v>
      </c>
      <c r="V315" s="300">
        <f t="shared" si="446"/>
        <v>297577.19999999984</v>
      </c>
      <c r="W315" s="300">
        <f t="shared" ref="W315:W378" si="500">+N315-P315</f>
        <v>124984.51000000014</v>
      </c>
      <c r="X315" s="535">
        <f t="shared" si="437"/>
        <v>53409</v>
      </c>
      <c r="Y315" s="300">
        <f t="shared" si="404"/>
        <v>260895.0600000002</v>
      </c>
      <c r="Z315" s="527">
        <f t="shared" si="429"/>
        <v>7.0000000000000007E-2</v>
      </c>
      <c r="AA315" s="300">
        <f t="shared" si="430"/>
        <v>1746.44</v>
      </c>
      <c r="AB315" s="300">
        <f t="shared" si="405"/>
        <v>224.54999999999995</v>
      </c>
      <c r="AC315" s="300">
        <f t="shared" si="431"/>
        <v>1521.89</v>
      </c>
      <c r="AD315" s="300">
        <f t="shared" ref="AD315:AE315" si="501">+AD314</f>
        <v>134.16999999999999</v>
      </c>
      <c r="AE315" s="300">
        <f t="shared" si="501"/>
        <v>188.55</v>
      </c>
      <c r="AF315" s="300">
        <f t="shared" si="407"/>
        <v>2069.1600000000003</v>
      </c>
      <c r="AG315" s="300">
        <f t="shared" si="408"/>
        <v>54253.590000000004</v>
      </c>
      <c r="AH315" s="300">
        <f t="shared" si="409"/>
        <v>385535.29000000021</v>
      </c>
      <c r="AI315" s="545">
        <f t="shared" si="392"/>
        <v>-24047.690000000064</v>
      </c>
      <c r="AJ315" s="545">
        <f t="shared" si="458"/>
        <v>-135686.00000000006</v>
      </c>
      <c r="AK315" s="545">
        <f t="shared" si="393"/>
        <v>-159733.69000000012</v>
      </c>
      <c r="AL315" s="300">
        <f t="shared" si="410"/>
        <v>260670.51000000021</v>
      </c>
      <c r="AM315" s="449">
        <f t="shared" si="439"/>
        <v>21</v>
      </c>
      <c r="AN315" s="14">
        <f t="shared" si="394"/>
        <v>1196.26</v>
      </c>
      <c r="AO315" s="14">
        <f t="shared" si="477"/>
        <v>174805.84999999986</v>
      </c>
      <c r="AP315" s="14">
        <f t="shared" si="395"/>
        <v>1325.03</v>
      </c>
      <c r="AS315" s="14">
        <f t="shared" si="433"/>
        <v>1196.26</v>
      </c>
      <c r="AT315" s="14">
        <f t="shared" si="440"/>
        <v>306958.26000000112</v>
      </c>
      <c r="AU315" s="300">
        <f t="shared" si="441"/>
        <v>1285.6595822893669</v>
      </c>
      <c r="AV315" s="300">
        <f t="shared" si="442"/>
        <v>272400.99249803612</v>
      </c>
    </row>
    <row r="316" spans="1:48" x14ac:dyDescent="0.25">
      <c r="A316" s="535">
        <f t="shared" si="494"/>
        <v>53439</v>
      </c>
      <c r="B316" s="300">
        <f t="shared" si="434"/>
        <v>22266.149999999987</v>
      </c>
      <c r="C316" s="14">
        <f t="shared" si="427"/>
        <v>421.41</v>
      </c>
      <c r="D316" s="14">
        <f t="shared" si="443"/>
        <v>337.91</v>
      </c>
      <c r="E316" s="14">
        <f t="shared" si="428"/>
        <v>83.5</v>
      </c>
      <c r="F316" s="14">
        <f t="shared" si="495"/>
        <v>134.16999999999999</v>
      </c>
      <c r="G316" s="14">
        <f t="shared" si="491"/>
        <v>188.55</v>
      </c>
      <c r="H316" s="14">
        <f t="shared" si="492"/>
        <v>744.13000000000011</v>
      </c>
      <c r="I316" s="300">
        <f t="shared" si="496"/>
        <v>61553.180000000022</v>
      </c>
      <c r="J316" s="300">
        <f t="shared" si="497"/>
        <v>66024.530000000042</v>
      </c>
      <c r="K316" s="300">
        <f t="shared" si="498"/>
        <v>21928.239999999987</v>
      </c>
      <c r="L316" s="449">
        <f t="shared" si="479"/>
        <v>21</v>
      </c>
      <c r="M316" s="449">
        <f t="shared" si="435"/>
        <v>257</v>
      </c>
      <c r="N316" s="300">
        <f t="shared" si="436"/>
        <v>124984.51000000014</v>
      </c>
      <c r="O316" s="300">
        <f t="shared" si="401"/>
        <v>1617.67</v>
      </c>
      <c r="P316" s="300">
        <f t="shared" si="444"/>
        <v>888.59</v>
      </c>
      <c r="Q316" s="300">
        <f t="shared" si="402"/>
        <v>729.08</v>
      </c>
      <c r="R316" s="300">
        <f t="shared" ref="R316:R379" si="502">+R315</f>
        <v>134.16999999999999</v>
      </c>
      <c r="S316" s="300">
        <f t="shared" ref="S316:S379" si="503">+S315</f>
        <v>188.55</v>
      </c>
      <c r="T316" s="300">
        <f t="shared" si="499"/>
        <v>1940.39</v>
      </c>
      <c r="U316" s="300">
        <f t="shared" si="445"/>
        <v>119052.58000000009</v>
      </c>
      <c r="V316" s="300">
        <f t="shared" si="446"/>
        <v>298306.27999999985</v>
      </c>
      <c r="W316" s="300">
        <f t="shared" si="500"/>
        <v>124095.92000000014</v>
      </c>
      <c r="X316" s="535">
        <f t="shared" si="437"/>
        <v>53439</v>
      </c>
      <c r="Y316" s="300">
        <f t="shared" si="404"/>
        <v>260670.51000000021</v>
      </c>
      <c r="Z316" s="527">
        <f t="shared" si="429"/>
        <v>7.0000000000000007E-2</v>
      </c>
      <c r="AA316" s="300">
        <f t="shared" si="430"/>
        <v>1746.44</v>
      </c>
      <c r="AB316" s="300">
        <f t="shared" si="405"/>
        <v>225.86000000000013</v>
      </c>
      <c r="AC316" s="300">
        <f t="shared" si="431"/>
        <v>1520.58</v>
      </c>
      <c r="AD316" s="300">
        <f t="shared" ref="AD316:AE316" si="504">+AD315</f>
        <v>134.16999999999999</v>
      </c>
      <c r="AE316" s="300">
        <f t="shared" si="504"/>
        <v>188.55</v>
      </c>
      <c r="AF316" s="300">
        <f t="shared" si="407"/>
        <v>2069.1600000000003</v>
      </c>
      <c r="AG316" s="300">
        <f t="shared" si="408"/>
        <v>54479.450000000004</v>
      </c>
      <c r="AH316" s="300">
        <f t="shared" si="409"/>
        <v>387055.87000000023</v>
      </c>
      <c r="AI316" s="545">
        <f t="shared" ref="AI316:AI379" si="505">O316-AA316+AI315</f>
        <v>-24176.460000000065</v>
      </c>
      <c r="AJ316" s="545">
        <f t="shared" si="458"/>
        <v>-136348.7300000001</v>
      </c>
      <c r="AK316" s="545">
        <f t="shared" ref="AK316:AK379" si="506">SUM(AI316:AJ316)</f>
        <v>-160525.19000000018</v>
      </c>
      <c r="AL316" s="300">
        <f t="shared" si="410"/>
        <v>260444.65000000023</v>
      </c>
      <c r="AM316" s="449">
        <f t="shared" si="439"/>
        <v>21</v>
      </c>
      <c r="AN316" s="14">
        <f t="shared" ref="AN316:AN379" si="507">IF(O316=0,0,+O316-C316)</f>
        <v>1196.26</v>
      </c>
      <c r="AO316" s="14">
        <f t="shared" si="477"/>
        <v>174255.16999999993</v>
      </c>
      <c r="AP316" s="14">
        <f t="shared" ref="AP316:AP379" si="508">IF($O316=0,0,+AA316-$C316)</f>
        <v>1325.03</v>
      </c>
      <c r="AS316" s="14">
        <f t="shared" si="433"/>
        <v>1196.26</v>
      </c>
      <c r="AT316" s="14">
        <f t="shared" si="440"/>
        <v>308154.52000000112</v>
      </c>
      <c r="AU316" s="300">
        <f t="shared" si="441"/>
        <v>1288.8737312450903</v>
      </c>
      <c r="AV316" s="300">
        <f t="shared" si="442"/>
        <v>273689.86622928124</v>
      </c>
    </row>
    <row r="317" spans="1:48" x14ac:dyDescent="0.25">
      <c r="A317" s="535">
        <f t="shared" si="494"/>
        <v>53469</v>
      </c>
      <c r="B317" s="300">
        <f t="shared" si="434"/>
        <v>21928.239999999987</v>
      </c>
      <c r="C317" s="14">
        <f t="shared" si="427"/>
        <v>421.41</v>
      </c>
      <c r="D317" s="14">
        <f t="shared" si="443"/>
        <v>339.18</v>
      </c>
      <c r="E317" s="14">
        <f t="shared" si="428"/>
        <v>82.23</v>
      </c>
      <c r="F317" s="14">
        <f t="shared" si="495"/>
        <v>134.16999999999999</v>
      </c>
      <c r="G317" s="14">
        <f t="shared" si="491"/>
        <v>188.55</v>
      </c>
      <c r="H317" s="14">
        <f t="shared" si="492"/>
        <v>744.13000000000011</v>
      </c>
      <c r="I317" s="300">
        <f t="shared" si="496"/>
        <v>61892.360000000022</v>
      </c>
      <c r="J317" s="300">
        <f t="shared" si="497"/>
        <v>66106.760000000038</v>
      </c>
      <c r="K317" s="300">
        <f t="shared" si="498"/>
        <v>21589.059999999987</v>
      </c>
      <c r="L317" s="449">
        <f t="shared" si="479"/>
        <v>21</v>
      </c>
      <c r="M317" s="449">
        <f t="shared" si="435"/>
        <v>258</v>
      </c>
      <c r="N317" s="300">
        <f t="shared" si="436"/>
        <v>124095.92000000014</v>
      </c>
      <c r="O317" s="300">
        <f t="shared" si="401"/>
        <v>1617.67</v>
      </c>
      <c r="P317" s="300">
        <f t="shared" si="444"/>
        <v>893.78000000000009</v>
      </c>
      <c r="Q317" s="300">
        <f t="shared" si="402"/>
        <v>723.89</v>
      </c>
      <c r="R317" s="300">
        <f t="shared" si="502"/>
        <v>134.16999999999999</v>
      </c>
      <c r="S317" s="300">
        <f t="shared" si="503"/>
        <v>188.55</v>
      </c>
      <c r="T317" s="300">
        <f t="shared" si="499"/>
        <v>1940.39</v>
      </c>
      <c r="U317" s="300">
        <f t="shared" si="445"/>
        <v>119946.36000000009</v>
      </c>
      <c r="V317" s="300">
        <f t="shared" si="446"/>
        <v>299030.16999999987</v>
      </c>
      <c r="W317" s="300">
        <f t="shared" si="500"/>
        <v>123202.14000000014</v>
      </c>
      <c r="X317" s="535">
        <f t="shared" si="437"/>
        <v>53469</v>
      </c>
      <c r="Y317" s="300">
        <f t="shared" si="404"/>
        <v>260444.65000000023</v>
      </c>
      <c r="Z317" s="527">
        <f t="shared" si="429"/>
        <v>7.0000000000000007E-2</v>
      </c>
      <c r="AA317" s="300">
        <f t="shared" si="430"/>
        <v>1746.44</v>
      </c>
      <c r="AB317" s="300">
        <f t="shared" si="405"/>
        <v>227.18000000000006</v>
      </c>
      <c r="AC317" s="300">
        <f t="shared" si="431"/>
        <v>1519.26</v>
      </c>
      <c r="AD317" s="300">
        <f t="shared" ref="AD317:AE317" si="509">+AD316</f>
        <v>134.16999999999999</v>
      </c>
      <c r="AE317" s="300">
        <f t="shared" si="509"/>
        <v>188.55</v>
      </c>
      <c r="AF317" s="300">
        <f t="shared" si="407"/>
        <v>2069.1600000000003</v>
      </c>
      <c r="AG317" s="300">
        <f t="shared" si="408"/>
        <v>54706.630000000005</v>
      </c>
      <c r="AH317" s="300">
        <f t="shared" si="409"/>
        <v>388575.13000000024</v>
      </c>
      <c r="AI317" s="545">
        <f t="shared" si="505"/>
        <v>-24305.230000000065</v>
      </c>
      <c r="AJ317" s="545">
        <f t="shared" si="458"/>
        <v>-137015.33000000007</v>
      </c>
      <c r="AK317" s="545">
        <f t="shared" si="506"/>
        <v>-161320.56000000014</v>
      </c>
      <c r="AL317" s="300">
        <f t="shared" si="410"/>
        <v>260217.47000000023</v>
      </c>
      <c r="AM317" s="449">
        <f t="shared" si="439"/>
        <v>21</v>
      </c>
      <c r="AN317" s="14">
        <f t="shared" si="507"/>
        <v>1196.26</v>
      </c>
      <c r="AO317" s="14">
        <f t="shared" si="477"/>
        <v>173700.56999999989</v>
      </c>
      <c r="AP317" s="14">
        <f t="shared" si="508"/>
        <v>1325.03</v>
      </c>
      <c r="AS317" s="14">
        <f t="shared" si="433"/>
        <v>1196.26</v>
      </c>
      <c r="AT317" s="14">
        <f t="shared" si="440"/>
        <v>309350.78000000113</v>
      </c>
      <c r="AU317" s="300">
        <f t="shared" si="441"/>
        <v>1292.095915573203</v>
      </c>
      <c r="AV317" s="300">
        <f t="shared" si="442"/>
        <v>274981.96214485442</v>
      </c>
    </row>
    <row r="318" spans="1:48" x14ac:dyDescent="0.25">
      <c r="A318" s="535">
        <f t="shared" si="494"/>
        <v>53499</v>
      </c>
      <c r="B318" s="300">
        <f t="shared" si="434"/>
        <v>21589.059999999987</v>
      </c>
      <c r="C318" s="14">
        <f t="shared" si="427"/>
        <v>421.41</v>
      </c>
      <c r="D318" s="14">
        <f t="shared" si="443"/>
        <v>340.45000000000005</v>
      </c>
      <c r="E318" s="14">
        <f t="shared" si="428"/>
        <v>80.959999999999994</v>
      </c>
      <c r="F318" s="14">
        <f t="shared" si="495"/>
        <v>134.16999999999999</v>
      </c>
      <c r="G318" s="14">
        <f t="shared" si="491"/>
        <v>188.55</v>
      </c>
      <c r="H318" s="14">
        <f t="shared" si="492"/>
        <v>744.13000000000011</v>
      </c>
      <c r="I318" s="300">
        <f t="shared" si="496"/>
        <v>62232.810000000019</v>
      </c>
      <c r="J318" s="300">
        <f t="shared" si="497"/>
        <v>66187.720000000045</v>
      </c>
      <c r="K318" s="300">
        <f t="shared" si="498"/>
        <v>21248.609999999986</v>
      </c>
      <c r="L318" s="449">
        <f t="shared" si="479"/>
        <v>21</v>
      </c>
      <c r="M318" s="449">
        <f t="shared" si="435"/>
        <v>259</v>
      </c>
      <c r="N318" s="300">
        <f t="shared" si="436"/>
        <v>123202.14000000014</v>
      </c>
      <c r="O318" s="300">
        <f t="shared" ref="O318:O381" si="510">IF($O$9&lt;=A318,IF(+$W317&lt;=0,0,$O$8),0)</f>
        <v>1617.67</v>
      </c>
      <c r="P318" s="300">
        <f t="shared" si="444"/>
        <v>898.99000000000012</v>
      </c>
      <c r="Q318" s="300">
        <f t="shared" ref="Q318:Q381" si="511">IF($O$9&lt;=A318,ROUND(N318*($O$6/12),2),0)</f>
        <v>718.68</v>
      </c>
      <c r="R318" s="300">
        <f t="shared" si="502"/>
        <v>134.16999999999999</v>
      </c>
      <c r="S318" s="300">
        <f t="shared" si="503"/>
        <v>188.55</v>
      </c>
      <c r="T318" s="300">
        <f t="shared" si="499"/>
        <v>1940.39</v>
      </c>
      <c r="U318" s="300">
        <f t="shared" si="445"/>
        <v>120845.35000000009</v>
      </c>
      <c r="V318" s="300">
        <f t="shared" si="446"/>
        <v>299748.84999999986</v>
      </c>
      <c r="W318" s="300">
        <f t="shared" si="500"/>
        <v>122303.15000000014</v>
      </c>
      <c r="X318" s="535">
        <f t="shared" si="437"/>
        <v>53499</v>
      </c>
      <c r="Y318" s="300">
        <f t="shared" ref="Y318:Y381" si="512">IF(+AL317&lt;0,0,+AL317)</f>
        <v>260217.47000000023</v>
      </c>
      <c r="Z318" s="527">
        <f t="shared" si="429"/>
        <v>7.0000000000000007E-2</v>
      </c>
      <c r="AA318" s="300">
        <f t="shared" si="430"/>
        <v>1746.44</v>
      </c>
      <c r="AB318" s="300">
        <f t="shared" ref="AB318:AB381" si="513">+AA318-AC318</f>
        <v>228.5</v>
      </c>
      <c r="AC318" s="300">
        <f t="shared" si="431"/>
        <v>1517.94</v>
      </c>
      <c r="AD318" s="300">
        <f t="shared" ref="AD318:AE318" si="514">+AD317</f>
        <v>134.16999999999999</v>
      </c>
      <c r="AE318" s="300">
        <f t="shared" si="514"/>
        <v>188.55</v>
      </c>
      <c r="AF318" s="300">
        <f t="shared" ref="AF318:AF381" si="515">SUM(AB318:AE318)</f>
        <v>2069.1600000000003</v>
      </c>
      <c r="AG318" s="300">
        <f t="shared" ref="AG318:AG381" si="516">+AB318+AG317</f>
        <v>54935.130000000005</v>
      </c>
      <c r="AH318" s="300">
        <f t="shared" ref="AH318:AH381" si="517">+AH317+AC318</f>
        <v>390093.07000000024</v>
      </c>
      <c r="AI318" s="545">
        <f t="shared" si="505"/>
        <v>-24434.000000000065</v>
      </c>
      <c r="AJ318" s="545">
        <f t="shared" si="458"/>
        <v>-137685.82000000009</v>
      </c>
      <c r="AK318" s="545">
        <f t="shared" si="506"/>
        <v>-162119.82000000015</v>
      </c>
      <c r="AL318" s="300">
        <f t="shared" ref="AL318:AL381" si="518">+Y318-AB318</f>
        <v>259988.97000000023</v>
      </c>
      <c r="AM318" s="449">
        <f t="shared" si="439"/>
        <v>21</v>
      </c>
      <c r="AN318" s="14">
        <f t="shared" si="507"/>
        <v>1196.26</v>
      </c>
      <c r="AO318" s="14">
        <f t="shared" si="477"/>
        <v>173142.02999999991</v>
      </c>
      <c r="AP318" s="14">
        <f t="shared" si="508"/>
        <v>1325.03</v>
      </c>
      <c r="AS318" s="14">
        <f t="shared" si="433"/>
        <v>1196.26</v>
      </c>
      <c r="AT318" s="14">
        <f t="shared" si="440"/>
        <v>310547.04000000114</v>
      </c>
      <c r="AU318" s="300">
        <f t="shared" si="441"/>
        <v>1295.326155362136</v>
      </c>
      <c r="AV318" s="300">
        <f t="shared" si="442"/>
        <v>276277.28830021655</v>
      </c>
    </row>
    <row r="319" spans="1:48" x14ac:dyDescent="0.25">
      <c r="A319" s="535">
        <f t="shared" si="494"/>
        <v>53529</v>
      </c>
      <c r="B319" s="300">
        <f t="shared" si="434"/>
        <v>21248.609999999986</v>
      </c>
      <c r="C319" s="14">
        <f t="shared" si="427"/>
        <v>421.41</v>
      </c>
      <c r="D319" s="14">
        <f t="shared" si="443"/>
        <v>341.73</v>
      </c>
      <c r="E319" s="14">
        <f t="shared" si="428"/>
        <v>79.680000000000007</v>
      </c>
      <c r="F319" s="14">
        <f t="shared" si="495"/>
        <v>134.16999999999999</v>
      </c>
      <c r="G319" s="14">
        <f t="shared" si="491"/>
        <v>188.55</v>
      </c>
      <c r="H319" s="14">
        <f t="shared" si="492"/>
        <v>744.13000000000011</v>
      </c>
      <c r="I319" s="300">
        <f t="shared" si="496"/>
        <v>62574.540000000023</v>
      </c>
      <c r="J319" s="300">
        <f t="shared" si="497"/>
        <v>66267.400000000038</v>
      </c>
      <c r="K319" s="300">
        <f t="shared" si="498"/>
        <v>20906.879999999986</v>
      </c>
      <c r="L319" s="449">
        <f t="shared" si="479"/>
        <v>21</v>
      </c>
      <c r="M319" s="449">
        <f t="shared" si="435"/>
        <v>260</v>
      </c>
      <c r="N319" s="300">
        <f t="shared" si="436"/>
        <v>122303.15000000014</v>
      </c>
      <c r="O319" s="300">
        <f t="shared" si="510"/>
        <v>1617.67</v>
      </c>
      <c r="P319" s="300">
        <f t="shared" si="444"/>
        <v>904.23</v>
      </c>
      <c r="Q319" s="300">
        <f t="shared" si="511"/>
        <v>713.44</v>
      </c>
      <c r="R319" s="300">
        <f t="shared" si="502"/>
        <v>134.16999999999999</v>
      </c>
      <c r="S319" s="300">
        <f t="shared" si="503"/>
        <v>188.55</v>
      </c>
      <c r="T319" s="300">
        <f t="shared" si="499"/>
        <v>1940.39</v>
      </c>
      <c r="U319" s="300">
        <f t="shared" si="445"/>
        <v>121749.58000000009</v>
      </c>
      <c r="V319" s="300">
        <f t="shared" si="446"/>
        <v>300462.28999999986</v>
      </c>
      <c r="W319" s="300">
        <f t="shared" si="500"/>
        <v>121398.92000000014</v>
      </c>
      <c r="X319" s="535">
        <f t="shared" si="437"/>
        <v>53529</v>
      </c>
      <c r="Y319" s="300">
        <f t="shared" si="512"/>
        <v>259988.97000000023</v>
      </c>
      <c r="Z319" s="527">
        <f t="shared" si="429"/>
        <v>7.0000000000000007E-2</v>
      </c>
      <c r="AA319" s="300">
        <f t="shared" si="430"/>
        <v>1746.44</v>
      </c>
      <c r="AB319" s="300">
        <f t="shared" si="513"/>
        <v>229.84000000000015</v>
      </c>
      <c r="AC319" s="300">
        <f t="shared" si="431"/>
        <v>1516.6</v>
      </c>
      <c r="AD319" s="300">
        <f t="shared" ref="AD319:AE319" si="519">+AD318</f>
        <v>134.16999999999999</v>
      </c>
      <c r="AE319" s="300">
        <f t="shared" si="519"/>
        <v>188.55</v>
      </c>
      <c r="AF319" s="300">
        <f t="shared" si="515"/>
        <v>2069.1600000000003</v>
      </c>
      <c r="AG319" s="300">
        <f t="shared" si="516"/>
        <v>55164.97</v>
      </c>
      <c r="AH319" s="300">
        <f t="shared" si="517"/>
        <v>391609.67000000022</v>
      </c>
      <c r="AI319" s="545">
        <f t="shared" si="505"/>
        <v>-24562.770000000066</v>
      </c>
      <c r="AJ319" s="545">
        <f t="shared" si="458"/>
        <v>-138360.21000000008</v>
      </c>
      <c r="AK319" s="545">
        <f t="shared" si="506"/>
        <v>-162922.98000000016</v>
      </c>
      <c r="AL319" s="300">
        <f t="shared" si="518"/>
        <v>259759.13000000024</v>
      </c>
      <c r="AM319" s="449">
        <f t="shared" si="439"/>
        <v>21</v>
      </c>
      <c r="AN319" s="14">
        <f t="shared" si="507"/>
        <v>1196.26</v>
      </c>
      <c r="AO319" s="14">
        <f t="shared" si="477"/>
        <v>172579.52999999991</v>
      </c>
      <c r="AP319" s="14">
        <f t="shared" si="508"/>
        <v>1325.03</v>
      </c>
      <c r="AS319" s="14">
        <f t="shared" si="433"/>
        <v>1196.26</v>
      </c>
      <c r="AT319" s="14">
        <f t="shared" si="440"/>
        <v>311743.30000000115</v>
      </c>
      <c r="AU319" s="300">
        <f t="shared" si="441"/>
        <v>1298.5644707505414</v>
      </c>
      <c r="AV319" s="300">
        <f t="shared" si="442"/>
        <v>277575.85277096706</v>
      </c>
    </row>
    <row r="320" spans="1:48" x14ac:dyDescent="0.25">
      <c r="A320" s="535">
        <f t="shared" si="494"/>
        <v>53559</v>
      </c>
      <c r="B320" s="300">
        <f t="shared" si="434"/>
        <v>20906.879999999986</v>
      </c>
      <c r="C320" s="14">
        <f t="shared" si="427"/>
        <v>421.41</v>
      </c>
      <c r="D320" s="14">
        <f t="shared" si="443"/>
        <v>343.01</v>
      </c>
      <c r="E320" s="14">
        <f t="shared" si="428"/>
        <v>78.400000000000006</v>
      </c>
      <c r="F320" s="14">
        <f t="shared" si="495"/>
        <v>134.16999999999999</v>
      </c>
      <c r="G320" s="14">
        <f t="shared" si="491"/>
        <v>188.55</v>
      </c>
      <c r="H320" s="14">
        <f t="shared" si="492"/>
        <v>744.12999999999988</v>
      </c>
      <c r="I320" s="300">
        <f t="shared" si="496"/>
        <v>62917.550000000025</v>
      </c>
      <c r="J320" s="300">
        <f t="shared" si="497"/>
        <v>66345.800000000032</v>
      </c>
      <c r="K320" s="300">
        <f t="shared" si="498"/>
        <v>20563.869999999988</v>
      </c>
      <c r="L320" s="449">
        <f t="shared" si="479"/>
        <v>21</v>
      </c>
      <c r="M320" s="449">
        <f t="shared" si="435"/>
        <v>261</v>
      </c>
      <c r="N320" s="300">
        <f t="shared" si="436"/>
        <v>121398.92000000014</v>
      </c>
      <c r="O320" s="300">
        <f t="shared" si="510"/>
        <v>1617.67</v>
      </c>
      <c r="P320" s="300">
        <f t="shared" si="444"/>
        <v>909.5100000000001</v>
      </c>
      <c r="Q320" s="300">
        <f t="shared" si="511"/>
        <v>708.16</v>
      </c>
      <c r="R320" s="300">
        <f t="shared" si="502"/>
        <v>134.16999999999999</v>
      </c>
      <c r="S320" s="300">
        <f t="shared" si="503"/>
        <v>188.55</v>
      </c>
      <c r="T320" s="300">
        <f t="shared" si="499"/>
        <v>1940.39</v>
      </c>
      <c r="U320" s="300">
        <f t="shared" si="445"/>
        <v>122659.09000000008</v>
      </c>
      <c r="V320" s="300">
        <f t="shared" si="446"/>
        <v>301170.44999999984</v>
      </c>
      <c r="W320" s="300">
        <f t="shared" si="500"/>
        <v>120489.41000000015</v>
      </c>
      <c r="X320" s="535">
        <f t="shared" si="437"/>
        <v>53559</v>
      </c>
      <c r="Y320" s="300">
        <f t="shared" si="512"/>
        <v>259759.13000000024</v>
      </c>
      <c r="Z320" s="527">
        <f t="shared" si="429"/>
        <v>7.0000000000000007E-2</v>
      </c>
      <c r="AA320" s="300">
        <f t="shared" si="430"/>
        <v>1746.44</v>
      </c>
      <c r="AB320" s="300">
        <f t="shared" si="513"/>
        <v>231.18000000000006</v>
      </c>
      <c r="AC320" s="300">
        <f t="shared" si="431"/>
        <v>1515.26</v>
      </c>
      <c r="AD320" s="300">
        <f t="shared" ref="AD320:AE320" si="520">+AD319</f>
        <v>134.16999999999999</v>
      </c>
      <c r="AE320" s="300">
        <f t="shared" si="520"/>
        <v>188.55</v>
      </c>
      <c r="AF320" s="300">
        <f t="shared" si="515"/>
        <v>2069.1600000000003</v>
      </c>
      <c r="AG320" s="300">
        <f t="shared" si="516"/>
        <v>55396.15</v>
      </c>
      <c r="AH320" s="300">
        <f t="shared" si="517"/>
        <v>393124.93000000023</v>
      </c>
      <c r="AI320" s="545">
        <f t="shared" si="505"/>
        <v>-24691.540000000066</v>
      </c>
      <c r="AJ320" s="545">
        <f t="shared" si="458"/>
        <v>-139038.5400000001</v>
      </c>
      <c r="AK320" s="545">
        <f t="shared" si="506"/>
        <v>-163730.08000000016</v>
      </c>
      <c r="AL320" s="300">
        <f t="shared" si="518"/>
        <v>259527.95000000024</v>
      </c>
      <c r="AM320" s="449">
        <f t="shared" si="439"/>
        <v>21</v>
      </c>
      <c r="AN320" s="14">
        <f t="shared" si="507"/>
        <v>1196.26</v>
      </c>
      <c r="AO320" s="14">
        <f t="shared" si="477"/>
        <v>172013.02999999991</v>
      </c>
      <c r="AP320" s="14">
        <f t="shared" si="508"/>
        <v>1325.03</v>
      </c>
      <c r="AS320" s="14">
        <f t="shared" si="433"/>
        <v>1196.26</v>
      </c>
      <c r="AT320" s="14">
        <f t="shared" si="440"/>
        <v>312939.56000000116</v>
      </c>
      <c r="AU320" s="300">
        <f t="shared" si="441"/>
        <v>1301.8108819274175</v>
      </c>
      <c r="AV320" s="300">
        <f t="shared" si="442"/>
        <v>278877.66365289449</v>
      </c>
    </row>
    <row r="321" spans="1:48" x14ac:dyDescent="0.25">
      <c r="A321" s="535">
        <f t="shared" si="494"/>
        <v>53589</v>
      </c>
      <c r="B321" s="300">
        <f t="shared" si="434"/>
        <v>20563.869999999988</v>
      </c>
      <c r="C321" s="14">
        <f t="shared" si="427"/>
        <v>421.41</v>
      </c>
      <c r="D321" s="14">
        <f t="shared" si="443"/>
        <v>344.3</v>
      </c>
      <c r="E321" s="14">
        <f t="shared" si="428"/>
        <v>77.11</v>
      </c>
      <c r="F321" s="14">
        <f t="shared" si="495"/>
        <v>134.16999999999999</v>
      </c>
      <c r="G321" s="14">
        <f t="shared" si="491"/>
        <v>188.55</v>
      </c>
      <c r="H321" s="14">
        <f t="shared" si="492"/>
        <v>744.13000000000011</v>
      </c>
      <c r="I321" s="300">
        <f t="shared" si="496"/>
        <v>63261.850000000028</v>
      </c>
      <c r="J321" s="300">
        <f t="shared" si="497"/>
        <v>66422.910000000033</v>
      </c>
      <c r="K321" s="300">
        <f t="shared" si="498"/>
        <v>20219.569999999989</v>
      </c>
      <c r="L321" s="449">
        <f t="shared" si="479"/>
        <v>21</v>
      </c>
      <c r="M321" s="449">
        <f t="shared" si="435"/>
        <v>262</v>
      </c>
      <c r="N321" s="300">
        <f t="shared" si="436"/>
        <v>120489.41000000015</v>
      </c>
      <c r="O321" s="300">
        <f t="shared" si="510"/>
        <v>1617.67</v>
      </c>
      <c r="P321" s="300">
        <f t="shared" si="444"/>
        <v>914.82</v>
      </c>
      <c r="Q321" s="300">
        <f t="shared" si="511"/>
        <v>702.85</v>
      </c>
      <c r="R321" s="300">
        <f t="shared" si="502"/>
        <v>134.16999999999999</v>
      </c>
      <c r="S321" s="300">
        <f t="shared" si="503"/>
        <v>188.55</v>
      </c>
      <c r="T321" s="300">
        <f t="shared" si="499"/>
        <v>1940.39</v>
      </c>
      <c r="U321" s="300">
        <f t="shared" si="445"/>
        <v>123573.91000000009</v>
      </c>
      <c r="V321" s="300">
        <f t="shared" si="446"/>
        <v>301873.29999999981</v>
      </c>
      <c r="W321" s="300">
        <f t="shared" si="500"/>
        <v>119574.59000000014</v>
      </c>
      <c r="X321" s="535">
        <f t="shared" si="437"/>
        <v>53589</v>
      </c>
      <c r="Y321" s="300">
        <f t="shared" si="512"/>
        <v>259527.95000000024</v>
      </c>
      <c r="Z321" s="527">
        <f t="shared" si="429"/>
        <v>7.0000000000000007E-2</v>
      </c>
      <c r="AA321" s="300">
        <f t="shared" si="430"/>
        <v>1746.44</v>
      </c>
      <c r="AB321" s="300">
        <f t="shared" si="513"/>
        <v>232.52999999999997</v>
      </c>
      <c r="AC321" s="300">
        <f t="shared" si="431"/>
        <v>1513.91</v>
      </c>
      <c r="AD321" s="300">
        <f t="shared" ref="AD321:AE321" si="521">+AD320</f>
        <v>134.16999999999999</v>
      </c>
      <c r="AE321" s="300">
        <f t="shared" si="521"/>
        <v>188.55</v>
      </c>
      <c r="AF321" s="300">
        <f t="shared" si="515"/>
        <v>2069.1600000000003</v>
      </c>
      <c r="AG321" s="300">
        <f t="shared" si="516"/>
        <v>55628.68</v>
      </c>
      <c r="AH321" s="300">
        <f t="shared" si="517"/>
        <v>394638.8400000002</v>
      </c>
      <c r="AI321" s="545">
        <f t="shared" si="505"/>
        <v>-24820.310000000067</v>
      </c>
      <c r="AJ321" s="545">
        <f t="shared" si="458"/>
        <v>-139720.8300000001</v>
      </c>
      <c r="AK321" s="545">
        <f t="shared" si="506"/>
        <v>-164541.14000000016</v>
      </c>
      <c r="AL321" s="300">
        <f t="shared" si="518"/>
        <v>259295.42000000025</v>
      </c>
      <c r="AM321" s="449">
        <f t="shared" si="439"/>
        <v>21</v>
      </c>
      <c r="AN321" s="14">
        <f t="shared" si="507"/>
        <v>1196.26</v>
      </c>
      <c r="AO321" s="14">
        <f t="shared" si="477"/>
        <v>171442.50999999989</v>
      </c>
      <c r="AP321" s="14">
        <f t="shared" si="508"/>
        <v>1325.03</v>
      </c>
      <c r="AS321" s="14">
        <f t="shared" si="433"/>
        <v>1196.26</v>
      </c>
      <c r="AT321" s="14">
        <f t="shared" si="440"/>
        <v>314135.82000000117</v>
      </c>
      <c r="AU321" s="300">
        <f t="shared" si="441"/>
        <v>1305.0654091322363</v>
      </c>
      <c r="AV321" s="300">
        <f t="shared" si="442"/>
        <v>280182.72906202672</v>
      </c>
    </row>
    <row r="322" spans="1:48" x14ac:dyDescent="0.25">
      <c r="A322" s="535">
        <f t="shared" si="494"/>
        <v>53619</v>
      </c>
      <c r="B322" s="300">
        <f t="shared" si="434"/>
        <v>20219.569999999989</v>
      </c>
      <c r="C322" s="14">
        <f t="shared" si="427"/>
        <v>421.41</v>
      </c>
      <c r="D322" s="14">
        <f t="shared" si="443"/>
        <v>345.59000000000003</v>
      </c>
      <c r="E322" s="14">
        <f t="shared" si="428"/>
        <v>75.819999999999993</v>
      </c>
      <c r="F322" s="14">
        <f t="shared" si="495"/>
        <v>134.16999999999999</v>
      </c>
      <c r="G322" s="14">
        <f t="shared" si="491"/>
        <v>188.55</v>
      </c>
      <c r="H322" s="14">
        <f t="shared" si="492"/>
        <v>744.13000000000011</v>
      </c>
      <c r="I322" s="300">
        <f t="shared" si="496"/>
        <v>63607.440000000024</v>
      </c>
      <c r="J322" s="300">
        <f t="shared" si="497"/>
        <v>66498.73000000004</v>
      </c>
      <c r="K322" s="300">
        <f t="shared" si="498"/>
        <v>19873.979999999989</v>
      </c>
      <c r="L322" s="449">
        <f t="shared" si="479"/>
        <v>21</v>
      </c>
      <c r="M322" s="449">
        <f t="shared" si="435"/>
        <v>263</v>
      </c>
      <c r="N322" s="300">
        <f t="shared" si="436"/>
        <v>119574.59000000014</v>
      </c>
      <c r="O322" s="300">
        <f t="shared" si="510"/>
        <v>1617.67</v>
      </c>
      <c r="P322" s="300">
        <f t="shared" si="444"/>
        <v>920.15000000000009</v>
      </c>
      <c r="Q322" s="300">
        <f t="shared" si="511"/>
        <v>697.52</v>
      </c>
      <c r="R322" s="300">
        <f t="shared" si="502"/>
        <v>134.16999999999999</v>
      </c>
      <c r="S322" s="300">
        <f t="shared" si="503"/>
        <v>188.55</v>
      </c>
      <c r="T322" s="300">
        <f t="shared" si="499"/>
        <v>1940.39</v>
      </c>
      <c r="U322" s="300">
        <f t="shared" si="445"/>
        <v>124494.06000000008</v>
      </c>
      <c r="V322" s="300">
        <f t="shared" si="446"/>
        <v>302570.81999999983</v>
      </c>
      <c r="W322" s="300">
        <f t="shared" si="500"/>
        <v>118654.44000000015</v>
      </c>
      <c r="X322" s="535">
        <f t="shared" si="437"/>
        <v>53619</v>
      </c>
      <c r="Y322" s="300">
        <f t="shared" si="512"/>
        <v>259295.42000000025</v>
      </c>
      <c r="Z322" s="527">
        <f t="shared" si="429"/>
        <v>7.0000000000000007E-2</v>
      </c>
      <c r="AA322" s="300">
        <f t="shared" si="430"/>
        <v>1746.44</v>
      </c>
      <c r="AB322" s="300">
        <f t="shared" si="513"/>
        <v>233.88000000000011</v>
      </c>
      <c r="AC322" s="300">
        <f t="shared" si="431"/>
        <v>1512.56</v>
      </c>
      <c r="AD322" s="300">
        <f t="shared" ref="AD322:AE322" si="522">+AD321</f>
        <v>134.16999999999999</v>
      </c>
      <c r="AE322" s="300">
        <f t="shared" si="522"/>
        <v>188.55</v>
      </c>
      <c r="AF322" s="300">
        <f t="shared" si="515"/>
        <v>2069.1600000000003</v>
      </c>
      <c r="AG322" s="300">
        <f t="shared" si="516"/>
        <v>55862.559999999998</v>
      </c>
      <c r="AH322" s="300">
        <f t="shared" si="517"/>
        <v>396151.4000000002</v>
      </c>
      <c r="AI322" s="545">
        <f t="shared" si="505"/>
        <v>-24949.080000000067</v>
      </c>
      <c r="AJ322" s="545">
        <f t="shared" si="458"/>
        <v>-140407.10000000009</v>
      </c>
      <c r="AK322" s="545">
        <f t="shared" si="506"/>
        <v>-165356.18000000017</v>
      </c>
      <c r="AL322" s="300">
        <f t="shared" si="518"/>
        <v>259061.54000000024</v>
      </c>
      <c r="AM322" s="449">
        <f t="shared" si="439"/>
        <v>21</v>
      </c>
      <c r="AN322" s="14">
        <f t="shared" si="507"/>
        <v>1196.26</v>
      </c>
      <c r="AO322" s="14">
        <f t="shared" si="477"/>
        <v>170867.94999999992</v>
      </c>
      <c r="AP322" s="14">
        <f t="shared" si="508"/>
        <v>1325.03</v>
      </c>
      <c r="AS322" s="14">
        <f t="shared" si="433"/>
        <v>1196.26</v>
      </c>
      <c r="AT322" s="14">
        <f t="shared" si="440"/>
        <v>315332.08000000118</v>
      </c>
      <c r="AU322" s="300">
        <f t="shared" si="441"/>
        <v>1308.3280726550668</v>
      </c>
      <c r="AV322" s="300">
        <f t="shared" si="442"/>
        <v>281491.05713468179</v>
      </c>
    </row>
    <row r="323" spans="1:48" x14ac:dyDescent="0.25">
      <c r="A323" s="535">
        <f t="shared" si="494"/>
        <v>53649</v>
      </c>
      <c r="B323" s="300">
        <f t="shared" si="434"/>
        <v>19873.979999999989</v>
      </c>
      <c r="C323" s="14">
        <f t="shared" si="427"/>
        <v>421.41</v>
      </c>
      <c r="D323" s="14">
        <f t="shared" si="443"/>
        <v>346.88</v>
      </c>
      <c r="E323" s="14">
        <f t="shared" si="428"/>
        <v>74.53</v>
      </c>
      <c r="F323" s="14">
        <f t="shared" si="495"/>
        <v>134.16999999999999</v>
      </c>
      <c r="G323" s="14">
        <f t="shared" si="491"/>
        <v>188.55</v>
      </c>
      <c r="H323" s="14">
        <f t="shared" si="492"/>
        <v>744.12999999999988</v>
      </c>
      <c r="I323" s="300">
        <f t="shared" si="496"/>
        <v>63954.320000000022</v>
      </c>
      <c r="J323" s="300">
        <f t="shared" si="497"/>
        <v>66573.260000000038</v>
      </c>
      <c r="K323" s="300">
        <f t="shared" si="498"/>
        <v>19527.099999999988</v>
      </c>
      <c r="L323" s="449">
        <f t="shared" si="479"/>
        <v>22</v>
      </c>
      <c r="M323" s="449">
        <f t="shared" si="435"/>
        <v>264</v>
      </c>
      <c r="N323" s="300">
        <f t="shared" si="436"/>
        <v>118654.44000000015</v>
      </c>
      <c r="O323" s="300">
        <f t="shared" si="510"/>
        <v>1617.67</v>
      </c>
      <c r="P323" s="300">
        <f t="shared" si="444"/>
        <v>925.5200000000001</v>
      </c>
      <c r="Q323" s="300">
        <f t="shared" si="511"/>
        <v>692.15</v>
      </c>
      <c r="R323" s="300">
        <f t="shared" si="502"/>
        <v>134.16999999999999</v>
      </c>
      <c r="S323" s="300">
        <f t="shared" si="503"/>
        <v>188.55</v>
      </c>
      <c r="T323" s="300">
        <f t="shared" si="499"/>
        <v>1940.39</v>
      </c>
      <c r="U323" s="300">
        <f t="shared" si="445"/>
        <v>125419.58000000009</v>
      </c>
      <c r="V323" s="300">
        <f t="shared" si="446"/>
        <v>303262.96999999986</v>
      </c>
      <c r="W323" s="300">
        <f t="shared" si="500"/>
        <v>117728.92000000014</v>
      </c>
      <c r="X323" s="535">
        <f t="shared" si="437"/>
        <v>53649</v>
      </c>
      <c r="Y323" s="300">
        <f t="shared" si="512"/>
        <v>259061.54000000024</v>
      </c>
      <c r="Z323" s="527">
        <f t="shared" si="429"/>
        <v>7.0000000000000007E-2</v>
      </c>
      <c r="AA323" s="300">
        <f t="shared" si="430"/>
        <v>1746.44</v>
      </c>
      <c r="AB323" s="300">
        <f t="shared" si="513"/>
        <v>235.25</v>
      </c>
      <c r="AC323" s="300">
        <f t="shared" si="431"/>
        <v>1511.19</v>
      </c>
      <c r="AD323" s="300">
        <f t="shared" ref="AD323:AE323" si="523">+AD322</f>
        <v>134.16999999999999</v>
      </c>
      <c r="AE323" s="300">
        <f t="shared" si="523"/>
        <v>188.55</v>
      </c>
      <c r="AF323" s="300">
        <f t="shared" si="515"/>
        <v>2069.1600000000003</v>
      </c>
      <c r="AG323" s="300">
        <f t="shared" si="516"/>
        <v>56097.81</v>
      </c>
      <c r="AH323" s="300">
        <f t="shared" si="517"/>
        <v>397662.5900000002</v>
      </c>
      <c r="AI323" s="545">
        <f t="shared" si="505"/>
        <v>-25077.850000000068</v>
      </c>
      <c r="AJ323" s="545">
        <f t="shared" si="458"/>
        <v>-141097.37000000011</v>
      </c>
      <c r="AK323" s="545">
        <f t="shared" si="506"/>
        <v>-166175.22000000018</v>
      </c>
      <c r="AL323" s="300">
        <f t="shared" si="518"/>
        <v>258826.29000000024</v>
      </c>
      <c r="AM323" s="449">
        <f t="shared" si="439"/>
        <v>22</v>
      </c>
      <c r="AN323" s="14">
        <f t="shared" si="507"/>
        <v>1196.26</v>
      </c>
      <c r="AO323" s="14">
        <f t="shared" si="477"/>
        <v>170289.30999999994</v>
      </c>
      <c r="AP323" s="14">
        <f t="shared" si="508"/>
        <v>1325.03</v>
      </c>
      <c r="AS323" s="14">
        <f t="shared" si="433"/>
        <v>1196.26</v>
      </c>
      <c r="AT323" s="14">
        <f t="shared" si="440"/>
        <v>316528.34000000119</v>
      </c>
      <c r="AU323" s="300">
        <f t="shared" si="441"/>
        <v>1311.5988928367046</v>
      </c>
      <c r="AV323" s="300">
        <f t="shared" si="442"/>
        <v>282802.6560275185</v>
      </c>
    </row>
    <row r="324" spans="1:48" x14ac:dyDescent="0.25">
      <c r="A324" s="535">
        <f t="shared" si="494"/>
        <v>53679</v>
      </c>
      <c r="B324" s="300">
        <f t="shared" si="434"/>
        <v>19527.099999999988</v>
      </c>
      <c r="C324" s="14">
        <f t="shared" si="427"/>
        <v>421.41</v>
      </c>
      <c r="D324" s="14">
        <f t="shared" si="443"/>
        <v>348.18</v>
      </c>
      <c r="E324" s="14">
        <f t="shared" si="428"/>
        <v>73.23</v>
      </c>
      <c r="F324" s="14">
        <f t="shared" si="495"/>
        <v>134.16999999999999</v>
      </c>
      <c r="G324" s="14">
        <f t="shared" si="491"/>
        <v>188.55</v>
      </c>
      <c r="H324" s="14">
        <f t="shared" si="492"/>
        <v>744.13000000000011</v>
      </c>
      <c r="I324" s="300">
        <f t="shared" si="496"/>
        <v>64302.500000000022</v>
      </c>
      <c r="J324" s="300">
        <f t="shared" si="497"/>
        <v>66646.490000000034</v>
      </c>
      <c r="K324" s="300">
        <f t="shared" si="498"/>
        <v>19178.919999999987</v>
      </c>
      <c r="L324" s="449">
        <f t="shared" si="479"/>
        <v>22</v>
      </c>
      <c r="M324" s="449">
        <f t="shared" si="435"/>
        <v>265</v>
      </c>
      <c r="N324" s="300">
        <f t="shared" si="436"/>
        <v>117728.92000000014</v>
      </c>
      <c r="O324" s="300">
        <f t="shared" si="510"/>
        <v>1617.67</v>
      </c>
      <c r="P324" s="300">
        <f t="shared" si="444"/>
        <v>930.92000000000007</v>
      </c>
      <c r="Q324" s="300">
        <f t="shared" si="511"/>
        <v>686.75</v>
      </c>
      <c r="R324" s="300">
        <f t="shared" si="502"/>
        <v>134.16999999999999</v>
      </c>
      <c r="S324" s="300">
        <f t="shared" si="503"/>
        <v>188.55</v>
      </c>
      <c r="T324" s="300">
        <f t="shared" si="499"/>
        <v>1940.39</v>
      </c>
      <c r="U324" s="300">
        <f t="shared" si="445"/>
        <v>126350.50000000009</v>
      </c>
      <c r="V324" s="300">
        <f t="shared" si="446"/>
        <v>303949.71999999986</v>
      </c>
      <c r="W324" s="300">
        <f t="shared" si="500"/>
        <v>116798.00000000015</v>
      </c>
      <c r="X324" s="535">
        <f t="shared" si="437"/>
        <v>53679</v>
      </c>
      <c r="Y324" s="300">
        <f t="shared" si="512"/>
        <v>258826.29000000024</v>
      </c>
      <c r="Z324" s="527">
        <f t="shared" si="429"/>
        <v>7.0000000000000007E-2</v>
      </c>
      <c r="AA324" s="300">
        <f t="shared" si="430"/>
        <v>1746.44</v>
      </c>
      <c r="AB324" s="300">
        <f t="shared" si="513"/>
        <v>236.62000000000012</v>
      </c>
      <c r="AC324" s="300">
        <f t="shared" si="431"/>
        <v>1509.82</v>
      </c>
      <c r="AD324" s="300">
        <f t="shared" ref="AD324:AE324" si="524">+AD323</f>
        <v>134.16999999999999</v>
      </c>
      <c r="AE324" s="300">
        <f t="shared" si="524"/>
        <v>188.55</v>
      </c>
      <c r="AF324" s="300">
        <f t="shared" si="515"/>
        <v>2069.1600000000003</v>
      </c>
      <c r="AG324" s="300">
        <f t="shared" si="516"/>
        <v>56334.43</v>
      </c>
      <c r="AH324" s="300">
        <f t="shared" si="517"/>
        <v>399172.41000000021</v>
      </c>
      <c r="AI324" s="545">
        <f t="shared" si="505"/>
        <v>-25206.620000000068</v>
      </c>
      <c r="AJ324" s="545">
        <f t="shared" si="458"/>
        <v>-141791.6700000001</v>
      </c>
      <c r="AK324" s="545">
        <f t="shared" si="506"/>
        <v>-166998.29000000015</v>
      </c>
      <c r="AL324" s="300">
        <f t="shared" si="518"/>
        <v>258589.67000000025</v>
      </c>
      <c r="AM324" s="449">
        <f t="shared" si="439"/>
        <v>22</v>
      </c>
      <c r="AN324" s="14">
        <f t="shared" si="507"/>
        <v>1196.26</v>
      </c>
      <c r="AO324" s="14">
        <f t="shared" si="477"/>
        <v>169706.56999999992</v>
      </c>
      <c r="AP324" s="14">
        <f t="shared" si="508"/>
        <v>1325.03</v>
      </c>
      <c r="AS324" s="14">
        <f t="shared" si="433"/>
        <v>1196.26</v>
      </c>
      <c r="AT324" s="14">
        <f t="shared" si="440"/>
        <v>317724.6000000012</v>
      </c>
      <c r="AU324" s="300">
        <f t="shared" si="441"/>
        <v>1314.877890068796</v>
      </c>
      <c r="AV324" s="300">
        <f t="shared" si="442"/>
        <v>284117.53391758731</v>
      </c>
    </row>
    <row r="325" spans="1:48" x14ac:dyDescent="0.25">
      <c r="A325" s="535">
        <f t="shared" si="494"/>
        <v>53709</v>
      </c>
      <c r="B325" s="300">
        <f t="shared" si="434"/>
        <v>19178.919999999987</v>
      </c>
      <c r="C325" s="14">
        <f t="shared" si="427"/>
        <v>421.41</v>
      </c>
      <c r="D325" s="14">
        <f t="shared" si="443"/>
        <v>349.49</v>
      </c>
      <c r="E325" s="14">
        <f t="shared" si="428"/>
        <v>71.92</v>
      </c>
      <c r="F325" s="14">
        <f t="shared" si="495"/>
        <v>134.16999999999999</v>
      </c>
      <c r="G325" s="14">
        <f t="shared" si="491"/>
        <v>188.55</v>
      </c>
      <c r="H325" s="14">
        <f t="shared" si="492"/>
        <v>744.13000000000011</v>
      </c>
      <c r="I325" s="300">
        <f t="shared" si="496"/>
        <v>64651.99000000002</v>
      </c>
      <c r="J325" s="300">
        <f t="shared" si="497"/>
        <v>66718.410000000033</v>
      </c>
      <c r="K325" s="300">
        <f t="shared" si="498"/>
        <v>18829.429999999986</v>
      </c>
      <c r="L325" s="449">
        <f t="shared" si="479"/>
        <v>22</v>
      </c>
      <c r="M325" s="449">
        <f t="shared" si="435"/>
        <v>266</v>
      </c>
      <c r="N325" s="300">
        <f t="shared" si="436"/>
        <v>116798.00000000015</v>
      </c>
      <c r="O325" s="300">
        <f t="shared" si="510"/>
        <v>1617.67</v>
      </c>
      <c r="P325" s="300">
        <f t="shared" si="444"/>
        <v>936.35</v>
      </c>
      <c r="Q325" s="300">
        <f t="shared" si="511"/>
        <v>681.32</v>
      </c>
      <c r="R325" s="300">
        <f t="shared" si="502"/>
        <v>134.16999999999999</v>
      </c>
      <c r="S325" s="300">
        <f t="shared" si="503"/>
        <v>188.55</v>
      </c>
      <c r="T325" s="300">
        <f t="shared" si="499"/>
        <v>1940.39</v>
      </c>
      <c r="U325" s="300">
        <f t="shared" si="445"/>
        <v>127286.85000000009</v>
      </c>
      <c r="V325" s="300">
        <f t="shared" si="446"/>
        <v>304631.03999999986</v>
      </c>
      <c r="W325" s="300">
        <f t="shared" si="500"/>
        <v>115861.65000000014</v>
      </c>
      <c r="X325" s="535">
        <f t="shared" si="437"/>
        <v>53709</v>
      </c>
      <c r="Y325" s="300">
        <f t="shared" si="512"/>
        <v>258589.67000000025</v>
      </c>
      <c r="Z325" s="527">
        <f t="shared" si="429"/>
        <v>7.0000000000000007E-2</v>
      </c>
      <c r="AA325" s="300">
        <f t="shared" si="430"/>
        <v>1746.44</v>
      </c>
      <c r="AB325" s="300">
        <f t="shared" si="513"/>
        <v>238</v>
      </c>
      <c r="AC325" s="300">
        <f t="shared" si="431"/>
        <v>1508.44</v>
      </c>
      <c r="AD325" s="300">
        <f t="shared" ref="AD325:AE325" si="525">+AD324</f>
        <v>134.16999999999999</v>
      </c>
      <c r="AE325" s="300">
        <f t="shared" si="525"/>
        <v>188.55</v>
      </c>
      <c r="AF325" s="300">
        <f t="shared" si="515"/>
        <v>2069.1600000000003</v>
      </c>
      <c r="AG325" s="300">
        <f t="shared" si="516"/>
        <v>56572.43</v>
      </c>
      <c r="AH325" s="300">
        <f t="shared" si="517"/>
        <v>400680.85000000021</v>
      </c>
      <c r="AI325" s="545">
        <f t="shared" si="505"/>
        <v>-25335.390000000069</v>
      </c>
      <c r="AJ325" s="545">
        <f t="shared" si="458"/>
        <v>-142490.02000000011</v>
      </c>
      <c r="AK325" s="545">
        <f t="shared" si="506"/>
        <v>-167825.41000000018</v>
      </c>
      <c r="AL325" s="300">
        <f t="shared" si="518"/>
        <v>258351.67000000025</v>
      </c>
      <c r="AM325" s="449">
        <f t="shared" si="439"/>
        <v>22</v>
      </c>
      <c r="AN325" s="14">
        <f t="shared" si="507"/>
        <v>1196.26</v>
      </c>
      <c r="AO325" s="14">
        <f t="shared" si="477"/>
        <v>169119.7099999999</v>
      </c>
      <c r="AP325" s="14">
        <f t="shared" si="508"/>
        <v>1325.03</v>
      </c>
      <c r="AS325" s="14">
        <f t="shared" si="433"/>
        <v>1196.26</v>
      </c>
      <c r="AT325" s="14">
        <f t="shared" si="440"/>
        <v>318920.86000000121</v>
      </c>
      <c r="AU325" s="300">
        <f t="shared" si="441"/>
        <v>1318.1650847939679</v>
      </c>
      <c r="AV325" s="300">
        <f t="shared" si="442"/>
        <v>285435.6990023813</v>
      </c>
    </row>
    <row r="326" spans="1:48" ht="15.75" thickBot="1" x14ac:dyDescent="0.3">
      <c r="A326" s="538">
        <f t="shared" si="494"/>
        <v>53739</v>
      </c>
      <c r="B326" s="369">
        <f t="shared" si="434"/>
        <v>18829.429999999986</v>
      </c>
      <c r="C326" s="21">
        <f t="shared" si="427"/>
        <v>421.41</v>
      </c>
      <c r="D326" s="21">
        <f t="shared" si="443"/>
        <v>350.8</v>
      </c>
      <c r="E326" s="21">
        <f t="shared" si="428"/>
        <v>70.61</v>
      </c>
      <c r="F326" s="21">
        <f t="shared" si="495"/>
        <v>134.16999999999999</v>
      </c>
      <c r="G326" s="21">
        <f t="shared" si="491"/>
        <v>188.55</v>
      </c>
      <c r="H326" s="21">
        <f t="shared" si="492"/>
        <v>744.13000000000011</v>
      </c>
      <c r="I326" s="369">
        <f t="shared" si="496"/>
        <v>65002.790000000023</v>
      </c>
      <c r="J326" s="369">
        <f t="shared" si="497"/>
        <v>66789.020000000033</v>
      </c>
      <c r="K326" s="369">
        <f t="shared" si="498"/>
        <v>18478.629999999986</v>
      </c>
      <c r="L326" s="450">
        <f t="shared" si="479"/>
        <v>22</v>
      </c>
      <c r="M326" s="450">
        <f t="shared" si="435"/>
        <v>267</v>
      </c>
      <c r="N326" s="369">
        <f t="shared" si="436"/>
        <v>115861.65000000014</v>
      </c>
      <c r="O326" s="369">
        <f t="shared" si="510"/>
        <v>1617.67</v>
      </c>
      <c r="P326" s="369">
        <f t="shared" si="444"/>
        <v>941.81000000000006</v>
      </c>
      <c r="Q326" s="369">
        <f t="shared" si="511"/>
        <v>675.86</v>
      </c>
      <c r="R326" s="369">
        <f t="shared" si="502"/>
        <v>134.16999999999999</v>
      </c>
      <c r="S326" s="369">
        <f t="shared" si="503"/>
        <v>188.55</v>
      </c>
      <c r="T326" s="369">
        <f t="shared" si="499"/>
        <v>1940.39</v>
      </c>
      <c r="U326" s="369">
        <f t="shared" si="445"/>
        <v>128228.66000000009</v>
      </c>
      <c r="V326" s="369">
        <f t="shared" si="446"/>
        <v>305306.89999999985</v>
      </c>
      <c r="W326" s="369">
        <f t="shared" si="500"/>
        <v>114919.84000000014</v>
      </c>
      <c r="X326" s="538">
        <f t="shared" si="437"/>
        <v>53739</v>
      </c>
      <c r="Y326" s="369">
        <f t="shared" si="512"/>
        <v>258351.67000000025</v>
      </c>
      <c r="Z326" s="528">
        <f t="shared" si="429"/>
        <v>7.0000000000000007E-2</v>
      </c>
      <c r="AA326" s="369">
        <f t="shared" si="430"/>
        <v>1746.44</v>
      </c>
      <c r="AB326" s="369">
        <f t="shared" si="513"/>
        <v>239.3900000000001</v>
      </c>
      <c r="AC326" s="369">
        <f t="shared" si="431"/>
        <v>1507.05</v>
      </c>
      <c r="AD326" s="369">
        <f t="shared" ref="AD326:AE326" si="526">+AD325</f>
        <v>134.16999999999999</v>
      </c>
      <c r="AE326" s="369">
        <f t="shared" si="526"/>
        <v>188.55</v>
      </c>
      <c r="AF326" s="369">
        <f t="shared" si="515"/>
        <v>2069.1600000000003</v>
      </c>
      <c r="AG326" s="369">
        <f t="shared" si="516"/>
        <v>56811.82</v>
      </c>
      <c r="AH326" s="369">
        <f t="shared" si="517"/>
        <v>402187.9000000002</v>
      </c>
      <c r="AI326" s="546">
        <f t="shared" si="505"/>
        <v>-25464.160000000069</v>
      </c>
      <c r="AJ326" s="546">
        <f t="shared" si="458"/>
        <v>-143192.44000000009</v>
      </c>
      <c r="AK326" s="545">
        <f t="shared" si="506"/>
        <v>-168656.60000000015</v>
      </c>
      <c r="AL326" s="369">
        <f t="shared" si="518"/>
        <v>258112.28000000023</v>
      </c>
      <c r="AM326" s="450">
        <f t="shared" si="439"/>
        <v>22</v>
      </c>
      <c r="AN326" s="21">
        <f t="shared" si="507"/>
        <v>1196.26</v>
      </c>
      <c r="AO326" s="21">
        <f t="shared" si="477"/>
        <v>168528.6999999999</v>
      </c>
      <c r="AP326" s="21">
        <f t="shared" si="508"/>
        <v>1325.03</v>
      </c>
      <c r="AQ326" s="21"/>
      <c r="AR326" s="23"/>
      <c r="AS326" s="21">
        <f t="shared" si="433"/>
        <v>1196.26</v>
      </c>
      <c r="AT326" s="21">
        <f t="shared" si="440"/>
        <v>320117.12000000122</v>
      </c>
      <c r="AU326" s="369">
        <f t="shared" si="441"/>
        <v>1321.4604975059531</v>
      </c>
      <c r="AV326" s="369">
        <f t="shared" si="442"/>
        <v>286757.15949988726</v>
      </c>
    </row>
    <row r="327" spans="1:48" x14ac:dyDescent="0.25">
      <c r="A327" s="535">
        <f t="shared" si="494"/>
        <v>53769</v>
      </c>
      <c r="B327" s="300">
        <f t="shared" si="434"/>
        <v>18478.629999999986</v>
      </c>
      <c r="C327" s="14">
        <f t="shared" si="427"/>
        <v>421.41</v>
      </c>
      <c r="D327" s="14">
        <f t="shared" si="443"/>
        <v>352.12</v>
      </c>
      <c r="E327" s="14">
        <f t="shared" si="428"/>
        <v>69.290000000000006</v>
      </c>
      <c r="F327" s="14">
        <f t="shared" si="495"/>
        <v>134.16999999999999</v>
      </c>
      <c r="G327" s="14">
        <f t="shared" si="491"/>
        <v>188.55</v>
      </c>
      <c r="H327" s="14">
        <f t="shared" si="492"/>
        <v>744.13000000000011</v>
      </c>
      <c r="I327" s="300">
        <f t="shared" si="496"/>
        <v>65354.910000000025</v>
      </c>
      <c r="J327" s="300">
        <f t="shared" si="497"/>
        <v>66858.310000000027</v>
      </c>
      <c r="K327" s="300">
        <f t="shared" si="498"/>
        <v>18126.509999999987</v>
      </c>
      <c r="L327" s="449">
        <f t="shared" si="479"/>
        <v>22</v>
      </c>
      <c r="M327" s="449">
        <f t="shared" si="435"/>
        <v>268</v>
      </c>
      <c r="N327" s="300">
        <f t="shared" si="436"/>
        <v>114919.84000000014</v>
      </c>
      <c r="O327" s="300">
        <f t="shared" si="510"/>
        <v>1617.67</v>
      </c>
      <c r="P327" s="300">
        <f t="shared" si="444"/>
        <v>947.30000000000007</v>
      </c>
      <c r="Q327" s="300">
        <f t="shared" si="511"/>
        <v>670.37</v>
      </c>
      <c r="R327" s="300">
        <f t="shared" si="502"/>
        <v>134.16999999999999</v>
      </c>
      <c r="S327" s="300">
        <f t="shared" si="503"/>
        <v>188.55</v>
      </c>
      <c r="T327" s="300">
        <f t="shared" si="499"/>
        <v>1940.39</v>
      </c>
      <c r="U327" s="300">
        <f t="shared" si="445"/>
        <v>129175.96000000009</v>
      </c>
      <c r="V327" s="300">
        <f t="shared" si="446"/>
        <v>305977.26999999984</v>
      </c>
      <c r="W327" s="300">
        <f t="shared" si="500"/>
        <v>113972.54000000014</v>
      </c>
      <c r="X327" s="535">
        <f t="shared" si="437"/>
        <v>53769</v>
      </c>
      <c r="Y327" s="300">
        <f t="shared" si="512"/>
        <v>258112.28000000023</v>
      </c>
      <c r="Z327" s="527">
        <f t="shared" si="429"/>
        <v>7.0000000000000007E-2</v>
      </c>
      <c r="AA327" s="300">
        <f t="shared" si="430"/>
        <v>1746.44</v>
      </c>
      <c r="AB327" s="300">
        <f t="shared" si="513"/>
        <v>240.78999999999996</v>
      </c>
      <c r="AC327" s="300">
        <f t="shared" si="431"/>
        <v>1505.65</v>
      </c>
      <c r="AD327" s="300">
        <f t="shared" ref="AD327:AE327" si="527">+AD326</f>
        <v>134.16999999999999</v>
      </c>
      <c r="AE327" s="300">
        <f t="shared" si="527"/>
        <v>188.55</v>
      </c>
      <c r="AF327" s="300">
        <f t="shared" si="515"/>
        <v>2069.1600000000003</v>
      </c>
      <c r="AG327" s="300">
        <f t="shared" si="516"/>
        <v>57052.61</v>
      </c>
      <c r="AH327" s="300">
        <f t="shared" si="517"/>
        <v>403693.55000000022</v>
      </c>
      <c r="AI327" s="545">
        <f t="shared" si="505"/>
        <v>-25592.930000000069</v>
      </c>
      <c r="AJ327" s="545">
        <f t="shared" si="458"/>
        <v>-143898.95000000007</v>
      </c>
      <c r="AK327" s="545">
        <f t="shared" si="506"/>
        <v>-169491.88000000015</v>
      </c>
      <c r="AL327" s="300">
        <f t="shared" si="518"/>
        <v>257871.49000000022</v>
      </c>
      <c r="AM327" s="449">
        <f t="shared" si="439"/>
        <v>22</v>
      </c>
      <c r="AN327" s="14">
        <f t="shared" si="507"/>
        <v>1196.26</v>
      </c>
      <c r="AO327" s="14">
        <f t="shared" si="477"/>
        <v>167933.5199999999</v>
      </c>
      <c r="AP327" s="14">
        <f t="shared" si="508"/>
        <v>1325.03</v>
      </c>
      <c r="AS327" s="14">
        <f t="shared" si="433"/>
        <v>1196.26</v>
      </c>
      <c r="AT327" s="14">
        <f t="shared" si="440"/>
        <v>321313.38000000123</v>
      </c>
      <c r="AU327" s="300">
        <f t="shared" si="441"/>
        <v>1324.7641487497181</v>
      </c>
      <c r="AV327" s="300">
        <f t="shared" si="442"/>
        <v>288081.92364863696</v>
      </c>
    </row>
    <row r="328" spans="1:48" x14ac:dyDescent="0.25">
      <c r="A328" s="535">
        <f t="shared" si="494"/>
        <v>53799</v>
      </c>
      <c r="B328" s="300">
        <f t="shared" si="434"/>
        <v>18126.509999999987</v>
      </c>
      <c r="C328" s="14">
        <f t="shared" si="427"/>
        <v>421.41</v>
      </c>
      <c r="D328" s="14">
        <f t="shared" si="443"/>
        <v>353.44000000000005</v>
      </c>
      <c r="E328" s="14">
        <f t="shared" si="428"/>
        <v>67.97</v>
      </c>
      <c r="F328" s="14">
        <f t="shared" si="495"/>
        <v>134.16999999999999</v>
      </c>
      <c r="G328" s="14">
        <f t="shared" si="491"/>
        <v>188.55</v>
      </c>
      <c r="H328" s="14">
        <f t="shared" si="492"/>
        <v>744.13000000000011</v>
      </c>
      <c r="I328" s="300">
        <f t="shared" si="496"/>
        <v>65708.35000000002</v>
      </c>
      <c r="J328" s="300">
        <f t="shared" si="497"/>
        <v>66926.280000000028</v>
      </c>
      <c r="K328" s="300">
        <f t="shared" si="498"/>
        <v>17773.069999999989</v>
      </c>
      <c r="L328" s="449">
        <f t="shared" si="479"/>
        <v>22</v>
      </c>
      <c r="M328" s="449">
        <f t="shared" si="435"/>
        <v>269</v>
      </c>
      <c r="N328" s="300">
        <f t="shared" si="436"/>
        <v>113972.54000000014</v>
      </c>
      <c r="O328" s="300">
        <f t="shared" si="510"/>
        <v>1617.67</v>
      </c>
      <c r="P328" s="300">
        <f t="shared" si="444"/>
        <v>952.83</v>
      </c>
      <c r="Q328" s="300">
        <f t="shared" si="511"/>
        <v>664.84</v>
      </c>
      <c r="R328" s="300">
        <f t="shared" si="502"/>
        <v>134.16999999999999</v>
      </c>
      <c r="S328" s="300">
        <f t="shared" si="503"/>
        <v>188.55</v>
      </c>
      <c r="T328" s="300">
        <f t="shared" si="499"/>
        <v>1940.39</v>
      </c>
      <c r="U328" s="300">
        <f t="shared" si="445"/>
        <v>130128.7900000001</v>
      </c>
      <c r="V328" s="300">
        <f t="shared" si="446"/>
        <v>306642.10999999987</v>
      </c>
      <c r="W328" s="300">
        <f t="shared" si="500"/>
        <v>113019.71000000014</v>
      </c>
      <c r="X328" s="535">
        <f t="shared" si="437"/>
        <v>53799</v>
      </c>
      <c r="Y328" s="300">
        <f t="shared" si="512"/>
        <v>257871.49000000022</v>
      </c>
      <c r="Z328" s="527">
        <f t="shared" si="429"/>
        <v>7.0000000000000007E-2</v>
      </c>
      <c r="AA328" s="300">
        <f t="shared" si="430"/>
        <v>1746.44</v>
      </c>
      <c r="AB328" s="300">
        <f t="shared" si="513"/>
        <v>242.19000000000005</v>
      </c>
      <c r="AC328" s="300">
        <f t="shared" si="431"/>
        <v>1504.25</v>
      </c>
      <c r="AD328" s="300">
        <f t="shared" ref="AD328:AE328" si="528">+AD327</f>
        <v>134.16999999999999</v>
      </c>
      <c r="AE328" s="300">
        <f t="shared" si="528"/>
        <v>188.55</v>
      </c>
      <c r="AF328" s="300">
        <f t="shared" si="515"/>
        <v>2069.1600000000003</v>
      </c>
      <c r="AG328" s="300">
        <f t="shared" si="516"/>
        <v>57294.8</v>
      </c>
      <c r="AH328" s="300">
        <f t="shared" si="517"/>
        <v>405197.80000000022</v>
      </c>
      <c r="AI328" s="545">
        <f t="shared" si="505"/>
        <v>-25721.70000000007</v>
      </c>
      <c r="AJ328" s="545">
        <f t="shared" si="458"/>
        <v>-144609.59000000008</v>
      </c>
      <c r="AK328" s="545">
        <f t="shared" si="506"/>
        <v>-170331.29000000015</v>
      </c>
      <c r="AL328" s="300">
        <f t="shared" si="518"/>
        <v>257629.30000000022</v>
      </c>
      <c r="AM328" s="449">
        <f t="shared" si="439"/>
        <v>22</v>
      </c>
      <c r="AN328" s="14">
        <f t="shared" si="507"/>
        <v>1196.26</v>
      </c>
      <c r="AO328" s="14">
        <f t="shared" si="477"/>
        <v>167334.12999999989</v>
      </c>
      <c r="AP328" s="14">
        <f t="shared" si="508"/>
        <v>1325.03</v>
      </c>
      <c r="AS328" s="14">
        <f t="shared" si="433"/>
        <v>1196.26</v>
      </c>
      <c r="AT328" s="14">
        <f t="shared" si="440"/>
        <v>322509.64000000124</v>
      </c>
      <c r="AU328" s="300">
        <f t="shared" si="441"/>
        <v>1328.0760591215924</v>
      </c>
      <c r="AV328" s="300">
        <f t="shared" si="442"/>
        <v>289409.99970775854</v>
      </c>
    </row>
    <row r="329" spans="1:48" x14ac:dyDescent="0.25">
      <c r="A329" s="535">
        <f t="shared" si="494"/>
        <v>53829</v>
      </c>
      <c r="B329" s="300">
        <f t="shared" si="434"/>
        <v>17773.069999999989</v>
      </c>
      <c r="C329" s="14">
        <f t="shared" si="427"/>
        <v>421.41</v>
      </c>
      <c r="D329" s="14">
        <f t="shared" si="443"/>
        <v>354.76</v>
      </c>
      <c r="E329" s="14">
        <f t="shared" si="428"/>
        <v>66.650000000000006</v>
      </c>
      <c r="F329" s="14">
        <f t="shared" si="495"/>
        <v>134.16999999999999</v>
      </c>
      <c r="G329" s="14">
        <f t="shared" si="491"/>
        <v>188.55</v>
      </c>
      <c r="H329" s="14">
        <f t="shared" si="492"/>
        <v>744.12999999999988</v>
      </c>
      <c r="I329" s="300">
        <f t="shared" si="496"/>
        <v>66063.110000000015</v>
      </c>
      <c r="J329" s="300">
        <f t="shared" si="497"/>
        <v>66992.930000000022</v>
      </c>
      <c r="K329" s="300">
        <f t="shared" si="498"/>
        <v>17418.30999999999</v>
      </c>
      <c r="L329" s="449">
        <f t="shared" si="479"/>
        <v>22</v>
      </c>
      <c r="M329" s="449">
        <f t="shared" si="435"/>
        <v>270</v>
      </c>
      <c r="N329" s="300">
        <f t="shared" si="436"/>
        <v>113019.71000000014</v>
      </c>
      <c r="O329" s="300">
        <f t="shared" si="510"/>
        <v>1617.67</v>
      </c>
      <c r="P329" s="300">
        <f t="shared" si="444"/>
        <v>958.3900000000001</v>
      </c>
      <c r="Q329" s="300">
        <f t="shared" si="511"/>
        <v>659.28</v>
      </c>
      <c r="R329" s="300">
        <f t="shared" si="502"/>
        <v>134.16999999999999</v>
      </c>
      <c r="S329" s="300">
        <f t="shared" si="503"/>
        <v>188.55</v>
      </c>
      <c r="T329" s="300">
        <f t="shared" si="499"/>
        <v>1940.39</v>
      </c>
      <c r="U329" s="300">
        <f t="shared" si="445"/>
        <v>131087.18000000011</v>
      </c>
      <c r="V329" s="300">
        <f t="shared" si="446"/>
        <v>307301.3899999999</v>
      </c>
      <c r="W329" s="300">
        <f t="shared" si="500"/>
        <v>112061.32000000014</v>
      </c>
      <c r="X329" s="535">
        <f t="shared" si="437"/>
        <v>53829</v>
      </c>
      <c r="Y329" s="300">
        <f t="shared" si="512"/>
        <v>257629.30000000022</v>
      </c>
      <c r="Z329" s="527">
        <f t="shared" si="429"/>
        <v>7.0000000000000007E-2</v>
      </c>
      <c r="AA329" s="300">
        <f t="shared" si="430"/>
        <v>1746.44</v>
      </c>
      <c r="AB329" s="300">
        <f t="shared" si="513"/>
        <v>243.60000000000014</v>
      </c>
      <c r="AC329" s="300">
        <f t="shared" si="431"/>
        <v>1502.84</v>
      </c>
      <c r="AD329" s="300">
        <f t="shared" ref="AD329:AE329" si="529">+AD328</f>
        <v>134.16999999999999</v>
      </c>
      <c r="AE329" s="300">
        <f t="shared" si="529"/>
        <v>188.55</v>
      </c>
      <c r="AF329" s="300">
        <f t="shared" si="515"/>
        <v>2069.1600000000003</v>
      </c>
      <c r="AG329" s="300">
        <f t="shared" si="516"/>
        <v>57538.400000000001</v>
      </c>
      <c r="AH329" s="300">
        <f t="shared" si="517"/>
        <v>406700.64000000025</v>
      </c>
      <c r="AI329" s="545">
        <f t="shared" si="505"/>
        <v>-25850.47000000007</v>
      </c>
      <c r="AJ329" s="545">
        <f t="shared" si="458"/>
        <v>-145324.38000000006</v>
      </c>
      <c r="AK329" s="545">
        <f t="shared" si="506"/>
        <v>-171174.85000000012</v>
      </c>
      <c r="AL329" s="300">
        <f t="shared" si="518"/>
        <v>257385.70000000022</v>
      </c>
      <c r="AM329" s="449">
        <f t="shared" si="439"/>
        <v>22</v>
      </c>
      <c r="AN329" s="14">
        <f t="shared" si="507"/>
        <v>1196.26</v>
      </c>
      <c r="AO329" s="14">
        <f t="shared" si="477"/>
        <v>166730.49999999988</v>
      </c>
      <c r="AP329" s="14">
        <f t="shared" si="508"/>
        <v>1325.03</v>
      </c>
      <c r="AS329" s="14">
        <f t="shared" si="433"/>
        <v>1196.26</v>
      </c>
      <c r="AT329" s="14">
        <f t="shared" si="440"/>
        <v>323705.90000000125</v>
      </c>
      <c r="AU329" s="300">
        <f t="shared" si="441"/>
        <v>1331.3962492693963</v>
      </c>
      <c r="AV329" s="300">
        <f t="shared" si="442"/>
        <v>290741.39595702791</v>
      </c>
    </row>
    <row r="330" spans="1:48" x14ac:dyDescent="0.25">
      <c r="A330" s="535">
        <f t="shared" si="494"/>
        <v>53859</v>
      </c>
      <c r="B330" s="300">
        <f t="shared" si="434"/>
        <v>17418.30999999999</v>
      </c>
      <c r="C330" s="14">
        <f t="shared" si="427"/>
        <v>421.41</v>
      </c>
      <c r="D330" s="14">
        <f t="shared" si="443"/>
        <v>356.09000000000003</v>
      </c>
      <c r="E330" s="14">
        <f t="shared" si="428"/>
        <v>65.319999999999993</v>
      </c>
      <c r="F330" s="14">
        <f t="shared" si="495"/>
        <v>134.16999999999999</v>
      </c>
      <c r="G330" s="14">
        <f t="shared" si="491"/>
        <v>188.55</v>
      </c>
      <c r="H330" s="14">
        <f t="shared" si="492"/>
        <v>744.13000000000011</v>
      </c>
      <c r="I330" s="300">
        <f t="shared" si="496"/>
        <v>66419.200000000012</v>
      </c>
      <c r="J330" s="300">
        <f t="shared" si="497"/>
        <v>67058.250000000029</v>
      </c>
      <c r="K330" s="300">
        <f t="shared" si="498"/>
        <v>17062.21999999999</v>
      </c>
      <c r="L330" s="449">
        <f t="shared" si="479"/>
        <v>22</v>
      </c>
      <c r="M330" s="449">
        <f t="shared" si="435"/>
        <v>271</v>
      </c>
      <c r="N330" s="300">
        <f t="shared" si="436"/>
        <v>112061.32000000014</v>
      </c>
      <c r="O330" s="300">
        <f t="shared" si="510"/>
        <v>1617.67</v>
      </c>
      <c r="P330" s="300">
        <f t="shared" si="444"/>
        <v>963.98</v>
      </c>
      <c r="Q330" s="300">
        <f t="shared" si="511"/>
        <v>653.69000000000005</v>
      </c>
      <c r="R330" s="300">
        <f t="shared" si="502"/>
        <v>134.16999999999999</v>
      </c>
      <c r="S330" s="300">
        <f t="shared" si="503"/>
        <v>188.55</v>
      </c>
      <c r="T330" s="300">
        <f t="shared" si="499"/>
        <v>1940.39</v>
      </c>
      <c r="U330" s="300">
        <f t="shared" si="445"/>
        <v>132051.16000000012</v>
      </c>
      <c r="V330" s="300">
        <f t="shared" si="446"/>
        <v>307955.0799999999</v>
      </c>
      <c r="W330" s="300">
        <f t="shared" si="500"/>
        <v>111097.34000000014</v>
      </c>
      <c r="X330" s="535">
        <f t="shared" si="437"/>
        <v>53859</v>
      </c>
      <c r="Y330" s="300">
        <f t="shared" si="512"/>
        <v>257385.70000000022</v>
      </c>
      <c r="Z330" s="527">
        <f t="shared" si="429"/>
        <v>7.0000000000000007E-2</v>
      </c>
      <c r="AA330" s="300">
        <f t="shared" si="430"/>
        <v>1746.44</v>
      </c>
      <c r="AB330" s="300">
        <f t="shared" si="513"/>
        <v>245.01999999999998</v>
      </c>
      <c r="AC330" s="300">
        <f t="shared" si="431"/>
        <v>1501.42</v>
      </c>
      <c r="AD330" s="300">
        <f t="shared" ref="AD330:AE330" si="530">+AD329</f>
        <v>134.16999999999999</v>
      </c>
      <c r="AE330" s="300">
        <f t="shared" si="530"/>
        <v>188.55</v>
      </c>
      <c r="AF330" s="300">
        <f t="shared" si="515"/>
        <v>2069.1600000000003</v>
      </c>
      <c r="AG330" s="300">
        <f t="shared" si="516"/>
        <v>57783.42</v>
      </c>
      <c r="AH330" s="300">
        <f t="shared" si="517"/>
        <v>408202.06000000023</v>
      </c>
      <c r="AI330" s="545">
        <f t="shared" si="505"/>
        <v>-25979.240000000071</v>
      </c>
      <c r="AJ330" s="545">
        <f t="shared" si="458"/>
        <v>-146043.34000000008</v>
      </c>
      <c r="AK330" s="545">
        <f t="shared" si="506"/>
        <v>-172022.58000000016</v>
      </c>
      <c r="AL330" s="300">
        <f t="shared" si="518"/>
        <v>257140.68000000023</v>
      </c>
      <c r="AM330" s="449">
        <f t="shared" si="439"/>
        <v>22</v>
      </c>
      <c r="AN330" s="14">
        <f t="shared" si="507"/>
        <v>1196.26</v>
      </c>
      <c r="AO330" s="14">
        <f t="shared" si="477"/>
        <v>166122.6099999999</v>
      </c>
      <c r="AP330" s="14">
        <f t="shared" si="508"/>
        <v>1325.03</v>
      </c>
      <c r="AS330" s="14">
        <f t="shared" si="433"/>
        <v>1196.26</v>
      </c>
      <c r="AT330" s="14">
        <f t="shared" si="440"/>
        <v>324902.16000000125</v>
      </c>
      <c r="AU330" s="300">
        <f t="shared" si="441"/>
        <v>1334.7247398925697</v>
      </c>
      <c r="AV330" s="300">
        <f t="shared" si="442"/>
        <v>292076.12069692049</v>
      </c>
    </row>
    <row r="331" spans="1:48" x14ac:dyDescent="0.25">
      <c r="A331" s="535">
        <f t="shared" si="494"/>
        <v>53889</v>
      </c>
      <c r="B331" s="300">
        <f t="shared" si="434"/>
        <v>17062.21999999999</v>
      </c>
      <c r="C331" s="14">
        <f t="shared" si="427"/>
        <v>421.41</v>
      </c>
      <c r="D331" s="14">
        <f t="shared" si="443"/>
        <v>357.43</v>
      </c>
      <c r="E331" s="14">
        <f t="shared" si="428"/>
        <v>63.98</v>
      </c>
      <c r="F331" s="14">
        <f t="shared" si="495"/>
        <v>134.16999999999999</v>
      </c>
      <c r="G331" s="14">
        <f t="shared" si="491"/>
        <v>188.55</v>
      </c>
      <c r="H331" s="14">
        <f t="shared" si="492"/>
        <v>744.13000000000011</v>
      </c>
      <c r="I331" s="300">
        <f t="shared" si="496"/>
        <v>66776.63</v>
      </c>
      <c r="J331" s="300">
        <f t="shared" si="497"/>
        <v>67122.230000000025</v>
      </c>
      <c r="K331" s="300">
        <f t="shared" si="498"/>
        <v>16704.78999999999</v>
      </c>
      <c r="L331" s="449">
        <f t="shared" si="479"/>
        <v>22</v>
      </c>
      <c r="M331" s="449">
        <f t="shared" si="435"/>
        <v>272</v>
      </c>
      <c r="N331" s="300">
        <f t="shared" si="436"/>
        <v>111097.34000000014</v>
      </c>
      <c r="O331" s="300">
        <f t="shared" si="510"/>
        <v>1617.67</v>
      </c>
      <c r="P331" s="300">
        <f t="shared" si="444"/>
        <v>969.6</v>
      </c>
      <c r="Q331" s="300">
        <f t="shared" si="511"/>
        <v>648.07000000000005</v>
      </c>
      <c r="R331" s="300">
        <f t="shared" si="502"/>
        <v>134.16999999999999</v>
      </c>
      <c r="S331" s="300">
        <f t="shared" si="503"/>
        <v>188.55</v>
      </c>
      <c r="T331" s="300">
        <f t="shared" si="499"/>
        <v>1940.39</v>
      </c>
      <c r="U331" s="300">
        <f t="shared" si="445"/>
        <v>133020.76000000013</v>
      </c>
      <c r="V331" s="300">
        <f t="shared" si="446"/>
        <v>308603.14999999991</v>
      </c>
      <c r="W331" s="300">
        <f t="shared" si="500"/>
        <v>110127.74000000014</v>
      </c>
      <c r="X331" s="535">
        <f t="shared" si="437"/>
        <v>53889</v>
      </c>
      <c r="Y331" s="300">
        <f t="shared" si="512"/>
        <v>257140.68000000023</v>
      </c>
      <c r="Z331" s="527">
        <f t="shared" si="429"/>
        <v>7.0000000000000007E-2</v>
      </c>
      <c r="AA331" s="300">
        <f t="shared" si="430"/>
        <v>1746.44</v>
      </c>
      <c r="AB331" s="300">
        <f t="shared" si="513"/>
        <v>246.45000000000005</v>
      </c>
      <c r="AC331" s="300">
        <f t="shared" si="431"/>
        <v>1499.99</v>
      </c>
      <c r="AD331" s="300">
        <f t="shared" ref="AD331:AE331" si="531">+AD330</f>
        <v>134.16999999999999</v>
      </c>
      <c r="AE331" s="300">
        <f t="shared" si="531"/>
        <v>188.55</v>
      </c>
      <c r="AF331" s="300">
        <f t="shared" si="515"/>
        <v>2069.1600000000003</v>
      </c>
      <c r="AG331" s="300">
        <f t="shared" si="516"/>
        <v>58029.869999999995</v>
      </c>
      <c r="AH331" s="300">
        <f t="shared" si="517"/>
        <v>409702.05000000022</v>
      </c>
      <c r="AI331" s="545">
        <f t="shared" si="505"/>
        <v>-26108.010000000071</v>
      </c>
      <c r="AJ331" s="545">
        <f t="shared" si="458"/>
        <v>-146766.49000000008</v>
      </c>
      <c r="AK331" s="545">
        <f t="shared" si="506"/>
        <v>-172874.50000000015</v>
      </c>
      <c r="AL331" s="300">
        <f t="shared" si="518"/>
        <v>256894.23000000021</v>
      </c>
      <c r="AM331" s="449">
        <f t="shared" si="439"/>
        <v>22</v>
      </c>
      <c r="AN331" s="14">
        <f t="shared" si="507"/>
        <v>1196.26</v>
      </c>
      <c r="AO331" s="14">
        <f t="shared" si="477"/>
        <v>165510.43999999983</v>
      </c>
      <c r="AP331" s="14">
        <f t="shared" si="508"/>
        <v>1325.03</v>
      </c>
      <c r="AS331" s="14">
        <f t="shared" si="433"/>
        <v>1196.26</v>
      </c>
      <c r="AT331" s="14">
        <f t="shared" si="440"/>
        <v>326098.42000000126</v>
      </c>
      <c r="AU331" s="300">
        <f t="shared" si="441"/>
        <v>1338.0615517423009</v>
      </c>
      <c r="AV331" s="300">
        <f t="shared" si="442"/>
        <v>293414.18224866281</v>
      </c>
    </row>
    <row r="332" spans="1:48" x14ac:dyDescent="0.25">
      <c r="A332" s="535">
        <f t="shared" si="494"/>
        <v>53919</v>
      </c>
      <c r="B332" s="300">
        <f t="shared" si="434"/>
        <v>16704.78999999999</v>
      </c>
      <c r="C332" s="14">
        <f t="shared" si="427"/>
        <v>421.41</v>
      </c>
      <c r="D332" s="14">
        <f t="shared" si="443"/>
        <v>358.77000000000004</v>
      </c>
      <c r="E332" s="14">
        <f t="shared" si="428"/>
        <v>62.64</v>
      </c>
      <c r="F332" s="14">
        <f t="shared" si="495"/>
        <v>134.16999999999999</v>
      </c>
      <c r="G332" s="14">
        <f t="shared" si="491"/>
        <v>188.55</v>
      </c>
      <c r="H332" s="14">
        <f t="shared" si="492"/>
        <v>744.13000000000011</v>
      </c>
      <c r="I332" s="300">
        <f t="shared" si="496"/>
        <v>67135.400000000009</v>
      </c>
      <c r="J332" s="300">
        <f t="shared" si="497"/>
        <v>67184.870000000024</v>
      </c>
      <c r="K332" s="300">
        <f t="shared" si="498"/>
        <v>16346.01999999999</v>
      </c>
      <c r="L332" s="449">
        <f t="shared" si="479"/>
        <v>22</v>
      </c>
      <c r="M332" s="449">
        <f t="shared" si="435"/>
        <v>273</v>
      </c>
      <c r="N332" s="300">
        <f t="shared" si="436"/>
        <v>110127.74000000014</v>
      </c>
      <c r="O332" s="300">
        <f t="shared" si="510"/>
        <v>1617.67</v>
      </c>
      <c r="P332" s="300">
        <f t="shared" si="444"/>
        <v>975.2600000000001</v>
      </c>
      <c r="Q332" s="300">
        <f t="shared" si="511"/>
        <v>642.41</v>
      </c>
      <c r="R332" s="300">
        <f t="shared" si="502"/>
        <v>134.16999999999999</v>
      </c>
      <c r="S332" s="300">
        <f t="shared" si="503"/>
        <v>188.55</v>
      </c>
      <c r="T332" s="300">
        <f t="shared" si="499"/>
        <v>1940.39</v>
      </c>
      <c r="U332" s="300">
        <f t="shared" si="445"/>
        <v>133996.02000000014</v>
      </c>
      <c r="V332" s="300">
        <f t="shared" si="446"/>
        <v>309245.55999999988</v>
      </c>
      <c r="W332" s="300">
        <f t="shared" si="500"/>
        <v>109152.48000000014</v>
      </c>
      <c r="X332" s="535">
        <f t="shared" si="437"/>
        <v>53919</v>
      </c>
      <c r="Y332" s="300">
        <f t="shared" si="512"/>
        <v>256894.23000000021</v>
      </c>
      <c r="Z332" s="527">
        <f t="shared" si="429"/>
        <v>7.0000000000000007E-2</v>
      </c>
      <c r="AA332" s="300">
        <f t="shared" si="430"/>
        <v>1746.44</v>
      </c>
      <c r="AB332" s="300">
        <f t="shared" si="513"/>
        <v>247.8900000000001</v>
      </c>
      <c r="AC332" s="300">
        <f t="shared" si="431"/>
        <v>1498.55</v>
      </c>
      <c r="AD332" s="300">
        <f t="shared" ref="AD332:AE332" si="532">+AD331</f>
        <v>134.16999999999999</v>
      </c>
      <c r="AE332" s="300">
        <f t="shared" si="532"/>
        <v>188.55</v>
      </c>
      <c r="AF332" s="300">
        <f t="shared" si="515"/>
        <v>2069.1600000000003</v>
      </c>
      <c r="AG332" s="300">
        <f t="shared" si="516"/>
        <v>58277.759999999995</v>
      </c>
      <c r="AH332" s="300">
        <f t="shared" si="517"/>
        <v>411200.60000000021</v>
      </c>
      <c r="AI332" s="545">
        <f t="shared" si="505"/>
        <v>-26236.780000000072</v>
      </c>
      <c r="AJ332" s="545">
        <f t="shared" si="458"/>
        <v>-147493.86000000004</v>
      </c>
      <c r="AK332" s="545">
        <f t="shared" si="506"/>
        <v>-173730.64000000013</v>
      </c>
      <c r="AL332" s="300">
        <f t="shared" si="518"/>
        <v>256646.3400000002</v>
      </c>
      <c r="AM332" s="449">
        <f t="shared" si="439"/>
        <v>22</v>
      </c>
      <c r="AN332" s="14">
        <f t="shared" si="507"/>
        <v>1196.26</v>
      </c>
      <c r="AO332" s="14">
        <f t="shared" si="477"/>
        <v>164893.94999999984</v>
      </c>
      <c r="AP332" s="14">
        <f t="shared" si="508"/>
        <v>1325.03</v>
      </c>
      <c r="AS332" s="14">
        <f t="shared" si="433"/>
        <v>1196.26</v>
      </c>
      <c r="AT332" s="14">
        <f t="shared" si="440"/>
        <v>327294.68000000127</v>
      </c>
      <c r="AU332" s="300">
        <f t="shared" si="441"/>
        <v>1341.406705621657</v>
      </c>
      <c r="AV332" s="300">
        <f t="shared" si="442"/>
        <v>294755.58895428444</v>
      </c>
    </row>
    <row r="333" spans="1:48" x14ac:dyDescent="0.25">
      <c r="A333" s="535">
        <f t="shared" si="494"/>
        <v>53949</v>
      </c>
      <c r="B333" s="300">
        <f t="shared" si="434"/>
        <v>16346.01999999999</v>
      </c>
      <c r="C333" s="14">
        <f t="shared" si="427"/>
        <v>421.41</v>
      </c>
      <c r="D333" s="14">
        <f t="shared" si="443"/>
        <v>360.11</v>
      </c>
      <c r="E333" s="14">
        <f t="shared" si="428"/>
        <v>61.3</v>
      </c>
      <c r="F333" s="14">
        <f t="shared" si="495"/>
        <v>134.16999999999999</v>
      </c>
      <c r="G333" s="14">
        <f t="shared" si="491"/>
        <v>188.55</v>
      </c>
      <c r="H333" s="14">
        <f t="shared" si="492"/>
        <v>744.13000000000011</v>
      </c>
      <c r="I333" s="300">
        <f t="shared" si="496"/>
        <v>67495.510000000009</v>
      </c>
      <c r="J333" s="300">
        <f t="shared" si="497"/>
        <v>67246.170000000027</v>
      </c>
      <c r="K333" s="300">
        <f t="shared" si="498"/>
        <v>15985.909999999989</v>
      </c>
      <c r="L333" s="449">
        <f t="shared" si="479"/>
        <v>22</v>
      </c>
      <c r="M333" s="449">
        <f t="shared" si="435"/>
        <v>274</v>
      </c>
      <c r="N333" s="300">
        <f t="shared" si="436"/>
        <v>109152.48000000014</v>
      </c>
      <c r="O333" s="300">
        <f t="shared" si="510"/>
        <v>1617.67</v>
      </c>
      <c r="P333" s="300">
        <f t="shared" si="444"/>
        <v>980.95</v>
      </c>
      <c r="Q333" s="300">
        <f t="shared" si="511"/>
        <v>636.72</v>
      </c>
      <c r="R333" s="300">
        <f t="shared" si="502"/>
        <v>134.16999999999999</v>
      </c>
      <c r="S333" s="300">
        <f t="shared" si="503"/>
        <v>188.55</v>
      </c>
      <c r="T333" s="300">
        <f t="shared" si="499"/>
        <v>1940.39</v>
      </c>
      <c r="U333" s="300">
        <f t="shared" si="445"/>
        <v>134976.97000000015</v>
      </c>
      <c r="V333" s="300">
        <f t="shared" si="446"/>
        <v>309882.27999999985</v>
      </c>
      <c r="W333" s="300">
        <f t="shared" si="500"/>
        <v>108171.53000000014</v>
      </c>
      <c r="X333" s="535">
        <f t="shared" si="437"/>
        <v>53949</v>
      </c>
      <c r="Y333" s="300">
        <f t="shared" si="512"/>
        <v>256646.3400000002</v>
      </c>
      <c r="Z333" s="527">
        <f t="shared" si="429"/>
        <v>7.0000000000000007E-2</v>
      </c>
      <c r="AA333" s="300">
        <f t="shared" si="430"/>
        <v>1746.44</v>
      </c>
      <c r="AB333" s="300">
        <f t="shared" si="513"/>
        <v>249.34000000000015</v>
      </c>
      <c r="AC333" s="300">
        <f t="shared" si="431"/>
        <v>1497.1</v>
      </c>
      <c r="AD333" s="300">
        <f t="shared" ref="AD333:AE333" si="533">+AD332</f>
        <v>134.16999999999999</v>
      </c>
      <c r="AE333" s="300">
        <f t="shared" si="533"/>
        <v>188.55</v>
      </c>
      <c r="AF333" s="300">
        <f t="shared" si="515"/>
        <v>2069.1600000000003</v>
      </c>
      <c r="AG333" s="300">
        <f t="shared" si="516"/>
        <v>58527.099999999991</v>
      </c>
      <c r="AH333" s="300">
        <f t="shared" si="517"/>
        <v>412697.70000000019</v>
      </c>
      <c r="AI333" s="545">
        <f t="shared" si="505"/>
        <v>-26365.550000000072</v>
      </c>
      <c r="AJ333" s="545">
        <f t="shared" si="458"/>
        <v>-148225.47000000006</v>
      </c>
      <c r="AK333" s="545">
        <f t="shared" si="506"/>
        <v>-174591.02000000014</v>
      </c>
      <c r="AL333" s="300">
        <f t="shared" si="518"/>
        <v>256397.0000000002</v>
      </c>
      <c r="AM333" s="449">
        <f t="shared" si="439"/>
        <v>22</v>
      </c>
      <c r="AN333" s="14">
        <f t="shared" si="507"/>
        <v>1196.26</v>
      </c>
      <c r="AO333" s="14">
        <f t="shared" si="477"/>
        <v>164273.10999999981</v>
      </c>
      <c r="AP333" s="14">
        <f t="shared" si="508"/>
        <v>1325.03</v>
      </c>
      <c r="AS333" s="14">
        <f t="shared" si="433"/>
        <v>1196.26</v>
      </c>
      <c r="AT333" s="14">
        <f t="shared" si="440"/>
        <v>328490.94000000128</v>
      </c>
      <c r="AU333" s="300">
        <f t="shared" si="441"/>
        <v>1344.7602223857109</v>
      </c>
      <c r="AV333" s="300">
        <f t="shared" si="442"/>
        <v>296100.34917667013</v>
      </c>
    </row>
    <row r="334" spans="1:48" x14ac:dyDescent="0.25">
      <c r="A334" s="535">
        <f t="shared" si="494"/>
        <v>53979</v>
      </c>
      <c r="B334" s="300">
        <f t="shared" si="434"/>
        <v>15985.909999999989</v>
      </c>
      <c r="C334" s="14">
        <f t="shared" si="427"/>
        <v>421.41</v>
      </c>
      <c r="D334" s="14">
        <f t="shared" si="443"/>
        <v>361.46000000000004</v>
      </c>
      <c r="E334" s="14">
        <f t="shared" si="428"/>
        <v>59.95</v>
      </c>
      <c r="F334" s="14">
        <f t="shared" si="495"/>
        <v>134.16999999999999</v>
      </c>
      <c r="G334" s="14">
        <f t="shared" si="491"/>
        <v>188.55</v>
      </c>
      <c r="H334" s="14">
        <f t="shared" si="492"/>
        <v>744.13000000000011</v>
      </c>
      <c r="I334" s="300">
        <f t="shared" si="496"/>
        <v>67856.970000000016</v>
      </c>
      <c r="J334" s="300">
        <f t="shared" si="497"/>
        <v>67306.120000000024</v>
      </c>
      <c r="K334" s="300">
        <f t="shared" si="498"/>
        <v>15624.44999999999</v>
      </c>
      <c r="L334" s="449">
        <f t="shared" si="479"/>
        <v>22</v>
      </c>
      <c r="M334" s="449">
        <f t="shared" si="435"/>
        <v>275</v>
      </c>
      <c r="N334" s="300">
        <f t="shared" si="436"/>
        <v>108171.53000000014</v>
      </c>
      <c r="O334" s="300">
        <f t="shared" si="510"/>
        <v>1617.67</v>
      </c>
      <c r="P334" s="300">
        <f t="shared" si="444"/>
        <v>986.67000000000007</v>
      </c>
      <c r="Q334" s="300">
        <f t="shared" si="511"/>
        <v>631</v>
      </c>
      <c r="R334" s="300">
        <f t="shared" si="502"/>
        <v>134.16999999999999</v>
      </c>
      <c r="S334" s="300">
        <f t="shared" si="503"/>
        <v>188.55</v>
      </c>
      <c r="T334" s="300">
        <f t="shared" si="499"/>
        <v>1940.39</v>
      </c>
      <c r="U334" s="300">
        <f t="shared" si="445"/>
        <v>135963.64000000016</v>
      </c>
      <c r="V334" s="300">
        <f t="shared" si="446"/>
        <v>310513.27999999985</v>
      </c>
      <c r="W334" s="300">
        <f t="shared" si="500"/>
        <v>107184.86000000015</v>
      </c>
      <c r="X334" s="535">
        <f t="shared" si="437"/>
        <v>53979</v>
      </c>
      <c r="Y334" s="300">
        <f t="shared" si="512"/>
        <v>256397.0000000002</v>
      </c>
      <c r="Z334" s="527">
        <f t="shared" si="429"/>
        <v>7.0000000000000007E-2</v>
      </c>
      <c r="AA334" s="300">
        <f t="shared" si="430"/>
        <v>1746.44</v>
      </c>
      <c r="AB334" s="300">
        <f t="shared" si="513"/>
        <v>250.78999999999996</v>
      </c>
      <c r="AC334" s="300">
        <f t="shared" si="431"/>
        <v>1495.65</v>
      </c>
      <c r="AD334" s="300">
        <f t="shared" ref="AD334:AE334" si="534">+AD333</f>
        <v>134.16999999999999</v>
      </c>
      <c r="AE334" s="300">
        <f t="shared" si="534"/>
        <v>188.55</v>
      </c>
      <c r="AF334" s="300">
        <f t="shared" si="515"/>
        <v>2069.1600000000003</v>
      </c>
      <c r="AG334" s="300">
        <f t="shared" si="516"/>
        <v>58777.889999999992</v>
      </c>
      <c r="AH334" s="300">
        <f t="shared" si="517"/>
        <v>414193.35000000021</v>
      </c>
      <c r="AI334" s="545">
        <f t="shared" si="505"/>
        <v>-26494.320000000072</v>
      </c>
      <c r="AJ334" s="545">
        <f t="shared" si="458"/>
        <v>-148961.35000000003</v>
      </c>
      <c r="AK334" s="545">
        <f t="shared" si="506"/>
        <v>-175455.6700000001</v>
      </c>
      <c r="AL334" s="300">
        <f t="shared" si="518"/>
        <v>256146.2100000002</v>
      </c>
      <c r="AM334" s="449">
        <f t="shared" si="439"/>
        <v>22</v>
      </c>
      <c r="AN334" s="14">
        <f t="shared" si="507"/>
        <v>1196.26</v>
      </c>
      <c r="AO334" s="14">
        <f t="shared" si="477"/>
        <v>163647.89999999982</v>
      </c>
      <c r="AP334" s="14">
        <f t="shared" si="508"/>
        <v>1325.03</v>
      </c>
      <c r="AS334" s="14">
        <f t="shared" si="433"/>
        <v>1196.26</v>
      </c>
      <c r="AT334" s="14">
        <f t="shared" si="440"/>
        <v>329687.20000000129</v>
      </c>
      <c r="AU334" s="300">
        <f t="shared" si="441"/>
        <v>1348.1221229416753</v>
      </c>
      <c r="AV334" s="300">
        <f t="shared" si="442"/>
        <v>297448.47129961179</v>
      </c>
    </row>
    <row r="335" spans="1:48" x14ac:dyDescent="0.25">
      <c r="A335" s="535">
        <f t="shared" si="494"/>
        <v>54009</v>
      </c>
      <c r="B335" s="300">
        <f t="shared" si="434"/>
        <v>15624.44999999999</v>
      </c>
      <c r="C335" s="14">
        <f t="shared" ref="C335:C398" si="535">IF(+$K334&lt;=0,0,$C$5)</f>
        <v>421.41</v>
      </c>
      <c r="D335" s="14">
        <f t="shared" si="443"/>
        <v>362.82000000000005</v>
      </c>
      <c r="E335" s="14">
        <f t="shared" ref="E335:E398" si="536">ROUND($B335*($C$3/12), 2)</f>
        <v>58.59</v>
      </c>
      <c r="F335" s="14">
        <f t="shared" si="495"/>
        <v>134.16999999999999</v>
      </c>
      <c r="G335" s="14">
        <f t="shared" si="491"/>
        <v>188.55</v>
      </c>
      <c r="H335" s="14">
        <f t="shared" si="492"/>
        <v>744.13000000000011</v>
      </c>
      <c r="I335" s="300">
        <f t="shared" si="496"/>
        <v>68219.790000000023</v>
      </c>
      <c r="J335" s="300">
        <f t="shared" si="497"/>
        <v>67364.710000000021</v>
      </c>
      <c r="K335" s="300">
        <f t="shared" si="498"/>
        <v>15261.62999999999</v>
      </c>
      <c r="L335" s="449">
        <f t="shared" si="479"/>
        <v>23</v>
      </c>
      <c r="M335" s="449">
        <f t="shared" si="435"/>
        <v>276</v>
      </c>
      <c r="N335" s="300">
        <f t="shared" si="436"/>
        <v>107184.86000000015</v>
      </c>
      <c r="O335" s="300">
        <f t="shared" si="510"/>
        <v>1617.67</v>
      </c>
      <c r="P335" s="300">
        <f t="shared" si="444"/>
        <v>992.42000000000007</v>
      </c>
      <c r="Q335" s="300">
        <f t="shared" si="511"/>
        <v>625.25</v>
      </c>
      <c r="R335" s="300">
        <f t="shared" si="502"/>
        <v>134.16999999999999</v>
      </c>
      <c r="S335" s="300">
        <f t="shared" si="503"/>
        <v>188.55</v>
      </c>
      <c r="T335" s="300">
        <f t="shared" si="499"/>
        <v>1940.39</v>
      </c>
      <c r="U335" s="300">
        <f t="shared" si="445"/>
        <v>136956.06000000017</v>
      </c>
      <c r="V335" s="300">
        <f t="shared" si="446"/>
        <v>311138.52999999985</v>
      </c>
      <c r="W335" s="300">
        <f t="shared" si="500"/>
        <v>106192.44000000015</v>
      </c>
      <c r="X335" s="535">
        <f t="shared" si="437"/>
        <v>54009</v>
      </c>
      <c r="Y335" s="300">
        <f t="shared" si="512"/>
        <v>256146.2100000002</v>
      </c>
      <c r="Z335" s="527">
        <f t="shared" ref="Z335:Z398" si="537">IF(L335&gt;4,$AA$9,$AA$8)</f>
        <v>7.0000000000000007E-2</v>
      </c>
      <c r="AA335" s="300">
        <f t="shared" ref="AA335:AA398" si="538">IF($O$9&lt;=$A335,IF(+AL334&lt;=0,0,IF(Z335=$AA$8,$Z$8,$Z$9)),0)</f>
        <v>1746.44</v>
      </c>
      <c r="AB335" s="300">
        <f t="shared" si="513"/>
        <v>252.25</v>
      </c>
      <c r="AC335" s="300">
        <f t="shared" ref="AC335:AC398" si="539">IF($O$9&lt;=$A335,ROUND(Y335*(Z335/12),2),0)</f>
        <v>1494.19</v>
      </c>
      <c r="AD335" s="300">
        <f t="shared" ref="AD335:AE335" si="540">+AD334</f>
        <v>134.16999999999999</v>
      </c>
      <c r="AE335" s="300">
        <f t="shared" si="540"/>
        <v>188.55</v>
      </c>
      <c r="AF335" s="300">
        <f t="shared" si="515"/>
        <v>2069.1600000000003</v>
      </c>
      <c r="AG335" s="300">
        <f t="shared" si="516"/>
        <v>59030.139999999992</v>
      </c>
      <c r="AH335" s="300">
        <f t="shared" si="517"/>
        <v>415687.54000000021</v>
      </c>
      <c r="AI335" s="545">
        <f t="shared" si="505"/>
        <v>-26623.090000000073</v>
      </c>
      <c r="AJ335" s="545">
        <f t="shared" si="458"/>
        <v>-149701.52000000005</v>
      </c>
      <c r="AK335" s="545">
        <f t="shared" si="506"/>
        <v>-176324.61000000013</v>
      </c>
      <c r="AL335" s="300">
        <f t="shared" si="518"/>
        <v>255893.9600000002</v>
      </c>
      <c r="AM335" s="449">
        <f t="shared" si="439"/>
        <v>23</v>
      </c>
      <c r="AN335" s="14">
        <f t="shared" si="507"/>
        <v>1196.26</v>
      </c>
      <c r="AO335" s="14">
        <f t="shared" si="477"/>
        <v>163018.29999999981</v>
      </c>
      <c r="AP335" s="14">
        <f t="shared" si="508"/>
        <v>1325.03</v>
      </c>
      <c r="AS335" s="14">
        <f t="shared" ref="AS335:AS398" si="541">+AN335-AR335</f>
        <v>1196.26</v>
      </c>
      <c r="AT335" s="14">
        <f t="shared" si="440"/>
        <v>330883.4600000013</v>
      </c>
      <c r="AU335" s="300">
        <f t="shared" si="441"/>
        <v>1351.4924282490292</v>
      </c>
      <c r="AV335" s="300">
        <f t="shared" si="442"/>
        <v>298799.96372786083</v>
      </c>
    </row>
    <row r="336" spans="1:48" x14ac:dyDescent="0.25">
      <c r="A336" s="535">
        <f t="shared" si="494"/>
        <v>54039</v>
      </c>
      <c r="B336" s="300">
        <f t="shared" ref="B336:B373" si="542">IF(+K335&lt;0,0,+K335)</f>
        <v>15261.62999999999</v>
      </c>
      <c r="C336" s="14">
        <f t="shared" si="535"/>
        <v>421.41</v>
      </c>
      <c r="D336" s="14">
        <f t="shared" si="443"/>
        <v>364.18</v>
      </c>
      <c r="E336" s="14">
        <f t="shared" si="536"/>
        <v>57.23</v>
      </c>
      <c r="F336" s="14">
        <f t="shared" si="495"/>
        <v>134.16999999999999</v>
      </c>
      <c r="G336" s="14">
        <f t="shared" si="491"/>
        <v>188.55</v>
      </c>
      <c r="H336" s="14">
        <f t="shared" si="492"/>
        <v>744.13000000000011</v>
      </c>
      <c r="I336" s="300">
        <f t="shared" si="496"/>
        <v>68583.970000000016</v>
      </c>
      <c r="J336" s="300">
        <f t="shared" si="497"/>
        <v>67421.940000000017</v>
      </c>
      <c r="K336" s="300">
        <f t="shared" si="498"/>
        <v>14897.44999999999</v>
      </c>
      <c r="L336" s="449">
        <f t="shared" si="479"/>
        <v>23</v>
      </c>
      <c r="M336" s="449">
        <f t="shared" ref="M336:M399" si="543">IF(N336&lt;&gt;"",IF(N336=$O$5,0,+M335+1),0)</f>
        <v>277</v>
      </c>
      <c r="N336" s="300">
        <f t="shared" ref="N336:N399" si="544">IF(+W335&lt;0,0,+W335)</f>
        <v>106192.44000000015</v>
      </c>
      <c r="O336" s="300">
        <f t="shared" si="510"/>
        <v>1617.67</v>
      </c>
      <c r="P336" s="300">
        <f t="shared" si="444"/>
        <v>998.21</v>
      </c>
      <c r="Q336" s="300">
        <f t="shared" si="511"/>
        <v>619.46</v>
      </c>
      <c r="R336" s="300">
        <f t="shared" si="502"/>
        <v>134.16999999999999</v>
      </c>
      <c r="S336" s="300">
        <f t="shared" si="503"/>
        <v>188.55</v>
      </c>
      <c r="T336" s="300">
        <f t="shared" si="499"/>
        <v>1940.39</v>
      </c>
      <c r="U336" s="300">
        <f t="shared" si="445"/>
        <v>137954.27000000016</v>
      </c>
      <c r="V336" s="300">
        <f t="shared" si="446"/>
        <v>311757.98999999987</v>
      </c>
      <c r="W336" s="300">
        <f t="shared" si="500"/>
        <v>105194.23000000014</v>
      </c>
      <c r="X336" s="535">
        <f t="shared" ref="X336:X399" si="545">+A336</f>
        <v>54039</v>
      </c>
      <c r="Y336" s="300">
        <f t="shared" si="512"/>
        <v>255893.9600000002</v>
      </c>
      <c r="Z336" s="527">
        <f t="shared" si="537"/>
        <v>7.0000000000000007E-2</v>
      </c>
      <c r="AA336" s="300">
        <f t="shared" si="538"/>
        <v>1746.44</v>
      </c>
      <c r="AB336" s="300">
        <f t="shared" si="513"/>
        <v>253.73000000000002</v>
      </c>
      <c r="AC336" s="300">
        <f t="shared" si="539"/>
        <v>1492.71</v>
      </c>
      <c r="AD336" s="300">
        <f t="shared" ref="AD336:AE336" si="546">+AD335</f>
        <v>134.16999999999999</v>
      </c>
      <c r="AE336" s="300">
        <f t="shared" si="546"/>
        <v>188.55</v>
      </c>
      <c r="AF336" s="300">
        <f t="shared" si="515"/>
        <v>2069.1600000000003</v>
      </c>
      <c r="AG336" s="300">
        <f t="shared" si="516"/>
        <v>59283.869999999995</v>
      </c>
      <c r="AH336" s="300">
        <f t="shared" si="517"/>
        <v>417180.25000000023</v>
      </c>
      <c r="AI336" s="545">
        <f t="shared" si="505"/>
        <v>-26751.860000000073</v>
      </c>
      <c r="AJ336" s="545">
        <f t="shared" si="458"/>
        <v>-150446.00000000006</v>
      </c>
      <c r="AK336" s="545">
        <f t="shared" si="506"/>
        <v>-177197.86000000013</v>
      </c>
      <c r="AL336" s="300">
        <f t="shared" si="518"/>
        <v>255640.23000000019</v>
      </c>
      <c r="AM336" s="449">
        <f t="shared" ref="AM336:AM399" si="547">+L336</f>
        <v>23</v>
      </c>
      <c r="AN336" s="14">
        <f t="shared" si="507"/>
        <v>1196.26</v>
      </c>
      <c r="AO336" s="14">
        <f t="shared" si="477"/>
        <v>162384.26999999981</v>
      </c>
      <c r="AP336" s="14">
        <f t="shared" si="508"/>
        <v>1325.03</v>
      </c>
      <c r="AS336" s="14">
        <f t="shared" si="541"/>
        <v>1196.26</v>
      </c>
      <c r="AT336" s="14">
        <f t="shared" ref="AT336:AT399" si="548">IF(W336&lt;=0,0,+AS336+AT335)</f>
        <v>332079.72000000131</v>
      </c>
      <c r="AU336" s="300">
        <f t="shared" ref="AU336:AU399" si="549">IF(W336&lt;=0,0,+($O$5+AV335)*$AQ$2/12)</f>
        <v>1354.871159319652</v>
      </c>
      <c r="AV336" s="300">
        <f t="shared" ref="AV336:AV399" si="550">IF(W336&lt;=0,0,+AV335+AU336)</f>
        <v>300154.83488718048</v>
      </c>
    </row>
    <row r="337" spans="1:48" x14ac:dyDescent="0.25">
      <c r="A337" s="535">
        <f t="shared" si="494"/>
        <v>54069</v>
      </c>
      <c r="B337" s="300">
        <f t="shared" si="542"/>
        <v>14897.44999999999</v>
      </c>
      <c r="C337" s="14">
        <f t="shared" si="535"/>
        <v>421.41</v>
      </c>
      <c r="D337" s="14">
        <f t="shared" ref="D337:D400" si="551">+C337-E337</f>
        <v>365.54</v>
      </c>
      <c r="E337" s="14">
        <f t="shared" si="536"/>
        <v>55.87</v>
      </c>
      <c r="F337" s="14">
        <f t="shared" si="495"/>
        <v>134.16999999999999</v>
      </c>
      <c r="G337" s="14">
        <f t="shared" si="491"/>
        <v>188.55</v>
      </c>
      <c r="H337" s="14">
        <f t="shared" si="492"/>
        <v>744.13000000000011</v>
      </c>
      <c r="I337" s="300">
        <f t="shared" si="496"/>
        <v>68949.510000000009</v>
      </c>
      <c r="J337" s="300">
        <f t="shared" si="497"/>
        <v>67477.810000000012</v>
      </c>
      <c r="K337" s="300">
        <f t="shared" si="498"/>
        <v>14531.909999999989</v>
      </c>
      <c r="L337" s="449">
        <f t="shared" si="479"/>
        <v>23</v>
      </c>
      <c r="M337" s="449">
        <f t="shared" si="543"/>
        <v>278</v>
      </c>
      <c r="N337" s="300">
        <f t="shared" si="544"/>
        <v>105194.23000000014</v>
      </c>
      <c r="O337" s="300">
        <f t="shared" si="510"/>
        <v>1617.67</v>
      </c>
      <c r="P337" s="300">
        <f t="shared" ref="P337:P400" si="552">+O337-Q337</f>
        <v>1004.0400000000001</v>
      </c>
      <c r="Q337" s="300">
        <f t="shared" si="511"/>
        <v>613.63</v>
      </c>
      <c r="R337" s="300">
        <f t="shared" si="502"/>
        <v>134.16999999999999</v>
      </c>
      <c r="S337" s="300">
        <f t="shared" si="503"/>
        <v>188.55</v>
      </c>
      <c r="T337" s="300">
        <f t="shared" si="499"/>
        <v>1940.39</v>
      </c>
      <c r="U337" s="300">
        <f t="shared" ref="U337:U400" si="553">+P337+U336</f>
        <v>138958.31000000017</v>
      </c>
      <c r="V337" s="300">
        <f t="shared" ref="V337:V400" si="554">+V336+Q337</f>
        <v>312371.61999999988</v>
      </c>
      <c r="W337" s="300">
        <f t="shared" si="500"/>
        <v>104190.19000000015</v>
      </c>
      <c r="X337" s="535">
        <f t="shared" si="545"/>
        <v>54069</v>
      </c>
      <c r="Y337" s="300">
        <f t="shared" si="512"/>
        <v>255640.23000000019</v>
      </c>
      <c r="Z337" s="527">
        <f t="shared" si="537"/>
        <v>7.0000000000000007E-2</v>
      </c>
      <c r="AA337" s="300">
        <f t="shared" si="538"/>
        <v>1746.44</v>
      </c>
      <c r="AB337" s="300">
        <f t="shared" si="513"/>
        <v>255.21000000000004</v>
      </c>
      <c r="AC337" s="300">
        <f t="shared" si="539"/>
        <v>1491.23</v>
      </c>
      <c r="AD337" s="300">
        <f t="shared" ref="AD337:AE337" si="555">+AD336</f>
        <v>134.16999999999999</v>
      </c>
      <c r="AE337" s="300">
        <f t="shared" si="555"/>
        <v>188.55</v>
      </c>
      <c r="AF337" s="300">
        <f t="shared" si="515"/>
        <v>2069.1600000000003</v>
      </c>
      <c r="AG337" s="300">
        <f t="shared" si="516"/>
        <v>59539.079999999994</v>
      </c>
      <c r="AH337" s="300">
        <f t="shared" si="517"/>
        <v>418671.48000000021</v>
      </c>
      <c r="AI337" s="545">
        <f t="shared" si="505"/>
        <v>-26880.630000000074</v>
      </c>
      <c r="AJ337" s="545">
        <f t="shared" si="458"/>
        <v>-151194.83000000005</v>
      </c>
      <c r="AK337" s="545">
        <f t="shared" si="506"/>
        <v>-178075.46000000011</v>
      </c>
      <c r="AL337" s="300">
        <f t="shared" si="518"/>
        <v>255385.02000000019</v>
      </c>
      <c r="AM337" s="449">
        <f t="shared" si="547"/>
        <v>23</v>
      </c>
      <c r="AN337" s="14">
        <f t="shared" si="507"/>
        <v>1196.26</v>
      </c>
      <c r="AO337" s="14">
        <f t="shared" si="477"/>
        <v>161745.76999999979</v>
      </c>
      <c r="AP337" s="14">
        <f t="shared" si="508"/>
        <v>1325.03</v>
      </c>
      <c r="AS337" s="14">
        <f t="shared" si="541"/>
        <v>1196.26</v>
      </c>
      <c r="AT337" s="14">
        <f t="shared" si="548"/>
        <v>333275.98000000132</v>
      </c>
      <c r="AU337" s="300">
        <f t="shared" si="549"/>
        <v>1358.2583372179513</v>
      </c>
      <c r="AV337" s="300">
        <f t="shared" si="550"/>
        <v>301513.09322439844</v>
      </c>
    </row>
    <row r="338" spans="1:48" ht="15.75" thickBot="1" x14ac:dyDescent="0.3">
      <c r="A338" s="538">
        <f t="shared" si="494"/>
        <v>54099</v>
      </c>
      <c r="B338" s="369">
        <f t="shared" si="542"/>
        <v>14531.909999999989</v>
      </c>
      <c r="C338" s="21">
        <f t="shared" si="535"/>
        <v>421.41</v>
      </c>
      <c r="D338" s="21">
        <f t="shared" si="551"/>
        <v>366.92</v>
      </c>
      <c r="E338" s="21">
        <f t="shared" si="536"/>
        <v>54.49</v>
      </c>
      <c r="F338" s="21">
        <f t="shared" si="495"/>
        <v>134.16999999999999</v>
      </c>
      <c r="G338" s="21">
        <f t="shared" si="491"/>
        <v>188.55</v>
      </c>
      <c r="H338" s="21">
        <f t="shared" si="492"/>
        <v>744.13000000000011</v>
      </c>
      <c r="I338" s="369">
        <f t="shared" si="496"/>
        <v>69316.430000000008</v>
      </c>
      <c r="J338" s="369">
        <f t="shared" si="497"/>
        <v>67532.300000000017</v>
      </c>
      <c r="K338" s="369">
        <f t="shared" si="498"/>
        <v>14164.989999999989</v>
      </c>
      <c r="L338" s="450">
        <f t="shared" si="479"/>
        <v>23</v>
      </c>
      <c r="M338" s="450">
        <f t="shared" si="543"/>
        <v>279</v>
      </c>
      <c r="N338" s="369">
        <f t="shared" si="544"/>
        <v>104190.19000000015</v>
      </c>
      <c r="O338" s="369">
        <f t="shared" si="510"/>
        <v>1617.67</v>
      </c>
      <c r="P338" s="369">
        <f t="shared" si="552"/>
        <v>1009.8900000000001</v>
      </c>
      <c r="Q338" s="369">
        <f t="shared" si="511"/>
        <v>607.78</v>
      </c>
      <c r="R338" s="369">
        <f t="shared" si="502"/>
        <v>134.16999999999999</v>
      </c>
      <c r="S338" s="369">
        <f t="shared" si="503"/>
        <v>188.55</v>
      </c>
      <c r="T338" s="369">
        <f t="shared" si="499"/>
        <v>1940.39</v>
      </c>
      <c r="U338" s="369">
        <f t="shared" si="553"/>
        <v>139968.20000000019</v>
      </c>
      <c r="V338" s="369">
        <f t="shared" si="554"/>
        <v>312979.39999999991</v>
      </c>
      <c r="W338" s="369">
        <f t="shared" si="500"/>
        <v>103180.30000000015</v>
      </c>
      <c r="X338" s="538">
        <f t="shared" si="545"/>
        <v>54099</v>
      </c>
      <c r="Y338" s="369">
        <f t="shared" si="512"/>
        <v>255385.02000000019</v>
      </c>
      <c r="Z338" s="528">
        <f t="shared" si="537"/>
        <v>7.0000000000000007E-2</v>
      </c>
      <c r="AA338" s="369">
        <f t="shared" si="538"/>
        <v>1746.44</v>
      </c>
      <c r="AB338" s="369">
        <f t="shared" si="513"/>
        <v>256.69000000000005</v>
      </c>
      <c r="AC338" s="369">
        <f t="shared" si="539"/>
        <v>1489.75</v>
      </c>
      <c r="AD338" s="369">
        <f t="shared" ref="AD338:AE338" si="556">+AD337</f>
        <v>134.16999999999999</v>
      </c>
      <c r="AE338" s="369">
        <f t="shared" si="556"/>
        <v>188.55</v>
      </c>
      <c r="AF338" s="369">
        <f t="shared" si="515"/>
        <v>2069.1600000000003</v>
      </c>
      <c r="AG338" s="369">
        <f t="shared" si="516"/>
        <v>59795.77</v>
      </c>
      <c r="AH338" s="369">
        <f t="shared" si="517"/>
        <v>420161.23000000021</v>
      </c>
      <c r="AI338" s="546">
        <f t="shared" si="505"/>
        <v>-27009.400000000074</v>
      </c>
      <c r="AJ338" s="546">
        <f t="shared" si="458"/>
        <v>-151948.03000000003</v>
      </c>
      <c r="AK338" s="545">
        <f t="shared" si="506"/>
        <v>-178957.43000000011</v>
      </c>
      <c r="AL338" s="369">
        <f t="shared" si="518"/>
        <v>255128.33000000019</v>
      </c>
      <c r="AM338" s="450">
        <f t="shared" si="547"/>
        <v>23</v>
      </c>
      <c r="AN338" s="21">
        <f t="shared" si="507"/>
        <v>1196.26</v>
      </c>
      <c r="AO338" s="21">
        <f t="shared" si="477"/>
        <v>161102.79999999981</v>
      </c>
      <c r="AP338" s="21">
        <f t="shared" si="508"/>
        <v>1325.03</v>
      </c>
      <c r="AQ338" s="21"/>
      <c r="AR338" s="23"/>
      <c r="AS338" s="21">
        <f t="shared" si="541"/>
        <v>1196.26</v>
      </c>
      <c r="AT338" s="21">
        <f t="shared" si="548"/>
        <v>334472.24000000133</v>
      </c>
      <c r="AU338" s="369">
        <f t="shared" si="549"/>
        <v>1361.6539830609961</v>
      </c>
      <c r="AV338" s="369">
        <f t="shared" si="550"/>
        <v>302874.74720745941</v>
      </c>
    </row>
    <row r="339" spans="1:48" x14ac:dyDescent="0.25">
      <c r="A339" s="535">
        <f t="shared" si="494"/>
        <v>54129</v>
      </c>
      <c r="B339" s="300">
        <f t="shared" si="542"/>
        <v>14164.989999999989</v>
      </c>
      <c r="C339" s="14">
        <f t="shared" si="535"/>
        <v>421.41</v>
      </c>
      <c r="D339" s="14">
        <f t="shared" si="551"/>
        <v>368.29</v>
      </c>
      <c r="E339" s="14">
        <f t="shared" si="536"/>
        <v>53.12</v>
      </c>
      <c r="F339" s="14">
        <f t="shared" si="495"/>
        <v>134.16999999999999</v>
      </c>
      <c r="G339" s="14">
        <f t="shared" si="491"/>
        <v>188.55</v>
      </c>
      <c r="H339" s="14">
        <f t="shared" si="492"/>
        <v>744.13000000000011</v>
      </c>
      <c r="I339" s="300">
        <f t="shared" si="496"/>
        <v>69684.72</v>
      </c>
      <c r="J339" s="300">
        <f t="shared" si="497"/>
        <v>67585.420000000013</v>
      </c>
      <c r="K339" s="300">
        <f t="shared" si="498"/>
        <v>13796.699999999988</v>
      </c>
      <c r="L339" s="449">
        <f t="shared" si="479"/>
        <v>23</v>
      </c>
      <c r="M339" s="449">
        <f t="shared" si="543"/>
        <v>280</v>
      </c>
      <c r="N339" s="300">
        <f t="shared" si="544"/>
        <v>103180.30000000015</v>
      </c>
      <c r="O339" s="300">
        <f t="shared" si="510"/>
        <v>1617.67</v>
      </c>
      <c r="P339" s="300">
        <f t="shared" si="552"/>
        <v>1015.7800000000001</v>
      </c>
      <c r="Q339" s="300">
        <f t="shared" si="511"/>
        <v>601.89</v>
      </c>
      <c r="R339" s="300">
        <f t="shared" si="502"/>
        <v>134.16999999999999</v>
      </c>
      <c r="S339" s="300">
        <f t="shared" si="503"/>
        <v>188.55</v>
      </c>
      <c r="T339" s="300">
        <f t="shared" si="499"/>
        <v>1940.39</v>
      </c>
      <c r="U339" s="300">
        <f t="shared" si="553"/>
        <v>140983.98000000019</v>
      </c>
      <c r="V339" s="300">
        <f t="shared" si="554"/>
        <v>313581.28999999992</v>
      </c>
      <c r="W339" s="300">
        <f t="shared" si="500"/>
        <v>102164.52000000015</v>
      </c>
      <c r="X339" s="535">
        <f t="shared" si="545"/>
        <v>54129</v>
      </c>
      <c r="Y339" s="300">
        <f t="shared" si="512"/>
        <v>255128.33000000019</v>
      </c>
      <c r="Z339" s="527">
        <f t="shared" si="537"/>
        <v>7.0000000000000007E-2</v>
      </c>
      <c r="AA339" s="300">
        <f t="shared" si="538"/>
        <v>1746.44</v>
      </c>
      <c r="AB339" s="300">
        <f t="shared" si="513"/>
        <v>258.19000000000005</v>
      </c>
      <c r="AC339" s="300">
        <f t="shared" si="539"/>
        <v>1488.25</v>
      </c>
      <c r="AD339" s="300">
        <f t="shared" ref="AD339:AE339" si="557">+AD338</f>
        <v>134.16999999999999</v>
      </c>
      <c r="AE339" s="300">
        <f t="shared" si="557"/>
        <v>188.55</v>
      </c>
      <c r="AF339" s="300">
        <f t="shared" si="515"/>
        <v>2069.1600000000003</v>
      </c>
      <c r="AG339" s="300">
        <f t="shared" si="516"/>
        <v>60053.96</v>
      </c>
      <c r="AH339" s="300">
        <f t="shared" si="517"/>
        <v>421649.48000000021</v>
      </c>
      <c r="AI339" s="545">
        <f t="shared" si="505"/>
        <v>-27138.170000000075</v>
      </c>
      <c r="AJ339" s="545">
        <f t="shared" si="458"/>
        <v>-152705.62000000005</v>
      </c>
      <c r="AK339" s="545">
        <f t="shared" si="506"/>
        <v>-179843.79000000012</v>
      </c>
      <c r="AL339" s="300">
        <f t="shared" si="518"/>
        <v>254870.14000000019</v>
      </c>
      <c r="AM339" s="449">
        <f t="shared" si="547"/>
        <v>23</v>
      </c>
      <c r="AN339" s="14">
        <f t="shared" si="507"/>
        <v>1196.26</v>
      </c>
      <c r="AO339" s="14">
        <f t="shared" si="477"/>
        <v>160455.30999999979</v>
      </c>
      <c r="AP339" s="14">
        <f t="shared" si="508"/>
        <v>1325.03</v>
      </c>
      <c r="AS339" s="14">
        <f t="shared" si="541"/>
        <v>1196.26</v>
      </c>
      <c r="AT339" s="14">
        <f t="shared" si="548"/>
        <v>335668.50000000134</v>
      </c>
      <c r="AU339" s="300">
        <f t="shared" si="549"/>
        <v>1365.0581180186484</v>
      </c>
      <c r="AV339" s="300">
        <f t="shared" si="550"/>
        <v>304239.80532547808</v>
      </c>
    </row>
    <row r="340" spans="1:48" x14ac:dyDescent="0.25">
      <c r="A340" s="535">
        <f t="shared" si="494"/>
        <v>54159</v>
      </c>
      <c r="B340" s="300">
        <f t="shared" si="542"/>
        <v>13796.699999999988</v>
      </c>
      <c r="C340" s="14">
        <f t="shared" si="535"/>
        <v>421.41</v>
      </c>
      <c r="D340" s="14">
        <f t="shared" si="551"/>
        <v>369.67</v>
      </c>
      <c r="E340" s="14">
        <f t="shared" si="536"/>
        <v>51.74</v>
      </c>
      <c r="F340" s="14">
        <f t="shared" si="495"/>
        <v>134.16999999999999</v>
      </c>
      <c r="G340" s="14">
        <f t="shared" si="491"/>
        <v>188.55</v>
      </c>
      <c r="H340" s="14">
        <f t="shared" si="492"/>
        <v>744.13000000000011</v>
      </c>
      <c r="I340" s="300">
        <f t="shared" si="496"/>
        <v>70054.39</v>
      </c>
      <c r="J340" s="300">
        <f t="shared" si="497"/>
        <v>67637.160000000018</v>
      </c>
      <c r="K340" s="300">
        <f t="shared" si="498"/>
        <v>13427.029999999988</v>
      </c>
      <c r="L340" s="449">
        <f t="shared" si="479"/>
        <v>23</v>
      </c>
      <c r="M340" s="449">
        <f t="shared" si="543"/>
        <v>281</v>
      </c>
      <c r="N340" s="300">
        <f t="shared" si="544"/>
        <v>102164.52000000015</v>
      </c>
      <c r="O340" s="300">
        <f t="shared" si="510"/>
        <v>1617.67</v>
      </c>
      <c r="P340" s="300">
        <f t="shared" si="552"/>
        <v>1021.71</v>
      </c>
      <c r="Q340" s="300">
        <f t="shared" si="511"/>
        <v>595.96</v>
      </c>
      <c r="R340" s="300">
        <f t="shared" si="502"/>
        <v>134.16999999999999</v>
      </c>
      <c r="S340" s="300">
        <f t="shared" si="503"/>
        <v>188.55</v>
      </c>
      <c r="T340" s="300">
        <f t="shared" si="499"/>
        <v>1940.39</v>
      </c>
      <c r="U340" s="300">
        <f t="shared" si="553"/>
        <v>142005.69000000018</v>
      </c>
      <c r="V340" s="300">
        <f t="shared" si="554"/>
        <v>314177.24999999994</v>
      </c>
      <c r="W340" s="300">
        <f t="shared" si="500"/>
        <v>101142.81000000014</v>
      </c>
      <c r="X340" s="535">
        <f t="shared" si="545"/>
        <v>54159</v>
      </c>
      <c r="Y340" s="300">
        <f t="shared" si="512"/>
        <v>254870.14000000019</v>
      </c>
      <c r="Z340" s="527">
        <f t="shared" si="537"/>
        <v>7.0000000000000007E-2</v>
      </c>
      <c r="AA340" s="300">
        <f t="shared" si="538"/>
        <v>1746.44</v>
      </c>
      <c r="AB340" s="300">
        <f t="shared" si="513"/>
        <v>259.70000000000005</v>
      </c>
      <c r="AC340" s="300">
        <f t="shared" si="539"/>
        <v>1486.74</v>
      </c>
      <c r="AD340" s="300">
        <f t="shared" ref="AD340:AE340" si="558">+AD339</f>
        <v>134.16999999999999</v>
      </c>
      <c r="AE340" s="300">
        <f t="shared" si="558"/>
        <v>188.55</v>
      </c>
      <c r="AF340" s="300">
        <f t="shared" si="515"/>
        <v>2069.1600000000003</v>
      </c>
      <c r="AG340" s="300">
        <f t="shared" si="516"/>
        <v>60313.659999999996</v>
      </c>
      <c r="AH340" s="300">
        <f t="shared" si="517"/>
        <v>423136.2200000002</v>
      </c>
      <c r="AI340" s="545">
        <f t="shared" si="505"/>
        <v>-27266.940000000075</v>
      </c>
      <c r="AJ340" s="545">
        <f t="shared" si="458"/>
        <v>-153467.63000000003</v>
      </c>
      <c r="AK340" s="545">
        <f t="shared" si="506"/>
        <v>-180734.57000000012</v>
      </c>
      <c r="AL340" s="300">
        <f t="shared" si="518"/>
        <v>254610.44000000018</v>
      </c>
      <c r="AM340" s="449">
        <f t="shared" si="547"/>
        <v>23</v>
      </c>
      <c r="AN340" s="14">
        <f t="shared" si="507"/>
        <v>1196.26</v>
      </c>
      <c r="AO340" s="14">
        <f t="shared" si="477"/>
        <v>159803.26999999979</v>
      </c>
      <c r="AP340" s="14">
        <f t="shared" si="508"/>
        <v>1325.03</v>
      </c>
      <c r="AS340" s="14">
        <f t="shared" si="541"/>
        <v>1196.26</v>
      </c>
      <c r="AT340" s="14">
        <f t="shared" si="548"/>
        <v>336864.76000000135</v>
      </c>
      <c r="AU340" s="300">
        <f t="shared" si="549"/>
        <v>1368.4707633136952</v>
      </c>
      <c r="AV340" s="300">
        <f t="shared" si="550"/>
        <v>305608.27608879178</v>
      </c>
    </row>
    <row r="341" spans="1:48" x14ac:dyDescent="0.25">
      <c r="A341" s="535">
        <f t="shared" si="494"/>
        <v>54189</v>
      </c>
      <c r="B341" s="300">
        <f t="shared" si="542"/>
        <v>13427.029999999988</v>
      </c>
      <c r="C341" s="14">
        <f t="shared" si="535"/>
        <v>421.41</v>
      </c>
      <c r="D341" s="14">
        <f t="shared" si="551"/>
        <v>371.06</v>
      </c>
      <c r="E341" s="14">
        <f t="shared" si="536"/>
        <v>50.35</v>
      </c>
      <c r="F341" s="14">
        <f t="shared" si="495"/>
        <v>134.16999999999999</v>
      </c>
      <c r="G341" s="14">
        <f t="shared" si="491"/>
        <v>188.55</v>
      </c>
      <c r="H341" s="14">
        <f t="shared" si="492"/>
        <v>744.13000000000011</v>
      </c>
      <c r="I341" s="300">
        <f t="shared" si="496"/>
        <v>70425.45</v>
      </c>
      <c r="J341" s="300">
        <f t="shared" si="497"/>
        <v>67687.510000000024</v>
      </c>
      <c r="K341" s="300">
        <f t="shared" si="498"/>
        <v>13055.969999999988</v>
      </c>
      <c r="L341" s="449">
        <f t="shared" si="479"/>
        <v>23</v>
      </c>
      <c r="M341" s="449">
        <f t="shared" si="543"/>
        <v>282</v>
      </c>
      <c r="N341" s="300">
        <f t="shared" si="544"/>
        <v>101142.81000000014</v>
      </c>
      <c r="O341" s="300">
        <f t="shared" si="510"/>
        <v>1617.67</v>
      </c>
      <c r="P341" s="300">
        <f t="shared" si="552"/>
        <v>1027.67</v>
      </c>
      <c r="Q341" s="300">
        <f t="shared" si="511"/>
        <v>590</v>
      </c>
      <c r="R341" s="300">
        <f t="shared" si="502"/>
        <v>134.16999999999999</v>
      </c>
      <c r="S341" s="300">
        <f t="shared" si="503"/>
        <v>188.55</v>
      </c>
      <c r="T341" s="300">
        <f t="shared" si="499"/>
        <v>1940.39</v>
      </c>
      <c r="U341" s="300">
        <f t="shared" si="553"/>
        <v>143033.36000000019</v>
      </c>
      <c r="V341" s="300">
        <f t="shared" si="554"/>
        <v>314767.24999999994</v>
      </c>
      <c r="W341" s="300">
        <f t="shared" si="500"/>
        <v>100115.14000000014</v>
      </c>
      <c r="X341" s="535">
        <f t="shared" si="545"/>
        <v>54189</v>
      </c>
      <c r="Y341" s="300">
        <f t="shared" si="512"/>
        <v>254610.44000000018</v>
      </c>
      <c r="Z341" s="527">
        <f t="shared" si="537"/>
        <v>7.0000000000000007E-2</v>
      </c>
      <c r="AA341" s="300">
        <f t="shared" si="538"/>
        <v>1746.44</v>
      </c>
      <c r="AB341" s="300">
        <f t="shared" si="513"/>
        <v>261.21000000000004</v>
      </c>
      <c r="AC341" s="300">
        <f t="shared" si="539"/>
        <v>1485.23</v>
      </c>
      <c r="AD341" s="300">
        <f t="shared" ref="AD341:AE341" si="559">+AD340</f>
        <v>134.16999999999999</v>
      </c>
      <c r="AE341" s="300">
        <f t="shared" si="559"/>
        <v>188.55</v>
      </c>
      <c r="AF341" s="300">
        <f t="shared" si="515"/>
        <v>2069.1600000000003</v>
      </c>
      <c r="AG341" s="300">
        <f t="shared" si="516"/>
        <v>60574.869999999995</v>
      </c>
      <c r="AH341" s="300">
        <f t="shared" si="517"/>
        <v>424621.45000000019</v>
      </c>
      <c r="AI341" s="545">
        <f t="shared" si="505"/>
        <v>-27395.710000000076</v>
      </c>
      <c r="AJ341" s="545">
        <f t="shared" si="458"/>
        <v>-154234.09000000003</v>
      </c>
      <c r="AK341" s="545">
        <f t="shared" si="506"/>
        <v>-181629.8000000001</v>
      </c>
      <c r="AL341" s="300">
        <f t="shared" si="518"/>
        <v>254349.23000000019</v>
      </c>
      <c r="AM341" s="449">
        <f t="shared" si="547"/>
        <v>23</v>
      </c>
      <c r="AN341" s="14">
        <f t="shared" si="507"/>
        <v>1196.26</v>
      </c>
      <c r="AO341" s="14">
        <f t="shared" si="477"/>
        <v>159146.65999999977</v>
      </c>
      <c r="AP341" s="14">
        <f t="shared" si="508"/>
        <v>1325.03</v>
      </c>
      <c r="AS341" s="14">
        <f t="shared" si="541"/>
        <v>1196.26</v>
      </c>
      <c r="AT341" s="14">
        <f t="shared" si="548"/>
        <v>338061.02000000136</v>
      </c>
      <c r="AU341" s="300">
        <f t="shared" si="549"/>
        <v>1371.8919402219792</v>
      </c>
      <c r="AV341" s="300">
        <f t="shared" si="550"/>
        <v>306980.16802901379</v>
      </c>
    </row>
    <row r="342" spans="1:48" x14ac:dyDescent="0.25">
      <c r="A342" s="535">
        <f t="shared" si="494"/>
        <v>54219</v>
      </c>
      <c r="B342" s="300">
        <f t="shared" si="542"/>
        <v>13055.969999999988</v>
      </c>
      <c r="C342" s="14">
        <f t="shared" si="535"/>
        <v>421.41</v>
      </c>
      <c r="D342" s="14">
        <f t="shared" si="551"/>
        <v>372.45000000000005</v>
      </c>
      <c r="E342" s="14">
        <f t="shared" si="536"/>
        <v>48.96</v>
      </c>
      <c r="F342" s="14">
        <f t="shared" si="495"/>
        <v>134.16999999999999</v>
      </c>
      <c r="G342" s="14">
        <f t="shared" si="491"/>
        <v>188.55</v>
      </c>
      <c r="H342" s="14">
        <f t="shared" si="492"/>
        <v>744.13000000000011</v>
      </c>
      <c r="I342" s="300">
        <f t="shared" si="496"/>
        <v>70797.899999999994</v>
      </c>
      <c r="J342" s="300">
        <f t="shared" si="497"/>
        <v>67736.47000000003</v>
      </c>
      <c r="K342" s="300">
        <f t="shared" si="498"/>
        <v>12683.519999999988</v>
      </c>
      <c r="L342" s="449">
        <f t="shared" si="479"/>
        <v>23</v>
      </c>
      <c r="M342" s="449">
        <f t="shared" si="543"/>
        <v>283</v>
      </c>
      <c r="N342" s="300">
        <f t="shared" si="544"/>
        <v>100115.14000000014</v>
      </c>
      <c r="O342" s="300">
        <f t="shared" si="510"/>
        <v>1617.67</v>
      </c>
      <c r="P342" s="300">
        <f t="shared" si="552"/>
        <v>1033.67</v>
      </c>
      <c r="Q342" s="300">
        <f t="shared" si="511"/>
        <v>584</v>
      </c>
      <c r="R342" s="300">
        <f t="shared" si="502"/>
        <v>134.16999999999999</v>
      </c>
      <c r="S342" s="300">
        <f t="shared" si="503"/>
        <v>188.55</v>
      </c>
      <c r="T342" s="300">
        <f t="shared" si="499"/>
        <v>1940.39</v>
      </c>
      <c r="U342" s="300">
        <f t="shared" si="553"/>
        <v>144067.0300000002</v>
      </c>
      <c r="V342" s="300">
        <f t="shared" si="554"/>
        <v>315351.24999999994</v>
      </c>
      <c r="W342" s="300">
        <f t="shared" si="500"/>
        <v>99081.470000000147</v>
      </c>
      <c r="X342" s="535">
        <f t="shared" si="545"/>
        <v>54219</v>
      </c>
      <c r="Y342" s="300">
        <f t="shared" si="512"/>
        <v>254349.23000000019</v>
      </c>
      <c r="Z342" s="527">
        <f t="shared" si="537"/>
        <v>7.0000000000000007E-2</v>
      </c>
      <c r="AA342" s="300">
        <f t="shared" si="538"/>
        <v>1746.44</v>
      </c>
      <c r="AB342" s="300">
        <f t="shared" si="513"/>
        <v>262.74</v>
      </c>
      <c r="AC342" s="300">
        <f t="shared" si="539"/>
        <v>1483.7</v>
      </c>
      <c r="AD342" s="300">
        <f t="shared" ref="AD342:AE342" si="560">+AD341</f>
        <v>134.16999999999999</v>
      </c>
      <c r="AE342" s="300">
        <f t="shared" si="560"/>
        <v>188.55</v>
      </c>
      <c r="AF342" s="300">
        <f t="shared" si="515"/>
        <v>2069.1600000000003</v>
      </c>
      <c r="AG342" s="300">
        <f t="shared" si="516"/>
        <v>60837.609999999993</v>
      </c>
      <c r="AH342" s="300">
        <f t="shared" si="517"/>
        <v>426105.1500000002</v>
      </c>
      <c r="AI342" s="545">
        <f t="shared" si="505"/>
        <v>-27524.480000000076</v>
      </c>
      <c r="AJ342" s="545">
        <f t="shared" si="458"/>
        <v>-155005.02000000005</v>
      </c>
      <c r="AK342" s="545">
        <f t="shared" si="506"/>
        <v>-182529.50000000012</v>
      </c>
      <c r="AL342" s="300">
        <f t="shared" si="518"/>
        <v>254086.49000000019</v>
      </c>
      <c r="AM342" s="449">
        <f t="shared" si="547"/>
        <v>23</v>
      </c>
      <c r="AN342" s="14">
        <f t="shared" si="507"/>
        <v>1196.26</v>
      </c>
      <c r="AO342" s="14">
        <f t="shared" si="477"/>
        <v>158485.43999999977</v>
      </c>
      <c r="AP342" s="14">
        <f t="shared" si="508"/>
        <v>1325.03</v>
      </c>
      <c r="AS342" s="14">
        <f t="shared" si="541"/>
        <v>1196.26</v>
      </c>
      <c r="AT342" s="14">
        <f t="shared" si="548"/>
        <v>339257.28000000137</v>
      </c>
      <c r="AU342" s="300">
        <f t="shared" si="549"/>
        <v>1375.3216700725343</v>
      </c>
      <c r="AV342" s="300">
        <f t="shared" si="550"/>
        <v>308355.48969908635</v>
      </c>
    </row>
    <row r="343" spans="1:48" x14ac:dyDescent="0.25">
      <c r="A343" s="535">
        <f t="shared" si="494"/>
        <v>54249</v>
      </c>
      <c r="B343" s="300">
        <f t="shared" si="542"/>
        <v>12683.519999999988</v>
      </c>
      <c r="C343" s="14">
        <f t="shared" si="535"/>
        <v>421.41</v>
      </c>
      <c r="D343" s="14">
        <f t="shared" si="551"/>
        <v>373.85</v>
      </c>
      <c r="E343" s="14">
        <f t="shared" si="536"/>
        <v>47.56</v>
      </c>
      <c r="F343" s="14">
        <f t="shared" si="495"/>
        <v>134.16999999999999</v>
      </c>
      <c r="G343" s="14">
        <f t="shared" si="491"/>
        <v>188.55</v>
      </c>
      <c r="H343" s="14">
        <f t="shared" si="492"/>
        <v>744.13000000000011</v>
      </c>
      <c r="I343" s="300">
        <f t="shared" si="496"/>
        <v>71171.75</v>
      </c>
      <c r="J343" s="300">
        <f t="shared" si="497"/>
        <v>67784.030000000028</v>
      </c>
      <c r="K343" s="300">
        <f t="shared" si="498"/>
        <v>12309.669999999987</v>
      </c>
      <c r="L343" s="449">
        <f t="shared" si="479"/>
        <v>23</v>
      </c>
      <c r="M343" s="449">
        <f t="shared" si="543"/>
        <v>284</v>
      </c>
      <c r="N343" s="300">
        <f t="shared" si="544"/>
        <v>99081.470000000147</v>
      </c>
      <c r="O343" s="300">
        <f t="shared" si="510"/>
        <v>1617.67</v>
      </c>
      <c r="P343" s="300">
        <f t="shared" si="552"/>
        <v>1039.69</v>
      </c>
      <c r="Q343" s="300">
        <f t="shared" si="511"/>
        <v>577.98</v>
      </c>
      <c r="R343" s="300">
        <f t="shared" si="502"/>
        <v>134.16999999999999</v>
      </c>
      <c r="S343" s="300">
        <f t="shared" si="503"/>
        <v>188.55</v>
      </c>
      <c r="T343" s="300">
        <f t="shared" si="499"/>
        <v>1940.39</v>
      </c>
      <c r="U343" s="300">
        <f t="shared" si="553"/>
        <v>145106.7200000002</v>
      </c>
      <c r="V343" s="300">
        <f t="shared" si="554"/>
        <v>315929.22999999992</v>
      </c>
      <c r="W343" s="300">
        <f t="shared" si="500"/>
        <v>98041.780000000144</v>
      </c>
      <c r="X343" s="535">
        <f t="shared" si="545"/>
        <v>54249</v>
      </c>
      <c r="Y343" s="300">
        <f t="shared" si="512"/>
        <v>254086.49000000019</v>
      </c>
      <c r="Z343" s="527">
        <f t="shared" si="537"/>
        <v>7.0000000000000007E-2</v>
      </c>
      <c r="AA343" s="300">
        <f t="shared" si="538"/>
        <v>1746.44</v>
      </c>
      <c r="AB343" s="300">
        <f t="shared" si="513"/>
        <v>264.27</v>
      </c>
      <c r="AC343" s="300">
        <f t="shared" si="539"/>
        <v>1482.17</v>
      </c>
      <c r="AD343" s="300">
        <f t="shared" ref="AD343:AE343" si="561">+AD342</f>
        <v>134.16999999999999</v>
      </c>
      <c r="AE343" s="300">
        <f t="shared" si="561"/>
        <v>188.55</v>
      </c>
      <c r="AF343" s="300">
        <f t="shared" si="515"/>
        <v>2069.1600000000003</v>
      </c>
      <c r="AG343" s="300">
        <f t="shared" si="516"/>
        <v>61101.87999999999</v>
      </c>
      <c r="AH343" s="300">
        <f t="shared" si="517"/>
        <v>427587.32000000018</v>
      </c>
      <c r="AI343" s="545">
        <f t="shared" si="505"/>
        <v>-27653.250000000076</v>
      </c>
      <c r="AJ343" s="545">
        <f t="shared" si="458"/>
        <v>-155780.44000000006</v>
      </c>
      <c r="AK343" s="545">
        <f t="shared" si="506"/>
        <v>-183433.69000000015</v>
      </c>
      <c r="AL343" s="300">
        <f t="shared" si="518"/>
        <v>253822.2200000002</v>
      </c>
      <c r="AM343" s="449">
        <f t="shared" si="547"/>
        <v>23</v>
      </c>
      <c r="AN343" s="14">
        <f t="shared" si="507"/>
        <v>1196.26</v>
      </c>
      <c r="AO343" s="14">
        <f t="shared" si="477"/>
        <v>157819.59999999974</v>
      </c>
      <c r="AP343" s="14">
        <f t="shared" si="508"/>
        <v>1325.03</v>
      </c>
      <c r="AS343" s="14">
        <f t="shared" si="541"/>
        <v>1196.26</v>
      </c>
      <c r="AT343" s="14">
        <f t="shared" si="548"/>
        <v>340453.54000000138</v>
      </c>
      <c r="AU343" s="300">
        <f t="shared" si="549"/>
        <v>1378.7599742477159</v>
      </c>
      <c r="AV343" s="300">
        <f t="shared" si="550"/>
        <v>309734.24967333407</v>
      </c>
    </row>
    <row r="344" spans="1:48" x14ac:dyDescent="0.25">
      <c r="A344" s="535">
        <f t="shared" si="494"/>
        <v>54279</v>
      </c>
      <c r="B344" s="300">
        <f t="shared" si="542"/>
        <v>12309.669999999987</v>
      </c>
      <c r="C344" s="14">
        <f t="shared" si="535"/>
        <v>421.41</v>
      </c>
      <c r="D344" s="14">
        <f t="shared" si="551"/>
        <v>375.25</v>
      </c>
      <c r="E344" s="14">
        <f t="shared" si="536"/>
        <v>46.16</v>
      </c>
      <c r="F344" s="14">
        <f t="shared" si="495"/>
        <v>134.16999999999999</v>
      </c>
      <c r="G344" s="14">
        <f t="shared" si="491"/>
        <v>188.55</v>
      </c>
      <c r="H344" s="14">
        <f t="shared" si="492"/>
        <v>744.12999999999988</v>
      </c>
      <c r="I344" s="300">
        <f t="shared" si="496"/>
        <v>71547</v>
      </c>
      <c r="J344" s="300">
        <f t="shared" si="497"/>
        <v>67830.190000000031</v>
      </c>
      <c r="K344" s="300">
        <f t="shared" si="498"/>
        <v>11934.419999999987</v>
      </c>
      <c r="L344" s="449">
        <f t="shared" si="479"/>
        <v>23</v>
      </c>
      <c r="M344" s="449">
        <f t="shared" si="543"/>
        <v>285</v>
      </c>
      <c r="N344" s="300">
        <f t="shared" si="544"/>
        <v>98041.780000000144</v>
      </c>
      <c r="O344" s="300">
        <f t="shared" si="510"/>
        <v>1617.67</v>
      </c>
      <c r="P344" s="300">
        <f t="shared" si="552"/>
        <v>1045.7600000000002</v>
      </c>
      <c r="Q344" s="300">
        <f t="shared" si="511"/>
        <v>571.91</v>
      </c>
      <c r="R344" s="300">
        <f t="shared" si="502"/>
        <v>134.16999999999999</v>
      </c>
      <c r="S344" s="300">
        <f t="shared" si="503"/>
        <v>188.55</v>
      </c>
      <c r="T344" s="300">
        <f t="shared" si="499"/>
        <v>1940.39</v>
      </c>
      <c r="U344" s="300">
        <f t="shared" si="553"/>
        <v>146152.48000000021</v>
      </c>
      <c r="V344" s="300">
        <f t="shared" si="554"/>
        <v>316501.1399999999</v>
      </c>
      <c r="W344" s="300">
        <f t="shared" si="500"/>
        <v>96996.02000000015</v>
      </c>
      <c r="X344" s="535">
        <f t="shared" si="545"/>
        <v>54279</v>
      </c>
      <c r="Y344" s="300">
        <f t="shared" si="512"/>
        <v>253822.2200000002</v>
      </c>
      <c r="Z344" s="527">
        <f t="shared" si="537"/>
        <v>7.0000000000000007E-2</v>
      </c>
      <c r="AA344" s="300">
        <f t="shared" si="538"/>
        <v>1746.44</v>
      </c>
      <c r="AB344" s="300">
        <f t="shared" si="513"/>
        <v>265.80999999999995</v>
      </c>
      <c r="AC344" s="300">
        <f t="shared" si="539"/>
        <v>1480.63</v>
      </c>
      <c r="AD344" s="300">
        <f t="shared" ref="AD344:AE344" si="562">+AD343</f>
        <v>134.16999999999999</v>
      </c>
      <c r="AE344" s="300">
        <f t="shared" si="562"/>
        <v>188.55</v>
      </c>
      <c r="AF344" s="300">
        <f t="shared" si="515"/>
        <v>2069.1600000000003</v>
      </c>
      <c r="AG344" s="300">
        <f t="shared" si="516"/>
        <v>61367.689999999988</v>
      </c>
      <c r="AH344" s="300">
        <f t="shared" si="517"/>
        <v>429067.95000000019</v>
      </c>
      <c r="AI344" s="545">
        <f t="shared" si="505"/>
        <v>-27782.020000000077</v>
      </c>
      <c r="AJ344" s="545">
        <f t="shared" si="458"/>
        <v>-156560.39000000007</v>
      </c>
      <c r="AK344" s="545">
        <f t="shared" si="506"/>
        <v>-184342.41000000015</v>
      </c>
      <c r="AL344" s="300">
        <f t="shared" si="518"/>
        <v>253556.41000000021</v>
      </c>
      <c r="AM344" s="449">
        <f t="shared" si="547"/>
        <v>23</v>
      </c>
      <c r="AN344" s="14">
        <f t="shared" si="507"/>
        <v>1196.26</v>
      </c>
      <c r="AO344" s="14">
        <f t="shared" si="477"/>
        <v>157149.08999999973</v>
      </c>
      <c r="AP344" s="14">
        <f t="shared" si="508"/>
        <v>1325.03</v>
      </c>
      <c r="AS344" s="14">
        <f t="shared" si="541"/>
        <v>1196.26</v>
      </c>
      <c r="AT344" s="14">
        <f t="shared" si="548"/>
        <v>341649.80000000139</v>
      </c>
      <c r="AU344" s="300">
        <f t="shared" si="549"/>
        <v>1382.2068741833352</v>
      </c>
      <c r="AV344" s="300">
        <f t="shared" si="550"/>
        <v>311116.45654751739</v>
      </c>
    </row>
    <row r="345" spans="1:48" x14ac:dyDescent="0.25">
      <c r="A345" s="535">
        <f t="shared" si="494"/>
        <v>54309</v>
      </c>
      <c r="B345" s="300">
        <f t="shared" si="542"/>
        <v>11934.419999999987</v>
      </c>
      <c r="C345" s="14">
        <f t="shared" si="535"/>
        <v>421.41</v>
      </c>
      <c r="D345" s="14">
        <f t="shared" si="551"/>
        <v>376.66</v>
      </c>
      <c r="E345" s="14">
        <f t="shared" si="536"/>
        <v>44.75</v>
      </c>
      <c r="F345" s="14">
        <f t="shared" si="495"/>
        <v>134.16999999999999</v>
      </c>
      <c r="G345" s="14">
        <f t="shared" si="491"/>
        <v>188.55</v>
      </c>
      <c r="H345" s="14">
        <f t="shared" si="492"/>
        <v>744.13000000000011</v>
      </c>
      <c r="I345" s="300">
        <f t="shared" si="496"/>
        <v>71923.66</v>
      </c>
      <c r="J345" s="300">
        <f t="shared" si="497"/>
        <v>67874.940000000031</v>
      </c>
      <c r="K345" s="300">
        <f t="shared" si="498"/>
        <v>11557.759999999987</v>
      </c>
      <c r="L345" s="449">
        <f t="shared" si="479"/>
        <v>23</v>
      </c>
      <c r="M345" s="449">
        <f t="shared" si="543"/>
        <v>286</v>
      </c>
      <c r="N345" s="300">
        <f t="shared" si="544"/>
        <v>96996.02000000015</v>
      </c>
      <c r="O345" s="300">
        <f t="shared" si="510"/>
        <v>1617.67</v>
      </c>
      <c r="P345" s="300">
        <f t="shared" si="552"/>
        <v>1051.8600000000001</v>
      </c>
      <c r="Q345" s="300">
        <f t="shared" si="511"/>
        <v>565.80999999999995</v>
      </c>
      <c r="R345" s="300">
        <f t="shared" si="502"/>
        <v>134.16999999999999</v>
      </c>
      <c r="S345" s="300">
        <f t="shared" si="503"/>
        <v>188.55</v>
      </c>
      <c r="T345" s="300">
        <f t="shared" si="499"/>
        <v>1940.39</v>
      </c>
      <c r="U345" s="300">
        <f t="shared" si="553"/>
        <v>147204.3400000002</v>
      </c>
      <c r="V345" s="300">
        <f t="shared" si="554"/>
        <v>317066.9499999999</v>
      </c>
      <c r="W345" s="300">
        <f t="shared" si="500"/>
        <v>95944.160000000149</v>
      </c>
      <c r="X345" s="535">
        <f t="shared" si="545"/>
        <v>54309</v>
      </c>
      <c r="Y345" s="300">
        <f t="shared" si="512"/>
        <v>253556.41000000021</v>
      </c>
      <c r="Z345" s="527">
        <f t="shared" si="537"/>
        <v>7.0000000000000007E-2</v>
      </c>
      <c r="AA345" s="300">
        <f t="shared" si="538"/>
        <v>1746.44</v>
      </c>
      <c r="AB345" s="300">
        <f t="shared" si="513"/>
        <v>267.36000000000013</v>
      </c>
      <c r="AC345" s="300">
        <f t="shared" si="539"/>
        <v>1479.08</v>
      </c>
      <c r="AD345" s="300">
        <f t="shared" ref="AD345:AE345" si="563">+AD344</f>
        <v>134.16999999999999</v>
      </c>
      <c r="AE345" s="300">
        <f t="shared" si="563"/>
        <v>188.55</v>
      </c>
      <c r="AF345" s="300">
        <f t="shared" si="515"/>
        <v>2069.1600000000003</v>
      </c>
      <c r="AG345" s="300">
        <f t="shared" si="516"/>
        <v>61635.049999999988</v>
      </c>
      <c r="AH345" s="300">
        <f t="shared" si="517"/>
        <v>430547.0300000002</v>
      </c>
      <c r="AI345" s="545">
        <f t="shared" si="505"/>
        <v>-27910.790000000077</v>
      </c>
      <c r="AJ345" s="545">
        <f t="shared" si="458"/>
        <v>-157344.89000000007</v>
      </c>
      <c r="AK345" s="545">
        <f t="shared" si="506"/>
        <v>-185255.68000000014</v>
      </c>
      <c r="AL345" s="300">
        <f t="shared" si="518"/>
        <v>253289.05000000022</v>
      </c>
      <c r="AM345" s="449">
        <f t="shared" si="547"/>
        <v>23</v>
      </c>
      <c r="AN345" s="14">
        <f t="shared" si="507"/>
        <v>1196.26</v>
      </c>
      <c r="AO345" s="14">
        <f t="shared" si="477"/>
        <v>156473.88999999978</v>
      </c>
      <c r="AP345" s="14">
        <f t="shared" si="508"/>
        <v>1325.03</v>
      </c>
      <c r="AS345" s="14">
        <f t="shared" si="541"/>
        <v>1196.26</v>
      </c>
      <c r="AT345" s="14">
        <f t="shared" si="548"/>
        <v>342846.06000000139</v>
      </c>
      <c r="AU345" s="300">
        <f t="shared" si="549"/>
        <v>1385.6623913687934</v>
      </c>
      <c r="AV345" s="300">
        <f t="shared" si="550"/>
        <v>312502.11893888615</v>
      </c>
    </row>
    <row r="346" spans="1:48" x14ac:dyDescent="0.25">
      <c r="A346" s="535">
        <f t="shared" si="494"/>
        <v>54339</v>
      </c>
      <c r="B346" s="300">
        <f t="shared" si="542"/>
        <v>11557.759999999987</v>
      </c>
      <c r="C346" s="14">
        <f t="shared" si="535"/>
        <v>421.41</v>
      </c>
      <c r="D346" s="14">
        <f t="shared" si="551"/>
        <v>378.07000000000005</v>
      </c>
      <c r="E346" s="14">
        <f t="shared" si="536"/>
        <v>43.34</v>
      </c>
      <c r="F346" s="14">
        <f t="shared" si="495"/>
        <v>134.16999999999999</v>
      </c>
      <c r="G346" s="14">
        <f t="shared" si="491"/>
        <v>188.55</v>
      </c>
      <c r="H346" s="14">
        <f t="shared" si="492"/>
        <v>744.13000000000011</v>
      </c>
      <c r="I346" s="300">
        <f t="shared" si="496"/>
        <v>72301.73000000001</v>
      </c>
      <c r="J346" s="300">
        <f t="shared" si="497"/>
        <v>67918.280000000028</v>
      </c>
      <c r="K346" s="300">
        <f t="shared" si="498"/>
        <v>11179.689999999988</v>
      </c>
      <c r="L346" s="449">
        <f t="shared" si="479"/>
        <v>23</v>
      </c>
      <c r="M346" s="449">
        <f t="shared" si="543"/>
        <v>287</v>
      </c>
      <c r="N346" s="300">
        <f t="shared" si="544"/>
        <v>95944.160000000149</v>
      </c>
      <c r="O346" s="300">
        <f t="shared" si="510"/>
        <v>1617.67</v>
      </c>
      <c r="P346" s="300">
        <f t="shared" si="552"/>
        <v>1058</v>
      </c>
      <c r="Q346" s="300">
        <f t="shared" si="511"/>
        <v>559.66999999999996</v>
      </c>
      <c r="R346" s="300">
        <f t="shared" si="502"/>
        <v>134.16999999999999</v>
      </c>
      <c r="S346" s="300">
        <f t="shared" si="503"/>
        <v>188.55</v>
      </c>
      <c r="T346" s="300">
        <f t="shared" si="499"/>
        <v>1940.39</v>
      </c>
      <c r="U346" s="300">
        <f t="shared" si="553"/>
        <v>148262.3400000002</v>
      </c>
      <c r="V346" s="300">
        <f t="shared" si="554"/>
        <v>317626.61999999988</v>
      </c>
      <c r="W346" s="300">
        <f t="shared" si="500"/>
        <v>94886.160000000149</v>
      </c>
      <c r="X346" s="535">
        <f t="shared" si="545"/>
        <v>54339</v>
      </c>
      <c r="Y346" s="300">
        <f t="shared" si="512"/>
        <v>253289.05000000022</v>
      </c>
      <c r="Z346" s="527">
        <f t="shared" si="537"/>
        <v>7.0000000000000007E-2</v>
      </c>
      <c r="AA346" s="300">
        <f t="shared" si="538"/>
        <v>1746.44</v>
      </c>
      <c r="AB346" s="300">
        <f t="shared" si="513"/>
        <v>268.92000000000007</v>
      </c>
      <c r="AC346" s="300">
        <f t="shared" si="539"/>
        <v>1477.52</v>
      </c>
      <c r="AD346" s="300">
        <f t="shared" ref="AD346:AE346" si="564">+AD345</f>
        <v>134.16999999999999</v>
      </c>
      <c r="AE346" s="300">
        <f t="shared" si="564"/>
        <v>188.55</v>
      </c>
      <c r="AF346" s="300">
        <f t="shared" si="515"/>
        <v>2069.1600000000003</v>
      </c>
      <c r="AG346" s="300">
        <f t="shared" si="516"/>
        <v>61903.969999999987</v>
      </c>
      <c r="AH346" s="300">
        <f t="shared" si="517"/>
        <v>432024.55000000022</v>
      </c>
      <c r="AI346" s="545">
        <f t="shared" si="505"/>
        <v>-28039.560000000078</v>
      </c>
      <c r="AJ346" s="545">
        <f t="shared" si="458"/>
        <v>-158133.97000000006</v>
      </c>
      <c r="AK346" s="545">
        <f t="shared" si="506"/>
        <v>-186173.53000000014</v>
      </c>
      <c r="AL346" s="300">
        <f t="shared" si="518"/>
        <v>253020.13000000021</v>
      </c>
      <c r="AM346" s="449">
        <f t="shared" si="547"/>
        <v>23</v>
      </c>
      <c r="AN346" s="14">
        <f t="shared" si="507"/>
        <v>1196.26</v>
      </c>
      <c r="AO346" s="14">
        <f t="shared" si="477"/>
        <v>155793.95999999979</v>
      </c>
      <c r="AP346" s="14">
        <f t="shared" si="508"/>
        <v>1325.03</v>
      </c>
      <c r="AS346" s="14">
        <f t="shared" si="541"/>
        <v>1196.26</v>
      </c>
      <c r="AT346" s="14">
        <f t="shared" si="548"/>
        <v>344042.3200000014</v>
      </c>
      <c r="AU346" s="300">
        <f t="shared" si="549"/>
        <v>1389.1265473472151</v>
      </c>
      <c r="AV346" s="300">
        <f t="shared" si="550"/>
        <v>313891.24548623338</v>
      </c>
    </row>
    <row r="347" spans="1:48" x14ac:dyDescent="0.25">
      <c r="A347" s="535">
        <f t="shared" si="494"/>
        <v>54369</v>
      </c>
      <c r="B347" s="300">
        <f t="shared" si="542"/>
        <v>11179.689999999988</v>
      </c>
      <c r="C347" s="14">
        <f t="shared" si="535"/>
        <v>421.41</v>
      </c>
      <c r="D347" s="14">
        <f t="shared" si="551"/>
        <v>379.49</v>
      </c>
      <c r="E347" s="14">
        <f t="shared" si="536"/>
        <v>41.92</v>
      </c>
      <c r="F347" s="14">
        <f t="shared" si="495"/>
        <v>134.16999999999999</v>
      </c>
      <c r="G347" s="14">
        <f t="shared" si="491"/>
        <v>188.55</v>
      </c>
      <c r="H347" s="14">
        <f t="shared" si="492"/>
        <v>744.13000000000011</v>
      </c>
      <c r="I347" s="300">
        <f t="shared" si="496"/>
        <v>72681.220000000016</v>
      </c>
      <c r="J347" s="300">
        <f t="shared" si="497"/>
        <v>67960.200000000026</v>
      </c>
      <c r="K347" s="300">
        <f t="shared" si="498"/>
        <v>10800.199999999988</v>
      </c>
      <c r="L347" s="449">
        <f t="shared" si="479"/>
        <v>24</v>
      </c>
      <c r="M347" s="449">
        <f t="shared" si="543"/>
        <v>288</v>
      </c>
      <c r="N347" s="300">
        <f t="shared" si="544"/>
        <v>94886.160000000149</v>
      </c>
      <c r="O347" s="300">
        <f t="shared" si="510"/>
        <v>1617.67</v>
      </c>
      <c r="P347" s="300">
        <f t="shared" si="552"/>
        <v>1064.17</v>
      </c>
      <c r="Q347" s="300">
        <f t="shared" si="511"/>
        <v>553.5</v>
      </c>
      <c r="R347" s="300">
        <f t="shared" si="502"/>
        <v>134.16999999999999</v>
      </c>
      <c r="S347" s="300">
        <f t="shared" si="503"/>
        <v>188.55</v>
      </c>
      <c r="T347" s="300">
        <f t="shared" si="499"/>
        <v>1940.39</v>
      </c>
      <c r="U347" s="300">
        <f t="shared" si="553"/>
        <v>149326.51000000021</v>
      </c>
      <c r="V347" s="300">
        <f t="shared" si="554"/>
        <v>318180.11999999988</v>
      </c>
      <c r="W347" s="300">
        <f t="shared" si="500"/>
        <v>93821.990000000151</v>
      </c>
      <c r="X347" s="535">
        <f t="shared" si="545"/>
        <v>54369</v>
      </c>
      <c r="Y347" s="300">
        <f t="shared" si="512"/>
        <v>253020.13000000021</v>
      </c>
      <c r="Z347" s="527">
        <f t="shared" si="537"/>
        <v>7.0000000000000007E-2</v>
      </c>
      <c r="AA347" s="300">
        <f t="shared" si="538"/>
        <v>1746.44</v>
      </c>
      <c r="AB347" s="300">
        <f t="shared" si="513"/>
        <v>270.49</v>
      </c>
      <c r="AC347" s="300">
        <f t="shared" si="539"/>
        <v>1475.95</v>
      </c>
      <c r="AD347" s="300">
        <f t="shared" ref="AD347:AE347" si="565">+AD346</f>
        <v>134.16999999999999</v>
      </c>
      <c r="AE347" s="300">
        <f t="shared" si="565"/>
        <v>188.55</v>
      </c>
      <c r="AF347" s="300">
        <f t="shared" si="515"/>
        <v>2069.1600000000003</v>
      </c>
      <c r="AG347" s="300">
        <f t="shared" si="516"/>
        <v>62174.459999999985</v>
      </c>
      <c r="AH347" s="300">
        <f t="shared" si="517"/>
        <v>433500.50000000023</v>
      </c>
      <c r="AI347" s="545">
        <f t="shared" si="505"/>
        <v>-28168.330000000078</v>
      </c>
      <c r="AJ347" s="545">
        <f t="shared" ref="AJ347:AJ410" si="566">+W347-AL347</f>
        <v>-158927.65000000008</v>
      </c>
      <c r="AK347" s="545">
        <f t="shared" si="506"/>
        <v>-187095.98000000016</v>
      </c>
      <c r="AL347" s="300">
        <f t="shared" si="518"/>
        <v>252749.64000000022</v>
      </c>
      <c r="AM347" s="449">
        <f t="shared" si="547"/>
        <v>24</v>
      </c>
      <c r="AN347" s="14">
        <f t="shared" si="507"/>
        <v>1196.26</v>
      </c>
      <c r="AO347" s="14">
        <f t="shared" si="477"/>
        <v>155109.27999999977</v>
      </c>
      <c r="AP347" s="14">
        <f t="shared" si="508"/>
        <v>1325.03</v>
      </c>
      <c r="AS347" s="14">
        <f t="shared" si="541"/>
        <v>1196.26</v>
      </c>
      <c r="AT347" s="14">
        <f t="shared" si="548"/>
        <v>345238.58000000141</v>
      </c>
      <c r="AU347" s="300">
        <f t="shared" si="549"/>
        <v>1392.5993637155834</v>
      </c>
      <c r="AV347" s="300">
        <f t="shared" si="550"/>
        <v>315283.84484994895</v>
      </c>
    </row>
    <row r="348" spans="1:48" x14ac:dyDescent="0.25">
      <c r="A348" s="535">
        <f t="shared" si="494"/>
        <v>54399</v>
      </c>
      <c r="B348" s="300">
        <f t="shared" si="542"/>
        <v>10800.199999999988</v>
      </c>
      <c r="C348" s="14">
        <f t="shared" si="535"/>
        <v>421.41</v>
      </c>
      <c r="D348" s="14">
        <f t="shared" si="551"/>
        <v>380.91</v>
      </c>
      <c r="E348" s="14">
        <f t="shared" si="536"/>
        <v>40.5</v>
      </c>
      <c r="F348" s="14">
        <f t="shared" si="495"/>
        <v>134.16999999999999</v>
      </c>
      <c r="G348" s="14">
        <f t="shared" si="491"/>
        <v>188.55</v>
      </c>
      <c r="H348" s="14">
        <f t="shared" si="492"/>
        <v>744.13000000000011</v>
      </c>
      <c r="I348" s="300">
        <f t="shared" si="496"/>
        <v>73062.130000000019</v>
      </c>
      <c r="J348" s="300">
        <f t="shared" si="497"/>
        <v>68000.700000000026</v>
      </c>
      <c r="K348" s="300">
        <f t="shared" si="498"/>
        <v>10419.289999999988</v>
      </c>
      <c r="L348" s="449">
        <f t="shared" si="479"/>
        <v>24</v>
      </c>
      <c r="M348" s="449">
        <f t="shared" si="543"/>
        <v>289</v>
      </c>
      <c r="N348" s="300">
        <f t="shared" si="544"/>
        <v>93821.990000000151</v>
      </c>
      <c r="O348" s="300">
        <f t="shared" si="510"/>
        <v>1617.67</v>
      </c>
      <c r="P348" s="300">
        <f t="shared" si="552"/>
        <v>1070.3800000000001</v>
      </c>
      <c r="Q348" s="300">
        <f t="shared" si="511"/>
        <v>547.29</v>
      </c>
      <c r="R348" s="300">
        <f t="shared" si="502"/>
        <v>134.16999999999999</v>
      </c>
      <c r="S348" s="300">
        <f t="shared" si="503"/>
        <v>188.55</v>
      </c>
      <c r="T348" s="300">
        <f t="shared" si="499"/>
        <v>1940.39</v>
      </c>
      <c r="U348" s="300">
        <f t="shared" si="553"/>
        <v>150396.89000000022</v>
      </c>
      <c r="V348" s="300">
        <f t="shared" si="554"/>
        <v>318727.40999999986</v>
      </c>
      <c r="W348" s="300">
        <f t="shared" si="500"/>
        <v>92751.610000000146</v>
      </c>
      <c r="X348" s="535">
        <f t="shared" si="545"/>
        <v>54399</v>
      </c>
      <c r="Y348" s="300">
        <f t="shared" si="512"/>
        <v>252749.64000000022</v>
      </c>
      <c r="Z348" s="527">
        <f t="shared" si="537"/>
        <v>7.0000000000000007E-2</v>
      </c>
      <c r="AA348" s="300">
        <f t="shared" si="538"/>
        <v>1746.44</v>
      </c>
      <c r="AB348" s="300">
        <f t="shared" si="513"/>
        <v>272.07000000000016</v>
      </c>
      <c r="AC348" s="300">
        <f t="shared" si="539"/>
        <v>1474.37</v>
      </c>
      <c r="AD348" s="300">
        <f t="shared" ref="AD348:AE348" si="567">+AD347</f>
        <v>134.16999999999999</v>
      </c>
      <c r="AE348" s="300">
        <f t="shared" si="567"/>
        <v>188.55</v>
      </c>
      <c r="AF348" s="300">
        <f t="shared" si="515"/>
        <v>2069.1600000000003</v>
      </c>
      <c r="AG348" s="300">
        <f t="shared" si="516"/>
        <v>62446.529999999984</v>
      </c>
      <c r="AH348" s="300">
        <f t="shared" si="517"/>
        <v>434974.87000000023</v>
      </c>
      <c r="AI348" s="545">
        <f t="shared" si="505"/>
        <v>-28297.100000000079</v>
      </c>
      <c r="AJ348" s="545">
        <f t="shared" si="566"/>
        <v>-159725.96000000008</v>
      </c>
      <c r="AK348" s="545">
        <f t="shared" si="506"/>
        <v>-188023.06000000017</v>
      </c>
      <c r="AL348" s="300">
        <f t="shared" si="518"/>
        <v>252477.57000000021</v>
      </c>
      <c r="AM348" s="449">
        <f t="shared" si="547"/>
        <v>24</v>
      </c>
      <c r="AN348" s="14">
        <f t="shared" si="507"/>
        <v>1196.26</v>
      </c>
      <c r="AO348" s="14">
        <f t="shared" si="477"/>
        <v>154419.80999999979</v>
      </c>
      <c r="AP348" s="14">
        <f t="shared" si="508"/>
        <v>1325.03</v>
      </c>
      <c r="AS348" s="14">
        <f t="shared" si="541"/>
        <v>1196.26</v>
      </c>
      <c r="AT348" s="14">
        <f t="shared" si="548"/>
        <v>346434.84000000142</v>
      </c>
      <c r="AU348" s="300">
        <f t="shared" si="549"/>
        <v>1396.0808621248725</v>
      </c>
      <c r="AV348" s="300">
        <f t="shared" si="550"/>
        <v>316679.9257120738</v>
      </c>
    </row>
    <row r="349" spans="1:48" x14ac:dyDescent="0.25">
      <c r="A349" s="535">
        <f t="shared" si="494"/>
        <v>54429</v>
      </c>
      <c r="B349" s="300">
        <f t="shared" si="542"/>
        <v>10419.289999999988</v>
      </c>
      <c r="C349" s="14">
        <f t="shared" si="535"/>
        <v>421.41</v>
      </c>
      <c r="D349" s="14">
        <f t="shared" si="551"/>
        <v>382.34000000000003</v>
      </c>
      <c r="E349" s="14">
        <f t="shared" si="536"/>
        <v>39.07</v>
      </c>
      <c r="F349" s="14">
        <f t="shared" si="495"/>
        <v>134.16999999999999</v>
      </c>
      <c r="G349" s="14">
        <f t="shared" si="491"/>
        <v>188.55</v>
      </c>
      <c r="H349" s="14">
        <f t="shared" si="492"/>
        <v>744.13000000000011</v>
      </c>
      <c r="I349" s="300">
        <f t="shared" si="496"/>
        <v>73444.470000000016</v>
      </c>
      <c r="J349" s="300">
        <f t="shared" si="497"/>
        <v>68039.770000000033</v>
      </c>
      <c r="K349" s="300">
        <f t="shared" si="498"/>
        <v>10036.949999999988</v>
      </c>
      <c r="L349" s="449">
        <f t="shared" si="479"/>
        <v>24</v>
      </c>
      <c r="M349" s="449">
        <f t="shared" si="543"/>
        <v>290</v>
      </c>
      <c r="N349" s="300">
        <f t="shared" si="544"/>
        <v>92751.610000000146</v>
      </c>
      <c r="O349" s="300">
        <f t="shared" si="510"/>
        <v>1617.67</v>
      </c>
      <c r="P349" s="300">
        <f t="shared" si="552"/>
        <v>1076.6200000000001</v>
      </c>
      <c r="Q349" s="300">
        <f t="shared" si="511"/>
        <v>541.04999999999995</v>
      </c>
      <c r="R349" s="300">
        <f t="shared" si="502"/>
        <v>134.16999999999999</v>
      </c>
      <c r="S349" s="300">
        <f t="shared" si="503"/>
        <v>188.55</v>
      </c>
      <c r="T349" s="300">
        <f t="shared" si="499"/>
        <v>1940.39</v>
      </c>
      <c r="U349" s="300">
        <f t="shared" si="553"/>
        <v>151473.51000000021</v>
      </c>
      <c r="V349" s="300">
        <f t="shared" si="554"/>
        <v>319268.45999999985</v>
      </c>
      <c r="W349" s="300">
        <f t="shared" si="500"/>
        <v>91674.990000000151</v>
      </c>
      <c r="X349" s="535">
        <f t="shared" si="545"/>
        <v>54429</v>
      </c>
      <c r="Y349" s="300">
        <f t="shared" si="512"/>
        <v>252477.57000000021</v>
      </c>
      <c r="Z349" s="527">
        <f t="shared" si="537"/>
        <v>7.0000000000000007E-2</v>
      </c>
      <c r="AA349" s="300">
        <f t="shared" si="538"/>
        <v>1746.44</v>
      </c>
      <c r="AB349" s="300">
        <f t="shared" si="513"/>
        <v>273.65000000000009</v>
      </c>
      <c r="AC349" s="300">
        <f t="shared" si="539"/>
        <v>1472.79</v>
      </c>
      <c r="AD349" s="300">
        <f t="shared" ref="AD349:AE349" si="568">+AD348</f>
        <v>134.16999999999999</v>
      </c>
      <c r="AE349" s="300">
        <f t="shared" si="568"/>
        <v>188.55</v>
      </c>
      <c r="AF349" s="300">
        <f t="shared" si="515"/>
        <v>2069.1600000000003</v>
      </c>
      <c r="AG349" s="300">
        <f t="shared" si="516"/>
        <v>62720.179999999986</v>
      </c>
      <c r="AH349" s="300">
        <f t="shared" si="517"/>
        <v>436447.66000000021</v>
      </c>
      <c r="AI349" s="545">
        <f t="shared" si="505"/>
        <v>-28425.870000000079</v>
      </c>
      <c r="AJ349" s="545">
        <f t="shared" si="566"/>
        <v>-160528.93000000005</v>
      </c>
      <c r="AK349" s="545">
        <f t="shared" si="506"/>
        <v>-188954.80000000013</v>
      </c>
      <c r="AL349" s="300">
        <f t="shared" si="518"/>
        <v>252203.92000000022</v>
      </c>
      <c r="AM349" s="449">
        <f t="shared" si="547"/>
        <v>24</v>
      </c>
      <c r="AN349" s="14">
        <f t="shared" si="507"/>
        <v>1196.26</v>
      </c>
      <c r="AO349" s="14">
        <f t="shared" si="477"/>
        <v>153725.52999999977</v>
      </c>
      <c r="AP349" s="14">
        <f t="shared" si="508"/>
        <v>1325.03</v>
      </c>
      <c r="AS349" s="14">
        <f t="shared" si="541"/>
        <v>1196.26</v>
      </c>
      <c r="AT349" s="14">
        <f t="shared" si="548"/>
        <v>347631.10000000143</v>
      </c>
      <c r="AU349" s="300">
        <f t="shared" si="549"/>
        <v>1399.5710642801844</v>
      </c>
      <c r="AV349" s="300">
        <f t="shared" si="550"/>
        <v>318079.49677635398</v>
      </c>
    </row>
    <row r="350" spans="1:48" ht="15.75" thickBot="1" x14ac:dyDescent="0.3">
      <c r="A350" s="538">
        <f t="shared" si="494"/>
        <v>54459</v>
      </c>
      <c r="B350" s="369">
        <f t="shared" si="542"/>
        <v>10036.949999999988</v>
      </c>
      <c r="C350" s="21">
        <f t="shared" si="535"/>
        <v>421.41</v>
      </c>
      <c r="D350" s="21">
        <f t="shared" si="551"/>
        <v>383.77000000000004</v>
      </c>
      <c r="E350" s="21">
        <f t="shared" si="536"/>
        <v>37.64</v>
      </c>
      <c r="F350" s="21">
        <f t="shared" si="495"/>
        <v>134.16999999999999</v>
      </c>
      <c r="G350" s="21">
        <f t="shared" si="491"/>
        <v>188.55</v>
      </c>
      <c r="H350" s="21">
        <f t="shared" si="492"/>
        <v>744.13000000000011</v>
      </c>
      <c r="I350" s="369">
        <f t="shared" si="496"/>
        <v>73828.24000000002</v>
      </c>
      <c r="J350" s="369">
        <f t="shared" si="497"/>
        <v>68077.410000000033</v>
      </c>
      <c r="K350" s="369">
        <f t="shared" si="498"/>
        <v>9653.1799999999876</v>
      </c>
      <c r="L350" s="450">
        <f t="shared" si="479"/>
        <v>24</v>
      </c>
      <c r="M350" s="450">
        <f t="shared" si="543"/>
        <v>291</v>
      </c>
      <c r="N350" s="369">
        <f t="shared" si="544"/>
        <v>91674.990000000151</v>
      </c>
      <c r="O350" s="369">
        <f t="shared" si="510"/>
        <v>1617.67</v>
      </c>
      <c r="P350" s="369">
        <f t="shared" si="552"/>
        <v>1082.9000000000001</v>
      </c>
      <c r="Q350" s="369">
        <f t="shared" si="511"/>
        <v>534.77</v>
      </c>
      <c r="R350" s="369">
        <f t="shared" si="502"/>
        <v>134.16999999999999</v>
      </c>
      <c r="S350" s="369">
        <f t="shared" si="503"/>
        <v>188.55</v>
      </c>
      <c r="T350" s="369">
        <f t="shared" si="499"/>
        <v>1940.39</v>
      </c>
      <c r="U350" s="369">
        <f t="shared" si="553"/>
        <v>152556.41000000021</v>
      </c>
      <c r="V350" s="369">
        <f t="shared" si="554"/>
        <v>319803.22999999986</v>
      </c>
      <c r="W350" s="369">
        <f t="shared" si="500"/>
        <v>90592.090000000157</v>
      </c>
      <c r="X350" s="538">
        <f t="shared" si="545"/>
        <v>54459</v>
      </c>
      <c r="Y350" s="369">
        <f t="shared" si="512"/>
        <v>252203.92000000022</v>
      </c>
      <c r="Z350" s="528">
        <f t="shared" si="537"/>
        <v>7.0000000000000007E-2</v>
      </c>
      <c r="AA350" s="369">
        <f t="shared" si="538"/>
        <v>1746.44</v>
      </c>
      <c r="AB350" s="369">
        <f t="shared" si="513"/>
        <v>275.25</v>
      </c>
      <c r="AC350" s="369">
        <f t="shared" si="539"/>
        <v>1471.19</v>
      </c>
      <c r="AD350" s="369">
        <f t="shared" ref="AD350:AE350" si="569">+AD349</f>
        <v>134.16999999999999</v>
      </c>
      <c r="AE350" s="369">
        <f t="shared" si="569"/>
        <v>188.55</v>
      </c>
      <c r="AF350" s="369">
        <f t="shared" si="515"/>
        <v>2069.1600000000003</v>
      </c>
      <c r="AG350" s="369">
        <f t="shared" si="516"/>
        <v>62995.429999999986</v>
      </c>
      <c r="AH350" s="369">
        <f t="shared" si="517"/>
        <v>437918.85000000021</v>
      </c>
      <c r="AI350" s="546">
        <f t="shared" si="505"/>
        <v>-28554.640000000079</v>
      </c>
      <c r="AJ350" s="546">
        <f t="shared" si="566"/>
        <v>-161336.58000000007</v>
      </c>
      <c r="AK350" s="545">
        <f t="shared" si="506"/>
        <v>-189891.22000000015</v>
      </c>
      <c r="AL350" s="369">
        <f t="shared" si="518"/>
        <v>251928.67000000022</v>
      </c>
      <c r="AM350" s="450">
        <f t="shared" si="547"/>
        <v>24</v>
      </c>
      <c r="AN350" s="21">
        <f t="shared" si="507"/>
        <v>1196.26</v>
      </c>
      <c r="AO350" s="21">
        <f t="shared" si="477"/>
        <v>153026.39999999979</v>
      </c>
      <c r="AP350" s="21">
        <f t="shared" si="508"/>
        <v>1325.03</v>
      </c>
      <c r="AQ350" s="21"/>
      <c r="AR350" s="23"/>
      <c r="AS350" s="21">
        <f t="shared" si="541"/>
        <v>1196.26</v>
      </c>
      <c r="AT350" s="21">
        <f t="shared" si="548"/>
        <v>348827.36000000144</v>
      </c>
      <c r="AU350" s="369">
        <f t="shared" si="549"/>
        <v>1403.0699919408851</v>
      </c>
      <c r="AV350" s="369">
        <f t="shared" si="550"/>
        <v>319482.56676829484</v>
      </c>
    </row>
    <row r="351" spans="1:48" x14ac:dyDescent="0.25">
      <c r="A351" s="535">
        <f t="shared" si="494"/>
        <v>54489</v>
      </c>
      <c r="B351" s="300">
        <f t="shared" si="542"/>
        <v>9653.1799999999876</v>
      </c>
      <c r="C351" s="14">
        <f t="shared" si="535"/>
        <v>421.41</v>
      </c>
      <c r="D351" s="14">
        <f t="shared" si="551"/>
        <v>385.21000000000004</v>
      </c>
      <c r="E351" s="14">
        <f t="shared" si="536"/>
        <v>36.200000000000003</v>
      </c>
      <c r="F351" s="14">
        <f t="shared" si="495"/>
        <v>134.16999999999999</v>
      </c>
      <c r="G351" s="14">
        <f t="shared" si="491"/>
        <v>188.55</v>
      </c>
      <c r="H351" s="14">
        <f t="shared" si="492"/>
        <v>744.13000000000011</v>
      </c>
      <c r="I351" s="300">
        <f t="shared" si="496"/>
        <v>74213.450000000026</v>
      </c>
      <c r="J351" s="300">
        <f t="shared" si="497"/>
        <v>68113.61000000003</v>
      </c>
      <c r="K351" s="300">
        <f t="shared" si="498"/>
        <v>9267.9699999999866</v>
      </c>
      <c r="L351" s="449">
        <f t="shared" si="479"/>
        <v>24</v>
      </c>
      <c r="M351" s="449">
        <f t="shared" si="543"/>
        <v>292</v>
      </c>
      <c r="N351" s="300">
        <f t="shared" si="544"/>
        <v>90592.090000000157</v>
      </c>
      <c r="O351" s="300">
        <f t="shared" si="510"/>
        <v>1617.67</v>
      </c>
      <c r="P351" s="300">
        <f t="shared" si="552"/>
        <v>1089.22</v>
      </c>
      <c r="Q351" s="300">
        <f t="shared" si="511"/>
        <v>528.45000000000005</v>
      </c>
      <c r="R351" s="300">
        <f t="shared" si="502"/>
        <v>134.16999999999999</v>
      </c>
      <c r="S351" s="300">
        <f t="shared" si="503"/>
        <v>188.55</v>
      </c>
      <c r="T351" s="300">
        <f t="shared" si="499"/>
        <v>1940.39</v>
      </c>
      <c r="U351" s="300">
        <f t="shared" si="553"/>
        <v>153645.63000000021</v>
      </c>
      <c r="V351" s="300">
        <f t="shared" si="554"/>
        <v>320331.67999999988</v>
      </c>
      <c r="W351" s="300">
        <f t="shared" si="500"/>
        <v>89502.870000000155</v>
      </c>
      <c r="X351" s="535">
        <f t="shared" si="545"/>
        <v>54489</v>
      </c>
      <c r="Y351" s="300">
        <f t="shared" si="512"/>
        <v>251928.67000000022</v>
      </c>
      <c r="Z351" s="527">
        <f t="shared" si="537"/>
        <v>7.0000000000000007E-2</v>
      </c>
      <c r="AA351" s="300">
        <f t="shared" si="538"/>
        <v>1746.44</v>
      </c>
      <c r="AB351" s="300">
        <f t="shared" si="513"/>
        <v>276.86000000000013</v>
      </c>
      <c r="AC351" s="300">
        <f t="shared" si="539"/>
        <v>1469.58</v>
      </c>
      <c r="AD351" s="300">
        <f t="shared" ref="AD351:AE351" si="570">+AD350</f>
        <v>134.16999999999999</v>
      </c>
      <c r="AE351" s="300">
        <f t="shared" si="570"/>
        <v>188.55</v>
      </c>
      <c r="AF351" s="300">
        <f t="shared" si="515"/>
        <v>2069.1600000000003</v>
      </c>
      <c r="AG351" s="300">
        <f t="shared" si="516"/>
        <v>63272.289999999986</v>
      </c>
      <c r="AH351" s="300">
        <f t="shared" si="517"/>
        <v>439388.43000000023</v>
      </c>
      <c r="AI351" s="545">
        <f t="shared" si="505"/>
        <v>-28683.41000000008</v>
      </c>
      <c r="AJ351" s="545">
        <f t="shared" si="566"/>
        <v>-162148.94000000006</v>
      </c>
      <c r="AK351" s="545">
        <f t="shared" si="506"/>
        <v>-190832.35000000015</v>
      </c>
      <c r="AL351" s="300">
        <f t="shared" si="518"/>
        <v>251651.81000000023</v>
      </c>
      <c r="AM351" s="449">
        <f t="shared" si="547"/>
        <v>24</v>
      </c>
      <c r="AN351" s="14">
        <f t="shared" si="507"/>
        <v>1196.26</v>
      </c>
      <c r="AO351" s="14">
        <f t="shared" si="477"/>
        <v>152322.38999999981</v>
      </c>
      <c r="AP351" s="14">
        <f t="shared" si="508"/>
        <v>1325.03</v>
      </c>
      <c r="AS351" s="14">
        <f t="shared" si="541"/>
        <v>1196.26</v>
      </c>
      <c r="AT351" s="14">
        <f t="shared" si="548"/>
        <v>350023.62000000145</v>
      </c>
      <c r="AU351" s="300">
        <f t="shared" si="549"/>
        <v>1406.5776669207371</v>
      </c>
      <c r="AV351" s="300">
        <f t="shared" si="550"/>
        <v>320889.14443521557</v>
      </c>
    </row>
    <row r="352" spans="1:48" x14ac:dyDescent="0.25">
      <c r="A352" s="535">
        <f t="shared" si="494"/>
        <v>54519</v>
      </c>
      <c r="B352" s="300">
        <f t="shared" si="542"/>
        <v>9267.9699999999866</v>
      </c>
      <c r="C352" s="14">
        <f t="shared" si="535"/>
        <v>421.41</v>
      </c>
      <c r="D352" s="14">
        <f t="shared" si="551"/>
        <v>386.66</v>
      </c>
      <c r="E352" s="14">
        <f t="shared" si="536"/>
        <v>34.75</v>
      </c>
      <c r="F352" s="14">
        <f t="shared" si="495"/>
        <v>134.16999999999999</v>
      </c>
      <c r="G352" s="14">
        <f t="shared" si="491"/>
        <v>188.55</v>
      </c>
      <c r="H352" s="14">
        <f t="shared" si="492"/>
        <v>744.13000000000011</v>
      </c>
      <c r="I352" s="300">
        <f t="shared" si="496"/>
        <v>74600.11000000003</v>
      </c>
      <c r="J352" s="300">
        <f t="shared" si="497"/>
        <v>68148.36000000003</v>
      </c>
      <c r="K352" s="300">
        <f t="shared" si="498"/>
        <v>8881.3099999999868</v>
      </c>
      <c r="L352" s="449">
        <f t="shared" si="479"/>
        <v>24</v>
      </c>
      <c r="M352" s="449">
        <f t="shared" si="543"/>
        <v>293</v>
      </c>
      <c r="N352" s="300">
        <f t="shared" si="544"/>
        <v>89502.870000000155</v>
      </c>
      <c r="O352" s="300">
        <f t="shared" si="510"/>
        <v>1617.67</v>
      </c>
      <c r="P352" s="300">
        <f t="shared" si="552"/>
        <v>1095.5700000000002</v>
      </c>
      <c r="Q352" s="300">
        <f t="shared" si="511"/>
        <v>522.1</v>
      </c>
      <c r="R352" s="300">
        <f t="shared" si="502"/>
        <v>134.16999999999999</v>
      </c>
      <c r="S352" s="300">
        <f t="shared" si="503"/>
        <v>188.55</v>
      </c>
      <c r="T352" s="300">
        <f t="shared" si="499"/>
        <v>1940.39</v>
      </c>
      <c r="U352" s="300">
        <f t="shared" si="553"/>
        <v>154741.20000000022</v>
      </c>
      <c r="V352" s="300">
        <f t="shared" si="554"/>
        <v>320853.77999999985</v>
      </c>
      <c r="W352" s="300">
        <f t="shared" si="500"/>
        <v>88407.300000000148</v>
      </c>
      <c r="X352" s="535">
        <f t="shared" si="545"/>
        <v>54519</v>
      </c>
      <c r="Y352" s="300">
        <f t="shared" si="512"/>
        <v>251651.81000000023</v>
      </c>
      <c r="Z352" s="527">
        <f t="shared" si="537"/>
        <v>7.0000000000000007E-2</v>
      </c>
      <c r="AA352" s="300">
        <f t="shared" si="538"/>
        <v>1746.44</v>
      </c>
      <c r="AB352" s="300">
        <f t="shared" si="513"/>
        <v>278.47000000000003</v>
      </c>
      <c r="AC352" s="300">
        <f t="shared" si="539"/>
        <v>1467.97</v>
      </c>
      <c r="AD352" s="300">
        <f t="shared" ref="AD352:AE352" si="571">+AD351</f>
        <v>134.16999999999999</v>
      </c>
      <c r="AE352" s="300">
        <f t="shared" si="571"/>
        <v>188.55</v>
      </c>
      <c r="AF352" s="300">
        <f t="shared" si="515"/>
        <v>2069.1600000000003</v>
      </c>
      <c r="AG352" s="300">
        <f t="shared" si="516"/>
        <v>63550.759999999987</v>
      </c>
      <c r="AH352" s="300">
        <f t="shared" si="517"/>
        <v>440856.4000000002</v>
      </c>
      <c r="AI352" s="545">
        <f t="shared" si="505"/>
        <v>-28812.18000000008</v>
      </c>
      <c r="AJ352" s="545">
        <f t="shared" si="566"/>
        <v>-162966.0400000001</v>
      </c>
      <c r="AK352" s="545">
        <f t="shared" si="506"/>
        <v>-191778.22000000018</v>
      </c>
      <c r="AL352" s="300">
        <f t="shared" si="518"/>
        <v>251373.34000000023</v>
      </c>
      <c r="AM352" s="449">
        <f t="shared" si="547"/>
        <v>24</v>
      </c>
      <c r="AN352" s="14">
        <f t="shared" si="507"/>
        <v>1196.26</v>
      </c>
      <c r="AO352" s="14">
        <f t="shared" si="477"/>
        <v>151613.47999999978</v>
      </c>
      <c r="AP352" s="14">
        <f t="shared" si="508"/>
        <v>1325.03</v>
      </c>
      <c r="AS352" s="14">
        <f t="shared" si="541"/>
        <v>1196.26</v>
      </c>
      <c r="AT352" s="14">
        <f t="shared" si="548"/>
        <v>351219.88000000146</v>
      </c>
      <c r="AU352" s="300">
        <f t="shared" si="549"/>
        <v>1410.0941110880387</v>
      </c>
      <c r="AV352" s="300">
        <f t="shared" si="550"/>
        <v>322299.23854630359</v>
      </c>
    </row>
    <row r="353" spans="1:48" x14ac:dyDescent="0.25">
      <c r="A353" s="535">
        <f t="shared" si="494"/>
        <v>54549</v>
      </c>
      <c r="B353" s="300">
        <f t="shared" si="542"/>
        <v>8881.3099999999868</v>
      </c>
      <c r="C353" s="14">
        <f t="shared" si="535"/>
        <v>421.41</v>
      </c>
      <c r="D353" s="14">
        <f t="shared" si="551"/>
        <v>388.11</v>
      </c>
      <c r="E353" s="14">
        <f t="shared" si="536"/>
        <v>33.299999999999997</v>
      </c>
      <c r="F353" s="14">
        <f t="shared" si="495"/>
        <v>134.16999999999999</v>
      </c>
      <c r="G353" s="14">
        <f t="shared" si="491"/>
        <v>188.55</v>
      </c>
      <c r="H353" s="14">
        <f t="shared" si="492"/>
        <v>744.13000000000011</v>
      </c>
      <c r="I353" s="300">
        <f t="shared" si="496"/>
        <v>74988.22000000003</v>
      </c>
      <c r="J353" s="300">
        <f t="shared" si="497"/>
        <v>68181.660000000033</v>
      </c>
      <c r="K353" s="300">
        <f t="shared" si="498"/>
        <v>8493.1999999999862</v>
      </c>
      <c r="L353" s="449">
        <f t="shared" si="479"/>
        <v>24</v>
      </c>
      <c r="M353" s="449">
        <f t="shared" si="543"/>
        <v>294</v>
      </c>
      <c r="N353" s="300">
        <f t="shared" si="544"/>
        <v>88407.300000000148</v>
      </c>
      <c r="O353" s="300">
        <f t="shared" si="510"/>
        <v>1617.67</v>
      </c>
      <c r="P353" s="300">
        <f t="shared" si="552"/>
        <v>1101.96</v>
      </c>
      <c r="Q353" s="300">
        <f t="shared" si="511"/>
        <v>515.71</v>
      </c>
      <c r="R353" s="300">
        <f t="shared" si="502"/>
        <v>134.16999999999999</v>
      </c>
      <c r="S353" s="300">
        <f t="shared" si="503"/>
        <v>188.55</v>
      </c>
      <c r="T353" s="300">
        <f t="shared" si="499"/>
        <v>1940.39</v>
      </c>
      <c r="U353" s="300">
        <f t="shared" si="553"/>
        <v>155843.16000000021</v>
      </c>
      <c r="V353" s="300">
        <f t="shared" si="554"/>
        <v>321369.48999999987</v>
      </c>
      <c r="W353" s="300">
        <f t="shared" si="500"/>
        <v>87305.340000000142</v>
      </c>
      <c r="X353" s="535">
        <f t="shared" si="545"/>
        <v>54549</v>
      </c>
      <c r="Y353" s="300">
        <f t="shared" si="512"/>
        <v>251373.34000000023</v>
      </c>
      <c r="Z353" s="527">
        <f t="shared" si="537"/>
        <v>7.0000000000000007E-2</v>
      </c>
      <c r="AA353" s="300">
        <f t="shared" si="538"/>
        <v>1746.44</v>
      </c>
      <c r="AB353" s="300">
        <f t="shared" si="513"/>
        <v>280.10000000000014</v>
      </c>
      <c r="AC353" s="300">
        <f t="shared" si="539"/>
        <v>1466.34</v>
      </c>
      <c r="AD353" s="300">
        <f t="shared" ref="AD353:AE353" si="572">+AD352</f>
        <v>134.16999999999999</v>
      </c>
      <c r="AE353" s="300">
        <f t="shared" si="572"/>
        <v>188.55</v>
      </c>
      <c r="AF353" s="300">
        <f t="shared" si="515"/>
        <v>2069.1600000000003</v>
      </c>
      <c r="AG353" s="300">
        <f t="shared" si="516"/>
        <v>63830.859999999986</v>
      </c>
      <c r="AH353" s="300">
        <f t="shared" si="517"/>
        <v>442322.74000000022</v>
      </c>
      <c r="AI353" s="545">
        <f t="shared" si="505"/>
        <v>-28940.950000000081</v>
      </c>
      <c r="AJ353" s="545">
        <f t="shared" si="566"/>
        <v>-163787.90000000008</v>
      </c>
      <c r="AK353" s="545">
        <f t="shared" si="506"/>
        <v>-192728.85000000015</v>
      </c>
      <c r="AL353" s="300">
        <f t="shared" si="518"/>
        <v>251093.24000000022</v>
      </c>
      <c r="AM353" s="449">
        <f t="shared" si="547"/>
        <v>24</v>
      </c>
      <c r="AN353" s="14">
        <f t="shared" si="507"/>
        <v>1196.26</v>
      </c>
      <c r="AO353" s="14">
        <f t="shared" si="477"/>
        <v>150899.62999999983</v>
      </c>
      <c r="AP353" s="14">
        <f t="shared" si="508"/>
        <v>1325.03</v>
      </c>
      <c r="AS353" s="14">
        <f t="shared" si="541"/>
        <v>1196.26</v>
      </c>
      <c r="AT353" s="14">
        <f t="shared" si="548"/>
        <v>352416.14000000147</v>
      </c>
      <c r="AU353" s="300">
        <f t="shared" si="549"/>
        <v>1413.6193463657589</v>
      </c>
      <c r="AV353" s="300">
        <f t="shared" si="550"/>
        <v>323712.85789266933</v>
      </c>
    </row>
    <row r="354" spans="1:48" x14ac:dyDescent="0.25">
      <c r="A354" s="535">
        <f t="shared" si="494"/>
        <v>54579</v>
      </c>
      <c r="B354" s="300">
        <f t="shared" si="542"/>
        <v>8493.1999999999862</v>
      </c>
      <c r="C354" s="14">
        <f t="shared" si="535"/>
        <v>421.41</v>
      </c>
      <c r="D354" s="14">
        <f t="shared" si="551"/>
        <v>389.56</v>
      </c>
      <c r="E354" s="14">
        <f t="shared" si="536"/>
        <v>31.85</v>
      </c>
      <c r="F354" s="14">
        <f t="shared" si="495"/>
        <v>134.16999999999999</v>
      </c>
      <c r="G354" s="14">
        <f t="shared" si="491"/>
        <v>188.55</v>
      </c>
      <c r="H354" s="14">
        <f t="shared" si="492"/>
        <v>744.13000000000011</v>
      </c>
      <c r="I354" s="300">
        <f t="shared" si="496"/>
        <v>75377.780000000028</v>
      </c>
      <c r="J354" s="300">
        <f t="shared" si="497"/>
        <v>68213.510000000038</v>
      </c>
      <c r="K354" s="300">
        <f t="shared" si="498"/>
        <v>8103.6399999999858</v>
      </c>
      <c r="L354" s="449">
        <f t="shared" si="479"/>
        <v>24</v>
      </c>
      <c r="M354" s="449">
        <f t="shared" si="543"/>
        <v>295</v>
      </c>
      <c r="N354" s="300">
        <f t="shared" si="544"/>
        <v>87305.340000000142</v>
      </c>
      <c r="O354" s="300">
        <f t="shared" si="510"/>
        <v>1617.67</v>
      </c>
      <c r="P354" s="300">
        <f t="shared" si="552"/>
        <v>1108.3900000000001</v>
      </c>
      <c r="Q354" s="300">
        <f t="shared" si="511"/>
        <v>509.28</v>
      </c>
      <c r="R354" s="300">
        <f t="shared" si="502"/>
        <v>134.16999999999999</v>
      </c>
      <c r="S354" s="300">
        <f t="shared" si="503"/>
        <v>188.55</v>
      </c>
      <c r="T354" s="300">
        <f t="shared" si="499"/>
        <v>1940.39</v>
      </c>
      <c r="U354" s="300">
        <f t="shared" si="553"/>
        <v>156951.55000000022</v>
      </c>
      <c r="V354" s="300">
        <f t="shared" si="554"/>
        <v>321878.7699999999</v>
      </c>
      <c r="W354" s="300">
        <f t="shared" si="500"/>
        <v>86196.950000000143</v>
      </c>
      <c r="X354" s="535">
        <f t="shared" si="545"/>
        <v>54579</v>
      </c>
      <c r="Y354" s="300">
        <f t="shared" si="512"/>
        <v>251093.24000000022</v>
      </c>
      <c r="Z354" s="527">
        <f t="shared" si="537"/>
        <v>7.0000000000000007E-2</v>
      </c>
      <c r="AA354" s="300">
        <f t="shared" si="538"/>
        <v>1746.44</v>
      </c>
      <c r="AB354" s="300">
        <f t="shared" si="513"/>
        <v>281.73</v>
      </c>
      <c r="AC354" s="300">
        <f t="shared" si="539"/>
        <v>1464.71</v>
      </c>
      <c r="AD354" s="300">
        <f t="shared" ref="AD354:AE354" si="573">+AD353</f>
        <v>134.16999999999999</v>
      </c>
      <c r="AE354" s="300">
        <f t="shared" si="573"/>
        <v>188.55</v>
      </c>
      <c r="AF354" s="300">
        <f t="shared" si="515"/>
        <v>2069.1600000000003</v>
      </c>
      <c r="AG354" s="300">
        <f t="shared" si="516"/>
        <v>64112.589999999989</v>
      </c>
      <c r="AH354" s="300">
        <f t="shared" si="517"/>
        <v>443787.45000000024</v>
      </c>
      <c r="AI354" s="545">
        <f t="shared" si="505"/>
        <v>-29069.720000000081</v>
      </c>
      <c r="AJ354" s="545">
        <f t="shared" si="566"/>
        <v>-164614.56000000006</v>
      </c>
      <c r="AK354" s="545">
        <f t="shared" si="506"/>
        <v>-193684.28000000014</v>
      </c>
      <c r="AL354" s="300">
        <f t="shared" si="518"/>
        <v>250811.51000000021</v>
      </c>
      <c r="AM354" s="449">
        <f t="shared" si="547"/>
        <v>24</v>
      </c>
      <c r="AN354" s="14">
        <f t="shared" si="507"/>
        <v>1196.26</v>
      </c>
      <c r="AO354" s="14">
        <f t="shared" si="477"/>
        <v>150180.79999999976</v>
      </c>
      <c r="AP354" s="14">
        <f t="shared" si="508"/>
        <v>1325.03</v>
      </c>
      <c r="AS354" s="14">
        <f t="shared" si="541"/>
        <v>1196.26</v>
      </c>
      <c r="AT354" s="14">
        <f t="shared" si="548"/>
        <v>353612.40000000148</v>
      </c>
      <c r="AU354" s="300">
        <f t="shared" si="549"/>
        <v>1417.1533947316732</v>
      </c>
      <c r="AV354" s="300">
        <f t="shared" si="550"/>
        <v>325130.01128740102</v>
      </c>
    </row>
    <row r="355" spans="1:48" x14ac:dyDescent="0.25">
      <c r="A355" s="535">
        <f t="shared" si="494"/>
        <v>54609</v>
      </c>
      <c r="B355" s="300">
        <f t="shared" si="542"/>
        <v>8103.6399999999858</v>
      </c>
      <c r="C355" s="14">
        <f t="shared" si="535"/>
        <v>421.41</v>
      </c>
      <c r="D355" s="14">
        <f t="shared" si="551"/>
        <v>391.02000000000004</v>
      </c>
      <c r="E355" s="14">
        <f t="shared" si="536"/>
        <v>30.39</v>
      </c>
      <c r="F355" s="14">
        <f t="shared" si="495"/>
        <v>134.16999999999999</v>
      </c>
      <c r="G355" s="14">
        <f t="shared" si="491"/>
        <v>188.55</v>
      </c>
      <c r="H355" s="14">
        <f t="shared" si="492"/>
        <v>744.13000000000011</v>
      </c>
      <c r="I355" s="300">
        <f t="shared" si="496"/>
        <v>75768.800000000032</v>
      </c>
      <c r="J355" s="300">
        <f t="shared" si="497"/>
        <v>68243.900000000038</v>
      </c>
      <c r="K355" s="300">
        <f t="shared" si="498"/>
        <v>7712.6199999999853</v>
      </c>
      <c r="L355" s="449">
        <f t="shared" si="479"/>
        <v>24</v>
      </c>
      <c r="M355" s="449">
        <f t="shared" si="543"/>
        <v>296</v>
      </c>
      <c r="N355" s="300">
        <f t="shared" si="544"/>
        <v>86196.950000000143</v>
      </c>
      <c r="O355" s="300">
        <f t="shared" si="510"/>
        <v>1617.67</v>
      </c>
      <c r="P355" s="300">
        <f t="shared" si="552"/>
        <v>1114.8500000000001</v>
      </c>
      <c r="Q355" s="300">
        <f t="shared" si="511"/>
        <v>502.82</v>
      </c>
      <c r="R355" s="300">
        <f t="shared" si="502"/>
        <v>134.16999999999999</v>
      </c>
      <c r="S355" s="300">
        <f t="shared" si="503"/>
        <v>188.55</v>
      </c>
      <c r="T355" s="300">
        <f t="shared" si="499"/>
        <v>1940.39</v>
      </c>
      <c r="U355" s="300">
        <f t="shared" si="553"/>
        <v>158066.40000000023</v>
      </c>
      <c r="V355" s="300">
        <f t="shared" si="554"/>
        <v>322381.58999999991</v>
      </c>
      <c r="W355" s="300">
        <f t="shared" si="500"/>
        <v>85082.100000000137</v>
      </c>
      <c r="X355" s="535">
        <f t="shared" si="545"/>
        <v>54609</v>
      </c>
      <c r="Y355" s="300">
        <f t="shared" si="512"/>
        <v>250811.51000000021</v>
      </c>
      <c r="Z355" s="527">
        <f t="shared" si="537"/>
        <v>7.0000000000000007E-2</v>
      </c>
      <c r="AA355" s="300">
        <f t="shared" si="538"/>
        <v>1746.44</v>
      </c>
      <c r="AB355" s="300">
        <f t="shared" si="513"/>
        <v>283.37000000000012</v>
      </c>
      <c r="AC355" s="300">
        <f t="shared" si="539"/>
        <v>1463.07</v>
      </c>
      <c r="AD355" s="300">
        <f t="shared" ref="AD355:AE355" si="574">+AD354</f>
        <v>134.16999999999999</v>
      </c>
      <c r="AE355" s="300">
        <f t="shared" si="574"/>
        <v>188.55</v>
      </c>
      <c r="AF355" s="300">
        <f t="shared" si="515"/>
        <v>2069.1600000000003</v>
      </c>
      <c r="AG355" s="300">
        <f t="shared" si="516"/>
        <v>64395.959999999992</v>
      </c>
      <c r="AH355" s="300">
        <f t="shared" si="517"/>
        <v>445250.52000000025</v>
      </c>
      <c r="AI355" s="545">
        <f t="shared" si="505"/>
        <v>-29198.490000000082</v>
      </c>
      <c r="AJ355" s="545">
        <f t="shared" si="566"/>
        <v>-165446.0400000001</v>
      </c>
      <c r="AK355" s="545">
        <f t="shared" si="506"/>
        <v>-194644.53000000017</v>
      </c>
      <c r="AL355" s="300">
        <f t="shared" si="518"/>
        <v>250528.14000000022</v>
      </c>
      <c r="AM355" s="449">
        <f t="shared" si="547"/>
        <v>24</v>
      </c>
      <c r="AN355" s="14">
        <f t="shared" si="507"/>
        <v>1196.26</v>
      </c>
      <c r="AO355" s="14">
        <f t="shared" si="477"/>
        <v>149456.96999999977</v>
      </c>
      <c r="AP355" s="14">
        <f t="shared" si="508"/>
        <v>1325.03</v>
      </c>
      <c r="AS355" s="14">
        <f t="shared" si="541"/>
        <v>1196.26</v>
      </c>
      <c r="AT355" s="14">
        <f t="shared" si="548"/>
        <v>354808.66000000149</v>
      </c>
      <c r="AU355" s="300">
        <f t="shared" si="549"/>
        <v>1420.6962782185026</v>
      </c>
      <c r="AV355" s="300">
        <f t="shared" si="550"/>
        <v>326550.70756561955</v>
      </c>
    </row>
    <row r="356" spans="1:48" x14ac:dyDescent="0.25">
      <c r="A356" s="535">
        <f t="shared" si="494"/>
        <v>54639</v>
      </c>
      <c r="B356" s="300">
        <f t="shared" si="542"/>
        <v>7712.6199999999853</v>
      </c>
      <c r="C356" s="14">
        <f t="shared" si="535"/>
        <v>421.41</v>
      </c>
      <c r="D356" s="14">
        <f t="shared" si="551"/>
        <v>392.49</v>
      </c>
      <c r="E356" s="14">
        <f t="shared" si="536"/>
        <v>28.92</v>
      </c>
      <c r="F356" s="14">
        <f t="shared" si="495"/>
        <v>134.16999999999999</v>
      </c>
      <c r="G356" s="14">
        <f t="shared" si="491"/>
        <v>188.55</v>
      </c>
      <c r="H356" s="14">
        <f t="shared" si="492"/>
        <v>744.13000000000011</v>
      </c>
      <c r="I356" s="300">
        <f t="shared" si="496"/>
        <v>76161.290000000037</v>
      </c>
      <c r="J356" s="300">
        <f t="shared" si="497"/>
        <v>68272.820000000036</v>
      </c>
      <c r="K356" s="300">
        <f t="shared" si="498"/>
        <v>7320.1299999999856</v>
      </c>
      <c r="L356" s="449">
        <f t="shared" si="479"/>
        <v>24</v>
      </c>
      <c r="M356" s="449">
        <f t="shared" si="543"/>
        <v>297</v>
      </c>
      <c r="N356" s="300">
        <f t="shared" si="544"/>
        <v>85082.100000000137</v>
      </c>
      <c r="O356" s="300">
        <f t="shared" si="510"/>
        <v>1617.67</v>
      </c>
      <c r="P356" s="300">
        <f t="shared" si="552"/>
        <v>1121.3600000000001</v>
      </c>
      <c r="Q356" s="300">
        <f t="shared" si="511"/>
        <v>496.31</v>
      </c>
      <c r="R356" s="300">
        <f t="shared" si="502"/>
        <v>134.16999999999999</v>
      </c>
      <c r="S356" s="300">
        <f t="shared" si="503"/>
        <v>188.55</v>
      </c>
      <c r="T356" s="300">
        <f t="shared" si="499"/>
        <v>1940.39</v>
      </c>
      <c r="U356" s="300">
        <f t="shared" si="553"/>
        <v>159187.76000000021</v>
      </c>
      <c r="V356" s="300">
        <f t="shared" si="554"/>
        <v>322877.89999999991</v>
      </c>
      <c r="W356" s="300">
        <f t="shared" si="500"/>
        <v>83960.740000000136</v>
      </c>
      <c r="X356" s="535">
        <f t="shared" si="545"/>
        <v>54639</v>
      </c>
      <c r="Y356" s="300">
        <f t="shared" si="512"/>
        <v>250528.14000000022</v>
      </c>
      <c r="Z356" s="527">
        <f t="shared" si="537"/>
        <v>7.0000000000000007E-2</v>
      </c>
      <c r="AA356" s="300">
        <f t="shared" si="538"/>
        <v>1746.44</v>
      </c>
      <c r="AB356" s="300">
        <f t="shared" si="513"/>
        <v>285.02999999999997</v>
      </c>
      <c r="AC356" s="300">
        <f t="shared" si="539"/>
        <v>1461.41</v>
      </c>
      <c r="AD356" s="300">
        <f t="shared" ref="AD356:AE356" si="575">+AD355</f>
        <v>134.16999999999999</v>
      </c>
      <c r="AE356" s="300">
        <f t="shared" si="575"/>
        <v>188.55</v>
      </c>
      <c r="AF356" s="300">
        <f t="shared" si="515"/>
        <v>2069.1600000000003</v>
      </c>
      <c r="AG356" s="300">
        <f t="shared" si="516"/>
        <v>64680.989999999991</v>
      </c>
      <c r="AH356" s="300">
        <f t="shared" si="517"/>
        <v>446711.93000000023</v>
      </c>
      <c r="AI356" s="545">
        <f t="shared" si="505"/>
        <v>-29327.260000000082</v>
      </c>
      <c r="AJ356" s="545">
        <f t="shared" si="566"/>
        <v>-166282.37000000008</v>
      </c>
      <c r="AK356" s="545">
        <f t="shared" si="506"/>
        <v>-195609.63000000018</v>
      </c>
      <c r="AL356" s="300">
        <f t="shared" si="518"/>
        <v>250243.11000000022</v>
      </c>
      <c r="AM356" s="449">
        <f t="shared" si="547"/>
        <v>24</v>
      </c>
      <c r="AN356" s="14">
        <f t="shared" si="507"/>
        <v>1196.26</v>
      </c>
      <c r="AO356" s="14">
        <f t="shared" si="477"/>
        <v>148728.09999999977</v>
      </c>
      <c r="AP356" s="14">
        <f t="shared" si="508"/>
        <v>1325.03</v>
      </c>
      <c r="AS356" s="14">
        <f t="shared" si="541"/>
        <v>1196.26</v>
      </c>
      <c r="AT356" s="14">
        <f t="shared" si="548"/>
        <v>356004.9200000015</v>
      </c>
      <c r="AU356" s="300">
        <f t="shared" si="549"/>
        <v>1424.248018914049</v>
      </c>
      <c r="AV356" s="300">
        <f t="shared" si="550"/>
        <v>327974.95558453363</v>
      </c>
    </row>
    <row r="357" spans="1:48" x14ac:dyDescent="0.25">
      <c r="A357" s="535">
        <f t="shared" si="494"/>
        <v>54669</v>
      </c>
      <c r="B357" s="300">
        <f t="shared" si="542"/>
        <v>7320.1299999999856</v>
      </c>
      <c r="C357" s="14">
        <f t="shared" si="535"/>
        <v>421.41</v>
      </c>
      <c r="D357" s="14">
        <f t="shared" si="551"/>
        <v>393.96000000000004</v>
      </c>
      <c r="E357" s="14">
        <f t="shared" si="536"/>
        <v>27.45</v>
      </c>
      <c r="F357" s="14">
        <f t="shared" si="495"/>
        <v>134.16999999999999</v>
      </c>
      <c r="G357" s="14">
        <f t="shared" si="491"/>
        <v>188.55</v>
      </c>
      <c r="H357" s="14">
        <f t="shared" si="492"/>
        <v>744.13000000000011</v>
      </c>
      <c r="I357" s="300">
        <f t="shared" si="496"/>
        <v>76555.250000000044</v>
      </c>
      <c r="J357" s="300">
        <f t="shared" si="497"/>
        <v>68300.270000000033</v>
      </c>
      <c r="K357" s="300">
        <f t="shared" si="498"/>
        <v>6926.1699999999855</v>
      </c>
      <c r="L357" s="449">
        <f t="shared" si="479"/>
        <v>24</v>
      </c>
      <c r="M357" s="449">
        <f t="shared" si="543"/>
        <v>298</v>
      </c>
      <c r="N357" s="300">
        <f t="shared" si="544"/>
        <v>83960.740000000136</v>
      </c>
      <c r="O357" s="300">
        <f t="shared" si="510"/>
        <v>1617.67</v>
      </c>
      <c r="P357" s="300">
        <f t="shared" si="552"/>
        <v>1127.9000000000001</v>
      </c>
      <c r="Q357" s="300">
        <f t="shared" si="511"/>
        <v>489.77</v>
      </c>
      <c r="R357" s="300">
        <f t="shared" si="502"/>
        <v>134.16999999999999</v>
      </c>
      <c r="S357" s="300">
        <f t="shared" si="503"/>
        <v>188.55</v>
      </c>
      <c r="T357" s="300">
        <f t="shared" si="499"/>
        <v>1940.39</v>
      </c>
      <c r="U357" s="300">
        <f t="shared" si="553"/>
        <v>160315.66000000021</v>
      </c>
      <c r="V357" s="300">
        <f t="shared" si="554"/>
        <v>323367.66999999993</v>
      </c>
      <c r="W357" s="300">
        <f t="shared" si="500"/>
        <v>82832.840000000142</v>
      </c>
      <c r="X357" s="535">
        <f t="shared" si="545"/>
        <v>54669</v>
      </c>
      <c r="Y357" s="300">
        <f t="shared" si="512"/>
        <v>250243.11000000022</v>
      </c>
      <c r="Z357" s="527">
        <f t="shared" si="537"/>
        <v>7.0000000000000007E-2</v>
      </c>
      <c r="AA357" s="300">
        <f t="shared" si="538"/>
        <v>1746.44</v>
      </c>
      <c r="AB357" s="300">
        <f t="shared" si="513"/>
        <v>286.69000000000005</v>
      </c>
      <c r="AC357" s="300">
        <f t="shared" si="539"/>
        <v>1459.75</v>
      </c>
      <c r="AD357" s="300">
        <f t="shared" ref="AD357:AE357" si="576">+AD356</f>
        <v>134.16999999999999</v>
      </c>
      <c r="AE357" s="300">
        <f t="shared" si="576"/>
        <v>188.55</v>
      </c>
      <c r="AF357" s="300">
        <f t="shared" si="515"/>
        <v>2069.1600000000003</v>
      </c>
      <c r="AG357" s="300">
        <f t="shared" si="516"/>
        <v>64967.679999999993</v>
      </c>
      <c r="AH357" s="300">
        <f t="shared" si="517"/>
        <v>448171.68000000023</v>
      </c>
      <c r="AI357" s="545">
        <f t="shared" si="505"/>
        <v>-29456.030000000083</v>
      </c>
      <c r="AJ357" s="545">
        <f t="shared" si="566"/>
        <v>-167123.58000000007</v>
      </c>
      <c r="AK357" s="545">
        <f t="shared" si="506"/>
        <v>-196579.61000000016</v>
      </c>
      <c r="AL357" s="300">
        <f t="shared" si="518"/>
        <v>249956.42000000022</v>
      </c>
      <c r="AM357" s="449">
        <f t="shared" si="547"/>
        <v>24</v>
      </c>
      <c r="AN357" s="14">
        <f t="shared" si="507"/>
        <v>1196.26</v>
      </c>
      <c r="AO357" s="14">
        <f t="shared" si="477"/>
        <v>147994.1599999998</v>
      </c>
      <c r="AP357" s="14">
        <f t="shared" si="508"/>
        <v>1325.03</v>
      </c>
      <c r="AS357" s="14">
        <f t="shared" si="541"/>
        <v>1196.26</v>
      </c>
      <c r="AT357" s="14">
        <f t="shared" si="548"/>
        <v>357201.18000000151</v>
      </c>
      <c r="AU357" s="300">
        <f t="shared" si="549"/>
        <v>1427.8086389613338</v>
      </c>
      <c r="AV357" s="300">
        <f t="shared" si="550"/>
        <v>329402.76422349497</v>
      </c>
    </row>
    <row r="358" spans="1:48" x14ac:dyDescent="0.25">
      <c r="A358" s="535">
        <f t="shared" si="494"/>
        <v>54699</v>
      </c>
      <c r="B358" s="300">
        <f t="shared" si="542"/>
        <v>6926.1699999999855</v>
      </c>
      <c r="C358" s="14">
        <f t="shared" si="535"/>
        <v>421.41</v>
      </c>
      <c r="D358" s="14">
        <f t="shared" si="551"/>
        <v>395.44000000000005</v>
      </c>
      <c r="E358" s="14">
        <f t="shared" si="536"/>
        <v>25.97</v>
      </c>
      <c r="F358" s="14">
        <f t="shared" si="495"/>
        <v>134.16999999999999</v>
      </c>
      <c r="G358" s="14">
        <f t="shared" si="491"/>
        <v>188.55</v>
      </c>
      <c r="H358" s="14">
        <f t="shared" si="492"/>
        <v>744.13000000000011</v>
      </c>
      <c r="I358" s="300">
        <f t="shared" si="496"/>
        <v>76950.690000000046</v>
      </c>
      <c r="J358" s="300">
        <f t="shared" si="497"/>
        <v>68326.240000000034</v>
      </c>
      <c r="K358" s="300">
        <f t="shared" si="498"/>
        <v>6530.729999999985</v>
      </c>
      <c r="L358" s="449">
        <f t="shared" si="479"/>
        <v>24</v>
      </c>
      <c r="M358" s="449">
        <f t="shared" si="543"/>
        <v>299</v>
      </c>
      <c r="N358" s="300">
        <f t="shared" si="544"/>
        <v>82832.840000000142</v>
      </c>
      <c r="O358" s="300">
        <f t="shared" si="510"/>
        <v>1617.67</v>
      </c>
      <c r="P358" s="300">
        <f t="shared" si="552"/>
        <v>1134.48</v>
      </c>
      <c r="Q358" s="300">
        <f t="shared" si="511"/>
        <v>483.19</v>
      </c>
      <c r="R358" s="300">
        <f t="shared" si="502"/>
        <v>134.16999999999999</v>
      </c>
      <c r="S358" s="300">
        <f t="shared" si="503"/>
        <v>188.55</v>
      </c>
      <c r="T358" s="300">
        <f t="shared" si="499"/>
        <v>1940.39</v>
      </c>
      <c r="U358" s="300">
        <f t="shared" si="553"/>
        <v>161450.14000000022</v>
      </c>
      <c r="V358" s="300">
        <f t="shared" si="554"/>
        <v>323850.85999999993</v>
      </c>
      <c r="W358" s="300">
        <f t="shared" si="500"/>
        <v>81698.360000000146</v>
      </c>
      <c r="X358" s="535">
        <f t="shared" si="545"/>
        <v>54699</v>
      </c>
      <c r="Y358" s="300">
        <f t="shared" si="512"/>
        <v>249956.42000000022</v>
      </c>
      <c r="Z358" s="527">
        <f t="shared" si="537"/>
        <v>7.0000000000000007E-2</v>
      </c>
      <c r="AA358" s="300">
        <f t="shared" si="538"/>
        <v>1746.44</v>
      </c>
      <c r="AB358" s="300">
        <f t="shared" si="513"/>
        <v>288.36000000000013</v>
      </c>
      <c r="AC358" s="300">
        <f t="shared" si="539"/>
        <v>1458.08</v>
      </c>
      <c r="AD358" s="300">
        <f t="shared" ref="AD358:AE358" si="577">+AD357</f>
        <v>134.16999999999999</v>
      </c>
      <c r="AE358" s="300">
        <f t="shared" si="577"/>
        <v>188.55</v>
      </c>
      <c r="AF358" s="300">
        <f t="shared" si="515"/>
        <v>2069.1600000000003</v>
      </c>
      <c r="AG358" s="300">
        <f t="shared" si="516"/>
        <v>65256.039999999994</v>
      </c>
      <c r="AH358" s="300">
        <f t="shared" si="517"/>
        <v>449629.76000000024</v>
      </c>
      <c r="AI358" s="545">
        <f t="shared" si="505"/>
        <v>-29584.800000000083</v>
      </c>
      <c r="AJ358" s="545">
        <f t="shared" si="566"/>
        <v>-167969.70000000007</v>
      </c>
      <c r="AK358" s="545">
        <f t="shared" si="506"/>
        <v>-197554.50000000015</v>
      </c>
      <c r="AL358" s="300">
        <f t="shared" si="518"/>
        <v>249668.06000000023</v>
      </c>
      <c r="AM358" s="449">
        <f t="shared" si="547"/>
        <v>24</v>
      </c>
      <c r="AN358" s="14">
        <f t="shared" si="507"/>
        <v>1196.26</v>
      </c>
      <c r="AO358" s="14">
        <f t="shared" si="477"/>
        <v>147255.11999999979</v>
      </c>
      <c r="AP358" s="14">
        <f t="shared" si="508"/>
        <v>1325.03</v>
      </c>
      <c r="AS358" s="14">
        <f t="shared" si="541"/>
        <v>1196.26</v>
      </c>
      <c r="AT358" s="14">
        <f t="shared" si="548"/>
        <v>358397.44000000152</v>
      </c>
      <c r="AU358" s="300">
        <f t="shared" si="549"/>
        <v>1431.3781605587376</v>
      </c>
      <c r="AV358" s="300">
        <f t="shared" si="550"/>
        <v>330834.14238405373</v>
      </c>
    </row>
    <row r="359" spans="1:48" x14ac:dyDescent="0.25">
      <c r="A359" s="535">
        <f t="shared" si="494"/>
        <v>54729</v>
      </c>
      <c r="B359" s="300">
        <f t="shared" si="542"/>
        <v>6530.729999999985</v>
      </c>
      <c r="C359" s="14">
        <f t="shared" si="535"/>
        <v>421.41</v>
      </c>
      <c r="D359" s="14">
        <f t="shared" si="551"/>
        <v>396.92</v>
      </c>
      <c r="E359" s="14">
        <f t="shared" si="536"/>
        <v>24.49</v>
      </c>
      <c r="F359" s="14">
        <f t="shared" si="495"/>
        <v>134.16999999999999</v>
      </c>
      <c r="G359" s="14">
        <f t="shared" si="491"/>
        <v>188.55</v>
      </c>
      <c r="H359" s="14">
        <f t="shared" si="492"/>
        <v>744.13000000000011</v>
      </c>
      <c r="I359" s="300">
        <f t="shared" si="496"/>
        <v>77347.610000000044</v>
      </c>
      <c r="J359" s="300">
        <f t="shared" si="497"/>
        <v>68350.73000000004</v>
      </c>
      <c r="K359" s="300">
        <f t="shared" si="498"/>
        <v>6133.8099999999849</v>
      </c>
      <c r="L359" s="449">
        <f t="shared" si="479"/>
        <v>25</v>
      </c>
      <c r="M359" s="449">
        <f t="shared" si="543"/>
        <v>300</v>
      </c>
      <c r="N359" s="300">
        <f t="shared" si="544"/>
        <v>81698.360000000146</v>
      </c>
      <c r="O359" s="300">
        <f t="shared" si="510"/>
        <v>1617.67</v>
      </c>
      <c r="P359" s="300">
        <f t="shared" si="552"/>
        <v>1141.1000000000001</v>
      </c>
      <c r="Q359" s="300">
        <f t="shared" si="511"/>
        <v>476.57</v>
      </c>
      <c r="R359" s="300">
        <f t="shared" si="502"/>
        <v>134.16999999999999</v>
      </c>
      <c r="S359" s="300">
        <f t="shared" si="503"/>
        <v>188.55</v>
      </c>
      <c r="T359" s="300">
        <f t="shared" si="499"/>
        <v>1940.39</v>
      </c>
      <c r="U359" s="300">
        <f t="shared" si="553"/>
        <v>162591.24000000022</v>
      </c>
      <c r="V359" s="300">
        <f t="shared" si="554"/>
        <v>324327.42999999993</v>
      </c>
      <c r="W359" s="300">
        <f t="shared" si="500"/>
        <v>80557.26000000014</v>
      </c>
      <c r="X359" s="535">
        <f t="shared" si="545"/>
        <v>54729</v>
      </c>
      <c r="Y359" s="300">
        <f t="shared" si="512"/>
        <v>249668.06000000023</v>
      </c>
      <c r="Z359" s="527">
        <f t="shared" si="537"/>
        <v>7.0000000000000007E-2</v>
      </c>
      <c r="AA359" s="300">
        <f t="shared" si="538"/>
        <v>1746.44</v>
      </c>
      <c r="AB359" s="300">
        <f t="shared" si="513"/>
        <v>290.03999999999996</v>
      </c>
      <c r="AC359" s="300">
        <f t="shared" si="539"/>
        <v>1456.4</v>
      </c>
      <c r="AD359" s="300">
        <f t="shared" ref="AD359:AE359" si="578">+AD358</f>
        <v>134.16999999999999</v>
      </c>
      <c r="AE359" s="300">
        <f t="shared" si="578"/>
        <v>188.55</v>
      </c>
      <c r="AF359" s="300">
        <f t="shared" si="515"/>
        <v>2069.1600000000003</v>
      </c>
      <c r="AG359" s="300">
        <f t="shared" si="516"/>
        <v>65546.079999999987</v>
      </c>
      <c r="AH359" s="300">
        <f t="shared" si="517"/>
        <v>451086.16000000027</v>
      </c>
      <c r="AI359" s="545">
        <f t="shared" si="505"/>
        <v>-29713.570000000083</v>
      </c>
      <c r="AJ359" s="545">
        <f t="shared" si="566"/>
        <v>-168820.76000000007</v>
      </c>
      <c r="AK359" s="545">
        <f t="shared" si="506"/>
        <v>-198534.33000000016</v>
      </c>
      <c r="AL359" s="300">
        <f t="shared" si="518"/>
        <v>249378.02000000022</v>
      </c>
      <c r="AM359" s="449">
        <f t="shared" si="547"/>
        <v>25</v>
      </c>
      <c r="AN359" s="14">
        <f t="shared" si="507"/>
        <v>1196.26</v>
      </c>
      <c r="AO359" s="14">
        <f t="shared" si="477"/>
        <v>146510.93999999983</v>
      </c>
      <c r="AP359" s="14">
        <f t="shared" si="508"/>
        <v>1325.03</v>
      </c>
      <c r="AS359" s="14">
        <f t="shared" si="541"/>
        <v>1196.26</v>
      </c>
      <c r="AT359" s="14">
        <f t="shared" si="548"/>
        <v>359593.70000000153</v>
      </c>
      <c r="AU359" s="300">
        <f t="shared" si="549"/>
        <v>1434.9566059601341</v>
      </c>
      <c r="AV359" s="300">
        <f t="shared" si="550"/>
        <v>332269.09899001388</v>
      </c>
    </row>
    <row r="360" spans="1:48" x14ac:dyDescent="0.25">
      <c r="A360" s="535">
        <f t="shared" si="494"/>
        <v>54759</v>
      </c>
      <c r="B360" s="300">
        <f t="shared" si="542"/>
        <v>6133.8099999999849</v>
      </c>
      <c r="C360" s="14">
        <f t="shared" si="535"/>
        <v>421.41</v>
      </c>
      <c r="D360" s="14">
        <f t="shared" si="551"/>
        <v>398.41</v>
      </c>
      <c r="E360" s="14">
        <f t="shared" si="536"/>
        <v>23</v>
      </c>
      <c r="F360" s="14">
        <f t="shared" si="495"/>
        <v>134.16999999999999</v>
      </c>
      <c r="G360" s="14">
        <f t="shared" si="491"/>
        <v>188.55</v>
      </c>
      <c r="H360" s="14">
        <f t="shared" si="492"/>
        <v>744.13000000000011</v>
      </c>
      <c r="I360" s="300">
        <f t="shared" si="496"/>
        <v>77746.020000000048</v>
      </c>
      <c r="J360" s="300">
        <f t="shared" si="497"/>
        <v>68373.73000000004</v>
      </c>
      <c r="K360" s="300">
        <f t="shared" si="498"/>
        <v>5735.3999999999851</v>
      </c>
      <c r="L360" s="449">
        <f t="shared" si="479"/>
        <v>25</v>
      </c>
      <c r="M360" s="449">
        <f t="shared" si="543"/>
        <v>301</v>
      </c>
      <c r="N360" s="300">
        <f t="shared" si="544"/>
        <v>80557.26000000014</v>
      </c>
      <c r="O360" s="300">
        <f t="shared" si="510"/>
        <v>1617.67</v>
      </c>
      <c r="P360" s="300">
        <f t="shared" si="552"/>
        <v>1147.75</v>
      </c>
      <c r="Q360" s="300">
        <f t="shared" si="511"/>
        <v>469.92</v>
      </c>
      <c r="R360" s="300">
        <f t="shared" si="502"/>
        <v>134.16999999999999</v>
      </c>
      <c r="S360" s="300">
        <f t="shared" si="503"/>
        <v>188.55</v>
      </c>
      <c r="T360" s="300">
        <f t="shared" si="499"/>
        <v>1940.39</v>
      </c>
      <c r="U360" s="300">
        <f t="shared" si="553"/>
        <v>163738.99000000022</v>
      </c>
      <c r="V360" s="300">
        <f t="shared" si="554"/>
        <v>324797.34999999992</v>
      </c>
      <c r="W360" s="300">
        <f t="shared" si="500"/>
        <v>79409.51000000014</v>
      </c>
      <c r="X360" s="535">
        <f t="shared" si="545"/>
        <v>54759</v>
      </c>
      <c r="Y360" s="300">
        <f t="shared" si="512"/>
        <v>249378.02000000022</v>
      </c>
      <c r="Z360" s="527">
        <f t="shared" si="537"/>
        <v>7.0000000000000007E-2</v>
      </c>
      <c r="AA360" s="300">
        <f t="shared" si="538"/>
        <v>1746.44</v>
      </c>
      <c r="AB360" s="300">
        <f t="shared" si="513"/>
        <v>291.73</v>
      </c>
      <c r="AC360" s="300">
        <f t="shared" si="539"/>
        <v>1454.71</v>
      </c>
      <c r="AD360" s="300">
        <f t="shared" ref="AD360:AE360" si="579">+AD359</f>
        <v>134.16999999999999</v>
      </c>
      <c r="AE360" s="300">
        <f t="shared" si="579"/>
        <v>188.55</v>
      </c>
      <c r="AF360" s="300">
        <f t="shared" si="515"/>
        <v>2069.1600000000003</v>
      </c>
      <c r="AG360" s="300">
        <f t="shared" si="516"/>
        <v>65837.809999999983</v>
      </c>
      <c r="AH360" s="300">
        <f t="shared" si="517"/>
        <v>452540.87000000029</v>
      </c>
      <c r="AI360" s="545">
        <f t="shared" si="505"/>
        <v>-29842.340000000084</v>
      </c>
      <c r="AJ360" s="545">
        <f t="shared" si="566"/>
        <v>-169676.78000000009</v>
      </c>
      <c r="AK360" s="545">
        <f t="shared" si="506"/>
        <v>-199519.12000000017</v>
      </c>
      <c r="AL360" s="300">
        <f t="shared" si="518"/>
        <v>249086.29000000021</v>
      </c>
      <c r="AM360" s="449">
        <f t="shared" si="547"/>
        <v>25</v>
      </c>
      <c r="AN360" s="14">
        <f t="shared" si="507"/>
        <v>1196.26</v>
      </c>
      <c r="AO360" s="14">
        <f t="shared" si="477"/>
        <v>145761.5999999998</v>
      </c>
      <c r="AP360" s="14">
        <f t="shared" si="508"/>
        <v>1325.03</v>
      </c>
      <c r="AS360" s="14">
        <f t="shared" si="541"/>
        <v>1196.26</v>
      </c>
      <c r="AT360" s="14">
        <f t="shared" si="548"/>
        <v>360789.96000000153</v>
      </c>
      <c r="AU360" s="300">
        <f t="shared" si="549"/>
        <v>1438.5439974750345</v>
      </c>
      <c r="AV360" s="300">
        <f t="shared" si="550"/>
        <v>333707.64298748894</v>
      </c>
    </row>
    <row r="361" spans="1:48" x14ac:dyDescent="0.25">
      <c r="A361" s="535">
        <f t="shared" si="494"/>
        <v>54789</v>
      </c>
      <c r="B361" s="300">
        <f t="shared" si="542"/>
        <v>5735.3999999999851</v>
      </c>
      <c r="C361" s="14">
        <f t="shared" si="535"/>
        <v>421.41</v>
      </c>
      <c r="D361" s="14">
        <f t="shared" si="551"/>
        <v>399.90000000000003</v>
      </c>
      <c r="E361" s="14">
        <f t="shared" si="536"/>
        <v>21.51</v>
      </c>
      <c r="F361" s="14">
        <f t="shared" si="495"/>
        <v>134.16999999999999</v>
      </c>
      <c r="G361" s="14">
        <f t="shared" si="491"/>
        <v>188.55</v>
      </c>
      <c r="H361" s="14">
        <f t="shared" si="492"/>
        <v>744.13000000000011</v>
      </c>
      <c r="I361" s="300">
        <f t="shared" si="496"/>
        <v>78145.920000000042</v>
      </c>
      <c r="J361" s="300">
        <f t="shared" si="497"/>
        <v>68395.240000000034</v>
      </c>
      <c r="K361" s="300">
        <f t="shared" si="498"/>
        <v>5335.4999999999854</v>
      </c>
      <c r="L361" s="449">
        <f t="shared" si="479"/>
        <v>25</v>
      </c>
      <c r="M361" s="449">
        <f t="shared" si="543"/>
        <v>302</v>
      </c>
      <c r="N361" s="300">
        <f t="shared" si="544"/>
        <v>79409.51000000014</v>
      </c>
      <c r="O361" s="300">
        <f t="shared" si="510"/>
        <v>1617.67</v>
      </c>
      <c r="P361" s="300">
        <f t="shared" si="552"/>
        <v>1154.45</v>
      </c>
      <c r="Q361" s="300">
        <f t="shared" si="511"/>
        <v>463.22</v>
      </c>
      <c r="R361" s="300">
        <f t="shared" si="502"/>
        <v>134.16999999999999</v>
      </c>
      <c r="S361" s="300">
        <f t="shared" si="503"/>
        <v>188.55</v>
      </c>
      <c r="T361" s="300">
        <f t="shared" si="499"/>
        <v>1940.39</v>
      </c>
      <c r="U361" s="300">
        <f t="shared" si="553"/>
        <v>164893.44000000024</v>
      </c>
      <c r="V361" s="300">
        <f t="shared" si="554"/>
        <v>325260.56999999989</v>
      </c>
      <c r="W361" s="300">
        <f t="shared" si="500"/>
        <v>78255.060000000143</v>
      </c>
      <c r="X361" s="535">
        <f t="shared" si="545"/>
        <v>54789</v>
      </c>
      <c r="Y361" s="300">
        <f t="shared" si="512"/>
        <v>249086.29000000021</v>
      </c>
      <c r="Z361" s="527">
        <f t="shared" si="537"/>
        <v>7.0000000000000007E-2</v>
      </c>
      <c r="AA361" s="300">
        <f t="shared" si="538"/>
        <v>1746.44</v>
      </c>
      <c r="AB361" s="300">
        <f t="shared" si="513"/>
        <v>293.44000000000005</v>
      </c>
      <c r="AC361" s="300">
        <f t="shared" si="539"/>
        <v>1453</v>
      </c>
      <c r="AD361" s="300">
        <f t="shared" ref="AD361:AE361" si="580">+AD360</f>
        <v>134.16999999999999</v>
      </c>
      <c r="AE361" s="300">
        <f t="shared" si="580"/>
        <v>188.55</v>
      </c>
      <c r="AF361" s="300">
        <f t="shared" si="515"/>
        <v>2069.1600000000003</v>
      </c>
      <c r="AG361" s="300">
        <f t="shared" si="516"/>
        <v>66131.249999999985</v>
      </c>
      <c r="AH361" s="300">
        <f t="shared" si="517"/>
        <v>453993.87000000029</v>
      </c>
      <c r="AI361" s="545">
        <f t="shared" si="505"/>
        <v>-29971.110000000084</v>
      </c>
      <c r="AJ361" s="545">
        <f t="shared" si="566"/>
        <v>-170537.79000000007</v>
      </c>
      <c r="AK361" s="545">
        <f t="shared" si="506"/>
        <v>-200508.90000000014</v>
      </c>
      <c r="AL361" s="300">
        <f t="shared" si="518"/>
        <v>248792.85000000021</v>
      </c>
      <c r="AM361" s="449">
        <f t="shared" si="547"/>
        <v>25</v>
      </c>
      <c r="AN361" s="14">
        <f t="shared" si="507"/>
        <v>1196.26</v>
      </c>
      <c r="AO361" s="14">
        <f t="shared" si="477"/>
        <v>145007.04999999976</v>
      </c>
      <c r="AP361" s="14">
        <f t="shared" si="508"/>
        <v>1325.03</v>
      </c>
      <c r="AS361" s="14">
        <f t="shared" si="541"/>
        <v>1196.26</v>
      </c>
      <c r="AT361" s="14">
        <f t="shared" si="548"/>
        <v>361986.22000000154</v>
      </c>
      <c r="AU361" s="300">
        <f t="shared" si="549"/>
        <v>1442.1403574687226</v>
      </c>
      <c r="AV361" s="300">
        <f t="shared" si="550"/>
        <v>335149.78334495769</v>
      </c>
    </row>
    <row r="362" spans="1:48" ht="15.75" thickBot="1" x14ac:dyDescent="0.3">
      <c r="A362" s="538">
        <f t="shared" si="494"/>
        <v>54819</v>
      </c>
      <c r="B362" s="369">
        <f t="shared" si="542"/>
        <v>5335.4999999999854</v>
      </c>
      <c r="C362" s="21">
        <f t="shared" si="535"/>
        <v>421.41</v>
      </c>
      <c r="D362" s="21">
        <f t="shared" si="551"/>
        <v>401.40000000000003</v>
      </c>
      <c r="E362" s="21">
        <f t="shared" si="536"/>
        <v>20.010000000000002</v>
      </c>
      <c r="F362" s="21">
        <f t="shared" si="495"/>
        <v>134.16999999999999</v>
      </c>
      <c r="G362" s="21">
        <f t="shared" si="491"/>
        <v>188.55</v>
      </c>
      <c r="H362" s="21">
        <f t="shared" si="492"/>
        <v>744.13000000000011</v>
      </c>
      <c r="I362" s="369">
        <f t="shared" si="496"/>
        <v>78547.320000000036</v>
      </c>
      <c r="J362" s="369">
        <f t="shared" si="497"/>
        <v>68415.250000000029</v>
      </c>
      <c r="K362" s="369">
        <f t="shared" si="498"/>
        <v>4934.0999999999858</v>
      </c>
      <c r="L362" s="450">
        <f t="shared" si="479"/>
        <v>25</v>
      </c>
      <c r="M362" s="450">
        <f t="shared" si="543"/>
        <v>303</v>
      </c>
      <c r="N362" s="369">
        <f t="shared" si="544"/>
        <v>78255.060000000143</v>
      </c>
      <c r="O362" s="369">
        <f t="shared" si="510"/>
        <v>1617.67</v>
      </c>
      <c r="P362" s="369">
        <f t="shared" si="552"/>
        <v>1161.18</v>
      </c>
      <c r="Q362" s="369">
        <f t="shared" si="511"/>
        <v>456.49</v>
      </c>
      <c r="R362" s="369">
        <f t="shared" si="502"/>
        <v>134.16999999999999</v>
      </c>
      <c r="S362" s="369">
        <f t="shared" si="503"/>
        <v>188.55</v>
      </c>
      <c r="T362" s="369">
        <f t="shared" si="499"/>
        <v>1940.39</v>
      </c>
      <c r="U362" s="369">
        <f t="shared" si="553"/>
        <v>166054.62000000023</v>
      </c>
      <c r="V362" s="369">
        <f t="shared" si="554"/>
        <v>325717.05999999988</v>
      </c>
      <c r="W362" s="369">
        <f t="shared" si="500"/>
        <v>77093.88000000015</v>
      </c>
      <c r="X362" s="538">
        <f t="shared" si="545"/>
        <v>54819</v>
      </c>
      <c r="Y362" s="369">
        <f t="shared" si="512"/>
        <v>248792.85000000021</v>
      </c>
      <c r="Z362" s="528">
        <f t="shared" si="537"/>
        <v>7.0000000000000007E-2</v>
      </c>
      <c r="AA362" s="369">
        <f t="shared" si="538"/>
        <v>1746.44</v>
      </c>
      <c r="AB362" s="369">
        <f t="shared" si="513"/>
        <v>295.15000000000009</v>
      </c>
      <c r="AC362" s="369">
        <f t="shared" si="539"/>
        <v>1451.29</v>
      </c>
      <c r="AD362" s="369">
        <f t="shared" ref="AD362:AE362" si="581">+AD361</f>
        <v>134.16999999999999</v>
      </c>
      <c r="AE362" s="369">
        <f t="shared" si="581"/>
        <v>188.55</v>
      </c>
      <c r="AF362" s="369">
        <f t="shared" si="515"/>
        <v>2069.1600000000003</v>
      </c>
      <c r="AG362" s="369">
        <f t="shared" si="516"/>
        <v>66426.39999999998</v>
      </c>
      <c r="AH362" s="369">
        <f t="shared" si="517"/>
        <v>455445.16000000027</v>
      </c>
      <c r="AI362" s="546">
        <f t="shared" si="505"/>
        <v>-30099.880000000085</v>
      </c>
      <c r="AJ362" s="546">
        <f t="shared" si="566"/>
        <v>-171403.82000000007</v>
      </c>
      <c r="AK362" s="545">
        <f t="shared" si="506"/>
        <v>-201503.70000000016</v>
      </c>
      <c r="AL362" s="369">
        <f t="shared" si="518"/>
        <v>248497.70000000022</v>
      </c>
      <c r="AM362" s="450">
        <f t="shared" si="547"/>
        <v>25</v>
      </c>
      <c r="AN362" s="21">
        <f t="shared" si="507"/>
        <v>1196.26</v>
      </c>
      <c r="AO362" s="21">
        <f t="shared" si="477"/>
        <v>144247.26999999979</v>
      </c>
      <c r="AP362" s="21">
        <f t="shared" si="508"/>
        <v>1325.03</v>
      </c>
      <c r="AQ362" s="21"/>
      <c r="AR362" s="23"/>
      <c r="AS362" s="21">
        <f t="shared" si="541"/>
        <v>1196.26</v>
      </c>
      <c r="AT362" s="21">
        <f t="shared" si="548"/>
        <v>363182.48000000155</v>
      </c>
      <c r="AU362" s="369">
        <f t="shared" si="549"/>
        <v>1445.7457083623942</v>
      </c>
      <c r="AV362" s="369">
        <f t="shared" si="550"/>
        <v>336595.52905332006</v>
      </c>
    </row>
    <row r="363" spans="1:48" x14ac:dyDescent="0.25">
      <c r="A363" s="535">
        <f t="shared" si="494"/>
        <v>54849</v>
      </c>
      <c r="B363" s="300">
        <f t="shared" si="542"/>
        <v>4934.0999999999858</v>
      </c>
      <c r="C363" s="14">
        <f t="shared" si="535"/>
        <v>421.41</v>
      </c>
      <c r="D363" s="14">
        <f t="shared" si="551"/>
        <v>402.91</v>
      </c>
      <c r="E363" s="14">
        <f t="shared" si="536"/>
        <v>18.5</v>
      </c>
      <c r="F363" s="14">
        <f t="shared" si="495"/>
        <v>134.16999999999999</v>
      </c>
      <c r="G363" s="14">
        <f t="shared" si="491"/>
        <v>188.55</v>
      </c>
      <c r="H363" s="14">
        <f t="shared" si="492"/>
        <v>744.13000000000011</v>
      </c>
      <c r="I363" s="300">
        <f t="shared" si="496"/>
        <v>78950.23000000004</v>
      </c>
      <c r="J363" s="300">
        <f t="shared" si="497"/>
        <v>68433.750000000029</v>
      </c>
      <c r="K363" s="300">
        <f t="shared" si="498"/>
        <v>4531.189999999986</v>
      </c>
      <c r="L363" s="449">
        <f t="shared" si="479"/>
        <v>25</v>
      </c>
      <c r="M363" s="449">
        <f t="shared" si="543"/>
        <v>304</v>
      </c>
      <c r="N363" s="300">
        <f t="shared" si="544"/>
        <v>77093.88000000015</v>
      </c>
      <c r="O363" s="300">
        <f t="shared" si="510"/>
        <v>1617.67</v>
      </c>
      <c r="P363" s="300">
        <f t="shared" si="552"/>
        <v>1167.96</v>
      </c>
      <c r="Q363" s="300">
        <f t="shared" si="511"/>
        <v>449.71</v>
      </c>
      <c r="R363" s="300">
        <f t="shared" si="502"/>
        <v>134.16999999999999</v>
      </c>
      <c r="S363" s="300">
        <f t="shared" si="503"/>
        <v>188.55</v>
      </c>
      <c r="T363" s="300">
        <f t="shared" si="499"/>
        <v>1940.39</v>
      </c>
      <c r="U363" s="300">
        <f t="shared" si="553"/>
        <v>167222.58000000022</v>
      </c>
      <c r="V363" s="300">
        <f t="shared" si="554"/>
        <v>326166.7699999999</v>
      </c>
      <c r="W363" s="300">
        <f t="shared" si="500"/>
        <v>75925.920000000144</v>
      </c>
      <c r="X363" s="535">
        <f t="shared" si="545"/>
        <v>54849</v>
      </c>
      <c r="Y363" s="300">
        <f t="shared" si="512"/>
        <v>248497.70000000022</v>
      </c>
      <c r="Z363" s="527">
        <f t="shared" si="537"/>
        <v>7.0000000000000007E-2</v>
      </c>
      <c r="AA363" s="300">
        <f t="shared" si="538"/>
        <v>1746.44</v>
      </c>
      <c r="AB363" s="300">
        <f t="shared" si="513"/>
        <v>296.87000000000012</v>
      </c>
      <c r="AC363" s="300">
        <f t="shared" si="539"/>
        <v>1449.57</v>
      </c>
      <c r="AD363" s="300">
        <f t="shared" ref="AD363:AE363" si="582">+AD362</f>
        <v>134.16999999999999</v>
      </c>
      <c r="AE363" s="300">
        <f t="shared" si="582"/>
        <v>188.55</v>
      </c>
      <c r="AF363" s="300">
        <f t="shared" si="515"/>
        <v>2069.1600000000003</v>
      </c>
      <c r="AG363" s="300">
        <f t="shared" si="516"/>
        <v>66723.269999999975</v>
      </c>
      <c r="AH363" s="300">
        <f t="shared" si="517"/>
        <v>456894.73000000027</v>
      </c>
      <c r="AI363" s="545">
        <f t="shared" si="505"/>
        <v>-30228.650000000085</v>
      </c>
      <c r="AJ363" s="545">
        <f t="shared" si="566"/>
        <v>-172274.91000000009</v>
      </c>
      <c r="AK363" s="545">
        <f t="shared" si="506"/>
        <v>-202503.56000000017</v>
      </c>
      <c r="AL363" s="300">
        <f t="shared" si="518"/>
        <v>248200.83000000022</v>
      </c>
      <c r="AM363" s="449">
        <f t="shared" si="547"/>
        <v>25</v>
      </c>
      <c r="AN363" s="14">
        <f t="shared" si="507"/>
        <v>1196.26</v>
      </c>
      <c r="AO363" s="14">
        <f t="shared" si="477"/>
        <v>143482.21999999983</v>
      </c>
      <c r="AP363" s="14">
        <f t="shared" si="508"/>
        <v>1325.03</v>
      </c>
      <c r="AS363" s="14">
        <f t="shared" si="541"/>
        <v>1196.26</v>
      </c>
      <c r="AT363" s="14">
        <f t="shared" si="548"/>
        <v>364378.74000000156</v>
      </c>
      <c r="AU363" s="300">
        <f t="shared" si="549"/>
        <v>1449.3600726333</v>
      </c>
      <c r="AV363" s="300">
        <f t="shared" si="550"/>
        <v>338044.88912595337</v>
      </c>
    </row>
    <row r="364" spans="1:48" x14ac:dyDescent="0.25">
      <c r="A364" s="535">
        <f t="shared" si="494"/>
        <v>54879</v>
      </c>
      <c r="B364" s="300">
        <f t="shared" si="542"/>
        <v>4531.189999999986</v>
      </c>
      <c r="C364" s="14">
        <f t="shared" si="535"/>
        <v>421.41</v>
      </c>
      <c r="D364" s="14">
        <f t="shared" si="551"/>
        <v>404.42</v>
      </c>
      <c r="E364" s="14">
        <f t="shared" si="536"/>
        <v>16.989999999999998</v>
      </c>
      <c r="F364" s="14">
        <f t="shared" si="495"/>
        <v>134.16999999999999</v>
      </c>
      <c r="G364" s="14">
        <f t="shared" si="491"/>
        <v>188.55</v>
      </c>
      <c r="H364" s="14">
        <f t="shared" si="492"/>
        <v>744.13000000000011</v>
      </c>
      <c r="I364" s="300">
        <f t="shared" si="496"/>
        <v>79354.650000000038</v>
      </c>
      <c r="J364" s="300">
        <f t="shared" si="497"/>
        <v>68450.740000000034</v>
      </c>
      <c r="K364" s="300">
        <f t="shared" si="498"/>
        <v>4126.7699999999859</v>
      </c>
      <c r="L364" s="449">
        <f t="shared" si="479"/>
        <v>25</v>
      </c>
      <c r="M364" s="449">
        <f t="shared" si="543"/>
        <v>305</v>
      </c>
      <c r="N364" s="300">
        <f t="shared" si="544"/>
        <v>75925.920000000144</v>
      </c>
      <c r="O364" s="300">
        <f t="shared" si="510"/>
        <v>1617.67</v>
      </c>
      <c r="P364" s="300">
        <f t="shared" si="552"/>
        <v>1174.77</v>
      </c>
      <c r="Q364" s="300">
        <f t="shared" si="511"/>
        <v>442.9</v>
      </c>
      <c r="R364" s="300">
        <f t="shared" si="502"/>
        <v>134.16999999999999</v>
      </c>
      <c r="S364" s="300">
        <f t="shared" si="503"/>
        <v>188.55</v>
      </c>
      <c r="T364" s="300">
        <f t="shared" si="499"/>
        <v>1940.39</v>
      </c>
      <c r="U364" s="300">
        <f t="shared" si="553"/>
        <v>168397.35000000021</v>
      </c>
      <c r="V364" s="300">
        <f t="shared" si="554"/>
        <v>326609.66999999993</v>
      </c>
      <c r="W364" s="300">
        <f t="shared" si="500"/>
        <v>74751.15000000014</v>
      </c>
      <c r="X364" s="535">
        <f t="shared" si="545"/>
        <v>54879</v>
      </c>
      <c r="Y364" s="300">
        <f t="shared" si="512"/>
        <v>248200.83000000022</v>
      </c>
      <c r="Z364" s="527">
        <f t="shared" si="537"/>
        <v>7.0000000000000007E-2</v>
      </c>
      <c r="AA364" s="300">
        <f t="shared" si="538"/>
        <v>1746.44</v>
      </c>
      <c r="AB364" s="300">
        <f t="shared" si="513"/>
        <v>298.60000000000014</v>
      </c>
      <c r="AC364" s="300">
        <f t="shared" si="539"/>
        <v>1447.84</v>
      </c>
      <c r="AD364" s="300">
        <f t="shared" ref="AD364:AE364" si="583">+AD363</f>
        <v>134.16999999999999</v>
      </c>
      <c r="AE364" s="300">
        <f t="shared" si="583"/>
        <v>188.55</v>
      </c>
      <c r="AF364" s="300">
        <f t="shared" si="515"/>
        <v>2069.1600000000003</v>
      </c>
      <c r="AG364" s="300">
        <f t="shared" si="516"/>
        <v>67021.869999999981</v>
      </c>
      <c r="AH364" s="300">
        <f t="shared" si="517"/>
        <v>458342.5700000003</v>
      </c>
      <c r="AI364" s="545">
        <f t="shared" si="505"/>
        <v>-30357.420000000086</v>
      </c>
      <c r="AJ364" s="545">
        <f t="shared" si="566"/>
        <v>-173151.08000000007</v>
      </c>
      <c r="AK364" s="545">
        <f t="shared" si="506"/>
        <v>-203508.50000000017</v>
      </c>
      <c r="AL364" s="300">
        <f t="shared" si="518"/>
        <v>247902.23000000021</v>
      </c>
      <c r="AM364" s="449">
        <f t="shared" si="547"/>
        <v>25</v>
      </c>
      <c r="AN364" s="14">
        <f t="shared" si="507"/>
        <v>1196.26</v>
      </c>
      <c r="AO364" s="14">
        <f t="shared" si="477"/>
        <v>142711.86999999982</v>
      </c>
      <c r="AP364" s="14">
        <f t="shared" si="508"/>
        <v>1325.03</v>
      </c>
      <c r="AS364" s="14">
        <f t="shared" si="541"/>
        <v>1196.26</v>
      </c>
      <c r="AT364" s="14">
        <f t="shared" si="548"/>
        <v>365575.00000000157</v>
      </c>
      <c r="AU364" s="300">
        <f t="shared" si="549"/>
        <v>1452.9834728148835</v>
      </c>
      <c r="AV364" s="300">
        <f t="shared" si="550"/>
        <v>339497.87259876827</v>
      </c>
    </row>
    <row r="365" spans="1:48" x14ac:dyDescent="0.25">
      <c r="A365" s="535">
        <f t="shared" si="494"/>
        <v>54909</v>
      </c>
      <c r="B365" s="300">
        <f t="shared" si="542"/>
        <v>4126.7699999999859</v>
      </c>
      <c r="C365" s="14">
        <f t="shared" si="535"/>
        <v>421.41</v>
      </c>
      <c r="D365" s="14">
        <f t="shared" si="551"/>
        <v>405.93</v>
      </c>
      <c r="E365" s="14">
        <f t="shared" si="536"/>
        <v>15.48</v>
      </c>
      <c r="F365" s="14">
        <f t="shared" si="495"/>
        <v>134.16999999999999</v>
      </c>
      <c r="G365" s="14">
        <f t="shared" si="491"/>
        <v>188.55</v>
      </c>
      <c r="H365" s="14">
        <f t="shared" si="492"/>
        <v>744.13000000000011</v>
      </c>
      <c r="I365" s="300">
        <f t="shared" si="496"/>
        <v>79760.580000000031</v>
      </c>
      <c r="J365" s="300">
        <f t="shared" si="497"/>
        <v>68466.22000000003</v>
      </c>
      <c r="K365" s="300">
        <f t="shared" si="498"/>
        <v>3720.839999999986</v>
      </c>
      <c r="L365" s="449">
        <f t="shared" si="479"/>
        <v>25</v>
      </c>
      <c r="M365" s="449">
        <f t="shared" si="543"/>
        <v>306</v>
      </c>
      <c r="N365" s="300">
        <f t="shared" si="544"/>
        <v>74751.15000000014</v>
      </c>
      <c r="O365" s="300">
        <f t="shared" si="510"/>
        <v>1617.67</v>
      </c>
      <c r="P365" s="300">
        <f t="shared" si="552"/>
        <v>1181.6200000000001</v>
      </c>
      <c r="Q365" s="300">
        <f t="shared" si="511"/>
        <v>436.05</v>
      </c>
      <c r="R365" s="300">
        <f t="shared" si="502"/>
        <v>134.16999999999999</v>
      </c>
      <c r="S365" s="300">
        <f t="shared" si="503"/>
        <v>188.55</v>
      </c>
      <c r="T365" s="300">
        <f t="shared" si="499"/>
        <v>1940.39</v>
      </c>
      <c r="U365" s="300">
        <f t="shared" si="553"/>
        <v>169578.9700000002</v>
      </c>
      <c r="V365" s="300">
        <f t="shared" si="554"/>
        <v>327045.71999999991</v>
      </c>
      <c r="W365" s="300">
        <f t="shared" si="500"/>
        <v>73569.530000000144</v>
      </c>
      <c r="X365" s="535">
        <f t="shared" si="545"/>
        <v>54909</v>
      </c>
      <c r="Y365" s="300">
        <f t="shared" si="512"/>
        <v>247902.23000000021</v>
      </c>
      <c r="Z365" s="527">
        <f t="shared" si="537"/>
        <v>7.0000000000000007E-2</v>
      </c>
      <c r="AA365" s="300">
        <f t="shared" si="538"/>
        <v>1746.44</v>
      </c>
      <c r="AB365" s="300">
        <f t="shared" si="513"/>
        <v>300.34000000000015</v>
      </c>
      <c r="AC365" s="300">
        <f t="shared" si="539"/>
        <v>1446.1</v>
      </c>
      <c r="AD365" s="300">
        <f t="shared" ref="AD365:AE365" si="584">+AD364</f>
        <v>134.16999999999999</v>
      </c>
      <c r="AE365" s="300">
        <f t="shared" si="584"/>
        <v>188.55</v>
      </c>
      <c r="AF365" s="300">
        <f t="shared" si="515"/>
        <v>2069.1600000000003</v>
      </c>
      <c r="AG365" s="300">
        <f t="shared" si="516"/>
        <v>67322.209999999977</v>
      </c>
      <c r="AH365" s="300">
        <f t="shared" si="517"/>
        <v>459788.67000000027</v>
      </c>
      <c r="AI365" s="545">
        <f t="shared" si="505"/>
        <v>-30486.190000000086</v>
      </c>
      <c r="AJ365" s="545">
        <f t="shared" si="566"/>
        <v>-174032.36000000007</v>
      </c>
      <c r="AK365" s="545">
        <f t="shared" si="506"/>
        <v>-204518.55000000016</v>
      </c>
      <c r="AL365" s="300">
        <f t="shared" si="518"/>
        <v>247601.89000000022</v>
      </c>
      <c r="AM365" s="449">
        <f t="shared" si="547"/>
        <v>25</v>
      </c>
      <c r="AN365" s="14">
        <f t="shared" si="507"/>
        <v>1196.26</v>
      </c>
      <c r="AO365" s="14">
        <f t="shared" ref="AO365:AO428" si="585">IF(W365&lt;=0,0,+$AA$5-$C$2+I365-U365)</f>
        <v>141936.17999999982</v>
      </c>
      <c r="AP365" s="14">
        <f t="shared" si="508"/>
        <v>1325.03</v>
      </c>
      <c r="AS365" s="14">
        <f t="shared" si="541"/>
        <v>1196.26</v>
      </c>
      <c r="AT365" s="14">
        <f t="shared" si="548"/>
        <v>366771.26000000158</v>
      </c>
      <c r="AU365" s="300">
        <f t="shared" si="549"/>
        <v>1456.6159314969207</v>
      </c>
      <c r="AV365" s="300">
        <f t="shared" si="550"/>
        <v>340954.48853026517</v>
      </c>
    </row>
    <row r="366" spans="1:48" x14ac:dyDescent="0.25">
      <c r="A366" s="535">
        <f t="shared" si="494"/>
        <v>54939</v>
      </c>
      <c r="B366" s="300">
        <f t="shared" si="542"/>
        <v>3720.839999999986</v>
      </c>
      <c r="C366" s="14">
        <f t="shared" si="535"/>
        <v>421.41</v>
      </c>
      <c r="D366" s="14">
        <f t="shared" si="551"/>
        <v>407.46000000000004</v>
      </c>
      <c r="E366" s="14">
        <f t="shared" si="536"/>
        <v>13.95</v>
      </c>
      <c r="F366" s="14">
        <f t="shared" si="495"/>
        <v>134.16999999999999</v>
      </c>
      <c r="G366" s="14">
        <f t="shared" si="491"/>
        <v>188.55</v>
      </c>
      <c r="H366" s="14">
        <f t="shared" si="492"/>
        <v>744.13000000000011</v>
      </c>
      <c r="I366" s="300">
        <f t="shared" si="496"/>
        <v>80168.040000000037</v>
      </c>
      <c r="J366" s="300">
        <f t="shared" si="497"/>
        <v>68480.170000000027</v>
      </c>
      <c r="K366" s="300">
        <f t="shared" si="498"/>
        <v>3313.379999999986</v>
      </c>
      <c r="L366" s="449">
        <f t="shared" si="479"/>
        <v>25</v>
      </c>
      <c r="M366" s="449">
        <f t="shared" si="543"/>
        <v>307</v>
      </c>
      <c r="N366" s="300">
        <f t="shared" si="544"/>
        <v>73569.530000000144</v>
      </c>
      <c r="O366" s="300">
        <f t="shared" si="510"/>
        <v>1617.67</v>
      </c>
      <c r="P366" s="300">
        <f t="shared" si="552"/>
        <v>1188.51</v>
      </c>
      <c r="Q366" s="300">
        <f t="shared" si="511"/>
        <v>429.16</v>
      </c>
      <c r="R366" s="300">
        <f t="shared" si="502"/>
        <v>134.16999999999999</v>
      </c>
      <c r="S366" s="300">
        <f t="shared" si="503"/>
        <v>188.55</v>
      </c>
      <c r="T366" s="300">
        <f t="shared" si="499"/>
        <v>1940.39</v>
      </c>
      <c r="U366" s="300">
        <f t="shared" si="553"/>
        <v>170767.48000000021</v>
      </c>
      <c r="V366" s="300">
        <f t="shared" si="554"/>
        <v>327474.87999999989</v>
      </c>
      <c r="W366" s="300">
        <f t="shared" si="500"/>
        <v>72381.02000000015</v>
      </c>
      <c r="X366" s="535">
        <f t="shared" si="545"/>
        <v>54939</v>
      </c>
      <c r="Y366" s="300">
        <f t="shared" si="512"/>
        <v>247601.89000000022</v>
      </c>
      <c r="Z366" s="527">
        <f t="shared" si="537"/>
        <v>7.0000000000000007E-2</v>
      </c>
      <c r="AA366" s="300">
        <f t="shared" si="538"/>
        <v>1746.44</v>
      </c>
      <c r="AB366" s="300">
        <f t="shared" si="513"/>
        <v>302.10000000000014</v>
      </c>
      <c r="AC366" s="300">
        <f t="shared" si="539"/>
        <v>1444.34</v>
      </c>
      <c r="AD366" s="300">
        <f t="shared" ref="AD366:AE366" si="586">+AD365</f>
        <v>134.16999999999999</v>
      </c>
      <c r="AE366" s="300">
        <f t="shared" si="586"/>
        <v>188.55</v>
      </c>
      <c r="AF366" s="300">
        <f t="shared" si="515"/>
        <v>2069.1600000000003</v>
      </c>
      <c r="AG366" s="300">
        <f t="shared" si="516"/>
        <v>67624.309999999983</v>
      </c>
      <c r="AH366" s="300">
        <f t="shared" si="517"/>
        <v>461233.0100000003</v>
      </c>
      <c r="AI366" s="545">
        <f t="shared" si="505"/>
        <v>-30614.960000000086</v>
      </c>
      <c r="AJ366" s="545">
        <f t="shared" si="566"/>
        <v>-174918.77000000008</v>
      </c>
      <c r="AK366" s="545">
        <f t="shared" si="506"/>
        <v>-205533.73000000016</v>
      </c>
      <c r="AL366" s="300">
        <f t="shared" si="518"/>
        <v>247299.79000000021</v>
      </c>
      <c r="AM366" s="449">
        <f t="shared" si="547"/>
        <v>25</v>
      </c>
      <c r="AN366" s="14">
        <f t="shared" si="507"/>
        <v>1196.26</v>
      </c>
      <c r="AO366" s="14">
        <f t="shared" si="585"/>
        <v>141155.12999999977</v>
      </c>
      <c r="AP366" s="14">
        <f t="shared" si="508"/>
        <v>1325.03</v>
      </c>
      <c r="AS366" s="14">
        <f t="shared" si="541"/>
        <v>1196.26</v>
      </c>
      <c r="AT366" s="14">
        <f t="shared" si="548"/>
        <v>367967.52000000159</v>
      </c>
      <c r="AU366" s="300">
        <f t="shared" si="549"/>
        <v>1460.2574713256629</v>
      </c>
      <c r="AV366" s="300">
        <f t="shared" si="550"/>
        <v>342414.74600159086</v>
      </c>
    </row>
    <row r="367" spans="1:48" x14ac:dyDescent="0.25">
      <c r="A367" s="535">
        <f t="shared" si="494"/>
        <v>54969</v>
      </c>
      <c r="B367" s="300">
        <f t="shared" si="542"/>
        <v>3313.379999999986</v>
      </c>
      <c r="C367" s="14">
        <f t="shared" si="535"/>
        <v>421.41</v>
      </c>
      <c r="D367" s="14">
        <f t="shared" si="551"/>
        <v>408.98</v>
      </c>
      <c r="E367" s="14">
        <f t="shared" si="536"/>
        <v>12.43</v>
      </c>
      <c r="F367" s="14">
        <f t="shared" si="495"/>
        <v>134.16999999999999</v>
      </c>
      <c r="G367" s="14">
        <f t="shared" si="491"/>
        <v>188.55</v>
      </c>
      <c r="H367" s="14">
        <f t="shared" si="492"/>
        <v>744.13000000000011</v>
      </c>
      <c r="I367" s="300">
        <f t="shared" si="496"/>
        <v>80577.020000000033</v>
      </c>
      <c r="J367" s="300">
        <f t="shared" si="497"/>
        <v>68492.60000000002</v>
      </c>
      <c r="K367" s="300">
        <f t="shared" si="498"/>
        <v>2904.399999999986</v>
      </c>
      <c r="L367" s="449">
        <f t="shared" ref="L367:L430" si="587">IF(MOD(M367,12)=0,M367/12,L366)</f>
        <v>25</v>
      </c>
      <c r="M367" s="449">
        <f t="shared" si="543"/>
        <v>308</v>
      </c>
      <c r="N367" s="300">
        <f t="shared" si="544"/>
        <v>72381.02000000015</v>
      </c>
      <c r="O367" s="300">
        <f t="shared" si="510"/>
        <v>1617.67</v>
      </c>
      <c r="P367" s="300">
        <f t="shared" si="552"/>
        <v>1195.45</v>
      </c>
      <c r="Q367" s="300">
        <f t="shared" si="511"/>
        <v>422.22</v>
      </c>
      <c r="R367" s="300">
        <f t="shared" si="502"/>
        <v>134.16999999999999</v>
      </c>
      <c r="S367" s="300">
        <f t="shared" si="503"/>
        <v>188.55</v>
      </c>
      <c r="T367" s="300">
        <f t="shared" si="499"/>
        <v>1940.39</v>
      </c>
      <c r="U367" s="300">
        <f t="shared" si="553"/>
        <v>171962.93000000023</v>
      </c>
      <c r="V367" s="300">
        <f t="shared" si="554"/>
        <v>327897.09999999986</v>
      </c>
      <c r="W367" s="300">
        <f t="shared" si="500"/>
        <v>71185.570000000153</v>
      </c>
      <c r="X367" s="535">
        <f t="shared" si="545"/>
        <v>54969</v>
      </c>
      <c r="Y367" s="300">
        <f t="shared" si="512"/>
        <v>247299.79000000021</v>
      </c>
      <c r="Z367" s="527">
        <f t="shared" si="537"/>
        <v>7.0000000000000007E-2</v>
      </c>
      <c r="AA367" s="300">
        <f t="shared" si="538"/>
        <v>1746.44</v>
      </c>
      <c r="AB367" s="300">
        <f t="shared" si="513"/>
        <v>303.86000000000013</v>
      </c>
      <c r="AC367" s="300">
        <f t="shared" si="539"/>
        <v>1442.58</v>
      </c>
      <c r="AD367" s="300">
        <f t="shared" ref="AD367:AE367" si="588">+AD366</f>
        <v>134.16999999999999</v>
      </c>
      <c r="AE367" s="300">
        <f t="shared" si="588"/>
        <v>188.55</v>
      </c>
      <c r="AF367" s="300">
        <f t="shared" si="515"/>
        <v>2069.1600000000003</v>
      </c>
      <c r="AG367" s="300">
        <f t="shared" si="516"/>
        <v>67928.169999999984</v>
      </c>
      <c r="AH367" s="300">
        <f t="shared" si="517"/>
        <v>462675.59000000032</v>
      </c>
      <c r="AI367" s="545">
        <f t="shared" si="505"/>
        <v>-30743.730000000087</v>
      </c>
      <c r="AJ367" s="545">
        <f t="shared" si="566"/>
        <v>-175810.36000000007</v>
      </c>
      <c r="AK367" s="545">
        <f t="shared" si="506"/>
        <v>-206554.09000000017</v>
      </c>
      <c r="AL367" s="300">
        <f t="shared" si="518"/>
        <v>246995.93000000023</v>
      </c>
      <c r="AM367" s="449">
        <f t="shared" si="547"/>
        <v>25</v>
      </c>
      <c r="AN367" s="14">
        <f t="shared" si="507"/>
        <v>1196.26</v>
      </c>
      <c r="AO367" s="14">
        <f t="shared" si="585"/>
        <v>140368.6599999998</v>
      </c>
      <c r="AP367" s="14">
        <f t="shared" si="508"/>
        <v>1325.03</v>
      </c>
      <c r="AS367" s="14">
        <f t="shared" si="541"/>
        <v>1196.26</v>
      </c>
      <c r="AT367" s="14">
        <f t="shared" si="548"/>
        <v>369163.7800000016</v>
      </c>
      <c r="AU367" s="300">
        <f t="shared" si="549"/>
        <v>1463.9081150039772</v>
      </c>
      <c r="AV367" s="300">
        <f t="shared" si="550"/>
        <v>343878.65411659481</v>
      </c>
    </row>
    <row r="368" spans="1:48" x14ac:dyDescent="0.25">
      <c r="A368" s="535">
        <f t="shared" si="494"/>
        <v>54999</v>
      </c>
      <c r="B368" s="300">
        <f t="shared" si="542"/>
        <v>2904.399999999986</v>
      </c>
      <c r="C368" s="14">
        <f t="shared" si="535"/>
        <v>421.41</v>
      </c>
      <c r="D368" s="14">
        <f t="shared" si="551"/>
        <v>410.52000000000004</v>
      </c>
      <c r="E368" s="14">
        <f t="shared" si="536"/>
        <v>10.89</v>
      </c>
      <c r="F368" s="14">
        <f t="shared" si="495"/>
        <v>134.16999999999999</v>
      </c>
      <c r="G368" s="14">
        <f t="shared" si="491"/>
        <v>188.55</v>
      </c>
      <c r="H368" s="14">
        <f t="shared" si="492"/>
        <v>744.13000000000011</v>
      </c>
      <c r="I368" s="300">
        <f t="shared" si="496"/>
        <v>80987.540000000037</v>
      </c>
      <c r="J368" s="300">
        <f t="shared" si="497"/>
        <v>68503.49000000002</v>
      </c>
      <c r="K368" s="300">
        <f t="shared" si="498"/>
        <v>2493.879999999986</v>
      </c>
      <c r="L368" s="449">
        <f t="shared" si="587"/>
        <v>25</v>
      </c>
      <c r="M368" s="449">
        <f t="shared" si="543"/>
        <v>309</v>
      </c>
      <c r="N368" s="300">
        <f t="shared" si="544"/>
        <v>71185.570000000153</v>
      </c>
      <c r="O368" s="300">
        <f t="shared" si="510"/>
        <v>1617.67</v>
      </c>
      <c r="P368" s="300">
        <f t="shared" si="552"/>
        <v>1202.42</v>
      </c>
      <c r="Q368" s="300">
        <f t="shared" si="511"/>
        <v>415.25</v>
      </c>
      <c r="R368" s="300">
        <f t="shared" si="502"/>
        <v>134.16999999999999</v>
      </c>
      <c r="S368" s="300">
        <f t="shared" si="503"/>
        <v>188.55</v>
      </c>
      <c r="T368" s="300">
        <f t="shared" si="499"/>
        <v>1940.39</v>
      </c>
      <c r="U368" s="300">
        <f t="shared" si="553"/>
        <v>173165.35000000024</v>
      </c>
      <c r="V368" s="300">
        <f t="shared" si="554"/>
        <v>328312.34999999986</v>
      </c>
      <c r="W368" s="300">
        <f t="shared" si="500"/>
        <v>69983.150000000154</v>
      </c>
      <c r="X368" s="535">
        <f t="shared" si="545"/>
        <v>54999</v>
      </c>
      <c r="Y368" s="300">
        <f t="shared" si="512"/>
        <v>246995.93000000023</v>
      </c>
      <c r="Z368" s="527">
        <f t="shared" si="537"/>
        <v>7.0000000000000007E-2</v>
      </c>
      <c r="AA368" s="300">
        <f t="shared" si="538"/>
        <v>1746.44</v>
      </c>
      <c r="AB368" s="300">
        <f t="shared" si="513"/>
        <v>305.63000000000011</v>
      </c>
      <c r="AC368" s="300">
        <f t="shared" si="539"/>
        <v>1440.81</v>
      </c>
      <c r="AD368" s="300">
        <f t="shared" ref="AD368:AE368" si="589">+AD367</f>
        <v>134.16999999999999</v>
      </c>
      <c r="AE368" s="300">
        <f t="shared" si="589"/>
        <v>188.55</v>
      </c>
      <c r="AF368" s="300">
        <f t="shared" si="515"/>
        <v>2069.1600000000003</v>
      </c>
      <c r="AG368" s="300">
        <f t="shared" si="516"/>
        <v>68233.799999999988</v>
      </c>
      <c r="AH368" s="300">
        <f t="shared" si="517"/>
        <v>464116.40000000031</v>
      </c>
      <c r="AI368" s="545">
        <f t="shared" si="505"/>
        <v>-30872.500000000087</v>
      </c>
      <c r="AJ368" s="545">
        <f t="shared" si="566"/>
        <v>-176707.15000000008</v>
      </c>
      <c r="AK368" s="545">
        <f t="shared" si="506"/>
        <v>-207579.65000000017</v>
      </c>
      <c r="AL368" s="300">
        <f t="shared" si="518"/>
        <v>246690.30000000022</v>
      </c>
      <c r="AM368" s="449">
        <f t="shared" si="547"/>
        <v>25</v>
      </c>
      <c r="AN368" s="14">
        <f t="shared" si="507"/>
        <v>1196.26</v>
      </c>
      <c r="AO368" s="14">
        <f t="shared" si="585"/>
        <v>139576.75999999975</v>
      </c>
      <c r="AP368" s="14">
        <f t="shared" si="508"/>
        <v>1325.03</v>
      </c>
      <c r="AS368" s="14">
        <f t="shared" si="541"/>
        <v>1196.26</v>
      </c>
      <c r="AT368" s="14">
        <f t="shared" si="548"/>
        <v>370360.04000000161</v>
      </c>
      <c r="AU368" s="300">
        <f t="shared" si="549"/>
        <v>1467.5678852914871</v>
      </c>
      <c r="AV368" s="300">
        <f t="shared" si="550"/>
        <v>345346.22200188629</v>
      </c>
    </row>
    <row r="369" spans="1:48" x14ac:dyDescent="0.25">
      <c r="A369" s="535">
        <f t="shared" si="494"/>
        <v>55029</v>
      </c>
      <c r="B369" s="300">
        <f t="shared" si="542"/>
        <v>2493.879999999986</v>
      </c>
      <c r="C369" s="14">
        <f t="shared" si="535"/>
        <v>421.41</v>
      </c>
      <c r="D369" s="14">
        <f t="shared" si="551"/>
        <v>412.06</v>
      </c>
      <c r="E369" s="14">
        <f t="shared" si="536"/>
        <v>9.35</v>
      </c>
      <c r="F369" s="14">
        <f t="shared" si="495"/>
        <v>134.16999999999999</v>
      </c>
      <c r="G369" s="14">
        <f t="shared" si="491"/>
        <v>188.55</v>
      </c>
      <c r="H369" s="14">
        <f t="shared" si="492"/>
        <v>744.13000000000011</v>
      </c>
      <c r="I369" s="300">
        <f t="shared" si="496"/>
        <v>81399.600000000035</v>
      </c>
      <c r="J369" s="300">
        <f t="shared" si="497"/>
        <v>68512.840000000026</v>
      </c>
      <c r="K369" s="300">
        <f t="shared" si="498"/>
        <v>2081.8199999999861</v>
      </c>
      <c r="L369" s="449">
        <f t="shared" si="587"/>
        <v>25</v>
      </c>
      <c r="M369" s="449">
        <f t="shared" si="543"/>
        <v>310</v>
      </c>
      <c r="N369" s="300">
        <f t="shared" si="544"/>
        <v>69983.150000000154</v>
      </c>
      <c r="O369" s="300">
        <f t="shared" si="510"/>
        <v>1617.67</v>
      </c>
      <c r="P369" s="300">
        <f t="shared" si="552"/>
        <v>1209.43</v>
      </c>
      <c r="Q369" s="300">
        <f t="shared" si="511"/>
        <v>408.24</v>
      </c>
      <c r="R369" s="300">
        <f t="shared" si="502"/>
        <v>134.16999999999999</v>
      </c>
      <c r="S369" s="300">
        <f t="shared" si="503"/>
        <v>188.55</v>
      </c>
      <c r="T369" s="300">
        <f t="shared" si="499"/>
        <v>1940.39</v>
      </c>
      <c r="U369" s="300">
        <f t="shared" si="553"/>
        <v>174374.78000000023</v>
      </c>
      <c r="V369" s="300">
        <f t="shared" si="554"/>
        <v>328720.58999999985</v>
      </c>
      <c r="W369" s="300">
        <f t="shared" si="500"/>
        <v>68773.720000000161</v>
      </c>
      <c r="X369" s="535">
        <f t="shared" si="545"/>
        <v>55029</v>
      </c>
      <c r="Y369" s="300">
        <f t="shared" si="512"/>
        <v>246690.30000000022</v>
      </c>
      <c r="Z369" s="527">
        <f t="shared" si="537"/>
        <v>7.0000000000000007E-2</v>
      </c>
      <c r="AA369" s="300">
        <f t="shared" si="538"/>
        <v>1746.44</v>
      </c>
      <c r="AB369" s="300">
        <f t="shared" si="513"/>
        <v>307.41000000000008</v>
      </c>
      <c r="AC369" s="300">
        <f t="shared" si="539"/>
        <v>1439.03</v>
      </c>
      <c r="AD369" s="300">
        <f t="shared" ref="AD369:AE369" si="590">+AD368</f>
        <v>134.16999999999999</v>
      </c>
      <c r="AE369" s="300">
        <f t="shared" si="590"/>
        <v>188.55</v>
      </c>
      <c r="AF369" s="300">
        <f t="shared" si="515"/>
        <v>2069.1600000000003</v>
      </c>
      <c r="AG369" s="300">
        <f t="shared" si="516"/>
        <v>68541.209999999992</v>
      </c>
      <c r="AH369" s="300">
        <f t="shared" si="517"/>
        <v>465555.43000000034</v>
      </c>
      <c r="AI369" s="545">
        <f t="shared" si="505"/>
        <v>-31001.270000000088</v>
      </c>
      <c r="AJ369" s="545">
        <f t="shared" si="566"/>
        <v>-177609.17000000004</v>
      </c>
      <c r="AK369" s="545">
        <f t="shared" si="506"/>
        <v>-208610.44000000012</v>
      </c>
      <c r="AL369" s="300">
        <f t="shared" si="518"/>
        <v>246382.89000000022</v>
      </c>
      <c r="AM369" s="449">
        <f t="shared" si="547"/>
        <v>25</v>
      </c>
      <c r="AN369" s="14">
        <f t="shared" si="507"/>
        <v>1196.26</v>
      </c>
      <c r="AO369" s="14">
        <f t="shared" si="585"/>
        <v>138779.38999999981</v>
      </c>
      <c r="AP369" s="14">
        <f t="shared" si="508"/>
        <v>1325.03</v>
      </c>
      <c r="AS369" s="14">
        <f t="shared" si="541"/>
        <v>1196.26</v>
      </c>
      <c r="AT369" s="14">
        <f t="shared" si="548"/>
        <v>371556.30000000162</v>
      </c>
      <c r="AU369" s="300">
        <f t="shared" si="549"/>
        <v>1471.2368050047155</v>
      </c>
      <c r="AV369" s="300">
        <f t="shared" si="550"/>
        <v>346817.45880689099</v>
      </c>
    </row>
    <row r="370" spans="1:48" x14ac:dyDescent="0.25">
      <c r="A370" s="535">
        <f t="shared" si="494"/>
        <v>55059</v>
      </c>
      <c r="B370" s="300">
        <f t="shared" si="542"/>
        <v>2081.8199999999861</v>
      </c>
      <c r="C370" s="14">
        <f t="shared" si="535"/>
        <v>421.41</v>
      </c>
      <c r="D370" s="14">
        <f t="shared" si="551"/>
        <v>413.6</v>
      </c>
      <c r="E370" s="14">
        <f t="shared" si="536"/>
        <v>7.81</v>
      </c>
      <c r="F370" s="14">
        <f t="shared" si="495"/>
        <v>134.16999999999999</v>
      </c>
      <c r="G370" s="14">
        <f t="shared" si="491"/>
        <v>188.55</v>
      </c>
      <c r="H370" s="14">
        <f t="shared" si="492"/>
        <v>744.13000000000011</v>
      </c>
      <c r="I370" s="300">
        <f t="shared" si="496"/>
        <v>81813.200000000041</v>
      </c>
      <c r="J370" s="300">
        <f t="shared" si="497"/>
        <v>68520.650000000023</v>
      </c>
      <c r="K370" s="300">
        <f t="shared" si="498"/>
        <v>1668.2199999999862</v>
      </c>
      <c r="L370" s="449">
        <f t="shared" si="587"/>
        <v>25</v>
      </c>
      <c r="M370" s="449">
        <f t="shared" si="543"/>
        <v>311</v>
      </c>
      <c r="N370" s="300">
        <f t="shared" si="544"/>
        <v>68773.720000000161</v>
      </c>
      <c r="O370" s="300">
        <f t="shared" si="510"/>
        <v>1617.67</v>
      </c>
      <c r="P370" s="300">
        <f t="shared" si="552"/>
        <v>1216.49</v>
      </c>
      <c r="Q370" s="300">
        <f t="shared" si="511"/>
        <v>401.18</v>
      </c>
      <c r="R370" s="300">
        <f t="shared" si="502"/>
        <v>134.16999999999999</v>
      </c>
      <c r="S370" s="300">
        <f t="shared" si="503"/>
        <v>188.55</v>
      </c>
      <c r="T370" s="300">
        <f t="shared" si="499"/>
        <v>1940.39</v>
      </c>
      <c r="U370" s="300">
        <f t="shared" si="553"/>
        <v>175591.27000000022</v>
      </c>
      <c r="V370" s="300">
        <f t="shared" si="554"/>
        <v>329121.76999999984</v>
      </c>
      <c r="W370" s="300">
        <f t="shared" si="500"/>
        <v>67557.230000000156</v>
      </c>
      <c r="X370" s="535">
        <f t="shared" si="545"/>
        <v>55059</v>
      </c>
      <c r="Y370" s="300">
        <f t="shared" si="512"/>
        <v>246382.89000000022</v>
      </c>
      <c r="Z370" s="527">
        <f t="shared" si="537"/>
        <v>7.0000000000000007E-2</v>
      </c>
      <c r="AA370" s="300">
        <f t="shared" si="538"/>
        <v>1746.44</v>
      </c>
      <c r="AB370" s="300">
        <f t="shared" si="513"/>
        <v>309.21000000000004</v>
      </c>
      <c r="AC370" s="300">
        <f t="shared" si="539"/>
        <v>1437.23</v>
      </c>
      <c r="AD370" s="300">
        <f t="shared" ref="AD370:AE370" si="591">+AD369</f>
        <v>134.16999999999999</v>
      </c>
      <c r="AE370" s="300">
        <f t="shared" si="591"/>
        <v>188.55</v>
      </c>
      <c r="AF370" s="300">
        <f t="shared" si="515"/>
        <v>2069.1600000000003</v>
      </c>
      <c r="AG370" s="300">
        <f t="shared" si="516"/>
        <v>68850.42</v>
      </c>
      <c r="AH370" s="300">
        <f t="shared" si="517"/>
        <v>466992.66000000032</v>
      </c>
      <c r="AI370" s="545">
        <f t="shared" si="505"/>
        <v>-31130.040000000088</v>
      </c>
      <c r="AJ370" s="545">
        <f t="shared" si="566"/>
        <v>-178516.45000000007</v>
      </c>
      <c r="AK370" s="545">
        <f t="shared" si="506"/>
        <v>-209646.49000000017</v>
      </c>
      <c r="AL370" s="300">
        <f t="shared" si="518"/>
        <v>246073.68000000023</v>
      </c>
      <c r="AM370" s="449">
        <f t="shared" si="547"/>
        <v>25</v>
      </c>
      <c r="AN370" s="14">
        <f t="shared" si="507"/>
        <v>1196.26</v>
      </c>
      <c r="AO370" s="14">
        <f t="shared" si="585"/>
        <v>137976.4999999998</v>
      </c>
      <c r="AP370" s="14">
        <f t="shared" si="508"/>
        <v>1325.03</v>
      </c>
      <c r="AS370" s="14">
        <f t="shared" si="541"/>
        <v>1196.26</v>
      </c>
      <c r="AT370" s="14">
        <f t="shared" si="548"/>
        <v>372752.56000000163</v>
      </c>
      <c r="AU370" s="300">
        <f t="shared" si="549"/>
        <v>1474.9148970172273</v>
      </c>
      <c r="AV370" s="300">
        <f t="shared" si="550"/>
        <v>348292.37370390823</v>
      </c>
    </row>
    <row r="371" spans="1:48" x14ac:dyDescent="0.25">
      <c r="A371" s="535">
        <f t="shared" si="494"/>
        <v>55089</v>
      </c>
      <c r="B371" s="300">
        <f t="shared" si="542"/>
        <v>1668.2199999999862</v>
      </c>
      <c r="C371" s="14">
        <f t="shared" si="535"/>
        <v>421.41</v>
      </c>
      <c r="D371" s="14">
        <f t="shared" si="551"/>
        <v>415.15000000000003</v>
      </c>
      <c r="E371" s="14">
        <f t="shared" si="536"/>
        <v>6.26</v>
      </c>
      <c r="F371" s="14">
        <f t="shared" si="495"/>
        <v>134.16999999999999</v>
      </c>
      <c r="G371" s="14">
        <f t="shared" si="491"/>
        <v>188.55</v>
      </c>
      <c r="H371" s="14">
        <f t="shared" si="492"/>
        <v>744.13000000000011</v>
      </c>
      <c r="I371" s="300">
        <f t="shared" si="496"/>
        <v>82228.350000000035</v>
      </c>
      <c r="J371" s="300">
        <f t="shared" si="497"/>
        <v>68526.910000000018</v>
      </c>
      <c r="K371" s="300">
        <f t="shared" si="498"/>
        <v>1253.0699999999861</v>
      </c>
      <c r="L371" s="449">
        <f t="shared" si="587"/>
        <v>26</v>
      </c>
      <c r="M371" s="449">
        <f t="shared" si="543"/>
        <v>312</v>
      </c>
      <c r="N371" s="300">
        <f t="shared" si="544"/>
        <v>67557.230000000156</v>
      </c>
      <c r="O371" s="300">
        <f t="shared" si="510"/>
        <v>1617.67</v>
      </c>
      <c r="P371" s="300">
        <f t="shared" si="552"/>
        <v>1223.5900000000001</v>
      </c>
      <c r="Q371" s="300">
        <f t="shared" si="511"/>
        <v>394.08</v>
      </c>
      <c r="R371" s="300">
        <f t="shared" si="502"/>
        <v>134.16999999999999</v>
      </c>
      <c r="S371" s="300">
        <f t="shared" si="503"/>
        <v>188.55</v>
      </c>
      <c r="T371" s="300">
        <f t="shared" si="499"/>
        <v>1940.39</v>
      </c>
      <c r="U371" s="300">
        <f t="shared" si="553"/>
        <v>176814.86000000022</v>
      </c>
      <c r="V371" s="300">
        <f t="shared" si="554"/>
        <v>329515.84999999986</v>
      </c>
      <c r="W371" s="300">
        <f t="shared" si="500"/>
        <v>66333.640000000159</v>
      </c>
      <c r="X371" s="535">
        <f t="shared" si="545"/>
        <v>55089</v>
      </c>
      <c r="Y371" s="300">
        <f t="shared" si="512"/>
        <v>246073.68000000023</v>
      </c>
      <c r="Z371" s="527">
        <f t="shared" si="537"/>
        <v>7.0000000000000007E-2</v>
      </c>
      <c r="AA371" s="300">
        <f t="shared" si="538"/>
        <v>1746.44</v>
      </c>
      <c r="AB371" s="300">
        <f t="shared" si="513"/>
        <v>311.01</v>
      </c>
      <c r="AC371" s="300">
        <f t="shared" si="539"/>
        <v>1435.43</v>
      </c>
      <c r="AD371" s="300">
        <f t="shared" ref="AD371:AE371" si="592">+AD370</f>
        <v>134.16999999999999</v>
      </c>
      <c r="AE371" s="300">
        <f t="shared" si="592"/>
        <v>188.55</v>
      </c>
      <c r="AF371" s="300">
        <f t="shared" si="515"/>
        <v>2069.1600000000003</v>
      </c>
      <c r="AG371" s="300">
        <f t="shared" si="516"/>
        <v>69161.429999999993</v>
      </c>
      <c r="AH371" s="300">
        <f t="shared" si="517"/>
        <v>468428.09000000032</v>
      </c>
      <c r="AI371" s="545">
        <f t="shared" si="505"/>
        <v>-31258.810000000089</v>
      </c>
      <c r="AJ371" s="545">
        <f t="shared" si="566"/>
        <v>-179429.03000000006</v>
      </c>
      <c r="AK371" s="545">
        <f t="shared" si="506"/>
        <v>-210687.84000000014</v>
      </c>
      <c r="AL371" s="300">
        <f t="shared" si="518"/>
        <v>245762.67000000022</v>
      </c>
      <c r="AM371" s="449">
        <f t="shared" si="547"/>
        <v>26</v>
      </c>
      <c r="AN371" s="14">
        <f t="shared" si="507"/>
        <v>1196.26</v>
      </c>
      <c r="AO371" s="14">
        <f t="shared" si="585"/>
        <v>137168.05999999982</v>
      </c>
      <c r="AP371" s="14">
        <f t="shared" si="508"/>
        <v>1325.03</v>
      </c>
      <c r="AS371" s="14">
        <f t="shared" si="541"/>
        <v>1196.26</v>
      </c>
      <c r="AT371" s="14">
        <f t="shared" si="548"/>
        <v>373948.82000000164</v>
      </c>
      <c r="AU371" s="300">
        <f t="shared" si="549"/>
        <v>1478.6021842597704</v>
      </c>
      <c r="AV371" s="300">
        <f t="shared" si="550"/>
        <v>349770.97588816803</v>
      </c>
    </row>
    <row r="372" spans="1:48" x14ac:dyDescent="0.25">
      <c r="A372" s="535">
        <f t="shared" si="494"/>
        <v>55119</v>
      </c>
      <c r="B372" s="300">
        <f t="shared" si="542"/>
        <v>1253.0699999999861</v>
      </c>
      <c r="C372" s="14">
        <f t="shared" si="535"/>
        <v>421.41</v>
      </c>
      <c r="D372" s="14">
        <f t="shared" si="551"/>
        <v>416.71000000000004</v>
      </c>
      <c r="E372" s="14">
        <f t="shared" si="536"/>
        <v>4.7</v>
      </c>
      <c r="F372" s="14">
        <f t="shared" si="495"/>
        <v>134.16999999999999</v>
      </c>
      <c r="G372" s="14">
        <f t="shared" si="491"/>
        <v>188.55</v>
      </c>
      <c r="H372" s="14">
        <f t="shared" si="492"/>
        <v>744.13000000000011</v>
      </c>
      <c r="I372" s="300">
        <f t="shared" si="496"/>
        <v>82645.060000000041</v>
      </c>
      <c r="J372" s="300">
        <f t="shared" si="497"/>
        <v>68531.610000000015</v>
      </c>
      <c r="K372" s="300">
        <f t="shared" si="498"/>
        <v>836.35999999998603</v>
      </c>
      <c r="L372" s="449">
        <f t="shared" si="587"/>
        <v>26</v>
      </c>
      <c r="M372" s="449">
        <f t="shared" si="543"/>
        <v>313</v>
      </c>
      <c r="N372" s="300">
        <f t="shared" si="544"/>
        <v>66333.640000000159</v>
      </c>
      <c r="O372" s="300">
        <f t="shared" si="510"/>
        <v>1617.67</v>
      </c>
      <c r="P372" s="300">
        <f t="shared" si="552"/>
        <v>1230.72</v>
      </c>
      <c r="Q372" s="300">
        <f t="shared" si="511"/>
        <v>386.95</v>
      </c>
      <c r="R372" s="300">
        <f t="shared" si="502"/>
        <v>134.16999999999999</v>
      </c>
      <c r="S372" s="300">
        <f t="shared" si="503"/>
        <v>188.55</v>
      </c>
      <c r="T372" s="300">
        <f t="shared" si="499"/>
        <v>1940.39</v>
      </c>
      <c r="U372" s="300">
        <f t="shared" si="553"/>
        <v>178045.58000000022</v>
      </c>
      <c r="V372" s="300">
        <f t="shared" si="554"/>
        <v>329902.79999999987</v>
      </c>
      <c r="W372" s="300">
        <f t="shared" si="500"/>
        <v>65102.920000000158</v>
      </c>
      <c r="X372" s="535">
        <f t="shared" si="545"/>
        <v>55119</v>
      </c>
      <c r="Y372" s="300">
        <f t="shared" si="512"/>
        <v>245762.67000000022</v>
      </c>
      <c r="Z372" s="527">
        <f t="shared" si="537"/>
        <v>7.0000000000000007E-2</v>
      </c>
      <c r="AA372" s="300">
        <f t="shared" si="538"/>
        <v>1746.44</v>
      </c>
      <c r="AB372" s="300">
        <f t="shared" si="513"/>
        <v>312.82000000000016</v>
      </c>
      <c r="AC372" s="300">
        <f t="shared" si="539"/>
        <v>1433.62</v>
      </c>
      <c r="AD372" s="300">
        <f t="shared" ref="AD372:AE372" si="593">+AD371</f>
        <v>134.16999999999999</v>
      </c>
      <c r="AE372" s="300">
        <f t="shared" si="593"/>
        <v>188.55</v>
      </c>
      <c r="AF372" s="300">
        <f t="shared" si="515"/>
        <v>2069.1600000000003</v>
      </c>
      <c r="AG372" s="300">
        <f t="shared" si="516"/>
        <v>69474.25</v>
      </c>
      <c r="AH372" s="300">
        <f t="shared" si="517"/>
        <v>469861.71000000031</v>
      </c>
      <c r="AI372" s="545">
        <f t="shared" si="505"/>
        <v>-31387.580000000089</v>
      </c>
      <c r="AJ372" s="545">
        <f t="shared" si="566"/>
        <v>-180346.93000000005</v>
      </c>
      <c r="AK372" s="545">
        <f t="shared" si="506"/>
        <v>-211734.51000000013</v>
      </c>
      <c r="AL372" s="300">
        <f t="shared" si="518"/>
        <v>245449.85000000021</v>
      </c>
      <c r="AM372" s="449">
        <f t="shared" si="547"/>
        <v>26</v>
      </c>
      <c r="AN372" s="14">
        <f t="shared" si="507"/>
        <v>1196.26</v>
      </c>
      <c r="AO372" s="14">
        <f t="shared" si="585"/>
        <v>136354.04999999978</v>
      </c>
      <c r="AP372" s="14">
        <f t="shared" si="508"/>
        <v>1325.03</v>
      </c>
      <c r="AS372" s="14">
        <f t="shared" si="541"/>
        <v>1196.26</v>
      </c>
      <c r="AT372" s="14">
        <f t="shared" si="548"/>
        <v>375145.08000000165</v>
      </c>
      <c r="AU372" s="300">
        <f t="shared" si="549"/>
        <v>1482.2986897204198</v>
      </c>
      <c r="AV372" s="300">
        <f t="shared" si="550"/>
        <v>351253.27457788843</v>
      </c>
    </row>
    <row r="373" spans="1:48" x14ac:dyDescent="0.25">
      <c r="A373" s="535">
        <f t="shared" si="494"/>
        <v>55149</v>
      </c>
      <c r="B373" s="300">
        <f t="shared" si="542"/>
        <v>836.35999999998603</v>
      </c>
      <c r="C373" s="14">
        <f t="shared" si="535"/>
        <v>421.41</v>
      </c>
      <c r="D373" s="14">
        <f t="shared" si="551"/>
        <v>418.27000000000004</v>
      </c>
      <c r="E373" s="14">
        <f t="shared" si="536"/>
        <v>3.14</v>
      </c>
      <c r="F373" s="14">
        <f t="shared" si="495"/>
        <v>134.16999999999999</v>
      </c>
      <c r="G373" s="14">
        <f t="shared" si="491"/>
        <v>188.55</v>
      </c>
      <c r="H373" s="14">
        <f t="shared" si="492"/>
        <v>744.13000000000011</v>
      </c>
      <c r="I373" s="300">
        <f t="shared" si="496"/>
        <v>83063.330000000045</v>
      </c>
      <c r="J373" s="300">
        <f t="shared" si="497"/>
        <v>68534.750000000015</v>
      </c>
      <c r="K373" s="300">
        <f t="shared" si="498"/>
        <v>418.08999999998599</v>
      </c>
      <c r="L373" s="449">
        <f t="shared" si="587"/>
        <v>26</v>
      </c>
      <c r="M373" s="449">
        <f t="shared" si="543"/>
        <v>314</v>
      </c>
      <c r="N373" s="300">
        <f t="shared" si="544"/>
        <v>65102.920000000158</v>
      </c>
      <c r="O373" s="300">
        <f t="shared" si="510"/>
        <v>1617.67</v>
      </c>
      <c r="P373" s="300">
        <f t="shared" si="552"/>
        <v>1237.9000000000001</v>
      </c>
      <c r="Q373" s="300">
        <f t="shared" si="511"/>
        <v>379.77</v>
      </c>
      <c r="R373" s="300">
        <f t="shared" si="502"/>
        <v>134.16999999999999</v>
      </c>
      <c r="S373" s="300">
        <f t="shared" si="503"/>
        <v>188.55</v>
      </c>
      <c r="T373" s="300">
        <f t="shared" si="499"/>
        <v>1940.39</v>
      </c>
      <c r="U373" s="300">
        <f t="shared" si="553"/>
        <v>179283.48000000021</v>
      </c>
      <c r="V373" s="300">
        <f t="shared" si="554"/>
        <v>330282.56999999989</v>
      </c>
      <c r="W373" s="300">
        <f t="shared" si="500"/>
        <v>63865.020000000157</v>
      </c>
      <c r="X373" s="535">
        <f t="shared" si="545"/>
        <v>55149</v>
      </c>
      <c r="Y373" s="300">
        <f t="shared" si="512"/>
        <v>245449.85000000021</v>
      </c>
      <c r="Z373" s="527">
        <f t="shared" si="537"/>
        <v>7.0000000000000007E-2</v>
      </c>
      <c r="AA373" s="300">
        <f t="shared" si="538"/>
        <v>1746.44</v>
      </c>
      <c r="AB373" s="300">
        <f t="shared" si="513"/>
        <v>314.65000000000009</v>
      </c>
      <c r="AC373" s="300">
        <f t="shared" si="539"/>
        <v>1431.79</v>
      </c>
      <c r="AD373" s="300">
        <f t="shared" ref="AD373:AE373" si="594">+AD372</f>
        <v>134.16999999999999</v>
      </c>
      <c r="AE373" s="300">
        <f t="shared" si="594"/>
        <v>188.55</v>
      </c>
      <c r="AF373" s="300">
        <f t="shared" si="515"/>
        <v>2069.1600000000003</v>
      </c>
      <c r="AG373" s="300">
        <f t="shared" si="516"/>
        <v>69788.899999999994</v>
      </c>
      <c r="AH373" s="300">
        <f t="shared" si="517"/>
        <v>471293.50000000029</v>
      </c>
      <c r="AI373" s="545">
        <f t="shared" si="505"/>
        <v>-31516.350000000089</v>
      </c>
      <c r="AJ373" s="545">
        <f t="shared" si="566"/>
        <v>-181270.18000000005</v>
      </c>
      <c r="AK373" s="545">
        <f t="shared" si="506"/>
        <v>-212786.53000000014</v>
      </c>
      <c r="AL373" s="300">
        <f t="shared" si="518"/>
        <v>245135.20000000022</v>
      </c>
      <c r="AM373" s="449">
        <f t="shared" si="547"/>
        <v>26</v>
      </c>
      <c r="AN373" s="14">
        <f t="shared" si="507"/>
        <v>1196.26</v>
      </c>
      <c r="AO373" s="14">
        <f t="shared" si="585"/>
        <v>135534.41999999981</v>
      </c>
      <c r="AP373" s="14">
        <f t="shared" si="508"/>
        <v>1325.03</v>
      </c>
      <c r="AS373" s="14">
        <f t="shared" si="541"/>
        <v>1196.26</v>
      </c>
      <c r="AT373" s="14">
        <f t="shared" si="548"/>
        <v>376341.34000000166</v>
      </c>
      <c r="AU373" s="300">
        <f t="shared" si="549"/>
        <v>1486.004436444721</v>
      </c>
      <c r="AV373" s="300">
        <f t="shared" si="550"/>
        <v>352739.27901433315</v>
      </c>
    </row>
    <row r="374" spans="1:48" ht="15.75" thickBot="1" x14ac:dyDescent="0.3">
      <c r="A374" s="538" t="str">
        <f t="shared" si="494"/>
        <v xml:space="preserve"> </v>
      </c>
      <c r="B374" s="369">
        <f>IF(+K373&lt;0,0,+K373)</f>
        <v>418.08999999998599</v>
      </c>
      <c r="C374" s="21">
        <f t="shared" si="535"/>
        <v>421.41</v>
      </c>
      <c r="D374" s="21">
        <f t="shared" si="551"/>
        <v>419.84000000000003</v>
      </c>
      <c r="E374" s="21">
        <f t="shared" si="536"/>
        <v>1.57</v>
      </c>
      <c r="F374" s="21">
        <f t="shared" si="495"/>
        <v>134.16999999999999</v>
      </c>
      <c r="G374" s="21">
        <f t="shared" si="491"/>
        <v>188.55</v>
      </c>
      <c r="H374" s="21">
        <f t="shared" si="492"/>
        <v>744.13000000000011</v>
      </c>
      <c r="I374" s="369">
        <f t="shared" si="496"/>
        <v>83483.170000000042</v>
      </c>
      <c r="J374" s="369">
        <f t="shared" si="497"/>
        <v>68536.320000000022</v>
      </c>
      <c r="K374" s="369">
        <f t="shared" si="498"/>
        <v>-1.7500000000140403</v>
      </c>
      <c r="L374" s="450">
        <f t="shared" si="587"/>
        <v>26</v>
      </c>
      <c r="M374" s="450">
        <f t="shared" si="543"/>
        <v>315</v>
      </c>
      <c r="N374" s="369">
        <f t="shared" si="544"/>
        <v>63865.020000000157</v>
      </c>
      <c r="O374" s="369">
        <f t="shared" si="510"/>
        <v>1617.67</v>
      </c>
      <c r="P374" s="369">
        <f t="shared" si="552"/>
        <v>1245.1200000000001</v>
      </c>
      <c r="Q374" s="369">
        <f t="shared" si="511"/>
        <v>372.55</v>
      </c>
      <c r="R374" s="369">
        <f t="shared" si="502"/>
        <v>134.16999999999999</v>
      </c>
      <c r="S374" s="369">
        <f t="shared" si="503"/>
        <v>188.55</v>
      </c>
      <c r="T374" s="369">
        <f t="shared" si="499"/>
        <v>1940.39</v>
      </c>
      <c r="U374" s="369">
        <f t="shared" si="553"/>
        <v>180528.60000000021</v>
      </c>
      <c r="V374" s="369">
        <f t="shared" si="554"/>
        <v>330655.11999999988</v>
      </c>
      <c r="W374" s="369">
        <f t="shared" si="500"/>
        <v>62619.900000000154</v>
      </c>
      <c r="X374" s="538" t="str">
        <f t="shared" si="545"/>
        <v xml:space="preserve"> </v>
      </c>
      <c r="Y374" s="369">
        <f t="shared" si="512"/>
        <v>245135.20000000022</v>
      </c>
      <c r="Z374" s="528">
        <f t="shared" si="537"/>
        <v>7.0000000000000007E-2</v>
      </c>
      <c r="AA374" s="369">
        <f t="shared" si="538"/>
        <v>1746.44</v>
      </c>
      <c r="AB374" s="369">
        <f t="shared" si="513"/>
        <v>316.48</v>
      </c>
      <c r="AC374" s="369">
        <f t="shared" si="539"/>
        <v>1429.96</v>
      </c>
      <c r="AD374" s="369">
        <f t="shared" ref="AD374:AE374" si="595">+AD373</f>
        <v>134.16999999999999</v>
      </c>
      <c r="AE374" s="369">
        <f t="shared" si="595"/>
        <v>188.55</v>
      </c>
      <c r="AF374" s="369">
        <f t="shared" si="515"/>
        <v>2069.1600000000003</v>
      </c>
      <c r="AG374" s="369">
        <f t="shared" si="516"/>
        <v>70105.37999999999</v>
      </c>
      <c r="AH374" s="369">
        <f t="shared" si="517"/>
        <v>472723.46000000031</v>
      </c>
      <c r="AI374" s="546">
        <f t="shared" si="505"/>
        <v>-31645.12000000009</v>
      </c>
      <c r="AJ374" s="546">
        <f t="shared" si="566"/>
        <v>-182198.82000000007</v>
      </c>
      <c r="AK374" s="545">
        <f t="shared" si="506"/>
        <v>-213843.94000000015</v>
      </c>
      <c r="AL374" s="369">
        <f t="shared" si="518"/>
        <v>244818.7200000002</v>
      </c>
      <c r="AM374" s="450">
        <f t="shared" si="547"/>
        <v>26</v>
      </c>
      <c r="AN374" s="21">
        <f t="shared" si="507"/>
        <v>1196.26</v>
      </c>
      <c r="AO374" s="21">
        <f t="shared" si="585"/>
        <v>134709.13999999978</v>
      </c>
      <c r="AP374" s="21">
        <f t="shared" si="508"/>
        <v>1325.03</v>
      </c>
      <c r="AQ374" s="21"/>
      <c r="AR374" s="23"/>
      <c r="AS374" s="21">
        <f t="shared" si="541"/>
        <v>1196.26</v>
      </c>
      <c r="AT374" s="21">
        <f t="shared" si="548"/>
        <v>377537.60000000166</v>
      </c>
      <c r="AU374" s="369">
        <f t="shared" si="549"/>
        <v>1489.7194475358328</v>
      </c>
      <c r="AV374" s="369">
        <f t="shared" si="550"/>
        <v>354228.99846186896</v>
      </c>
    </row>
    <row r="375" spans="1:48" x14ac:dyDescent="0.25">
      <c r="A375" s="535" t="str">
        <f t="shared" si="494"/>
        <v xml:space="preserve"> </v>
      </c>
      <c r="B375" s="300">
        <f>IF(+$K374&lt;0,0,+K374)</f>
        <v>0</v>
      </c>
      <c r="C375" s="14">
        <f t="shared" si="535"/>
        <v>0</v>
      </c>
      <c r="D375" s="14">
        <f t="shared" si="551"/>
        <v>0</v>
      </c>
      <c r="E375" s="14">
        <f t="shared" si="536"/>
        <v>0</v>
      </c>
      <c r="F375" s="14">
        <f t="shared" si="495"/>
        <v>134.16999999999999</v>
      </c>
      <c r="G375" s="14">
        <f t="shared" si="491"/>
        <v>188.55</v>
      </c>
      <c r="H375" s="14">
        <f t="shared" si="492"/>
        <v>322.72000000000003</v>
      </c>
      <c r="I375" s="300">
        <f t="shared" si="496"/>
        <v>83483.170000000042</v>
      </c>
      <c r="J375" s="300">
        <f t="shared" si="497"/>
        <v>68536.320000000022</v>
      </c>
      <c r="K375" s="300">
        <f t="shared" si="498"/>
        <v>0</v>
      </c>
      <c r="L375" s="449">
        <f t="shared" si="587"/>
        <v>26</v>
      </c>
      <c r="M375" s="449">
        <f t="shared" si="543"/>
        <v>316</v>
      </c>
      <c r="N375" s="300">
        <f t="shared" si="544"/>
        <v>62619.900000000154</v>
      </c>
      <c r="O375" s="300">
        <f t="shared" si="510"/>
        <v>1617.67</v>
      </c>
      <c r="P375" s="300">
        <f t="shared" si="552"/>
        <v>1252.3900000000001</v>
      </c>
      <c r="Q375" s="300">
        <f t="shared" si="511"/>
        <v>365.28</v>
      </c>
      <c r="R375" s="300">
        <f t="shared" si="502"/>
        <v>134.16999999999999</v>
      </c>
      <c r="S375" s="300">
        <f t="shared" si="503"/>
        <v>188.55</v>
      </c>
      <c r="T375" s="300">
        <f t="shared" si="499"/>
        <v>1940.39</v>
      </c>
      <c r="U375" s="300">
        <f t="shared" si="553"/>
        <v>181780.99000000022</v>
      </c>
      <c r="V375" s="300">
        <f t="shared" si="554"/>
        <v>331020.39999999991</v>
      </c>
      <c r="W375" s="300">
        <f t="shared" si="500"/>
        <v>61367.510000000155</v>
      </c>
      <c r="X375" s="535" t="str">
        <f t="shared" si="545"/>
        <v xml:space="preserve"> </v>
      </c>
      <c r="Y375" s="300">
        <f t="shared" si="512"/>
        <v>244818.7200000002</v>
      </c>
      <c r="Z375" s="527">
        <f t="shared" si="537"/>
        <v>7.0000000000000007E-2</v>
      </c>
      <c r="AA375" s="300">
        <f t="shared" si="538"/>
        <v>1746.44</v>
      </c>
      <c r="AB375" s="300">
        <f t="shared" si="513"/>
        <v>318.33000000000015</v>
      </c>
      <c r="AC375" s="300">
        <f t="shared" si="539"/>
        <v>1428.11</v>
      </c>
      <c r="AD375" s="300">
        <f t="shared" ref="AD375:AE375" si="596">+AD374</f>
        <v>134.16999999999999</v>
      </c>
      <c r="AE375" s="300">
        <f t="shared" si="596"/>
        <v>188.55</v>
      </c>
      <c r="AF375" s="300">
        <f t="shared" si="515"/>
        <v>2069.1600000000003</v>
      </c>
      <c r="AG375" s="300">
        <f t="shared" si="516"/>
        <v>70423.709999999992</v>
      </c>
      <c r="AH375" s="300">
        <f t="shared" si="517"/>
        <v>474151.5700000003</v>
      </c>
      <c r="AI375" s="545">
        <f t="shared" si="505"/>
        <v>-31773.89000000009</v>
      </c>
      <c r="AJ375" s="545">
        <f t="shared" si="566"/>
        <v>-183132.88000000006</v>
      </c>
      <c r="AK375" s="545">
        <f t="shared" si="506"/>
        <v>-214906.77000000016</v>
      </c>
      <c r="AL375" s="300">
        <f t="shared" si="518"/>
        <v>244500.39000000022</v>
      </c>
      <c r="AM375" s="449">
        <f t="shared" si="547"/>
        <v>26</v>
      </c>
      <c r="AN375" s="14">
        <f t="shared" si="507"/>
        <v>1617.67</v>
      </c>
      <c r="AO375" s="14">
        <f t="shared" si="585"/>
        <v>133456.74999999977</v>
      </c>
      <c r="AP375" s="14">
        <f t="shared" si="508"/>
        <v>1746.44</v>
      </c>
      <c r="AS375" s="14">
        <f t="shared" si="541"/>
        <v>1617.67</v>
      </c>
      <c r="AT375" s="14">
        <f t="shared" si="548"/>
        <v>379155.27000000165</v>
      </c>
      <c r="AU375" s="300">
        <f t="shared" si="549"/>
        <v>1493.4437461546722</v>
      </c>
      <c r="AV375" s="300">
        <f t="shared" si="550"/>
        <v>355722.44220802363</v>
      </c>
    </row>
    <row r="376" spans="1:48" x14ac:dyDescent="0.25">
      <c r="A376" s="535" t="str">
        <f t="shared" si="494"/>
        <v xml:space="preserve"> </v>
      </c>
      <c r="B376" s="300">
        <f t="shared" ref="B376:B439" si="597">IF(+K375&lt;0,0,+K375)</f>
        <v>0</v>
      </c>
      <c r="C376" s="14">
        <f t="shared" si="535"/>
        <v>0</v>
      </c>
      <c r="D376" s="14">
        <f t="shared" si="551"/>
        <v>0</v>
      </c>
      <c r="E376" s="14">
        <f t="shared" si="536"/>
        <v>0</v>
      </c>
      <c r="F376" s="14">
        <f t="shared" si="495"/>
        <v>134.16999999999999</v>
      </c>
      <c r="G376" s="14">
        <f t="shared" si="491"/>
        <v>188.55</v>
      </c>
      <c r="H376" s="14">
        <f t="shared" si="492"/>
        <v>322.72000000000003</v>
      </c>
      <c r="I376" s="300">
        <f t="shared" si="496"/>
        <v>83483.170000000042</v>
      </c>
      <c r="J376" s="300">
        <f t="shared" si="497"/>
        <v>68536.320000000022</v>
      </c>
      <c r="K376" s="300">
        <f t="shared" si="498"/>
        <v>0</v>
      </c>
      <c r="L376" s="449">
        <f t="shared" si="587"/>
        <v>26</v>
      </c>
      <c r="M376" s="449">
        <f t="shared" si="543"/>
        <v>317</v>
      </c>
      <c r="N376" s="300">
        <f t="shared" si="544"/>
        <v>61367.510000000155</v>
      </c>
      <c r="O376" s="300">
        <f t="shared" si="510"/>
        <v>1617.67</v>
      </c>
      <c r="P376" s="300">
        <f t="shared" si="552"/>
        <v>1259.69</v>
      </c>
      <c r="Q376" s="300">
        <f t="shared" si="511"/>
        <v>357.98</v>
      </c>
      <c r="R376" s="300">
        <f t="shared" si="502"/>
        <v>134.16999999999999</v>
      </c>
      <c r="S376" s="300">
        <f t="shared" si="503"/>
        <v>188.55</v>
      </c>
      <c r="T376" s="300">
        <f t="shared" si="499"/>
        <v>1940.39</v>
      </c>
      <c r="U376" s="300">
        <f t="shared" si="553"/>
        <v>183040.68000000023</v>
      </c>
      <c r="V376" s="300">
        <f t="shared" si="554"/>
        <v>331378.37999999989</v>
      </c>
      <c r="W376" s="300">
        <f t="shared" si="500"/>
        <v>60107.820000000153</v>
      </c>
      <c r="X376" s="535" t="str">
        <f t="shared" si="545"/>
        <v xml:space="preserve"> </v>
      </c>
      <c r="Y376" s="300">
        <f t="shared" si="512"/>
        <v>244500.39000000022</v>
      </c>
      <c r="Z376" s="527">
        <f t="shared" si="537"/>
        <v>7.0000000000000007E-2</v>
      </c>
      <c r="AA376" s="300">
        <f t="shared" si="538"/>
        <v>1746.44</v>
      </c>
      <c r="AB376" s="300">
        <f t="shared" si="513"/>
        <v>320.19000000000005</v>
      </c>
      <c r="AC376" s="300">
        <f t="shared" si="539"/>
        <v>1426.25</v>
      </c>
      <c r="AD376" s="300">
        <f t="shared" ref="AD376:AE376" si="598">+AD375</f>
        <v>134.16999999999999</v>
      </c>
      <c r="AE376" s="300">
        <f t="shared" si="598"/>
        <v>188.55</v>
      </c>
      <c r="AF376" s="300">
        <f t="shared" si="515"/>
        <v>2069.1600000000003</v>
      </c>
      <c r="AG376" s="300">
        <f t="shared" si="516"/>
        <v>70743.899999999994</v>
      </c>
      <c r="AH376" s="300">
        <f t="shared" si="517"/>
        <v>475577.8200000003</v>
      </c>
      <c r="AI376" s="545">
        <f t="shared" si="505"/>
        <v>-31902.660000000091</v>
      </c>
      <c r="AJ376" s="545">
        <f t="shared" si="566"/>
        <v>-184072.38000000006</v>
      </c>
      <c r="AK376" s="545">
        <f t="shared" si="506"/>
        <v>-215975.04000000015</v>
      </c>
      <c r="AL376" s="300">
        <f t="shared" si="518"/>
        <v>244180.20000000022</v>
      </c>
      <c r="AM376" s="449">
        <f t="shared" si="547"/>
        <v>26</v>
      </c>
      <c r="AN376" s="14">
        <f t="shared" si="507"/>
        <v>1617.67</v>
      </c>
      <c r="AO376" s="14">
        <f t="shared" si="585"/>
        <v>132197.05999999976</v>
      </c>
      <c r="AP376" s="14">
        <f t="shared" si="508"/>
        <v>1746.44</v>
      </c>
      <c r="AS376" s="14">
        <f t="shared" si="541"/>
        <v>1617.67</v>
      </c>
      <c r="AT376" s="14">
        <f t="shared" si="548"/>
        <v>380772.94000000163</v>
      </c>
      <c r="AU376" s="300">
        <f t="shared" si="549"/>
        <v>1497.1773555200589</v>
      </c>
      <c r="AV376" s="300">
        <f t="shared" si="550"/>
        <v>357219.6195635437</v>
      </c>
    </row>
    <row r="377" spans="1:48" x14ac:dyDescent="0.25">
      <c r="A377" s="535" t="str">
        <f t="shared" si="494"/>
        <v xml:space="preserve"> </v>
      </c>
      <c r="B377" s="300">
        <f t="shared" si="597"/>
        <v>0</v>
      </c>
      <c r="C377" s="14">
        <f t="shared" si="535"/>
        <v>0</v>
      </c>
      <c r="D377" s="14">
        <f t="shared" si="551"/>
        <v>0</v>
      </c>
      <c r="E377" s="14">
        <f t="shared" si="536"/>
        <v>0</v>
      </c>
      <c r="F377" s="14">
        <f t="shared" si="495"/>
        <v>134.16999999999999</v>
      </c>
      <c r="G377" s="14">
        <f t="shared" si="491"/>
        <v>188.55</v>
      </c>
      <c r="H377" s="14">
        <f t="shared" si="492"/>
        <v>322.72000000000003</v>
      </c>
      <c r="I377" s="300">
        <f t="shared" si="496"/>
        <v>83483.170000000042</v>
      </c>
      <c r="J377" s="300">
        <f t="shared" si="497"/>
        <v>68536.320000000022</v>
      </c>
      <c r="K377" s="300">
        <f t="shared" si="498"/>
        <v>0</v>
      </c>
      <c r="L377" s="449">
        <f t="shared" si="587"/>
        <v>26</v>
      </c>
      <c r="M377" s="449">
        <f t="shared" si="543"/>
        <v>318</v>
      </c>
      <c r="N377" s="300">
        <f t="shared" si="544"/>
        <v>60107.820000000153</v>
      </c>
      <c r="O377" s="300">
        <f t="shared" si="510"/>
        <v>1617.67</v>
      </c>
      <c r="P377" s="300">
        <f t="shared" si="552"/>
        <v>1267.04</v>
      </c>
      <c r="Q377" s="300">
        <f t="shared" si="511"/>
        <v>350.63</v>
      </c>
      <c r="R377" s="300">
        <f t="shared" si="502"/>
        <v>134.16999999999999</v>
      </c>
      <c r="S377" s="300">
        <f t="shared" si="503"/>
        <v>188.55</v>
      </c>
      <c r="T377" s="300">
        <f t="shared" si="499"/>
        <v>1940.39</v>
      </c>
      <c r="U377" s="300">
        <f t="shared" si="553"/>
        <v>184307.72000000023</v>
      </c>
      <c r="V377" s="300">
        <f t="shared" si="554"/>
        <v>331729.00999999989</v>
      </c>
      <c r="W377" s="300">
        <f t="shared" si="500"/>
        <v>58840.780000000152</v>
      </c>
      <c r="X377" s="535" t="str">
        <f t="shared" si="545"/>
        <v xml:space="preserve"> </v>
      </c>
      <c r="Y377" s="300">
        <f t="shared" si="512"/>
        <v>244180.20000000022</v>
      </c>
      <c r="Z377" s="527">
        <f t="shared" si="537"/>
        <v>7.0000000000000007E-2</v>
      </c>
      <c r="AA377" s="300">
        <f t="shared" si="538"/>
        <v>1746.44</v>
      </c>
      <c r="AB377" s="300">
        <f t="shared" si="513"/>
        <v>322.05999999999995</v>
      </c>
      <c r="AC377" s="300">
        <f t="shared" si="539"/>
        <v>1424.38</v>
      </c>
      <c r="AD377" s="300">
        <f t="shared" ref="AD377:AE377" si="599">+AD376</f>
        <v>134.16999999999999</v>
      </c>
      <c r="AE377" s="300">
        <f t="shared" si="599"/>
        <v>188.55</v>
      </c>
      <c r="AF377" s="300">
        <f t="shared" si="515"/>
        <v>2069.1600000000003</v>
      </c>
      <c r="AG377" s="300">
        <f t="shared" si="516"/>
        <v>71065.959999999992</v>
      </c>
      <c r="AH377" s="300">
        <f t="shared" si="517"/>
        <v>477002.2000000003</v>
      </c>
      <c r="AI377" s="545">
        <f t="shared" si="505"/>
        <v>-32031.430000000091</v>
      </c>
      <c r="AJ377" s="545">
        <f t="shared" si="566"/>
        <v>-185017.36000000007</v>
      </c>
      <c r="AK377" s="545">
        <f t="shared" si="506"/>
        <v>-217048.79000000015</v>
      </c>
      <c r="AL377" s="300">
        <f t="shared" si="518"/>
        <v>243858.14000000022</v>
      </c>
      <c r="AM377" s="449">
        <f t="shared" si="547"/>
        <v>26</v>
      </c>
      <c r="AN377" s="14">
        <f t="shared" si="507"/>
        <v>1617.67</v>
      </c>
      <c r="AO377" s="14">
        <f t="shared" si="585"/>
        <v>130930.01999999976</v>
      </c>
      <c r="AP377" s="14">
        <f t="shared" si="508"/>
        <v>1746.44</v>
      </c>
      <c r="AS377" s="14">
        <f t="shared" si="541"/>
        <v>1617.67</v>
      </c>
      <c r="AT377" s="14">
        <f t="shared" si="548"/>
        <v>382390.61000000162</v>
      </c>
      <c r="AU377" s="300">
        <f t="shared" si="549"/>
        <v>1500.9202989088592</v>
      </c>
      <c r="AV377" s="300">
        <f t="shared" si="550"/>
        <v>358720.53986245254</v>
      </c>
    </row>
    <row r="378" spans="1:48" x14ac:dyDescent="0.25">
      <c r="A378" s="535" t="str">
        <f t="shared" si="494"/>
        <v xml:space="preserve"> </v>
      </c>
      <c r="B378" s="300">
        <f t="shared" si="597"/>
        <v>0</v>
      </c>
      <c r="C378" s="14">
        <f t="shared" si="535"/>
        <v>0</v>
      </c>
      <c r="D378" s="14">
        <f t="shared" si="551"/>
        <v>0</v>
      </c>
      <c r="E378" s="14">
        <f t="shared" si="536"/>
        <v>0</v>
      </c>
      <c r="F378" s="14">
        <f t="shared" si="495"/>
        <v>134.16999999999999</v>
      </c>
      <c r="G378" s="14">
        <f t="shared" ref="G378:G441" si="600">+G377</f>
        <v>188.55</v>
      </c>
      <c r="H378" s="14">
        <f t="shared" ref="H378:H441" si="601">SUM(D378:G378)</f>
        <v>322.72000000000003</v>
      </c>
      <c r="I378" s="300">
        <f t="shared" si="496"/>
        <v>83483.170000000042</v>
      </c>
      <c r="J378" s="300">
        <f t="shared" si="497"/>
        <v>68536.320000000022</v>
      </c>
      <c r="K378" s="300">
        <f t="shared" si="498"/>
        <v>0</v>
      </c>
      <c r="L378" s="449">
        <f t="shared" si="587"/>
        <v>26</v>
      </c>
      <c r="M378" s="449">
        <f t="shared" si="543"/>
        <v>319</v>
      </c>
      <c r="N378" s="300">
        <f t="shared" si="544"/>
        <v>58840.780000000152</v>
      </c>
      <c r="O378" s="300">
        <f t="shared" si="510"/>
        <v>1617.67</v>
      </c>
      <c r="P378" s="300">
        <f t="shared" si="552"/>
        <v>1274.43</v>
      </c>
      <c r="Q378" s="300">
        <f t="shared" si="511"/>
        <v>343.24</v>
      </c>
      <c r="R378" s="300">
        <f t="shared" si="502"/>
        <v>134.16999999999999</v>
      </c>
      <c r="S378" s="300">
        <f t="shared" si="503"/>
        <v>188.55</v>
      </c>
      <c r="T378" s="300">
        <f t="shared" si="499"/>
        <v>1940.39</v>
      </c>
      <c r="U378" s="300">
        <f t="shared" si="553"/>
        <v>185582.15000000023</v>
      </c>
      <c r="V378" s="300">
        <f t="shared" si="554"/>
        <v>332072.24999999988</v>
      </c>
      <c r="W378" s="300">
        <f t="shared" si="500"/>
        <v>57566.350000000151</v>
      </c>
      <c r="X378" s="535" t="str">
        <f t="shared" si="545"/>
        <v xml:space="preserve"> </v>
      </c>
      <c r="Y378" s="300">
        <f t="shared" si="512"/>
        <v>243858.14000000022</v>
      </c>
      <c r="Z378" s="527">
        <f t="shared" si="537"/>
        <v>7.0000000000000007E-2</v>
      </c>
      <c r="AA378" s="300">
        <f t="shared" si="538"/>
        <v>1746.44</v>
      </c>
      <c r="AB378" s="300">
        <f t="shared" si="513"/>
        <v>323.93000000000006</v>
      </c>
      <c r="AC378" s="300">
        <f t="shared" si="539"/>
        <v>1422.51</v>
      </c>
      <c r="AD378" s="300">
        <f t="shared" ref="AD378:AE378" si="602">+AD377</f>
        <v>134.16999999999999</v>
      </c>
      <c r="AE378" s="300">
        <f t="shared" si="602"/>
        <v>188.55</v>
      </c>
      <c r="AF378" s="300">
        <f t="shared" si="515"/>
        <v>2069.1600000000003</v>
      </c>
      <c r="AG378" s="300">
        <f t="shared" si="516"/>
        <v>71389.889999999985</v>
      </c>
      <c r="AH378" s="300">
        <f t="shared" si="517"/>
        <v>478424.71000000031</v>
      </c>
      <c r="AI378" s="545">
        <f t="shared" si="505"/>
        <v>-32160.200000000092</v>
      </c>
      <c r="AJ378" s="545">
        <f t="shared" si="566"/>
        <v>-185967.86000000007</v>
      </c>
      <c r="AK378" s="545">
        <f t="shared" si="506"/>
        <v>-218128.06000000017</v>
      </c>
      <c r="AL378" s="300">
        <f t="shared" si="518"/>
        <v>243534.21000000022</v>
      </c>
      <c r="AM378" s="449">
        <f t="shared" si="547"/>
        <v>26</v>
      </c>
      <c r="AN378" s="14">
        <f t="shared" si="507"/>
        <v>1617.67</v>
      </c>
      <c r="AO378" s="14">
        <f t="shared" si="585"/>
        <v>129655.58999999976</v>
      </c>
      <c r="AP378" s="14">
        <f t="shared" si="508"/>
        <v>1746.44</v>
      </c>
      <c r="AS378" s="14">
        <f t="shared" si="541"/>
        <v>1617.67</v>
      </c>
      <c r="AT378" s="14">
        <f t="shared" si="548"/>
        <v>384008.2800000016</v>
      </c>
      <c r="AU378" s="300">
        <f t="shared" si="549"/>
        <v>1504.6725996561311</v>
      </c>
      <c r="AV378" s="300">
        <f t="shared" si="550"/>
        <v>360225.2124621087</v>
      </c>
    </row>
    <row r="379" spans="1:48" x14ac:dyDescent="0.25">
      <c r="A379" s="535" t="str">
        <f t="shared" ref="A379:A442" si="603">IF(K379&lt;=0," ",+A378+30)</f>
        <v xml:space="preserve"> </v>
      </c>
      <c r="B379" s="300">
        <f t="shared" si="597"/>
        <v>0</v>
      </c>
      <c r="C379" s="14">
        <f t="shared" si="535"/>
        <v>0</v>
      </c>
      <c r="D379" s="14">
        <f t="shared" si="551"/>
        <v>0</v>
      </c>
      <c r="E379" s="14">
        <f t="shared" si="536"/>
        <v>0</v>
      </c>
      <c r="F379" s="14">
        <f t="shared" ref="F379:F442" si="604">+F378</f>
        <v>134.16999999999999</v>
      </c>
      <c r="G379" s="14">
        <f t="shared" si="600"/>
        <v>188.55</v>
      </c>
      <c r="H379" s="14">
        <f t="shared" si="601"/>
        <v>322.72000000000003</v>
      </c>
      <c r="I379" s="300">
        <f t="shared" ref="I379:I442" si="605">$D379+$I378</f>
        <v>83483.170000000042</v>
      </c>
      <c r="J379" s="300">
        <f t="shared" ref="J379:J442" si="606">$E379+$J378</f>
        <v>68536.320000000022</v>
      </c>
      <c r="K379" s="300">
        <f t="shared" ref="K379:K442" si="607">+B379-D379</f>
        <v>0</v>
      </c>
      <c r="L379" s="449">
        <f t="shared" si="587"/>
        <v>26</v>
      </c>
      <c r="M379" s="449">
        <f t="shared" si="543"/>
        <v>320</v>
      </c>
      <c r="N379" s="300">
        <f t="shared" si="544"/>
        <v>57566.350000000151</v>
      </c>
      <c r="O379" s="300">
        <f t="shared" si="510"/>
        <v>1617.67</v>
      </c>
      <c r="P379" s="300">
        <f t="shared" si="552"/>
        <v>1281.8700000000001</v>
      </c>
      <c r="Q379" s="300">
        <f t="shared" si="511"/>
        <v>335.8</v>
      </c>
      <c r="R379" s="300">
        <f t="shared" si="502"/>
        <v>134.16999999999999</v>
      </c>
      <c r="S379" s="300">
        <f t="shared" si="503"/>
        <v>188.55</v>
      </c>
      <c r="T379" s="300">
        <f t="shared" ref="T379:T442" si="608">SUM(P379:S379)</f>
        <v>1940.39</v>
      </c>
      <c r="U379" s="300">
        <f t="shared" si="553"/>
        <v>186864.02000000022</v>
      </c>
      <c r="V379" s="300">
        <f t="shared" si="554"/>
        <v>332408.04999999987</v>
      </c>
      <c r="W379" s="300">
        <f t="shared" ref="W379:W442" si="609">+N379-P379</f>
        <v>56284.480000000149</v>
      </c>
      <c r="X379" s="535" t="str">
        <f t="shared" si="545"/>
        <v xml:space="preserve"> </v>
      </c>
      <c r="Y379" s="300">
        <f t="shared" si="512"/>
        <v>243534.21000000022</v>
      </c>
      <c r="Z379" s="527">
        <f t="shared" si="537"/>
        <v>7.0000000000000007E-2</v>
      </c>
      <c r="AA379" s="300">
        <f t="shared" si="538"/>
        <v>1746.44</v>
      </c>
      <c r="AB379" s="300">
        <f t="shared" si="513"/>
        <v>325.82000000000016</v>
      </c>
      <c r="AC379" s="300">
        <f t="shared" si="539"/>
        <v>1420.62</v>
      </c>
      <c r="AD379" s="300">
        <f t="shared" ref="AD379:AE379" si="610">+AD378</f>
        <v>134.16999999999999</v>
      </c>
      <c r="AE379" s="300">
        <f t="shared" si="610"/>
        <v>188.55</v>
      </c>
      <c r="AF379" s="300">
        <f t="shared" si="515"/>
        <v>2069.1600000000003</v>
      </c>
      <c r="AG379" s="300">
        <f t="shared" si="516"/>
        <v>71715.709999999992</v>
      </c>
      <c r="AH379" s="300">
        <f t="shared" si="517"/>
        <v>479845.33000000031</v>
      </c>
      <c r="AI379" s="545">
        <f t="shared" si="505"/>
        <v>-32288.970000000092</v>
      </c>
      <c r="AJ379" s="545">
        <f t="shared" si="566"/>
        <v>-186923.91000000006</v>
      </c>
      <c r="AK379" s="545">
        <f t="shared" si="506"/>
        <v>-219212.88000000015</v>
      </c>
      <c r="AL379" s="300">
        <f t="shared" si="518"/>
        <v>243208.39000000022</v>
      </c>
      <c r="AM379" s="449">
        <f t="shared" si="547"/>
        <v>26</v>
      </c>
      <c r="AN379" s="14">
        <f t="shared" si="507"/>
        <v>1617.67</v>
      </c>
      <c r="AO379" s="14">
        <f t="shared" si="585"/>
        <v>128373.71999999977</v>
      </c>
      <c r="AP379" s="14">
        <f t="shared" si="508"/>
        <v>1746.44</v>
      </c>
      <c r="AS379" s="14">
        <f t="shared" si="541"/>
        <v>1617.67</v>
      </c>
      <c r="AT379" s="14">
        <f t="shared" si="548"/>
        <v>385625.95000000158</v>
      </c>
      <c r="AU379" s="300">
        <f t="shared" si="549"/>
        <v>1508.4342811552717</v>
      </c>
      <c r="AV379" s="300">
        <f t="shared" si="550"/>
        <v>361733.64674326399</v>
      </c>
    </row>
    <row r="380" spans="1:48" x14ac:dyDescent="0.25">
      <c r="A380" s="535" t="str">
        <f t="shared" si="603"/>
        <v xml:space="preserve"> </v>
      </c>
      <c r="B380" s="300">
        <f t="shared" si="597"/>
        <v>0</v>
      </c>
      <c r="C380" s="14">
        <f t="shared" si="535"/>
        <v>0</v>
      </c>
      <c r="D380" s="14">
        <f t="shared" si="551"/>
        <v>0</v>
      </c>
      <c r="E380" s="14">
        <f t="shared" si="536"/>
        <v>0</v>
      </c>
      <c r="F380" s="14">
        <f t="shared" si="604"/>
        <v>134.16999999999999</v>
      </c>
      <c r="G380" s="14">
        <f t="shared" si="600"/>
        <v>188.55</v>
      </c>
      <c r="H380" s="14">
        <f t="shared" si="601"/>
        <v>322.72000000000003</v>
      </c>
      <c r="I380" s="300">
        <f t="shared" si="605"/>
        <v>83483.170000000042</v>
      </c>
      <c r="J380" s="300">
        <f t="shared" si="606"/>
        <v>68536.320000000022</v>
      </c>
      <c r="K380" s="300">
        <f t="shared" si="607"/>
        <v>0</v>
      </c>
      <c r="L380" s="449">
        <f t="shared" si="587"/>
        <v>26</v>
      </c>
      <c r="M380" s="449">
        <f t="shared" si="543"/>
        <v>321</v>
      </c>
      <c r="N380" s="300">
        <f t="shared" si="544"/>
        <v>56284.480000000149</v>
      </c>
      <c r="O380" s="300">
        <f t="shared" si="510"/>
        <v>1617.67</v>
      </c>
      <c r="P380" s="300">
        <f t="shared" si="552"/>
        <v>1289.3400000000001</v>
      </c>
      <c r="Q380" s="300">
        <f t="shared" si="511"/>
        <v>328.33</v>
      </c>
      <c r="R380" s="300">
        <f t="shared" ref="R380:R443" si="611">+R379</f>
        <v>134.16999999999999</v>
      </c>
      <c r="S380" s="300">
        <f t="shared" ref="S380:S443" si="612">+S379</f>
        <v>188.55</v>
      </c>
      <c r="T380" s="300">
        <f t="shared" si="608"/>
        <v>1940.39</v>
      </c>
      <c r="U380" s="300">
        <f t="shared" si="553"/>
        <v>188153.36000000022</v>
      </c>
      <c r="V380" s="300">
        <f t="shared" si="554"/>
        <v>332736.37999999989</v>
      </c>
      <c r="W380" s="300">
        <f t="shared" si="609"/>
        <v>54995.140000000145</v>
      </c>
      <c r="X380" s="535" t="str">
        <f t="shared" si="545"/>
        <v xml:space="preserve"> </v>
      </c>
      <c r="Y380" s="300">
        <f t="shared" si="512"/>
        <v>243208.39000000022</v>
      </c>
      <c r="Z380" s="527">
        <f t="shared" si="537"/>
        <v>7.0000000000000007E-2</v>
      </c>
      <c r="AA380" s="300">
        <f t="shared" si="538"/>
        <v>1746.44</v>
      </c>
      <c r="AB380" s="300">
        <f t="shared" si="513"/>
        <v>327.72</v>
      </c>
      <c r="AC380" s="300">
        <f t="shared" si="539"/>
        <v>1418.72</v>
      </c>
      <c r="AD380" s="300">
        <f t="shared" ref="AD380:AE380" si="613">+AD379</f>
        <v>134.16999999999999</v>
      </c>
      <c r="AE380" s="300">
        <f t="shared" si="613"/>
        <v>188.55</v>
      </c>
      <c r="AF380" s="300">
        <f t="shared" si="515"/>
        <v>2069.1600000000003</v>
      </c>
      <c r="AG380" s="300">
        <f t="shared" si="516"/>
        <v>72043.429999999993</v>
      </c>
      <c r="AH380" s="300">
        <f t="shared" si="517"/>
        <v>481264.05000000028</v>
      </c>
      <c r="AI380" s="545">
        <f t="shared" ref="AI380:AI443" si="614">O380-AA380+AI379</f>
        <v>-32417.740000000093</v>
      </c>
      <c r="AJ380" s="545">
        <f t="shared" si="566"/>
        <v>-187885.53000000009</v>
      </c>
      <c r="AK380" s="545">
        <f t="shared" ref="AK380:AK443" si="615">SUM(AI380:AJ380)</f>
        <v>-220303.27000000019</v>
      </c>
      <c r="AL380" s="300">
        <f t="shared" si="518"/>
        <v>242880.67000000022</v>
      </c>
      <c r="AM380" s="449">
        <f t="shared" si="547"/>
        <v>26</v>
      </c>
      <c r="AN380" s="14">
        <f t="shared" ref="AN380:AN443" si="616">IF(O380=0,0,+O380-C380)</f>
        <v>1617.67</v>
      </c>
      <c r="AO380" s="14">
        <f t="shared" si="585"/>
        <v>127084.37999999977</v>
      </c>
      <c r="AP380" s="14">
        <f t="shared" ref="AP380:AP443" si="617">IF($O380=0,0,+AA380-$C380)</f>
        <v>1746.44</v>
      </c>
      <c r="AS380" s="14">
        <f t="shared" si="541"/>
        <v>1617.67</v>
      </c>
      <c r="AT380" s="14">
        <f t="shared" si="548"/>
        <v>387243.62000000157</v>
      </c>
      <c r="AU380" s="300">
        <f t="shared" si="549"/>
        <v>1512.20536685816</v>
      </c>
      <c r="AV380" s="300">
        <f t="shared" si="550"/>
        <v>363245.85211012216</v>
      </c>
    </row>
    <row r="381" spans="1:48" x14ac:dyDescent="0.25">
      <c r="A381" s="535" t="str">
        <f t="shared" si="603"/>
        <v xml:space="preserve"> </v>
      </c>
      <c r="B381" s="300">
        <f t="shared" si="597"/>
        <v>0</v>
      </c>
      <c r="C381" s="14">
        <f t="shared" si="535"/>
        <v>0</v>
      </c>
      <c r="D381" s="14">
        <f t="shared" si="551"/>
        <v>0</v>
      </c>
      <c r="E381" s="14">
        <f t="shared" si="536"/>
        <v>0</v>
      </c>
      <c r="F381" s="14">
        <f t="shared" si="604"/>
        <v>134.16999999999999</v>
      </c>
      <c r="G381" s="14">
        <f t="shared" si="600"/>
        <v>188.55</v>
      </c>
      <c r="H381" s="14">
        <f t="shared" si="601"/>
        <v>322.72000000000003</v>
      </c>
      <c r="I381" s="300">
        <f t="shared" si="605"/>
        <v>83483.170000000042</v>
      </c>
      <c r="J381" s="300">
        <f t="shared" si="606"/>
        <v>68536.320000000022</v>
      </c>
      <c r="K381" s="300">
        <f t="shared" si="607"/>
        <v>0</v>
      </c>
      <c r="L381" s="449">
        <f t="shared" si="587"/>
        <v>26</v>
      </c>
      <c r="M381" s="449">
        <f t="shared" si="543"/>
        <v>322</v>
      </c>
      <c r="N381" s="300">
        <f t="shared" si="544"/>
        <v>54995.140000000145</v>
      </c>
      <c r="O381" s="300">
        <f t="shared" si="510"/>
        <v>1617.67</v>
      </c>
      <c r="P381" s="300">
        <f t="shared" si="552"/>
        <v>1296.8700000000001</v>
      </c>
      <c r="Q381" s="300">
        <f t="shared" si="511"/>
        <v>320.8</v>
      </c>
      <c r="R381" s="300">
        <f t="shared" si="611"/>
        <v>134.16999999999999</v>
      </c>
      <c r="S381" s="300">
        <f t="shared" si="612"/>
        <v>188.55</v>
      </c>
      <c r="T381" s="300">
        <f t="shared" si="608"/>
        <v>1940.39</v>
      </c>
      <c r="U381" s="300">
        <f t="shared" si="553"/>
        <v>189450.23000000021</v>
      </c>
      <c r="V381" s="300">
        <f t="shared" si="554"/>
        <v>333057.17999999988</v>
      </c>
      <c r="W381" s="300">
        <f t="shared" si="609"/>
        <v>53698.270000000142</v>
      </c>
      <c r="X381" s="535" t="str">
        <f t="shared" si="545"/>
        <v xml:space="preserve"> </v>
      </c>
      <c r="Y381" s="300">
        <f t="shared" si="512"/>
        <v>242880.67000000022</v>
      </c>
      <c r="Z381" s="527">
        <f t="shared" si="537"/>
        <v>7.0000000000000007E-2</v>
      </c>
      <c r="AA381" s="300">
        <f t="shared" si="538"/>
        <v>1746.44</v>
      </c>
      <c r="AB381" s="300">
        <f t="shared" si="513"/>
        <v>329.6400000000001</v>
      </c>
      <c r="AC381" s="300">
        <f t="shared" si="539"/>
        <v>1416.8</v>
      </c>
      <c r="AD381" s="300">
        <f t="shared" ref="AD381:AE381" si="618">+AD380</f>
        <v>134.16999999999999</v>
      </c>
      <c r="AE381" s="300">
        <f t="shared" si="618"/>
        <v>188.55</v>
      </c>
      <c r="AF381" s="300">
        <f t="shared" si="515"/>
        <v>2069.1600000000003</v>
      </c>
      <c r="AG381" s="300">
        <f t="shared" si="516"/>
        <v>72373.069999999992</v>
      </c>
      <c r="AH381" s="300">
        <f t="shared" si="517"/>
        <v>482680.85000000027</v>
      </c>
      <c r="AI381" s="545">
        <f t="shared" si="614"/>
        <v>-32546.510000000093</v>
      </c>
      <c r="AJ381" s="545">
        <f t="shared" si="566"/>
        <v>-188852.76000000007</v>
      </c>
      <c r="AK381" s="545">
        <f t="shared" si="615"/>
        <v>-221399.27000000016</v>
      </c>
      <c r="AL381" s="300">
        <f t="shared" si="518"/>
        <v>242551.0300000002</v>
      </c>
      <c r="AM381" s="449">
        <f t="shared" si="547"/>
        <v>26</v>
      </c>
      <c r="AN381" s="14">
        <f t="shared" si="616"/>
        <v>1617.67</v>
      </c>
      <c r="AO381" s="14">
        <f t="shared" si="585"/>
        <v>125787.50999999978</v>
      </c>
      <c r="AP381" s="14">
        <f t="shared" si="617"/>
        <v>1746.44</v>
      </c>
      <c r="AS381" s="14">
        <f t="shared" si="541"/>
        <v>1617.67</v>
      </c>
      <c r="AT381" s="14">
        <f t="shared" si="548"/>
        <v>388861.29000000155</v>
      </c>
      <c r="AU381" s="300">
        <f t="shared" si="549"/>
        <v>1515.9858802753051</v>
      </c>
      <c r="AV381" s="300">
        <f t="shared" si="550"/>
        <v>364761.83799039747</v>
      </c>
    </row>
    <row r="382" spans="1:48" x14ac:dyDescent="0.25">
      <c r="A382" s="535" t="str">
        <f t="shared" si="603"/>
        <v xml:space="preserve"> </v>
      </c>
      <c r="B382" s="300">
        <f t="shared" si="597"/>
        <v>0</v>
      </c>
      <c r="C382" s="14">
        <f t="shared" si="535"/>
        <v>0</v>
      </c>
      <c r="D382" s="14">
        <f t="shared" si="551"/>
        <v>0</v>
      </c>
      <c r="E382" s="14">
        <f t="shared" si="536"/>
        <v>0</v>
      </c>
      <c r="F382" s="14">
        <f t="shared" si="604"/>
        <v>134.16999999999999</v>
      </c>
      <c r="G382" s="14">
        <f t="shared" si="600"/>
        <v>188.55</v>
      </c>
      <c r="H382" s="14">
        <f t="shared" si="601"/>
        <v>322.72000000000003</v>
      </c>
      <c r="I382" s="300">
        <f t="shared" si="605"/>
        <v>83483.170000000042</v>
      </c>
      <c r="J382" s="300">
        <f t="shared" si="606"/>
        <v>68536.320000000022</v>
      </c>
      <c r="K382" s="300">
        <f t="shared" si="607"/>
        <v>0</v>
      </c>
      <c r="L382" s="449">
        <f t="shared" si="587"/>
        <v>26</v>
      </c>
      <c r="M382" s="449">
        <f t="shared" si="543"/>
        <v>323</v>
      </c>
      <c r="N382" s="300">
        <f t="shared" si="544"/>
        <v>53698.270000000142</v>
      </c>
      <c r="O382" s="300">
        <f t="shared" ref="O382:O445" si="619">IF($O$9&lt;=A382,IF(+$W381&lt;=0,0,$O$8),0)</f>
        <v>1617.67</v>
      </c>
      <c r="P382" s="300">
        <f t="shared" si="552"/>
        <v>1304.43</v>
      </c>
      <c r="Q382" s="300">
        <f t="shared" ref="Q382:Q445" si="620">IF($O$9&lt;=A382,ROUND(N382*($O$6/12),2),0)</f>
        <v>313.24</v>
      </c>
      <c r="R382" s="300">
        <f t="shared" si="611"/>
        <v>134.16999999999999</v>
      </c>
      <c r="S382" s="300">
        <f t="shared" si="612"/>
        <v>188.55</v>
      </c>
      <c r="T382" s="300">
        <f t="shared" si="608"/>
        <v>1940.39</v>
      </c>
      <c r="U382" s="300">
        <f t="shared" si="553"/>
        <v>190754.66000000021</v>
      </c>
      <c r="V382" s="300">
        <f t="shared" si="554"/>
        <v>333370.41999999987</v>
      </c>
      <c r="W382" s="300">
        <f t="shared" si="609"/>
        <v>52393.840000000142</v>
      </c>
      <c r="X382" s="535" t="str">
        <f t="shared" si="545"/>
        <v xml:space="preserve"> </v>
      </c>
      <c r="Y382" s="300">
        <f t="shared" ref="Y382:Y445" si="621">IF(+AL381&lt;0,0,+AL381)</f>
        <v>242551.0300000002</v>
      </c>
      <c r="Z382" s="527">
        <f t="shared" si="537"/>
        <v>7.0000000000000007E-2</v>
      </c>
      <c r="AA382" s="300">
        <f t="shared" si="538"/>
        <v>1746.44</v>
      </c>
      <c r="AB382" s="300">
        <f t="shared" ref="AB382:AB445" si="622">+AA382-AC382</f>
        <v>331.55999999999995</v>
      </c>
      <c r="AC382" s="300">
        <f t="shared" si="539"/>
        <v>1414.88</v>
      </c>
      <c r="AD382" s="300">
        <f t="shared" ref="AD382:AE382" si="623">+AD381</f>
        <v>134.16999999999999</v>
      </c>
      <c r="AE382" s="300">
        <f t="shared" si="623"/>
        <v>188.55</v>
      </c>
      <c r="AF382" s="300">
        <f t="shared" ref="AF382:AF445" si="624">SUM(AB382:AE382)</f>
        <v>2069.1600000000003</v>
      </c>
      <c r="AG382" s="300">
        <f t="shared" ref="AG382:AG445" si="625">+AB382+AG381</f>
        <v>72704.62999999999</v>
      </c>
      <c r="AH382" s="300">
        <f t="shared" ref="AH382:AH445" si="626">+AH381+AC382</f>
        <v>484095.73000000027</v>
      </c>
      <c r="AI382" s="545">
        <f t="shared" si="614"/>
        <v>-32675.280000000093</v>
      </c>
      <c r="AJ382" s="545">
        <f t="shared" si="566"/>
        <v>-189825.63000000006</v>
      </c>
      <c r="AK382" s="545">
        <f t="shared" si="615"/>
        <v>-222500.91000000015</v>
      </c>
      <c r="AL382" s="300">
        <f t="shared" ref="AL382:AL445" si="627">+Y382-AB382</f>
        <v>242219.4700000002</v>
      </c>
      <c r="AM382" s="449">
        <f t="shared" si="547"/>
        <v>26</v>
      </c>
      <c r="AN382" s="14">
        <f t="shared" si="616"/>
        <v>1617.67</v>
      </c>
      <c r="AO382" s="14">
        <f t="shared" si="585"/>
        <v>124483.07999999978</v>
      </c>
      <c r="AP382" s="14">
        <f t="shared" si="617"/>
        <v>1746.44</v>
      </c>
      <c r="AS382" s="14">
        <f t="shared" si="541"/>
        <v>1617.67</v>
      </c>
      <c r="AT382" s="14">
        <f t="shared" si="548"/>
        <v>390478.96000000153</v>
      </c>
      <c r="AU382" s="300">
        <f t="shared" si="549"/>
        <v>1519.7758449759938</v>
      </c>
      <c r="AV382" s="300">
        <f t="shared" si="550"/>
        <v>366281.61383537349</v>
      </c>
    </row>
    <row r="383" spans="1:48" x14ac:dyDescent="0.25">
      <c r="A383" s="535" t="str">
        <f t="shared" si="603"/>
        <v xml:space="preserve"> </v>
      </c>
      <c r="B383" s="300">
        <f t="shared" si="597"/>
        <v>0</v>
      </c>
      <c r="C383" s="14">
        <f t="shared" si="535"/>
        <v>0</v>
      </c>
      <c r="D383" s="14">
        <f t="shared" si="551"/>
        <v>0</v>
      </c>
      <c r="E383" s="14">
        <f t="shared" si="536"/>
        <v>0</v>
      </c>
      <c r="F383" s="14">
        <f t="shared" si="604"/>
        <v>134.16999999999999</v>
      </c>
      <c r="G383" s="14">
        <f t="shared" si="600"/>
        <v>188.55</v>
      </c>
      <c r="H383" s="14">
        <f t="shared" si="601"/>
        <v>322.72000000000003</v>
      </c>
      <c r="I383" s="300">
        <f t="shared" si="605"/>
        <v>83483.170000000042</v>
      </c>
      <c r="J383" s="300">
        <f t="shared" si="606"/>
        <v>68536.320000000022</v>
      </c>
      <c r="K383" s="300">
        <f t="shared" si="607"/>
        <v>0</v>
      </c>
      <c r="L383" s="449">
        <f t="shared" si="587"/>
        <v>27</v>
      </c>
      <c r="M383" s="449">
        <f t="shared" si="543"/>
        <v>324</v>
      </c>
      <c r="N383" s="300">
        <f t="shared" si="544"/>
        <v>52393.840000000142</v>
      </c>
      <c r="O383" s="300">
        <f t="shared" si="619"/>
        <v>1617.67</v>
      </c>
      <c r="P383" s="300">
        <f t="shared" si="552"/>
        <v>1312.04</v>
      </c>
      <c r="Q383" s="300">
        <f t="shared" si="620"/>
        <v>305.63</v>
      </c>
      <c r="R383" s="300">
        <f t="shared" si="611"/>
        <v>134.16999999999999</v>
      </c>
      <c r="S383" s="300">
        <f t="shared" si="612"/>
        <v>188.55</v>
      </c>
      <c r="T383" s="300">
        <f t="shared" si="608"/>
        <v>1940.39</v>
      </c>
      <c r="U383" s="300">
        <f t="shared" si="553"/>
        <v>192066.70000000022</v>
      </c>
      <c r="V383" s="300">
        <f t="shared" si="554"/>
        <v>333676.04999999987</v>
      </c>
      <c r="W383" s="300">
        <f t="shared" si="609"/>
        <v>51081.800000000141</v>
      </c>
      <c r="X383" s="535" t="str">
        <f t="shared" si="545"/>
        <v xml:space="preserve"> </v>
      </c>
      <c r="Y383" s="300">
        <f t="shared" si="621"/>
        <v>242219.4700000002</v>
      </c>
      <c r="Z383" s="527">
        <f t="shared" si="537"/>
        <v>7.0000000000000007E-2</v>
      </c>
      <c r="AA383" s="300">
        <f t="shared" si="538"/>
        <v>1746.44</v>
      </c>
      <c r="AB383" s="300">
        <f t="shared" si="622"/>
        <v>333.49</v>
      </c>
      <c r="AC383" s="300">
        <f t="shared" si="539"/>
        <v>1412.95</v>
      </c>
      <c r="AD383" s="300">
        <f t="shared" ref="AD383:AE383" si="628">+AD382</f>
        <v>134.16999999999999</v>
      </c>
      <c r="AE383" s="300">
        <f t="shared" si="628"/>
        <v>188.55</v>
      </c>
      <c r="AF383" s="300">
        <f t="shared" si="624"/>
        <v>2069.1600000000003</v>
      </c>
      <c r="AG383" s="300">
        <f t="shared" si="625"/>
        <v>73038.12</v>
      </c>
      <c r="AH383" s="300">
        <f t="shared" si="626"/>
        <v>485508.68000000028</v>
      </c>
      <c r="AI383" s="545">
        <f t="shared" si="614"/>
        <v>-32804.05000000009</v>
      </c>
      <c r="AJ383" s="545">
        <f t="shared" si="566"/>
        <v>-190804.18000000008</v>
      </c>
      <c r="AK383" s="545">
        <f t="shared" si="615"/>
        <v>-223608.23000000016</v>
      </c>
      <c r="AL383" s="300">
        <f t="shared" si="627"/>
        <v>241885.98000000021</v>
      </c>
      <c r="AM383" s="449">
        <f t="shared" si="547"/>
        <v>27</v>
      </c>
      <c r="AN383" s="14">
        <f t="shared" si="616"/>
        <v>1617.67</v>
      </c>
      <c r="AO383" s="14">
        <f t="shared" si="585"/>
        <v>123171.03999999978</v>
      </c>
      <c r="AP383" s="14">
        <f t="shared" si="617"/>
        <v>1746.44</v>
      </c>
      <c r="AS383" s="14">
        <f t="shared" si="541"/>
        <v>1617.67</v>
      </c>
      <c r="AT383" s="14">
        <f t="shared" si="548"/>
        <v>392096.63000000152</v>
      </c>
      <c r="AU383" s="300">
        <f t="shared" si="549"/>
        <v>1523.5752845884335</v>
      </c>
      <c r="AV383" s="300">
        <f t="shared" si="550"/>
        <v>367805.18911996193</v>
      </c>
    </row>
    <row r="384" spans="1:48" x14ac:dyDescent="0.25">
      <c r="A384" s="535" t="str">
        <f t="shared" si="603"/>
        <v xml:space="preserve"> </v>
      </c>
      <c r="B384" s="300">
        <f t="shared" si="597"/>
        <v>0</v>
      </c>
      <c r="C384" s="14">
        <f t="shared" si="535"/>
        <v>0</v>
      </c>
      <c r="D384" s="14">
        <f t="shared" si="551"/>
        <v>0</v>
      </c>
      <c r="E384" s="14">
        <f t="shared" si="536"/>
        <v>0</v>
      </c>
      <c r="F384" s="14">
        <f t="shared" si="604"/>
        <v>134.16999999999999</v>
      </c>
      <c r="G384" s="14">
        <f t="shared" si="600"/>
        <v>188.55</v>
      </c>
      <c r="H384" s="14">
        <f t="shared" si="601"/>
        <v>322.72000000000003</v>
      </c>
      <c r="I384" s="300">
        <f t="shared" si="605"/>
        <v>83483.170000000042</v>
      </c>
      <c r="J384" s="300">
        <f t="shared" si="606"/>
        <v>68536.320000000022</v>
      </c>
      <c r="K384" s="300">
        <f t="shared" si="607"/>
        <v>0</v>
      </c>
      <c r="L384" s="449">
        <f t="shared" si="587"/>
        <v>27</v>
      </c>
      <c r="M384" s="449">
        <f t="shared" si="543"/>
        <v>325</v>
      </c>
      <c r="N384" s="300">
        <f t="shared" si="544"/>
        <v>51081.800000000141</v>
      </c>
      <c r="O384" s="300">
        <f t="shared" si="619"/>
        <v>1617.67</v>
      </c>
      <c r="P384" s="300">
        <f t="shared" si="552"/>
        <v>1319.69</v>
      </c>
      <c r="Q384" s="300">
        <f t="shared" si="620"/>
        <v>297.98</v>
      </c>
      <c r="R384" s="300">
        <f t="shared" si="611"/>
        <v>134.16999999999999</v>
      </c>
      <c r="S384" s="300">
        <f t="shared" si="612"/>
        <v>188.55</v>
      </c>
      <c r="T384" s="300">
        <f t="shared" si="608"/>
        <v>1940.39</v>
      </c>
      <c r="U384" s="300">
        <f t="shared" si="553"/>
        <v>193386.39000000022</v>
      </c>
      <c r="V384" s="300">
        <f t="shared" si="554"/>
        <v>333974.02999999985</v>
      </c>
      <c r="W384" s="300">
        <f t="shared" si="609"/>
        <v>49762.110000000139</v>
      </c>
      <c r="X384" s="535" t="str">
        <f t="shared" si="545"/>
        <v xml:space="preserve"> </v>
      </c>
      <c r="Y384" s="300">
        <f t="shared" si="621"/>
        <v>241885.98000000021</v>
      </c>
      <c r="Z384" s="527">
        <f t="shared" si="537"/>
        <v>7.0000000000000007E-2</v>
      </c>
      <c r="AA384" s="300">
        <f t="shared" si="538"/>
        <v>1746.44</v>
      </c>
      <c r="AB384" s="300">
        <f t="shared" si="622"/>
        <v>335.44000000000005</v>
      </c>
      <c r="AC384" s="300">
        <f t="shared" si="539"/>
        <v>1411</v>
      </c>
      <c r="AD384" s="300">
        <f t="shared" ref="AD384:AE384" si="629">+AD383</f>
        <v>134.16999999999999</v>
      </c>
      <c r="AE384" s="300">
        <f t="shared" si="629"/>
        <v>188.55</v>
      </c>
      <c r="AF384" s="300">
        <f t="shared" si="624"/>
        <v>2069.1600000000003</v>
      </c>
      <c r="AG384" s="300">
        <f t="shared" si="625"/>
        <v>73373.56</v>
      </c>
      <c r="AH384" s="300">
        <f t="shared" si="626"/>
        <v>486919.68000000028</v>
      </c>
      <c r="AI384" s="545">
        <f t="shared" si="614"/>
        <v>-32932.820000000087</v>
      </c>
      <c r="AJ384" s="545">
        <f t="shared" si="566"/>
        <v>-191788.43000000008</v>
      </c>
      <c r="AK384" s="545">
        <f t="shared" si="615"/>
        <v>-224721.25000000017</v>
      </c>
      <c r="AL384" s="300">
        <f t="shared" si="627"/>
        <v>241550.54000000021</v>
      </c>
      <c r="AM384" s="449">
        <f t="shared" si="547"/>
        <v>27</v>
      </c>
      <c r="AN384" s="14">
        <f t="shared" si="616"/>
        <v>1617.67</v>
      </c>
      <c r="AO384" s="14">
        <f t="shared" si="585"/>
        <v>121851.34999999977</v>
      </c>
      <c r="AP384" s="14">
        <f t="shared" si="617"/>
        <v>1746.44</v>
      </c>
      <c r="AS384" s="14">
        <f t="shared" si="541"/>
        <v>1617.67</v>
      </c>
      <c r="AT384" s="14">
        <f t="shared" si="548"/>
        <v>393714.3000000015</v>
      </c>
      <c r="AU384" s="300">
        <f t="shared" si="549"/>
        <v>1527.3842227999048</v>
      </c>
      <c r="AV384" s="300">
        <f t="shared" si="550"/>
        <v>369332.57334276184</v>
      </c>
    </row>
    <row r="385" spans="1:48" x14ac:dyDescent="0.25">
      <c r="A385" s="535" t="str">
        <f t="shared" si="603"/>
        <v xml:space="preserve"> </v>
      </c>
      <c r="B385" s="300">
        <f t="shared" si="597"/>
        <v>0</v>
      </c>
      <c r="C385" s="14">
        <f t="shared" si="535"/>
        <v>0</v>
      </c>
      <c r="D385" s="14">
        <f t="shared" si="551"/>
        <v>0</v>
      </c>
      <c r="E385" s="14">
        <f t="shared" si="536"/>
        <v>0</v>
      </c>
      <c r="F385" s="14">
        <f t="shared" si="604"/>
        <v>134.16999999999999</v>
      </c>
      <c r="G385" s="14">
        <f t="shared" si="600"/>
        <v>188.55</v>
      </c>
      <c r="H385" s="14">
        <f t="shared" si="601"/>
        <v>322.72000000000003</v>
      </c>
      <c r="I385" s="300">
        <f t="shared" si="605"/>
        <v>83483.170000000042</v>
      </c>
      <c r="J385" s="300">
        <f t="shared" si="606"/>
        <v>68536.320000000022</v>
      </c>
      <c r="K385" s="300">
        <f t="shared" si="607"/>
        <v>0</v>
      </c>
      <c r="L385" s="449">
        <f t="shared" si="587"/>
        <v>27</v>
      </c>
      <c r="M385" s="449">
        <f t="shared" si="543"/>
        <v>326</v>
      </c>
      <c r="N385" s="300">
        <f t="shared" si="544"/>
        <v>49762.110000000139</v>
      </c>
      <c r="O385" s="300">
        <f t="shared" si="619"/>
        <v>1617.67</v>
      </c>
      <c r="P385" s="300">
        <f t="shared" si="552"/>
        <v>1327.39</v>
      </c>
      <c r="Q385" s="300">
        <f t="shared" si="620"/>
        <v>290.27999999999997</v>
      </c>
      <c r="R385" s="300">
        <f t="shared" si="611"/>
        <v>134.16999999999999</v>
      </c>
      <c r="S385" s="300">
        <f t="shared" si="612"/>
        <v>188.55</v>
      </c>
      <c r="T385" s="300">
        <f t="shared" si="608"/>
        <v>1940.39</v>
      </c>
      <c r="U385" s="300">
        <f t="shared" si="553"/>
        <v>194713.78000000023</v>
      </c>
      <c r="V385" s="300">
        <f t="shared" si="554"/>
        <v>334264.30999999988</v>
      </c>
      <c r="W385" s="300">
        <f t="shared" si="609"/>
        <v>48434.720000000139</v>
      </c>
      <c r="X385" s="535" t="str">
        <f t="shared" si="545"/>
        <v xml:space="preserve"> </v>
      </c>
      <c r="Y385" s="300">
        <f t="shared" si="621"/>
        <v>241550.54000000021</v>
      </c>
      <c r="Z385" s="527">
        <f t="shared" si="537"/>
        <v>7.0000000000000007E-2</v>
      </c>
      <c r="AA385" s="300">
        <f t="shared" si="538"/>
        <v>1746.44</v>
      </c>
      <c r="AB385" s="300">
        <f t="shared" si="622"/>
        <v>337.40000000000009</v>
      </c>
      <c r="AC385" s="300">
        <f t="shared" si="539"/>
        <v>1409.04</v>
      </c>
      <c r="AD385" s="300">
        <f t="shared" ref="AD385:AE385" si="630">+AD384</f>
        <v>134.16999999999999</v>
      </c>
      <c r="AE385" s="300">
        <f t="shared" si="630"/>
        <v>188.55</v>
      </c>
      <c r="AF385" s="300">
        <f t="shared" si="624"/>
        <v>2069.1600000000003</v>
      </c>
      <c r="AG385" s="300">
        <f t="shared" si="625"/>
        <v>73710.959999999992</v>
      </c>
      <c r="AH385" s="300">
        <f t="shared" si="626"/>
        <v>488328.72000000026</v>
      </c>
      <c r="AI385" s="545">
        <f t="shared" si="614"/>
        <v>-33061.590000000084</v>
      </c>
      <c r="AJ385" s="545">
        <f t="shared" si="566"/>
        <v>-192778.42000000007</v>
      </c>
      <c r="AK385" s="545">
        <f t="shared" si="615"/>
        <v>-225840.01000000015</v>
      </c>
      <c r="AL385" s="300">
        <f t="shared" si="627"/>
        <v>241213.14000000022</v>
      </c>
      <c r="AM385" s="449">
        <f t="shared" si="547"/>
        <v>27</v>
      </c>
      <c r="AN385" s="14">
        <f t="shared" si="616"/>
        <v>1617.67</v>
      </c>
      <c r="AO385" s="14">
        <f t="shared" si="585"/>
        <v>120523.95999999976</v>
      </c>
      <c r="AP385" s="14">
        <f t="shared" si="617"/>
        <v>1746.44</v>
      </c>
      <c r="AS385" s="14">
        <f t="shared" si="541"/>
        <v>1617.67</v>
      </c>
      <c r="AT385" s="14">
        <f t="shared" si="548"/>
        <v>395331.97000000149</v>
      </c>
      <c r="AU385" s="300">
        <f t="shared" si="549"/>
        <v>1531.2026833569046</v>
      </c>
      <c r="AV385" s="300">
        <f t="shared" si="550"/>
        <v>370863.77602611872</v>
      </c>
    </row>
    <row r="386" spans="1:48" ht="15.75" thickBot="1" x14ac:dyDescent="0.3">
      <c r="A386" s="538" t="str">
        <f t="shared" si="603"/>
        <v xml:space="preserve"> </v>
      </c>
      <c r="B386" s="369">
        <f t="shared" si="597"/>
        <v>0</v>
      </c>
      <c r="C386" s="21">
        <f t="shared" si="535"/>
        <v>0</v>
      </c>
      <c r="D386" s="21">
        <f t="shared" si="551"/>
        <v>0</v>
      </c>
      <c r="E386" s="21">
        <f t="shared" si="536"/>
        <v>0</v>
      </c>
      <c r="F386" s="21">
        <f t="shared" si="604"/>
        <v>134.16999999999999</v>
      </c>
      <c r="G386" s="21">
        <f t="shared" si="600"/>
        <v>188.55</v>
      </c>
      <c r="H386" s="21">
        <f t="shared" si="601"/>
        <v>322.72000000000003</v>
      </c>
      <c r="I386" s="369">
        <f t="shared" si="605"/>
        <v>83483.170000000042</v>
      </c>
      <c r="J386" s="369">
        <f t="shared" si="606"/>
        <v>68536.320000000022</v>
      </c>
      <c r="K386" s="369">
        <f t="shared" si="607"/>
        <v>0</v>
      </c>
      <c r="L386" s="450">
        <f t="shared" si="587"/>
        <v>27</v>
      </c>
      <c r="M386" s="450">
        <f t="shared" si="543"/>
        <v>327</v>
      </c>
      <c r="N386" s="369">
        <f t="shared" si="544"/>
        <v>48434.720000000139</v>
      </c>
      <c r="O386" s="369">
        <f t="shared" si="619"/>
        <v>1617.67</v>
      </c>
      <c r="P386" s="369">
        <f t="shared" si="552"/>
        <v>1335.13</v>
      </c>
      <c r="Q386" s="369">
        <f t="shared" si="620"/>
        <v>282.54000000000002</v>
      </c>
      <c r="R386" s="369">
        <f t="shared" si="611"/>
        <v>134.16999999999999</v>
      </c>
      <c r="S386" s="369">
        <f t="shared" si="612"/>
        <v>188.55</v>
      </c>
      <c r="T386" s="369">
        <f t="shared" si="608"/>
        <v>1940.39</v>
      </c>
      <c r="U386" s="369">
        <f t="shared" si="553"/>
        <v>196048.91000000024</v>
      </c>
      <c r="V386" s="369">
        <f t="shared" si="554"/>
        <v>334546.84999999986</v>
      </c>
      <c r="W386" s="369">
        <f t="shared" si="609"/>
        <v>47099.590000000142</v>
      </c>
      <c r="X386" s="538" t="str">
        <f t="shared" si="545"/>
        <v xml:space="preserve"> </v>
      </c>
      <c r="Y386" s="369">
        <f t="shared" si="621"/>
        <v>241213.14000000022</v>
      </c>
      <c r="Z386" s="528">
        <f t="shared" si="537"/>
        <v>7.0000000000000007E-2</v>
      </c>
      <c r="AA386" s="369">
        <f t="shared" si="538"/>
        <v>1746.44</v>
      </c>
      <c r="AB386" s="369">
        <f t="shared" si="622"/>
        <v>339.36000000000013</v>
      </c>
      <c r="AC386" s="369">
        <f t="shared" si="539"/>
        <v>1407.08</v>
      </c>
      <c r="AD386" s="369">
        <f t="shared" ref="AD386:AE386" si="631">+AD385</f>
        <v>134.16999999999999</v>
      </c>
      <c r="AE386" s="369">
        <f t="shared" si="631"/>
        <v>188.55</v>
      </c>
      <c r="AF386" s="369">
        <f t="shared" si="624"/>
        <v>2069.1600000000003</v>
      </c>
      <c r="AG386" s="369">
        <f t="shared" si="625"/>
        <v>74050.319999999992</v>
      </c>
      <c r="AH386" s="369">
        <f t="shared" si="626"/>
        <v>489735.80000000028</v>
      </c>
      <c r="AI386" s="546">
        <f t="shared" si="614"/>
        <v>-33190.360000000081</v>
      </c>
      <c r="AJ386" s="546">
        <f t="shared" si="566"/>
        <v>-193774.19000000009</v>
      </c>
      <c r="AK386" s="545">
        <f t="shared" si="615"/>
        <v>-226964.55000000016</v>
      </c>
      <c r="AL386" s="369">
        <f t="shared" si="627"/>
        <v>240873.78000000023</v>
      </c>
      <c r="AM386" s="450">
        <f t="shared" si="547"/>
        <v>27</v>
      </c>
      <c r="AN386" s="21">
        <f t="shared" si="616"/>
        <v>1617.67</v>
      </c>
      <c r="AO386" s="21">
        <f t="shared" si="585"/>
        <v>119188.82999999975</v>
      </c>
      <c r="AP386" s="21">
        <f t="shared" si="617"/>
        <v>1746.44</v>
      </c>
      <c r="AQ386" s="21"/>
      <c r="AR386" s="23"/>
      <c r="AS386" s="21">
        <f t="shared" si="541"/>
        <v>1617.67</v>
      </c>
      <c r="AT386" s="21">
        <f t="shared" si="548"/>
        <v>396949.64000000147</v>
      </c>
      <c r="AU386" s="369">
        <f t="shared" si="549"/>
        <v>1535.0306900652968</v>
      </c>
      <c r="AV386" s="369">
        <f t="shared" si="550"/>
        <v>372398.80671618402</v>
      </c>
    </row>
    <row r="387" spans="1:48" x14ac:dyDescent="0.25">
      <c r="A387" s="535" t="str">
        <f t="shared" si="603"/>
        <v xml:space="preserve"> </v>
      </c>
      <c r="B387" s="300">
        <f t="shared" si="597"/>
        <v>0</v>
      </c>
      <c r="C387" s="14">
        <f t="shared" si="535"/>
        <v>0</v>
      </c>
      <c r="D387" s="14">
        <f t="shared" si="551"/>
        <v>0</v>
      </c>
      <c r="E387" s="14">
        <f t="shared" si="536"/>
        <v>0</v>
      </c>
      <c r="F387" s="14">
        <f t="shared" si="604"/>
        <v>134.16999999999999</v>
      </c>
      <c r="G387" s="14">
        <f t="shared" si="600"/>
        <v>188.55</v>
      </c>
      <c r="H387" s="14">
        <f t="shared" si="601"/>
        <v>322.72000000000003</v>
      </c>
      <c r="I387" s="300">
        <f t="shared" si="605"/>
        <v>83483.170000000042</v>
      </c>
      <c r="J387" s="300">
        <f t="shared" si="606"/>
        <v>68536.320000000022</v>
      </c>
      <c r="K387" s="300">
        <f t="shared" si="607"/>
        <v>0</v>
      </c>
      <c r="L387" s="449">
        <f t="shared" si="587"/>
        <v>27</v>
      </c>
      <c r="M387" s="449">
        <f t="shared" si="543"/>
        <v>328</v>
      </c>
      <c r="N387" s="300">
        <f t="shared" si="544"/>
        <v>47099.590000000142</v>
      </c>
      <c r="O387" s="300">
        <f t="shared" si="619"/>
        <v>1617.67</v>
      </c>
      <c r="P387" s="300">
        <f t="shared" si="552"/>
        <v>1342.92</v>
      </c>
      <c r="Q387" s="300">
        <f t="shared" si="620"/>
        <v>274.75</v>
      </c>
      <c r="R387" s="300">
        <f t="shared" si="611"/>
        <v>134.16999999999999</v>
      </c>
      <c r="S387" s="300">
        <f t="shared" si="612"/>
        <v>188.55</v>
      </c>
      <c r="T387" s="300">
        <f t="shared" si="608"/>
        <v>1940.39</v>
      </c>
      <c r="U387" s="300">
        <f t="shared" si="553"/>
        <v>197391.83000000025</v>
      </c>
      <c r="V387" s="300">
        <f t="shared" si="554"/>
        <v>334821.59999999986</v>
      </c>
      <c r="W387" s="300">
        <f t="shared" si="609"/>
        <v>45756.670000000144</v>
      </c>
      <c r="X387" s="535" t="str">
        <f t="shared" si="545"/>
        <v xml:space="preserve"> </v>
      </c>
      <c r="Y387" s="300">
        <f t="shared" si="621"/>
        <v>240873.78000000023</v>
      </c>
      <c r="Z387" s="527">
        <f t="shared" si="537"/>
        <v>7.0000000000000007E-2</v>
      </c>
      <c r="AA387" s="300">
        <f t="shared" si="538"/>
        <v>1746.44</v>
      </c>
      <c r="AB387" s="300">
        <f t="shared" si="622"/>
        <v>341.34000000000015</v>
      </c>
      <c r="AC387" s="300">
        <f t="shared" si="539"/>
        <v>1405.1</v>
      </c>
      <c r="AD387" s="300">
        <f t="shared" ref="AD387:AE387" si="632">+AD386</f>
        <v>134.16999999999999</v>
      </c>
      <c r="AE387" s="300">
        <f t="shared" si="632"/>
        <v>188.55</v>
      </c>
      <c r="AF387" s="300">
        <f t="shared" si="624"/>
        <v>2069.1600000000003</v>
      </c>
      <c r="AG387" s="300">
        <f t="shared" si="625"/>
        <v>74391.659999999989</v>
      </c>
      <c r="AH387" s="300">
        <f t="shared" si="626"/>
        <v>491140.90000000026</v>
      </c>
      <c r="AI387" s="545">
        <f t="shared" si="614"/>
        <v>-33319.130000000077</v>
      </c>
      <c r="AJ387" s="545">
        <f t="shared" si="566"/>
        <v>-194775.77000000008</v>
      </c>
      <c r="AK387" s="545">
        <f t="shared" si="615"/>
        <v>-228094.90000000014</v>
      </c>
      <c r="AL387" s="300">
        <f t="shared" si="627"/>
        <v>240532.44000000024</v>
      </c>
      <c r="AM387" s="449">
        <f t="shared" si="547"/>
        <v>27</v>
      </c>
      <c r="AN387" s="14">
        <f t="shared" si="616"/>
        <v>1617.67</v>
      </c>
      <c r="AO387" s="14">
        <f t="shared" si="585"/>
        <v>117845.90999999974</v>
      </c>
      <c r="AP387" s="14">
        <f t="shared" si="617"/>
        <v>1746.44</v>
      </c>
      <c r="AS387" s="14">
        <f t="shared" si="541"/>
        <v>1617.67</v>
      </c>
      <c r="AT387" s="14">
        <f t="shared" si="548"/>
        <v>398567.31000000145</v>
      </c>
      <c r="AU387" s="300">
        <f t="shared" si="549"/>
        <v>1538.8682667904598</v>
      </c>
      <c r="AV387" s="300">
        <f t="shared" si="550"/>
        <v>373937.67498297448</v>
      </c>
    </row>
    <row r="388" spans="1:48" x14ac:dyDescent="0.25">
      <c r="A388" s="535" t="str">
        <f t="shared" si="603"/>
        <v xml:space="preserve"> </v>
      </c>
      <c r="B388" s="300">
        <f t="shared" si="597"/>
        <v>0</v>
      </c>
      <c r="C388" s="14">
        <f t="shared" si="535"/>
        <v>0</v>
      </c>
      <c r="D388" s="14">
        <f t="shared" si="551"/>
        <v>0</v>
      </c>
      <c r="E388" s="14">
        <f t="shared" si="536"/>
        <v>0</v>
      </c>
      <c r="F388" s="14">
        <f t="shared" si="604"/>
        <v>134.16999999999999</v>
      </c>
      <c r="G388" s="14">
        <f t="shared" si="600"/>
        <v>188.55</v>
      </c>
      <c r="H388" s="14">
        <f t="shared" si="601"/>
        <v>322.72000000000003</v>
      </c>
      <c r="I388" s="300">
        <f t="shared" si="605"/>
        <v>83483.170000000042</v>
      </c>
      <c r="J388" s="300">
        <f t="shared" si="606"/>
        <v>68536.320000000022</v>
      </c>
      <c r="K388" s="300">
        <f t="shared" si="607"/>
        <v>0</v>
      </c>
      <c r="L388" s="449">
        <f t="shared" si="587"/>
        <v>27</v>
      </c>
      <c r="M388" s="449">
        <f t="shared" si="543"/>
        <v>329</v>
      </c>
      <c r="N388" s="300">
        <f t="shared" si="544"/>
        <v>45756.670000000144</v>
      </c>
      <c r="O388" s="300">
        <f t="shared" si="619"/>
        <v>1617.67</v>
      </c>
      <c r="P388" s="300">
        <f t="shared" si="552"/>
        <v>1350.76</v>
      </c>
      <c r="Q388" s="300">
        <f t="shared" si="620"/>
        <v>266.91000000000003</v>
      </c>
      <c r="R388" s="300">
        <f t="shared" si="611"/>
        <v>134.16999999999999</v>
      </c>
      <c r="S388" s="300">
        <f t="shared" si="612"/>
        <v>188.55</v>
      </c>
      <c r="T388" s="300">
        <f t="shared" si="608"/>
        <v>1940.39</v>
      </c>
      <c r="U388" s="300">
        <f t="shared" si="553"/>
        <v>198742.59000000026</v>
      </c>
      <c r="V388" s="300">
        <f t="shared" si="554"/>
        <v>335088.50999999983</v>
      </c>
      <c r="W388" s="300">
        <f t="shared" si="609"/>
        <v>44405.910000000142</v>
      </c>
      <c r="X388" s="535" t="str">
        <f t="shared" si="545"/>
        <v xml:space="preserve"> </v>
      </c>
      <c r="Y388" s="300">
        <f t="shared" si="621"/>
        <v>240532.44000000024</v>
      </c>
      <c r="Z388" s="527">
        <f t="shared" si="537"/>
        <v>7.0000000000000007E-2</v>
      </c>
      <c r="AA388" s="300">
        <f t="shared" si="538"/>
        <v>1746.44</v>
      </c>
      <c r="AB388" s="300">
        <f t="shared" si="622"/>
        <v>343.33000000000015</v>
      </c>
      <c r="AC388" s="300">
        <f t="shared" si="539"/>
        <v>1403.11</v>
      </c>
      <c r="AD388" s="300">
        <f t="shared" ref="AD388:AE388" si="633">+AD387</f>
        <v>134.16999999999999</v>
      </c>
      <c r="AE388" s="300">
        <f t="shared" si="633"/>
        <v>188.55</v>
      </c>
      <c r="AF388" s="300">
        <f t="shared" si="624"/>
        <v>2069.1600000000003</v>
      </c>
      <c r="AG388" s="300">
        <f t="shared" si="625"/>
        <v>74734.989999999991</v>
      </c>
      <c r="AH388" s="300">
        <f t="shared" si="626"/>
        <v>492544.01000000024</v>
      </c>
      <c r="AI388" s="545">
        <f t="shared" si="614"/>
        <v>-33447.900000000074</v>
      </c>
      <c r="AJ388" s="545">
        <f t="shared" si="566"/>
        <v>-195783.2000000001</v>
      </c>
      <c r="AK388" s="545">
        <f t="shared" si="615"/>
        <v>-229231.10000000018</v>
      </c>
      <c r="AL388" s="300">
        <f t="shared" si="627"/>
        <v>240189.11000000025</v>
      </c>
      <c r="AM388" s="449">
        <f t="shared" si="547"/>
        <v>27</v>
      </c>
      <c r="AN388" s="14">
        <f t="shared" si="616"/>
        <v>1617.67</v>
      </c>
      <c r="AO388" s="14">
        <f t="shared" si="585"/>
        <v>116495.14999999973</v>
      </c>
      <c r="AP388" s="14">
        <f t="shared" si="617"/>
        <v>1746.44</v>
      </c>
      <c r="AS388" s="14">
        <f t="shared" si="541"/>
        <v>1617.67</v>
      </c>
      <c r="AT388" s="14">
        <f t="shared" si="548"/>
        <v>400184.98000000144</v>
      </c>
      <c r="AU388" s="300">
        <f t="shared" si="549"/>
        <v>1542.7154374574363</v>
      </c>
      <c r="AV388" s="300">
        <f t="shared" si="550"/>
        <v>375480.39042043191</v>
      </c>
    </row>
    <row r="389" spans="1:48" x14ac:dyDescent="0.25">
      <c r="A389" s="535" t="str">
        <f t="shared" si="603"/>
        <v xml:space="preserve"> </v>
      </c>
      <c r="B389" s="300">
        <f t="shared" si="597"/>
        <v>0</v>
      </c>
      <c r="C389" s="14">
        <f t="shared" si="535"/>
        <v>0</v>
      </c>
      <c r="D389" s="14">
        <f t="shared" si="551"/>
        <v>0</v>
      </c>
      <c r="E389" s="14">
        <f t="shared" si="536"/>
        <v>0</v>
      </c>
      <c r="F389" s="14">
        <f t="shared" si="604"/>
        <v>134.16999999999999</v>
      </c>
      <c r="G389" s="14">
        <f t="shared" si="600"/>
        <v>188.55</v>
      </c>
      <c r="H389" s="14">
        <f t="shared" si="601"/>
        <v>322.72000000000003</v>
      </c>
      <c r="I389" s="300">
        <f t="shared" si="605"/>
        <v>83483.170000000042</v>
      </c>
      <c r="J389" s="300">
        <f t="shared" si="606"/>
        <v>68536.320000000022</v>
      </c>
      <c r="K389" s="300">
        <f t="shared" si="607"/>
        <v>0</v>
      </c>
      <c r="L389" s="449">
        <f t="shared" si="587"/>
        <v>27</v>
      </c>
      <c r="M389" s="449">
        <f t="shared" si="543"/>
        <v>330</v>
      </c>
      <c r="N389" s="300">
        <f t="shared" si="544"/>
        <v>44405.910000000142</v>
      </c>
      <c r="O389" s="300">
        <f t="shared" si="619"/>
        <v>1617.67</v>
      </c>
      <c r="P389" s="300">
        <f t="shared" si="552"/>
        <v>1358.64</v>
      </c>
      <c r="Q389" s="300">
        <f t="shared" si="620"/>
        <v>259.02999999999997</v>
      </c>
      <c r="R389" s="300">
        <f t="shared" si="611"/>
        <v>134.16999999999999</v>
      </c>
      <c r="S389" s="300">
        <f t="shared" si="612"/>
        <v>188.55</v>
      </c>
      <c r="T389" s="300">
        <f t="shared" si="608"/>
        <v>1940.39</v>
      </c>
      <c r="U389" s="300">
        <f t="shared" si="553"/>
        <v>200101.23000000027</v>
      </c>
      <c r="V389" s="300">
        <f t="shared" si="554"/>
        <v>335347.53999999986</v>
      </c>
      <c r="W389" s="300">
        <f t="shared" si="609"/>
        <v>43047.270000000142</v>
      </c>
      <c r="X389" s="535" t="str">
        <f t="shared" si="545"/>
        <v xml:space="preserve"> </v>
      </c>
      <c r="Y389" s="300">
        <f t="shared" si="621"/>
        <v>240189.11000000025</v>
      </c>
      <c r="Z389" s="527">
        <f t="shared" si="537"/>
        <v>7.0000000000000007E-2</v>
      </c>
      <c r="AA389" s="300">
        <f t="shared" si="538"/>
        <v>1746.44</v>
      </c>
      <c r="AB389" s="300">
        <f t="shared" si="622"/>
        <v>345.34000000000015</v>
      </c>
      <c r="AC389" s="300">
        <f t="shared" si="539"/>
        <v>1401.1</v>
      </c>
      <c r="AD389" s="300">
        <f t="shared" ref="AD389:AE389" si="634">+AD388</f>
        <v>134.16999999999999</v>
      </c>
      <c r="AE389" s="300">
        <f t="shared" si="634"/>
        <v>188.55</v>
      </c>
      <c r="AF389" s="300">
        <f t="shared" si="624"/>
        <v>2069.1600000000003</v>
      </c>
      <c r="AG389" s="300">
        <f t="shared" si="625"/>
        <v>75080.329999999987</v>
      </c>
      <c r="AH389" s="300">
        <f t="shared" si="626"/>
        <v>493945.11000000022</v>
      </c>
      <c r="AI389" s="545">
        <f t="shared" si="614"/>
        <v>-33576.670000000071</v>
      </c>
      <c r="AJ389" s="545">
        <f t="shared" si="566"/>
        <v>-196796.50000000012</v>
      </c>
      <c r="AK389" s="545">
        <f t="shared" si="615"/>
        <v>-230373.17000000019</v>
      </c>
      <c r="AL389" s="300">
        <f t="shared" si="627"/>
        <v>239843.77000000025</v>
      </c>
      <c r="AM389" s="449">
        <f t="shared" si="547"/>
        <v>27</v>
      </c>
      <c r="AN389" s="14">
        <f t="shared" si="616"/>
        <v>1617.67</v>
      </c>
      <c r="AO389" s="14">
        <f t="shared" si="585"/>
        <v>115136.50999999972</v>
      </c>
      <c r="AP389" s="14">
        <f t="shared" si="617"/>
        <v>1746.44</v>
      </c>
      <c r="AS389" s="14">
        <f t="shared" si="541"/>
        <v>1617.67</v>
      </c>
      <c r="AT389" s="14">
        <f t="shared" si="548"/>
        <v>401802.65000000142</v>
      </c>
      <c r="AU389" s="300">
        <f t="shared" si="549"/>
        <v>1546.57222605108</v>
      </c>
      <c r="AV389" s="300">
        <f t="shared" si="550"/>
        <v>377026.96264648298</v>
      </c>
    </row>
    <row r="390" spans="1:48" x14ac:dyDescent="0.25">
      <c r="A390" s="535" t="str">
        <f t="shared" si="603"/>
        <v xml:space="preserve"> </v>
      </c>
      <c r="B390" s="300">
        <f t="shared" si="597"/>
        <v>0</v>
      </c>
      <c r="C390" s="14">
        <f t="shared" si="535"/>
        <v>0</v>
      </c>
      <c r="D390" s="14">
        <f t="shared" si="551"/>
        <v>0</v>
      </c>
      <c r="E390" s="14">
        <f t="shared" si="536"/>
        <v>0</v>
      </c>
      <c r="F390" s="14">
        <f t="shared" si="604"/>
        <v>134.16999999999999</v>
      </c>
      <c r="G390" s="14">
        <f t="shared" si="600"/>
        <v>188.55</v>
      </c>
      <c r="H390" s="14">
        <f t="shared" si="601"/>
        <v>322.72000000000003</v>
      </c>
      <c r="I390" s="300">
        <f t="shared" si="605"/>
        <v>83483.170000000042</v>
      </c>
      <c r="J390" s="300">
        <f t="shared" si="606"/>
        <v>68536.320000000022</v>
      </c>
      <c r="K390" s="300">
        <f t="shared" si="607"/>
        <v>0</v>
      </c>
      <c r="L390" s="449">
        <f t="shared" si="587"/>
        <v>27</v>
      </c>
      <c r="M390" s="449">
        <f t="shared" si="543"/>
        <v>331</v>
      </c>
      <c r="N390" s="300">
        <f t="shared" si="544"/>
        <v>43047.270000000142</v>
      </c>
      <c r="O390" s="300">
        <f t="shared" si="619"/>
        <v>1617.67</v>
      </c>
      <c r="P390" s="300">
        <f t="shared" si="552"/>
        <v>1366.56</v>
      </c>
      <c r="Q390" s="300">
        <f t="shared" si="620"/>
        <v>251.11</v>
      </c>
      <c r="R390" s="300">
        <f t="shared" si="611"/>
        <v>134.16999999999999</v>
      </c>
      <c r="S390" s="300">
        <f t="shared" si="612"/>
        <v>188.55</v>
      </c>
      <c r="T390" s="300">
        <f t="shared" si="608"/>
        <v>1940.39</v>
      </c>
      <c r="U390" s="300">
        <f t="shared" si="553"/>
        <v>201467.79000000027</v>
      </c>
      <c r="V390" s="300">
        <f t="shared" si="554"/>
        <v>335598.64999999985</v>
      </c>
      <c r="W390" s="300">
        <f t="shared" si="609"/>
        <v>41680.710000000145</v>
      </c>
      <c r="X390" s="535" t="str">
        <f t="shared" si="545"/>
        <v xml:space="preserve"> </v>
      </c>
      <c r="Y390" s="300">
        <f t="shared" si="621"/>
        <v>239843.77000000025</v>
      </c>
      <c r="Z390" s="527">
        <f t="shared" si="537"/>
        <v>7.0000000000000007E-2</v>
      </c>
      <c r="AA390" s="300">
        <f t="shared" si="538"/>
        <v>1746.44</v>
      </c>
      <c r="AB390" s="300">
        <f t="shared" si="622"/>
        <v>347.35000000000014</v>
      </c>
      <c r="AC390" s="300">
        <f t="shared" si="539"/>
        <v>1399.09</v>
      </c>
      <c r="AD390" s="300">
        <f t="shared" ref="AD390:AE390" si="635">+AD389</f>
        <v>134.16999999999999</v>
      </c>
      <c r="AE390" s="300">
        <f t="shared" si="635"/>
        <v>188.55</v>
      </c>
      <c r="AF390" s="300">
        <f t="shared" si="624"/>
        <v>2069.1600000000003</v>
      </c>
      <c r="AG390" s="300">
        <f t="shared" si="625"/>
        <v>75427.679999999993</v>
      </c>
      <c r="AH390" s="300">
        <f t="shared" si="626"/>
        <v>495344.20000000024</v>
      </c>
      <c r="AI390" s="545">
        <f t="shared" si="614"/>
        <v>-33705.440000000068</v>
      </c>
      <c r="AJ390" s="545">
        <f t="shared" si="566"/>
        <v>-197815.71000000011</v>
      </c>
      <c r="AK390" s="545">
        <f t="shared" si="615"/>
        <v>-231521.15000000017</v>
      </c>
      <c r="AL390" s="300">
        <f t="shared" si="627"/>
        <v>239496.42000000025</v>
      </c>
      <c r="AM390" s="449">
        <f t="shared" si="547"/>
        <v>27</v>
      </c>
      <c r="AN390" s="14">
        <f t="shared" si="616"/>
        <v>1617.67</v>
      </c>
      <c r="AO390" s="14">
        <f t="shared" si="585"/>
        <v>113769.94999999972</v>
      </c>
      <c r="AP390" s="14">
        <f t="shared" si="617"/>
        <v>1746.44</v>
      </c>
      <c r="AS390" s="14">
        <f t="shared" si="541"/>
        <v>1617.67</v>
      </c>
      <c r="AT390" s="14">
        <f t="shared" si="548"/>
        <v>403420.3200000014</v>
      </c>
      <c r="AU390" s="300">
        <f t="shared" si="549"/>
        <v>1550.4386566162075</v>
      </c>
      <c r="AV390" s="300">
        <f t="shared" si="550"/>
        <v>378577.40130309918</v>
      </c>
    </row>
    <row r="391" spans="1:48" x14ac:dyDescent="0.25">
      <c r="A391" s="535" t="str">
        <f t="shared" si="603"/>
        <v xml:space="preserve"> </v>
      </c>
      <c r="B391" s="300">
        <f t="shared" si="597"/>
        <v>0</v>
      </c>
      <c r="C391" s="14">
        <f t="shared" si="535"/>
        <v>0</v>
      </c>
      <c r="D391" s="14">
        <f t="shared" si="551"/>
        <v>0</v>
      </c>
      <c r="E391" s="14">
        <f t="shared" si="536"/>
        <v>0</v>
      </c>
      <c r="F391" s="14">
        <f t="shared" si="604"/>
        <v>134.16999999999999</v>
      </c>
      <c r="G391" s="14">
        <f t="shared" si="600"/>
        <v>188.55</v>
      </c>
      <c r="H391" s="14">
        <f t="shared" si="601"/>
        <v>322.72000000000003</v>
      </c>
      <c r="I391" s="300">
        <f t="shared" si="605"/>
        <v>83483.170000000042</v>
      </c>
      <c r="J391" s="300">
        <f t="shared" si="606"/>
        <v>68536.320000000022</v>
      </c>
      <c r="K391" s="300">
        <f t="shared" si="607"/>
        <v>0</v>
      </c>
      <c r="L391" s="449">
        <f t="shared" si="587"/>
        <v>27</v>
      </c>
      <c r="M391" s="449">
        <f t="shared" si="543"/>
        <v>332</v>
      </c>
      <c r="N391" s="300">
        <f t="shared" si="544"/>
        <v>41680.710000000145</v>
      </c>
      <c r="O391" s="300">
        <f t="shared" si="619"/>
        <v>1617.67</v>
      </c>
      <c r="P391" s="300">
        <f t="shared" si="552"/>
        <v>1374.5300000000002</v>
      </c>
      <c r="Q391" s="300">
        <f t="shared" si="620"/>
        <v>243.14</v>
      </c>
      <c r="R391" s="300">
        <f t="shared" si="611"/>
        <v>134.16999999999999</v>
      </c>
      <c r="S391" s="300">
        <f t="shared" si="612"/>
        <v>188.55</v>
      </c>
      <c r="T391" s="300">
        <f t="shared" si="608"/>
        <v>1940.39</v>
      </c>
      <c r="U391" s="300">
        <f t="shared" si="553"/>
        <v>202842.32000000027</v>
      </c>
      <c r="V391" s="300">
        <f t="shared" si="554"/>
        <v>335841.78999999986</v>
      </c>
      <c r="W391" s="300">
        <f t="shared" si="609"/>
        <v>40306.180000000146</v>
      </c>
      <c r="X391" s="535" t="str">
        <f t="shared" si="545"/>
        <v xml:space="preserve"> </v>
      </c>
      <c r="Y391" s="300">
        <f t="shared" si="621"/>
        <v>239496.42000000025</v>
      </c>
      <c r="Z391" s="527">
        <f t="shared" si="537"/>
        <v>7.0000000000000007E-2</v>
      </c>
      <c r="AA391" s="300">
        <f t="shared" si="538"/>
        <v>1746.44</v>
      </c>
      <c r="AB391" s="300">
        <f t="shared" si="622"/>
        <v>349.38000000000011</v>
      </c>
      <c r="AC391" s="300">
        <f t="shared" si="539"/>
        <v>1397.06</v>
      </c>
      <c r="AD391" s="300">
        <f t="shared" ref="AD391:AE391" si="636">+AD390</f>
        <v>134.16999999999999</v>
      </c>
      <c r="AE391" s="300">
        <f t="shared" si="636"/>
        <v>188.55</v>
      </c>
      <c r="AF391" s="300">
        <f t="shared" si="624"/>
        <v>2069.1600000000003</v>
      </c>
      <c r="AG391" s="300">
        <f t="shared" si="625"/>
        <v>75777.06</v>
      </c>
      <c r="AH391" s="300">
        <f t="shared" si="626"/>
        <v>496741.26000000024</v>
      </c>
      <c r="AI391" s="545">
        <f t="shared" si="614"/>
        <v>-33834.210000000065</v>
      </c>
      <c r="AJ391" s="545">
        <f t="shared" si="566"/>
        <v>-198840.8600000001</v>
      </c>
      <c r="AK391" s="545">
        <f t="shared" si="615"/>
        <v>-232675.07000000018</v>
      </c>
      <c r="AL391" s="300">
        <f t="shared" si="627"/>
        <v>239147.04000000024</v>
      </c>
      <c r="AM391" s="449">
        <f t="shared" si="547"/>
        <v>27</v>
      </c>
      <c r="AN391" s="14">
        <f t="shared" si="616"/>
        <v>1617.67</v>
      </c>
      <c r="AO391" s="14">
        <f t="shared" si="585"/>
        <v>112395.41999999972</v>
      </c>
      <c r="AP391" s="14">
        <f t="shared" si="617"/>
        <v>1746.44</v>
      </c>
      <c r="AS391" s="14">
        <f t="shared" si="541"/>
        <v>1617.67</v>
      </c>
      <c r="AT391" s="14">
        <f t="shared" si="548"/>
        <v>405037.99000000139</v>
      </c>
      <c r="AU391" s="300">
        <f t="shared" si="549"/>
        <v>1554.314753257748</v>
      </c>
      <c r="AV391" s="300">
        <f t="shared" si="550"/>
        <v>380131.71605635691</v>
      </c>
    </row>
    <row r="392" spans="1:48" x14ac:dyDescent="0.25">
      <c r="A392" s="535" t="str">
        <f t="shared" si="603"/>
        <v xml:space="preserve"> </v>
      </c>
      <c r="B392" s="300">
        <f t="shared" si="597"/>
        <v>0</v>
      </c>
      <c r="C392" s="14">
        <f t="shared" si="535"/>
        <v>0</v>
      </c>
      <c r="D392" s="14">
        <f t="shared" si="551"/>
        <v>0</v>
      </c>
      <c r="E392" s="14">
        <f t="shared" si="536"/>
        <v>0</v>
      </c>
      <c r="F392" s="14">
        <f t="shared" si="604"/>
        <v>134.16999999999999</v>
      </c>
      <c r="G392" s="14">
        <f t="shared" si="600"/>
        <v>188.55</v>
      </c>
      <c r="H392" s="14">
        <f t="shared" si="601"/>
        <v>322.72000000000003</v>
      </c>
      <c r="I392" s="300">
        <f t="shared" si="605"/>
        <v>83483.170000000042</v>
      </c>
      <c r="J392" s="300">
        <f t="shared" si="606"/>
        <v>68536.320000000022</v>
      </c>
      <c r="K392" s="300">
        <f t="shared" si="607"/>
        <v>0</v>
      </c>
      <c r="L392" s="449">
        <f t="shared" si="587"/>
        <v>27</v>
      </c>
      <c r="M392" s="449">
        <f t="shared" si="543"/>
        <v>333</v>
      </c>
      <c r="N392" s="300">
        <f t="shared" si="544"/>
        <v>40306.180000000146</v>
      </c>
      <c r="O392" s="300">
        <f t="shared" si="619"/>
        <v>1617.67</v>
      </c>
      <c r="P392" s="300">
        <f t="shared" si="552"/>
        <v>1382.5500000000002</v>
      </c>
      <c r="Q392" s="300">
        <f t="shared" si="620"/>
        <v>235.12</v>
      </c>
      <c r="R392" s="300">
        <f t="shared" si="611"/>
        <v>134.16999999999999</v>
      </c>
      <c r="S392" s="300">
        <f t="shared" si="612"/>
        <v>188.55</v>
      </c>
      <c r="T392" s="300">
        <f t="shared" si="608"/>
        <v>1940.39</v>
      </c>
      <c r="U392" s="300">
        <f t="shared" si="553"/>
        <v>204224.87000000026</v>
      </c>
      <c r="V392" s="300">
        <f t="shared" si="554"/>
        <v>336076.90999999986</v>
      </c>
      <c r="W392" s="300">
        <f t="shared" si="609"/>
        <v>38923.630000000143</v>
      </c>
      <c r="X392" s="535" t="str">
        <f t="shared" si="545"/>
        <v xml:space="preserve"> </v>
      </c>
      <c r="Y392" s="300">
        <f t="shared" si="621"/>
        <v>239147.04000000024</v>
      </c>
      <c r="Z392" s="527">
        <f t="shared" si="537"/>
        <v>7.0000000000000007E-2</v>
      </c>
      <c r="AA392" s="300">
        <f t="shared" si="538"/>
        <v>1746.44</v>
      </c>
      <c r="AB392" s="300">
        <f t="shared" si="622"/>
        <v>351.42000000000007</v>
      </c>
      <c r="AC392" s="300">
        <f t="shared" si="539"/>
        <v>1395.02</v>
      </c>
      <c r="AD392" s="300">
        <f t="shared" ref="AD392:AE392" si="637">+AD391</f>
        <v>134.16999999999999</v>
      </c>
      <c r="AE392" s="300">
        <f t="shared" si="637"/>
        <v>188.55</v>
      </c>
      <c r="AF392" s="300">
        <f t="shared" si="624"/>
        <v>2069.1600000000003</v>
      </c>
      <c r="AG392" s="300">
        <f t="shared" si="625"/>
        <v>76128.479999999996</v>
      </c>
      <c r="AH392" s="300">
        <f t="shared" si="626"/>
        <v>498136.28000000026</v>
      </c>
      <c r="AI392" s="545">
        <f t="shared" si="614"/>
        <v>-33962.980000000061</v>
      </c>
      <c r="AJ392" s="545">
        <f t="shared" si="566"/>
        <v>-199871.99000000008</v>
      </c>
      <c r="AK392" s="545">
        <f t="shared" si="615"/>
        <v>-233834.97000000015</v>
      </c>
      <c r="AL392" s="300">
        <f t="shared" si="627"/>
        <v>238795.62000000023</v>
      </c>
      <c r="AM392" s="449">
        <f t="shared" si="547"/>
        <v>27</v>
      </c>
      <c r="AN392" s="14">
        <f t="shared" si="616"/>
        <v>1617.67</v>
      </c>
      <c r="AO392" s="14">
        <f t="shared" si="585"/>
        <v>111012.86999999973</v>
      </c>
      <c r="AP392" s="14">
        <f t="shared" si="617"/>
        <v>1746.44</v>
      </c>
      <c r="AS392" s="14">
        <f t="shared" si="541"/>
        <v>1617.67</v>
      </c>
      <c r="AT392" s="14">
        <f t="shared" si="548"/>
        <v>406655.66000000137</v>
      </c>
      <c r="AU392" s="300">
        <f t="shared" si="549"/>
        <v>1558.2005401408921</v>
      </c>
      <c r="AV392" s="300">
        <f t="shared" si="550"/>
        <v>381689.91659649782</v>
      </c>
    </row>
    <row r="393" spans="1:48" x14ac:dyDescent="0.25">
      <c r="A393" s="535" t="str">
        <f t="shared" si="603"/>
        <v xml:space="preserve"> </v>
      </c>
      <c r="B393" s="300">
        <f t="shared" si="597"/>
        <v>0</v>
      </c>
      <c r="C393" s="14">
        <f t="shared" si="535"/>
        <v>0</v>
      </c>
      <c r="D393" s="14">
        <f t="shared" si="551"/>
        <v>0</v>
      </c>
      <c r="E393" s="14">
        <f t="shared" si="536"/>
        <v>0</v>
      </c>
      <c r="F393" s="14">
        <f t="shared" si="604"/>
        <v>134.16999999999999</v>
      </c>
      <c r="G393" s="14">
        <f t="shared" si="600"/>
        <v>188.55</v>
      </c>
      <c r="H393" s="14">
        <f t="shared" si="601"/>
        <v>322.72000000000003</v>
      </c>
      <c r="I393" s="300">
        <f t="shared" si="605"/>
        <v>83483.170000000042</v>
      </c>
      <c r="J393" s="300">
        <f t="shared" si="606"/>
        <v>68536.320000000022</v>
      </c>
      <c r="K393" s="300">
        <f t="shared" si="607"/>
        <v>0</v>
      </c>
      <c r="L393" s="449">
        <f t="shared" si="587"/>
        <v>27</v>
      </c>
      <c r="M393" s="449">
        <f t="shared" si="543"/>
        <v>334</v>
      </c>
      <c r="N393" s="300">
        <f t="shared" si="544"/>
        <v>38923.630000000143</v>
      </c>
      <c r="O393" s="300">
        <f t="shared" si="619"/>
        <v>1617.67</v>
      </c>
      <c r="P393" s="300">
        <f t="shared" si="552"/>
        <v>1390.6200000000001</v>
      </c>
      <c r="Q393" s="300">
        <f t="shared" si="620"/>
        <v>227.05</v>
      </c>
      <c r="R393" s="300">
        <f t="shared" si="611"/>
        <v>134.16999999999999</v>
      </c>
      <c r="S393" s="300">
        <f t="shared" si="612"/>
        <v>188.55</v>
      </c>
      <c r="T393" s="300">
        <f t="shared" si="608"/>
        <v>1940.39</v>
      </c>
      <c r="U393" s="300">
        <f t="shared" si="553"/>
        <v>205615.49000000025</v>
      </c>
      <c r="V393" s="300">
        <f t="shared" si="554"/>
        <v>336303.95999999985</v>
      </c>
      <c r="W393" s="300">
        <f t="shared" si="609"/>
        <v>37533.01000000014</v>
      </c>
      <c r="X393" s="535" t="str">
        <f t="shared" si="545"/>
        <v xml:space="preserve"> </v>
      </c>
      <c r="Y393" s="300">
        <f t="shared" si="621"/>
        <v>238795.62000000023</v>
      </c>
      <c r="Z393" s="527">
        <f t="shared" si="537"/>
        <v>7.0000000000000007E-2</v>
      </c>
      <c r="AA393" s="300">
        <f t="shared" si="538"/>
        <v>1746.44</v>
      </c>
      <c r="AB393" s="300">
        <f t="shared" si="622"/>
        <v>353.47</v>
      </c>
      <c r="AC393" s="300">
        <f t="shared" si="539"/>
        <v>1392.97</v>
      </c>
      <c r="AD393" s="300">
        <f t="shared" ref="AD393:AE393" si="638">+AD392</f>
        <v>134.16999999999999</v>
      </c>
      <c r="AE393" s="300">
        <f t="shared" si="638"/>
        <v>188.55</v>
      </c>
      <c r="AF393" s="300">
        <f t="shared" si="624"/>
        <v>2069.1600000000003</v>
      </c>
      <c r="AG393" s="300">
        <f t="shared" si="625"/>
        <v>76481.95</v>
      </c>
      <c r="AH393" s="300">
        <f t="shared" si="626"/>
        <v>499529.25000000023</v>
      </c>
      <c r="AI393" s="545">
        <f t="shared" si="614"/>
        <v>-34091.750000000058</v>
      </c>
      <c r="AJ393" s="545">
        <f t="shared" si="566"/>
        <v>-200909.14000000007</v>
      </c>
      <c r="AK393" s="545">
        <f t="shared" si="615"/>
        <v>-235000.89000000013</v>
      </c>
      <c r="AL393" s="300">
        <f t="shared" si="627"/>
        <v>238442.15000000023</v>
      </c>
      <c r="AM393" s="449">
        <f t="shared" si="547"/>
        <v>27</v>
      </c>
      <c r="AN393" s="14">
        <f t="shared" si="616"/>
        <v>1617.67</v>
      </c>
      <c r="AO393" s="14">
        <f t="shared" si="585"/>
        <v>109622.24999999974</v>
      </c>
      <c r="AP393" s="14">
        <f t="shared" si="617"/>
        <v>1746.44</v>
      </c>
      <c r="AS393" s="14">
        <f t="shared" si="541"/>
        <v>1617.67</v>
      </c>
      <c r="AT393" s="14">
        <f t="shared" si="548"/>
        <v>408273.33000000136</v>
      </c>
      <c r="AU393" s="300">
        <f t="shared" si="549"/>
        <v>1562.0960414912445</v>
      </c>
      <c r="AV393" s="300">
        <f t="shared" si="550"/>
        <v>383252.01263798907</v>
      </c>
    </row>
    <row r="394" spans="1:48" x14ac:dyDescent="0.25">
      <c r="A394" s="535" t="str">
        <f t="shared" si="603"/>
        <v xml:space="preserve"> </v>
      </c>
      <c r="B394" s="300">
        <f t="shared" si="597"/>
        <v>0</v>
      </c>
      <c r="C394" s="14">
        <f t="shared" si="535"/>
        <v>0</v>
      </c>
      <c r="D394" s="14">
        <f t="shared" si="551"/>
        <v>0</v>
      </c>
      <c r="E394" s="14">
        <f t="shared" si="536"/>
        <v>0</v>
      </c>
      <c r="F394" s="14">
        <f t="shared" si="604"/>
        <v>134.16999999999999</v>
      </c>
      <c r="G394" s="14">
        <f t="shared" si="600"/>
        <v>188.55</v>
      </c>
      <c r="H394" s="14">
        <f t="shared" si="601"/>
        <v>322.72000000000003</v>
      </c>
      <c r="I394" s="300">
        <f t="shared" si="605"/>
        <v>83483.170000000042</v>
      </c>
      <c r="J394" s="300">
        <f t="shared" si="606"/>
        <v>68536.320000000022</v>
      </c>
      <c r="K394" s="300">
        <f t="shared" si="607"/>
        <v>0</v>
      </c>
      <c r="L394" s="449">
        <f t="shared" si="587"/>
        <v>27</v>
      </c>
      <c r="M394" s="449">
        <f t="shared" si="543"/>
        <v>335</v>
      </c>
      <c r="N394" s="300">
        <f t="shared" si="544"/>
        <v>37533.01000000014</v>
      </c>
      <c r="O394" s="300">
        <f t="shared" si="619"/>
        <v>1617.67</v>
      </c>
      <c r="P394" s="300">
        <f t="shared" si="552"/>
        <v>1398.73</v>
      </c>
      <c r="Q394" s="300">
        <f t="shared" si="620"/>
        <v>218.94</v>
      </c>
      <c r="R394" s="300">
        <f t="shared" si="611"/>
        <v>134.16999999999999</v>
      </c>
      <c r="S394" s="300">
        <f t="shared" si="612"/>
        <v>188.55</v>
      </c>
      <c r="T394" s="300">
        <f t="shared" si="608"/>
        <v>1940.39</v>
      </c>
      <c r="U394" s="300">
        <f t="shared" si="553"/>
        <v>207014.22000000026</v>
      </c>
      <c r="V394" s="300">
        <f t="shared" si="554"/>
        <v>336522.89999999985</v>
      </c>
      <c r="W394" s="300">
        <f t="shared" si="609"/>
        <v>36134.280000000137</v>
      </c>
      <c r="X394" s="535" t="str">
        <f t="shared" si="545"/>
        <v xml:space="preserve"> </v>
      </c>
      <c r="Y394" s="300">
        <f t="shared" si="621"/>
        <v>238442.15000000023</v>
      </c>
      <c r="Z394" s="527">
        <f t="shared" si="537"/>
        <v>7.0000000000000007E-2</v>
      </c>
      <c r="AA394" s="300">
        <f t="shared" si="538"/>
        <v>1746.44</v>
      </c>
      <c r="AB394" s="300">
        <f t="shared" si="622"/>
        <v>355.53</v>
      </c>
      <c r="AC394" s="300">
        <f t="shared" si="539"/>
        <v>1390.91</v>
      </c>
      <c r="AD394" s="300">
        <f t="shared" ref="AD394:AE394" si="639">+AD393</f>
        <v>134.16999999999999</v>
      </c>
      <c r="AE394" s="300">
        <f t="shared" si="639"/>
        <v>188.55</v>
      </c>
      <c r="AF394" s="300">
        <f t="shared" si="624"/>
        <v>2069.1600000000003</v>
      </c>
      <c r="AG394" s="300">
        <f t="shared" si="625"/>
        <v>76837.48</v>
      </c>
      <c r="AH394" s="300">
        <f t="shared" si="626"/>
        <v>500920.16000000021</v>
      </c>
      <c r="AI394" s="545">
        <f t="shared" si="614"/>
        <v>-34220.520000000055</v>
      </c>
      <c r="AJ394" s="545">
        <f t="shared" si="566"/>
        <v>-201952.34000000008</v>
      </c>
      <c r="AK394" s="545">
        <f t="shared" si="615"/>
        <v>-236172.86000000013</v>
      </c>
      <c r="AL394" s="300">
        <f t="shared" si="627"/>
        <v>238086.62000000023</v>
      </c>
      <c r="AM394" s="449">
        <f t="shared" si="547"/>
        <v>27</v>
      </c>
      <c r="AN394" s="14">
        <f t="shared" si="616"/>
        <v>1617.67</v>
      </c>
      <c r="AO394" s="14">
        <f t="shared" si="585"/>
        <v>108223.51999999973</v>
      </c>
      <c r="AP394" s="14">
        <f t="shared" si="617"/>
        <v>1746.44</v>
      </c>
      <c r="AS394" s="14">
        <f t="shared" si="541"/>
        <v>1617.67</v>
      </c>
      <c r="AT394" s="14">
        <f t="shared" si="548"/>
        <v>409891.00000000134</v>
      </c>
      <c r="AU394" s="300">
        <f t="shared" si="549"/>
        <v>1566.0012815949729</v>
      </c>
      <c r="AV394" s="300">
        <f t="shared" si="550"/>
        <v>384818.01391958405</v>
      </c>
    </row>
    <row r="395" spans="1:48" x14ac:dyDescent="0.25">
      <c r="A395" s="535" t="str">
        <f t="shared" si="603"/>
        <v xml:space="preserve"> </v>
      </c>
      <c r="B395" s="300">
        <f t="shared" si="597"/>
        <v>0</v>
      </c>
      <c r="C395" s="14">
        <f t="shared" si="535"/>
        <v>0</v>
      </c>
      <c r="D395" s="14">
        <f t="shared" si="551"/>
        <v>0</v>
      </c>
      <c r="E395" s="14">
        <f t="shared" si="536"/>
        <v>0</v>
      </c>
      <c r="F395" s="14">
        <f t="shared" si="604"/>
        <v>134.16999999999999</v>
      </c>
      <c r="G395" s="14">
        <f t="shared" si="600"/>
        <v>188.55</v>
      </c>
      <c r="H395" s="14">
        <f t="shared" si="601"/>
        <v>322.72000000000003</v>
      </c>
      <c r="I395" s="300">
        <f t="shared" si="605"/>
        <v>83483.170000000042</v>
      </c>
      <c r="J395" s="300">
        <f t="shared" si="606"/>
        <v>68536.320000000022</v>
      </c>
      <c r="K395" s="300">
        <f t="shared" si="607"/>
        <v>0</v>
      </c>
      <c r="L395" s="449">
        <f t="shared" si="587"/>
        <v>28</v>
      </c>
      <c r="M395" s="449">
        <f t="shared" si="543"/>
        <v>336</v>
      </c>
      <c r="N395" s="300">
        <f t="shared" si="544"/>
        <v>36134.280000000137</v>
      </c>
      <c r="O395" s="300">
        <f t="shared" si="619"/>
        <v>1617.67</v>
      </c>
      <c r="P395" s="300">
        <f t="shared" si="552"/>
        <v>1406.89</v>
      </c>
      <c r="Q395" s="300">
        <f t="shared" si="620"/>
        <v>210.78</v>
      </c>
      <c r="R395" s="300">
        <f t="shared" si="611"/>
        <v>134.16999999999999</v>
      </c>
      <c r="S395" s="300">
        <f t="shared" si="612"/>
        <v>188.55</v>
      </c>
      <c r="T395" s="300">
        <f t="shared" si="608"/>
        <v>1940.39</v>
      </c>
      <c r="U395" s="300">
        <f t="shared" si="553"/>
        <v>208421.11000000028</v>
      </c>
      <c r="V395" s="300">
        <f t="shared" si="554"/>
        <v>336733.67999999988</v>
      </c>
      <c r="W395" s="300">
        <f t="shared" si="609"/>
        <v>34727.390000000138</v>
      </c>
      <c r="X395" s="535" t="str">
        <f t="shared" si="545"/>
        <v xml:space="preserve"> </v>
      </c>
      <c r="Y395" s="300">
        <f t="shared" si="621"/>
        <v>238086.62000000023</v>
      </c>
      <c r="Z395" s="527">
        <f t="shared" si="537"/>
        <v>7.0000000000000007E-2</v>
      </c>
      <c r="AA395" s="300">
        <f t="shared" si="538"/>
        <v>1746.44</v>
      </c>
      <c r="AB395" s="300">
        <f t="shared" si="622"/>
        <v>357.60000000000014</v>
      </c>
      <c r="AC395" s="300">
        <f t="shared" si="539"/>
        <v>1388.84</v>
      </c>
      <c r="AD395" s="300">
        <f t="shared" ref="AD395:AE395" si="640">+AD394</f>
        <v>134.16999999999999</v>
      </c>
      <c r="AE395" s="300">
        <f t="shared" si="640"/>
        <v>188.55</v>
      </c>
      <c r="AF395" s="300">
        <f t="shared" si="624"/>
        <v>2069.1600000000003</v>
      </c>
      <c r="AG395" s="300">
        <f t="shared" si="625"/>
        <v>77195.08</v>
      </c>
      <c r="AH395" s="300">
        <f t="shared" si="626"/>
        <v>502309.00000000023</v>
      </c>
      <c r="AI395" s="545">
        <f t="shared" si="614"/>
        <v>-34349.290000000052</v>
      </c>
      <c r="AJ395" s="545">
        <f t="shared" si="566"/>
        <v>-203001.63000000009</v>
      </c>
      <c r="AK395" s="545">
        <f t="shared" si="615"/>
        <v>-237350.92000000016</v>
      </c>
      <c r="AL395" s="300">
        <f t="shared" si="627"/>
        <v>237729.02000000022</v>
      </c>
      <c r="AM395" s="449">
        <f t="shared" si="547"/>
        <v>28</v>
      </c>
      <c r="AN395" s="14">
        <f t="shared" si="616"/>
        <v>1617.67</v>
      </c>
      <c r="AO395" s="14">
        <f t="shared" si="585"/>
        <v>106816.62999999971</v>
      </c>
      <c r="AP395" s="14">
        <f t="shared" si="617"/>
        <v>1746.44</v>
      </c>
      <c r="AS395" s="14">
        <f t="shared" si="541"/>
        <v>1617.67</v>
      </c>
      <c r="AT395" s="14">
        <f t="shared" si="548"/>
        <v>411508.67000000132</v>
      </c>
      <c r="AU395" s="300">
        <f t="shared" si="549"/>
        <v>1569.9162847989599</v>
      </c>
      <c r="AV395" s="300">
        <f t="shared" si="550"/>
        <v>386387.93020438298</v>
      </c>
    </row>
    <row r="396" spans="1:48" x14ac:dyDescent="0.25">
      <c r="A396" s="535" t="str">
        <f t="shared" si="603"/>
        <v xml:space="preserve"> </v>
      </c>
      <c r="B396" s="300">
        <f t="shared" si="597"/>
        <v>0</v>
      </c>
      <c r="C396" s="14">
        <f t="shared" si="535"/>
        <v>0</v>
      </c>
      <c r="D396" s="14">
        <f t="shared" si="551"/>
        <v>0</v>
      </c>
      <c r="E396" s="14">
        <f t="shared" si="536"/>
        <v>0</v>
      </c>
      <c r="F396" s="14">
        <f t="shared" si="604"/>
        <v>134.16999999999999</v>
      </c>
      <c r="G396" s="14">
        <f t="shared" si="600"/>
        <v>188.55</v>
      </c>
      <c r="H396" s="14">
        <f t="shared" si="601"/>
        <v>322.72000000000003</v>
      </c>
      <c r="I396" s="300">
        <f t="shared" si="605"/>
        <v>83483.170000000042</v>
      </c>
      <c r="J396" s="300">
        <f t="shared" si="606"/>
        <v>68536.320000000022</v>
      </c>
      <c r="K396" s="300">
        <f t="shared" si="607"/>
        <v>0</v>
      </c>
      <c r="L396" s="449">
        <f t="shared" si="587"/>
        <v>28</v>
      </c>
      <c r="M396" s="449">
        <f t="shared" si="543"/>
        <v>337</v>
      </c>
      <c r="N396" s="300">
        <f t="shared" si="544"/>
        <v>34727.390000000138</v>
      </c>
      <c r="O396" s="300">
        <f t="shared" si="619"/>
        <v>1617.67</v>
      </c>
      <c r="P396" s="300">
        <f t="shared" si="552"/>
        <v>1415.0900000000001</v>
      </c>
      <c r="Q396" s="300">
        <f t="shared" si="620"/>
        <v>202.58</v>
      </c>
      <c r="R396" s="300">
        <f t="shared" si="611"/>
        <v>134.16999999999999</v>
      </c>
      <c r="S396" s="300">
        <f t="shared" si="612"/>
        <v>188.55</v>
      </c>
      <c r="T396" s="300">
        <f t="shared" si="608"/>
        <v>1940.39</v>
      </c>
      <c r="U396" s="300">
        <f t="shared" si="553"/>
        <v>209836.20000000027</v>
      </c>
      <c r="V396" s="300">
        <f t="shared" si="554"/>
        <v>336936.25999999989</v>
      </c>
      <c r="W396" s="300">
        <f t="shared" si="609"/>
        <v>33312.300000000134</v>
      </c>
      <c r="X396" s="535" t="str">
        <f t="shared" si="545"/>
        <v xml:space="preserve"> </v>
      </c>
      <c r="Y396" s="300">
        <f t="shared" si="621"/>
        <v>237729.02000000022</v>
      </c>
      <c r="Z396" s="527">
        <f t="shared" si="537"/>
        <v>7.0000000000000007E-2</v>
      </c>
      <c r="AA396" s="300">
        <f t="shared" si="538"/>
        <v>1746.44</v>
      </c>
      <c r="AB396" s="300">
        <f t="shared" si="622"/>
        <v>359.69000000000005</v>
      </c>
      <c r="AC396" s="300">
        <f t="shared" si="539"/>
        <v>1386.75</v>
      </c>
      <c r="AD396" s="300">
        <f t="shared" ref="AD396:AE396" si="641">+AD395</f>
        <v>134.16999999999999</v>
      </c>
      <c r="AE396" s="300">
        <f t="shared" si="641"/>
        <v>188.55</v>
      </c>
      <c r="AF396" s="300">
        <f t="shared" si="624"/>
        <v>2069.1600000000003</v>
      </c>
      <c r="AG396" s="300">
        <f t="shared" si="625"/>
        <v>77554.77</v>
      </c>
      <c r="AH396" s="300">
        <f t="shared" si="626"/>
        <v>503695.75000000023</v>
      </c>
      <c r="AI396" s="545">
        <f t="shared" si="614"/>
        <v>-34478.060000000049</v>
      </c>
      <c r="AJ396" s="545">
        <f t="shared" si="566"/>
        <v>-204057.03000000009</v>
      </c>
      <c r="AK396" s="545">
        <f t="shared" si="615"/>
        <v>-238535.09000000014</v>
      </c>
      <c r="AL396" s="300">
        <f t="shared" si="627"/>
        <v>237369.33000000022</v>
      </c>
      <c r="AM396" s="449">
        <f t="shared" si="547"/>
        <v>28</v>
      </c>
      <c r="AN396" s="14">
        <f t="shared" si="616"/>
        <v>1617.67</v>
      </c>
      <c r="AO396" s="14">
        <f t="shared" si="585"/>
        <v>105401.53999999972</v>
      </c>
      <c r="AP396" s="14">
        <f t="shared" si="617"/>
        <v>1746.44</v>
      </c>
      <c r="AS396" s="14">
        <f t="shared" si="541"/>
        <v>1617.67</v>
      </c>
      <c r="AT396" s="14">
        <f t="shared" si="548"/>
        <v>413126.34000000131</v>
      </c>
      <c r="AU396" s="300">
        <f t="shared" si="549"/>
        <v>1573.8410755109574</v>
      </c>
      <c r="AV396" s="300">
        <f t="shared" si="550"/>
        <v>387961.77127989393</v>
      </c>
    </row>
    <row r="397" spans="1:48" x14ac:dyDescent="0.25">
      <c r="A397" s="535" t="str">
        <f t="shared" si="603"/>
        <v xml:space="preserve"> </v>
      </c>
      <c r="B397" s="300">
        <f t="shared" si="597"/>
        <v>0</v>
      </c>
      <c r="C397" s="14">
        <f t="shared" si="535"/>
        <v>0</v>
      </c>
      <c r="D397" s="14">
        <f t="shared" si="551"/>
        <v>0</v>
      </c>
      <c r="E397" s="14">
        <f t="shared" si="536"/>
        <v>0</v>
      </c>
      <c r="F397" s="14">
        <f t="shared" si="604"/>
        <v>134.16999999999999</v>
      </c>
      <c r="G397" s="14">
        <f t="shared" si="600"/>
        <v>188.55</v>
      </c>
      <c r="H397" s="14">
        <f t="shared" si="601"/>
        <v>322.72000000000003</v>
      </c>
      <c r="I397" s="300">
        <f t="shared" si="605"/>
        <v>83483.170000000042</v>
      </c>
      <c r="J397" s="300">
        <f t="shared" si="606"/>
        <v>68536.320000000022</v>
      </c>
      <c r="K397" s="300">
        <f t="shared" si="607"/>
        <v>0</v>
      </c>
      <c r="L397" s="449">
        <f t="shared" si="587"/>
        <v>28</v>
      </c>
      <c r="M397" s="449">
        <f t="shared" si="543"/>
        <v>338</v>
      </c>
      <c r="N397" s="300">
        <f t="shared" si="544"/>
        <v>33312.300000000134</v>
      </c>
      <c r="O397" s="300">
        <f t="shared" si="619"/>
        <v>1617.67</v>
      </c>
      <c r="P397" s="300">
        <f t="shared" si="552"/>
        <v>1423.3500000000001</v>
      </c>
      <c r="Q397" s="300">
        <f t="shared" si="620"/>
        <v>194.32</v>
      </c>
      <c r="R397" s="300">
        <f t="shared" si="611"/>
        <v>134.16999999999999</v>
      </c>
      <c r="S397" s="300">
        <f t="shared" si="612"/>
        <v>188.55</v>
      </c>
      <c r="T397" s="300">
        <f t="shared" si="608"/>
        <v>1940.39</v>
      </c>
      <c r="U397" s="300">
        <f t="shared" si="553"/>
        <v>211259.55000000028</v>
      </c>
      <c r="V397" s="300">
        <f t="shared" si="554"/>
        <v>337130.5799999999</v>
      </c>
      <c r="W397" s="300">
        <f t="shared" si="609"/>
        <v>31888.950000000135</v>
      </c>
      <c r="X397" s="535" t="str">
        <f t="shared" si="545"/>
        <v xml:space="preserve"> </v>
      </c>
      <c r="Y397" s="300">
        <f t="shared" si="621"/>
        <v>237369.33000000022</v>
      </c>
      <c r="Z397" s="527">
        <f t="shared" si="537"/>
        <v>7.0000000000000007E-2</v>
      </c>
      <c r="AA397" s="300">
        <f t="shared" si="538"/>
        <v>1746.44</v>
      </c>
      <c r="AB397" s="300">
        <f t="shared" si="622"/>
        <v>361.78999999999996</v>
      </c>
      <c r="AC397" s="300">
        <f t="shared" si="539"/>
        <v>1384.65</v>
      </c>
      <c r="AD397" s="300">
        <f t="shared" ref="AD397:AE397" si="642">+AD396</f>
        <v>134.16999999999999</v>
      </c>
      <c r="AE397" s="300">
        <f t="shared" si="642"/>
        <v>188.55</v>
      </c>
      <c r="AF397" s="300">
        <f t="shared" si="624"/>
        <v>2069.1600000000003</v>
      </c>
      <c r="AG397" s="300">
        <f t="shared" si="625"/>
        <v>77916.56</v>
      </c>
      <c r="AH397" s="300">
        <f t="shared" si="626"/>
        <v>505080.40000000026</v>
      </c>
      <c r="AI397" s="545">
        <f t="shared" si="614"/>
        <v>-34606.830000000045</v>
      </c>
      <c r="AJ397" s="545">
        <f t="shared" si="566"/>
        <v>-205118.59000000008</v>
      </c>
      <c r="AK397" s="545">
        <f t="shared" si="615"/>
        <v>-239725.42000000013</v>
      </c>
      <c r="AL397" s="300">
        <f t="shared" si="627"/>
        <v>237007.54000000021</v>
      </c>
      <c r="AM397" s="449">
        <f t="shared" si="547"/>
        <v>28</v>
      </c>
      <c r="AN397" s="14">
        <f t="shared" si="616"/>
        <v>1617.67</v>
      </c>
      <c r="AO397" s="14">
        <f t="shared" si="585"/>
        <v>103978.18999999971</v>
      </c>
      <c r="AP397" s="14">
        <f t="shared" si="617"/>
        <v>1746.44</v>
      </c>
      <c r="AS397" s="14">
        <f t="shared" si="541"/>
        <v>1617.67</v>
      </c>
      <c r="AT397" s="14">
        <f t="shared" si="548"/>
        <v>414744.01000000129</v>
      </c>
      <c r="AU397" s="300">
        <f t="shared" si="549"/>
        <v>1577.7756781997348</v>
      </c>
      <c r="AV397" s="300">
        <f t="shared" si="550"/>
        <v>389539.54695809365</v>
      </c>
    </row>
    <row r="398" spans="1:48" ht="15.75" thickBot="1" x14ac:dyDescent="0.3">
      <c r="A398" s="538" t="str">
        <f t="shared" si="603"/>
        <v xml:space="preserve"> </v>
      </c>
      <c r="B398" s="369">
        <f t="shared" si="597"/>
        <v>0</v>
      </c>
      <c r="C398" s="21">
        <f t="shared" si="535"/>
        <v>0</v>
      </c>
      <c r="D398" s="21">
        <f t="shared" si="551"/>
        <v>0</v>
      </c>
      <c r="E398" s="21">
        <f t="shared" si="536"/>
        <v>0</v>
      </c>
      <c r="F398" s="21">
        <f t="shared" si="604"/>
        <v>134.16999999999999</v>
      </c>
      <c r="G398" s="21">
        <f t="shared" si="600"/>
        <v>188.55</v>
      </c>
      <c r="H398" s="21">
        <f t="shared" si="601"/>
        <v>322.72000000000003</v>
      </c>
      <c r="I398" s="369">
        <f t="shared" si="605"/>
        <v>83483.170000000042</v>
      </c>
      <c r="J398" s="369">
        <f t="shared" si="606"/>
        <v>68536.320000000022</v>
      </c>
      <c r="K398" s="369">
        <f t="shared" si="607"/>
        <v>0</v>
      </c>
      <c r="L398" s="450">
        <f t="shared" si="587"/>
        <v>28</v>
      </c>
      <c r="M398" s="450">
        <f t="shared" si="543"/>
        <v>339</v>
      </c>
      <c r="N398" s="369">
        <f t="shared" si="544"/>
        <v>31888.950000000135</v>
      </c>
      <c r="O398" s="369">
        <f t="shared" si="619"/>
        <v>1617.67</v>
      </c>
      <c r="P398" s="369">
        <f t="shared" si="552"/>
        <v>1431.65</v>
      </c>
      <c r="Q398" s="369">
        <f t="shared" si="620"/>
        <v>186.02</v>
      </c>
      <c r="R398" s="369">
        <f t="shared" si="611"/>
        <v>134.16999999999999</v>
      </c>
      <c r="S398" s="369">
        <f t="shared" si="612"/>
        <v>188.55</v>
      </c>
      <c r="T398" s="369">
        <f t="shared" si="608"/>
        <v>1940.39</v>
      </c>
      <c r="U398" s="369">
        <f t="shared" si="553"/>
        <v>212691.20000000027</v>
      </c>
      <c r="V398" s="369">
        <f t="shared" si="554"/>
        <v>337316.59999999992</v>
      </c>
      <c r="W398" s="369">
        <f t="shared" si="609"/>
        <v>30457.300000000134</v>
      </c>
      <c r="X398" s="538" t="str">
        <f t="shared" si="545"/>
        <v xml:space="preserve"> </v>
      </c>
      <c r="Y398" s="369">
        <f t="shared" si="621"/>
        <v>237007.54000000021</v>
      </c>
      <c r="Z398" s="528">
        <f t="shared" si="537"/>
        <v>7.0000000000000007E-2</v>
      </c>
      <c r="AA398" s="369">
        <f t="shared" si="538"/>
        <v>1746.44</v>
      </c>
      <c r="AB398" s="369">
        <f t="shared" si="622"/>
        <v>363.90000000000009</v>
      </c>
      <c r="AC398" s="369">
        <f t="shared" si="539"/>
        <v>1382.54</v>
      </c>
      <c r="AD398" s="369">
        <f t="shared" ref="AD398:AE398" si="643">+AD397</f>
        <v>134.16999999999999</v>
      </c>
      <c r="AE398" s="369">
        <f t="shared" si="643"/>
        <v>188.55</v>
      </c>
      <c r="AF398" s="369">
        <f t="shared" si="624"/>
        <v>2069.1600000000003</v>
      </c>
      <c r="AG398" s="369">
        <f t="shared" si="625"/>
        <v>78280.459999999992</v>
      </c>
      <c r="AH398" s="369">
        <f t="shared" si="626"/>
        <v>506462.94000000024</v>
      </c>
      <c r="AI398" s="546">
        <f t="shared" si="614"/>
        <v>-34735.600000000042</v>
      </c>
      <c r="AJ398" s="546">
        <f t="shared" si="566"/>
        <v>-206186.34000000008</v>
      </c>
      <c r="AK398" s="545">
        <f t="shared" si="615"/>
        <v>-240921.94000000012</v>
      </c>
      <c r="AL398" s="369">
        <f t="shared" si="627"/>
        <v>236643.64000000022</v>
      </c>
      <c r="AM398" s="450">
        <f t="shared" si="547"/>
        <v>28</v>
      </c>
      <c r="AN398" s="21">
        <f t="shared" si="616"/>
        <v>1617.67</v>
      </c>
      <c r="AO398" s="21">
        <f t="shared" si="585"/>
        <v>102546.53999999972</v>
      </c>
      <c r="AP398" s="21">
        <f t="shared" si="617"/>
        <v>1746.44</v>
      </c>
      <c r="AQ398" s="21"/>
      <c r="AR398" s="23"/>
      <c r="AS398" s="21">
        <f t="shared" si="541"/>
        <v>1617.67</v>
      </c>
      <c r="AT398" s="21">
        <f t="shared" si="548"/>
        <v>416361.68000000127</v>
      </c>
      <c r="AU398" s="369">
        <f t="shared" si="549"/>
        <v>1581.7201173952342</v>
      </c>
      <c r="AV398" s="369">
        <f t="shared" si="550"/>
        <v>391121.26707548887</v>
      </c>
    </row>
    <row r="399" spans="1:48" x14ac:dyDescent="0.25">
      <c r="A399" s="535" t="str">
        <f t="shared" si="603"/>
        <v xml:space="preserve"> </v>
      </c>
      <c r="B399" s="300">
        <f t="shared" si="597"/>
        <v>0</v>
      </c>
      <c r="C399" s="14">
        <f t="shared" ref="C399:C462" si="644">IF(+$K398&lt;=0,0,$C$5)</f>
        <v>0</v>
      </c>
      <c r="D399" s="14">
        <f t="shared" si="551"/>
        <v>0</v>
      </c>
      <c r="E399" s="14">
        <f t="shared" ref="E399:E462" si="645">ROUND($B399*($C$3/12), 2)</f>
        <v>0</v>
      </c>
      <c r="F399" s="14">
        <f t="shared" si="604"/>
        <v>134.16999999999999</v>
      </c>
      <c r="G399" s="14">
        <f t="shared" si="600"/>
        <v>188.55</v>
      </c>
      <c r="H399" s="14">
        <f t="shared" si="601"/>
        <v>322.72000000000003</v>
      </c>
      <c r="I399" s="300">
        <f t="shared" si="605"/>
        <v>83483.170000000042</v>
      </c>
      <c r="J399" s="300">
        <f t="shared" si="606"/>
        <v>68536.320000000022</v>
      </c>
      <c r="K399" s="300">
        <f t="shared" si="607"/>
        <v>0</v>
      </c>
      <c r="L399" s="449">
        <f t="shared" si="587"/>
        <v>28</v>
      </c>
      <c r="M399" s="449">
        <f t="shared" si="543"/>
        <v>340</v>
      </c>
      <c r="N399" s="300">
        <f t="shared" si="544"/>
        <v>30457.300000000134</v>
      </c>
      <c r="O399" s="300">
        <f t="shared" si="619"/>
        <v>1617.67</v>
      </c>
      <c r="P399" s="300">
        <f t="shared" si="552"/>
        <v>1440</v>
      </c>
      <c r="Q399" s="300">
        <f t="shared" si="620"/>
        <v>177.67</v>
      </c>
      <c r="R399" s="300">
        <f t="shared" si="611"/>
        <v>134.16999999999999</v>
      </c>
      <c r="S399" s="300">
        <f t="shared" si="612"/>
        <v>188.55</v>
      </c>
      <c r="T399" s="300">
        <f t="shared" si="608"/>
        <v>1940.39</v>
      </c>
      <c r="U399" s="300">
        <f t="shared" si="553"/>
        <v>214131.20000000027</v>
      </c>
      <c r="V399" s="300">
        <f t="shared" si="554"/>
        <v>337494.2699999999</v>
      </c>
      <c r="W399" s="300">
        <f t="shared" si="609"/>
        <v>29017.300000000134</v>
      </c>
      <c r="X399" s="535" t="str">
        <f t="shared" si="545"/>
        <v xml:space="preserve"> </v>
      </c>
      <c r="Y399" s="300">
        <f t="shared" si="621"/>
        <v>236643.64000000022</v>
      </c>
      <c r="Z399" s="527">
        <f t="shared" ref="Z399:Z462" si="646">IF(L399&gt;4,$AA$9,$AA$8)</f>
        <v>7.0000000000000007E-2</v>
      </c>
      <c r="AA399" s="300">
        <f t="shared" ref="AA399:AA462" si="647">IF($O$9&lt;=$A399,IF(+AL398&lt;=0,0,IF(Z399=$AA$8,$Z$8,$Z$9)),0)</f>
        <v>1746.44</v>
      </c>
      <c r="AB399" s="300">
        <f t="shared" si="622"/>
        <v>366.02</v>
      </c>
      <c r="AC399" s="300">
        <f t="shared" ref="AC399:AC462" si="648">IF($O$9&lt;=$A399,ROUND(Y399*(Z399/12),2),0)</f>
        <v>1380.42</v>
      </c>
      <c r="AD399" s="300">
        <f t="shared" ref="AD399:AE399" si="649">+AD398</f>
        <v>134.16999999999999</v>
      </c>
      <c r="AE399" s="300">
        <f t="shared" si="649"/>
        <v>188.55</v>
      </c>
      <c r="AF399" s="300">
        <f t="shared" si="624"/>
        <v>2069.1600000000003</v>
      </c>
      <c r="AG399" s="300">
        <f t="shared" si="625"/>
        <v>78646.48</v>
      </c>
      <c r="AH399" s="300">
        <f t="shared" si="626"/>
        <v>507843.36000000022</v>
      </c>
      <c r="AI399" s="545">
        <f t="shared" si="614"/>
        <v>-34864.370000000039</v>
      </c>
      <c r="AJ399" s="545">
        <f t="shared" si="566"/>
        <v>-207260.32000000009</v>
      </c>
      <c r="AK399" s="545">
        <f t="shared" si="615"/>
        <v>-242124.69000000012</v>
      </c>
      <c r="AL399" s="300">
        <f t="shared" si="627"/>
        <v>236277.62000000023</v>
      </c>
      <c r="AM399" s="449">
        <f t="shared" si="547"/>
        <v>28</v>
      </c>
      <c r="AN399" s="14">
        <f t="shared" si="616"/>
        <v>1617.67</v>
      </c>
      <c r="AO399" s="14">
        <f t="shared" si="585"/>
        <v>101106.53999999972</v>
      </c>
      <c r="AP399" s="14">
        <f t="shared" si="617"/>
        <v>1746.44</v>
      </c>
      <c r="AS399" s="14">
        <f t="shared" ref="AS399:AS462" si="650">+AN399-AR399</f>
        <v>1617.67</v>
      </c>
      <c r="AT399" s="14">
        <f t="shared" si="548"/>
        <v>417979.35000000126</v>
      </c>
      <c r="AU399" s="300">
        <f t="shared" si="549"/>
        <v>1585.6744176887221</v>
      </c>
      <c r="AV399" s="300">
        <f t="shared" si="550"/>
        <v>392706.94149317761</v>
      </c>
    </row>
    <row r="400" spans="1:48" x14ac:dyDescent="0.25">
      <c r="A400" s="535" t="str">
        <f t="shared" si="603"/>
        <v xml:space="preserve"> </v>
      </c>
      <c r="B400" s="300">
        <f t="shared" si="597"/>
        <v>0</v>
      </c>
      <c r="C400" s="14">
        <f t="shared" si="644"/>
        <v>0</v>
      </c>
      <c r="D400" s="14">
        <f t="shared" si="551"/>
        <v>0</v>
      </c>
      <c r="E400" s="14">
        <f t="shared" si="645"/>
        <v>0</v>
      </c>
      <c r="F400" s="14">
        <f t="shared" si="604"/>
        <v>134.16999999999999</v>
      </c>
      <c r="G400" s="14">
        <f t="shared" si="600"/>
        <v>188.55</v>
      </c>
      <c r="H400" s="14">
        <f t="shared" si="601"/>
        <v>322.72000000000003</v>
      </c>
      <c r="I400" s="300">
        <f t="shared" si="605"/>
        <v>83483.170000000042</v>
      </c>
      <c r="J400" s="300">
        <f t="shared" si="606"/>
        <v>68536.320000000022</v>
      </c>
      <c r="K400" s="300">
        <f t="shared" si="607"/>
        <v>0</v>
      </c>
      <c r="L400" s="449">
        <f t="shared" si="587"/>
        <v>28</v>
      </c>
      <c r="M400" s="449">
        <f t="shared" ref="M400:M463" si="651">IF(N400&lt;&gt;"",IF(N400=$O$5,0,+M399+1),0)</f>
        <v>341</v>
      </c>
      <c r="N400" s="300">
        <f t="shared" ref="N400:N417" si="652">IF(+W399&lt;0,0,+W399)</f>
        <v>29017.300000000134</v>
      </c>
      <c r="O400" s="300">
        <f t="shared" si="619"/>
        <v>1617.67</v>
      </c>
      <c r="P400" s="300">
        <f t="shared" si="552"/>
        <v>1448.4</v>
      </c>
      <c r="Q400" s="300">
        <f t="shared" si="620"/>
        <v>169.27</v>
      </c>
      <c r="R400" s="300">
        <f t="shared" si="611"/>
        <v>134.16999999999999</v>
      </c>
      <c r="S400" s="300">
        <f t="shared" si="612"/>
        <v>188.55</v>
      </c>
      <c r="T400" s="300">
        <f t="shared" si="608"/>
        <v>1940.39</v>
      </c>
      <c r="U400" s="300">
        <f t="shared" si="553"/>
        <v>215579.60000000027</v>
      </c>
      <c r="V400" s="300">
        <f t="shared" si="554"/>
        <v>337663.53999999992</v>
      </c>
      <c r="W400" s="300">
        <f t="shared" si="609"/>
        <v>27568.900000000132</v>
      </c>
      <c r="X400" s="535" t="str">
        <f t="shared" ref="X400:X463" si="653">+A400</f>
        <v xml:space="preserve"> </v>
      </c>
      <c r="Y400" s="300">
        <f t="shared" si="621"/>
        <v>236277.62000000023</v>
      </c>
      <c r="Z400" s="527">
        <f t="shared" si="646"/>
        <v>7.0000000000000007E-2</v>
      </c>
      <c r="AA400" s="300">
        <f t="shared" si="647"/>
        <v>1746.44</v>
      </c>
      <c r="AB400" s="300">
        <f t="shared" si="622"/>
        <v>368.15000000000009</v>
      </c>
      <c r="AC400" s="300">
        <f t="shared" si="648"/>
        <v>1378.29</v>
      </c>
      <c r="AD400" s="300">
        <f t="shared" ref="AD400:AE400" si="654">+AD399</f>
        <v>134.16999999999999</v>
      </c>
      <c r="AE400" s="300">
        <f t="shared" si="654"/>
        <v>188.55</v>
      </c>
      <c r="AF400" s="300">
        <f t="shared" si="624"/>
        <v>2069.1600000000003</v>
      </c>
      <c r="AG400" s="300">
        <f t="shared" si="625"/>
        <v>79014.62999999999</v>
      </c>
      <c r="AH400" s="300">
        <f t="shared" si="626"/>
        <v>509221.6500000002</v>
      </c>
      <c r="AI400" s="545">
        <f t="shared" si="614"/>
        <v>-34993.140000000036</v>
      </c>
      <c r="AJ400" s="545">
        <f t="shared" si="566"/>
        <v>-208340.57000000009</v>
      </c>
      <c r="AK400" s="545">
        <f t="shared" si="615"/>
        <v>-243333.71000000014</v>
      </c>
      <c r="AL400" s="300">
        <f t="shared" si="627"/>
        <v>235909.47000000023</v>
      </c>
      <c r="AM400" s="449">
        <f t="shared" ref="AM400:AM463" si="655">+L400</f>
        <v>28</v>
      </c>
      <c r="AN400" s="14">
        <f t="shared" si="616"/>
        <v>1617.67</v>
      </c>
      <c r="AO400" s="14">
        <f t="shared" si="585"/>
        <v>99658.139999999723</v>
      </c>
      <c r="AP400" s="14">
        <f t="shared" si="617"/>
        <v>1746.44</v>
      </c>
      <c r="AS400" s="14">
        <f t="shared" si="650"/>
        <v>1617.67</v>
      </c>
      <c r="AT400" s="14">
        <f t="shared" ref="AT400:AT463" si="656">IF(W400&lt;=0,0,+AS400+AT399)</f>
        <v>419597.02000000124</v>
      </c>
      <c r="AU400" s="300">
        <f t="shared" ref="AU400:AU463" si="657">IF(W400&lt;=0,0,+($O$5+AV399)*$AQ$2/12)</f>
        <v>1589.6386037329439</v>
      </c>
      <c r="AV400" s="300">
        <f t="shared" ref="AV400:AV463" si="658">IF(W400&lt;=0,0,+AV399+AU400)</f>
        <v>394296.58009691053</v>
      </c>
    </row>
    <row r="401" spans="1:48" x14ac:dyDescent="0.25">
      <c r="A401" s="535" t="str">
        <f t="shared" si="603"/>
        <v xml:space="preserve"> </v>
      </c>
      <c r="B401" s="300">
        <f t="shared" si="597"/>
        <v>0</v>
      </c>
      <c r="C401" s="14">
        <f t="shared" si="644"/>
        <v>0</v>
      </c>
      <c r="D401" s="14">
        <f t="shared" ref="D401:D464" si="659">+C401-E401</f>
        <v>0</v>
      </c>
      <c r="E401" s="14">
        <f t="shared" si="645"/>
        <v>0</v>
      </c>
      <c r="F401" s="14">
        <f t="shared" si="604"/>
        <v>134.16999999999999</v>
      </c>
      <c r="G401" s="14">
        <f t="shared" si="600"/>
        <v>188.55</v>
      </c>
      <c r="H401" s="14">
        <f t="shared" si="601"/>
        <v>322.72000000000003</v>
      </c>
      <c r="I401" s="300">
        <f t="shared" si="605"/>
        <v>83483.170000000042</v>
      </c>
      <c r="J401" s="300">
        <f t="shared" si="606"/>
        <v>68536.320000000022</v>
      </c>
      <c r="K401" s="300">
        <f t="shared" si="607"/>
        <v>0</v>
      </c>
      <c r="L401" s="449">
        <f t="shared" si="587"/>
        <v>28</v>
      </c>
      <c r="M401" s="449">
        <f t="shared" si="651"/>
        <v>342</v>
      </c>
      <c r="N401" s="300">
        <f t="shared" si="652"/>
        <v>27568.900000000132</v>
      </c>
      <c r="O401" s="300">
        <f t="shared" si="619"/>
        <v>1617.67</v>
      </c>
      <c r="P401" s="300">
        <f t="shared" ref="P401:P464" si="660">+O401-Q401</f>
        <v>1456.8500000000001</v>
      </c>
      <c r="Q401" s="300">
        <f t="shared" si="620"/>
        <v>160.82</v>
      </c>
      <c r="R401" s="300">
        <f t="shared" si="611"/>
        <v>134.16999999999999</v>
      </c>
      <c r="S401" s="300">
        <f t="shared" si="612"/>
        <v>188.55</v>
      </c>
      <c r="T401" s="300">
        <f t="shared" si="608"/>
        <v>1940.39</v>
      </c>
      <c r="U401" s="300">
        <f t="shared" ref="U401:U464" si="661">+P401+U400</f>
        <v>217036.45000000027</v>
      </c>
      <c r="V401" s="300">
        <f t="shared" ref="V401:V464" si="662">+V400+Q401</f>
        <v>337824.35999999993</v>
      </c>
      <c r="W401" s="300">
        <f t="shared" si="609"/>
        <v>26112.050000000134</v>
      </c>
      <c r="X401" s="535" t="str">
        <f t="shared" si="653"/>
        <v xml:space="preserve"> </v>
      </c>
      <c r="Y401" s="300">
        <f t="shared" si="621"/>
        <v>235909.47000000023</v>
      </c>
      <c r="Z401" s="527">
        <f t="shared" si="646"/>
        <v>7.0000000000000007E-2</v>
      </c>
      <c r="AA401" s="300">
        <f t="shared" si="647"/>
        <v>1746.44</v>
      </c>
      <c r="AB401" s="300">
        <f t="shared" si="622"/>
        <v>370.29999999999995</v>
      </c>
      <c r="AC401" s="300">
        <f t="shared" si="648"/>
        <v>1376.14</v>
      </c>
      <c r="AD401" s="300">
        <f t="shared" ref="AD401:AE401" si="663">+AD400</f>
        <v>134.16999999999999</v>
      </c>
      <c r="AE401" s="300">
        <f t="shared" si="663"/>
        <v>188.55</v>
      </c>
      <c r="AF401" s="300">
        <f t="shared" si="624"/>
        <v>2069.1600000000003</v>
      </c>
      <c r="AG401" s="300">
        <f t="shared" si="625"/>
        <v>79384.929999999993</v>
      </c>
      <c r="AH401" s="300">
        <f t="shared" si="626"/>
        <v>510597.79000000021</v>
      </c>
      <c r="AI401" s="545">
        <f t="shared" si="614"/>
        <v>-35121.910000000033</v>
      </c>
      <c r="AJ401" s="545">
        <f t="shared" si="566"/>
        <v>-209427.12000000011</v>
      </c>
      <c r="AK401" s="545">
        <f t="shared" si="615"/>
        <v>-244549.03000000014</v>
      </c>
      <c r="AL401" s="300">
        <f t="shared" si="627"/>
        <v>235539.17000000025</v>
      </c>
      <c r="AM401" s="449">
        <f t="shared" si="655"/>
        <v>28</v>
      </c>
      <c r="AN401" s="14">
        <f t="shared" si="616"/>
        <v>1617.67</v>
      </c>
      <c r="AO401" s="14">
        <f t="shared" si="585"/>
        <v>98201.289999999717</v>
      </c>
      <c r="AP401" s="14">
        <f t="shared" si="617"/>
        <v>1746.44</v>
      </c>
      <c r="AS401" s="14">
        <f t="shared" si="650"/>
        <v>1617.67</v>
      </c>
      <c r="AT401" s="14">
        <f t="shared" si="656"/>
        <v>421214.69000000122</v>
      </c>
      <c r="AU401" s="300">
        <f t="shared" si="657"/>
        <v>1593.6127002422761</v>
      </c>
      <c r="AV401" s="300">
        <f t="shared" si="658"/>
        <v>395890.19279715279</v>
      </c>
    </row>
    <row r="402" spans="1:48" x14ac:dyDescent="0.25">
      <c r="A402" s="535" t="str">
        <f t="shared" si="603"/>
        <v xml:space="preserve"> </v>
      </c>
      <c r="B402" s="300">
        <f t="shared" si="597"/>
        <v>0</v>
      </c>
      <c r="C402" s="14">
        <f t="shared" si="644"/>
        <v>0</v>
      </c>
      <c r="D402" s="14">
        <f t="shared" si="659"/>
        <v>0</v>
      </c>
      <c r="E402" s="14">
        <f t="shared" si="645"/>
        <v>0</v>
      </c>
      <c r="F402" s="14">
        <f t="shared" si="604"/>
        <v>134.16999999999999</v>
      </c>
      <c r="G402" s="14">
        <f t="shared" si="600"/>
        <v>188.55</v>
      </c>
      <c r="H402" s="14">
        <f t="shared" si="601"/>
        <v>322.72000000000003</v>
      </c>
      <c r="I402" s="300">
        <f t="shared" si="605"/>
        <v>83483.170000000042</v>
      </c>
      <c r="J402" s="300">
        <f t="shared" si="606"/>
        <v>68536.320000000022</v>
      </c>
      <c r="K402" s="300">
        <f t="shared" si="607"/>
        <v>0</v>
      </c>
      <c r="L402" s="449">
        <f t="shared" si="587"/>
        <v>28</v>
      </c>
      <c r="M402" s="449">
        <f t="shared" si="651"/>
        <v>343</v>
      </c>
      <c r="N402" s="300">
        <f t="shared" si="652"/>
        <v>26112.050000000134</v>
      </c>
      <c r="O402" s="300">
        <f t="shared" si="619"/>
        <v>1617.67</v>
      </c>
      <c r="P402" s="300">
        <f t="shared" si="660"/>
        <v>1465.3500000000001</v>
      </c>
      <c r="Q402" s="300">
        <f t="shared" si="620"/>
        <v>152.32</v>
      </c>
      <c r="R402" s="300">
        <f t="shared" si="611"/>
        <v>134.16999999999999</v>
      </c>
      <c r="S402" s="300">
        <f t="shared" si="612"/>
        <v>188.55</v>
      </c>
      <c r="T402" s="300">
        <f t="shared" si="608"/>
        <v>1940.39</v>
      </c>
      <c r="U402" s="300">
        <f t="shared" si="661"/>
        <v>218501.80000000028</v>
      </c>
      <c r="V402" s="300">
        <f t="shared" si="662"/>
        <v>337976.67999999993</v>
      </c>
      <c r="W402" s="300">
        <f t="shared" si="609"/>
        <v>24646.700000000135</v>
      </c>
      <c r="X402" s="535" t="str">
        <f t="shared" si="653"/>
        <v xml:space="preserve"> </v>
      </c>
      <c r="Y402" s="300">
        <f t="shared" si="621"/>
        <v>235539.17000000025</v>
      </c>
      <c r="Z402" s="527">
        <f t="shared" si="646"/>
        <v>7.0000000000000007E-2</v>
      </c>
      <c r="AA402" s="300">
        <f t="shared" si="647"/>
        <v>1746.44</v>
      </c>
      <c r="AB402" s="300">
        <f t="shared" si="622"/>
        <v>372.46000000000004</v>
      </c>
      <c r="AC402" s="300">
        <f t="shared" si="648"/>
        <v>1373.98</v>
      </c>
      <c r="AD402" s="300">
        <f t="shared" ref="AD402:AE402" si="664">+AD401</f>
        <v>134.16999999999999</v>
      </c>
      <c r="AE402" s="300">
        <f t="shared" si="664"/>
        <v>188.55</v>
      </c>
      <c r="AF402" s="300">
        <f t="shared" si="624"/>
        <v>2069.1600000000003</v>
      </c>
      <c r="AG402" s="300">
        <f t="shared" si="625"/>
        <v>79757.39</v>
      </c>
      <c r="AH402" s="300">
        <f t="shared" si="626"/>
        <v>511971.77000000019</v>
      </c>
      <c r="AI402" s="545">
        <f t="shared" si="614"/>
        <v>-35250.680000000029</v>
      </c>
      <c r="AJ402" s="545">
        <f t="shared" si="566"/>
        <v>-210520.01000000013</v>
      </c>
      <c r="AK402" s="545">
        <f t="shared" si="615"/>
        <v>-245770.69000000015</v>
      </c>
      <c r="AL402" s="300">
        <f t="shared" si="627"/>
        <v>235166.71000000025</v>
      </c>
      <c r="AM402" s="449">
        <f t="shared" si="655"/>
        <v>28</v>
      </c>
      <c r="AN402" s="14">
        <f t="shared" si="616"/>
        <v>1617.67</v>
      </c>
      <c r="AO402" s="14">
        <f t="shared" si="585"/>
        <v>96735.939999999711</v>
      </c>
      <c r="AP402" s="14">
        <f t="shared" si="617"/>
        <v>1746.44</v>
      </c>
      <c r="AS402" s="14">
        <f t="shared" si="650"/>
        <v>1617.67</v>
      </c>
      <c r="AT402" s="14">
        <f t="shared" si="656"/>
        <v>422832.36000000121</v>
      </c>
      <c r="AU402" s="300">
        <f t="shared" si="657"/>
        <v>1597.596731992882</v>
      </c>
      <c r="AV402" s="300">
        <f t="shared" si="658"/>
        <v>397487.7895291457</v>
      </c>
    </row>
    <row r="403" spans="1:48" x14ac:dyDescent="0.25">
      <c r="A403" s="535" t="str">
        <f t="shared" si="603"/>
        <v xml:space="preserve"> </v>
      </c>
      <c r="B403" s="300">
        <f t="shared" si="597"/>
        <v>0</v>
      </c>
      <c r="C403" s="14">
        <f t="shared" si="644"/>
        <v>0</v>
      </c>
      <c r="D403" s="14">
        <f t="shared" si="659"/>
        <v>0</v>
      </c>
      <c r="E403" s="14">
        <f t="shared" si="645"/>
        <v>0</v>
      </c>
      <c r="F403" s="14">
        <f t="shared" si="604"/>
        <v>134.16999999999999</v>
      </c>
      <c r="G403" s="14">
        <f t="shared" si="600"/>
        <v>188.55</v>
      </c>
      <c r="H403" s="14">
        <f t="shared" si="601"/>
        <v>322.72000000000003</v>
      </c>
      <c r="I403" s="300">
        <f t="shared" si="605"/>
        <v>83483.170000000042</v>
      </c>
      <c r="J403" s="300">
        <f t="shared" si="606"/>
        <v>68536.320000000022</v>
      </c>
      <c r="K403" s="300">
        <f t="shared" si="607"/>
        <v>0</v>
      </c>
      <c r="L403" s="449">
        <f t="shared" si="587"/>
        <v>28</v>
      </c>
      <c r="M403" s="449">
        <f t="shared" si="651"/>
        <v>344</v>
      </c>
      <c r="N403" s="300">
        <f t="shared" si="652"/>
        <v>24646.700000000135</v>
      </c>
      <c r="O403" s="300">
        <f t="shared" si="619"/>
        <v>1617.67</v>
      </c>
      <c r="P403" s="300">
        <f t="shared" si="660"/>
        <v>1473.9</v>
      </c>
      <c r="Q403" s="300">
        <f t="shared" si="620"/>
        <v>143.77000000000001</v>
      </c>
      <c r="R403" s="300">
        <f t="shared" si="611"/>
        <v>134.16999999999999</v>
      </c>
      <c r="S403" s="300">
        <f t="shared" si="612"/>
        <v>188.55</v>
      </c>
      <c r="T403" s="300">
        <f t="shared" si="608"/>
        <v>1940.39</v>
      </c>
      <c r="U403" s="300">
        <f t="shared" si="661"/>
        <v>219975.70000000027</v>
      </c>
      <c r="V403" s="300">
        <f t="shared" si="662"/>
        <v>338120.44999999995</v>
      </c>
      <c r="W403" s="300">
        <f t="shared" si="609"/>
        <v>23172.800000000134</v>
      </c>
      <c r="X403" s="535" t="str">
        <f t="shared" si="653"/>
        <v xml:space="preserve"> </v>
      </c>
      <c r="Y403" s="300">
        <f t="shared" si="621"/>
        <v>235166.71000000025</v>
      </c>
      <c r="Z403" s="527">
        <f t="shared" si="646"/>
        <v>7.0000000000000007E-2</v>
      </c>
      <c r="AA403" s="300">
        <f t="shared" si="647"/>
        <v>1746.44</v>
      </c>
      <c r="AB403" s="300">
        <f t="shared" si="622"/>
        <v>374.63000000000011</v>
      </c>
      <c r="AC403" s="300">
        <f t="shared" si="648"/>
        <v>1371.81</v>
      </c>
      <c r="AD403" s="300">
        <f t="shared" ref="AD403:AE403" si="665">+AD402</f>
        <v>134.16999999999999</v>
      </c>
      <c r="AE403" s="300">
        <f t="shared" si="665"/>
        <v>188.55</v>
      </c>
      <c r="AF403" s="300">
        <f t="shared" si="624"/>
        <v>2069.1600000000003</v>
      </c>
      <c r="AG403" s="300">
        <f t="shared" si="625"/>
        <v>80132.02</v>
      </c>
      <c r="AH403" s="300">
        <f t="shared" si="626"/>
        <v>513343.58000000019</v>
      </c>
      <c r="AI403" s="545">
        <f t="shared" si="614"/>
        <v>-35379.450000000026</v>
      </c>
      <c r="AJ403" s="545">
        <f t="shared" si="566"/>
        <v>-211619.28000000012</v>
      </c>
      <c r="AK403" s="545">
        <f t="shared" si="615"/>
        <v>-246998.73000000016</v>
      </c>
      <c r="AL403" s="300">
        <f t="shared" si="627"/>
        <v>234792.08000000025</v>
      </c>
      <c r="AM403" s="449">
        <f t="shared" si="655"/>
        <v>28</v>
      </c>
      <c r="AN403" s="14">
        <f t="shared" si="616"/>
        <v>1617.67</v>
      </c>
      <c r="AO403" s="14">
        <f t="shared" si="585"/>
        <v>95262.039999999717</v>
      </c>
      <c r="AP403" s="14">
        <f t="shared" si="617"/>
        <v>1746.44</v>
      </c>
      <c r="AS403" s="14">
        <f t="shared" si="650"/>
        <v>1617.67</v>
      </c>
      <c r="AT403" s="14">
        <f t="shared" si="656"/>
        <v>424450.03000000119</v>
      </c>
      <c r="AU403" s="300">
        <f t="shared" si="657"/>
        <v>1601.590723822864</v>
      </c>
      <c r="AV403" s="300">
        <f t="shared" si="658"/>
        <v>399089.38025296858</v>
      </c>
    </row>
    <row r="404" spans="1:48" x14ac:dyDescent="0.25">
      <c r="A404" s="535" t="str">
        <f t="shared" si="603"/>
        <v xml:space="preserve"> </v>
      </c>
      <c r="B404" s="300">
        <f t="shared" si="597"/>
        <v>0</v>
      </c>
      <c r="C404" s="14">
        <f t="shared" si="644"/>
        <v>0</v>
      </c>
      <c r="D404" s="14">
        <f t="shared" si="659"/>
        <v>0</v>
      </c>
      <c r="E404" s="14">
        <f t="shared" si="645"/>
        <v>0</v>
      </c>
      <c r="F404" s="14">
        <f t="shared" si="604"/>
        <v>134.16999999999999</v>
      </c>
      <c r="G404" s="14">
        <f t="shared" si="600"/>
        <v>188.55</v>
      </c>
      <c r="H404" s="14">
        <f t="shared" si="601"/>
        <v>322.72000000000003</v>
      </c>
      <c r="I404" s="300">
        <f t="shared" si="605"/>
        <v>83483.170000000042</v>
      </c>
      <c r="J404" s="300">
        <f t="shared" si="606"/>
        <v>68536.320000000022</v>
      </c>
      <c r="K404" s="300">
        <f t="shared" si="607"/>
        <v>0</v>
      </c>
      <c r="L404" s="449">
        <f t="shared" si="587"/>
        <v>28</v>
      </c>
      <c r="M404" s="449">
        <f t="shared" si="651"/>
        <v>345</v>
      </c>
      <c r="N404" s="300">
        <f t="shared" si="652"/>
        <v>23172.800000000134</v>
      </c>
      <c r="O404" s="300">
        <f t="shared" si="619"/>
        <v>1617.67</v>
      </c>
      <c r="P404" s="300">
        <f t="shared" si="660"/>
        <v>1482.5</v>
      </c>
      <c r="Q404" s="300">
        <f t="shared" si="620"/>
        <v>135.16999999999999</v>
      </c>
      <c r="R404" s="300">
        <f t="shared" si="611"/>
        <v>134.16999999999999</v>
      </c>
      <c r="S404" s="300">
        <f t="shared" si="612"/>
        <v>188.55</v>
      </c>
      <c r="T404" s="300">
        <f t="shared" si="608"/>
        <v>1940.39</v>
      </c>
      <c r="U404" s="300">
        <f t="shared" si="661"/>
        <v>221458.20000000027</v>
      </c>
      <c r="V404" s="300">
        <f t="shared" si="662"/>
        <v>338255.61999999994</v>
      </c>
      <c r="W404" s="300">
        <f t="shared" si="609"/>
        <v>21690.300000000134</v>
      </c>
      <c r="X404" s="535" t="str">
        <f t="shared" si="653"/>
        <v xml:space="preserve"> </v>
      </c>
      <c r="Y404" s="300">
        <f t="shared" si="621"/>
        <v>234792.08000000025</v>
      </c>
      <c r="Z404" s="527">
        <f t="shared" si="646"/>
        <v>7.0000000000000007E-2</v>
      </c>
      <c r="AA404" s="300">
        <f t="shared" si="647"/>
        <v>1746.44</v>
      </c>
      <c r="AB404" s="300">
        <f t="shared" si="622"/>
        <v>376.82000000000016</v>
      </c>
      <c r="AC404" s="300">
        <f t="shared" si="648"/>
        <v>1369.62</v>
      </c>
      <c r="AD404" s="300">
        <f t="shared" ref="AD404:AE404" si="666">+AD403</f>
        <v>134.16999999999999</v>
      </c>
      <c r="AE404" s="300">
        <f t="shared" si="666"/>
        <v>188.55</v>
      </c>
      <c r="AF404" s="300">
        <f t="shared" si="624"/>
        <v>2069.1600000000003</v>
      </c>
      <c r="AG404" s="300">
        <f t="shared" si="625"/>
        <v>80508.840000000011</v>
      </c>
      <c r="AH404" s="300">
        <f t="shared" si="626"/>
        <v>514713.20000000019</v>
      </c>
      <c r="AI404" s="545">
        <f t="shared" si="614"/>
        <v>-35508.220000000023</v>
      </c>
      <c r="AJ404" s="545">
        <f t="shared" si="566"/>
        <v>-212724.96000000011</v>
      </c>
      <c r="AK404" s="545">
        <f t="shared" si="615"/>
        <v>-248233.18000000014</v>
      </c>
      <c r="AL404" s="300">
        <f t="shared" si="627"/>
        <v>234415.26000000024</v>
      </c>
      <c r="AM404" s="449">
        <f t="shared" si="655"/>
        <v>28</v>
      </c>
      <c r="AN404" s="14">
        <f t="shared" si="616"/>
        <v>1617.67</v>
      </c>
      <c r="AO404" s="14">
        <f t="shared" si="585"/>
        <v>93779.539999999717</v>
      </c>
      <c r="AP404" s="14">
        <f t="shared" si="617"/>
        <v>1746.44</v>
      </c>
      <c r="AS404" s="14">
        <f t="shared" si="650"/>
        <v>1617.67</v>
      </c>
      <c r="AT404" s="14">
        <f t="shared" si="656"/>
        <v>426067.70000000118</v>
      </c>
      <c r="AU404" s="300">
        <f t="shared" si="657"/>
        <v>1605.5947006324213</v>
      </c>
      <c r="AV404" s="300">
        <f t="shared" si="658"/>
        <v>400694.97495360102</v>
      </c>
    </row>
    <row r="405" spans="1:48" x14ac:dyDescent="0.25">
      <c r="A405" s="535" t="str">
        <f t="shared" si="603"/>
        <v xml:space="preserve"> </v>
      </c>
      <c r="B405" s="300">
        <f t="shared" si="597"/>
        <v>0</v>
      </c>
      <c r="C405" s="14">
        <f t="shared" si="644"/>
        <v>0</v>
      </c>
      <c r="D405" s="14">
        <f t="shared" si="659"/>
        <v>0</v>
      </c>
      <c r="E405" s="14">
        <f t="shared" si="645"/>
        <v>0</v>
      </c>
      <c r="F405" s="14">
        <f t="shared" si="604"/>
        <v>134.16999999999999</v>
      </c>
      <c r="G405" s="14">
        <f t="shared" si="600"/>
        <v>188.55</v>
      </c>
      <c r="H405" s="14">
        <f t="shared" si="601"/>
        <v>322.72000000000003</v>
      </c>
      <c r="I405" s="300">
        <f t="shared" si="605"/>
        <v>83483.170000000042</v>
      </c>
      <c r="J405" s="300">
        <f t="shared" si="606"/>
        <v>68536.320000000022</v>
      </c>
      <c r="K405" s="300">
        <f t="shared" si="607"/>
        <v>0</v>
      </c>
      <c r="L405" s="449">
        <f t="shared" si="587"/>
        <v>28</v>
      </c>
      <c r="M405" s="449">
        <f t="shared" si="651"/>
        <v>346</v>
      </c>
      <c r="N405" s="300">
        <f t="shared" si="652"/>
        <v>21690.300000000134</v>
      </c>
      <c r="O405" s="300">
        <f t="shared" si="619"/>
        <v>1617.67</v>
      </c>
      <c r="P405" s="300">
        <f t="shared" si="660"/>
        <v>1491.14</v>
      </c>
      <c r="Q405" s="300">
        <f t="shared" si="620"/>
        <v>126.53</v>
      </c>
      <c r="R405" s="300">
        <f t="shared" si="611"/>
        <v>134.16999999999999</v>
      </c>
      <c r="S405" s="300">
        <f t="shared" si="612"/>
        <v>188.55</v>
      </c>
      <c r="T405" s="300">
        <f t="shared" si="608"/>
        <v>1940.39</v>
      </c>
      <c r="U405" s="300">
        <f t="shared" si="661"/>
        <v>222949.34000000029</v>
      </c>
      <c r="V405" s="300">
        <f t="shared" si="662"/>
        <v>338382.14999999997</v>
      </c>
      <c r="W405" s="300">
        <f t="shared" si="609"/>
        <v>20199.160000000134</v>
      </c>
      <c r="X405" s="535" t="str">
        <f t="shared" si="653"/>
        <v xml:space="preserve"> </v>
      </c>
      <c r="Y405" s="300">
        <f t="shared" si="621"/>
        <v>234415.26000000024</v>
      </c>
      <c r="Z405" s="527">
        <f t="shared" si="646"/>
        <v>7.0000000000000007E-2</v>
      </c>
      <c r="AA405" s="300">
        <f t="shared" si="647"/>
        <v>1746.44</v>
      </c>
      <c r="AB405" s="300">
        <f t="shared" si="622"/>
        <v>379.02</v>
      </c>
      <c r="AC405" s="300">
        <f t="shared" si="648"/>
        <v>1367.42</v>
      </c>
      <c r="AD405" s="300">
        <f t="shared" ref="AD405:AE405" si="667">+AD404</f>
        <v>134.16999999999999</v>
      </c>
      <c r="AE405" s="300">
        <f t="shared" si="667"/>
        <v>188.55</v>
      </c>
      <c r="AF405" s="300">
        <f t="shared" si="624"/>
        <v>2069.1600000000003</v>
      </c>
      <c r="AG405" s="300">
        <f t="shared" si="625"/>
        <v>80887.860000000015</v>
      </c>
      <c r="AH405" s="300">
        <f t="shared" si="626"/>
        <v>516080.62000000017</v>
      </c>
      <c r="AI405" s="545">
        <f t="shared" si="614"/>
        <v>-35636.99000000002</v>
      </c>
      <c r="AJ405" s="545">
        <f t="shared" si="566"/>
        <v>-213837.08000000013</v>
      </c>
      <c r="AK405" s="545">
        <f t="shared" si="615"/>
        <v>-249474.07000000015</v>
      </c>
      <c r="AL405" s="300">
        <f t="shared" si="627"/>
        <v>234036.24000000025</v>
      </c>
      <c r="AM405" s="449">
        <f t="shared" si="655"/>
        <v>28</v>
      </c>
      <c r="AN405" s="14">
        <f t="shared" si="616"/>
        <v>1617.67</v>
      </c>
      <c r="AO405" s="14">
        <f t="shared" si="585"/>
        <v>92288.399999999703</v>
      </c>
      <c r="AP405" s="14">
        <f t="shared" si="617"/>
        <v>1746.44</v>
      </c>
      <c r="AS405" s="14">
        <f t="shared" si="650"/>
        <v>1617.67</v>
      </c>
      <c r="AT405" s="14">
        <f t="shared" si="656"/>
        <v>427685.37000000116</v>
      </c>
      <c r="AU405" s="300">
        <f t="shared" si="657"/>
        <v>1609.6086873840025</v>
      </c>
      <c r="AV405" s="300">
        <f t="shared" si="658"/>
        <v>402304.58364098502</v>
      </c>
    </row>
    <row r="406" spans="1:48" x14ac:dyDescent="0.25">
      <c r="A406" s="535" t="str">
        <f t="shared" si="603"/>
        <v xml:space="preserve"> </v>
      </c>
      <c r="B406" s="300">
        <f t="shared" si="597"/>
        <v>0</v>
      </c>
      <c r="C406" s="14">
        <f t="shared" si="644"/>
        <v>0</v>
      </c>
      <c r="D406" s="14">
        <f t="shared" si="659"/>
        <v>0</v>
      </c>
      <c r="E406" s="14">
        <f t="shared" si="645"/>
        <v>0</v>
      </c>
      <c r="F406" s="14">
        <f t="shared" si="604"/>
        <v>134.16999999999999</v>
      </c>
      <c r="G406" s="14">
        <f t="shared" si="600"/>
        <v>188.55</v>
      </c>
      <c r="H406" s="14">
        <f t="shared" si="601"/>
        <v>322.72000000000003</v>
      </c>
      <c r="I406" s="300">
        <f t="shared" si="605"/>
        <v>83483.170000000042</v>
      </c>
      <c r="J406" s="300">
        <f t="shared" si="606"/>
        <v>68536.320000000022</v>
      </c>
      <c r="K406" s="300">
        <f t="shared" si="607"/>
        <v>0</v>
      </c>
      <c r="L406" s="449">
        <f t="shared" si="587"/>
        <v>28</v>
      </c>
      <c r="M406" s="449">
        <f t="shared" si="651"/>
        <v>347</v>
      </c>
      <c r="N406" s="300">
        <f t="shared" si="652"/>
        <v>20199.160000000134</v>
      </c>
      <c r="O406" s="300">
        <f t="shared" si="619"/>
        <v>1617.67</v>
      </c>
      <c r="P406" s="300">
        <f t="shared" si="660"/>
        <v>1499.8400000000001</v>
      </c>
      <c r="Q406" s="300">
        <f t="shared" si="620"/>
        <v>117.83</v>
      </c>
      <c r="R406" s="300">
        <f t="shared" si="611"/>
        <v>134.16999999999999</v>
      </c>
      <c r="S406" s="300">
        <f t="shared" si="612"/>
        <v>188.55</v>
      </c>
      <c r="T406" s="300">
        <f t="shared" si="608"/>
        <v>1940.39</v>
      </c>
      <c r="U406" s="300">
        <f t="shared" si="661"/>
        <v>224449.18000000028</v>
      </c>
      <c r="V406" s="300">
        <f t="shared" si="662"/>
        <v>338499.98</v>
      </c>
      <c r="W406" s="300">
        <f t="shared" si="609"/>
        <v>18699.320000000134</v>
      </c>
      <c r="X406" s="535" t="str">
        <f t="shared" si="653"/>
        <v xml:space="preserve"> </v>
      </c>
      <c r="Y406" s="300">
        <f t="shared" si="621"/>
        <v>234036.24000000025</v>
      </c>
      <c r="Z406" s="527">
        <f t="shared" si="646"/>
        <v>7.0000000000000007E-2</v>
      </c>
      <c r="AA406" s="300">
        <f t="shared" si="647"/>
        <v>1746.44</v>
      </c>
      <c r="AB406" s="300">
        <f t="shared" si="622"/>
        <v>381.23</v>
      </c>
      <c r="AC406" s="300">
        <f t="shared" si="648"/>
        <v>1365.21</v>
      </c>
      <c r="AD406" s="300">
        <f t="shared" ref="AD406:AE406" si="668">+AD405</f>
        <v>134.16999999999999</v>
      </c>
      <c r="AE406" s="300">
        <f t="shared" si="668"/>
        <v>188.55</v>
      </c>
      <c r="AF406" s="300">
        <f t="shared" si="624"/>
        <v>2069.1600000000003</v>
      </c>
      <c r="AG406" s="300">
        <f t="shared" si="625"/>
        <v>81269.090000000011</v>
      </c>
      <c r="AH406" s="300">
        <f t="shared" si="626"/>
        <v>517445.83000000019</v>
      </c>
      <c r="AI406" s="545">
        <f t="shared" si="614"/>
        <v>-35765.760000000017</v>
      </c>
      <c r="AJ406" s="545">
        <f t="shared" si="566"/>
        <v>-214955.69000000012</v>
      </c>
      <c r="AK406" s="545">
        <f t="shared" si="615"/>
        <v>-250721.45000000013</v>
      </c>
      <c r="AL406" s="300">
        <f t="shared" si="627"/>
        <v>233655.01000000024</v>
      </c>
      <c r="AM406" s="449">
        <f t="shared" si="655"/>
        <v>28</v>
      </c>
      <c r="AN406" s="14">
        <f t="shared" si="616"/>
        <v>1617.67</v>
      </c>
      <c r="AO406" s="14">
        <f t="shared" si="585"/>
        <v>90788.559999999707</v>
      </c>
      <c r="AP406" s="14">
        <f t="shared" si="617"/>
        <v>1746.44</v>
      </c>
      <c r="AS406" s="14">
        <f t="shared" si="650"/>
        <v>1617.67</v>
      </c>
      <c r="AT406" s="14">
        <f t="shared" si="656"/>
        <v>429303.04000000114</v>
      </c>
      <c r="AU406" s="300">
        <f t="shared" si="657"/>
        <v>1613.6327091024623</v>
      </c>
      <c r="AV406" s="300">
        <f t="shared" si="658"/>
        <v>403918.21635008749</v>
      </c>
    </row>
    <row r="407" spans="1:48" x14ac:dyDescent="0.25">
      <c r="A407" s="535" t="str">
        <f t="shared" si="603"/>
        <v xml:space="preserve"> </v>
      </c>
      <c r="B407" s="300">
        <f t="shared" si="597"/>
        <v>0</v>
      </c>
      <c r="C407" s="14">
        <f t="shared" si="644"/>
        <v>0</v>
      </c>
      <c r="D407" s="14">
        <f t="shared" si="659"/>
        <v>0</v>
      </c>
      <c r="E407" s="14">
        <f t="shared" si="645"/>
        <v>0</v>
      </c>
      <c r="F407" s="14">
        <f t="shared" si="604"/>
        <v>134.16999999999999</v>
      </c>
      <c r="G407" s="14">
        <f t="shared" si="600"/>
        <v>188.55</v>
      </c>
      <c r="H407" s="14">
        <f t="shared" si="601"/>
        <v>322.72000000000003</v>
      </c>
      <c r="I407" s="300">
        <f t="shared" si="605"/>
        <v>83483.170000000042</v>
      </c>
      <c r="J407" s="300">
        <f t="shared" si="606"/>
        <v>68536.320000000022</v>
      </c>
      <c r="K407" s="300">
        <f t="shared" si="607"/>
        <v>0</v>
      </c>
      <c r="L407" s="449">
        <f t="shared" si="587"/>
        <v>29</v>
      </c>
      <c r="M407" s="449">
        <f t="shared" si="651"/>
        <v>348</v>
      </c>
      <c r="N407" s="300">
        <f t="shared" si="652"/>
        <v>18699.320000000134</v>
      </c>
      <c r="O407" s="300">
        <f t="shared" si="619"/>
        <v>1617.67</v>
      </c>
      <c r="P407" s="300">
        <f t="shared" si="660"/>
        <v>1508.5900000000001</v>
      </c>
      <c r="Q407" s="300">
        <f t="shared" si="620"/>
        <v>109.08</v>
      </c>
      <c r="R407" s="300">
        <f t="shared" si="611"/>
        <v>134.16999999999999</v>
      </c>
      <c r="S407" s="300">
        <f t="shared" si="612"/>
        <v>188.55</v>
      </c>
      <c r="T407" s="300">
        <f t="shared" si="608"/>
        <v>1940.39</v>
      </c>
      <c r="U407" s="300">
        <f t="shared" si="661"/>
        <v>225957.77000000028</v>
      </c>
      <c r="V407" s="300">
        <f t="shared" si="662"/>
        <v>338609.06</v>
      </c>
      <c r="W407" s="300">
        <f t="shared" si="609"/>
        <v>17190.730000000134</v>
      </c>
      <c r="X407" s="535" t="str">
        <f t="shared" si="653"/>
        <v xml:space="preserve"> </v>
      </c>
      <c r="Y407" s="300">
        <f t="shared" si="621"/>
        <v>233655.01000000024</v>
      </c>
      <c r="Z407" s="527">
        <f t="shared" si="646"/>
        <v>7.0000000000000007E-2</v>
      </c>
      <c r="AA407" s="300">
        <f t="shared" si="647"/>
        <v>1746.44</v>
      </c>
      <c r="AB407" s="300">
        <f t="shared" si="622"/>
        <v>383.45000000000005</v>
      </c>
      <c r="AC407" s="300">
        <f t="shared" si="648"/>
        <v>1362.99</v>
      </c>
      <c r="AD407" s="300">
        <f t="shared" ref="AD407:AE407" si="669">+AD406</f>
        <v>134.16999999999999</v>
      </c>
      <c r="AE407" s="300">
        <f t="shared" si="669"/>
        <v>188.55</v>
      </c>
      <c r="AF407" s="300">
        <f t="shared" si="624"/>
        <v>2069.1600000000003</v>
      </c>
      <c r="AG407" s="300">
        <f t="shared" si="625"/>
        <v>81652.540000000008</v>
      </c>
      <c r="AH407" s="300">
        <f t="shared" si="626"/>
        <v>518808.82000000018</v>
      </c>
      <c r="AI407" s="545">
        <f t="shared" si="614"/>
        <v>-35894.530000000013</v>
      </c>
      <c r="AJ407" s="545">
        <f t="shared" si="566"/>
        <v>-216080.8300000001</v>
      </c>
      <c r="AK407" s="545">
        <f t="shared" si="615"/>
        <v>-251975.3600000001</v>
      </c>
      <c r="AL407" s="300">
        <f t="shared" si="627"/>
        <v>233271.56000000023</v>
      </c>
      <c r="AM407" s="449">
        <f t="shared" si="655"/>
        <v>29</v>
      </c>
      <c r="AN407" s="14">
        <f t="shared" si="616"/>
        <v>1617.67</v>
      </c>
      <c r="AO407" s="14">
        <f t="shared" si="585"/>
        <v>89279.96999999971</v>
      </c>
      <c r="AP407" s="14">
        <f t="shared" si="617"/>
        <v>1746.44</v>
      </c>
      <c r="AS407" s="14">
        <f t="shared" si="650"/>
        <v>1617.67</v>
      </c>
      <c r="AT407" s="14">
        <f t="shared" si="656"/>
        <v>430920.71000000113</v>
      </c>
      <c r="AU407" s="300">
        <f t="shared" si="657"/>
        <v>1617.6667908752186</v>
      </c>
      <c r="AV407" s="300">
        <f t="shared" si="658"/>
        <v>405535.88314096269</v>
      </c>
    </row>
    <row r="408" spans="1:48" x14ac:dyDescent="0.25">
      <c r="A408" s="535" t="str">
        <f t="shared" si="603"/>
        <v xml:space="preserve"> </v>
      </c>
      <c r="B408" s="300">
        <f t="shared" si="597"/>
        <v>0</v>
      </c>
      <c r="C408" s="14">
        <f t="shared" si="644"/>
        <v>0</v>
      </c>
      <c r="D408" s="14">
        <f t="shared" si="659"/>
        <v>0</v>
      </c>
      <c r="E408" s="14">
        <f t="shared" si="645"/>
        <v>0</v>
      </c>
      <c r="F408" s="14">
        <f t="shared" si="604"/>
        <v>134.16999999999999</v>
      </c>
      <c r="G408" s="14">
        <f t="shared" si="600"/>
        <v>188.55</v>
      </c>
      <c r="H408" s="14">
        <f t="shared" si="601"/>
        <v>322.72000000000003</v>
      </c>
      <c r="I408" s="300">
        <f t="shared" si="605"/>
        <v>83483.170000000042</v>
      </c>
      <c r="J408" s="300">
        <f t="shared" si="606"/>
        <v>68536.320000000022</v>
      </c>
      <c r="K408" s="300">
        <f t="shared" si="607"/>
        <v>0</v>
      </c>
      <c r="L408" s="449">
        <f t="shared" si="587"/>
        <v>29</v>
      </c>
      <c r="M408" s="449">
        <f t="shared" si="651"/>
        <v>349</v>
      </c>
      <c r="N408" s="300">
        <f t="shared" si="652"/>
        <v>17190.730000000134</v>
      </c>
      <c r="O408" s="300">
        <f t="shared" si="619"/>
        <v>1617.67</v>
      </c>
      <c r="P408" s="300">
        <f t="shared" si="660"/>
        <v>1517.39</v>
      </c>
      <c r="Q408" s="300">
        <f t="shared" si="620"/>
        <v>100.28</v>
      </c>
      <c r="R408" s="300">
        <f t="shared" si="611"/>
        <v>134.16999999999999</v>
      </c>
      <c r="S408" s="300">
        <f t="shared" si="612"/>
        <v>188.55</v>
      </c>
      <c r="T408" s="300">
        <f t="shared" si="608"/>
        <v>1940.39</v>
      </c>
      <c r="U408" s="300">
        <f t="shared" si="661"/>
        <v>227475.16000000029</v>
      </c>
      <c r="V408" s="300">
        <f t="shared" si="662"/>
        <v>338709.34</v>
      </c>
      <c r="W408" s="300">
        <f t="shared" si="609"/>
        <v>15673.340000000135</v>
      </c>
      <c r="X408" s="535" t="str">
        <f t="shared" si="653"/>
        <v xml:space="preserve"> </v>
      </c>
      <c r="Y408" s="300">
        <f t="shared" si="621"/>
        <v>233271.56000000023</v>
      </c>
      <c r="Z408" s="527">
        <f t="shared" si="646"/>
        <v>7.0000000000000007E-2</v>
      </c>
      <c r="AA408" s="300">
        <f t="shared" si="647"/>
        <v>1746.44</v>
      </c>
      <c r="AB408" s="300">
        <f t="shared" si="622"/>
        <v>385.69000000000005</v>
      </c>
      <c r="AC408" s="300">
        <f t="shared" si="648"/>
        <v>1360.75</v>
      </c>
      <c r="AD408" s="300">
        <f t="shared" ref="AD408:AE408" si="670">+AD407</f>
        <v>134.16999999999999</v>
      </c>
      <c r="AE408" s="300">
        <f t="shared" si="670"/>
        <v>188.55</v>
      </c>
      <c r="AF408" s="300">
        <f t="shared" si="624"/>
        <v>2069.1600000000003</v>
      </c>
      <c r="AG408" s="300">
        <f t="shared" si="625"/>
        <v>82038.23000000001</v>
      </c>
      <c r="AH408" s="300">
        <f t="shared" si="626"/>
        <v>520169.57000000018</v>
      </c>
      <c r="AI408" s="545">
        <f t="shared" si="614"/>
        <v>-36023.30000000001</v>
      </c>
      <c r="AJ408" s="545">
        <f t="shared" si="566"/>
        <v>-217212.53000000009</v>
      </c>
      <c r="AK408" s="545">
        <f t="shared" si="615"/>
        <v>-253235.8300000001</v>
      </c>
      <c r="AL408" s="300">
        <f t="shared" si="627"/>
        <v>232885.87000000023</v>
      </c>
      <c r="AM408" s="449">
        <f t="shared" si="655"/>
        <v>29</v>
      </c>
      <c r="AN408" s="14">
        <f t="shared" si="616"/>
        <v>1617.67</v>
      </c>
      <c r="AO408" s="14">
        <f t="shared" si="585"/>
        <v>87762.579999999696</v>
      </c>
      <c r="AP408" s="14">
        <f t="shared" si="617"/>
        <v>1746.44</v>
      </c>
      <c r="AS408" s="14">
        <f t="shared" si="650"/>
        <v>1617.67</v>
      </c>
      <c r="AT408" s="14">
        <f t="shared" si="656"/>
        <v>432538.38000000111</v>
      </c>
      <c r="AU408" s="300">
        <f t="shared" si="657"/>
        <v>1621.7109578524066</v>
      </c>
      <c r="AV408" s="300">
        <f t="shared" si="658"/>
        <v>407157.59409881511</v>
      </c>
    </row>
    <row r="409" spans="1:48" x14ac:dyDescent="0.25">
      <c r="A409" s="535" t="str">
        <f t="shared" si="603"/>
        <v xml:space="preserve"> </v>
      </c>
      <c r="B409" s="300">
        <f t="shared" si="597"/>
        <v>0</v>
      </c>
      <c r="C409" s="14">
        <f t="shared" si="644"/>
        <v>0</v>
      </c>
      <c r="D409" s="14">
        <f t="shared" si="659"/>
        <v>0</v>
      </c>
      <c r="E409" s="14">
        <f t="shared" si="645"/>
        <v>0</v>
      </c>
      <c r="F409" s="14">
        <f t="shared" si="604"/>
        <v>134.16999999999999</v>
      </c>
      <c r="G409" s="14">
        <f t="shared" si="600"/>
        <v>188.55</v>
      </c>
      <c r="H409" s="14">
        <f t="shared" si="601"/>
        <v>322.72000000000003</v>
      </c>
      <c r="I409" s="300">
        <f t="shared" si="605"/>
        <v>83483.170000000042</v>
      </c>
      <c r="J409" s="300">
        <f t="shared" si="606"/>
        <v>68536.320000000022</v>
      </c>
      <c r="K409" s="300">
        <f t="shared" si="607"/>
        <v>0</v>
      </c>
      <c r="L409" s="449">
        <f t="shared" si="587"/>
        <v>29</v>
      </c>
      <c r="M409" s="449">
        <f t="shared" si="651"/>
        <v>350</v>
      </c>
      <c r="N409" s="300">
        <f t="shared" si="652"/>
        <v>15673.340000000135</v>
      </c>
      <c r="O409" s="300">
        <f t="shared" si="619"/>
        <v>1617.67</v>
      </c>
      <c r="P409" s="300">
        <f t="shared" si="660"/>
        <v>1526.24</v>
      </c>
      <c r="Q409" s="300">
        <f t="shared" si="620"/>
        <v>91.43</v>
      </c>
      <c r="R409" s="300">
        <f t="shared" si="611"/>
        <v>134.16999999999999</v>
      </c>
      <c r="S409" s="300">
        <f t="shared" si="612"/>
        <v>188.55</v>
      </c>
      <c r="T409" s="300">
        <f t="shared" si="608"/>
        <v>1940.39</v>
      </c>
      <c r="U409" s="300">
        <f t="shared" si="661"/>
        <v>229001.40000000029</v>
      </c>
      <c r="V409" s="300">
        <f t="shared" si="662"/>
        <v>338800.77</v>
      </c>
      <c r="W409" s="300">
        <f t="shared" si="609"/>
        <v>14147.100000000135</v>
      </c>
      <c r="X409" s="535" t="str">
        <f t="shared" si="653"/>
        <v xml:space="preserve"> </v>
      </c>
      <c r="Y409" s="300">
        <f t="shared" si="621"/>
        <v>232885.87000000023</v>
      </c>
      <c r="Z409" s="527">
        <f t="shared" si="646"/>
        <v>7.0000000000000007E-2</v>
      </c>
      <c r="AA409" s="300">
        <f t="shared" si="647"/>
        <v>1746.44</v>
      </c>
      <c r="AB409" s="300">
        <f t="shared" si="622"/>
        <v>387.94000000000005</v>
      </c>
      <c r="AC409" s="300">
        <f t="shared" si="648"/>
        <v>1358.5</v>
      </c>
      <c r="AD409" s="300">
        <f t="shared" ref="AD409:AE409" si="671">+AD408</f>
        <v>134.16999999999999</v>
      </c>
      <c r="AE409" s="300">
        <f t="shared" si="671"/>
        <v>188.55</v>
      </c>
      <c r="AF409" s="300">
        <f t="shared" si="624"/>
        <v>2069.1600000000003</v>
      </c>
      <c r="AG409" s="300">
        <f t="shared" si="625"/>
        <v>82426.170000000013</v>
      </c>
      <c r="AH409" s="300">
        <f t="shared" si="626"/>
        <v>521528.07000000018</v>
      </c>
      <c r="AI409" s="545">
        <f t="shared" si="614"/>
        <v>-36152.070000000007</v>
      </c>
      <c r="AJ409" s="545">
        <f t="shared" si="566"/>
        <v>-218350.8300000001</v>
      </c>
      <c r="AK409" s="545">
        <f t="shared" si="615"/>
        <v>-254502.90000000011</v>
      </c>
      <c r="AL409" s="300">
        <f t="shared" si="627"/>
        <v>232497.93000000023</v>
      </c>
      <c r="AM409" s="449">
        <f t="shared" si="655"/>
        <v>29</v>
      </c>
      <c r="AN409" s="14">
        <f t="shared" si="616"/>
        <v>1617.67</v>
      </c>
      <c r="AO409" s="14">
        <f t="shared" si="585"/>
        <v>86236.339999999705</v>
      </c>
      <c r="AP409" s="14">
        <f t="shared" si="617"/>
        <v>1746.44</v>
      </c>
      <c r="AS409" s="14">
        <f t="shared" si="650"/>
        <v>1617.67</v>
      </c>
      <c r="AT409" s="14">
        <f t="shared" si="656"/>
        <v>434156.05000000109</v>
      </c>
      <c r="AU409" s="300">
        <f t="shared" si="657"/>
        <v>1625.7652352470377</v>
      </c>
      <c r="AV409" s="300">
        <f t="shared" si="658"/>
        <v>408783.35933406214</v>
      </c>
    </row>
    <row r="410" spans="1:48" ht="15.75" thickBot="1" x14ac:dyDescent="0.3">
      <c r="A410" s="538" t="str">
        <f t="shared" si="603"/>
        <v xml:space="preserve"> </v>
      </c>
      <c r="B410" s="369">
        <f t="shared" si="597"/>
        <v>0</v>
      </c>
      <c r="C410" s="21">
        <f t="shared" si="644"/>
        <v>0</v>
      </c>
      <c r="D410" s="21">
        <f t="shared" si="659"/>
        <v>0</v>
      </c>
      <c r="E410" s="21">
        <f t="shared" si="645"/>
        <v>0</v>
      </c>
      <c r="F410" s="21">
        <f t="shared" si="604"/>
        <v>134.16999999999999</v>
      </c>
      <c r="G410" s="21">
        <f t="shared" si="600"/>
        <v>188.55</v>
      </c>
      <c r="H410" s="21">
        <f t="shared" si="601"/>
        <v>322.72000000000003</v>
      </c>
      <c r="I410" s="369">
        <f t="shared" si="605"/>
        <v>83483.170000000042</v>
      </c>
      <c r="J410" s="369">
        <f t="shared" si="606"/>
        <v>68536.320000000022</v>
      </c>
      <c r="K410" s="369">
        <f t="shared" si="607"/>
        <v>0</v>
      </c>
      <c r="L410" s="450">
        <f t="shared" si="587"/>
        <v>29</v>
      </c>
      <c r="M410" s="450">
        <f t="shared" si="651"/>
        <v>351</v>
      </c>
      <c r="N410" s="369">
        <f t="shared" si="652"/>
        <v>14147.100000000135</v>
      </c>
      <c r="O410" s="369">
        <f t="shared" si="619"/>
        <v>1617.67</v>
      </c>
      <c r="P410" s="369">
        <f t="shared" si="660"/>
        <v>1535.15</v>
      </c>
      <c r="Q410" s="369">
        <f t="shared" si="620"/>
        <v>82.52</v>
      </c>
      <c r="R410" s="369">
        <f t="shared" si="611"/>
        <v>134.16999999999999</v>
      </c>
      <c r="S410" s="369">
        <f t="shared" si="612"/>
        <v>188.55</v>
      </c>
      <c r="T410" s="369">
        <f t="shared" si="608"/>
        <v>1940.39</v>
      </c>
      <c r="U410" s="369">
        <f t="shared" si="661"/>
        <v>230536.55000000028</v>
      </c>
      <c r="V410" s="369">
        <f t="shared" si="662"/>
        <v>338883.29000000004</v>
      </c>
      <c r="W410" s="369">
        <f t="shared" si="609"/>
        <v>12611.950000000135</v>
      </c>
      <c r="X410" s="538" t="str">
        <f t="shared" si="653"/>
        <v xml:space="preserve"> </v>
      </c>
      <c r="Y410" s="369">
        <f t="shared" si="621"/>
        <v>232497.93000000023</v>
      </c>
      <c r="Z410" s="528">
        <f t="shared" si="646"/>
        <v>7.0000000000000007E-2</v>
      </c>
      <c r="AA410" s="369">
        <f t="shared" si="647"/>
        <v>1746.44</v>
      </c>
      <c r="AB410" s="369">
        <f t="shared" si="622"/>
        <v>390.20000000000005</v>
      </c>
      <c r="AC410" s="369">
        <f t="shared" si="648"/>
        <v>1356.24</v>
      </c>
      <c r="AD410" s="369">
        <f t="shared" ref="AD410:AE410" si="672">+AD409</f>
        <v>134.16999999999999</v>
      </c>
      <c r="AE410" s="369">
        <f t="shared" si="672"/>
        <v>188.55</v>
      </c>
      <c r="AF410" s="369">
        <f t="shared" si="624"/>
        <v>2069.1600000000003</v>
      </c>
      <c r="AG410" s="369">
        <f t="shared" si="625"/>
        <v>82816.37000000001</v>
      </c>
      <c r="AH410" s="369">
        <f t="shared" si="626"/>
        <v>522884.31000000017</v>
      </c>
      <c r="AI410" s="546">
        <f t="shared" si="614"/>
        <v>-36280.840000000004</v>
      </c>
      <c r="AJ410" s="546">
        <f t="shared" si="566"/>
        <v>-219495.78000000009</v>
      </c>
      <c r="AK410" s="545">
        <f t="shared" si="615"/>
        <v>-255776.62000000008</v>
      </c>
      <c r="AL410" s="369">
        <f t="shared" si="627"/>
        <v>232107.73000000021</v>
      </c>
      <c r="AM410" s="450">
        <f t="shared" si="655"/>
        <v>29</v>
      </c>
      <c r="AN410" s="21">
        <f t="shared" si="616"/>
        <v>1617.67</v>
      </c>
      <c r="AO410" s="21">
        <f t="shared" si="585"/>
        <v>84701.189999999711</v>
      </c>
      <c r="AP410" s="21">
        <f t="shared" si="617"/>
        <v>1746.44</v>
      </c>
      <c r="AQ410" s="21"/>
      <c r="AR410" s="23"/>
      <c r="AS410" s="21">
        <f t="shared" si="650"/>
        <v>1617.67</v>
      </c>
      <c r="AT410" s="21">
        <f t="shared" si="656"/>
        <v>435773.72000000108</v>
      </c>
      <c r="AU410" s="369">
        <f t="shared" si="657"/>
        <v>1629.8296483351551</v>
      </c>
      <c r="AV410" s="369">
        <f t="shared" si="658"/>
        <v>410413.18898239732</v>
      </c>
    </row>
    <row r="411" spans="1:48" x14ac:dyDescent="0.25">
      <c r="A411" s="535" t="str">
        <f t="shared" si="603"/>
        <v xml:space="preserve"> </v>
      </c>
      <c r="B411" s="300">
        <f t="shared" si="597"/>
        <v>0</v>
      </c>
      <c r="C411" s="14">
        <f t="shared" si="644"/>
        <v>0</v>
      </c>
      <c r="D411" s="14">
        <f t="shared" si="659"/>
        <v>0</v>
      </c>
      <c r="E411" s="14">
        <f t="shared" si="645"/>
        <v>0</v>
      </c>
      <c r="F411" s="14">
        <f t="shared" si="604"/>
        <v>134.16999999999999</v>
      </c>
      <c r="G411" s="14">
        <f t="shared" si="600"/>
        <v>188.55</v>
      </c>
      <c r="H411" s="14">
        <f t="shared" si="601"/>
        <v>322.72000000000003</v>
      </c>
      <c r="I411" s="300">
        <f t="shared" si="605"/>
        <v>83483.170000000042</v>
      </c>
      <c r="J411" s="300">
        <f t="shared" si="606"/>
        <v>68536.320000000022</v>
      </c>
      <c r="K411" s="300">
        <f t="shared" si="607"/>
        <v>0</v>
      </c>
      <c r="L411" s="449">
        <f t="shared" si="587"/>
        <v>29</v>
      </c>
      <c r="M411" s="449">
        <f t="shared" si="651"/>
        <v>352</v>
      </c>
      <c r="N411" s="300">
        <f t="shared" si="652"/>
        <v>12611.950000000135</v>
      </c>
      <c r="O411" s="300">
        <f t="shared" si="619"/>
        <v>1617.67</v>
      </c>
      <c r="P411" s="300">
        <f t="shared" si="660"/>
        <v>1544.1000000000001</v>
      </c>
      <c r="Q411" s="300">
        <f t="shared" si="620"/>
        <v>73.569999999999993</v>
      </c>
      <c r="R411" s="300">
        <f t="shared" si="611"/>
        <v>134.16999999999999</v>
      </c>
      <c r="S411" s="300">
        <f t="shared" si="612"/>
        <v>188.55</v>
      </c>
      <c r="T411" s="300">
        <f t="shared" si="608"/>
        <v>1940.39</v>
      </c>
      <c r="U411" s="300">
        <f t="shared" si="661"/>
        <v>232080.65000000029</v>
      </c>
      <c r="V411" s="300">
        <f t="shared" si="662"/>
        <v>338956.86000000004</v>
      </c>
      <c r="W411" s="300">
        <f t="shared" si="609"/>
        <v>11067.850000000135</v>
      </c>
      <c r="X411" s="535" t="str">
        <f t="shared" si="653"/>
        <v xml:space="preserve"> </v>
      </c>
      <c r="Y411" s="300">
        <f t="shared" si="621"/>
        <v>232107.73000000021</v>
      </c>
      <c r="Z411" s="527">
        <f t="shared" si="646"/>
        <v>7.0000000000000007E-2</v>
      </c>
      <c r="AA411" s="300">
        <f t="shared" si="647"/>
        <v>1746.44</v>
      </c>
      <c r="AB411" s="300">
        <f t="shared" si="622"/>
        <v>392.48</v>
      </c>
      <c r="AC411" s="300">
        <f t="shared" si="648"/>
        <v>1353.96</v>
      </c>
      <c r="AD411" s="300">
        <f t="shared" ref="AD411:AE411" si="673">+AD410</f>
        <v>134.16999999999999</v>
      </c>
      <c r="AE411" s="300">
        <f t="shared" si="673"/>
        <v>188.55</v>
      </c>
      <c r="AF411" s="300">
        <f t="shared" si="624"/>
        <v>2069.1600000000003</v>
      </c>
      <c r="AG411" s="300">
        <f t="shared" si="625"/>
        <v>83208.850000000006</v>
      </c>
      <c r="AH411" s="300">
        <f t="shared" si="626"/>
        <v>524238.27000000019</v>
      </c>
      <c r="AI411" s="545">
        <f t="shared" si="614"/>
        <v>-36409.61</v>
      </c>
      <c r="AJ411" s="545">
        <f t="shared" ref="AJ411:AJ474" si="674">+W411-AL411</f>
        <v>-220647.40000000008</v>
      </c>
      <c r="AK411" s="545">
        <f t="shared" si="615"/>
        <v>-257057.01000000007</v>
      </c>
      <c r="AL411" s="300">
        <f t="shared" si="627"/>
        <v>231715.2500000002</v>
      </c>
      <c r="AM411" s="449">
        <f t="shared" si="655"/>
        <v>29</v>
      </c>
      <c r="AN411" s="14">
        <f t="shared" si="616"/>
        <v>1617.67</v>
      </c>
      <c r="AO411" s="14">
        <f t="shared" si="585"/>
        <v>83157.089999999705</v>
      </c>
      <c r="AP411" s="14">
        <f t="shared" si="617"/>
        <v>1746.44</v>
      </c>
      <c r="AS411" s="14">
        <f t="shared" si="650"/>
        <v>1617.67</v>
      </c>
      <c r="AT411" s="14">
        <f t="shared" si="656"/>
        <v>437391.39000000106</v>
      </c>
      <c r="AU411" s="300">
        <f t="shared" si="657"/>
        <v>1633.9042224559932</v>
      </c>
      <c r="AV411" s="300">
        <f t="shared" si="658"/>
        <v>412047.0932048533</v>
      </c>
    </row>
    <row r="412" spans="1:48" x14ac:dyDescent="0.25">
      <c r="A412" s="535" t="str">
        <f t="shared" si="603"/>
        <v xml:space="preserve"> </v>
      </c>
      <c r="B412" s="300">
        <f t="shared" si="597"/>
        <v>0</v>
      </c>
      <c r="C412" s="14">
        <f t="shared" si="644"/>
        <v>0</v>
      </c>
      <c r="D412" s="14">
        <f t="shared" si="659"/>
        <v>0</v>
      </c>
      <c r="E412" s="14">
        <f t="shared" si="645"/>
        <v>0</v>
      </c>
      <c r="F412" s="14">
        <f t="shared" si="604"/>
        <v>134.16999999999999</v>
      </c>
      <c r="G412" s="14">
        <f t="shared" si="600"/>
        <v>188.55</v>
      </c>
      <c r="H412" s="14">
        <f t="shared" si="601"/>
        <v>322.72000000000003</v>
      </c>
      <c r="I412" s="300">
        <f t="shared" si="605"/>
        <v>83483.170000000042</v>
      </c>
      <c r="J412" s="300">
        <f t="shared" si="606"/>
        <v>68536.320000000022</v>
      </c>
      <c r="K412" s="300">
        <f t="shared" si="607"/>
        <v>0</v>
      </c>
      <c r="L412" s="449">
        <f t="shared" si="587"/>
        <v>29</v>
      </c>
      <c r="M412" s="449">
        <f t="shared" si="651"/>
        <v>353</v>
      </c>
      <c r="N412" s="300">
        <f t="shared" si="652"/>
        <v>11067.850000000135</v>
      </c>
      <c r="O412" s="300">
        <f t="shared" si="619"/>
        <v>1617.67</v>
      </c>
      <c r="P412" s="300">
        <f t="shared" si="660"/>
        <v>1553.1100000000001</v>
      </c>
      <c r="Q412" s="300">
        <f t="shared" si="620"/>
        <v>64.56</v>
      </c>
      <c r="R412" s="300">
        <f t="shared" si="611"/>
        <v>134.16999999999999</v>
      </c>
      <c r="S412" s="300">
        <f t="shared" si="612"/>
        <v>188.55</v>
      </c>
      <c r="T412" s="300">
        <f t="shared" si="608"/>
        <v>1940.39</v>
      </c>
      <c r="U412" s="300">
        <f t="shared" si="661"/>
        <v>233633.76000000027</v>
      </c>
      <c r="V412" s="300">
        <f t="shared" si="662"/>
        <v>339021.42000000004</v>
      </c>
      <c r="W412" s="300">
        <f t="shared" si="609"/>
        <v>9514.7400000001344</v>
      </c>
      <c r="X412" s="535" t="str">
        <f t="shared" si="653"/>
        <v xml:space="preserve"> </v>
      </c>
      <c r="Y412" s="300">
        <f t="shared" si="621"/>
        <v>231715.2500000002</v>
      </c>
      <c r="Z412" s="527">
        <f t="shared" si="646"/>
        <v>7.0000000000000007E-2</v>
      </c>
      <c r="AA412" s="300">
        <f t="shared" si="647"/>
        <v>1746.44</v>
      </c>
      <c r="AB412" s="300">
        <f t="shared" si="622"/>
        <v>394.77</v>
      </c>
      <c r="AC412" s="300">
        <f t="shared" si="648"/>
        <v>1351.67</v>
      </c>
      <c r="AD412" s="300">
        <f t="shared" ref="AD412:AE412" si="675">+AD411</f>
        <v>134.16999999999999</v>
      </c>
      <c r="AE412" s="300">
        <f t="shared" si="675"/>
        <v>188.55</v>
      </c>
      <c r="AF412" s="300">
        <f t="shared" si="624"/>
        <v>2069.1600000000003</v>
      </c>
      <c r="AG412" s="300">
        <f t="shared" si="625"/>
        <v>83603.62000000001</v>
      </c>
      <c r="AH412" s="300">
        <f t="shared" si="626"/>
        <v>525589.94000000018</v>
      </c>
      <c r="AI412" s="545">
        <f t="shared" si="614"/>
        <v>-36538.379999999997</v>
      </c>
      <c r="AJ412" s="545">
        <f t="shared" si="674"/>
        <v>-221805.74000000008</v>
      </c>
      <c r="AK412" s="545">
        <f t="shared" si="615"/>
        <v>-258344.12000000008</v>
      </c>
      <c r="AL412" s="300">
        <f t="shared" si="627"/>
        <v>231320.48000000021</v>
      </c>
      <c r="AM412" s="449">
        <f t="shared" si="655"/>
        <v>29</v>
      </c>
      <c r="AN412" s="14">
        <f t="shared" si="616"/>
        <v>1617.67</v>
      </c>
      <c r="AO412" s="14">
        <f t="shared" si="585"/>
        <v>81603.979999999719</v>
      </c>
      <c r="AP412" s="14">
        <f t="shared" si="617"/>
        <v>1746.44</v>
      </c>
      <c r="AS412" s="14">
        <f t="shared" si="650"/>
        <v>1617.67</v>
      </c>
      <c r="AT412" s="14">
        <f t="shared" si="656"/>
        <v>439009.06000000105</v>
      </c>
      <c r="AU412" s="300">
        <f t="shared" si="657"/>
        <v>1637.9889830121335</v>
      </c>
      <c r="AV412" s="300">
        <f t="shared" si="658"/>
        <v>413685.08218786545</v>
      </c>
    </row>
    <row r="413" spans="1:48" x14ac:dyDescent="0.25">
      <c r="A413" s="535" t="str">
        <f t="shared" si="603"/>
        <v xml:space="preserve"> </v>
      </c>
      <c r="B413" s="300">
        <f t="shared" si="597"/>
        <v>0</v>
      </c>
      <c r="C413" s="14">
        <f t="shared" si="644"/>
        <v>0</v>
      </c>
      <c r="D413" s="14">
        <f t="shared" si="659"/>
        <v>0</v>
      </c>
      <c r="E413" s="14">
        <f t="shared" si="645"/>
        <v>0</v>
      </c>
      <c r="F413" s="14">
        <f t="shared" si="604"/>
        <v>134.16999999999999</v>
      </c>
      <c r="G413" s="14">
        <f t="shared" si="600"/>
        <v>188.55</v>
      </c>
      <c r="H413" s="14">
        <f t="shared" si="601"/>
        <v>322.72000000000003</v>
      </c>
      <c r="I413" s="300">
        <f t="shared" si="605"/>
        <v>83483.170000000042</v>
      </c>
      <c r="J413" s="300">
        <f t="shared" si="606"/>
        <v>68536.320000000022</v>
      </c>
      <c r="K413" s="300">
        <f t="shared" si="607"/>
        <v>0</v>
      </c>
      <c r="L413" s="449">
        <f t="shared" si="587"/>
        <v>29</v>
      </c>
      <c r="M413" s="449">
        <f t="shared" si="651"/>
        <v>354</v>
      </c>
      <c r="N413" s="300">
        <f t="shared" si="652"/>
        <v>9514.7400000001344</v>
      </c>
      <c r="O413" s="300">
        <f t="shared" si="619"/>
        <v>1617.67</v>
      </c>
      <c r="P413" s="300">
        <f t="shared" si="660"/>
        <v>1562.17</v>
      </c>
      <c r="Q413" s="300">
        <f t="shared" si="620"/>
        <v>55.5</v>
      </c>
      <c r="R413" s="300">
        <f t="shared" si="611"/>
        <v>134.16999999999999</v>
      </c>
      <c r="S413" s="300">
        <f t="shared" si="612"/>
        <v>188.55</v>
      </c>
      <c r="T413" s="300">
        <f t="shared" si="608"/>
        <v>1940.39</v>
      </c>
      <c r="U413" s="300">
        <f t="shared" si="661"/>
        <v>235195.93000000028</v>
      </c>
      <c r="V413" s="300">
        <f t="shared" si="662"/>
        <v>339076.92000000004</v>
      </c>
      <c r="W413" s="300">
        <f t="shared" si="609"/>
        <v>7952.5700000001343</v>
      </c>
      <c r="X413" s="535" t="str">
        <f t="shared" si="653"/>
        <v xml:space="preserve"> </v>
      </c>
      <c r="Y413" s="300">
        <f t="shared" si="621"/>
        <v>231320.48000000021</v>
      </c>
      <c r="Z413" s="527">
        <f t="shared" si="646"/>
        <v>7.0000000000000007E-2</v>
      </c>
      <c r="AA413" s="300">
        <f t="shared" si="647"/>
        <v>1746.44</v>
      </c>
      <c r="AB413" s="300">
        <f t="shared" si="622"/>
        <v>397.07000000000016</v>
      </c>
      <c r="AC413" s="300">
        <f t="shared" si="648"/>
        <v>1349.37</v>
      </c>
      <c r="AD413" s="300">
        <f t="shared" ref="AD413:AE413" si="676">+AD412</f>
        <v>134.16999999999999</v>
      </c>
      <c r="AE413" s="300">
        <f t="shared" si="676"/>
        <v>188.55</v>
      </c>
      <c r="AF413" s="300">
        <f t="shared" si="624"/>
        <v>2069.1600000000003</v>
      </c>
      <c r="AG413" s="300">
        <f t="shared" si="625"/>
        <v>84000.690000000017</v>
      </c>
      <c r="AH413" s="300">
        <f t="shared" si="626"/>
        <v>526939.31000000017</v>
      </c>
      <c r="AI413" s="545">
        <f t="shared" si="614"/>
        <v>-36667.149999999994</v>
      </c>
      <c r="AJ413" s="545">
        <f t="shared" si="674"/>
        <v>-222970.84000000008</v>
      </c>
      <c r="AK413" s="545">
        <f t="shared" si="615"/>
        <v>-259637.99000000008</v>
      </c>
      <c r="AL413" s="300">
        <f t="shared" si="627"/>
        <v>230923.41000000021</v>
      </c>
      <c r="AM413" s="449">
        <f t="shared" si="655"/>
        <v>29</v>
      </c>
      <c r="AN413" s="14">
        <f t="shared" si="616"/>
        <v>1617.67</v>
      </c>
      <c r="AO413" s="14">
        <f t="shared" si="585"/>
        <v>80041.809999999707</v>
      </c>
      <c r="AP413" s="14">
        <f t="shared" si="617"/>
        <v>1746.44</v>
      </c>
      <c r="AS413" s="14">
        <f t="shared" si="650"/>
        <v>1617.67</v>
      </c>
      <c r="AT413" s="14">
        <f t="shared" si="656"/>
        <v>440626.73000000103</v>
      </c>
      <c r="AU413" s="300">
        <f t="shared" si="657"/>
        <v>1642.0839554696634</v>
      </c>
      <c r="AV413" s="300">
        <f t="shared" si="658"/>
        <v>415327.16614333511</v>
      </c>
    </row>
    <row r="414" spans="1:48" x14ac:dyDescent="0.25">
      <c r="A414" s="535" t="str">
        <f t="shared" si="603"/>
        <v xml:space="preserve"> </v>
      </c>
      <c r="B414" s="300">
        <f t="shared" si="597"/>
        <v>0</v>
      </c>
      <c r="C414" s="14">
        <f t="shared" si="644"/>
        <v>0</v>
      </c>
      <c r="D414" s="14">
        <f t="shared" si="659"/>
        <v>0</v>
      </c>
      <c r="E414" s="14">
        <f t="shared" si="645"/>
        <v>0</v>
      </c>
      <c r="F414" s="14">
        <f t="shared" si="604"/>
        <v>134.16999999999999</v>
      </c>
      <c r="G414" s="14">
        <f t="shared" si="600"/>
        <v>188.55</v>
      </c>
      <c r="H414" s="14">
        <f t="shared" si="601"/>
        <v>322.72000000000003</v>
      </c>
      <c r="I414" s="300">
        <f t="shared" si="605"/>
        <v>83483.170000000042</v>
      </c>
      <c r="J414" s="300">
        <f t="shared" si="606"/>
        <v>68536.320000000022</v>
      </c>
      <c r="K414" s="300">
        <f t="shared" si="607"/>
        <v>0</v>
      </c>
      <c r="L414" s="449">
        <f t="shared" si="587"/>
        <v>29</v>
      </c>
      <c r="M414" s="449">
        <f t="shared" si="651"/>
        <v>355</v>
      </c>
      <c r="N414" s="300">
        <f t="shared" si="652"/>
        <v>7952.5700000001343</v>
      </c>
      <c r="O414" s="300">
        <f t="shared" si="619"/>
        <v>1617.67</v>
      </c>
      <c r="P414" s="300">
        <f t="shared" si="660"/>
        <v>1571.28</v>
      </c>
      <c r="Q414" s="300">
        <f t="shared" si="620"/>
        <v>46.39</v>
      </c>
      <c r="R414" s="300">
        <f t="shared" si="611"/>
        <v>134.16999999999999</v>
      </c>
      <c r="S414" s="300">
        <f t="shared" si="612"/>
        <v>188.55</v>
      </c>
      <c r="T414" s="300">
        <f t="shared" si="608"/>
        <v>1940.39</v>
      </c>
      <c r="U414" s="300">
        <f t="shared" si="661"/>
        <v>236767.21000000028</v>
      </c>
      <c r="V414" s="300">
        <f t="shared" si="662"/>
        <v>339123.31000000006</v>
      </c>
      <c r="W414" s="300">
        <f t="shared" si="609"/>
        <v>6381.2900000001346</v>
      </c>
      <c r="X414" s="535" t="str">
        <f t="shared" si="653"/>
        <v xml:space="preserve"> </v>
      </c>
      <c r="Y414" s="300">
        <f t="shared" si="621"/>
        <v>230923.41000000021</v>
      </c>
      <c r="Z414" s="527">
        <f t="shared" si="646"/>
        <v>7.0000000000000007E-2</v>
      </c>
      <c r="AA414" s="300">
        <f t="shared" si="647"/>
        <v>1746.44</v>
      </c>
      <c r="AB414" s="300">
        <f t="shared" si="622"/>
        <v>399.3900000000001</v>
      </c>
      <c r="AC414" s="300">
        <f t="shared" si="648"/>
        <v>1347.05</v>
      </c>
      <c r="AD414" s="300">
        <f t="shared" ref="AD414:AE414" si="677">+AD413</f>
        <v>134.16999999999999</v>
      </c>
      <c r="AE414" s="300">
        <f t="shared" si="677"/>
        <v>188.55</v>
      </c>
      <c r="AF414" s="300">
        <f t="shared" si="624"/>
        <v>2069.1600000000003</v>
      </c>
      <c r="AG414" s="300">
        <f t="shared" si="625"/>
        <v>84400.080000000016</v>
      </c>
      <c r="AH414" s="300">
        <f t="shared" si="626"/>
        <v>528286.36000000022</v>
      </c>
      <c r="AI414" s="545">
        <f t="shared" si="614"/>
        <v>-36795.919999999991</v>
      </c>
      <c r="AJ414" s="545">
        <f t="shared" si="674"/>
        <v>-224142.73000000007</v>
      </c>
      <c r="AK414" s="545">
        <f t="shared" si="615"/>
        <v>-260938.65000000005</v>
      </c>
      <c r="AL414" s="300">
        <f t="shared" si="627"/>
        <v>230524.02000000019</v>
      </c>
      <c r="AM414" s="449">
        <f t="shared" si="655"/>
        <v>29</v>
      </c>
      <c r="AN414" s="14">
        <f t="shared" si="616"/>
        <v>1617.67</v>
      </c>
      <c r="AO414" s="14">
        <f t="shared" si="585"/>
        <v>78470.529999999708</v>
      </c>
      <c r="AP414" s="14">
        <f t="shared" si="617"/>
        <v>1746.44</v>
      </c>
      <c r="AS414" s="14">
        <f t="shared" si="650"/>
        <v>1617.67</v>
      </c>
      <c r="AT414" s="14">
        <f t="shared" si="656"/>
        <v>442244.40000000101</v>
      </c>
      <c r="AU414" s="300">
        <f t="shared" si="657"/>
        <v>1646.189165358338</v>
      </c>
      <c r="AV414" s="300">
        <f t="shared" si="658"/>
        <v>416973.35530869343</v>
      </c>
    </row>
    <row r="415" spans="1:48" x14ac:dyDescent="0.25">
      <c r="A415" s="535" t="str">
        <f t="shared" si="603"/>
        <v xml:space="preserve"> </v>
      </c>
      <c r="B415" s="300">
        <f t="shared" si="597"/>
        <v>0</v>
      </c>
      <c r="C415" s="14">
        <f t="shared" si="644"/>
        <v>0</v>
      </c>
      <c r="D415" s="14">
        <f t="shared" si="659"/>
        <v>0</v>
      </c>
      <c r="E415" s="14">
        <f t="shared" si="645"/>
        <v>0</v>
      </c>
      <c r="F415" s="14">
        <f t="shared" si="604"/>
        <v>134.16999999999999</v>
      </c>
      <c r="G415" s="14">
        <f t="shared" si="600"/>
        <v>188.55</v>
      </c>
      <c r="H415" s="14">
        <f t="shared" si="601"/>
        <v>322.72000000000003</v>
      </c>
      <c r="I415" s="300">
        <f t="shared" si="605"/>
        <v>83483.170000000042</v>
      </c>
      <c r="J415" s="300">
        <f t="shared" si="606"/>
        <v>68536.320000000022</v>
      </c>
      <c r="K415" s="300">
        <f t="shared" si="607"/>
        <v>0</v>
      </c>
      <c r="L415" s="449">
        <f t="shared" si="587"/>
        <v>29</v>
      </c>
      <c r="M415" s="449">
        <f t="shared" si="651"/>
        <v>356</v>
      </c>
      <c r="N415" s="300">
        <f t="shared" si="652"/>
        <v>6381.2900000001346</v>
      </c>
      <c r="O415" s="300">
        <f t="shared" si="619"/>
        <v>1617.67</v>
      </c>
      <c r="P415" s="300">
        <f t="shared" si="660"/>
        <v>1580.45</v>
      </c>
      <c r="Q415" s="300">
        <f t="shared" si="620"/>
        <v>37.22</v>
      </c>
      <c r="R415" s="300">
        <f t="shared" si="611"/>
        <v>134.16999999999999</v>
      </c>
      <c r="S415" s="300">
        <f t="shared" si="612"/>
        <v>188.55</v>
      </c>
      <c r="T415" s="300">
        <f t="shared" si="608"/>
        <v>1940.39</v>
      </c>
      <c r="U415" s="300">
        <f t="shared" si="661"/>
        <v>238347.66000000029</v>
      </c>
      <c r="V415" s="300">
        <f t="shared" si="662"/>
        <v>339160.53</v>
      </c>
      <c r="W415" s="300">
        <f t="shared" si="609"/>
        <v>4800.8400000001348</v>
      </c>
      <c r="X415" s="535" t="str">
        <f t="shared" si="653"/>
        <v xml:space="preserve"> </v>
      </c>
      <c r="Y415" s="300">
        <f t="shared" si="621"/>
        <v>230524.02000000019</v>
      </c>
      <c r="Z415" s="527">
        <f t="shared" si="646"/>
        <v>7.0000000000000007E-2</v>
      </c>
      <c r="AA415" s="300">
        <f t="shared" si="647"/>
        <v>1746.44</v>
      </c>
      <c r="AB415" s="300">
        <f t="shared" si="622"/>
        <v>401.72</v>
      </c>
      <c r="AC415" s="300">
        <f t="shared" si="648"/>
        <v>1344.72</v>
      </c>
      <c r="AD415" s="300">
        <f t="shared" ref="AD415:AE415" si="678">+AD414</f>
        <v>134.16999999999999</v>
      </c>
      <c r="AE415" s="300">
        <f t="shared" si="678"/>
        <v>188.55</v>
      </c>
      <c r="AF415" s="300">
        <f t="shared" si="624"/>
        <v>2069.1600000000003</v>
      </c>
      <c r="AG415" s="300">
        <f t="shared" si="625"/>
        <v>84801.800000000017</v>
      </c>
      <c r="AH415" s="300">
        <f t="shared" si="626"/>
        <v>529631.08000000019</v>
      </c>
      <c r="AI415" s="545">
        <f t="shared" si="614"/>
        <v>-36924.689999999988</v>
      </c>
      <c r="AJ415" s="545">
        <f t="shared" si="674"/>
        <v>-225321.46000000005</v>
      </c>
      <c r="AK415" s="545">
        <f t="shared" si="615"/>
        <v>-262246.15000000002</v>
      </c>
      <c r="AL415" s="300">
        <f t="shared" si="627"/>
        <v>230122.30000000019</v>
      </c>
      <c r="AM415" s="449">
        <f t="shared" si="655"/>
        <v>29</v>
      </c>
      <c r="AN415" s="14">
        <f t="shared" si="616"/>
        <v>1617.67</v>
      </c>
      <c r="AO415" s="14">
        <f t="shared" si="585"/>
        <v>76890.079999999696</v>
      </c>
      <c r="AP415" s="14">
        <f t="shared" si="617"/>
        <v>1746.44</v>
      </c>
      <c r="AS415" s="14">
        <f t="shared" si="650"/>
        <v>1617.67</v>
      </c>
      <c r="AT415" s="14">
        <f t="shared" si="656"/>
        <v>443862.070000001</v>
      </c>
      <c r="AU415" s="300">
        <f t="shared" si="657"/>
        <v>1650.3046382717332</v>
      </c>
      <c r="AV415" s="300">
        <f t="shared" si="658"/>
        <v>418623.65994696517</v>
      </c>
    </row>
    <row r="416" spans="1:48" x14ac:dyDescent="0.25">
      <c r="A416" s="535" t="str">
        <f t="shared" si="603"/>
        <v xml:space="preserve"> </v>
      </c>
      <c r="B416" s="300">
        <f t="shared" si="597"/>
        <v>0</v>
      </c>
      <c r="C416" s="14">
        <f t="shared" si="644"/>
        <v>0</v>
      </c>
      <c r="D416" s="14">
        <f t="shared" si="659"/>
        <v>0</v>
      </c>
      <c r="E416" s="14">
        <f t="shared" si="645"/>
        <v>0</v>
      </c>
      <c r="F416" s="14">
        <f t="shared" si="604"/>
        <v>134.16999999999999</v>
      </c>
      <c r="G416" s="14">
        <f t="shared" si="600"/>
        <v>188.55</v>
      </c>
      <c r="H416" s="14">
        <f t="shared" si="601"/>
        <v>322.72000000000003</v>
      </c>
      <c r="I416" s="300">
        <f t="shared" si="605"/>
        <v>83483.170000000042</v>
      </c>
      <c r="J416" s="300">
        <f t="shared" si="606"/>
        <v>68536.320000000022</v>
      </c>
      <c r="K416" s="300">
        <f t="shared" si="607"/>
        <v>0</v>
      </c>
      <c r="L416" s="449">
        <f t="shared" si="587"/>
        <v>29</v>
      </c>
      <c r="M416" s="449">
        <f t="shared" si="651"/>
        <v>357</v>
      </c>
      <c r="N416" s="300">
        <f t="shared" si="652"/>
        <v>4800.8400000001348</v>
      </c>
      <c r="O416" s="300">
        <f t="shared" si="619"/>
        <v>1617.67</v>
      </c>
      <c r="P416" s="300">
        <f t="shared" si="660"/>
        <v>1589.67</v>
      </c>
      <c r="Q416" s="300">
        <f t="shared" si="620"/>
        <v>28</v>
      </c>
      <c r="R416" s="300">
        <f t="shared" si="611"/>
        <v>134.16999999999999</v>
      </c>
      <c r="S416" s="300">
        <f t="shared" si="612"/>
        <v>188.55</v>
      </c>
      <c r="T416" s="300">
        <f t="shared" si="608"/>
        <v>1940.39</v>
      </c>
      <c r="U416" s="300">
        <f t="shared" si="661"/>
        <v>239937.33000000031</v>
      </c>
      <c r="V416" s="300">
        <f t="shared" si="662"/>
        <v>339188.53</v>
      </c>
      <c r="W416" s="300">
        <f t="shared" si="609"/>
        <v>3211.1700000001347</v>
      </c>
      <c r="X416" s="535" t="str">
        <f t="shared" si="653"/>
        <v xml:space="preserve"> </v>
      </c>
      <c r="Y416" s="300">
        <f t="shared" si="621"/>
        <v>230122.30000000019</v>
      </c>
      <c r="Z416" s="527">
        <f t="shared" si="646"/>
        <v>7.0000000000000007E-2</v>
      </c>
      <c r="AA416" s="300">
        <f t="shared" si="647"/>
        <v>1746.44</v>
      </c>
      <c r="AB416" s="300">
        <f t="shared" si="622"/>
        <v>404.05999999999995</v>
      </c>
      <c r="AC416" s="300">
        <f t="shared" si="648"/>
        <v>1342.38</v>
      </c>
      <c r="AD416" s="300">
        <f t="shared" ref="AD416:AE416" si="679">+AD415</f>
        <v>134.16999999999999</v>
      </c>
      <c r="AE416" s="300">
        <f t="shared" si="679"/>
        <v>188.55</v>
      </c>
      <c r="AF416" s="300">
        <f t="shared" si="624"/>
        <v>2069.1600000000003</v>
      </c>
      <c r="AG416" s="300">
        <f t="shared" si="625"/>
        <v>85205.860000000015</v>
      </c>
      <c r="AH416" s="300">
        <f t="shared" si="626"/>
        <v>530973.4600000002</v>
      </c>
      <c r="AI416" s="545">
        <f t="shared" si="614"/>
        <v>-37053.459999999985</v>
      </c>
      <c r="AJ416" s="545">
        <f t="shared" si="674"/>
        <v>-226507.07000000007</v>
      </c>
      <c r="AK416" s="545">
        <f t="shared" si="615"/>
        <v>-263560.53000000003</v>
      </c>
      <c r="AL416" s="300">
        <f t="shared" si="627"/>
        <v>229718.24000000019</v>
      </c>
      <c r="AM416" s="449">
        <f t="shared" si="655"/>
        <v>29</v>
      </c>
      <c r="AN416" s="14">
        <f t="shared" si="616"/>
        <v>1617.67</v>
      </c>
      <c r="AO416" s="14">
        <f t="shared" si="585"/>
        <v>75300.409999999683</v>
      </c>
      <c r="AP416" s="14">
        <f t="shared" si="617"/>
        <v>1746.44</v>
      </c>
      <c r="AS416" s="14">
        <f t="shared" si="650"/>
        <v>1617.67</v>
      </c>
      <c r="AT416" s="14">
        <f t="shared" si="656"/>
        <v>445479.74000000098</v>
      </c>
      <c r="AU416" s="300">
        <f t="shared" si="657"/>
        <v>1654.4303998674129</v>
      </c>
      <c r="AV416" s="300">
        <f t="shared" si="658"/>
        <v>420278.09034683259</v>
      </c>
    </row>
    <row r="417" spans="1:48" x14ac:dyDescent="0.25">
      <c r="A417" s="535" t="str">
        <f t="shared" si="603"/>
        <v xml:space="preserve"> </v>
      </c>
      <c r="B417" s="300">
        <f t="shared" si="597"/>
        <v>0</v>
      </c>
      <c r="C417" s="14">
        <f t="shared" si="644"/>
        <v>0</v>
      </c>
      <c r="D417" s="14">
        <f t="shared" si="659"/>
        <v>0</v>
      </c>
      <c r="E417" s="14">
        <f t="shared" si="645"/>
        <v>0</v>
      </c>
      <c r="F417" s="14">
        <f t="shared" si="604"/>
        <v>134.16999999999999</v>
      </c>
      <c r="G417" s="14">
        <f t="shared" si="600"/>
        <v>188.55</v>
      </c>
      <c r="H417" s="14">
        <f t="shared" si="601"/>
        <v>322.72000000000003</v>
      </c>
      <c r="I417" s="300">
        <f t="shared" si="605"/>
        <v>83483.170000000042</v>
      </c>
      <c r="J417" s="300">
        <f t="shared" si="606"/>
        <v>68536.320000000022</v>
      </c>
      <c r="K417" s="300">
        <f t="shared" si="607"/>
        <v>0</v>
      </c>
      <c r="L417" s="449">
        <f t="shared" si="587"/>
        <v>29</v>
      </c>
      <c r="M417" s="449">
        <f t="shared" si="651"/>
        <v>358</v>
      </c>
      <c r="N417" s="300">
        <f t="shared" si="652"/>
        <v>3211.1700000001347</v>
      </c>
      <c r="O417" s="300">
        <f t="shared" si="619"/>
        <v>1617.67</v>
      </c>
      <c r="P417" s="300">
        <f t="shared" si="660"/>
        <v>1598.94</v>
      </c>
      <c r="Q417" s="300">
        <f t="shared" si="620"/>
        <v>18.73</v>
      </c>
      <c r="R417" s="300">
        <f t="shared" si="611"/>
        <v>134.16999999999999</v>
      </c>
      <c r="S417" s="300">
        <f t="shared" si="612"/>
        <v>188.55</v>
      </c>
      <c r="T417" s="300">
        <f t="shared" si="608"/>
        <v>1940.39</v>
      </c>
      <c r="U417" s="300">
        <f t="shared" si="661"/>
        <v>241536.27000000031</v>
      </c>
      <c r="V417" s="300">
        <f t="shared" si="662"/>
        <v>339207.26</v>
      </c>
      <c r="W417" s="300">
        <f t="shared" si="609"/>
        <v>1612.2300000001346</v>
      </c>
      <c r="X417" s="535" t="str">
        <f t="shared" si="653"/>
        <v xml:space="preserve"> </v>
      </c>
      <c r="Y417" s="300">
        <f t="shared" si="621"/>
        <v>229718.24000000019</v>
      </c>
      <c r="Z417" s="527">
        <f t="shared" si="646"/>
        <v>7.0000000000000007E-2</v>
      </c>
      <c r="AA417" s="300">
        <f t="shared" si="647"/>
        <v>1746.44</v>
      </c>
      <c r="AB417" s="300">
        <f t="shared" si="622"/>
        <v>406.42000000000007</v>
      </c>
      <c r="AC417" s="300">
        <f t="shared" si="648"/>
        <v>1340.02</v>
      </c>
      <c r="AD417" s="300">
        <f t="shared" ref="AD417:AE417" si="680">+AD416</f>
        <v>134.16999999999999</v>
      </c>
      <c r="AE417" s="300">
        <f t="shared" si="680"/>
        <v>188.55</v>
      </c>
      <c r="AF417" s="300">
        <f t="shared" si="624"/>
        <v>2069.1600000000003</v>
      </c>
      <c r="AG417" s="300">
        <f t="shared" si="625"/>
        <v>85612.280000000013</v>
      </c>
      <c r="AH417" s="300">
        <f t="shared" si="626"/>
        <v>532313.48000000021</v>
      </c>
      <c r="AI417" s="545">
        <f t="shared" si="614"/>
        <v>-37182.229999999981</v>
      </c>
      <c r="AJ417" s="545">
        <f t="shared" si="674"/>
        <v>-227699.59000000005</v>
      </c>
      <c r="AK417" s="545">
        <f t="shared" si="615"/>
        <v>-264881.82000000007</v>
      </c>
      <c r="AL417" s="300">
        <f t="shared" si="627"/>
        <v>229311.82000000018</v>
      </c>
      <c r="AM417" s="449">
        <f t="shared" si="655"/>
        <v>29</v>
      </c>
      <c r="AN417" s="14">
        <f t="shared" si="616"/>
        <v>1617.67</v>
      </c>
      <c r="AO417" s="14">
        <f t="shared" si="585"/>
        <v>73701.469999999681</v>
      </c>
      <c r="AP417" s="14">
        <f t="shared" si="617"/>
        <v>1746.44</v>
      </c>
      <c r="AS417" s="14">
        <f t="shared" si="650"/>
        <v>1617.67</v>
      </c>
      <c r="AT417" s="14">
        <f t="shared" si="656"/>
        <v>447097.41000000096</v>
      </c>
      <c r="AU417" s="300">
        <f t="shared" si="657"/>
        <v>1658.5664758670812</v>
      </c>
      <c r="AV417" s="300">
        <f t="shared" si="658"/>
        <v>421936.65682269965</v>
      </c>
    </row>
    <row r="418" spans="1:48" x14ac:dyDescent="0.25">
      <c r="A418" s="535" t="str">
        <f t="shared" si="603"/>
        <v xml:space="preserve"> </v>
      </c>
      <c r="B418" s="300">
        <f t="shared" si="597"/>
        <v>0</v>
      </c>
      <c r="C418" s="14">
        <f t="shared" si="644"/>
        <v>0</v>
      </c>
      <c r="D418" s="14">
        <f t="shared" si="659"/>
        <v>0</v>
      </c>
      <c r="E418" s="14">
        <f t="shared" si="645"/>
        <v>0</v>
      </c>
      <c r="F418" s="14">
        <f t="shared" si="604"/>
        <v>134.16999999999999</v>
      </c>
      <c r="G418" s="14">
        <f t="shared" si="600"/>
        <v>188.55</v>
      </c>
      <c r="H418" s="14">
        <f t="shared" si="601"/>
        <v>322.72000000000003</v>
      </c>
      <c r="I418" s="300">
        <f t="shared" si="605"/>
        <v>83483.170000000042</v>
      </c>
      <c r="J418" s="300">
        <f t="shared" si="606"/>
        <v>68536.320000000022</v>
      </c>
      <c r="K418" s="300">
        <f t="shared" si="607"/>
        <v>0</v>
      </c>
      <c r="L418" s="449">
        <f t="shared" si="587"/>
        <v>29</v>
      </c>
      <c r="M418" s="449">
        <f t="shared" si="651"/>
        <v>359</v>
      </c>
      <c r="N418" s="300">
        <f t="shared" ref="N418:N481" si="681">IF(+W417&lt;0,0,+W417)</f>
        <v>1612.2300000001346</v>
      </c>
      <c r="O418" s="300">
        <f t="shared" si="619"/>
        <v>1617.67</v>
      </c>
      <c r="P418" s="300">
        <f t="shared" si="660"/>
        <v>1608.27</v>
      </c>
      <c r="Q418" s="300">
        <f t="shared" si="620"/>
        <v>9.4</v>
      </c>
      <c r="R418" s="300">
        <f t="shared" si="611"/>
        <v>134.16999999999999</v>
      </c>
      <c r="S418" s="300">
        <f t="shared" si="612"/>
        <v>188.55</v>
      </c>
      <c r="T418" s="300">
        <f t="shared" si="608"/>
        <v>1940.39</v>
      </c>
      <c r="U418" s="300">
        <f t="shared" si="661"/>
        <v>243144.5400000003</v>
      </c>
      <c r="V418" s="300">
        <f t="shared" si="662"/>
        <v>339216.66000000003</v>
      </c>
      <c r="W418" s="300">
        <f t="shared" si="609"/>
        <v>3.9600000001346416</v>
      </c>
      <c r="X418" s="535" t="str">
        <f t="shared" si="653"/>
        <v xml:space="preserve"> </v>
      </c>
      <c r="Y418" s="300">
        <f t="shared" si="621"/>
        <v>229311.82000000018</v>
      </c>
      <c r="Z418" s="527">
        <f t="shared" si="646"/>
        <v>7.0000000000000007E-2</v>
      </c>
      <c r="AA418" s="300">
        <f t="shared" si="647"/>
        <v>1746.44</v>
      </c>
      <c r="AB418" s="300">
        <f t="shared" si="622"/>
        <v>408.78999999999996</v>
      </c>
      <c r="AC418" s="300">
        <f t="shared" si="648"/>
        <v>1337.65</v>
      </c>
      <c r="AD418" s="300">
        <f t="shared" ref="AD418:AE418" si="682">+AD417</f>
        <v>134.16999999999999</v>
      </c>
      <c r="AE418" s="300">
        <f t="shared" si="682"/>
        <v>188.55</v>
      </c>
      <c r="AF418" s="300">
        <f t="shared" si="624"/>
        <v>2069.1600000000003</v>
      </c>
      <c r="AG418" s="300">
        <f t="shared" si="625"/>
        <v>86021.07</v>
      </c>
      <c r="AH418" s="300">
        <f t="shared" si="626"/>
        <v>533651.13000000024</v>
      </c>
      <c r="AI418" s="545">
        <f t="shared" si="614"/>
        <v>-37310.999999999978</v>
      </c>
      <c r="AJ418" s="545">
        <f t="shared" si="674"/>
        <v>-228899.07000000004</v>
      </c>
      <c r="AK418" s="545">
        <f t="shared" si="615"/>
        <v>-266210.07</v>
      </c>
      <c r="AL418" s="300">
        <f t="shared" si="627"/>
        <v>228903.03000000017</v>
      </c>
      <c r="AM418" s="449">
        <f t="shared" si="655"/>
        <v>29</v>
      </c>
      <c r="AN418" s="14">
        <f t="shared" si="616"/>
        <v>1617.67</v>
      </c>
      <c r="AO418" s="14">
        <f t="shared" si="585"/>
        <v>72093.199999999691</v>
      </c>
      <c r="AP418" s="14">
        <f t="shared" si="617"/>
        <v>1746.44</v>
      </c>
      <c r="AS418" s="14">
        <f t="shared" si="650"/>
        <v>1617.67</v>
      </c>
      <c r="AT418" s="14">
        <f t="shared" si="656"/>
        <v>448715.08000000095</v>
      </c>
      <c r="AU418" s="300">
        <f t="shared" si="657"/>
        <v>1662.7128920567491</v>
      </c>
      <c r="AV418" s="300">
        <f t="shared" si="658"/>
        <v>423599.36971475638</v>
      </c>
    </row>
    <row r="419" spans="1:48" x14ac:dyDescent="0.25">
      <c r="A419" s="535" t="str">
        <f t="shared" si="603"/>
        <v xml:space="preserve"> </v>
      </c>
      <c r="B419" s="300">
        <f t="shared" si="597"/>
        <v>0</v>
      </c>
      <c r="C419" s="14">
        <f t="shared" si="644"/>
        <v>0</v>
      </c>
      <c r="D419" s="14">
        <f t="shared" si="659"/>
        <v>0</v>
      </c>
      <c r="E419" s="14">
        <f t="shared" si="645"/>
        <v>0</v>
      </c>
      <c r="F419" s="14">
        <f t="shared" si="604"/>
        <v>134.16999999999999</v>
      </c>
      <c r="G419" s="14">
        <f t="shared" si="600"/>
        <v>188.55</v>
      </c>
      <c r="H419" s="14">
        <f t="shared" si="601"/>
        <v>322.72000000000003</v>
      </c>
      <c r="I419" s="300">
        <f t="shared" si="605"/>
        <v>83483.170000000042</v>
      </c>
      <c r="J419" s="300">
        <f t="shared" si="606"/>
        <v>68536.320000000022</v>
      </c>
      <c r="K419" s="300">
        <f t="shared" si="607"/>
        <v>0</v>
      </c>
      <c r="L419" s="449">
        <f t="shared" si="587"/>
        <v>30</v>
      </c>
      <c r="M419" s="449">
        <f t="shared" si="651"/>
        <v>360</v>
      </c>
      <c r="N419" s="300">
        <f t="shared" si="681"/>
        <v>3.9600000001346416</v>
      </c>
      <c r="O419" s="300">
        <f t="shared" si="619"/>
        <v>1617.67</v>
      </c>
      <c r="P419" s="300">
        <f t="shared" si="660"/>
        <v>1617.65</v>
      </c>
      <c r="Q419" s="300">
        <f t="shared" si="620"/>
        <v>0.02</v>
      </c>
      <c r="R419" s="300">
        <f t="shared" si="611"/>
        <v>134.16999999999999</v>
      </c>
      <c r="S419" s="300">
        <f t="shared" si="612"/>
        <v>188.55</v>
      </c>
      <c r="T419" s="300">
        <f t="shared" si="608"/>
        <v>1940.39</v>
      </c>
      <c r="U419" s="300">
        <f t="shared" si="661"/>
        <v>244762.19000000029</v>
      </c>
      <c r="V419" s="300">
        <f t="shared" si="662"/>
        <v>339216.68000000005</v>
      </c>
      <c r="W419" s="300">
        <f t="shared" si="609"/>
        <v>-1613.6899999998654</v>
      </c>
      <c r="X419" s="535" t="str">
        <f t="shared" si="653"/>
        <v xml:space="preserve"> </v>
      </c>
      <c r="Y419" s="300">
        <f t="shared" si="621"/>
        <v>228903.03000000017</v>
      </c>
      <c r="Z419" s="527">
        <f t="shared" si="646"/>
        <v>7.0000000000000007E-2</v>
      </c>
      <c r="AA419" s="300">
        <f t="shared" si="647"/>
        <v>1746.44</v>
      </c>
      <c r="AB419" s="300">
        <f t="shared" si="622"/>
        <v>411.17000000000007</v>
      </c>
      <c r="AC419" s="300">
        <f t="shared" si="648"/>
        <v>1335.27</v>
      </c>
      <c r="AD419" s="300">
        <f t="shared" ref="AD419:AE419" si="683">+AD418</f>
        <v>134.16999999999999</v>
      </c>
      <c r="AE419" s="300">
        <f t="shared" si="683"/>
        <v>188.55</v>
      </c>
      <c r="AF419" s="300">
        <f t="shared" si="624"/>
        <v>2069.1600000000003</v>
      </c>
      <c r="AG419" s="300">
        <f t="shared" si="625"/>
        <v>86432.24</v>
      </c>
      <c r="AH419" s="300">
        <f t="shared" si="626"/>
        <v>534986.40000000026</v>
      </c>
      <c r="AI419" s="545">
        <f t="shared" si="614"/>
        <v>-37439.769999999975</v>
      </c>
      <c r="AJ419" s="545">
        <f t="shared" si="674"/>
        <v>-230105.55000000002</v>
      </c>
      <c r="AK419" s="545">
        <f t="shared" si="615"/>
        <v>-267545.32</v>
      </c>
      <c r="AL419" s="300">
        <f t="shared" si="627"/>
        <v>228491.86000000016</v>
      </c>
      <c r="AM419" s="449">
        <f t="shared" si="655"/>
        <v>30</v>
      </c>
      <c r="AN419" s="14">
        <f t="shared" si="616"/>
        <v>1617.67</v>
      </c>
      <c r="AO419" s="14">
        <f t="shared" si="585"/>
        <v>0</v>
      </c>
      <c r="AP419" s="14">
        <f t="shared" si="617"/>
        <v>1746.44</v>
      </c>
      <c r="AS419" s="14">
        <f t="shared" si="650"/>
        <v>1617.67</v>
      </c>
      <c r="AT419" s="14">
        <f t="shared" si="656"/>
        <v>0</v>
      </c>
      <c r="AU419" s="300">
        <f t="shared" si="657"/>
        <v>0</v>
      </c>
      <c r="AV419" s="300">
        <f t="shared" si="658"/>
        <v>0</v>
      </c>
    </row>
    <row r="420" spans="1:48" x14ac:dyDescent="0.25">
      <c r="A420" s="535" t="str">
        <f t="shared" si="603"/>
        <v xml:space="preserve"> </v>
      </c>
      <c r="B420" s="300">
        <f t="shared" si="597"/>
        <v>0</v>
      </c>
      <c r="C420" s="14">
        <f t="shared" si="644"/>
        <v>0</v>
      </c>
      <c r="D420" s="14">
        <f t="shared" si="659"/>
        <v>0</v>
      </c>
      <c r="E420" s="14">
        <f t="shared" si="645"/>
        <v>0</v>
      </c>
      <c r="F420" s="14">
        <f t="shared" si="604"/>
        <v>134.16999999999999</v>
      </c>
      <c r="G420" s="14">
        <f t="shared" si="600"/>
        <v>188.55</v>
      </c>
      <c r="H420" s="14">
        <f t="shared" si="601"/>
        <v>322.72000000000003</v>
      </c>
      <c r="I420" s="300">
        <f t="shared" si="605"/>
        <v>83483.170000000042</v>
      </c>
      <c r="J420" s="300">
        <f t="shared" si="606"/>
        <v>68536.320000000022</v>
      </c>
      <c r="K420" s="300">
        <f t="shared" si="607"/>
        <v>0</v>
      </c>
      <c r="L420" s="449">
        <f t="shared" si="587"/>
        <v>30</v>
      </c>
      <c r="M420" s="449">
        <f t="shared" si="651"/>
        <v>361</v>
      </c>
      <c r="N420" s="300">
        <f t="shared" si="681"/>
        <v>0</v>
      </c>
      <c r="O420" s="300">
        <f t="shared" si="619"/>
        <v>0</v>
      </c>
      <c r="P420" s="300">
        <f t="shared" si="660"/>
        <v>0</v>
      </c>
      <c r="Q420" s="300">
        <f t="shared" si="620"/>
        <v>0</v>
      </c>
      <c r="R420" s="300">
        <f t="shared" si="611"/>
        <v>134.16999999999999</v>
      </c>
      <c r="S420" s="300">
        <f t="shared" si="612"/>
        <v>188.55</v>
      </c>
      <c r="T420" s="300">
        <f t="shared" si="608"/>
        <v>322.72000000000003</v>
      </c>
      <c r="U420" s="300">
        <f t="shared" si="661"/>
        <v>244762.19000000029</v>
      </c>
      <c r="V420" s="300">
        <f t="shared" si="662"/>
        <v>339216.68000000005</v>
      </c>
      <c r="W420" s="300">
        <f t="shared" si="609"/>
        <v>0</v>
      </c>
      <c r="X420" s="535" t="str">
        <f t="shared" si="653"/>
        <v xml:space="preserve"> </v>
      </c>
      <c r="Y420" s="300">
        <f t="shared" si="621"/>
        <v>228491.86000000016</v>
      </c>
      <c r="Z420" s="527">
        <f t="shared" si="646"/>
        <v>7.0000000000000007E-2</v>
      </c>
      <c r="AA420" s="300">
        <f t="shared" si="647"/>
        <v>1746.44</v>
      </c>
      <c r="AB420" s="300">
        <f t="shared" si="622"/>
        <v>413.57000000000016</v>
      </c>
      <c r="AC420" s="300">
        <f t="shared" si="648"/>
        <v>1332.87</v>
      </c>
      <c r="AD420" s="300">
        <f t="shared" ref="AD420:AE420" si="684">+AD419</f>
        <v>134.16999999999999</v>
      </c>
      <c r="AE420" s="300">
        <f t="shared" si="684"/>
        <v>188.55</v>
      </c>
      <c r="AF420" s="300">
        <f t="shared" si="624"/>
        <v>2069.1600000000003</v>
      </c>
      <c r="AG420" s="300">
        <f t="shared" si="625"/>
        <v>86845.810000000012</v>
      </c>
      <c r="AH420" s="300">
        <f t="shared" si="626"/>
        <v>536319.27000000025</v>
      </c>
      <c r="AI420" s="545">
        <f t="shared" si="614"/>
        <v>-39186.209999999977</v>
      </c>
      <c r="AJ420" s="545">
        <f t="shared" si="674"/>
        <v>-228078.29000000015</v>
      </c>
      <c r="AK420" s="545">
        <f t="shared" si="615"/>
        <v>-267264.50000000012</v>
      </c>
      <c r="AL420" s="300">
        <f>+Y420-AB420</f>
        <v>228078.29000000015</v>
      </c>
      <c r="AM420" s="449">
        <f t="shared" si="655"/>
        <v>30</v>
      </c>
      <c r="AN420" s="14">
        <f t="shared" si="616"/>
        <v>0</v>
      </c>
      <c r="AO420" s="14">
        <f t="shared" si="585"/>
        <v>0</v>
      </c>
      <c r="AP420" s="14">
        <f t="shared" si="617"/>
        <v>0</v>
      </c>
      <c r="AS420" s="14">
        <f t="shared" si="650"/>
        <v>0</v>
      </c>
      <c r="AT420" s="14">
        <f t="shared" si="656"/>
        <v>0</v>
      </c>
      <c r="AU420" s="300">
        <f t="shared" si="657"/>
        <v>0</v>
      </c>
      <c r="AV420" s="300">
        <f t="shared" si="658"/>
        <v>0</v>
      </c>
    </row>
    <row r="421" spans="1:48" x14ac:dyDescent="0.25">
      <c r="A421" s="535" t="str">
        <f t="shared" si="603"/>
        <v xml:space="preserve"> </v>
      </c>
      <c r="B421" s="300">
        <f t="shared" si="597"/>
        <v>0</v>
      </c>
      <c r="C421" s="14">
        <f t="shared" si="644"/>
        <v>0</v>
      </c>
      <c r="D421" s="14">
        <f t="shared" si="659"/>
        <v>0</v>
      </c>
      <c r="E421" s="14">
        <f t="shared" si="645"/>
        <v>0</v>
      </c>
      <c r="F421" s="14">
        <f t="shared" si="604"/>
        <v>134.16999999999999</v>
      </c>
      <c r="G421" s="14">
        <f t="shared" si="600"/>
        <v>188.55</v>
      </c>
      <c r="H421" s="14">
        <f t="shared" si="601"/>
        <v>322.72000000000003</v>
      </c>
      <c r="I421" s="300">
        <f t="shared" si="605"/>
        <v>83483.170000000042</v>
      </c>
      <c r="J421" s="300">
        <f t="shared" si="606"/>
        <v>68536.320000000022</v>
      </c>
      <c r="K421" s="300">
        <f t="shared" si="607"/>
        <v>0</v>
      </c>
      <c r="L421" s="449">
        <f t="shared" si="587"/>
        <v>30</v>
      </c>
      <c r="M421" s="449">
        <f t="shared" si="651"/>
        <v>362</v>
      </c>
      <c r="N421" s="300">
        <f t="shared" si="681"/>
        <v>0</v>
      </c>
      <c r="O421" s="300">
        <f t="shared" si="619"/>
        <v>0</v>
      </c>
      <c r="P421" s="300">
        <f t="shared" si="660"/>
        <v>0</v>
      </c>
      <c r="Q421" s="300">
        <f t="shared" si="620"/>
        <v>0</v>
      </c>
      <c r="R421" s="300">
        <f t="shared" si="611"/>
        <v>134.16999999999999</v>
      </c>
      <c r="S421" s="300">
        <f t="shared" si="612"/>
        <v>188.55</v>
      </c>
      <c r="T421" s="300">
        <f t="shared" si="608"/>
        <v>322.72000000000003</v>
      </c>
      <c r="U421" s="300">
        <f t="shared" si="661"/>
        <v>244762.19000000029</v>
      </c>
      <c r="V421" s="300">
        <f t="shared" si="662"/>
        <v>339216.68000000005</v>
      </c>
      <c r="W421" s="300">
        <f t="shared" si="609"/>
        <v>0</v>
      </c>
      <c r="X421" s="535" t="str">
        <f t="shared" si="653"/>
        <v xml:space="preserve"> </v>
      </c>
      <c r="Y421" s="300">
        <f t="shared" si="621"/>
        <v>228078.29000000015</v>
      </c>
      <c r="Z421" s="527">
        <f t="shared" si="646"/>
        <v>7.0000000000000007E-2</v>
      </c>
      <c r="AA421" s="300">
        <f t="shared" si="647"/>
        <v>1746.44</v>
      </c>
      <c r="AB421" s="300">
        <f t="shared" si="622"/>
        <v>415.98</v>
      </c>
      <c r="AC421" s="300">
        <f t="shared" si="648"/>
        <v>1330.46</v>
      </c>
      <c r="AD421" s="300">
        <f t="shared" ref="AD421:AE421" si="685">+AD420</f>
        <v>134.16999999999999</v>
      </c>
      <c r="AE421" s="300">
        <f t="shared" si="685"/>
        <v>188.55</v>
      </c>
      <c r="AF421" s="300">
        <f t="shared" si="624"/>
        <v>2069.1600000000003</v>
      </c>
      <c r="AG421" s="300">
        <f t="shared" si="625"/>
        <v>87261.790000000008</v>
      </c>
      <c r="AH421" s="300">
        <f t="shared" si="626"/>
        <v>537649.73000000021</v>
      </c>
      <c r="AI421" s="545">
        <f t="shared" si="614"/>
        <v>-40932.64999999998</v>
      </c>
      <c r="AJ421" s="545">
        <f t="shared" si="674"/>
        <v>-227662.31000000014</v>
      </c>
      <c r="AK421" s="545">
        <f t="shared" si="615"/>
        <v>-268594.96000000014</v>
      </c>
      <c r="AL421" s="300">
        <f t="shared" si="627"/>
        <v>227662.31000000014</v>
      </c>
      <c r="AM421" s="449">
        <f t="shared" si="655"/>
        <v>30</v>
      </c>
      <c r="AN421" s="14">
        <f t="shared" si="616"/>
        <v>0</v>
      </c>
      <c r="AO421" s="14">
        <f t="shared" si="585"/>
        <v>0</v>
      </c>
      <c r="AP421" s="14">
        <f t="shared" si="617"/>
        <v>0</v>
      </c>
      <c r="AS421" s="14">
        <f t="shared" si="650"/>
        <v>0</v>
      </c>
      <c r="AT421" s="14">
        <f t="shared" si="656"/>
        <v>0</v>
      </c>
      <c r="AU421" s="300">
        <f t="shared" si="657"/>
        <v>0</v>
      </c>
      <c r="AV421" s="300">
        <f t="shared" si="658"/>
        <v>0</v>
      </c>
    </row>
    <row r="422" spans="1:48" ht="15.75" thickBot="1" x14ac:dyDescent="0.3">
      <c r="A422" s="538" t="str">
        <f t="shared" si="603"/>
        <v xml:space="preserve"> </v>
      </c>
      <c r="B422" s="369">
        <f t="shared" si="597"/>
        <v>0</v>
      </c>
      <c r="C422" s="21">
        <f t="shared" si="644"/>
        <v>0</v>
      </c>
      <c r="D422" s="21">
        <f t="shared" si="659"/>
        <v>0</v>
      </c>
      <c r="E422" s="21">
        <f t="shared" si="645"/>
        <v>0</v>
      </c>
      <c r="F422" s="21">
        <f t="shared" si="604"/>
        <v>134.16999999999999</v>
      </c>
      <c r="G422" s="21">
        <f t="shared" si="600"/>
        <v>188.55</v>
      </c>
      <c r="H422" s="21">
        <f t="shared" si="601"/>
        <v>322.72000000000003</v>
      </c>
      <c r="I422" s="369">
        <f t="shared" si="605"/>
        <v>83483.170000000042</v>
      </c>
      <c r="J422" s="369">
        <f t="shared" si="606"/>
        <v>68536.320000000022</v>
      </c>
      <c r="K422" s="369">
        <f t="shared" si="607"/>
        <v>0</v>
      </c>
      <c r="L422" s="450">
        <f t="shared" si="587"/>
        <v>30</v>
      </c>
      <c r="M422" s="450">
        <f t="shared" si="651"/>
        <v>363</v>
      </c>
      <c r="N422" s="369">
        <f t="shared" si="681"/>
        <v>0</v>
      </c>
      <c r="O422" s="369">
        <f t="shared" si="619"/>
        <v>0</v>
      </c>
      <c r="P422" s="369">
        <f t="shared" si="660"/>
        <v>0</v>
      </c>
      <c r="Q422" s="369">
        <f t="shared" si="620"/>
        <v>0</v>
      </c>
      <c r="R422" s="369">
        <f t="shared" si="611"/>
        <v>134.16999999999999</v>
      </c>
      <c r="S422" s="369">
        <f t="shared" si="612"/>
        <v>188.55</v>
      </c>
      <c r="T422" s="369">
        <f t="shared" si="608"/>
        <v>322.72000000000003</v>
      </c>
      <c r="U422" s="369">
        <f t="shared" si="661"/>
        <v>244762.19000000029</v>
      </c>
      <c r="V422" s="369">
        <f t="shared" si="662"/>
        <v>339216.68000000005</v>
      </c>
      <c r="W422" s="369">
        <f t="shared" si="609"/>
        <v>0</v>
      </c>
      <c r="X422" s="538" t="str">
        <f t="shared" si="653"/>
        <v xml:space="preserve"> </v>
      </c>
      <c r="Y422" s="369">
        <f t="shared" si="621"/>
        <v>227662.31000000014</v>
      </c>
      <c r="Z422" s="528">
        <f t="shared" si="646"/>
        <v>7.0000000000000007E-2</v>
      </c>
      <c r="AA422" s="369">
        <f t="shared" si="647"/>
        <v>1746.44</v>
      </c>
      <c r="AB422" s="369">
        <f t="shared" si="622"/>
        <v>418.41000000000008</v>
      </c>
      <c r="AC422" s="369">
        <f t="shared" si="648"/>
        <v>1328.03</v>
      </c>
      <c r="AD422" s="369">
        <f t="shared" ref="AD422:AE422" si="686">+AD421</f>
        <v>134.16999999999999</v>
      </c>
      <c r="AE422" s="369">
        <f t="shared" si="686"/>
        <v>188.55</v>
      </c>
      <c r="AF422" s="369">
        <f t="shared" si="624"/>
        <v>2069.1600000000003</v>
      </c>
      <c r="AG422" s="369">
        <f t="shared" si="625"/>
        <v>87680.200000000012</v>
      </c>
      <c r="AH422" s="369">
        <f t="shared" si="626"/>
        <v>538977.76000000024</v>
      </c>
      <c r="AI422" s="546">
        <f t="shared" si="614"/>
        <v>-42679.089999999982</v>
      </c>
      <c r="AJ422" s="546">
        <f t="shared" si="674"/>
        <v>-227243.90000000014</v>
      </c>
      <c r="AK422" s="545">
        <f t="shared" si="615"/>
        <v>-269922.99000000011</v>
      </c>
      <c r="AL422" s="369">
        <f t="shared" si="627"/>
        <v>227243.90000000014</v>
      </c>
      <c r="AM422" s="450">
        <f t="shared" si="655"/>
        <v>30</v>
      </c>
      <c r="AN422" s="21">
        <f t="shared" si="616"/>
        <v>0</v>
      </c>
      <c r="AO422" s="21">
        <f t="shared" si="585"/>
        <v>0</v>
      </c>
      <c r="AP422" s="21">
        <f t="shared" si="617"/>
        <v>0</v>
      </c>
      <c r="AQ422" s="21"/>
      <c r="AR422" s="23"/>
      <c r="AS422" s="21">
        <f t="shared" si="650"/>
        <v>0</v>
      </c>
      <c r="AT422" s="21">
        <f t="shared" si="656"/>
        <v>0</v>
      </c>
      <c r="AU422" s="369">
        <f t="shared" si="657"/>
        <v>0</v>
      </c>
      <c r="AV422" s="369">
        <f t="shared" si="658"/>
        <v>0</v>
      </c>
    </row>
    <row r="423" spans="1:48" x14ac:dyDescent="0.25">
      <c r="A423" s="535" t="str">
        <f t="shared" si="603"/>
        <v xml:space="preserve"> </v>
      </c>
      <c r="B423" s="300">
        <f t="shared" si="597"/>
        <v>0</v>
      </c>
      <c r="C423" s="14">
        <f t="shared" si="644"/>
        <v>0</v>
      </c>
      <c r="D423" s="14">
        <f t="shared" si="659"/>
        <v>0</v>
      </c>
      <c r="E423" s="14">
        <f t="shared" si="645"/>
        <v>0</v>
      </c>
      <c r="F423" s="14">
        <f t="shared" si="604"/>
        <v>134.16999999999999</v>
      </c>
      <c r="G423" s="14">
        <f t="shared" si="600"/>
        <v>188.55</v>
      </c>
      <c r="H423" s="14">
        <f t="shared" si="601"/>
        <v>322.72000000000003</v>
      </c>
      <c r="I423" s="300">
        <f t="shared" si="605"/>
        <v>83483.170000000042</v>
      </c>
      <c r="J423" s="300">
        <f t="shared" si="606"/>
        <v>68536.320000000022</v>
      </c>
      <c r="K423" s="300">
        <f t="shared" si="607"/>
        <v>0</v>
      </c>
      <c r="L423" s="449">
        <f t="shared" si="587"/>
        <v>30</v>
      </c>
      <c r="M423" s="449">
        <f t="shared" si="651"/>
        <v>364</v>
      </c>
      <c r="N423" s="300">
        <f t="shared" si="681"/>
        <v>0</v>
      </c>
      <c r="O423" s="300">
        <f t="shared" si="619"/>
        <v>0</v>
      </c>
      <c r="P423" s="300">
        <f t="shared" si="660"/>
        <v>0</v>
      </c>
      <c r="Q423" s="300">
        <f t="shared" si="620"/>
        <v>0</v>
      </c>
      <c r="R423" s="300">
        <f t="shared" si="611"/>
        <v>134.16999999999999</v>
      </c>
      <c r="S423" s="300">
        <f t="shared" si="612"/>
        <v>188.55</v>
      </c>
      <c r="T423" s="300">
        <f t="shared" si="608"/>
        <v>322.72000000000003</v>
      </c>
      <c r="U423" s="300">
        <f t="shared" si="661"/>
        <v>244762.19000000029</v>
      </c>
      <c r="V423" s="300">
        <f t="shared" si="662"/>
        <v>339216.68000000005</v>
      </c>
      <c r="W423" s="300">
        <f t="shared" si="609"/>
        <v>0</v>
      </c>
      <c r="X423" s="535" t="str">
        <f t="shared" si="653"/>
        <v xml:space="preserve"> </v>
      </c>
      <c r="Y423" s="300">
        <f t="shared" si="621"/>
        <v>227243.90000000014</v>
      </c>
      <c r="Z423" s="527">
        <f t="shared" si="646"/>
        <v>7.0000000000000007E-2</v>
      </c>
      <c r="AA423" s="300">
        <f t="shared" si="647"/>
        <v>1746.44</v>
      </c>
      <c r="AB423" s="300">
        <f t="shared" si="622"/>
        <v>420.85000000000014</v>
      </c>
      <c r="AC423" s="300">
        <f t="shared" si="648"/>
        <v>1325.59</v>
      </c>
      <c r="AD423" s="300">
        <f t="shared" ref="AD423:AE423" si="687">+AD422</f>
        <v>134.16999999999999</v>
      </c>
      <c r="AE423" s="300">
        <f t="shared" si="687"/>
        <v>188.55</v>
      </c>
      <c r="AF423" s="300">
        <f t="shared" si="624"/>
        <v>2069.1600000000003</v>
      </c>
      <c r="AG423" s="300">
        <f t="shared" si="625"/>
        <v>88101.050000000017</v>
      </c>
      <c r="AH423" s="300">
        <f t="shared" si="626"/>
        <v>540303.35000000021</v>
      </c>
      <c r="AI423" s="545">
        <f t="shared" si="614"/>
        <v>-44425.529999999984</v>
      </c>
      <c r="AJ423" s="545">
        <f t="shared" si="674"/>
        <v>-226823.05000000013</v>
      </c>
      <c r="AK423" s="545">
        <f t="shared" si="615"/>
        <v>-271248.58000000013</v>
      </c>
      <c r="AL423" s="300">
        <f t="shared" si="627"/>
        <v>226823.05000000013</v>
      </c>
      <c r="AM423" s="449">
        <f t="shared" si="655"/>
        <v>30</v>
      </c>
      <c r="AN423" s="14">
        <f t="shared" si="616"/>
        <v>0</v>
      </c>
      <c r="AO423" s="14">
        <f t="shared" si="585"/>
        <v>0</v>
      </c>
      <c r="AP423" s="14">
        <f t="shared" si="617"/>
        <v>0</v>
      </c>
      <c r="AS423" s="14">
        <f t="shared" si="650"/>
        <v>0</v>
      </c>
      <c r="AT423" s="14">
        <f t="shared" si="656"/>
        <v>0</v>
      </c>
      <c r="AU423" s="300">
        <f t="shared" si="657"/>
        <v>0</v>
      </c>
      <c r="AV423" s="300">
        <f t="shared" si="658"/>
        <v>0</v>
      </c>
    </row>
    <row r="424" spans="1:48" x14ac:dyDescent="0.25">
      <c r="A424" s="535" t="str">
        <f t="shared" si="603"/>
        <v xml:space="preserve"> </v>
      </c>
      <c r="B424" s="300">
        <f t="shared" si="597"/>
        <v>0</v>
      </c>
      <c r="C424" s="14">
        <f t="shared" si="644"/>
        <v>0</v>
      </c>
      <c r="D424" s="14">
        <f t="shared" si="659"/>
        <v>0</v>
      </c>
      <c r="E424" s="14">
        <f t="shared" si="645"/>
        <v>0</v>
      </c>
      <c r="F424" s="14">
        <f t="shared" si="604"/>
        <v>134.16999999999999</v>
      </c>
      <c r="G424" s="14">
        <f t="shared" si="600"/>
        <v>188.55</v>
      </c>
      <c r="H424" s="14">
        <f t="shared" si="601"/>
        <v>322.72000000000003</v>
      </c>
      <c r="I424" s="300">
        <f t="shared" si="605"/>
        <v>83483.170000000042</v>
      </c>
      <c r="J424" s="300">
        <f t="shared" si="606"/>
        <v>68536.320000000022</v>
      </c>
      <c r="K424" s="300">
        <f t="shared" si="607"/>
        <v>0</v>
      </c>
      <c r="L424" s="449">
        <f t="shared" si="587"/>
        <v>30</v>
      </c>
      <c r="M424" s="449">
        <f t="shared" si="651"/>
        <v>365</v>
      </c>
      <c r="N424" s="300">
        <f t="shared" si="681"/>
        <v>0</v>
      </c>
      <c r="O424" s="300">
        <f t="shared" si="619"/>
        <v>0</v>
      </c>
      <c r="P424" s="300">
        <f t="shared" si="660"/>
        <v>0</v>
      </c>
      <c r="Q424" s="300">
        <f t="shared" si="620"/>
        <v>0</v>
      </c>
      <c r="R424" s="300">
        <f t="shared" si="611"/>
        <v>134.16999999999999</v>
      </c>
      <c r="S424" s="300">
        <f t="shared" si="612"/>
        <v>188.55</v>
      </c>
      <c r="T424" s="300">
        <f t="shared" si="608"/>
        <v>322.72000000000003</v>
      </c>
      <c r="U424" s="300">
        <f t="shared" si="661"/>
        <v>244762.19000000029</v>
      </c>
      <c r="V424" s="300">
        <f t="shared" si="662"/>
        <v>339216.68000000005</v>
      </c>
      <c r="W424" s="300">
        <f t="shared" si="609"/>
        <v>0</v>
      </c>
      <c r="X424" s="535" t="str">
        <f t="shared" si="653"/>
        <v xml:space="preserve"> </v>
      </c>
      <c r="Y424" s="300">
        <f t="shared" si="621"/>
        <v>226823.05000000013</v>
      </c>
      <c r="Z424" s="527">
        <f t="shared" si="646"/>
        <v>7.0000000000000007E-2</v>
      </c>
      <c r="AA424" s="300">
        <f t="shared" si="647"/>
        <v>1746.44</v>
      </c>
      <c r="AB424" s="300">
        <f t="shared" si="622"/>
        <v>423.30999999999995</v>
      </c>
      <c r="AC424" s="300">
        <f t="shared" si="648"/>
        <v>1323.13</v>
      </c>
      <c r="AD424" s="300">
        <f t="shared" ref="AD424:AE424" si="688">+AD423</f>
        <v>134.16999999999999</v>
      </c>
      <c r="AE424" s="300">
        <f t="shared" si="688"/>
        <v>188.55</v>
      </c>
      <c r="AF424" s="300">
        <f t="shared" si="624"/>
        <v>2069.1600000000003</v>
      </c>
      <c r="AG424" s="300">
        <f t="shared" si="625"/>
        <v>88524.360000000015</v>
      </c>
      <c r="AH424" s="300">
        <f t="shared" si="626"/>
        <v>541626.48000000021</v>
      </c>
      <c r="AI424" s="545">
        <f t="shared" si="614"/>
        <v>-46171.969999999987</v>
      </c>
      <c r="AJ424" s="545">
        <f t="shared" si="674"/>
        <v>-226399.74000000014</v>
      </c>
      <c r="AK424" s="545">
        <f t="shared" si="615"/>
        <v>-272571.71000000014</v>
      </c>
      <c r="AL424" s="300">
        <f t="shared" si="627"/>
        <v>226399.74000000014</v>
      </c>
      <c r="AM424" s="449">
        <f t="shared" si="655"/>
        <v>30</v>
      </c>
      <c r="AN424" s="14">
        <f t="shared" si="616"/>
        <v>0</v>
      </c>
      <c r="AO424" s="14">
        <f t="shared" si="585"/>
        <v>0</v>
      </c>
      <c r="AP424" s="14">
        <f t="shared" si="617"/>
        <v>0</v>
      </c>
      <c r="AS424" s="14">
        <f t="shared" si="650"/>
        <v>0</v>
      </c>
      <c r="AT424" s="14">
        <f t="shared" si="656"/>
        <v>0</v>
      </c>
      <c r="AU424" s="300">
        <f t="shared" si="657"/>
        <v>0</v>
      </c>
      <c r="AV424" s="300">
        <f t="shared" si="658"/>
        <v>0</v>
      </c>
    </row>
    <row r="425" spans="1:48" x14ac:dyDescent="0.25">
      <c r="A425" s="535" t="str">
        <f t="shared" si="603"/>
        <v xml:space="preserve"> </v>
      </c>
      <c r="B425" s="300">
        <f t="shared" si="597"/>
        <v>0</v>
      </c>
      <c r="C425" s="14">
        <f t="shared" si="644"/>
        <v>0</v>
      </c>
      <c r="D425" s="14">
        <f t="shared" si="659"/>
        <v>0</v>
      </c>
      <c r="E425" s="14">
        <f t="shared" si="645"/>
        <v>0</v>
      </c>
      <c r="F425" s="14">
        <f t="shared" si="604"/>
        <v>134.16999999999999</v>
      </c>
      <c r="G425" s="14">
        <f t="shared" si="600"/>
        <v>188.55</v>
      </c>
      <c r="H425" s="14">
        <f t="shared" si="601"/>
        <v>322.72000000000003</v>
      </c>
      <c r="I425" s="300">
        <f t="shared" si="605"/>
        <v>83483.170000000042</v>
      </c>
      <c r="J425" s="300">
        <f t="shared" si="606"/>
        <v>68536.320000000022</v>
      </c>
      <c r="K425" s="300">
        <f t="shared" si="607"/>
        <v>0</v>
      </c>
      <c r="L425" s="449">
        <f t="shared" si="587"/>
        <v>30</v>
      </c>
      <c r="M425" s="449">
        <f t="shared" si="651"/>
        <v>366</v>
      </c>
      <c r="N425" s="300">
        <f t="shared" si="681"/>
        <v>0</v>
      </c>
      <c r="O425" s="300">
        <f t="shared" si="619"/>
        <v>0</v>
      </c>
      <c r="P425" s="300">
        <f t="shared" si="660"/>
        <v>0</v>
      </c>
      <c r="Q425" s="300">
        <f t="shared" si="620"/>
        <v>0</v>
      </c>
      <c r="R425" s="300">
        <f t="shared" si="611"/>
        <v>134.16999999999999</v>
      </c>
      <c r="S425" s="300">
        <f t="shared" si="612"/>
        <v>188.55</v>
      </c>
      <c r="T425" s="300">
        <f t="shared" si="608"/>
        <v>322.72000000000003</v>
      </c>
      <c r="U425" s="300">
        <f t="shared" si="661"/>
        <v>244762.19000000029</v>
      </c>
      <c r="V425" s="300">
        <f t="shared" si="662"/>
        <v>339216.68000000005</v>
      </c>
      <c r="W425" s="300">
        <f t="shared" si="609"/>
        <v>0</v>
      </c>
      <c r="X425" s="535" t="str">
        <f t="shared" si="653"/>
        <v xml:space="preserve"> </v>
      </c>
      <c r="Y425" s="300">
        <f t="shared" si="621"/>
        <v>226399.74000000014</v>
      </c>
      <c r="Z425" s="527">
        <f t="shared" si="646"/>
        <v>7.0000000000000007E-2</v>
      </c>
      <c r="AA425" s="300">
        <f t="shared" si="647"/>
        <v>1746.44</v>
      </c>
      <c r="AB425" s="300">
        <f t="shared" si="622"/>
        <v>425.77</v>
      </c>
      <c r="AC425" s="300">
        <f t="shared" si="648"/>
        <v>1320.67</v>
      </c>
      <c r="AD425" s="300">
        <f t="shared" ref="AD425:AE425" si="689">+AD424</f>
        <v>134.16999999999999</v>
      </c>
      <c r="AE425" s="300">
        <f t="shared" si="689"/>
        <v>188.55</v>
      </c>
      <c r="AF425" s="300">
        <f t="shared" si="624"/>
        <v>2069.1600000000003</v>
      </c>
      <c r="AG425" s="300">
        <f t="shared" si="625"/>
        <v>88950.130000000019</v>
      </c>
      <c r="AH425" s="300">
        <f t="shared" si="626"/>
        <v>542947.15000000026</v>
      </c>
      <c r="AI425" s="545">
        <f t="shared" si="614"/>
        <v>-47918.409999999989</v>
      </c>
      <c r="AJ425" s="545">
        <f t="shared" si="674"/>
        <v>-225973.97000000015</v>
      </c>
      <c r="AK425" s="545">
        <f t="shared" si="615"/>
        <v>-273892.38000000012</v>
      </c>
      <c r="AL425" s="300">
        <f t="shared" si="627"/>
        <v>225973.97000000015</v>
      </c>
      <c r="AM425" s="449">
        <f t="shared" si="655"/>
        <v>30</v>
      </c>
      <c r="AN425" s="14">
        <f t="shared" si="616"/>
        <v>0</v>
      </c>
      <c r="AO425" s="14">
        <f t="shared" si="585"/>
        <v>0</v>
      </c>
      <c r="AP425" s="14">
        <f t="shared" si="617"/>
        <v>0</v>
      </c>
      <c r="AS425" s="14">
        <f t="shared" si="650"/>
        <v>0</v>
      </c>
      <c r="AT425" s="14">
        <f t="shared" si="656"/>
        <v>0</v>
      </c>
      <c r="AU425" s="300">
        <f t="shared" si="657"/>
        <v>0</v>
      </c>
      <c r="AV425" s="300">
        <f t="shared" si="658"/>
        <v>0</v>
      </c>
    </row>
    <row r="426" spans="1:48" x14ac:dyDescent="0.25">
      <c r="A426" s="535" t="str">
        <f t="shared" si="603"/>
        <v xml:space="preserve"> </v>
      </c>
      <c r="B426" s="300">
        <f t="shared" si="597"/>
        <v>0</v>
      </c>
      <c r="C426" s="14">
        <f t="shared" si="644"/>
        <v>0</v>
      </c>
      <c r="D426" s="14">
        <f t="shared" si="659"/>
        <v>0</v>
      </c>
      <c r="E426" s="14">
        <f t="shared" si="645"/>
        <v>0</v>
      </c>
      <c r="F426" s="14">
        <f t="shared" si="604"/>
        <v>134.16999999999999</v>
      </c>
      <c r="G426" s="14">
        <f t="shared" si="600"/>
        <v>188.55</v>
      </c>
      <c r="H426" s="14">
        <f t="shared" si="601"/>
        <v>322.72000000000003</v>
      </c>
      <c r="I426" s="300">
        <f t="shared" si="605"/>
        <v>83483.170000000042</v>
      </c>
      <c r="J426" s="300">
        <f t="shared" si="606"/>
        <v>68536.320000000022</v>
      </c>
      <c r="K426" s="300">
        <f t="shared" si="607"/>
        <v>0</v>
      </c>
      <c r="L426" s="449">
        <f t="shared" si="587"/>
        <v>30</v>
      </c>
      <c r="M426" s="449">
        <f t="shared" si="651"/>
        <v>367</v>
      </c>
      <c r="N426" s="300">
        <f t="shared" si="681"/>
        <v>0</v>
      </c>
      <c r="O426" s="300">
        <f t="shared" si="619"/>
        <v>0</v>
      </c>
      <c r="P426" s="300">
        <f t="shared" si="660"/>
        <v>0</v>
      </c>
      <c r="Q426" s="300">
        <f t="shared" si="620"/>
        <v>0</v>
      </c>
      <c r="R426" s="300">
        <f t="shared" si="611"/>
        <v>134.16999999999999</v>
      </c>
      <c r="S426" s="300">
        <f t="shared" si="612"/>
        <v>188.55</v>
      </c>
      <c r="T426" s="300">
        <f t="shared" si="608"/>
        <v>322.72000000000003</v>
      </c>
      <c r="U426" s="300">
        <f t="shared" si="661"/>
        <v>244762.19000000029</v>
      </c>
      <c r="V426" s="300">
        <f t="shared" si="662"/>
        <v>339216.68000000005</v>
      </c>
      <c r="W426" s="300">
        <f t="shared" si="609"/>
        <v>0</v>
      </c>
      <c r="X426" s="535" t="str">
        <f t="shared" si="653"/>
        <v xml:space="preserve"> </v>
      </c>
      <c r="Y426" s="300">
        <f t="shared" si="621"/>
        <v>225973.97000000015</v>
      </c>
      <c r="Z426" s="527">
        <f t="shared" si="646"/>
        <v>7.0000000000000007E-2</v>
      </c>
      <c r="AA426" s="300">
        <f t="shared" si="647"/>
        <v>1746.44</v>
      </c>
      <c r="AB426" s="300">
        <f t="shared" si="622"/>
        <v>428.26</v>
      </c>
      <c r="AC426" s="300">
        <f t="shared" si="648"/>
        <v>1318.18</v>
      </c>
      <c r="AD426" s="300">
        <f t="shared" ref="AD426:AE426" si="690">+AD425</f>
        <v>134.16999999999999</v>
      </c>
      <c r="AE426" s="300">
        <f t="shared" si="690"/>
        <v>188.55</v>
      </c>
      <c r="AF426" s="300">
        <f t="shared" si="624"/>
        <v>2069.1600000000003</v>
      </c>
      <c r="AG426" s="300">
        <f t="shared" si="625"/>
        <v>89378.390000000014</v>
      </c>
      <c r="AH426" s="300">
        <f t="shared" si="626"/>
        <v>544265.33000000031</v>
      </c>
      <c r="AI426" s="545">
        <f t="shared" si="614"/>
        <v>-49664.849999999991</v>
      </c>
      <c r="AJ426" s="545">
        <f t="shared" si="674"/>
        <v>-225545.71000000014</v>
      </c>
      <c r="AK426" s="545">
        <f t="shared" si="615"/>
        <v>-275210.56000000011</v>
      </c>
      <c r="AL426" s="300">
        <f t="shared" si="627"/>
        <v>225545.71000000014</v>
      </c>
      <c r="AM426" s="449">
        <f t="shared" si="655"/>
        <v>30</v>
      </c>
      <c r="AN426" s="14">
        <f t="shared" si="616"/>
        <v>0</v>
      </c>
      <c r="AO426" s="14">
        <f t="shared" si="585"/>
        <v>0</v>
      </c>
      <c r="AP426" s="14">
        <f t="shared" si="617"/>
        <v>0</v>
      </c>
      <c r="AS426" s="14">
        <f t="shared" si="650"/>
        <v>0</v>
      </c>
      <c r="AT426" s="14">
        <f t="shared" si="656"/>
        <v>0</v>
      </c>
      <c r="AU426" s="300">
        <f t="shared" si="657"/>
        <v>0</v>
      </c>
      <c r="AV426" s="300">
        <f t="shared" si="658"/>
        <v>0</v>
      </c>
    </row>
    <row r="427" spans="1:48" x14ac:dyDescent="0.25">
      <c r="A427" s="535" t="str">
        <f t="shared" si="603"/>
        <v xml:space="preserve"> </v>
      </c>
      <c r="B427" s="300">
        <f t="shared" si="597"/>
        <v>0</v>
      </c>
      <c r="C427" s="14">
        <f t="shared" si="644"/>
        <v>0</v>
      </c>
      <c r="D427" s="14">
        <f t="shared" si="659"/>
        <v>0</v>
      </c>
      <c r="E427" s="14">
        <f t="shared" si="645"/>
        <v>0</v>
      </c>
      <c r="F427" s="14">
        <f t="shared" si="604"/>
        <v>134.16999999999999</v>
      </c>
      <c r="G427" s="14">
        <f t="shared" si="600"/>
        <v>188.55</v>
      </c>
      <c r="H427" s="14">
        <f t="shared" si="601"/>
        <v>322.72000000000003</v>
      </c>
      <c r="I427" s="300">
        <f t="shared" si="605"/>
        <v>83483.170000000042</v>
      </c>
      <c r="J427" s="300">
        <f t="shared" si="606"/>
        <v>68536.320000000022</v>
      </c>
      <c r="K427" s="300">
        <f t="shared" si="607"/>
        <v>0</v>
      </c>
      <c r="L427" s="449">
        <f t="shared" si="587"/>
        <v>30</v>
      </c>
      <c r="M427" s="449">
        <f t="shared" si="651"/>
        <v>368</v>
      </c>
      <c r="N427" s="300">
        <f t="shared" si="681"/>
        <v>0</v>
      </c>
      <c r="O427" s="300">
        <f t="shared" si="619"/>
        <v>0</v>
      </c>
      <c r="P427" s="300">
        <f t="shared" si="660"/>
        <v>0</v>
      </c>
      <c r="Q427" s="300">
        <f t="shared" si="620"/>
        <v>0</v>
      </c>
      <c r="R427" s="300">
        <f t="shared" si="611"/>
        <v>134.16999999999999</v>
      </c>
      <c r="S427" s="300">
        <f t="shared" si="612"/>
        <v>188.55</v>
      </c>
      <c r="T427" s="300">
        <f t="shared" si="608"/>
        <v>322.72000000000003</v>
      </c>
      <c r="U427" s="300">
        <f t="shared" si="661"/>
        <v>244762.19000000029</v>
      </c>
      <c r="V427" s="300">
        <f t="shared" si="662"/>
        <v>339216.68000000005</v>
      </c>
      <c r="W427" s="300">
        <f t="shared" si="609"/>
        <v>0</v>
      </c>
      <c r="X427" s="535" t="str">
        <f t="shared" si="653"/>
        <v xml:space="preserve"> </v>
      </c>
      <c r="Y427" s="300">
        <f t="shared" si="621"/>
        <v>225545.71000000014</v>
      </c>
      <c r="Z427" s="527">
        <f t="shared" si="646"/>
        <v>7.0000000000000007E-2</v>
      </c>
      <c r="AA427" s="300">
        <f t="shared" si="647"/>
        <v>1746.44</v>
      </c>
      <c r="AB427" s="300">
        <f t="shared" si="622"/>
        <v>430.76</v>
      </c>
      <c r="AC427" s="300">
        <f t="shared" si="648"/>
        <v>1315.68</v>
      </c>
      <c r="AD427" s="300">
        <f t="shared" ref="AD427:AE427" si="691">+AD426</f>
        <v>134.16999999999999</v>
      </c>
      <c r="AE427" s="300">
        <f t="shared" si="691"/>
        <v>188.55</v>
      </c>
      <c r="AF427" s="300">
        <f t="shared" si="624"/>
        <v>2069.1600000000003</v>
      </c>
      <c r="AG427" s="300">
        <f t="shared" si="625"/>
        <v>89809.150000000009</v>
      </c>
      <c r="AH427" s="300">
        <f t="shared" si="626"/>
        <v>545581.01000000036</v>
      </c>
      <c r="AI427" s="545">
        <f t="shared" si="614"/>
        <v>-51411.289999999994</v>
      </c>
      <c r="AJ427" s="545">
        <f t="shared" si="674"/>
        <v>-225114.95000000013</v>
      </c>
      <c r="AK427" s="545">
        <f t="shared" si="615"/>
        <v>-276526.24000000011</v>
      </c>
      <c r="AL427" s="300">
        <f t="shared" si="627"/>
        <v>225114.95000000013</v>
      </c>
      <c r="AM427" s="449">
        <f t="shared" si="655"/>
        <v>30</v>
      </c>
      <c r="AN427" s="14">
        <f t="shared" si="616"/>
        <v>0</v>
      </c>
      <c r="AO427" s="14">
        <f t="shared" si="585"/>
        <v>0</v>
      </c>
      <c r="AP427" s="14">
        <f t="shared" si="617"/>
        <v>0</v>
      </c>
      <c r="AS427" s="14">
        <f t="shared" si="650"/>
        <v>0</v>
      </c>
      <c r="AT427" s="14">
        <f t="shared" si="656"/>
        <v>0</v>
      </c>
      <c r="AU427" s="300">
        <f t="shared" si="657"/>
        <v>0</v>
      </c>
      <c r="AV427" s="300">
        <f t="shared" si="658"/>
        <v>0</v>
      </c>
    </row>
    <row r="428" spans="1:48" x14ac:dyDescent="0.25">
      <c r="A428" s="535" t="str">
        <f t="shared" si="603"/>
        <v xml:space="preserve"> </v>
      </c>
      <c r="B428" s="300">
        <f t="shared" si="597"/>
        <v>0</v>
      </c>
      <c r="C428" s="14">
        <f t="shared" si="644"/>
        <v>0</v>
      </c>
      <c r="D428" s="14">
        <f t="shared" si="659"/>
        <v>0</v>
      </c>
      <c r="E428" s="14">
        <f t="shared" si="645"/>
        <v>0</v>
      </c>
      <c r="F428" s="14">
        <f t="shared" si="604"/>
        <v>134.16999999999999</v>
      </c>
      <c r="G428" s="14">
        <f t="shared" si="600"/>
        <v>188.55</v>
      </c>
      <c r="H428" s="14">
        <f t="shared" si="601"/>
        <v>322.72000000000003</v>
      </c>
      <c r="I428" s="300">
        <f t="shared" si="605"/>
        <v>83483.170000000042</v>
      </c>
      <c r="J428" s="300">
        <f t="shared" si="606"/>
        <v>68536.320000000022</v>
      </c>
      <c r="K428" s="300">
        <f t="shared" si="607"/>
        <v>0</v>
      </c>
      <c r="L428" s="449">
        <f t="shared" si="587"/>
        <v>30</v>
      </c>
      <c r="M428" s="449">
        <f t="shared" si="651"/>
        <v>369</v>
      </c>
      <c r="N428" s="300">
        <f t="shared" si="681"/>
        <v>0</v>
      </c>
      <c r="O428" s="300">
        <f t="shared" si="619"/>
        <v>0</v>
      </c>
      <c r="P428" s="300">
        <f t="shared" si="660"/>
        <v>0</v>
      </c>
      <c r="Q428" s="300">
        <f t="shared" si="620"/>
        <v>0</v>
      </c>
      <c r="R428" s="300">
        <f t="shared" si="611"/>
        <v>134.16999999999999</v>
      </c>
      <c r="S428" s="300">
        <f t="shared" si="612"/>
        <v>188.55</v>
      </c>
      <c r="T428" s="300">
        <f t="shared" si="608"/>
        <v>322.72000000000003</v>
      </c>
      <c r="U428" s="300">
        <f t="shared" si="661"/>
        <v>244762.19000000029</v>
      </c>
      <c r="V428" s="300">
        <f t="shared" si="662"/>
        <v>339216.68000000005</v>
      </c>
      <c r="W428" s="300">
        <f t="shared" si="609"/>
        <v>0</v>
      </c>
      <c r="X428" s="535" t="str">
        <f t="shared" si="653"/>
        <v xml:space="preserve"> </v>
      </c>
      <c r="Y428" s="300">
        <f t="shared" si="621"/>
        <v>225114.95000000013</v>
      </c>
      <c r="Z428" s="527">
        <f t="shared" si="646"/>
        <v>7.0000000000000007E-2</v>
      </c>
      <c r="AA428" s="300">
        <f t="shared" si="647"/>
        <v>1746.44</v>
      </c>
      <c r="AB428" s="300">
        <f t="shared" si="622"/>
        <v>433.27</v>
      </c>
      <c r="AC428" s="300">
        <f t="shared" si="648"/>
        <v>1313.17</v>
      </c>
      <c r="AD428" s="300">
        <f t="shared" ref="AD428:AE428" si="692">+AD427</f>
        <v>134.16999999999999</v>
      </c>
      <c r="AE428" s="300">
        <f t="shared" si="692"/>
        <v>188.55</v>
      </c>
      <c r="AF428" s="300">
        <f t="shared" si="624"/>
        <v>2069.1600000000003</v>
      </c>
      <c r="AG428" s="300">
        <f t="shared" si="625"/>
        <v>90242.420000000013</v>
      </c>
      <c r="AH428" s="300">
        <f t="shared" si="626"/>
        <v>546894.1800000004</v>
      </c>
      <c r="AI428" s="545">
        <f t="shared" si="614"/>
        <v>-53157.729999999996</v>
      </c>
      <c r="AJ428" s="545">
        <f t="shared" si="674"/>
        <v>-224681.68000000014</v>
      </c>
      <c r="AK428" s="545">
        <f t="shared" si="615"/>
        <v>-277839.41000000015</v>
      </c>
      <c r="AL428" s="300">
        <f t="shared" si="627"/>
        <v>224681.68000000014</v>
      </c>
      <c r="AM428" s="449">
        <f t="shared" si="655"/>
        <v>30</v>
      </c>
      <c r="AN428" s="14">
        <f t="shared" si="616"/>
        <v>0</v>
      </c>
      <c r="AO428" s="14">
        <f t="shared" si="585"/>
        <v>0</v>
      </c>
      <c r="AP428" s="14">
        <f t="shared" si="617"/>
        <v>0</v>
      </c>
      <c r="AS428" s="14">
        <f t="shared" si="650"/>
        <v>0</v>
      </c>
      <c r="AT428" s="14">
        <f t="shared" si="656"/>
        <v>0</v>
      </c>
      <c r="AU428" s="300">
        <f t="shared" si="657"/>
        <v>0</v>
      </c>
      <c r="AV428" s="300">
        <f t="shared" si="658"/>
        <v>0</v>
      </c>
    </row>
    <row r="429" spans="1:48" x14ac:dyDescent="0.25">
      <c r="A429" s="535" t="str">
        <f t="shared" si="603"/>
        <v xml:space="preserve"> </v>
      </c>
      <c r="B429" s="300">
        <f t="shared" si="597"/>
        <v>0</v>
      </c>
      <c r="C429" s="14">
        <f t="shared" si="644"/>
        <v>0</v>
      </c>
      <c r="D429" s="14">
        <f t="shared" si="659"/>
        <v>0</v>
      </c>
      <c r="E429" s="14">
        <f t="shared" si="645"/>
        <v>0</v>
      </c>
      <c r="F429" s="14">
        <f t="shared" si="604"/>
        <v>134.16999999999999</v>
      </c>
      <c r="G429" s="14">
        <f t="shared" si="600"/>
        <v>188.55</v>
      </c>
      <c r="H429" s="14">
        <f t="shared" si="601"/>
        <v>322.72000000000003</v>
      </c>
      <c r="I429" s="300">
        <f t="shared" si="605"/>
        <v>83483.170000000042</v>
      </c>
      <c r="J429" s="300">
        <f t="shared" si="606"/>
        <v>68536.320000000022</v>
      </c>
      <c r="K429" s="300">
        <f t="shared" si="607"/>
        <v>0</v>
      </c>
      <c r="L429" s="449">
        <f t="shared" si="587"/>
        <v>30</v>
      </c>
      <c r="M429" s="449">
        <f t="shared" si="651"/>
        <v>370</v>
      </c>
      <c r="N429" s="300">
        <f t="shared" si="681"/>
        <v>0</v>
      </c>
      <c r="O429" s="300">
        <f t="shared" si="619"/>
        <v>0</v>
      </c>
      <c r="P429" s="300">
        <f t="shared" si="660"/>
        <v>0</v>
      </c>
      <c r="Q429" s="300">
        <f t="shared" si="620"/>
        <v>0</v>
      </c>
      <c r="R429" s="300">
        <f t="shared" si="611"/>
        <v>134.16999999999999</v>
      </c>
      <c r="S429" s="300">
        <f t="shared" si="612"/>
        <v>188.55</v>
      </c>
      <c r="T429" s="300">
        <f t="shared" si="608"/>
        <v>322.72000000000003</v>
      </c>
      <c r="U429" s="300">
        <f t="shared" si="661"/>
        <v>244762.19000000029</v>
      </c>
      <c r="V429" s="300">
        <f t="shared" si="662"/>
        <v>339216.68000000005</v>
      </c>
      <c r="W429" s="300">
        <f t="shared" si="609"/>
        <v>0</v>
      </c>
      <c r="X429" s="535" t="str">
        <f t="shared" si="653"/>
        <v xml:space="preserve"> </v>
      </c>
      <c r="Y429" s="300">
        <f t="shared" si="621"/>
        <v>224681.68000000014</v>
      </c>
      <c r="Z429" s="527">
        <f t="shared" si="646"/>
        <v>7.0000000000000007E-2</v>
      </c>
      <c r="AA429" s="300">
        <f t="shared" si="647"/>
        <v>1746.44</v>
      </c>
      <c r="AB429" s="300">
        <f t="shared" si="622"/>
        <v>435.79999999999995</v>
      </c>
      <c r="AC429" s="300">
        <f t="shared" si="648"/>
        <v>1310.6400000000001</v>
      </c>
      <c r="AD429" s="300">
        <f t="shared" ref="AD429:AE429" si="693">+AD428</f>
        <v>134.16999999999999</v>
      </c>
      <c r="AE429" s="300">
        <f t="shared" si="693"/>
        <v>188.55</v>
      </c>
      <c r="AF429" s="300">
        <f t="shared" si="624"/>
        <v>2069.1600000000003</v>
      </c>
      <c r="AG429" s="300">
        <f t="shared" si="625"/>
        <v>90678.220000000016</v>
      </c>
      <c r="AH429" s="300">
        <f t="shared" si="626"/>
        <v>548204.82000000041</v>
      </c>
      <c r="AI429" s="545">
        <f t="shared" si="614"/>
        <v>-54904.17</v>
      </c>
      <c r="AJ429" s="545">
        <f t="shared" si="674"/>
        <v>-224245.88000000015</v>
      </c>
      <c r="AK429" s="545">
        <f t="shared" si="615"/>
        <v>-279150.05000000016</v>
      </c>
      <c r="AL429" s="300">
        <f t="shared" si="627"/>
        <v>224245.88000000015</v>
      </c>
      <c r="AM429" s="449">
        <f t="shared" si="655"/>
        <v>30</v>
      </c>
      <c r="AN429" s="14">
        <f t="shared" si="616"/>
        <v>0</v>
      </c>
      <c r="AO429" s="14">
        <f t="shared" ref="AO429:AO490" si="694">IF(W429&lt;=0,0,+$AA$5-$C$2+I429-U429)</f>
        <v>0</v>
      </c>
      <c r="AP429" s="14">
        <f t="shared" si="617"/>
        <v>0</v>
      </c>
      <c r="AS429" s="14">
        <f t="shared" si="650"/>
        <v>0</v>
      </c>
      <c r="AT429" s="14">
        <f t="shared" si="656"/>
        <v>0</v>
      </c>
      <c r="AU429" s="300">
        <f t="shared" si="657"/>
        <v>0</v>
      </c>
      <c r="AV429" s="300">
        <f t="shared" si="658"/>
        <v>0</v>
      </c>
    </row>
    <row r="430" spans="1:48" x14ac:dyDescent="0.25">
      <c r="A430" s="535" t="str">
        <f t="shared" si="603"/>
        <v xml:space="preserve"> </v>
      </c>
      <c r="B430" s="300">
        <f t="shared" si="597"/>
        <v>0</v>
      </c>
      <c r="C430" s="14">
        <f t="shared" si="644"/>
        <v>0</v>
      </c>
      <c r="D430" s="14">
        <f t="shared" si="659"/>
        <v>0</v>
      </c>
      <c r="E430" s="14">
        <f t="shared" si="645"/>
        <v>0</v>
      </c>
      <c r="F430" s="14">
        <f t="shared" si="604"/>
        <v>134.16999999999999</v>
      </c>
      <c r="G430" s="14">
        <f t="shared" si="600"/>
        <v>188.55</v>
      </c>
      <c r="H430" s="14">
        <f t="shared" si="601"/>
        <v>322.72000000000003</v>
      </c>
      <c r="I430" s="300">
        <f t="shared" si="605"/>
        <v>83483.170000000042</v>
      </c>
      <c r="J430" s="300">
        <f t="shared" si="606"/>
        <v>68536.320000000022</v>
      </c>
      <c r="K430" s="300">
        <f t="shared" si="607"/>
        <v>0</v>
      </c>
      <c r="L430" s="449">
        <f t="shared" si="587"/>
        <v>30</v>
      </c>
      <c r="M430" s="449">
        <f t="shared" si="651"/>
        <v>371</v>
      </c>
      <c r="N430" s="300">
        <f t="shared" si="681"/>
        <v>0</v>
      </c>
      <c r="O430" s="300">
        <f t="shared" si="619"/>
        <v>0</v>
      </c>
      <c r="P430" s="300">
        <f t="shared" si="660"/>
        <v>0</v>
      </c>
      <c r="Q430" s="300">
        <f t="shared" si="620"/>
        <v>0</v>
      </c>
      <c r="R430" s="300">
        <f t="shared" si="611"/>
        <v>134.16999999999999</v>
      </c>
      <c r="S430" s="300">
        <f t="shared" si="612"/>
        <v>188.55</v>
      </c>
      <c r="T430" s="300">
        <f t="shared" si="608"/>
        <v>322.72000000000003</v>
      </c>
      <c r="U430" s="300">
        <f t="shared" si="661"/>
        <v>244762.19000000029</v>
      </c>
      <c r="V430" s="300">
        <f t="shared" si="662"/>
        <v>339216.68000000005</v>
      </c>
      <c r="W430" s="300">
        <f t="shared" si="609"/>
        <v>0</v>
      </c>
      <c r="X430" s="535" t="str">
        <f t="shared" si="653"/>
        <v xml:space="preserve"> </v>
      </c>
      <c r="Y430" s="300">
        <f t="shared" si="621"/>
        <v>224245.88000000015</v>
      </c>
      <c r="Z430" s="527">
        <f t="shared" si="646"/>
        <v>7.0000000000000007E-2</v>
      </c>
      <c r="AA430" s="300">
        <f t="shared" si="647"/>
        <v>1746.44</v>
      </c>
      <c r="AB430" s="300">
        <f t="shared" si="622"/>
        <v>438.34000000000015</v>
      </c>
      <c r="AC430" s="300">
        <f t="shared" si="648"/>
        <v>1308.0999999999999</v>
      </c>
      <c r="AD430" s="300">
        <f t="shared" ref="AD430:AE430" si="695">+AD429</f>
        <v>134.16999999999999</v>
      </c>
      <c r="AE430" s="300">
        <f t="shared" si="695"/>
        <v>188.55</v>
      </c>
      <c r="AF430" s="300">
        <f t="shared" si="624"/>
        <v>2069.1600000000003</v>
      </c>
      <c r="AG430" s="300">
        <f t="shared" si="625"/>
        <v>91116.560000000012</v>
      </c>
      <c r="AH430" s="300">
        <f t="shared" si="626"/>
        <v>549512.92000000039</v>
      </c>
      <c r="AI430" s="545">
        <f t="shared" si="614"/>
        <v>-56650.61</v>
      </c>
      <c r="AJ430" s="545">
        <f t="shared" si="674"/>
        <v>-223807.54000000015</v>
      </c>
      <c r="AK430" s="545">
        <f t="shared" si="615"/>
        <v>-280458.15000000014</v>
      </c>
      <c r="AL430" s="300">
        <f t="shared" si="627"/>
        <v>223807.54000000015</v>
      </c>
      <c r="AM430" s="449">
        <f t="shared" si="655"/>
        <v>30</v>
      </c>
      <c r="AN430" s="14">
        <f t="shared" si="616"/>
        <v>0</v>
      </c>
      <c r="AO430" s="14">
        <f t="shared" si="694"/>
        <v>0</v>
      </c>
      <c r="AP430" s="14">
        <f t="shared" si="617"/>
        <v>0</v>
      </c>
      <c r="AS430" s="14">
        <f t="shared" si="650"/>
        <v>0</v>
      </c>
      <c r="AT430" s="14">
        <f t="shared" si="656"/>
        <v>0</v>
      </c>
      <c r="AU430" s="300">
        <f t="shared" si="657"/>
        <v>0</v>
      </c>
      <c r="AV430" s="300">
        <f t="shared" si="658"/>
        <v>0</v>
      </c>
    </row>
    <row r="431" spans="1:48" x14ac:dyDescent="0.25">
      <c r="A431" s="535" t="str">
        <f t="shared" si="603"/>
        <v xml:space="preserve"> </v>
      </c>
      <c r="B431" s="300">
        <f t="shared" si="597"/>
        <v>0</v>
      </c>
      <c r="C431" s="14">
        <f t="shared" si="644"/>
        <v>0</v>
      </c>
      <c r="D431" s="14">
        <f t="shared" si="659"/>
        <v>0</v>
      </c>
      <c r="E431" s="14">
        <f t="shared" si="645"/>
        <v>0</v>
      </c>
      <c r="F431" s="14">
        <f t="shared" si="604"/>
        <v>134.16999999999999</v>
      </c>
      <c r="G431" s="14">
        <f t="shared" si="600"/>
        <v>188.55</v>
      </c>
      <c r="H431" s="14">
        <f t="shared" si="601"/>
        <v>322.72000000000003</v>
      </c>
      <c r="I431" s="300">
        <f t="shared" si="605"/>
        <v>83483.170000000042</v>
      </c>
      <c r="J431" s="300">
        <f t="shared" si="606"/>
        <v>68536.320000000022</v>
      </c>
      <c r="K431" s="300">
        <f t="shared" si="607"/>
        <v>0</v>
      </c>
      <c r="L431" s="449">
        <f t="shared" ref="L431:L494" si="696">IF(MOD(M431,12)=0,M431/12,L430)</f>
        <v>31</v>
      </c>
      <c r="M431" s="449">
        <f t="shared" si="651"/>
        <v>372</v>
      </c>
      <c r="N431" s="300">
        <f t="shared" si="681"/>
        <v>0</v>
      </c>
      <c r="O431" s="300">
        <f t="shared" si="619"/>
        <v>0</v>
      </c>
      <c r="P431" s="300">
        <f t="shared" si="660"/>
        <v>0</v>
      </c>
      <c r="Q431" s="300">
        <f t="shared" si="620"/>
        <v>0</v>
      </c>
      <c r="R431" s="300">
        <f t="shared" si="611"/>
        <v>134.16999999999999</v>
      </c>
      <c r="S431" s="300">
        <f t="shared" si="612"/>
        <v>188.55</v>
      </c>
      <c r="T431" s="300">
        <f t="shared" si="608"/>
        <v>322.72000000000003</v>
      </c>
      <c r="U431" s="300">
        <f t="shared" si="661"/>
        <v>244762.19000000029</v>
      </c>
      <c r="V431" s="300">
        <f t="shared" si="662"/>
        <v>339216.68000000005</v>
      </c>
      <c r="W431" s="300">
        <f t="shared" si="609"/>
        <v>0</v>
      </c>
      <c r="X431" s="535" t="str">
        <f t="shared" si="653"/>
        <v xml:space="preserve"> </v>
      </c>
      <c r="Y431" s="300">
        <f t="shared" si="621"/>
        <v>223807.54000000015</v>
      </c>
      <c r="Z431" s="527">
        <f t="shared" si="646"/>
        <v>7.0000000000000007E-2</v>
      </c>
      <c r="AA431" s="300">
        <f t="shared" si="647"/>
        <v>1746.44</v>
      </c>
      <c r="AB431" s="300">
        <f t="shared" si="622"/>
        <v>440.90000000000009</v>
      </c>
      <c r="AC431" s="300">
        <f t="shared" si="648"/>
        <v>1305.54</v>
      </c>
      <c r="AD431" s="300">
        <f t="shared" ref="AD431:AE431" si="697">+AD430</f>
        <v>134.16999999999999</v>
      </c>
      <c r="AE431" s="300">
        <f t="shared" si="697"/>
        <v>188.55</v>
      </c>
      <c r="AF431" s="300">
        <f t="shared" si="624"/>
        <v>2069.1600000000003</v>
      </c>
      <c r="AG431" s="300">
        <f t="shared" si="625"/>
        <v>91557.46</v>
      </c>
      <c r="AH431" s="300">
        <f t="shared" si="626"/>
        <v>550818.46000000043</v>
      </c>
      <c r="AI431" s="545">
        <f t="shared" si="614"/>
        <v>-58397.05</v>
      </c>
      <c r="AJ431" s="545">
        <f t="shared" si="674"/>
        <v>-223366.64000000016</v>
      </c>
      <c r="AK431" s="545">
        <f t="shared" si="615"/>
        <v>-281763.69000000018</v>
      </c>
      <c r="AL431" s="300">
        <f t="shared" si="627"/>
        <v>223366.64000000016</v>
      </c>
      <c r="AM431" s="449">
        <f t="shared" si="655"/>
        <v>31</v>
      </c>
      <c r="AN431" s="14">
        <f t="shared" si="616"/>
        <v>0</v>
      </c>
      <c r="AO431" s="14">
        <f t="shared" si="694"/>
        <v>0</v>
      </c>
      <c r="AP431" s="14">
        <f t="shared" si="617"/>
        <v>0</v>
      </c>
      <c r="AS431" s="14">
        <f t="shared" si="650"/>
        <v>0</v>
      </c>
      <c r="AT431" s="14">
        <f t="shared" si="656"/>
        <v>0</v>
      </c>
      <c r="AU431" s="300">
        <f t="shared" si="657"/>
        <v>0</v>
      </c>
      <c r="AV431" s="300">
        <f t="shared" si="658"/>
        <v>0</v>
      </c>
    </row>
    <row r="432" spans="1:48" x14ac:dyDescent="0.25">
      <c r="A432" s="535" t="str">
        <f t="shared" si="603"/>
        <v xml:space="preserve"> </v>
      </c>
      <c r="B432" s="300">
        <f t="shared" si="597"/>
        <v>0</v>
      </c>
      <c r="C432" s="14">
        <f t="shared" si="644"/>
        <v>0</v>
      </c>
      <c r="D432" s="14">
        <f t="shared" si="659"/>
        <v>0</v>
      </c>
      <c r="E432" s="14">
        <f t="shared" si="645"/>
        <v>0</v>
      </c>
      <c r="F432" s="14">
        <f t="shared" si="604"/>
        <v>134.16999999999999</v>
      </c>
      <c r="G432" s="14">
        <f t="shared" si="600"/>
        <v>188.55</v>
      </c>
      <c r="H432" s="14">
        <f t="shared" si="601"/>
        <v>322.72000000000003</v>
      </c>
      <c r="I432" s="300">
        <f t="shared" si="605"/>
        <v>83483.170000000042</v>
      </c>
      <c r="J432" s="300">
        <f t="shared" si="606"/>
        <v>68536.320000000022</v>
      </c>
      <c r="K432" s="300">
        <f t="shared" si="607"/>
        <v>0</v>
      </c>
      <c r="L432" s="449">
        <f t="shared" si="696"/>
        <v>31</v>
      </c>
      <c r="M432" s="449">
        <f t="shared" si="651"/>
        <v>373</v>
      </c>
      <c r="N432" s="300">
        <f t="shared" si="681"/>
        <v>0</v>
      </c>
      <c r="O432" s="300">
        <f t="shared" si="619"/>
        <v>0</v>
      </c>
      <c r="P432" s="300">
        <f t="shared" si="660"/>
        <v>0</v>
      </c>
      <c r="Q432" s="300">
        <f t="shared" si="620"/>
        <v>0</v>
      </c>
      <c r="R432" s="300">
        <f t="shared" si="611"/>
        <v>134.16999999999999</v>
      </c>
      <c r="S432" s="300">
        <f t="shared" si="612"/>
        <v>188.55</v>
      </c>
      <c r="T432" s="300">
        <f t="shared" si="608"/>
        <v>322.72000000000003</v>
      </c>
      <c r="U432" s="300">
        <f t="shared" si="661"/>
        <v>244762.19000000029</v>
      </c>
      <c r="V432" s="300">
        <f t="shared" si="662"/>
        <v>339216.68000000005</v>
      </c>
      <c r="W432" s="300">
        <f t="shared" si="609"/>
        <v>0</v>
      </c>
      <c r="X432" s="535" t="str">
        <f t="shared" si="653"/>
        <v xml:space="preserve"> </v>
      </c>
      <c r="Y432" s="300">
        <f t="shared" si="621"/>
        <v>223366.64000000016</v>
      </c>
      <c r="Z432" s="527">
        <f t="shared" si="646"/>
        <v>7.0000000000000007E-2</v>
      </c>
      <c r="AA432" s="300">
        <f t="shared" si="647"/>
        <v>1746.44</v>
      </c>
      <c r="AB432" s="300">
        <f t="shared" si="622"/>
        <v>443.47</v>
      </c>
      <c r="AC432" s="300">
        <f t="shared" si="648"/>
        <v>1302.97</v>
      </c>
      <c r="AD432" s="300">
        <f t="shared" ref="AD432:AE432" si="698">+AD431</f>
        <v>134.16999999999999</v>
      </c>
      <c r="AE432" s="300">
        <f t="shared" si="698"/>
        <v>188.55</v>
      </c>
      <c r="AF432" s="300">
        <f t="shared" si="624"/>
        <v>2069.1600000000003</v>
      </c>
      <c r="AG432" s="300">
        <f t="shared" si="625"/>
        <v>92000.930000000008</v>
      </c>
      <c r="AH432" s="300">
        <f t="shared" si="626"/>
        <v>552121.4300000004</v>
      </c>
      <c r="AI432" s="545">
        <f t="shared" si="614"/>
        <v>-60143.490000000005</v>
      </c>
      <c r="AJ432" s="545">
        <f t="shared" si="674"/>
        <v>-222923.17000000016</v>
      </c>
      <c r="AK432" s="545">
        <f t="shared" si="615"/>
        <v>-283066.66000000015</v>
      </c>
      <c r="AL432" s="300">
        <f t="shared" si="627"/>
        <v>222923.17000000016</v>
      </c>
      <c r="AM432" s="449">
        <f t="shared" si="655"/>
        <v>31</v>
      </c>
      <c r="AN432" s="14">
        <f t="shared" si="616"/>
        <v>0</v>
      </c>
      <c r="AO432" s="14">
        <f t="shared" si="694"/>
        <v>0</v>
      </c>
      <c r="AP432" s="14">
        <f t="shared" si="617"/>
        <v>0</v>
      </c>
      <c r="AS432" s="14">
        <f t="shared" si="650"/>
        <v>0</v>
      </c>
      <c r="AT432" s="14">
        <f t="shared" si="656"/>
        <v>0</v>
      </c>
      <c r="AU432" s="300">
        <f t="shared" si="657"/>
        <v>0</v>
      </c>
      <c r="AV432" s="300">
        <f t="shared" si="658"/>
        <v>0</v>
      </c>
    </row>
    <row r="433" spans="1:48" x14ac:dyDescent="0.25">
      <c r="A433" s="535" t="str">
        <f t="shared" si="603"/>
        <v xml:space="preserve"> </v>
      </c>
      <c r="B433" s="300">
        <f t="shared" si="597"/>
        <v>0</v>
      </c>
      <c r="C433" s="14">
        <f t="shared" si="644"/>
        <v>0</v>
      </c>
      <c r="D433" s="14">
        <f t="shared" si="659"/>
        <v>0</v>
      </c>
      <c r="E433" s="14">
        <f t="shared" si="645"/>
        <v>0</v>
      </c>
      <c r="F433" s="14">
        <f t="shared" si="604"/>
        <v>134.16999999999999</v>
      </c>
      <c r="G433" s="14">
        <f t="shared" si="600"/>
        <v>188.55</v>
      </c>
      <c r="H433" s="14">
        <f t="shared" si="601"/>
        <v>322.72000000000003</v>
      </c>
      <c r="I433" s="300">
        <f t="shared" si="605"/>
        <v>83483.170000000042</v>
      </c>
      <c r="J433" s="300">
        <f t="shared" si="606"/>
        <v>68536.320000000022</v>
      </c>
      <c r="K433" s="300">
        <f t="shared" si="607"/>
        <v>0</v>
      </c>
      <c r="L433" s="449">
        <f t="shared" si="696"/>
        <v>31</v>
      </c>
      <c r="M433" s="449">
        <f t="shared" si="651"/>
        <v>374</v>
      </c>
      <c r="N433" s="300">
        <f t="shared" si="681"/>
        <v>0</v>
      </c>
      <c r="O433" s="300">
        <f t="shared" si="619"/>
        <v>0</v>
      </c>
      <c r="P433" s="300">
        <f t="shared" si="660"/>
        <v>0</v>
      </c>
      <c r="Q433" s="300">
        <f t="shared" si="620"/>
        <v>0</v>
      </c>
      <c r="R433" s="300">
        <f t="shared" si="611"/>
        <v>134.16999999999999</v>
      </c>
      <c r="S433" s="300">
        <f t="shared" si="612"/>
        <v>188.55</v>
      </c>
      <c r="T433" s="300">
        <f t="shared" si="608"/>
        <v>322.72000000000003</v>
      </c>
      <c r="U433" s="300">
        <f t="shared" si="661"/>
        <v>244762.19000000029</v>
      </c>
      <c r="V433" s="300">
        <f t="shared" si="662"/>
        <v>339216.68000000005</v>
      </c>
      <c r="W433" s="300">
        <f t="shared" si="609"/>
        <v>0</v>
      </c>
      <c r="X433" s="535" t="str">
        <f t="shared" si="653"/>
        <v xml:space="preserve"> </v>
      </c>
      <c r="Y433" s="300">
        <f t="shared" si="621"/>
        <v>222923.17000000016</v>
      </c>
      <c r="Z433" s="527">
        <f t="shared" si="646"/>
        <v>7.0000000000000007E-2</v>
      </c>
      <c r="AA433" s="300">
        <f t="shared" si="647"/>
        <v>1746.44</v>
      </c>
      <c r="AB433" s="300">
        <f t="shared" si="622"/>
        <v>446.04999999999995</v>
      </c>
      <c r="AC433" s="300">
        <f t="shared" si="648"/>
        <v>1300.3900000000001</v>
      </c>
      <c r="AD433" s="300">
        <f t="shared" ref="AD433:AE433" si="699">+AD432</f>
        <v>134.16999999999999</v>
      </c>
      <c r="AE433" s="300">
        <f t="shared" si="699"/>
        <v>188.55</v>
      </c>
      <c r="AF433" s="300">
        <f t="shared" si="624"/>
        <v>2069.1600000000003</v>
      </c>
      <c r="AG433" s="300">
        <f t="shared" si="625"/>
        <v>92446.98000000001</v>
      </c>
      <c r="AH433" s="300">
        <f t="shared" si="626"/>
        <v>553421.82000000041</v>
      </c>
      <c r="AI433" s="545">
        <f t="shared" si="614"/>
        <v>-61889.930000000008</v>
      </c>
      <c r="AJ433" s="545">
        <f t="shared" si="674"/>
        <v>-222477.12000000017</v>
      </c>
      <c r="AK433" s="545">
        <f t="shared" si="615"/>
        <v>-284367.05000000016</v>
      </c>
      <c r="AL433" s="300">
        <f t="shared" si="627"/>
        <v>222477.12000000017</v>
      </c>
      <c r="AM433" s="449">
        <f t="shared" si="655"/>
        <v>31</v>
      </c>
      <c r="AN433" s="14">
        <f t="shared" si="616"/>
        <v>0</v>
      </c>
      <c r="AO433" s="14">
        <f t="shared" si="694"/>
        <v>0</v>
      </c>
      <c r="AP433" s="14">
        <f t="shared" si="617"/>
        <v>0</v>
      </c>
      <c r="AS433" s="14">
        <f t="shared" si="650"/>
        <v>0</v>
      </c>
      <c r="AT433" s="14">
        <f t="shared" si="656"/>
        <v>0</v>
      </c>
      <c r="AU433" s="300">
        <f t="shared" si="657"/>
        <v>0</v>
      </c>
      <c r="AV433" s="300">
        <f t="shared" si="658"/>
        <v>0</v>
      </c>
    </row>
    <row r="434" spans="1:48" ht="15.75" thickBot="1" x14ac:dyDescent="0.3">
      <c r="A434" s="538" t="str">
        <f t="shared" si="603"/>
        <v xml:space="preserve"> </v>
      </c>
      <c r="B434" s="369">
        <f t="shared" si="597"/>
        <v>0</v>
      </c>
      <c r="C434" s="21">
        <f t="shared" si="644"/>
        <v>0</v>
      </c>
      <c r="D434" s="21">
        <f t="shared" si="659"/>
        <v>0</v>
      </c>
      <c r="E434" s="21">
        <f t="shared" si="645"/>
        <v>0</v>
      </c>
      <c r="F434" s="21">
        <f t="shared" si="604"/>
        <v>134.16999999999999</v>
      </c>
      <c r="G434" s="21">
        <f t="shared" si="600"/>
        <v>188.55</v>
      </c>
      <c r="H434" s="21">
        <f t="shared" si="601"/>
        <v>322.72000000000003</v>
      </c>
      <c r="I434" s="369">
        <f t="shared" si="605"/>
        <v>83483.170000000042</v>
      </c>
      <c r="J434" s="369">
        <f t="shared" si="606"/>
        <v>68536.320000000022</v>
      </c>
      <c r="K434" s="369">
        <f t="shared" si="607"/>
        <v>0</v>
      </c>
      <c r="L434" s="450">
        <f t="shared" si="696"/>
        <v>31</v>
      </c>
      <c r="M434" s="450">
        <f t="shared" si="651"/>
        <v>375</v>
      </c>
      <c r="N434" s="369">
        <f t="shared" si="681"/>
        <v>0</v>
      </c>
      <c r="O434" s="369">
        <f t="shared" si="619"/>
        <v>0</v>
      </c>
      <c r="P434" s="369">
        <f t="shared" si="660"/>
        <v>0</v>
      </c>
      <c r="Q434" s="369">
        <f t="shared" si="620"/>
        <v>0</v>
      </c>
      <c r="R434" s="369">
        <f t="shared" si="611"/>
        <v>134.16999999999999</v>
      </c>
      <c r="S434" s="369">
        <f t="shared" si="612"/>
        <v>188.55</v>
      </c>
      <c r="T434" s="369">
        <f t="shared" si="608"/>
        <v>322.72000000000003</v>
      </c>
      <c r="U434" s="369">
        <f t="shared" si="661"/>
        <v>244762.19000000029</v>
      </c>
      <c r="V434" s="369">
        <f t="shared" si="662"/>
        <v>339216.68000000005</v>
      </c>
      <c r="W434" s="369">
        <f t="shared" si="609"/>
        <v>0</v>
      </c>
      <c r="X434" s="538" t="str">
        <f t="shared" si="653"/>
        <v xml:space="preserve"> </v>
      </c>
      <c r="Y434" s="369">
        <f t="shared" si="621"/>
        <v>222477.12000000017</v>
      </c>
      <c r="Z434" s="528">
        <f t="shared" si="646"/>
        <v>7.0000000000000007E-2</v>
      </c>
      <c r="AA434" s="369">
        <f t="shared" si="647"/>
        <v>1746.44</v>
      </c>
      <c r="AB434" s="369">
        <f t="shared" si="622"/>
        <v>448.66000000000008</v>
      </c>
      <c r="AC434" s="369">
        <f t="shared" si="648"/>
        <v>1297.78</v>
      </c>
      <c r="AD434" s="369">
        <f t="shared" ref="AD434:AE434" si="700">+AD433</f>
        <v>134.16999999999999</v>
      </c>
      <c r="AE434" s="369">
        <f t="shared" si="700"/>
        <v>188.55</v>
      </c>
      <c r="AF434" s="369">
        <f t="shared" si="624"/>
        <v>2069.1600000000003</v>
      </c>
      <c r="AG434" s="369">
        <f t="shared" si="625"/>
        <v>92895.640000000014</v>
      </c>
      <c r="AH434" s="369">
        <f t="shared" si="626"/>
        <v>554719.60000000044</v>
      </c>
      <c r="AI434" s="546">
        <f t="shared" si="614"/>
        <v>-63636.37000000001</v>
      </c>
      <c r="AJ434" s="546">
        <f t="shared" si="674"/>
        <v>-222028.46000000017</v>
      </c>
      <c r="AK434" s="545">
        <f t="shared" si="615"/>
        <v>-285664.83000000019</v>
      </c>
      <c r="AL434" s="369">
        <f t="shared" si="627"/>
        <v>222028.46000000017</v>
      </c>
      <c r="AM434" s="450">
        <f t="shared" si="655"/>
        <v>31</v>
      </c>
      <c r="AN434" s="21">
        <f t="shared" si="616"/>
        <v>0</v>
      </c>
      <c r="AO434" s="21">
        <f t="shared" si="694"/>
        <v>0</v>
      </c>
      <c r="AP434" s="21">
        <f t="shared" si="617"/>
        <v>0</v>
      </c>
      <c r="AQ434" s="21"/>
      <c r="AR434" s="23"/>
      <c r="AS434" s="21">
        <f t="shared" si="650"/>
        <v>0</v>
      </c>
      <c r="AT434" s="21">
        <f t="shared" si="656"/>
        <v>0</v>
      </c>
      <c r="AU434" s="369">
        <f t="shared" si="657"/>
        <v>0</v>
      </c>
      <c r="AV434" s="369">
        <f t="shared" si="658"/>
        <v>0</v>
      </c>
    </row>
    <row r="435" spans="1:48" x14ac:dyDescent="0.25">
      <c r="A435" s="535" t="str">
        <f t="shared" si="603"/>
        <v xml:space="preserve"> </v>
      </c>
      <c r="B435" s="300">
        <f t="shared" si="597"/>
        <v>0</v>
      </c>
      <c r="C435" s="14">
        <f t="shared" si="644"/>
        <v>0</v>
      </c>
      <c r="D435" s="14">
        <f t="shared" si="659"/>
        <v>0</v>
      </c>
      <c r="E435" s="14">
        <f t="shared" si="645"/>
        <v>0</v>
      </c>
      <c r="F435" s="14">
        <f t="shared" si="604"/>
        <v>134.16999999999999</v>
      </c>
      <c r="G435" s="14">
        <f t="shared" si="600"/>
        <v>188.55</v>
      </c>
      <c r="H435" s="14">
        <f t="shared" si="601"/>
        <v>322.72000000000003</v>
      </c>
      <c r="I435" s="300">
        <f t="shared" si="605"/>
        <v>83483.170000000042</v>
      </c>
      <c r="J435" s="300">
        <f t="shared" si="606"/>
        <v>68536.320000000022</v>
      </c>
      <c r="K435" s="300">
        <f t="shared" si="607"/>
        <v>0</v>
      </c>
      <c r="L435" s="449">
        <f t="shared" si="696"/>
        <v>31</v>
      </c>
      <c r="M435" s="449">
        <f t="shared" si="651"/>
        <v>376</v>
      </c>
      <c r="N435" s="300">
        <f t="shared" si="681"/>
        <v>0</v>
      </c>
      <c r="O435" s="300">
        <f t="shared" si="619"/>
        <v>0</v>
      </c>
      <c r="P435" s="300">
        <f t="shared" si="660"/>
        <v>0</v>
      </c>
      <c r="Q435" s="300">
        <f t="shared" si="620"/>
        <v>0</v>
      </c>
      <c r="R435" s="300">
        <f t="shared" si="611"/>
        <v>134.16999999999999</v>
      </c>
      <c r="S435" s="300">
        <f t="shared" si="612"/>
        <v>188.55</v>
      </c>
      <c r="T435" s="300">
        <f t="shared" si="608"/>
        <v>322.72000000000003</v>
      </c>
      <c r="U435" s="300">
        <f t="shared" si="661"/>
        <v>244762.19000000029</v>
      </c>
      <c r="V435" s="300">
        <f t="shared" si="662"/>
        <v>339216.68000000005</v>
      </c>
      <c r="W435" s="300">
        <f t="shared" si="609"/>
        <v>0</v>
      </c>
      <c r="X435" s="535" t="str">
        <f t="shared" si="653"/>
        <v xml:space="preserve"> </v>
      </c>
      <c r="Y435" s="300">
        <f t="shared" si="621"/>
        <v>222028.46000000017</v>
      </c>
      <c r="Z435" s="527">
        <f t="shared" si="646"/>
        <v>7.0000000000000007E-2</v>
      </c>
      <c r="AA435" s="300">
        <f t="shared" si="647"/>
        <v>1746.44</v>
      </c>
      <c r="AB435" s="300">
        <f t="shared" si="622"/>
        <v>451.27</v>
      </c>
      <c r="AC435" s="300">
        <f t="shared" si="648"/>
        <v>1295.17</v>
      </c>
      <c r="AD435" s="300">
        <f t="shared" ref="AD435:AE435" si="701">+AD434</f>
        <v>134.16999999999999</v>
      </c>
      <c r="AE435" s="300">
        <f t="shared" si="701"/>
        <v>188.55</v>
      </c>
      <c r="AF435" s="300">
        <f t="shared" si="624"/>
        <v>2069.1600000000003</v>
      </c>
      <c r="AG435" s="300">
        <f t="shared" si="625"/>
        <v>93346.910000000018</v>
      </c>
      <c r="AH435" s="300">
        <f t="shared" si="626"/>
        <v>556014.77000000048</v>
      </c>
      <c r="AI435" s="545">
        <f t="shared" si="614"/>
        <v>-65382.810000000012</v>
      </c>
      <c r="AJ435" s="545">
        <f t="shared" si="674"/>
        <v>-221577.19000000018</v>
      </c>
      <c r="AK435" s="545">
        <f t="shared" si="615"/>
        <v>-286960.00000000017</v>
      </c>
      <c r="AL435" s="300">
        <f t="shared" si="627"/>
        <v>221577.19000000018</v>
      </c>
      <c r="AM435" s="449">
        <f t="shared" si="655"/>
        <v>31</v>
      </c>
      <c r="AN435" s="14">
        <f t="shared" si="616"/>
        <v>0</v>
      </c>
      <c r="AO435" s="14">
        <f t="shared" si="694"/>
        <v>0</v>
      </c>
      <c r="AP435" s="14">
        <f t="shared" si="617"/>
        <v>0</v>
      </c>
      <c r="AS435" s="14">
        <f t="shared" si="650"/>
        <v>0</v>
      </c>
      <c r="AT435" s="14">
        <f t="shared" si="656"/>
        <v>0</v>
      </c>
      <c r="AU435" s="300">
        <f t="shared" si="657"/>
        <v>0</v>
      </c>
      <c r="AV435" s="300">
        <f t="shared" si="658"/>
        <v>0</v>
      </c>
    </row>
    <row r="436" spans="1:48" x14ac:dyDescent="0.25">
      <c r="A436" s="535" t="str">
        <f t="shared" si="603"/>
        <v xml:space="preserve"> </v>
      </c>
      <c r="B436" s="300">
        <f t="shared" si="597"/>
        <v>0</v>
      </c>
      <c r="C436" s="14">
        <f t="shared" si="644"/>
        <v>0</v>
      </c>
      <c r="D436" s="14">
        <f t="shared" si="659"/>
        <v>0</v>
      </c>
      <c r="E436" s="14">
        <f t="shared" si="645"/>
        <v>0</v>
      </c>
      <c r="F436" s="14">
        <f t="shared" si="604"/>
        <v>134.16999999999999</v>
      </c>
      <c r="G436" s="14">
        <f t="shared" si="600"/>
        <v>188.55</v>
      </c>
      <c r="H436" s="14">
        <f t="shared" si="601"/>
        <v>322.72000000000003</v>
      </c>
      <c r="I436" s="300">
        <f t="shared" si="605"/>
        <v>83483.170000000042</v>
      </c>
      <c r="J436" s="300">
        <f t="shared" si="606"/>
        <v>68536.320000000022</v>
      </c>
      <c r="K436" s="300">
        <f t="shared" si="607"/>
        <v>0</v>
      </c>
      <c r="L436" s="449">
        <f t="shared" si="696"/>
        <v>31</v>
      </c>
      <c r="M436" s="449">
        <f t="shared" si="651"/>
        <v>377</v>
      </c>
      <c r="N436" s="300">
        <f t="shared" si="681"/>
        <v>0</v>
      </c>
      <c r="O436" s="300">
        <f t="shared" si="619"/>
        <v>0</v>
      </c>
      <c r="P436" s="300">
        <f t="shared" si="660"/>
        <v>0</v>
      </c>
      <c r="Q436" s="300">
        <f t="shared" si="620"/>
        <v>0</v>
      </c>
      <c r="R436" s="300">
        <f t="shared" si="611"/>
        <v>134.16999999999999</v>
      </c>
      <c r="S436" s="300">
        <f t="shared" si="612"/>
        <v>188.55</v>
      </c>
      <c r="T436" s="300">
        <f t="shared" si="608"/>
        <v>322.72000000000003</v>
      </c>
      <c r="U436" s="300">
        <f t="shared" si="661"/>
        <v>244762.19000000029</v>
      </c>
      <c r="V436" s="300">
        <f t="shared" si="662"/>
        <v>339216.68000000005</v>
      </c>
      <c r="W436" s="300">
        <f t="shared" si="609"/>
        <v>0</v>
      </c>
      <c r="X436" s="535" t="str">
        <f t="shared" si="653"/>
        <v xml:space="preserve"> </v>
      </c>
      <c r="Y436" s="300">
        <f t="shared" si="621"/>
        <v>221577.19000000018</v>
      </c>
      <c r="Z436" s="527">
        <f t="shared" si="646"/>
        <v>7.0000000000000007E-2</v>
      </c>
      <c r="AA436" s="300">
        <f t="shared" si="647"/>
        <v>1746.44</v>
      </c>
      <c r="AB436" s="300">
        <f t="shared" si="622"/>
        <v>453.91000000000008</v>
      </c>
      <c r="AC436" s="300">
        <f t="shared" si="648"/>
        <v>1292.53</v>
      </c>
      <c r="AD436" s="300">
        <f t="shared" ref="AD436:AE436" si="702">+AD435</f>
        <v>134.16999999999999</v>
      </c>
      <c r="AE436" s="300">
        <f t="shared" si="702"/>
        <v>188.55</v>
      </c>
      <c r="AF436" s="300">
        <f t="shared" si="624"/>
        <v>2069.1600000000003</v>
      </c>
      <c r="AG436" s="300">
        <f t="shared" si="625"/>
        <v>93800.820000000022</v>
      </c>
      <c r="AH436" s="300">
        <f t="shared" si="626"/>
        <v>557307.30000000051</v>
      </c>
      <c r="AI436" s="545">
        <f t="shared" si="614"/>
        <v>-67129.250000000015</v>
      </c>
      <c r="AJ436" s="545">
        <f t="shared" si="674"/>
        <v>-221123.28000000017</v>
      </c>
      <c r="AK436" s="545">
        <f t="shared" si="615"/>
        <v>-288252.5300000002</v>
      </c>
      <c r="AL436" s="300">
        <f t="shared" si="627"/>
        <v>221123.28000000017</v>
      </c>
      <c r="AM436" s="449">
        <f t="shared" si="655"/>
        <v>31</v>
      </c>
      <c r="AN436" s="14">
        <f t="shared" si="616"/>
        <v>0</v>
      </c>
      <c r="AO436" s="14">
        <f t="shared" si="694"/>
        <v>0</v>
      </c>
      <c r="AP436" s="14">
        <f t="shared" si="617"/>
        <v>0</v>
      </c>
      <c r="AS436" s="14">
        <f t="shared" si="650"/>
        <v>0</v>
      </c>
      <c r="AT436" s="14">
        <f t="shared" si="656"/>
        <v>0</v>
      </c>
      <c r="AU436" s="300">
        <f t="shared" si="657"/>
        <v>0</v>
      </c>
      <c r="AV436" s="300">
        <f t="shared" si="658"/>
        <v>0</v>
      </c>
    </row>
    <row r="437" spans="1:48" x14ac:dyDescent="0.25">
      <c r="A437" s="535" t="str">
        <f t="shared" si="603"/>
        <v xml:space="preserve"> </v>
      </c>
      <c r="B437" s="300">
        <f t="shared" si="597"/>
        <v>0</v>
      </c>
      <c r="C437" s="14">
        <f t="shared" si="644"/>
        <v>0</v>
      </c>
      <c r="D437" s="14">
        <f t="shared" si="659"/>
        <v>0</v>
      </c>
      <c r="E437" s="14">
        <f t="shared" si="645"/>
        <v>0</v>
      </c>
      <c r="F437" s="14">
        <f t="shared" si="604"/>
        <v>134.16999999999999</v>
      </c>
      <c r="G437" s="14">
        <f t="shared" si="600"/>
        <v>188.55</v>
      </c>
      <c r="H437" s="14">
        <f t="shared" si="601"/>
        <v>322.72000000000003</v>
      </c>
      <c r="I437" s="300">
        <f t="shared" si="605"/>
        <v>83483.170000000042</v>
      </c>
      <c r="J437" s="300">
        <f t="shared" si="606"/>
        <v>68536.320000000022</v>
      </c>
      <c r="K437" s="300">
        <f t="shared" si="607"/>
        <v>0</v>
      </c>
      <c r="L437" s="449">
        <f t="shared" si="696"/>
        <v>31</v>
      </c>
      <c r="M437" s="449">
        <f t="shared" si="651"/>
        <v>378</v>
      </c>
      <c r="N437" s="300">
        <f t="shared" si="681"/>
        <v>0</v>
      </c>
      <c r="O437" s="300">
        <f t="shared" si="619"/>
        <v>0</v>
      </c>
      <c r="P437" s="300">
        <f t="shared" si="660"/>
        <v>0</v>
      </c>
      <c r="Q437" s="300">
        <f t="shared" si="620"/>
        <v>0</v>
      </c>
      <c r="R437" s="300">
        <f t="shared" si="611"/>
        <v>134.16999999999999</v>
      </c>
      <c r="S437" s="300">
        <f t="shared" si="612"/>
        <v>188.55</v>
      </c>
      <c r="T437" s="300">
        <f t="shared" si="608"/>
        <v>322.72000000000003</v>
      </c>
      <c r="U437" s="300">
        <f t="shared" si="661"/>
        <v>244762.19000000029</v>
      </c>
      <c r="V437" s="300">
        <f t="shared" si="662"/>
        <v>339216.68000000005</v>
      </c>
      <c r="W437" s="300">
        <f t="shared" si="609"/>
        <v>0</v>
      </c>
      <c r="X437" s="535" t="str">
        <f t="shared" si="653"/>
        <v xml:space="preserve"> </v>
      </c>
      <c r="Y437" s="300">
        <f t="shared" si="621"/>
        <v>221123.28000000017</v>
      </c>
      <c r="Z437" s="527">
        <f t="shared" si="646"/>
        <v>7.0000000000000007E-2</v>
      </c>
      <c r="AA437" s="300">
        <f t="shared" si="647"/>
        <v>1746.44</v>
      </c>
      <c r="AB437" s="300">
        <f t="shared" si="622"/>
        <v>456.54999999999995</v>
      </c>
      <c r="AC437" s="300">
        <f t="shared" si="648"/>
        <v>1289.8900000000001</v>
      </c>
      <c r="AD437" s="300">
        <f t="shared" ref="AD437:AE437" si="703">+AD436</f>
        <v>134.16999999999999</v>
      </c>
      <c r="AE437" s="300">
        <f t="shared" si="703"/>
        <v>188.55</v>
      </c>
      <c r="AF437" s="300">
        <f t="shared" si="624"/>
        <v>2069.1600000000003</v>
      </c>
      <c r="AG437" s="300">
        <f t="shared" si="625"/>
        <v>94257.370000000024</v>
      </c>
      <c r="AH437" s="300">
        <f t="shared" si="626"/>
        <v>558597.19000000053</v>
      </c>
      <c r="AI437" s="545">
        <f t="shared" si="614"/>
        <v>-68875.690000000017</v>
      </c>
      <c r="AJ437" s="545">
        <f t="shared" si="674"/>
        <v>-220666.73000000019</v>
      </c>
      <c r="AK437" s="545">
        <f t="shared" si="615"/>
        <v>-289542.42000000022</v>
      </c>
      <c r="AL437" s="300">
        <f t="shared" si="627"/>
        <v>220666.73000000019</v>
      </c>
      <c r="AM437" s="449">
        <f t="shared" si="655"/>
        <v>31</v>
      </c>
      <c r="AN437" s="14">
        <f t="shared" si="616"/>
        <v>0</v>
      </c>
      <c r="AO437" s="14">
        <f t="shared" si="694"/>
        <v>0</v>
      </c>
      <c r="AP437" s="14">
        <f t="shared" si="617"/>
        <v>0</v>
      </c>
      <c r="AS437" s="14">
        <f t="shared" si="650"/>
        <v>0</v>
      </c>
      <c r="AT437" s="14">
        <f t="shared" si="656"/>
        <v>0</v>
      </c>
      <c r="AU437" s="300">
        <f t="shared" si="657"/>
        <v>0</v>
      </c>
      <c r="AV437" s="300">
        <f t="shared" si="658"/>
        <v>0</v>
      </c>
    </row>
    <row r="438" spans="1:48" x14ac:dyDescent="0.25">
      <c r="A438" s="535" t="str">
        <f t="shared" si="603"/>
        <v xml:space="preserve"> </v>
      </c>
      <c r="B438" s="300">
        <f t="shared" si="597"/>
        <v>0</v>
      </c>
      <c r="C438" s="14">
        <f t="shared" si="644"/>
        <v>0</v>
      </c>
      <c r="D438" s="14">
        <f t="shared" si="659"/>
        <v>0</v>
      </c>
      <c r="E438" s="14">
        <f t="shared" si="645"/>
        <v>0</v>
      </c>
      <c r="F438" s="14">
        <f t="shared" si="604"/>
        <v>134.16999999999999</v>
      </c>
      <c r="G438" s="14">
        <f t="shared" si="600"/>
        <v>188.55</v>
      </c>
      <c r="H438" s="14">
        <f t="shared" si="601"/>
        <v>322.72000000000003</v>
      </c>
      <c r="I438" s="300">
        <f t="shared" si="605"/>
        <v>83483.170000000042</v>
      </c>
      <c r="J438" s="300">
        <f t="shared" si="606"/>
        <v>68536.320000000022</v>
      </c>
      <c r="K438" s="300">
        <f t="shared" si="607"/>
        <v>0</v>
      </c>
      <c r="L438" s="449">
        <f t="shared" si="696"/>
        <v>31</v>
      </c>
      <c r="M438" s="449">
        <f t="shared" si="651"/>
        <v>379</v>
      </c>
      <c r="N438" s="300">
        <f t="shared" si="681"/>
        <v>0</v>
      </c>
      <c r="O438" s="300">
        <f t="shared" si="619"/>
        <v>0</v>
      </c>
      <c r="P438" s="300">
        <f t="shared" si="660"/>
        <v>0</v>
      </c>
      <c r="Q438" s="300">
        <f t="shared" si="620"/>
        <v>0</v>
      </c>
      <c r="R438" s="300">
        <f t="shared" si="611"/>
        <v>134.16999999999999</v>
      </c>
      <c r="S438" s="300">
        <f t="shared" si="612"/>
        <v>188.55</v>
      </c>
      <c r="T438" s="300">
        <f t="shared" si="608"/>
        <v>322.72000000000003</v>
      </c>
      <c r="U438" s="300">
        <f t="shared" si="661"/>
        <v>244762.19000000029</v>
      </c>
      <c r="V438" s="300">
        <f t="shared" si="662"/>
        <v>339216.68000000005</v>
      </c>
      <c r="W438" s="300">
        <f t="shared" si="609"/>
        <v>0</v>
      </c>
      <c r="X438" s="535" t="str">
        <f t="shared" si="653"/>
        <v xml:space="preserve"> </v>
      </c>
      <c r="Y438" s="300">
        <f t="shared" si="621"/>
        <v>220666.73000000019</v>
      </c>
      <c r="Z438" s="527">
        <f t="shared" si="646"/>
        <v>7.0000000000000007E-2</v>
      </c>
      <c r="AA438" s="300">
        <f t="shared" si="647"/>
        <v>1746.44</v>
      </c>
      <c r="AB438" s="300">
        <f t="shared" si="622"/>
        <v>459.22</v>
      </c>
      <c r="AC438" s="300">
        <f t="shared" si="648"/>
        <v>1287.22</v>
      </c>
      <c r="AD438" s="300">
        <f t="shared" ref="AD438:AE438" si="704">+AD437</f>
        <v>134.16999999999999</v>
      </c>
      <c r="AE438" s="300">
        <f t="shared" si="704"/>
        <v>188.55</v>
      </c>
      <c r="AF438" s="300">
        <f t="shared" si="624"/>
        <v>2069.1600000000003</v>
      </c>
      <c r="AG438" s="300">
        <f t="shared" si="625"/>
        <v>94716.590000000026</v>
      </c>
      <c r="AH438" s="300">
        <f t="shared" si="626"/>
        <v>559884.4100000005</v>
      </c>
      <c r="AI438" s="545">
        <f t="shared" si="614"/>
        <v>-70622.130000000019</v>
      </c>
      <c r="AJ438" s="545">
        <f t="shared" si="674"/>
        <v>-220207.51000000018</v>
      </c>
      <c r="AK438" s="545">
        <f t="shared" si="615"/>
        <v>-290829.64000000019</v>
      </c>
      <c r="AL438" s="300">
        <f t="shared" si="627"/>
        <v>220207.51000000018</v>
      </c>
      <c r="AM438" s="449">
        <f t="shared" si="655"/>
        <v>31</v>
      </c>
      <c r="AN438" s="14">
        <f t="shared" si="616"/>
        <v>0</v>
      </c>
      <c r="AO438" s="14">
        <f t="shared" si="694"/>
        <v>0</v>
      </c>
      <c r="AP438" s="14">
        <f t="shared" si="617"/>
        <v>0</v>
      </c>
      <c r="AS438" s="14">
        <f t="shared" si="650"/>
        <v>0</v>
      </c>
      <c r="AT438" s="14">
        <f t="shared" si="656"/>
        <v>0</v>
      </c>
      <c r="AU438" s="300">
        <f t="shared" si="657"/>
        <v>0</v>
      </c>
      <c r="AV438" s="300">
        <f t="shared" si="658"/>
        <v>0</v>
      </c>
    </row>
    <row r="439" spans="1:48" x14ac:dyDescent="0.25">
      <c r="A439" s="535" t="str">
        <f t="shared" si="603"/>
        <v xml:space="preserve"> </v>
      </c>
      <c r="B439" s="300">
        <f t="shared" si="597"/>
        <v>0</v>
      </c>
      <c r="C439" s="14">
        <f t="shared" si="644"/>
        <v>0</v>
      </c>
      <c r="D439" s="14">
        <f t="shared" si="659"/>
        <v>0</v>
      </c>
      <c r="E439" s="14">
        <f t="shared" si="645"/>
        <v>0</v>
      </c>
      <c r="F439" s="14">
        <f t="shared" si="604"/>
        <v>134.16999999999999</v>
      </c>
      <c r="G439" s="14">
        <f t="shared" si="600"/>
        <v>188.55</v>
      </c>
      <c r="H439" s="14">
        <f t="shared" si="601"/>
        <v>322.72000000000003</v>
      </c>
      <c r="I439" s="300">
        <f t="shared" si="605"/>
        <v>83483.170000000042</v>
      </c>
      <c r="J439" s="300">
        <f t="shared" si="606"/>
        <v>68536.320000000022</v>
      </c>
      <c r="K439" s="300">
        <f t="shared" si="607"/>
        <v>0</v>
      </c>
      <c r="L439" s="449">
        <f t="shared" si="696"/>
        <v>31</v>
      </c>
      <c r="M439" s="449">
        <f t="shared" si="651"/>
        <v>380</v>
      </c>
      <c r="N439" s="300">
        <f t="shared" si="681"/>
        <v>0</v>
      </c>
      <c r="O439" s="300">
        <f t="shared" si="619"/>
        <v>0</v>
      </c>
      <c r="P439" s="300">
        <f t="shared" si="660"/>
        <v>0</v>
      </c>
      <c r="Q439" s="300">
        <f t="shared" si="620"/>
        <v>0</v>
      </c>
      <c r="R439" s="300">
        <f t="shared" si="611"/>
        <v>134.16999999999999</v>
      </c>
      <c r="S439" s="300">
        <f t="shared" si="612"/>
        <v>188.55</v>
      </c>
      <c r="T439" s="300">
        <f t="shared" si="608"/>
        <v>322.72000000000003</v>
      </c>
      <c r="U439" s="300">
        <f t="shared" si="661"/>
        <v>244762.19000000029</v>
      </c>
      <c r="V439" s="300">
        <f t="shared" si="662"/>
        <v>339216.68000000005</v>
      </c>
      <c r="W439" s="300">
        <f t="shared" si="609"/>
        <v>0</v>
      </c>
      <c r="X439" s="535" t="str">
        <f t="shared" si="653"/>
        <v xml:space="preserve"> </v>
      </c>
      <c r="Y439" s="300">
        <f t="shared" si="621"/>
        <v>220207.51000000018</v>
      </c>
      <c r="Z439" s="527">
        <f t="shared" si="646"/>
        <v>7.0000000000000007E-2</v>
      </c>
      <c r="AA439" s="300">
        <f t="shared" si="647"/>
        <v>1746.44</v>
      </c>
      <c r="AB439" s="300">
        <f t="shared" si="622"/>
        <v>461.90000000000009</v>
      </c>
      <c r="AC439" s="300">
        <f t="shared" si="648"/>
        <v>1284.54</v>
      </c>
      <c r="AD439" s="300">
        <f t="shared" ref="AD439:AE439" si="705">+AD438</f>
        <v>134.16999999999999</v>
      </c>
      <c r="AE439" s="300">
        <f t="shared" si="705"/>
        <v>188.55</v>
      </c>
      <c r="AF439" s="300">
        <f t="shared" si="624"/>
        <v>2069.1600000000003</v>
      </c>
      <c r="AG439" s="300">
        <f t="shared" si="625"/>
        <v>95178.49000000002</v>
      </c>
      <c r="AH439" s="300">
        <f t="shared" si="626"/>
        <v>561168.95000000054</v>
      </c>
      <c r="AI439" s="545">
        <f t="shared" si="614"/>
        <v>-72368.570000000022</v>
      </c>
      <c r="AJ439" s="545">
        <f t="shared" si="674"/>
        <v>-219745.61000000019</v>
      </c>
      <c r="AK439" s="545">
        <f t="shared" si="615"/>
        <v>-292114.18000000023</v>
      </c>
      <c r="AL439" s="300">
        <f t="shared" si="627"/>
        <v>219745.61000000019</v>
      </c>
      <c r="AM439" s="449">
        <f t="shared" si="655"/>
        <v>31</v>
      </c>
      <c r="AN439" s="14">
        <f t="shared" si="616"/>
        <v>0</v>
      </c>
      <c r="AO439" s="14">
        <f t="shared" si="694"/>
        <v>0</v>
      </c>
      <c r="AP439" s="14">
        <f t="shared" si="617"/>
        <v>0</v>
      </c>
      <c r="AS439" s="14">
        <f t="shared" si="650"/>
        <v>0</v>
      </c>
      <c r="AT439" s="14">
        <f t="shared" si="656"/>
        <v>0</v>
      </c>
      <c r="AU439" s="300">
        <f t="shared" si="657"/>
        <v>0</v>
      </c>
      <c r="AV439" s="300">
        <f t="shared" si="658"/>
        <v>0</v>
      </c>
    </row>
    <row r="440" spans="1:48" x14ac:dyDescent="0.25">
      <c r="A440" s="535" t="str">
        <f t="shared" si="603"/>
        <v xml:space="preserve"> </v>
      </c>
      <c r="B440" s="300">
        <f t="shared" ref="B440:B490" si="706">IF(+K439&lt;0,0,+K439)</f>
        <v>0</v>
      </c>
      <c r="C440" s="14">
        <f t="shared" si="644"/>
        <v>0</v>
      </c>
      <c r="D440" s="14">
        <f t="shared" si="659"/>
        <v>0</v>
      </c>
      <c r="E440" s="14">
        <f t="shared" si="645"/>
        <v>0</v>
      </c>
      <c r="F440" s="14">
        <f t="shared" si="604"/>
        <v>134.16999999999999</v>
      </c>
      <c r="G440" s="14">
        <f t="shared" si="600"/>
        <v>188.55</v>
      </c>
      <c r="H440" s="14">
        <f t="shared" si="601"/>
        <v>322.72000000000003</v>
      </c>
      <c r="I440" s="300">
        <f t="shared" si="605"/>
        <v>83483.170000000042</v>
      </c>
      <c r="J440" s="300">
        <f t="shared" si="606"/>
        <v>68536.320000000022</v>
      </c>
      <c r="K440" s="300">
        <f t="shared" si="607"/>
        <v>0</v>
      </c>
      <c r="L440" s="449">
        <f t="shared" si="696"/>
        <v>31</v>
      </c>
      <c r="M440" s="449">
        <f t="shared" si="651"/>
        <v>381</v>
      </c>
      <c r="N440" s="300">
        <f t="shared" si="681"/>
        <v>0</v>
      </c>
      <c r="O440" s="300">
        <f t="shared" si="619"/>
        <v>0</v>
      </c>
      <c r="P440" s="300">
        <f t="shared" si="660"/>
        <v>0</v>
      </c>
      <c r="Q440" s="300">
        <f t="shared" si="620"/>
        <v>0</v>
      </c>
      <c r="R440" s="300">
        <f t="shared" si="611"/>
        <v>134.16999999999999</v>
      </c>
      <c r="S440" s="300">
        <f t="shared" si="612"/>
        <v>188.55</v>
      </c>
      <c r="T440" s="300">
        <f t="shared" si="608"/>
        <v>322.72000000000003</v>
      </c>
      <c r="U440" s="300">
        <f t="shared" si="661"/>
        <v>244762.19000000029</v>
      </c>
      <c r="V440" s="300">
        <f t="shared" si="662"/>
        <v>339216.68000000005</v>
      </c>
      <c r="W440" s="300">
        <f t="shared" si="609"/>
        <v>0</v>
      </c>
      <c r="X440" s="535" t="str">
        <f t="shared" si="653"/>
        <v xml:space="preserve"> </v>
      </c>
      <c r="Y440" s="300">
        <f t="shared" si="621"/>
        <v>219745.61000000019</v>
      </c>
      <c r="Z440" s="527">
        <f t="shared" si="646"/>
        <v>7.0000000000000007E-2</v>
      </c>
      <c r="AA440" s="300">
        <f t="shared" si="647"/>
        <v>1746.44</v>
      </c>
      <c r="AB440" s="300">
        <f t="shared" si="622"/>
        <v>464.59000000000015</v>
      </c>
      <c r="AC440" s="300">
        <f t="shared" si="648"/>
        <v>1281.8499999999999</v>
      </c>
      <c r="AD440" s="300">
        <f t="shared" ref="AD440:AE440" si="707">+AD439</f>
        <v>134.16999999999999</v>
      </c>
      <c r="AE440" s="300">
        <f t="shared" si="707"/>
        <v>188.55</v>
      </c>
      <c r="AF440" s="300">
        <f t="shared" si="624"/>
        <v>2069.1600000000003</v>
      </c>
      <c r="AG440" s="300">
        <f t="shared" si="625"/>
        <v>95643.080000000016</v>
      </c>
      <c r="AH440" s="300">
        <f t="shared" si="626"/>
        <v>562450.80000000051</v>
      </c>
      <c r="AI440" s="545">
        <f t="shared" si="614"/>
        <v>-74115.010000000024</v>
      </c>
      <c r="AJ440" s="545">
        <f t="shared" si="674"/>
        <v>-219281.02000000019</v>
      </c>
      <c r="AK440" s="545">
        <f t="shared" si="615"/>
        <v>-293396.0300000002</v>
      </c>
      <c r="AL440" s="300">
        <f t="shared" si="627"/>
        <v>219281.02000000019</v>
      </c>
      <c r="AM440" s="449">
        <f t="shared" si="655"/>
        <v>31</v>
      </c>
      <c r="AN440" s="14">
        <f t="shared" si="616"/>
        <v>0</v>
      </c>
      <c r="AO440" s="14">
        <f t="shared" si="694"/>
        <v>0</v>
      </c>
      <c r="AP440" s="14">
        <f t="shared" si="617"/>
        <v>0</v>
      </c>
      <c r="AS440" s="14">
        <f t="shared" si="650"/>
        <v>0</v>
      </c>
      <c r="AT440" s="14">
        <f t="shared" si="656"/>
        <v>0</v>
      </c>
      <c r="AU440" s="300">
        <f t="shared" si="657"/>
        <v>0</v>
      </c>
      <c r="AV440" s="300">
        <f t="shared" si="658"/>
        <v>0</v>
      </c>
    </row>
    <row r="441" spans="1:48" x14ac:dyDescent="0.25">
      <c r="A441" s="535" t="str">
        <f t="shared" si="603"/>
        <v xml:space="preserve"> </v>
      </c>
      <c r="B441" s="300">
        <f t="shared" si="706"/>
        <v>0</v>
      </c>
      <c r="C441" s="14">
        <f t="shared" si="644"/>
        <v>0</v>
      </c>
      <c r="D441" s="14">
        <f t="shared" si="659"/>
        <v>0</v>
      </c>
      <c r="E441" s="14">
        <f t="shared" si="645"/>
        <v>0</v>
      </c>
      <c r="F441" s="14">
        <f t="shared" si="604"/>
        <v>134.16999999999999</v>
      </c>
      <c r="G441" s="14">
        <f t="shared" si="600"/>
        <v>188.55</v>
      </c>
      <c r="H441" s="14">
        <f t="shared" si="601"/>
        <v>322.72000000000003</v>
      </c>
      <c r="I441" s="300">
        <f t="shared" si="605"/>
        <v>83483.170000000042</v>
      </c>
      <c r="J441" s="300">
        <f t="shared" si="606"/>
        <v>68536.320000000022</v>
      </c>
      <c r="K441" s="300">
        <f t="shared" si="607"/>
        <v>0</v>
      </c>
      <c r="L441" s="449">
        <f t="shared" si="696"/>
        <v>31</v>
      </c>
      <c r="M441" s="449">
        <f t="shared" si="651"/>
        <v>382</v>
      </c>
      <c r="N441" s="300">
        <f t="shared" si="681"/>
        <v>0</v>
      </c>
      <c r="O441" s="300">
        <f t="shared" si="619"/>
        <v>0</v>
      </c>
      <c r="P441" s="300">
        <f t="shared" si="660"/>
        <v>0</v>
      </c>
      <c r="Q441" s="300">
        <f t="shared" si="620"/>
        <v>0</v>
      </c>
      <c r="R441" s="300">
        <f t="shared" si="611"/>
        <v>134.16999999999999</v>
      </c>
      <c r="S441" s="300">
        <f t="shared" si="612"/>
        <v>188.55</v>
      </c>
      <c r="T441" s="300">
        <f t="shared" si="608"/>
        <v>322.72000000000003</v>
      </c>
      <c r="U441" s="300">
        <f t="shared" si="661"/>
        <v>244762.19000000029</v>
      </c>
      <c r="V441" s="300">
        <f t="shared" si="662"/>
        <v>339216.68000000005</v>
      </c>
      <c r="W441" s="300">
        <f t="shared" si="609"/>
        <v>0</v>
      </c>
      <c r="X441" s="535" t="str">
        <f t="shared" si="653"/>
        <v xml:space="preserve"> </v>
      </c>
      <c r="Y441" s="300">
        <f t="shared" si="621"/>
        <v>219281.02000000019</v>
      </c>
      <c r="Z441" s="527">
        <f t="shared" si="646"/>
        <v>7.0000000000000007E-2</v>
      </c>
      <c r="AA441" s="300">
        <f t="shared" si="647"/>
        <v>1746.44</v>
      </c>
      <c r="AB441" s="300">
        <f t="shared" si="622"/>
        <v>467.29999999999995</v>
      </c>
      <c r="AC441" s="300">
        <f t="shared" si="648"/>
        <v>1279.1400000000001</v>
      </c>
      <c r="AD441" s="300">
        <f t="shared" ref="AD441:AE441" si="708">+AD440</f>
        <v>134.16999999999999</v>
      </c>
      <c r="AE441" s="300">
        <f t="shared" si="708"/>
        <v>188.55</v>
      </c>
      <c r="AF441" s="300">
        <f t="shared" si="624"/>
        <v>2069.1600000000003</v>
      </c>
      <c r="AG441" s="300">
        <f t="shared" si="625"/>
        <v>96110.380000000019</v>
      </c>
      <c r="AH441" s="300">
        <f t="shared" si="626"/>
        <v>563729.94000000053</v>
      </c>
      <c r="AI441" s="545">
        <f t="shared" si="614"/>
        <v>-75861.450000000026</v>
      </c>
      <c r="AJ441" s="545">
        <f t="shared" si="674"/>
        <v>-218813.7200000002</v>
      </c>
      <c r="AK441" s="545">
        <f t="shared" si="615"/>
        <v>-294675.17000000022</v>
      </c>
      <c r="AL441" s="300">
        <f t="shared" si="627"/>
        <v>218813.7200000002</v>
      </c>
      <c r="AM441" s="449">
        <f t="shared" si="655"/>
        <v>31</v>
      </c>
      <c r="AN441" s="14">
        <f t="shared" si="616"/>
        <v>0</v>
      </c>
      <c r="AO441" s="14">
        <f t="shared" si="694"/>
        <v>0</v>
      </c>
      <c r="AP441" s="14">
        <f t="shared" si="617"/>
        <v>0</v>
      </c>
      <c r="AS441" s="14">
        <f t="shared" si="650"/>
        <v>0</v>
      </c>
      <c r="AT441" s="14">
        <f t="shared" si="656"/>
        <v>0</v>
      </c>
      <c r="AU441" s="300">
        <f t="shared" si="657"/>
        <v>0</v>
      </c>
      <c r="AV441" s="300">
        <f t="shared" si="658"/>
        <v>0</v>
      </c>
    </row>
    <row r="442" spans="1:48" x14ac:dyDescent="0.25">
      <c r="A442" s="535" t="str">
        <f t="shared" si="603"/>
        <v xml:space="preserve"> </v>
      </c>
      <c r="B442" s="300">
        <f t="shared" si="706"/>
        <v>0</v>
      </c>
      <c r="C442" s="14">
        <f t="shared" si="644"/>
        <v>0</v>
      </c>
      <c r="D442" s="14">
        <f t="shared" si="659"/>
        <v>0</v>
      </c>
      <c r="E442" s="14">
        <f t="shared" si="645"/>
        <v>0</v>
      </c>
      <c r="F442" s="14">
        <f t="shared" si="604"/>
        <v>134.16999999999999</v>
      </c>
      <c r="G442" s="14">
        <f t="shared" ref="G442:G490" si="709">+G441</f>
        <v>188.55</v>
      </c>
      <c r="H442" s="14">
        <f t="shared" ref="H442:H490" si="710">SUM(D442:G442)</f>
        <v>322.72000000000003</v>
      </c>
      <c r="I442" s="300">
        <f t="shared" si="605"/>
        <v>83483.170000000042</v>
      </c>
      <c r="J442" s="300">
        <f t="shared" si="606"/>
        <v>68536.320000000022</v>
      </c>
      <c r="K442" s="300">
        <f t="shared" si="607"/>
        <v>0</v>
      </c>
      <c r="L442" s="449">
        <f t="shared" si="696"/>
        <v>31</v>
      </c>
      <c r="M442" s="449">
        <f t="shared" si="651"/>
        <v>383</v>
      </c>
      <c r="N442" s="300">
        <f t="shared" si="681"/>
        <v>0</v>
      </c>
      <c r="O442" s="300">
        <f t="shared" si="619"/>
        <v>0</v>
      </c>
      <c r="P442" s="300">
        <f t="shared" si="660"/>
        <v>0</v>
      </c>
      <c r="Q442" s="300">
        <f t="shared" si="620"/>
        <v>0</v>
      </c>
      <c r="R442" s="300">
        <f t="shared" si="611"/>
        <v>134.16999999999999</v>
      </c>
      <c r="S442" s="300">
        <f t="shared" si="612"/>
        <v>188.55</v>
      </c>
      <c r="T442" s="300">
        <f t="shared" si="608"/>
        <v>322.72000000000003</v>
      </c>
      <c r="U442" s="300">
        <f t="shared" si="661"/>
        <v>244762.19000000029</v>
      </c>
      <c r="V442" s="300">
        <f t="shared" si="662"/>
        <v>339216.68000000005</v>
      </c>
      <c r="W442" s="300">
        <f t="shared" si="609"/>
        <v>0</v>
      </c>
      <c r="X442" s="535" t="str">
        <f t="shared" si="653"/>
        <v xml:space="preserve"> </v>
      </c>
      <c r="Y442" s="300">
        <f t="shared" si="621"/>
        <v>218813.7200000002</v>
      </c>
      <c r="Z442" s="527">
        <f t="shared" si="646"/>
        <v>7.0000000000000007E-2</v>
      </c>
      <c r="AA442" s="300">
        <f t="shared" si="647"/>
        <v>1746.44</v>
      </c>
      <c r="AB442" s="300">
        <f t="shared" si="622"/>
        <v>470.03</v>
      </c>
      <c r="AC442" s="300">
        <f t="shared" si="648"/>
        <v>1276.4100000000001</v>
      </c>
      <c r="AD442" s="300">
        <f t="shared" ref="AD442:AE442" si="711">+AD441</f>
        <v>134.16999999999999</v>
      </c>
      <c r="AE442" s="300">
        <f t="shared" si="711"/>
        <v>188.55</v>
      </c>
      <c r="AF442" s="300">
        <f t="shared" si="624"/>
        <v>2069.1600000000003</v>
      </c>
      <c r="AG442" s="300">
        <f t="shared" si="625"/>
        <v>96580.410000000018</v>
      </c>
      <c r="AH442" s="300">
        <f t="shared" si="626"/>
        <v>565006.35000000056</v>
      </c>
      <c r="AI442" s="545">
        <f t="shared" si="614"/>
        <v>-77607.890000000029</v>
      </c>
      <c r="AJ442" s="545">
        <f t="shared" si="674"/>
        <v>-218343.69000000021</v>
      </c>
      <c r="AK442" s="545">
        <f t="shared" si="615"/>
        <v>-295951.58000000025</v>
      </c>
      <c r="AL442" s="300">
        <f t="shared" si="627"/>
        <v>218343.69000000021</v>
      </c>
      <c r="AM442" s="449">
        <f t="shared" si="655"/>
        <v>31</v>
      </c>
      <c r="AN442" s="14">
        <f t="shared" si="616"/>
        <v>0</v>
      </c>
      <c r="AO442" s="14">
        <f t="shared" si="694"/>
        <v>0</v>
      </c>
      <c r="AP442" s="14">
        <f t="shared" si="617"/>
        <v>0</v>
      </c>
      <c r="AS442" s="14">
        <f t="shared" si="650"/>
        <v>0</v>
      </c>
      <c r="AT442" s="14">
        <f t="shared" si="656"/>
        <v>0</v>
      </c>
      <c r="AU442" s="300">
        <f t="shared" si="657"/>
        <v>0</v>
      </c>
      <c r="AV442" s="300">
        <f t="shared" si="658"/>
        <v>0</v>
      </c>
    </row>
    <row r="443" spans="1:48" x14ac:dyDescent="0.25">
      <c r="A443" s="535" t="str">
        <f t="shared" ref="A443:A490" si="712">IF(K443&lt;=0," ",+A442+30)</f>
        <v xml:space="preserve"> </v>
      </c>
      <c r="B443" s="300">
        <f t="shared" si="706"/>
        <v>0</v>
      </c>
      <c r="C443" s="14">
        <f t="shared" si="644"/>
        <v>0</v>
      </c>
      <c r="D443" s="14">
        <f t="shared" si="659"/>
        <v>0</v>
      </c>
      <c r="E443" s="14">
        <f t="shared" si="645"/>
        <v>0</v>
      </c>
      <c r="F443" s="14">
        <f t="shared" ref="F443:F490" si="713">+F442</f>
        <v>134.16999999999999</v>
      </c>
      <c r="G443" s="14">
        <f t="shared" si="709"/>
        <v>188.55</v>
      </c>
      <c r="H443" s="14">
        <f t="shared" si="710"/>
        <v>322.72000000000003</v>
      </c>
      <c r="I443" s="300">
        <f t="shared" ref="I443:I490" si="714">$D443+$I442</f>
        <v>83483.170000000042</v>
      </c>
      <c r="J443" s="300">
        <f t="shared" ref="J443:J490" si="715">$E443+$J442</f>
        <v>68536.320000000022</v>
      </c>
      <c r="K443" s="300">
        <f t="shared" ref="K443:K490" si="716">+B443-D443</f>
        <v>0</v>
      </c>
      <c r="L443" s="449">
        <f t="shared" si="696"/>
        <v>32</v>
      </c>
      <c r="M443" s="449">
        <f t="shared" si="651"/>
        <v>384</v>
      </c>
      <c r="N443" s="300">
        <f t="shared" si="681"/>
        <v>0</v>
      </c>
      <c r="O443" s="300">
        <f t="shared" si="619"/>
        <v>0</v>
      </c>
      <c r="P443" s="300">
        <f t="shared" si="660"/>
        <v>0</v>
      </c>
      <c r="Q443" s="300">
        <f t="shared" si="620"/>
        <v>0</v>
      </c>
      <c r="R443" s="300">
        <f t="shared" si="611"/>
        <v>134.16999999999999</v>
      </c>
      <c r="S443" s="300">
        <f t="shared" si="612"/>
        <v>188.55</v>
      </c>
      <c r="T443" s="300">
        <f t="shared" ref="T443:T490" si="717">SUM(P443:S443)</f>
        <v>322.72000000000003</v>
      </c>
      <c r="U443" s="300">
        <f t="shared" si="661"/>
        <v>244762.19000000029</v>
      </c>
      <c r="V443" s="300">
        <f t="shared" si="662"/>
        <v>339216.68000000005</v>
      </c>
      <c r="W443" s="300">
        <f t="shared" ref="W443:W490" si="718">+N443-P443</f>
        <v>0</v>
      </c>
      <c r="X443" s="535" t="str">
        <f t="shared" si="653"/>
        <v xml:space="preserve"> </v>
      </c>
      <c r="Y443" s="300">
        <f t="shared" si="621"/>
        <v>218343.69000000021</v>
      </c>
      <c r="Z443" s="527">
        <f t="shared" si="646"/>
        <v>7.0000000000000007E-2</v>
      </c>
      <c r="AA443" s="300">
        <f t="shared" si="647"/>
        <v>1746.44</v>
      </c>
      <c r="AB443" s="300">
        <f t="shared" si="622"/>
        <v>472.77</v>
      </c>
      <c r="AC443" s="300">
        <f t="shared" si="648"/>
        <v>1273.67</v>
      </c>
      <c r="AD443" s="300">
        <f t="shared" ref="AD443:AE443" si="719">+AD442</f>
        <v>134.16999999999999</v>
      </c>
      <c r="AE443" s="300">
        <f t="shared" si="719"/>
        <v>188.55</v>
      </c>
      <c r="AF443" s="300">
        <f t="shared" si="624"/>
        <v>2069.1600000000003</v>
      </c>
      <c r="AG443" s="300">
        <f t="shared" si="625"/>
        <v>97053.180000000022</v>
      </c>
      <c r="AH443" s="300">
        <f t="shared" si="626"/>
        <v>566280.0200000006</v>
      </c>
      <c r="AI443" s="545">
        <f t="shared" si="614"/>
        <v>-79354.330000000031</v>
      </c>
      <c r="AJ443" s="545">
        <f t="shared" si="674"/>
        <v>-217870.92000000022</v>
      </c>
      <c r="AK443" s="545">
        <f t="shared" si="615"/>
        <v>-297225.25000000023</v>
      </c>
      <c r="AL443" s="300">
        <f t="shared" si="627"/>
        <v>217870.92000000022</v>
      </c>
      <c r="AM443" s="449">
        <f t="shared" si="655"/>
        <v>32</v>
      </c>
      <c r="AN443" s="14">
        <f t="shared" si="616"/>
        <v>0</v>
      </c>
      <c r="AO443" s="14">
        <f t="shared" si="694"/>
        <v>0</v>
      </c>
      <c r="AP443" s="14">
        <f t="shared" si="617"/>
        <v>0</v>
      </c>
      <c r="AS443" s="14">
        <f t="shared" si="650"/>
        <v>0</v>
      </c>
      <c r="AT443" s="14">
        <f t="shared" si="656"/>
        <v>0</v>
      </c>
      <c r="AU443" s="300">
        <f t="shared" si="657"/>
        <v>0</v>
      </c>
      <c r="AV443" s="300">
        <f t="shared" si="658"/>
        <v>0</v>
      </c>
    </row>
    <row r="444" spans="1:48" x14ac:dyDescent="0.25">
      <c r="A444" s="535" t="str">
        <f t="shared" si="712"/>
        <v xml:space="preserve"> </v>
      </c>
      <c r="B444" s="300">
        <f t="shared" si="706"/>
        <v>0</v>
      </c>
      <c r="C444" s="14">
        <f t="shared" si="644"/>
        <v>0</v>
      </c>
      <c r="D444" s="14">
        <f t="shared" si="659"/>
        <v>0</v>
      </c>
      <c r="E444" s="14">
        <f t="shared" si="645"/>
        <v>0</v>
      </c>
      <c r="F444" s="14">
        <f t="shared" si="713"/>
        <v>134.16999999999999</v>
      </c>
      <c r="G444" s="14">
        <f t="shared" si="709"/>
        <v>188.55</v>
      </c>
      <c r="H444" s="14">
        <f t="shared" si="710"/>
        <v>322.72000000000003</v>
      </c>
      <c r="I444" s="300">
        <f t="shared" si="714"/>
        <v>83483.170000000042</v>
      </c>
      <c r="J444" s="300">
        <f t="shared" si="715"/>
        <v>68536.320000000022</v>
      </c>
      <c r="K444" s="300">
        <f t="shared" si="716"/>
        <v>0</v>
      </c>
      <c r="L444" s="449">
        <f t="shared" si="696"/>
        <v>32</v>
      </c>
      <c r="M444" s="449">
        <f t="shared" si="651"/>
        <v>385</v>
      </c>
      <c r="N444" s="300">
        <f t="shared" si="681"/>
        <v>0</v>
      </c>
      <c r="O444" s="300">
        <f t="shared" si="619"/>
        <v>0</v>
      </c>
      <c r="P444" s="300">
        <f t="shared" si="660"/>
        <v>0</v>
      </c>
      <c r="Q444" s="300">
        <f t="shared" si="620"/>
        <v>0</v>
      </c>
      <c r="R444" s="300">
        <f t="shared" ref="R444:R490" si="720">+R443</f>
        <v>134.16999999999999</v>
      </c>
      <c r="S444" s="300">
        <f t="shared" ref="S444:S490" si="721">+S443</f>
        <v>188.55</v>
      </c>
      <c r="T444" s="300">
        <f t="shared" si="717"/>
        <v>322.72000000000003</v>
      </c>
      <c r="U444" s="300">
        <f t="shared" si="661"/>
        <v>244762.19000000029</v>
      </c>
      <c r="V444" s="300">
        <f t="shared" si="662"/>
        <v>339216.68000000005</v>
      </c>
      <c r="W444" s="300">
        <f t="shared" si="718"/>
        <v>0</v>
      </c>
      <c r="X444" s="535" t="str">
        <f t="shared" si="653"/>
        <v xml:space="preserve"> </v>
      </c>
      <c r="Y444" s="300">
        <f t="shared" si="621"/>
        <v>217870.92000000022</v>
      </c>
      <c r="Z444" s="527">
        <f t="shared" si="646"/>
        <v>7.0000000000000007E-2</v>
      </c>
      <c r="AA444" s="300">
        <f t="shared" si="647"/>
        <v>1746.44</v>
      </c>
      <c r="AB444" s="300">
        <f t="shared" si="622"/>
        <v>475.53</v>
      </c>
      <c r="AC444" s="300">
        <f t="shared" si="648"/>
        <v>1270.9100000000001</v>
      </c>
      <c r="AD444" s="300">
        <f t="shared" ref="AD444:AE444" si="722">+AD443</f>
        <v>134.16999999999999</v>
      </c>
      <c r="AE444" s="300">
        <f t="shared" si="722"/>
        <v>188.55</v>
      </c>
      <c r="AF444" s="300">
        <f t="shared" si="624"/>
        <v>2069.1600000000003</v>
      </c>
      <c r="AG444" s="300">
        <f t="shared" si="625"/>
        <v>97528.710000000021</v>
      </c>
      <c r="AH444" s="300">
        <f t="shared" si="626"/>
        <v>567550.93000000063</v>
      </c>
      <c r="AI444" s="545">
        <f t="shared" ref="AI444:AI507" si="723">O444-AA444+AI443</f>
        <v>-81100.770000000033</v>
      </c>
      <c r="AJ444" s="545">
        <f t="shared" si="674"/>
        <v>-217395.39000000022</v>
      </c>
      <c r="AK444" s="545">
        <f t="shared" ref="AK444:AK507" si="724">SUM(AI444:AJ444)</f>
        <v>-298496.16000000027</v>
      </c>
      <c r="AL444" s="300">
        <f t="shared" si="627"/>
        <v>217395.39000000022</v>
      </c>
      <c r="AM444" s="449">
        <f t="shared" si="655"/>
        <v>32</v>
      </c>
      <c r="AN444" s="14">
        <f t="shared" ref="AN444:AN490" si="725">IF(O444=0,0,+O444-C444)</f>
        <v>0</v>
      </c>
      <c r="AO444" s="14">
        <f t="shared" si="694"/>
        <v>0</v>
      </c>
      <c r="AP444" s="14">
        <f t="shared" ref="AP444:AP490" si="726">IF($O444=0,0,+AA444-$C444)</f>
        <v>0</v>
      </c>
      <c r="AS444" s="14">
        <f t="shared" si="650"/>
        <v>0</v>
      </c>
      <c r="AT444" s="14">
        <f t="shared" si="656"/>
        <v>0</v>
      </c>
      <c r="AU444" s="300">
        <f t="shared" si="657"/>
        <v>0</v>
      </c>
      <c r="AV444" s="300">
        <f t="shared" si="658"/>
        <v>0</v>
      </c>
    </row>
    <row r="445" spans="1:48" x14ac:dyDescent="0.25">
      <c r="A445" s="535" t="str">
        <f t="shared" si="712"/>
        <v xml:space="preserve"> </v>
      </c>
      <c r="B445" s="300">
        <f t="shared" si="706"/>
        <v>0</v>
      </c>
      <c r="C445" s="14">
        <f t="shared" si="644"/>
        <v>0</v>
      </c>
      <c r="D445" s="14">
        <f t="shared" si="659"/>
        <v>0</v>
      </c>
      <c r="E445" s="14">
        <f t="shared" si="645"/>
        <v>0</v>
      </c>
      <c r="F445" s="14">
        <f t="shared" si="713"/>
        <v>134.16999999999999</v>
      </c>
      <c r="G445" s="14">
        <f t="shared" si="709"/>
        <v>188.55</v>
      </c>
      <c r="H445" s="14">
        <f t="shared" si="710"/>
        <v>322.72000000000003</v>
      </c>
      <c r="I445" s="300">
        <f t="shared" si="714"/>
        <v>83483.170000000042</v>
      </c>
      <c r="J445" s="300">
        <f t="shared" si="715"/>
        <v>68536.320000000022</v>
      </c>
      <c r="K445" s="300">
        <f t="shared" si="716"/>
        <v>0</v>
      </c>
      <c r="L445" s="449">
        <f t="shared" si="696"/>
        <v>32</v>
      </c>
      <c r="M445" s="449">
        <f t="shared" si="651"/>
        <v>386</v>
      </c>
      <c r="N445" s="300">
        <f t="shared" si="681"/>
        <v>0</v>
      </c>
      <c r="O445" s="300">
        <f t="shared" si="619"/>
        <v>0</v>
      </c>
      <c r="P445" s="300">
        <f t="shared" si="660"/>
        <v>0</v>
      </c>
      <c r="Q445" s="300">
        <f t="shared" si="620"/>
        <v>0</v>
      </c>
      <c r="R445" s="300">
        <f t="shared" si="720"/>
        <v>134.16999999999999</v>
      </c>
      <c r="S445" s="300">
        <f t="shared" si="721"/>
        <v>188.55</v>
      </c>
      <c r="T445" s="300">
        <f t="shared" si="717"/>
        <v>322.72000000000003</v>
      </c>
      <c r="U445" s="300">
        <f t="shared" si="661"/>
        <v>244762.19000000029</v>
      </c>
      <c r="V445" s="300">
        <f t="shared" si="662"/>
        <v>339216.68000000005</v>
      </c>
      <c r="W445" s="300">
        <f t="shared" si="718"/>
        <v>0</v>
      </c>
      <c r="X445" s="535" t="str">
        <f t="shared" si="653"/>
        <v xml:space="preserve"> </v>
      </c>
      <c r="Y445" s="300">
        <f t="shared" si="621"/>
        <v>217395.39000000022</v>
      </c>
      <c r="Z445" s="527">
        <f t="shared" si="646"/>
        <v>7.0000000000000007E-2</v>
      </c>
      <c r="AA445" s="300">
        <f t="shared" si="647"/>
        <v>1746.44</v>
      </c>
      <c r="AB445" s="300">
        <f t="shared" si="622"/>
        <v>478.29999999999995</v>
      </c>
      <c r="AC445" s="300">
        <f t="shared" si="648"/>
        <v>1268.1400000000001</v>
      </c>
      <c r="AD445" s="300">
        <f t="shared" ref="AD445:AE445" si="727">+AD444</f>
        <v>134.16999999999999</v>
      </c>
      <c r="AE445" s="300">
        <f t="shared" si="727"/>
        <v>188.55</v>
      </c>
      <c r="AF445" s="300">
        <f t="shared" si="624"/>
        <v>2069.1600000000003</v>
      </c>
      <c r="AG445" s="300">
        <f t="shared" si="625"/>
        <v>98007.010000000024</v>
      </c>
      <c r="AH445" s="300">
        <f t="shared" si="626"/>
        <v>568819.07000000065</v>
      </c>
      <c r="AI445" s="545">
        <f t="shared" si="723"/>
        <v>-82847.210000000036</v>
      </c>
      <c r="AJ445" s="545">
        <f t="shared" si="674"/>
        <v>-216917.09000000023</v>
      </c>
      <c r="AK445" s="545">
        <f t="shared" si="724"/>
        <v>-299764.30000000028</v>
      </c>
      <c r="AL445" s="300">
        <f t="shared" si="627"/>
        <v>216917.09000000023</v>
      </c>
      <c r="AM445" s="449">
        <f t="shared" si="655"/>
        <v>32</v>
      </c>
      <c r="AN445" s="14">
        <f t="shared" si="725"/>
        <v>0</v>
      </c>
      <c r="AO445" s="14">
        <f t="shared" si="694"/>
        <v>0</v>
      </c>
      <c r="AP445" s="14">
        <f t="shared" si="726"/>
        <v>0</v>
      </c>
      <c r="AS445" s="14">
        <f t="shared" si="650"/>
        <v>0</v>
      </c>
      <c r="AT445" s="14">
        <f t="shared" si="656"/>
        <v>0</v>
      </c>
      <c r="AU445" s="300">
        <f t="shared" si="657"/>
        <v>0</v>
      </c>
      <c r="AV445" s="300">
        <f t="shared" si="658"/>
        <v>0</v>
      </c>
    </row>
    <row r="446" spans="1:48" ht="15.75" thickBot="1" x14ac:dyDescent="0.3">
      <c r="A446" s="538" t="str">
        <f t="shared" si="712"/>
        <v xml:space="preserve"> </v>
      </c>
      <c r="B446" s="369">
        <f t="shared" si="706"/>
        <v>0</v>
      </c>
      <c r="C446" s="21">
        <f t="shared" si="644"/>
        <v>0</v>
      </c>
      <c r="D446" s="21">
        <f t="shared" si="659"/>
        <v>0</v>
      </c>
      <c r="E446" s="21">
        <f t="shared" si="645"/>
        <v>0</v>
      </c>
      <c r="F446" s="21">
        <f t="shared" si="713"/>
        <v>134.16999999999999</v>
      </c>
      <c r="G446" s="21">
        <f t="shared" si="709"/>
        <v>188.55</v>
      </c>
      <c r="H446" s="21">
        <f t="shared" si="710"/>
        <v>322.72000000000003</v>
      </c>
      <c r="I446" s="369">
        <f t="shared" si="714"/>
        <v>83483.170000000042</v>
      </c>
      <c r="J446" s="369">
        <f t="shared" si="715"/>
        <v>68536.320000000022</v>
      </c>
      <c r="K446" s="369">
        <f t="shared" si="716"/>
        <v>0</v>
      </c>
      <c r="L446" s="450">
        <f t="shared" si="696"/>
        <v>32</v>
      </c>
      <c r="M446" s="450">
        <f t="shared" si="651"/>
        <v>387</v>
      </c>
      <c r="N446" s="369">
        <f t="shared" si="681"/>
        <v>0</v>
      </c>
      <c r="O446" s="369">
        <f t="shared" ref="O446:O490" si="728">IF($O$9&lt;=A446,IF(+$W445&lt;=0,0,$O$8),0)</f>
        <v>0</v>
      </c>
      <c r="P446" s="369">
        <f t="shared" si="660"/>
        <v>0</v>
      </c>
      <c r="Q446" s="369">
        <f t="shared" ref="Q446:Q490" si="729">IF($O$9&lt;=A446,ROUND(N446*($O$6/12),2),0)</f>
        <v>0</v>
      </c>
      <c r="R446" s="369">
        <f t="shared" si="720"/>
        <v>134.16999999999999</v>
      </c>
      <c r="S446" s="369">
        <f t="shared" si="721"/>
        <v>188.55</v>
      </c>
      <c r="T446" s="369">
        <f t="shared" si="717"/>
        <v>322.72000000000003</v>
      </c>
      <c r="U446" s="369">
        <f t="shared" si="661"/>
        <v>244762.19000000029</v>
      </c>
      <c r="V446" s="369">
        <f t="shared" si="662"/>
        <v>339216.68000000005</v>
      </c>
      <c r="W446" s="369">
        <f t="shared" si="718"/>
        <v>0</v>
      </c>
      <c r="X446" s="538" t="str">
        <f t="shared" si="653"/>
        <v xml:space="preserve"> </v>
      </c>
      <c r="Y446" s="369">
        <f t="shared" ref="Y446:Y509" si="730">IF(+AL445&lt;0,0,+AL445)</f>
        <v>216917.09000000023</v>
      </c>
      <c r="Z446" s="528">
        <f t="shared" si="646"/>
        <v>7.0000000000000007E-2</v>
      </c>
      <c r="AA446" s="369">
        <f t="shared" si="647"/>
        <v>1746.44</v>
      </c>
      <c r="AB446" s="369">
        <f t="shared" ref="AB446:AB509" si="731">+AA446-AC446</f>
        <v>481.09000000000015</v>
      </c>
      <c r="AC446" s="369">
        <f t="shared" si="648"/>
        <v>1265.3499999999999</v>
      </c>
      <c r="AD446" s="369">
        <f t="shared" ref="AD446:AE446" si="732">+AD445</f>
        <v>134.16999999999999</v>
      </c>
      <c r="AE446" s="369">
        <f t="shared" si="732"/>
        <v>188.55</v>
      </c>
      <c r="AF446" s="369">
        <f t="shared" ref="AF446:AF509" si="733">SUM(AB446:AE446)</f>
        <v>2069.1600000000003</v>
      </c>
      <c r="AG446" s="369">
        <f t="shared" ref="AG446:AG509" si="734">+AB446+AG445</f>
        <v>98488.10000000002</v>
      </c>
      <c r="AH446" s="369">
        <f t="shared" ref="AH446:AH509" si="735">+AH445+AC446</f>
        <v>570084.42000000062</v>
      </c>
      <c r="AI446" s="546">
        <f t="shared" si="723"/>
        <v>-84593.650000000038</v>
      </c>
      <c r="AJ446" s="546">
        <f t="shared" si="674"/>
        <v>-216436.00000000023</v>
      </c>
      <c r="AK446" s="545">
        <f t="shared" si="724"/>
        <v>-301029.65000000026</v>
      </c>
      <c r="AL446" s="369">
        <f t="shared" ref="AL446:AL509" si="736">+Y446-AB446</f>
        <v>216436.00000000023</v>
      </c>
      <c r="AM446" s="450">
        <f t="shared" si="655"/>
        <v>32</v>
      </c>
      <c r="AN446" s="21">
        <f t="shared" si="725"/>
        <v>0</v>
      </c>
      <c r="AO446" s="21">
        <f t="shared" si="694"/>
        <v>0</v>
      </c>
      <c r="AP446" s="21">
        <f t="shared" si="726"/>
        <v>0</v>
      </c>
      <c r="AQ446" s="21"/>
      <c r="AR446" s="23"/>
      <c r="AS446" s="21">
        <f t="shared" si="650"/>
        <v>0</v>
      </c>
      <c r="AT446" s="21">
        <f t="shared" si="656"/>
        <v>0</v>
      </c>
      <c r="AU446" s="369">
        <f t="shared" si="657"/>
        <v>0</v>
      </c>
      <c r="AV446" s="369">
        <f t="shared" si="658"/>
        <v>0</v>
      </c>
    </row>
    <row r="447" spans="1:48" x14ac:dyDescent="0.25">
      <c r="A447" s="535" t="str">
        <f t="shared" si="712"/>
        <v xml:space="preserve"> </v>
      </c>
      <c r="B447" s="300">
        <f t="shared" si="706"/>
        <v>0</v>
      </c>
      <c r="C447" s="14">
        <f t="shared" si="644"/>
        <v>0</v>
      </c>
      <c r="D447" s="14">
        <f t="shared" si="659"/>
        <v>0</v>
      </c>
      <c r="E447" s="14">
        <f t="shared" si="645"/>
        <v>0</v>
      </c>
      <c r="F447" s="14">
        <f t="shared" si="713"/>
        <v>134.16999999999999</v>
      </c>
      <c r="G447" s="14">
        <f t="shared" si="709"/>
        <v>188.55</v>
      </c>
      <c r="H447" s="14">
        <f t="shared" si="710"/>
        <v>322.72000000000003</v>
      </c>
      <c r="I447" s="300">
        <f t="shared" si="714"/>
        <v>83483.170000000042</v>
      </c>
      <c r="J447" s="300">
        <f t="shared" si="715"/>
        <v>68536.320000000022</v>
      </c>
      <c r="K447" s="300">
        <f t="shared" si="716"/>
        <v>0</v>
      </c>
      <c r="L447" s="449">
        <f t="shared" si="696"/>
        <v>32</v>
      </c>
      <c r="M447" s="449">
        <f t="shared" si="651"/>
        <v>388</v>
      </c>
      <c r="N447" s="300">
        <f t="shared" si="681"/>
        <v>0</v>
      </c>
      <c r="O447" s="300">
        <f t="shared" si="728"/>
        <v>0</v>
      </c>
      <c r="P447" s="300">
        <f t="shared" si="660"/>
        <v>0</v>
      </c>
      <c r="Q447" s="300">
        <f t="shared" si="729"/>
        <v>0</v>
      </c>
      <c r="R447" s="300">
        <f t="shared" si="720"/>
        <v>134.16999999999999</v>
      </c>
      <c r="S447" s="300">
        <f t="shared" si="721"/>
        <v>188.55</v>
      </c>
      <c r="T447" s="300">
        <f t="shared" si="717"/>
        <v>322.72000000000003</v>
      </c>
      <c r="U447" s="300">
        <f t="shared" si="661"/>
        <v>244762.19000000029</v>
      </c>
      <c r="V447" s="300">
        <f t="shared" si="662"/>
        <v>339216.68000000005</v>
      </c>
      <c r="W447" s="300">
        <f t="shared" si="718"/>
        <v>0</v>
      </c>
      <c r="X447" s="535" t="str">
        <f t="shared" si="653"/>
        <v xml:space="preserve"> </v>
      </c>
      <c r="Y447" s="300">
        <f t="shared" si="730"/>
        <v>216436.00000000023</v>
      </c>
      <c r="Z447" s="527">
        <f t="shared" si="646"/>
        <v>7.0000000000000007E-2</v>
      </c>
      <c r="AA447" s="300">
        <f t="shared" si="647"/>
        <v>1746.44</v>
      </c>
      <c r="AB447" s="300">
        <f t="shared" si="731"/>
        <v>483.90000000000009</v>
      </c>
      <c r="AC447" s="300">
        <f t="shared" si="648"/>
        <v>1262.54</v>
      </c>
      <c r="AD447" s="300">
        <f t="shared" ref="AD447:AE447" si="737">+AD446</f>
        <v>134.16999999999999</v>
      </c>
      <c r="AE447" s="300">
        <f t="shared" si="737"/>
        <v>188.55</v>
      </c>
      <c r="AF447" s="300">
        <f t="shared" si="733"/>
        <v>2069.1600000000003</v>
      </c>
      <c r="AG447" s="300">
        <f t="shared" si="734"/>
        <v>98972.000000000015</v>
      </c>
      <c r="AH447" s="300">
        <f t="shared" si="735"/>
        <v>571346.96000000066</v>
      </c>
      <c r="AI447" s="545">
        <f t="shared" si="723"/>
        <v>-86340.09000000004</v>
      </c>
      <c r="AJ447" s="545">
        <f t="shared" si="674"/>
        <v>-215952.10000000024</v>
      </c>
      <c r="AK447" s="545">
        <f t="shared" si="724"/>
        <v>-302292.19000000029</v>
      </c>
      <c r="AL447" s="300">
        <f t="shared" si="736"/>
        <v>215952.10000000024</v>
      </c>
      <c r="AM447" s="449">
        <f t="shared" si="655"/>
        <v>32</v>
      </c>
      <c r="AN447" s="14">
        <f t="shared" si="725"/>
        <v>0</v>
      </c>
      <c r="AO447" s="14">
        <f t="shared" si="694"/>
        <v>0</v>
      </c>
      <c r="AP447" s="14">
        <f t="shared" si="726"/>
        <v>0</v>
      </c>
      <c r="AS447" s="14">
        <f t="shared" si="650"/>
        <v>0</v>
      </c>
      <c r="AT447" s="14">
        <f t="shared" si="656"/>
        <v>0</v>
      </c>
      <c r="AU447" s="300">
        <f t="shared" si="657"/>
        <v>0</v>
      </c>
      <c r="AV447" s="300">
        <f t="shared" si="658"/>
        <v>0</v>
      </c>
    </row>
    <row r="448" spans="1:48" x14ac:dyDescent="0.25">
      <c r="A448" s="535" t="str">
        <f t="shared" si="712"/>
        <v xml:space="preserve"> </v>
      </c>
      <c r="B448" s="300">
        <f t="shared" si="706"/>
        <v>0</v>
      </c>
      <c r="C448" s="14">
        <f t="shared" si="644"/>
        <v>0</v>
      </c>
      <c r="D448" s="14">
        <f t="shared" si="659"/>
        <v>0</v>
      </c>
      <c r="E448" s="14">
        <f t="shared" si="645"/>
        <v>0</v>
      </c>
      <c r="F448" s="14">
        <f t="shared" si="713"/>
        <v>134.16999999999999</v>
      </c>
      <c r="G448" s="14">
        <f t="shared" si="709"/>
        <v>188.55</v>
      </c>
      <c r="H448" s="14">
        <f t="shared" si="710"/>
        <v>322.72000000000003</v>
      </c>
      <c r="I448" s="300">
        <f t="shared" si="714"/>
        <v>83483.170000000042</v>
      </c>
      <c r="J448" s="300">
        <f t="shared" si="715"/>
        <v>68536.320000000022</v>
      </c>
      <c r="K448" s="300">
        <f t="shared" si="716"/>
        <v>0</v>
      </c>
      <c r="L448" s="449">
        <f t="shared" si="696"/>
        <v>32</v>
      </c>
      <c r="M448" s="449">
        <f t="shared" si="651"/>
        <v>389</v>
      </c>
      <c r="N448" s="300">
        <f t="shared" si="681"/>
        <v>0</v>
      </c>
      <c r="O448" s="300">
        <f t="shared" si="728"/>
        <v>0</v>
      </c>
      <c r="P448" s="300">
        <f t="shared" si="660"/>
        <v>0</v>
      </c>
      <c r="Q448" s="300">
        <f t="shared" si="729"/>
        <v>0</v>
      </c>
      <c r="R448" s="300">
        <f t="shared" si="720"/>
        <v>134.16999999999999</v>
      </c>
      <c r="S448" s="300">
        <f t="shared" si="721"/>
        <v>188.55</v>
      </c>
      <c r="T448" s="300">
        <f t="shared" si="717"/>
        <v>322.72000000000003</v>
      </c>
      <c r="U448" s="300">
        <f t="shared" si="661"/>
        <v>244762.19000000029</v>
      </c>
      <c r="V448" s="300">
        <f t="shared" si="662"/>
        <v>339216.68000000005</v>
      </c>
      <c r="W448" s="300">
        <f t="shared" si="718"/>
        <v>0</v>
      </c>
      <c r="X448" s="535" t="str">
        <f t="shared" si="653"/>
        <v xml:space="preserve"> </v>
      </c>
      <c r="Y448" s="300">
        <f t="shared" si="730"/>
        <v>215952.10000000024</v>
      </c>
      <c r="Z448" s="527">
        <f t="shared" si="646"/>
        <v>7.0000000000000007E-2</v>
      </c>
      <c r="AA448" s="300">
        <f t="shared" si="647"/>
        <v>1746.44</v>
      </c>
      <c r="AB448" s="300">
        <f t="shared" si="731"/>
        <v>486.72</v>
      </c>
      <c r="AC448" s="300">
        <f t="shared" si="648"/>
        <v>1259.72</v>
      </c>
      <c r="AD448" s="300">
        <f t="shared" ref="AD448:AE448" si="738">+AD447</f>
        <v>134.16999999999999</v>
      </c>
      <c r="AE448" s="300">
        <f t="shared" si="738"/>
        <v>188.55</v>
      </c>
      <c r="AF448" s="300">
        <f t="shared" si="733"/>
        <v>2069.1600000000003</v>
      </c>
      <c r="AG448" s="300">
        <f t="shared" si="734"/>
        <v>99458.720000000016</v>
      </c>
      <c r="AH448" s="300">
        <f t="shared" si="735"/>
        <v>572606.68000000063</v>
      </c>
      <c r="AI448" s="545">
        <f t="shared" si="723"/>
        <v>-88086.530000000042</v>
      </c>
      <c r="AJ448" s="545">
        <f t="shared" si="674"/>
        <v>-215465.38000000024</v>
      </c>
      <c r="AK448" s="545">
        <f t="shared" si="724"/>
        <v>-303551.91000000027</v>
      </c>
      <c r="AL448" s="300">
        <f t="shared" si="736"/>
        <v>215465.38000000024</v>
      </c>
      <c r="AM448" s="449">
        <f t="shared" si="655"/>
        <v>32</v>
      </c>
      <c r="AN448" s="14">
        <f t="shared" si="725"/>
        <v>0</v>
      </c>
      <c r="AO448" s="14">
        <f t="shared" si="694"/>
        <v>0</v>
      </c>
      <c r="AP448" s="14">
        <f t="shared" si="726"/>
        <v>0</v>
      </c>
      <c r="AS448" s="14">
        <f t="shared" si="650"/>
        <v>0</v>
      </c>
      <c r="AT448" s="14">
        <f t="shared" si="656"/>
        <v>0</v>
      </c>
      <c r="AU448" s="300">
        <f t="shared" si="657"/>
        <v>0</v>
      </c>
      <c r="AV448" s="300">
        <f t="shared" si="658"/>
        <v>0</v>
      </c>
    </row>
    <row r="449" spans="1:48" x14ac:dyDescent="0.25">
      <c r="A449" s="535" t="str">
        <f t="shared" si="712"/>
        <v xml:space="preserve"> </v>
      </c>
      <c r="B449" s="300">
        <f t="shared" si="706"/>
        <v>0</v>
      </c>
      <c r="C449" s="14">
        <f t="shared" si="644"/>
        <v>0</v>
      </c>
      <c r="D449" s="14">
        <f t="shared" si="659"/>
        <v>0</v>
      </c>
      <c r="E449" s="14">
        <f t="shared" si="645"/>
        <v>0</v>
      </c>
      <c r="F449" s="14">
        <f t="shared" si="713"/>
        <v>134.16999999999999</v>
      </c>
      <c r="G449" s="14">
        <f t="shared" si="709"/>
        <v>188.55</v>
      </c>
      <c r="H449" s="14">
        <f t="shared" si="710"/>
        <v>322.72000000000003</v>
      </c>
      <c r="I449" s="300">
        <f t="shared" si="714"/>
        <v>83483.170000000042</v>
      </c>
      <c r="J449" s="300">
        <f t="shared" si="715"/>
        <v>68536.320000000022</v>
      </c>
      <c r="K449" s="300">
        <f t="shared" si="716"/>
        <v>0</v>
      </c>
      <c r="L449" s="449">
        <f t="shared" si="696"/>
        <v>32</v>
      </c>
      <c r="M449" s="449">
        <f t="shared" si="651"/>
        <v>390</v>
      </c>
      <c r="N449" s="300">
        <f t="shared" si="681"/>
        <v>0</v>
      </c>
      <c r="O449" s="300">
        <f t="shared" si="728"/>
        <v>0</v>
      </c>
      <c r="P449" s="300">
        <f t="shared" si="660"/>
        <v>0</v>
      </c>
      <c r="Q449" s="300">
        <f t="shared" si="729"/>
        <v>0</v>
      </c>
      <c r="R449" s="300">
        <f t="shared" si="720"/>
        <v>134.16999999999999</v>
      </c>
      <c r="S449" s="300">
        <f t="shared" si="721"/>
        <v>188.55</v>
      </c>
      <c r="T449" s="300">
        <f t="shared" si="717"/>
        <v>322.72000000000003</v>
      </c>
      <c r="U449" s="300">
        <f t="shared" si="661"/>
        <v>244762.19000000029</v>
      </c>
      <c r="V449" s="300">
        <f t="shared" si="662"/>
        <v>339216.68000000005</v>
      </c>
      <c r="W449" s="300">
        <f t="shared" si="718"/>
        <v>0</v>
      </c>
      <c r="X449" s="535" t="str">
        <f t="shared" si="653"/>
        <v xml:space="preserve"> </v>
      </c>
      <c r="Y449" s="300">
        <f t="shared" si="730"/>
        <v>215465.38000000024</v>
      </c>
      <c r="Z449" s="527">
        <f t="shared" si="646"/>
        <v>7.0000000000000007E-2</v>
      </c>
      <c r="AA449" s="300">
        <f t="shared" si="647"/>
        <v>1746.44</v>
      </c>
      <c r="AB449" s="300">
        <f t="shared" si="731"/>
        <v>489.55999999999995</v>
      </c>
      <c r="AC449" s="300">
        <f t="shared" si="648"/>
        <v>1256.8800000000001</v>
      </c>
      <c r="AD449" s="300">
        <f t="shared" ref="AD449:AE449" si="739">+AD448</f>
        <v>134.16999999999999</v>
      </c>
      <c r="AE449" s="300">
        <f t="shared" si="739"/>
        <v>188.55</v>
      </c>
      <c r="AF449" s="300">
        <f t="shared" si="733"/>
        <v>2069.1600000000003</v>
      </c>
      <c r="AG449" s="300">
        <f t="shared" si="734"/>
        <v>99948.280000000013</v>
      </c>
      <c r="AH449" s="300">
        <f t="shared" si="735"/>
        <v>573863.56000000064</v>
      </c>
      <c r="AI449" s="545">
        <f t="shared" si="723"/>
        <v>-89832.970000000045</v>
      </c>
      <c r="AJ449" s="545">
        <f t="shared" si="674"/>
        <v>-214975.82000000024</v>
      </c>
      <c r="AK449" s="545">
        <f t="shared" si="724"/>
        <v>-304808.79000000027</v>
      </c>
      <c r="AL449" s="300">
        <f t="shared" si="736"/>
        <v>214975.82000000024</v>
      </c>
      <c r="AM449" s="449">
        <f t="shared" si="655"/>
        <v>32</v>
      </c>
      <c r="AN449" s="14">
        <f t="shared" si="725"/>
        <v>0</v>
      </c>
      <c r="AO449" s="14">
        <f t="shared" si="694"/>
        <v>0</v>
      </c>
      <c r="AP449" s="14">
        <f t="shared" si="726"/>
        <v>0</v>
      </c>
      <c r="AS449" s="14">
        <f t="shared" si="650"/>
        <v>0</v>
      </c>
      <c r="AT449" s="14">
        <f t="shared" si="656"/>
        <v>0</v>
      </c>
      <c r="AU449" s="300">
        <f t="shared" si="657"/>
        <v>0</v>
      </c>
      <c r="AV449" s="300">
        <f t="shared" si="658"/>
        <v>0</v>
      </c>
    </row>
    <row r="450" spans="1:48" x14ac:dyDescent="0.25">
      <c r="A450" s="535" t="str">
        <f t="shared" si="712"/>
        <v xml:space="preserve"> </v>
      </c>
      <c r="B450" s="300">
        <f t="shared" si="706"/>
        <v>0</v>
      </c>
      <c r="C450" s="14">
        <f t="shared" si="644"/>
        <v>0</v>
      </c>
      <c r="D450" s="14">
        <f t="shared" si="659"/>
        <v>0</v>
      </c>
      <c r="E450" s="14">
        <f t="shared" si="645"/>
        <v>0</v>
      </c>
      <c r="F450" s="14">
        <f t="shared" si="713"/>
        <v>134.16999999999999</v>
      </c>
      <c r="G450" s="14">
        <f t="shared" si="709"/>
        <v>188.55</v>
      </c>
      <c r="H450" s="14">
        <f t="shared" si="710"/>
        <v>322.72000000000003</v>
      </c>
      <c r="I450" s="300">
        <f t="shared" si="714"/>
        <v>83483.170000000042</v>
      </c>
      <c r="J450" s="300">
        <f t="shared" si="715"/>
        <v>68536.320000000022</v>
      </c>
      <c r="K450" s="300">
        <f t="shared" si="716"/>
        <v>0</v>
      </c>
      <c r="L450" s="449">
        <f t="shared" si="696"/>
        <v>32</v>
      </c>
      <c r="M450" s="449">
        <f t="shared" si="651"/>
        <v>391</v>
      </c>
      <c r="N450" s="300">
        <f t="shared" si="681"/>
        <v>0</v>
      </c>
      <c r="O450" s="300">
        <f t="shared" si="728"/>
        <v>0</v>
      </c>
      <c r="P450" s="300">
        <f t="shared" si="660"/>
        <v>0</v>
      </c>
      <c r="Q450" s="300">
        <f t="shared" si="729"/>
        <v>0</v>
      </c>
      <c r="R450" s="300">
        <f t="shared" si="720"/>
        <v>134.16999999999999</v>
      </c>
      <c r="S450" s="300">
        <f t="shared" si="721"/>
        <v>188.55</v>
      </c>
      <c r="T450" s="300">
        <f t="shared" si="717"/>
        <v>322.72000000000003</v>
      </c>
      <c r="U450" s="300">
        <f t="shared" si="661"/>
        <v>244762.19000000029</v>
      </c>
      <c r="V450" s="300">
        <f t="shared" si="662"/>
        <v>339216.68000000005</v>
      </c>
      <c r="W450" s="300">
        <f t="shared" si="718"/>
        <v>0</v>
      </c>
      <c r="X450" s="535" t="str">
        <f t="shared" si="653"/>
        <v xml:space="preserve"> </v>
      </c>
      <c r="Y450" s="300">
        <f t="shared" si="730"/>
        <v>214975.82000000024</v>
      </c>
      <c r="Z450" s="527">
        <f t="shared" si="646"/>
        <v>7.0000000000000007E-2</v>
      </c>
      <c r="AA450" s="300">
        <f t="shared" si="647"/>
        <v>1746.44</v>
      </c>
      <c r="AB450" s="300">
        <f t="shared" si="731"/>
        <v>492.41000000000008</v>
      </c>
      <c r="AC450" s="300">
        <f t="shared" si="648"/>
        <v>1254.03</v>
      </c>
      <c r="AD450" s="300">
        <f t="shared" ref="AD450:AE450" si="740">+AD449</f>
        <v>134.16999999999999</v>
      </c>
      <c r="AE450" s="300">
        <f t="shared" si="740"/>
        <v>188.55</v>
      </c>
      <c r="AF450" s="300">
        <f t="shared" si="733"/>
        <v>2069.1600000000003</v>
      </c>
      <c r="AG450" s="300">
        <f t="shared" si="734"/>
        <v>100440.69000000002</v>
      </c>
      <c r="AH450" s="300">
        <f t="shared" si="735"/>
        <v>575117.59000000067</v>
      </c>
      <c r="AI450" s="545">
        <f t="shared" si="723"/>
        <v>-91579.410000000047</v>
      </c>
      <c r="AJ450" s="545">
        <f t="shared" si="674"/>
        <v>-214483.41000000024</v>
      </c>
      <c r="AK450" s="545">
        <f t="shared" si="724"/>
        <v>-306062.8200000003</v>
      </c>
      <c r="AL450" s="300">
        <f t="shared" si="736"/>
        <v>214483.41000000024</v>
      </c>
      <c r="AM450" s="449">
        <f t="shared" si="655"/>
        <v>32</v>
      </c>
      <c r="AN450" s="14">
        <f t="shared" si="725"/>
        <v>0</v>
      </c>
      <c r="AO450" s="14">
        <f t="shared" si="694"/>
        <v>0</v>
      </c>
      <c r="AP450" s="14">
        <f t="shared" si="726"/>
        <v>0</v>
      </c>
      <c r="AS450" s="14">
        <f t="shared" si="650"/>
        <v>0</v>
      </c>
      <c r="AT450" s="14">
        <f t="shared" si="656"/>
        <v>0</v>
      </c>
      <c r="AU450" s="300">
        <f t="shared" si="657"/>
        <v>0</v>
      </c>
      <c r="AV450" s="300">
        <f t="shared" si="658"/>
        <v>0</v>
      </c>
    </row>
    <row r="451" spans="1:48" x14ac:dyDescent="0.25">
      <c r="A451" s="535" t="str">
        <f t="shared" si="712"/>
        <v xml:space="preserve"> </v>
      </c>
      <c r="B451" s="300">
        <f t="shared" si="706"/>
        <v>0</v>
      </c>
      <c r="C451" s="14">
        <f t="shared" si="644"/>
        <v>0</v>
      </c>
      <c r="D451" s="14">
        <f t="shared" si="659"/>
        <v>0</v>
      </c>
      <c r="E451" s="14">
        <f t="shared" si="645"/>
        <v>0</v>
      </c>
      <c r="F451" s="14">
        <f t="shared" si="713"/>
        <v>134.16999999999999</v>
      </c>
      <c r="G451" s="14">
        <f t="shared" si="709"/>
        <v>188.55</v>
      </c>
      <c r="H451" s="14">
        <f t="shared" si="710"/>
        <v>322.72000000000003</v>
      </c>
      <c r="I451" s="300">
        <f t="shared" si="714"/>
        <v>83483.170000000042</v>
      </c>
      <c r="J451" s="300">
        <f t="shared" si="715"/>
        <v>68536.320000000022</v>
      </c>
      <c r="K451" s="300">
        <f t="shared" si="716"/>
        <v>0</v>
      </c>
      <c r="L451" s="449">
        <f t="shared" si="696"/>
        <v>32</v>
      </c>
      <c r="M451" s="449">
        <f t="shared" si="651"/>
        <v>392</v>
      </c>
      <c r="N451" s="300">
        <f t="shared" si="681"/>
        <v>0</v>
      </c>
      <c r="O451" s="300">
        <f t="shared" si="728"/>
        <v>0</v>
      </c>
      <c r="P451" s="300">
        <f t="shared" si="660"/>
        <v>0</v>
      </c>
      <c r="Q451" s="300">
        <f t="shared" si="729"/>
        <v>0</v>
      </c>
      <c r="R451" s="300">
        <f t="shared" si="720"/>
        <v>134.16999999999999</v>
      </c>
      <c r="S451" s="300">
        <f t="shared" si="721"/>
        <v>188.55</v>
      </c>
      <c r="T451" s="300">
        <f t="shared" si="717"/>
        <v>322.72000000000003</v>
      </c>
      <c r="U451" s="300">
        <f t="shared" si="661"/>
        <v>244762.19000000029</v>
      </c>
      <c r="V451" s="300">
        <f t="shared" si="662"/>
        <v>339216.68000000005</v>
      </c>
      <c r="W451" s="300">
        <f t="shared" si="718"/>
        <v>0</v>
      </c>
      <c r="X451" s="535" t="str">
        <f t="shared" si="653"/>
        <v xml:space="preserve"> </v>
      </c>
      <c r="Y451" s="300">
        <f t="shared" si="730"/>
        <v>214483.41000000024</v>
      </c>
      <c r="Z451" s="527">
        <f t="shared" si="646"/>
        <v>7.0000000000000007E-2</v>
      </c>
      <c r="AA451" s="300">
        <f t="shared" si="647"/>
        <v>1746.44</v>
      </c>
      <c r="AB451" s="300">
        <f t="shared" si="731"/>
        <v>495.28999999999996</v>
      </c>
      <c r="AC451" s="300">
        <f t="shared" si="648"/>
        <v>1251.1500000000001</v>
      </c>
      <c r="AD451" s="300">
        <f t="shared" ref="AD451:AE451" si="741">+AD450</f>
        <v>134.16999999999999</v>
      </c>
      <c r="AE451" s="300">
        <f t="shared" si="741"/>
        <v>188.55</v>
      </c>
      <c r="AF451" s="300">
        <f t="shared" si="733"/>
        <v>2069.1600000000003</v>
      </c>
      <c r="AG451" s="300">
        <f t="shared" si="734"/>
        <v>100935.98000000001</v>
      </c>
      <c r="AH451" s="300">
        <f t="shared" si="735"/>
        <v>576368.74000000069</v>
      </c>
      <c r="AI451" s="545">
        <f t="shared" si="723"/>
        <v>-93325.850000000049</v>
      </c>
      <c r="AJ451" s="545">
        <f t="shared" si="674"/>
        <v>-213988.12000000023</v>
      </c>
      <c r="AK451" s="545">
        <f t="shared" si="724"/>
        <v>-307313.97000000026</v>
      </c>
      <c r="AL451" s="300">
        <f t="shared" si="736"/>
        <v>213988.12000000023</v>
      </c>
      <c r="AM451" s="449">
        <f t="shared" si="655"/>
        <v>32</v>
      </c>
      <c r="AN451" s="14">
        <f t="shared" si="725"/>
        <v>0</v>
      </c>
      <c r="AO451" s="14">
        <f t="shared" si="694"/>
        <v>0</v>
      </c>
      <c r="AP451" s="14">
        <f t="shared" si="726"/>
        <v>0</v>
      </c>
      <c r="AS451" s="14">
        <f t="shared" si="650"/>
        <v>0</v>
      </c>
      <c r="AT451" s="14">
        <f t="shared" si="656"/>
        <v>0</v>
      </c>
      <c r="AU451" s="300">
        <f t="shared" si="657"/>
        <v>0</v>
      </c>
      <c r="AV451" s="300">
        <f t="shared" si="658"/>
        <v>0</v>
      </c>
    </row>
    <row r="452" spans="1:48" x14ac:dyDescent="0.25">
      <c r="A452" s="535" t="str">
        <f t="shared" si="712"/>
        <v xml:space="preserve"> </v>
      </c>
      <c r="B452" s="300">
        <f t="shared" si="706"/>
        <v>0</v>
      </c>
      <c r="C452" s="14">
        <f t="shared" si="644"/>
        <v>0</v>
      </c>
      <c r="D452" s="14">
        <f t="shared" si="659"/>
        <v>0</v>
      </c>
      <c r="E452" s="14">
        <f t="shared" si="645"/>
        <v>0</v>
      </c>
      <c r="F452" s="14">
        <f t="shared" si="713"/>
        <v>134.16999999999999</v>
      </c>
      <c r="G452" s="14">
        <f t="shared" si="709"/>
        <v>188.55</v>
      </c>
      <c r="H452" s="14">
        <f t="shared" si="710"/>
        <v>322.72000000000003</v>
      </c>
      <c r="I452" s="300">
        <f t="shared" si="714"/>
        <v>83483.170000000042</v>
      </c>
      <c r="J452" s="300">
        <f t="shared" si="715"/>
        <v>68536.320000000022</v>
      </c>
      <c r="K452" s="300">
        <f t="shared" si="716"/>
        <v>0</v>
      </c>
      <c r="L452" s="449">
        <f t="shared" si="696"/>
        <v>32</v>
      </c>
      <c r="M452" s="449">
        <f t="shared" si="651"/>
        <v>393</v>
      </c>
      <c r="N452" s="300">
        <f t="shared" si="681"/>
        <v>0</v>
      </c>
      <c r="O452" s="300">
        <f t="shared" si="728"/>
        <v>0</v>
      </c>
      <c r="P452" s="300">
        <f t="shared" si="660"/>
        <v>0</v>
      </c>
      <c r="Q452" s="300">
        <f t="shared" si="729"/>
        <v>0</v>
      </c>
      <c r="R452" s="300">
        <f t="shared" si="720"/>
        <v>134.16999999999999</v>
      </c>
      <c r="S452" s="300">
        <f t="shared" si="721"/>
        <v>188.55</v>
      </c>
      <c r="T452" s="300">
        <f t="shared" si="717"/>
        <v>322.72000000000003</v>
      </c>
      <c r="U452" s="300">
        <f t="shared" si="661"/>
        <v>244762.19000000029</v>
      </c>
      <c r="V452" s="300">
        <f t="shared" si="662"/>
        <v>339216.68000000005</v>
      </c>
      <c r="W452" s="300">
        <f t="shared" si="718"/>
        <v>0</v>
      </c>
      <c r="X452" s="535" t="str">
        <f t="shared" si="653"/>
        <v xml:space="preserve"> </v>
      </c>
      <c r="Y452" s="300">
        <f t="shared" si="730"/>
        <v>213988.12000000023</v>
      </c>
      <c r="Z452" s="527">
        <f t="shared" si="646"/>
        <v>7.0000000000000007E-2</v>
      </c>
      <c r="AA452" s="300">
        <f t="shared" si="647"/>
        <v>1746.44</v>
      </c>
      <c r="AB452" s="300">
        <f t="shared" si="731"/>
        <v>498.18000000000006</v>
      </c>
      <c r="AC452" s="300">
        <f t="shared" si="648"/>
        <v>1248.26</v>
      </c>
      <c r="AD452" s="300">
        <f t="shared" ref="AD452:AE452" si="742">+AD451</f>
        <v>134.16999999999999</v>
      </c>
      <c r="AE452" s="300">
        <f t="shared" si="742"/>
        <v>188.55</v>
      </c>
      <c r="AF452" s="300">
        <f t="shared" si="733"/>
        <v>2069.1600000000003</v>
      </c>
      <c r="AG452" s="300">
        <f t="shared" si="734"/>
        <v>101434.16</v>
      </c>
      <c r="AH452" s="300">
        <f t="shared" si="735"/>
        <v>577617.0000000007</v>
      </c>
      <c r="AI452" s="545">
        <f t="shared" si="723"/>
        <v>-95072.290000000052</v>
      </c>
      <c r="AJ452" s="545">
        <f t="shared" si="674"/>
        <v>-213489.94000000024</v>
      </c>
      <c r="AK452" s="545">
        <f t="shared" si="724"/>
        <v>-308562.23000000027</v>
      </c>
      <c r="AL452" s="300">
        <f t="shared" si="736"/>
        <v>213489.94000000024</v>
      </c>
      <c r="AM452" s="449">
        <f t="shared" si="655"/>
        <v>32</v>
      </c>
      <c r="AN452" s="14">
        <f t="shared" si="725"/>
        <v>0</v>
      </c>
      <c r="AO452" s="14">
        <f t="shared" si="694"/>
        <v>0</v>
      </c>
      <c r="AP452" s="14">
        <f t="shared" si="726"/>
        <v>0</v>
      </c>
      <c r="AS452" s="14">
        <f t="shared" si="650"/>
        <v>0</v>
      </c>
      <c r="AT452" s="14">
        <f t="shared" si="656"/>
        <v>0</v>
      </c>
      <c r="AU452" s="300">
        <f t="shared" si="657"/>
        <v>0</v>
      </c>
      <c r="AV452" s="300">
        <f t="shared" si="658"/>
        <v>0</v>
      </c>
    </row>
    <row r="453" spans="1:48" x14ac:dyDescent="0.25">
      <c r="A453" s="535" t="str">
        <f t="shared" si="712"/>
        <v xml:space="preserve"> </v>
      </c>
      <c r="B453" s="300">
        <f t="shared" si="706"/>
        <v>0</v>
      </c>
      <c r="C453" s="14">
        <f t="shared" si="644"/>
        <v>0</v>
      </c>
      <c r="D453" s="14">
        <f t="shared" si="659"/>
        <v>0</v>
      </c>
      <c r="E453" s="14">
        <f t="shared" si="645"/>
        <v>0</v>
      </c>
      <c r="F453" s="14">
        <f t="shared" si="713"/>
        <v>134.16999999999999</v>
      </c>
      <c r="G453" s="14">
        <f t="shared" si="709"/>
        <v>188.55</v>
      </c>
      <c r="H453" s="14">
        <f t="shared" si="710"/>
        <v>322.72000000000003</v>
      </c>
      <c r="I453" s="300">
        <f t="shared" si="714"/>
        <v>83483.170000000042</v>
      </c>
      <c r="J453" s="300">
        <f t="shared" si="715"/>
        <v>68536.320000000022</v>
      </c>
      <c r="K453" s="300">
        <f t="shared" si="716"/>
        <v>0</v>
      </c>
      <c r="L453" s="449">
        <f t="shared" si="696"/>
        <v>32</v>
      </c>
      <c r="M453" s="449">
        <f t="shared" si="651"/>
        <v>394</v>
      </c>
      <c r="N453" s="300">
        <f t="shared" si="681"/>
        <v>0</v>
      </c>
      <c r="O453" s="300">
        <f t="shared" si="728"/>
        <v>0</v>
      </c>
      <c r="P453" s="300">
        <f t="shared" si="660"/>
        <v>0</v>
      </c>
      <c r="Q453" s="300">
        <f t="shared" si="729"/>
        <v>0</v>
      </c>
      <c r="R453" s="300">
        <f t="shared" si="720"/>
        <v>134.16999999999999</v>
      </c>
      <c r="S453" s="300">
        <f t="shared" si="721"/>
        <v>188.55</v>
      </c>
      <c r="T453" s="300">
        <f t="shared" si="717"/>
        <v>322.72000000000003</v>
      </c>
      <c r="U453" s="300">
        <f t="shared" si="661"/>
        <v>244762.19000000029</v>
      </c>
      <c r="V453" s="300">
        <f t="shared" si="662"/>
        <v>339216.68000000005</v>
      </c>
      <c r="W453" s="300">
        <f t="shared" si="718"/>
        <v>0</v>
      </c>
      <c r="X453" s="535" t="str">
        <f t="shared" si="653"/>
        <v xml:space="preserve"> </v>
      </c>
      <c r="Y453" s="300">
        <f t="shared" si="730"/>
        <v>213489.94000000024</v>
      </c>
      <c r="Z453" s="527">
        <f t="shared" si="646"/>
        <v>7.0000000000000007E-2</v>
      </c>
      <c r="AA453" s="300">
        <f t="shared" si="647"/>
        <v>1746.44</v>
      </c>
      <c r="AB453" s="300">
        <f t="shared" si="731"/>
        <v>501.08000000000015</v>
      </c>
      <c r="AC453" s="300">
        <f t="shared" si="648"/>
        <v>1245.3599999999999</v>
      </c>
      <c r="AD453" s="300">
        <f t="shared" ref="AD453:AE453" si="743">+AD452</f>
        <v>134.16999999999999</v>
      </c>
      <c r="AE453" s="300">
        <f t="shared" si="743"/>
        <v>188.55</v>
      </c>
      <c r="AF453" s="300">
        <f t="shared" si="733"/>
        <v>2069.1600000000003</v>
      </c>
      <c r="AG453" s="300">
        <f t="shared" si="734"/>
        <v>101935.24</v>
      </c>
      <c r="AH453" s="300">
        <f t="shared" si="735"/>
        <v>578862.36000000068</v>
      </c>
      <c r="AI453" s="545">
        <f t="shared" si="723"/>
        <v>-96818.730000000054</v>
      </c>
      <c r="AJ453" s="545">
        <f t="shared" si="674"/>
        <v>-212988.86000000025</v>
      </c>
      <c r="AK453" s="545">
        <f t="shared" si="724"/>
        <v>-309807.59000000032</v>
      </c>
      <c r="AL453" s="300">
        <f t="shared" si="736"/>
        <v>212988.86000000025</v>
      </c>
      <c r="AM453" s="449">
        <f t="shared" si="655"/>
        <v>32</v>
      </c>
      <c r="AN453" s="14">
        <f t="shared" si="725"/>
        <v>0</v>
      </c>
      <c r="AO453" s="14">
        <f t="shared" si="694"/>
        <v>0</v>
      </c>
      <c r="AP453" s="14">
        <f t="shared" si="726"/>
        <v>0</v>
      </c>
      <c r="AS453" s="14">
        <f t="shared" si="650"/>
        <v>0</v>
      </c>
      <c r="AT453" s="14">
        <f t="shared" si="656"/>
        <v>0</v>
      </c>
      <c r="AU453" s="300">
        <f t="shared" si="657"/>
        <v>0</v>
      </c>
      <c r="AV453" s="300">
        <f t="shared" si="658"/>
        <v>0</v>
      </c>
    </row>
    <row r="454" spans="1:48" x14ac:dyDescent="0.25">
      <c r="A454" s="535" t="str">
        <f t="shared" si="712"/>
        <v xml:space="preserve"> </v>
      </c>
      <c r="B454" s="300">
        <f t="shared" si="706"/>
        <v>0</v>
      </c>
      <c r="C454" s="14">
        <f t="shared" si="644"/>
        <v>0</v>
      </c>
      <c r="D454" s="14">
        <f t="shared" si="659"/>
        <v>0</v>
      </c>
      <c r="E454" s="14">
        <f t="shared" si="645"/>
        <v>0</v>
      </c>
      <c r="F454" s="14">
        <f t="shared" si="713"/>
        <v>134.16999999999999</v>
      </c>
      <c r="G454" s="14">
        <f t="shared" si="709"/>
        <v>188.55</v>
      </c>
      <c r="H454" s="14">
        <f t="shared" si="710"/>
        <v>322.72000000000003</v>
      </c>
      <c r="I454" s="300">
        <f t="shared" si="714"/>
        <v>83483.170000000042</v>
      </c>
      <c r="J454" s="300">
        <f t="shared" si="715"/>
        <v>68536.320000000022</v>
      </c>
      <c r="K454" s="300">
        <f t="shared" si="716"/>
        <v>0</v>
      </c>
      <c r="L454" s="449">
        <f t="shared" si="696"/>
        <v>32</v>
      </c>
      <c r="M454" s="449">
        <f t="shared" si="651"/>
        <v>395</v>
      </c>
      <c r="N454" s="300">
        <f t="shared" si="681"/>
        <v>0</v>
      </c>
      <c r="O454" s="300">
        <f t="shared" si="728"/>
        <v>0</v>
      </c>
      <c r="P454" s="300">
        <f t="shared" si="660"/>
        <v>0</v>
      </c>
      <c r="Q454" s="300">
        <f t="shared" si="729"/>
        <v>0</v>
      </c>
      <c r="R454" s="300">
        <f t="shared" si="720"/>
        <v>134.16999999999999</v>
      </c>
      <c r="S454" s="300">
        <f t="shared" si="721"/>
        <v>188.55</v>
      </c>
      <c r="T454" s="300">
        <f t="shared" si="717"/>
        <v>322.72000000000003</v>
      </c>
      <c r="U454" s="300">
        <f t="shared" si="661"/>
        <v>244762.19000000029</v>
      </c>
      <c r="V454" s="300">
        <f t="shared" si="662"/>
        <v>339216.68000000005</v>
      </c>
      <c r="W454" s="300">
        <f t="shared" si="718"/>
        <v>0</v>
      </c>
      <c r="X454" s="535" t="str">
        <f t="shared" si="653"/>
        <v xml:space="preserve"> </v>
      </c>
      <c r="Y454" s="300">
        <f t="shared" si="730"/>
        <v>212988.86000000025</v>
      </c>
      <c r="Z454" s="527">
        <f t="shared" si="646"/>
        <v>7.0000000000000007E-2</v>
      </c>
      <c r="AA454" s="300">
        <f t="shared" si="647"/>
        <v>1746.44</v>
      </c>
      <c r="AB454" s="300">
        <f t="shared" si="731"/>
        <v>504</v>
      </c>
      <c r="AC454" s="300">
        <f t="shared" si="648"/>
        <v>1242.44</v>
      </c>
      <c r="AD454" s="300">
        <f t="shared" ref="AD454:AE454" si="744">+AD453</f>
        <v>134.16999999999999</v>
      </c>
      <c r="AE454" s="300">
        <f t="shared" si="744"/>
        <v>188.55</v>
      </c>
      <c r="AF454" s="300">
        <f t="shared" si="733"/>
        <v>2069.1600000000003</v>
      </c>
      <c r="AG454" s="300">
        <f t="shared" si="734"/>
        <v>102439.24</v>
      </c>
      <c r="AH454" s="300">
        <f t="shared" si="735"/>
        <v>580104.80000000063</v>
      </c>
      <c r="AI454" s="545">
        <f t="shared" si="723"/>
        <v>-98565.170000000056</v>
      </c>
      <c r="AJ454" s="545">
        <f t="shared" si="674"/>
        <v>-212484.86000000025</v>
      </c>
      <c r="AK454" s="545">
        <f t="shared" si="724"/>
        <v>-311050.03000000032</v>
      </c>
      <c r="AL454" s="300">
        <f t="shared" si="736"/>
        <v>212484.86000000025</v>
      </c>
      <c r="AM454" s="449">
        <f t="shared" si="655"/>
        <v>32</v>
      </c>
      <c r="AN454" s="14">
        <f t="shared" si="725"/>
        <v>0</v>
      </c>
      <c r="AO454" s="14">
        <f t="shared" si="694"/>
        <v>0</v>
      </c>
      <c r="AP454" s="14">
        <f t="shared" si="726"/>
        <v>0</v>
      </c>
      <c r="AS454" s="14">
        <f t="shared" si="650"/>
        <v>0</v>
      </c>
      <c r="AT454" s="14">
        <f t="shared" si="656"/>
        <v>0</v>
      </c>
      <c r="AU454" s="300">
        <f t="shared" si="657"/>
        <v>0</v>
      </c>
      <c r="AV454" s="300">
        <f t="shared" si="658"/>
        <v>0</v>
      </c>
    </row>
    <row r="455" spans="1:48" x14ac:dyDescent="0.25">
      <c r="A455" s="535" t="str">
        <f t="shared" si="712"/>
        <v xml:space="preserve"> </v>
      </c>
      <c r="B455" s="300">
        <f t="shared" si="706"/>
        <v>0</v>
      </c>
      <c r="C455" s="14">
        <f t="shared" si="644"/>
        <v>0</v>
      </c>
      <c r="D455" s="14">
        <f t="shared" si="659"/>
        <v>0</v>
      </c>
      <c r="E455" s="14">
        <f t="shared" si="645"/>
        <v>0</v>
      </c>
      <c r="F455" s="14">
        <f t="shared" si="713"/>
        <v>134.16999999999999</v>
      </c>
      <c r="G455" s="14">
        <f t="shared" si="709"/>
        <v>188.55</v>
      </c>
      <c r="H455" s="14">
        <f t="shared" si="710"/>
        <v>322.72000000000003</v>
      </c>
      <c r="I455" s="300">
        <f t="shared" si="714"/>
        <v>83483.170000000042</v>
      </c>
      <c r="J455" s="300">
        <f t="shared" si="715"/>
        <v>68536.320000000022</v>
      </c>
      <c r="K455" s="300">
        <f t="shared" si="716"/>
        <v>0</v>
      </c>
      <c r="L455" s="449">
        <f t="shared" si="696"/>
        <v>33</v>
      </c>
      <c r="M455" s="449">
        <f t="shared" si="651"/>
        <v>396</v>
      </c>
      <c r="N455" s="300">
        <f t="shared" si="681"/>
        <v>0</v>
      </c>
      <c r="O455" s="300">
        <f t="shared" si="728"/>
        <v>0</v>
      </c>
      <c r="P455" s="300">
        <f t="shared" si="660"/>
        <v>0</v>
      </c>
      <c r="Q455" s="300">
        <f t="shared" si="729"/>
        <v>0</v>
      </c>
      <c r="R455" s="300">
        <f t="shared" si="720"/>
        <v>134.16999999999999</v>
      </c>
      <c r="S455" s="300">
        <f t="shared" si="721"/>
        <v>188.55</v>
      </c>
      <c r="T455" s="300">
        <f t="shared" si="717"/>
        <v>322.72000000000003</v>
      </c>
      <c r="U455" s="300">
        <f t="shared" si="661"/>
        <v>244762.19000000029</v>
      </c>
      <c r="V455" s="300">
        <f t="shared" si="662"/>
        <v>339216.68000000005</v>
      </c>
      <c r="W455" s="300">
        <f t="shared" si="718"/>
        <v>0</v>
      </c>
      <c r="X455" s="535" t="str">
        <f t="shared" si="653"/>
        <v xml:space="preserve"> </v>
      </c>
      <c r="Y455" s="300">
        <f t="shared" si="730"/>
        <v>212484.86000000025</v>
      </c>
      <c r="Z455" s="527">
        <f t="shared" si="646"/>
        <v>7.0000000000000007E-2</v>
      </c>
      <c r="AA455" s="300">
        <f t="shared" si="647"/>
        <v>1746.44</v>
      </c>
      <c r="AB455" s="300">
        <f t="shared" si="731"/>
        <v>506.94000000000005</v>
      </c>
      <c r="AC455" s="300">
        <f t="shared" si="648"/>
        <v>1239.5</v>
      </c>
      <c r="AD455" s="300">
        <f t="shared" ref="AD455:AE455" si="745">+AD454</f>
        <v>134.16999999999999</v>
      </c>
      <c r="AE455" s="300">
        <f t="shared" si="745"/>
        <v>188.55</v>
      </c>
      <c r="AF455" s="300">
        <f t="shared" si="733"/>
        <v>2069.1600000000003</v>
      </c>
      <c r="AG455" s="300">
        <f t="shared" si="734"/>
        <v>102946.18000000001</v>
      </c>
      <c r="AH455" s="300">
        <f t="shared" si="735"/>
        <v>581344.30000000063</v>
      </c>
      <c r="AI455" s="545">
        <f t="shared" si="723"/>
        <v>-100311.61000000006</v>
      </c>
      <c r="AJ455" s="545">
        <f t="shared" si="674"/>
        <v>-211977.92000000025</v>
      </c>
      <c r="AK455" s="545">
        <f t="shared" si="724"/>
        <v>-312289.53000000032</v>
      </c>
      <c r="AL455" s="300">
        <f t="shared" si="736"/>
        <v>211977.92000000025</v>
      </c>
      <c r="AM455" s="449">
        <f t="shared" si="655"/>
        <v>33</v>
      </c>
      <c r="AN455" s="14">
        <f t="shared" si="725"/>
        <v>0</v>
      </c>
      <c r="AO455" s="14">
        <f t="shared" si="694"/>
        <v>0</v>
      </c>
      <c r="AP455" s="14">
        <f t="shared" si="726"/>
        <v>0</v>
      </c>
      <c r="AS455" s="14">
        <f t="shared" si="650"/>
        <v>0</v>
      </c>
      <c r="AT455" s="14">
        <f t="shared" si="656"/>
        <v>0</v>
      </c>
      <c r="AU455" s="300">
        <f t="shared" si="657"/>
        <v>0</v>
      </c>
      <c r="AV455" s="300">
        <f t="shared" si="658"/>
        <v>0</v>
      </c>
    </row>
    <row r="456" spans="1:48" x14ac:dyDescent="0.25">
      <c r="A456" s="535" t="str">
        <f t="shared" si="712"/>
        <v xml:space="preserve"> </v>
      </c>
      <c r="B456" s="300">
        <f t="shared" si="706"/>
        <v>0</v>
      </c>
      <c r="C456" s="14">
        <f t="shared" si="644"/>
        <v>0</v>
      </c>
      <c r="D456" s="14">
        <f t="shared" si="659"/>
        <v>0</v>
      </c>
      <c r="E456" s="14">
        <f t="shared" si="645"/>
        <v>0</v>
      </c>
      <c r="F456" s="14">
        <f t="shared" si="713"/>
        <v>134.16999999999999</v>
      </c>
      <c r="G456" s="14">
        <f t="shared" si="709"/>
        <v>188.55</v>
      </c>
      <c r="H456" s="14">
        <f t="shared" si="710"/>
        <v>322.72000000000003</v>
      </c>
      <c r="I456" s="300">
        <f t="shared" si="714"/>
        <v>83483.170000000042</v>
      </c>
      <c r="J456" s="300">
        <f t="shared" si="715"/>
        <v>68536.320000000022</v>
      </c>
      <c r="K456" s="300">
        <f t="shared" si="716"/>
        <v>0</v>
      </c>
      <c r="L456" s="449">
        <f t="shared" si="696"/>
        <v>33</v>
      </c>
      <c r="M456" s="449">
        <f t="shared" si="651"/>
        <v>397</v>
      </c>
      <c r="N456" s="300">
        <f t="shared" si="681"/>
        <v>0</v>
      </c>
      <c r="O456" s="300">
        <f t="shared" si="728"/>
        <v>0</v>
      </c>
      <c r="P456" s="300">
        <f t="shared" si="660"/>
        <v>0</v>
      </c>
      <c r="Q456" s="300">
        <f t="shared" si="729"/>
        <v>0</v>
      </c>
      <c r="R456" s="300">
        <f t="shared" si="720"/>
        <v>134.16999999999999</v>
      </c>
      <c r="S456" s="300">
        <f t="shared" si="721"/>
        <v>188.55</v>
      </c>
      <c r="T456" s="300">
        <f t="shared" si="717"/>
        <v>322.72000000000003</v>
      </c>
      <c r="U456" s="300">
        <f t="shared" si="661"/>
        <v>244762.19000000029</v>
      </c>
      <c r="V456" s="300">
        <f t="shared" si="662"/>
        <v>339216.68000000005</v>
      </c>
      <c r="W456" s="300">
        <f t="shared" si="718"/>
        <v>0</v>
      </c>
      <c r="X456" s="535" t="str">
        <f t="shared" si="653"/>
        <v xml:space="preserve"> </v>
      </c>
      <c r="Y456" s="300">
        <f t="shared" si="730"/>
        <v>211977.92000000025</v>
      </c>
      <c r="Z456" s="527">
        <f t="shared" si="646"/>
        <v>7.0000000000000007E-2</v>
      </c>
      <c r="AA456" s="300">
        <f t="shared" si="647"/>
        <v>1746.44</v>
      </c>
      <c r="AB456" s="300">
        <f t="shared" si="731"/>
        <v>509.90000000000009</v>
      </c>
      <c r="AC456" s="300">
        <f t="shared" si="648"/>
        <v>1236.54</v>
      </c>
      <c r="AD456" s="300">
        <f t="shared" ref="AD456:AE456" si="746">+AD455</f>
        <v>134.16999999999999</v>
      </c>
      <c r="AE456" s="300">
        <f t="shared" si="746"/>
        <v>188.55</v>
      </c>
      <c r="AF456" s="300">
        <f t="shared" si="733"/>
        <v>2069.1600000000003</v>
      </c>
      <c r="AG456" s="300">
        <f t="shared" si="734"/>
        <v>103456.08</v>
      </c>
      <c r="AH456" s="300">
        <f t="shared" si="735"/>
        <v>582580.84000000067</v>
      </c>
      <c r="AI456" s="545">
        <f t="shared" si="723"/>
        <v>-102058.05000000006</v>
      </c>
      <c r="AJ456" s="545">
        <f t="shared" si="674"/>
        <v>-211468.02000000025</v>
      </c>
      <c r="AK456" s="545">
        <f t="shared" si="724"/>
        <v>-313526.0700000003</v>
      </c>
      <c r="AL456" s="300">
        <f t="shared" si="736"/>
        <v>211468.02000000025</v>
      </c>
      <c r="AM456" s="449">
        <f t="shared" si="655"/>
        <v>33</v>
      </c>
      <c r="AN456" s="14">
        <f t="shared" si="725"/>
        <v>0</v>
      </c>
      <c r="AO456" s="14">
        <f t="shared" si="694"/>
        <v>0</v>
      </c>
      <c r="AP456" s="14">
        <f t="shared" si="726"/>
        <v>0</v>
      </c>
      <c r="AS456" s="14">
        <f t="shared" si="650"/>
        <v>0</v>
      </c>
      <c r="AT456" s="14">
        <f t="shared" si="656"/>
        <v>0</v>
      </c>
      <c r="AU456" s="300">
        <f t="shared" si="657"/>
        <v>0</v>
      </c>
      <c r="AV456" s="300">
        <f t="shared" si="658"/>
        <v>0</v>
      </c>
    </row>
    <row r="457" spans="1:48" x14ac:dyDescent="0.25">
      <c r="A457" s="535" t="str">
        <f t="shared" si="712"/>
        <v xml:space="preserve"> </v>
      </c>
      <c r="B457" s="300">
        <f t="shared" si="706"/>
        <v>0</v>
      </c>
      <c r="C457" s="14">
        <f t="shared" si="644"/>
        <v>0</v>
      </c>
      <c r="D457" s="14">
        <f t="shared" si="659"/>
        <v>0</v>
      </c>
      <c r="E457" s="14">
        <f t="shared" si="645"/>
        <v>0</v>
      </c>
      <c r="F457" s="14">
        <f t="shared" si="713"/>
        <v>134.16999999999999</v>
      </c>
      <c r="G457" s="14">
        <f t="shared" si="709"/>
        <v>188.55</v>
      </c>
      <c r="H457" s="14">
        <f t="shared" si="710"/>
        <v>322.72000000000003</v>
      </c>
      <c r="I457" s="300">
        <f t="shared" si="714"/>
        <v>83483.170000000042</v>
      </c>
      <c r="J457" s="300">
        <f t="shared" si="715"/>
        <v>68536.320000000022</v>
      </c>
      <c r="K457" s="300">
        <f t="shared" si="716"/>
        <v>0</v>
      </c>
      <c r="L457" s="449">
        <f t="shared" si="696"/>
        <v>33</v>
      </c>
      <c r="M457" s="449">
        <f t="shared" si="651"/>
        <v>398</v>
      </c>
      <c r="N457" s="300">
        <f t="shared" si="681"/>
        <v>0</v>
      </c>
      <c r="O457" s="300">
        <f t="shared" si="728"/>
        <v>0</v>
      </c>
      <c r="P457" s="300">
        <f t="shared" si="660"/>
        <v>0</v>
      </c>
      <c r="Q457" s="300">
        <f t="shared" si="729"/>
        <v>0</v>
      </c>
      <c r="R457" s="300">
        <f t="shared" si="720"/>
        <v>134.16999999999999</v>
      </c>
      <c r="S457" s="300">
        <f t="shared" si="721"/>
        <v>188.55</v>
      </c>
      <c r="T457" s="300">
        <f t="shared" si="717"/>
        <v>322.72000000000003</v>
      </c>
      <c r="U457" s="300">
        <f t="shared" si="661"/>
        <v>244762.19000000029</v>
      </c>
      <c r="V457" s="300">
        <f t="shared" si="662"/>
        <v>339216.68000000005</v>
      </c>
      <c r="W457" s="300">
        <f t="shared" si="718"/>
        <v>0</v>
      </c>
      <c r="X457" s="535" t="str">
        <f t="shared" si="653"/>
        <v xml:space="preserve"> </v>
      </c>
      <c r="Y457" s="300">
        <f t="shared" si="730"/>
        <v>211468.02000000025</v>
      </c>
      <c r="Z457" s="527">
        <f t="shared" si="646"/>
        <v>7.0000000000000007E-2</v>
      </c>
      <c r="AA457" s="300">
        <f t="shared" si="647"/>
        <v>1746.44</v>
      </c>
      <c r="AB457" s="300">
        <f t="shared" si="731"/>
        <v>512.88000000000011</v>
      </c>
      <c r="AC457" s="300">
        <f t="shared" si="648"/>
        <v>1233.56</v>
      </c>
      <c r="AD457" s="300">
        <f t="shared" ref="AD457:AE457" si="747">+AD456</f>
        <v>134.16999999999999</v>
      </c>
      <c r="AE457" s="300">
        <f t="shared" si="747"/>
        <v>188.55</v>
      </c>
      <c r="AF457" s="300">
        <f t="shared" si="733"/>
        <v>2069.1600000000003</v>
      </c>
      <c r="AG457" s="300">
        <f t="shared" si="734"/>
        <v>103968.96000000001</v>
      </c>
      <c r="AH457" s="300">
        <f t="shared" si="735"/>
        <v>583814.40000000072</v>
      </c>
      <c r="AI457" s="545">
        <f t="shared" si="723"/>
        <v>-103804.49000000006</v>
      </c>
      <c r="AJ457" s="545">
        <f t="shared" si="674"/>
        <v>-210955.14000000025</v>
      </c>
      <c r="AK457" s="545">
        <f t="shared" si="724"/>
        <v>-314759.6300000003</v>
      </c>
      <c r="AL457" s="300">
        <f t="shared" si="736"/>
        <v>210955.14000000025</v>
      </c>
      <c r="AM457" s="449">
        <f t="shared" si="655"/>
        <v>33</v>
      </c>
      <c r="AN457" s="14">
        <f t="shared" si="725"/>
        <v>0</v>
      </c>
      <c r="AO457" s="14">
        <f t="shared" si="694"/>
        <v>0</v>
      </c>
      <c r="AP457" s="14">
        <f t="shared" si="726"/>
        <v>0</v>
      </c>
      <c r="AS457" s="14">
        <f t="shared" si="650"/>
        <v>0</v>
      </c>
      <c r="AT457" s="14">
        <f t="shared" si="656"/>
        <v>0</v>
      </c>
      <c r="AU457" s="300">
        <f t="shared" si="657"/>
        <v>0</v>
      </c>
      <c r="AV457" s="300">
        <f t="shared" si="658"/>
        <v>0</v>
      </c>
    </row>
    <row r="458" spans="1:48" ht="15.75" thickBot="1" x14ac:dyDescent="0.3">
      <c r="A458" s="538" t="str">
        <f t="shared" si="712"/>
        <v xml:space="preserve"> </v>
      </c>
      <c r="B458" s="369">
        <f t="shared" si="706"/>
        <v>0</v>
      </c>
      <c r="C458" s="21">
        <f t="shared" si="644"/>
        <v>0</v>
      </c>
      <c r="D458" s="21">
        <f t="shared" si="659"/>
        <v>0</v>
      </c>
      <c r="E458" s="21">
        <f t="shared" si="645"/>
        <v>0</v>
      </c>
      <c r="F458" s="21">
        <f t="shared" si="713"/>
        <v>134.16999999999999</v>
      </c>
      <c r="G458" s="21">
        <f t="shared" si="709"/>
        <v>188.55</v>
      </c>
      <c r="H458" s="21">
        <f t="shared" si="710"/>
        <v>322.72000000000003</v>
      </c>
      <c r="I458" s="369">
        <f t="shared" si="714"/>
        <v>83483.170000000042</v>
      </c>
      <c r="J458" s="369">
        <f t="shared" si="715"/>
        <v>68536.320000000022</v>
      </c>
      <c r="K458" s="369">
        <f t="shared" si="716"/>
        <v>0</v>
      </c>
      <c r="L458" s="450">
        <f t="shared" si="696"/>
        <v>33</v>
      </c>
      <c r="M458" s="450">
        <f t="shared" si="651"/>
        <v>399</v>
      </c>
      <c r="N458" s="369">
        <f t="shared" si="681"/>
        <v>0</v>
      </c>
      <c r="O458" s="369">
        <f t="shared" si="728"/>
        <v>0</v>
      </c>
      <c r="P458" s="369">
        <f t="shared" si="660"/>
        <v>0</v>
      </c>
      <c r="Q458" s="369">
        <f t="shared" si="729"/>
        <v>0</v>
      </c>
      <c r="R458" s="369">
        <f t="shared" si="720"/>
        <v>134.16999999999999</v>
      </c>
      <c r="S458" s="369">
        <f t="shared" si="721"/>
        <v>188.55</v>
      </c>
      <c r="T458" s="369">
        <f t="shared" si="717"/>
        <v>322.72000000000003</v>
      </c>
      <c r="U458" s="369">
        <f t="shared" si="661"/>
        <v>244762.19000000029</v>
      </c>
      <c r="V458" s="369">
        <f t="shared" si="662"/>
        <v>339216.68000000005</v>
      </c>
      <c r="W458" s="369">
        <f t="shared" si="718"/>
        <v>0</v>
      </c>
      <c r="X458" s="538" t="str">
        <f t="shared" si="653"/>
        <v xml:space="preserve"> </v>
      </c>
      <c r="Y458" s="369">
        <f t="shared" si="730"/>
        <v>210955.14000000025</v>
      </c>
      <c r="Z458" s="528">
        <f t="shared" si="646"/>
        <v>7.0000000000000007E-2</v>
      </c>
      <c r="AA458" s="369">
        <f t="shared" si="647"/>
        <v>1746.44</v>
      </c>
      <c r="AB458" s="369">
        <f t="shared" si="731"/>
        <v>515.87000000000012</v>
      </c>
      <c r="AC458" s="369">
        <f t="shared" si="648"/>
        <v>1230.57</v>
      </c>
      <c r="AD458" s="369">
        <f t="shared" ref="AD458:AE458" si="748">+AD457</f>
        <v>134.16999999999999</v>
      </c>
      <c r="AE458" s="369">
        <f t="shared" si="748"/>
        <v>188.55</v>
      </c>
      <c r="AF458" s="369">
        <f t="shared" si="733"/>
        <v>2069.1600000000003</v>
      </c>
      <c r="AG458" s="369">
        <f t="shared" si="734"/>
        <v>104484.83</v>
      </c>
      <c r="AH458" s="369">
        <f t="shared" si="735"/>
        <v>585044.97000000067</v>
      </c>
      <c r="AI458" s="546">
        <f t="shared" si="723"/>
        <v>-105550.93000000007</v>
      </c>
      <c r="AJ458" s="546">
        <f t="shared" si="674"/>
        <v>-210439.27000000025</v>
      </c>
      <c r="AK458" s="545">
        <f t="shared" si="724"/>
        <v>-315990.2000000003</v>
      </c>
      <c r="AL458" s="369">
        <f t="shared" si="736"/>
        <v>210439.27000000025</v>
      </c>
      <c r="AM458" s="450">
        <f t="shared" si="655"/>
        <v>33</v>
      </c>
      <c r="AN458" s="21">
        <f t="shared" si="725"/>
        <v>0</v>
      </c>
      <c r="AO458" s="21">
        <f t="shared" si="694"/>
        <v>0</v>
      </c>
      <c r="AP458" s="21">
        <f t="shared" si="726"/>
        <v>0</v>
      </c>
      <c r="AQ458" s="21"/>
      <c r="AR458" s="23"/>
      <c r="AS458" s="21">
        <f t="shared" si="650"/>
        <v>0</v>
      </c>
      <c r="AT458" s="21">
        <f t="shared" si="656"/>
        <v>0</v>
      </c>
      <c r="AU458" s="369">
        <f t="shared" si="657"/>
        <v>0</v>
      </c>
      <c r="AV458" s="369">
        <f t="shared" si="658"/>
        <v>0</v>
      </c>
    </row>
    <row r="459" spans="1:48" x14ac:dyDescent="0.25">
      <c r="A459" s="535" t="str">
        <f t="shared" si="712"/>
        <v xml:space="preserve"> </v>
      </c>
      <c r="B459" s="300">
        <f t="shared" si="706"/>
        <v>0</v>
      </c>
      <c r="C459" s="14">
        <f t="shared" si="644"/>
        <v>0</v>
      </c>
      <c r="D459" s="14">
        <f t="shared" si="659"/>
        <v>0</v>
      </c>
      <c r="E459" s="14">
        <f t="shared" si="645"/>
        <v>0</v>
      </c>
      <c r="F459" s="14">
        <f t="shared" si="713"/>
        <v>134.16999999999999</v>
      </c>
      <c r="G459" s="14">
        <f t="shared" si="709"/>
        <v>188.55</v>
      </c>
      <c r="H459" s="14">
        <f t="shared" si="710"/>
        <v>322.72000000000003</v>
      </c>
      <c r="I459" s="300">
        <f t="shared" si="714"/>
        <v>83483.170000000042</v>
      </c>
      <c r="J459" s="300">
        <f t="shared" si="715"/>
        <v>68536.320000000022</v>
      </c>
      <c r="K459" s="300">
        <f t="shared" si="716"/>
        <v>0</v>
      </c>
      <c r="L459" s="449">
        <f t="shared" si="696"/>
        <v>33</v>
      </c>
      <c r="M459" s="449">
        <f t="shared" si="651"/>
        <v>400</v>
      </c>
      <c r="N459" s="300">
        <f t="shared" si="681"/>
        <v>0</v>
      </c>
      <c r="O459" s="300">
        <f t="shared" si="728"/>
        <v>0</v>
      </c>
      <c r="P459" s="300">
        <f t="shared" si="660"/>
        <v>0</v>
      </c>
      <c r="Q459" s="300">
        <f t="shared" si="729"/>
        <v>0</v>
      </c>
      <c r="R459" s="300">
        <f t="shared" si="720"/>
        <v>134.16999999999999</v>
      </c>
      <c r="S459" s="300">
        <f t="shared" si="721"/>
        <v>188.55</v>
      </c>
      <c r="T459" s="300">
        <f t="shared" si="717"/>
        <v>322.72000000000003</v>
      </c>
      <c r="U459" s="300">
        <f t="shared" si="661"/>
        <v>244762.19000000029</v>
      </c>
      <c r="V459" s="300">
        <f t="shared" si="662"/>
        <v>339216.68000000005</v>
      </c>
      <c r="W459" s="300">
        <f t="shared" si="718"/>
        <v>0</v>
      </c>
      <c r="X459" s="535" t="str">
        <f t="shared" si="653"/>
        <v xml:space="preserve"> </v>
      </c>
      <c r="Y459" s="300">
        <f t="shared" si="730"/>
        <v>210439.27000000025</v>
      </c>
      <c r="Z459" s="527">
        <f t="shared" si="646"/>
        <v>7.0000000000000007E-2</v>
      </c>
      <c r="AA459" s="300">
        <f t="shared" si="647"/>
        <v>1746.44</v>
      </c>
      <c r="AB459" s="300">
        <f t="shared" si="731"/>
        <v>518.88000000000011</v>
      </c>
      <c r="AC459" s="300">
        <f t="shared" si="648"/>
        <v>1227.56</v>
      </c>
      <c r="AD459" s="300">
        <f t="shared" ref="AD459:AE459" si="749">+AD458</f>
        <v>134.16999999999999</v>
      </c>
      <c r="AE459" s="300">
        <f t="shared" si="749"/>
        <v>188.55</v>
      </c>
      <c r="AF459" s="300">
        <f t="shared" si="733"/>
        <v>2069.1600000000003</v>
      </c>
      <c r="AG459" s="300">
        <f t="shared" si="734"/>
        <v>105003.71</v>
      </c>
      <c r="AH459" s="300">
        <f t="shared" si="735"/>
        <v>586272.53000000073</v>
      </c>
      <c r="AI459" s="545">
        <f t="shared" si="723"/>
        <v>-107297.37000000007</v>
      </c>
      <c r="AJ459" s="545">
        <f t="shared" si="674"/>
        <v>-209920.39000000025</v>
      </c>
      <c r="AK459" s="545">
        <f t="shared" si="724"/>
        <v>-317217.7600000003</v>
      </c>
      <c r="AL459" s="300">
        <f t="shared" si="736"/>
        <v>209920.39000000025</v>
      </c>
      <c r="AM459" s="449">
        <f t="shared" si="655"/>
        <v>33</v>
      </c>
      <c r="AN459" s="14">
        <f t="shared" si="725"/>
        <v>0</v>
      </c>
      <c r="AO459" s="14">
        <f t="shared" si="694"/>
        <v>0</v>
      </c>
      <c r="AP459" s="14">
        <f t="shared" si="726"/>
        <v>0</v>
      </c>
      <c r="AS459" s="14">
        <f t="shared" si="650"/>
        <v>0</v>
      </c>
      <c r="AT459" s="14">
        <f t="shared" si="656"/>
        <v>0</v>
      </c>
      <c r="AU459" s="300">
        <f t="shared" si="657"/>
        <v>0</v>
      </c>
      <c r="AV459" s="300">
        <f t="shared" si="658"/>
        <v>0</v>
      </c>
    </row>
    <row r="460" spans="1:48" x14ac:dyDescent="0.25">
      <c r="A460" s="535" t="str">
        <f t="shared" si="712"/>
        <v xml:space="preserve"> </v>
      </c>
      <c r="B460" s="300">
        <f t="shared" si="706"/>
        <v>0</v>
      </c>
      <c r="C460" s="14">
        <f t="shared" si="644"/>
        <v>0</v>
      </c>
      <c r="D460" s="14">
        <f t="shared" si="659"/>
        <v>0</v>
      </c>
      <c r="E460" s="14">
        <f t="shared" si="645"/>
        <v>0</v>
      </c>
      <c r="F460" s="14">
        <f t="shared" si="713"/>
        <v>134.16999999999999</v>
      </c>
      <c r="G460" s="14">
        <f t="shared" si="709"/>
        <v>188.55</v>
      </c>
      <c r="H460" s="14">
        <f t="shared" si="710"/>
        <v>322.72000000000003</v>
      </c>
      <c r="I460" s="300">
        <f t="shared" si="714"/>
        <v>83483.170000000042</v>
      </c>
      <c r="J460" s="300">
        <f t="shared" si="715"/>
        <v>68536.320000000022</v>
      </c>
      <c r="K460" s="300">
        <f t="shared" si="716"/>
        <v>0</v>
      </c>
      <c r="L460" s="449">
        <f t="shared" si="696"/>
        <v>33</v>
      </c>
      <c r="M460" s="449">
        <f t="shared" si="651"/>
        <v>401</v>
      </c>
      <c r="N460" s="300">
        <f t="shared" si="681"/>
        <v>0</v>
      </c>
      <c r="O460" s="300">
        <f t="shared" si="728"/>
        <v>0</v>
      </c>
      <c r="P460" s="300">
        <f t="shared" si="660"/>
        <v>0</v>
      </c>
      <c r="Q460" s="300">
        <f t="shared" si="729"/>
        <v>0</v>
      </c>
      <c r="R460" s="300">
        <f t="shared" si="720"/>
        <v>134.16999999999999</v>
      </c>
      <c r="S460" s="300">
        <f t="shared" si="721"/>
        <v>188.55</v>
      </c>
      <c r="T460" s="300">
        <f t="shared" si="717"/>
        <v>322.72000000000003</v>
      </c>
      <c r="U460" s="300">
        <f t="shared" si="661"/>
        <v>244762.19000000029</v>
      </c>
      <c r="V460" s="300">
        <f t="shared" si="662"/>
        <v>339216.68000000005</v>
      </c>
      <c r="W460" s="300">
        <f t="shared" si="718"/>
        <v>0</v>
      </c>
      <c r="X460" s="535" t="str">
        <f t="shared" si="653"/>
        <v xml:space="preserve"> </v>
      </c>
      <c r="Y460" s="300">
        <f t="shared" si="730"/>
        <v>209920.39000000025</v>
      </c>
      <c r="Z460" s="527">
        <f t="shared" si="646"/>
        <v>7.0000000000000007E-2</v>
      </c>
      <c r="AA460" s="300">
        <f t="shared" si="647"/>
        <v>1746.44</v>
      </c>
      <c r="AB460" s="300">
        <f t="shared" si="731"/>
        <v>521.90000000000009</v>
      </c>
      <c r="AC460" s="300">
        <f t="shared" si="648"/>
        <v>1224.54</v>
      </c>
      <c r="AD460" s="300">
        <f t="shared" ref="AD460:AE460" si="750">+AD459</f>
        <v>134.16999999999999</v>
      </c>
      <c r="AE460" s="300">
        <f t="shared" si="750"/>
        <v>188.55</v>
      </c>
      <c r="AF460" s="300">
        <f t="shared" si="733"/>
        <v>2069.1600000000003</v>
      </c>
      <c r="AG460" s="300">
        <f t="shared" si="734"/>
        <v>105525.61</v>
      </c>
      <c r="AH460" s="300">
        <f t="shared" si="735"/>
        <v>587497.07000000076</v>
      </c>
      <c r="AI460" s="545">
        <f t="shared" si="723"/>
        <v>-109043.81000000007</v>
      </c>
      <c r="AJ460" s="545">
        <f t="shared" si="674"/>
        <v>-209398.49000000025</v>
      </c>
      <c r="AK460" s="545">
        <f t="shared" si="724"/>
        <v>-318442.30000000034</v>
      </c>
      <c r="AL460" s="300">
        <f t="shared" si="736"/>
        <v>209398.49000000025</v>
      </c>
      <c r="AM460" s="449">
        <f t="shared" si="655"/>
        <v>33</v>
      </c>
      <c r="AN460" s="14">
        <f t="shared" si="725"/>
        <v>0</v>
      </c>
      <c r="AO460" s="14">
        <f t="shared" si="694"/>
        <v>0</v>
      </c>
      <c r="AP460" s="14">
        <f t="shared" si="726"/>
        <v>0</v>
      </c>
      <c r="AS460" s="14">
        <f t="shared" si="650"/>
        <v>0</v>
      </c>
      <c r="AT460" s="14">
        <f t="shared" si="656"/>
        <v>0</v>
      </c>
      <c r="AU460" s="300">
        <f t="shared" si="657"/>
        <v>0</v>
      </c>
      <c r="AV460" s="300">
        <f t="shared" si="658"/>
        <v>0</v>
      </c>
    </row>
    <row r="461" spans="1:48" x14ac:dyDescent="0.25">
      <c r="A461" s="535" t="str">
        <f t="shared" si="712"/>
        <v xml:space="preserve"> </v>
      </c>
      <c r="B461" s="300">
        <f t="shared" si="706"/>
        <v>0</v>
      </c>
      <c r="C461" s="14">
        <f t="shared" si="644"/>
        <v>0</v>
      </c>
      <c r="D461" s="14">
        <f t="shared" si="659"/>
        <v>0</v>
      </c>
      <c r="E461" s="14">
        <f t="shared" si="645"/>
        <v>0</v>
      </c>
      <c r="F461" s="14">
        <f t="shared" si="713"/>
        <v>134.16999999999999</v>
      </c>
      <c r="G461" s="14">
        <f t="shared" si="709"/>
        <v>188.55</v>
      </c>
      <c r="H461" s="14">
        <f t="shared" si="710"/>
        <v>322.72000000000003</v>
      </c>
      <c r="I461" s="300">
        <f t="shared" si="714"/>
        <v>83483.170000000042</v>
      </c>
      <c r="J461" s="300">
        <f t="shared" si="715"/>
        <v>68536.320000000022</v>
      </c>
      <c r="K461" s="300">
        <f t="shared" si="716"/>
        <v>0</v>
      </c>
      <c r="L461" s="449">
        <f t="shared" si="696"/>
        <v>33</v>
      </c>
      <c r="M461" s="449">
        <f t="shared" si="651"/>
        <v>402</v>
      </c>
      <c r="N461" s="300">
        <f t="shared" si="681"/>
        <v>0</v>
      </c>
      <c r="O461" s="300">
        <f t="shared" si="728"/>
        <v>0</v>
      </c>
      <c r="P461" s="300">
        <f t="shared" si="660"/>
        <v>0</v>
      </c>
      <c r="Q461" s="300">
        <f t="shared" si="729"/>
        <v>0</v>
      </c>
      <c r="R461" s="300">
        <f t="shared" si="720"/>
        <v>134.16999999999999</v>
      </c>
      <c r="S461" s="300">
        <f t="shared" si="721"/>
        <v>188.55</v>
      </c>
      <c r="T461" s="300">
        <f t="shared" si="717"/>
        <v>322.72000000000003</v>
      </c>
      <c r="U461" s="300">
        <f t="shared" si="661"/>
        <v>244762.19000000029</v>
      </c>
      <c r="V461" s="300">
        <f t="shared" si="662"/>
        <v>339216.68000000005</v>
      </c>
      <c r="W461" s="300">
        <f t="shared" si="718"/>
        <v>0</v>
      </c>
      <c r="X461" s="535" t="str">
        <f t="shared" si="653"/>
        <v xml:space="preserve"> </v>
      </c>
      <c r="Y461" s="300">
        <f t="shared" si="730"/>
        <v>209398.49000000025</v>
      </c>
      <c r="Z461" s="527">
        <f t="shared" si="646"/>
        <v>7.0000000000000007E-2</v>
      </c>
      <c r="AA461" s="300">
        <f t="shared" si="647"/>
        <v>1746.44</v>
      </c>
      <c r="AB461" s="300">
        <f t="shared" si="731"/>
        <v>524.95000000000005</v>
      </c>
      <c r="AC461" s="300">
        <f t="shared" si="648"/>
        <v>1221.49</v>
      </c>
      <c r="AD461" s="300">
        <f t="shared" ref="AD461:AE461" si="751">+AD460</f>
        <v>134.16999999999999</v>
      </c>
      <c r="AE461" s="300">
        <f t="shared" si="751"/>
        <v>188.55</v>
      </c>
      <c r="AF461" s="300">
        <f t="shared" si="733"/>
        <v>2069.1600000000003</v>
      </c>
      <c r="AG461" s="300">
        <f t="shared" si="734"/>
        <v>106050.56</v>
      </c>
      <c r="AH461" s="300">
        <f t="shared" si="735"/>
        <v>588718.56000000075</v>
      </c>
      <c r="AI461" s="545">
        <f t="shared" si="723"/>
        <v>-110790.25000000007</v>
      </c>
      <c r="AJ461" s="545">
        <f t="shared" si="674"/>
        <v>-208873.54000000024</v>
      </c>
      <c r="AK461" s="545">
        <f t="shared" si="724"/>
        <v>-319663.79000000033</v>
      </c>
      <c r="AL461" s="300">
        <f t="shared" si="736"/>
        <v>208873.54000000024</v>
      </c>
      <c r="AM461" s="449">
        <f t="shared" si="655"/>
        <v>33</v>
      </c>
      <c r="AN461" s="14">
        <f t="shared" si="725"/>
        <v>0</v>
      </c>
      <c r="AO461" s="14">
        <f t="shared" si="694"/>
        <v>0</v>
      </c>
      <c r="AP461" s="14">
        <f t="shared" si="726"/>
        <v>0</v>
      </c>
      <c r="AS461" s="14">
        <f t="shared" si="650"/>
        <v>0</v>
      </c>
      <c r="AT461" s="14">
        <f t="shared" si="656"/>
        <v>0</v>
      </c>
      <c r="AU461" s="300">
        <f t="shared" si="657"/>
        <v>0</v>
      </c>
      <c r="AV461" s="300">
        <f t="shared" si="658"/>
        <v>0</v>
      </c>
    </row>
    <row r="462" spans="1:48" x14ac:dyDescent="0.25">
      <c r="A462" s="535" t="str">
        <f t="shared" si="712"/>
        <v xml:space="preserve"> </v>
      </c>
      <c r="B462" s="300">
        <f t="shared" si="706"/>
        <v>0</v>
      </c>
      <c r="C462" s="14">
        <f t="shared" si="644"/>
        <v>0</v>
      </c>
      <c r="D462" s="14">
        <f t="shared" si="659"/>
        <v>0</v>
      </c>
      <c r="E462" s="14">
        <f t="shared" si="645"/>
        <v>0</v>
      </c>
      <c r="F462" s="14">
        <f t="shared" si="713"/>
        <v>134.16999999999999</v>
      </c>
      <c r="G462" s="14">
        <f t="shared" si="709"/>
        <v>188.55</v>
      </c>
      <c r="H462" s="14">
        <f t="shared" si="710"/>
        <v>322.72000000000003</v>
      </c>
      <c r="I462" s="300">
        <f t="shared" si="714"/>
        <v>83483.170000000042</v>
      </c>
      <c r="J462" s="300">
        <f t="shared" si="715"/>
        <v>68536.320000000022</v>
      </c>
      <c r="K462" s="300">
        <f t="shared" si="716"/>
        <v>0</v>
      </c>
      <c r="L462" s="449">
        <f t="shared" si="696"/>
        <v>33</v>
      </c>
      <c r="M462" s="449">
        <f t="shared" si="651"/>
        <v>403</v>
      </c>
      <c r="N462" s="300">
        <f t="shared" si="681"/>
        <v>0</v>
      </c>
      <c r="O462" s="300">
        <f t="shared" si="728"/>
        <v>0</v>
      </c>
      <c r="P462" s="300">
        <f t="shared" si="660"/>
        <v>0</v>
      </c>
      <c r="Q462" s="300">
        <f t="shared" si="729"/>
        <v>0</v>
      </c>
      <c r="R462" s="300">
        <f t="shared" si="720"/>
        <v>134.16999999999999</v>
      </c>
      <c r="S462" s="300">
        <f t="shared" si="721"/>
        <v>188.55</v>
      </c>
      <c r="T462" s="300">
        <f t="shared" si="717"/>
        <v>322.72000000000003</v>
      </c>
      <c r="U462" s="300">
        <f t="shared" si="661"/>
        <v>244762.19000000029</v>
      </c>
      <c r="V462" s="300">
        <f t="shared" si="662"/>
        <v>339216.68000000005</v>
      </c>
      <c r="W462" s="300">
        <f t="shared" si="718"/>
        <v>0</v>
      </c>
      <c r="X462" s="535" t="str">
        <f t="shared" si="653"/>
        <v xml:space="preserve"> </v>
      </c>
      <c r="Y462" s="300">
        <f t="shared" si="730"/>
        <v>208873.54000000024</v>
      </c>
      <c r="Z462" s="527">
        <f t="shared" si="646"/>
        <v>7.0000000000000007E-2</v>
      </c>
      <c r="AA462" s="300">
        <f t="shared" si="647"/>
        <v>1746.44</v>
      </c>
      <c r="AB462" s="300">
        <f t="shared" si="731"/>
        <v>528.01</v>
      </c>
      <c r="AC462" s="300">
        <f t="shared" si="648"/>
        <v>1218.43</v>
      </c>
      <c r="AD462" s="300">
        <f t="shared" ref="AD462:AE462" si="752">+AD461</f>
        <v>134.16999999999999</v>
      </c>
      <c r="AE462" s="300">
        <f t="shared" si="752"/>
        <v>188.55</v>
      </c>
      <c r="AF462" s="300">
        <f t="shared" si="733"/>
        <v>2069.1600000000003</v>
      </c>
      <c r="AG462" s="300">
        <f t="shared" si="734"/>
        <v>106578.56999999999</v>
      </c>
      <c r="AH462" s="300">
        <f t="shared" si="735"/>
        <v>589936.99000000081</v>
      </c>
      <c r="AI462" s="545">
        <f t="shared" si="723"/>
        <v>-112536.69000000008</v>
      </c>
      <c r="AJ462" s="545">
        <f t="shared" si="674"/>
        <v>-208345.53000000023</v>
      </c>
      <c r="AK462" s="545">
        <f t="shared" si="724"/>
        <v>-320882.22000000032</v>
      </c>
      <c r="AL462" s="300">
        <f t="shared" si="736"/>
        <v>208345.53000000023</v>
      </c>
      <c r="AM462" s="449">
        <f t="shared" si="655"/>
        <v>33</v>
      </c>
      <c r="AN462" s="14">
        <f t="shared" si="725"/>
        <v>0</v>
      </c>
      <c r="AO462" s="14">
        <f t="shared" si="694"/>
        <v>0</v>
      </c>
      <c r="AP462" s="14">
        <f t="shared" si="726"/>
        <v>0</v>
      </c>
      <c r="AS462" s="14">
        <f t="shared" si="650"/>
        <v>0</v>
      </c>
      <c r="AT462" s="14">
        <f t="shared" si="656"/>
        <v>0</v>
      </c>
      <c r="AU462" s="300">
        <f t="shared" si="657"/>
        <v>0</v>
      </c>
      <c r="AV462" s="300">
        <f t="shared" si="658"/>
        <v>0</v>
      </c>
    </row>
    <row r="463" spans="1:48" x14ac:dyDescent="0.25">
      <c r="A463" s="535" t="str">
        <f t="shared" si="712"/>
        <v xml:space="preserve"> </v>
      </c>
      <c r="B463" s="300">
        <f t="shared" si="706"/>
        <v>0</v>
      </c>
      <c r="C463" s="14">
        <f t="shared" ref="C463:C490" si="753">IF(+$K462&lt;=0,0,$C$5)</f>
        <v>0</v>
      </c>
      <c r="D463" s="14">
        <f t="shared" si="659"/>
        <v>0</v>
      </c>
      <c r="E463" s="14">
        <f t="shared" ref="E463:E490" si="754">ROUND($B463*($C$3/12), 2)</f>
        <v>0</v>
      </c>
      <c r="F463" s="14">
        <f t="shared" si="713"/>
        <v>134.16999999999999</v>
      </c>
      <c r="G463" s="14">
        <f t="shared" si="709"/>
        <v>188.55</v>
      </c>
      <c r="H463" s="14">
        <f t="shared" si="710"/>
        <v>322.72000000000003</v>
      </c>
      <c r="I463" s="300">
        <f t="shared" si="714"/>
        <v>83483.170000000042</v>
      </c>
      <c r="J463" s="300">
        <f t="shared" si="715"/>
        <v>68536.320000000022</v>
      </c>
      <c r="K463" s="300">
        <f t="shared" si="716"/>
        <v>0</v>
      </c>
      <c r="L463" s="449">
        <f t="shared" si="696"/>
        <v>33</v>
      </c>
      <c r="M463" s="449">
        <f t="shared" si="651"/>
        <v>404</v>
      </c>
      <c r="N463" s="300">
        <f t="shared" si="681"/>
        <v>0</v>
      </c>
      <c r="O463" s="300">
        <f t="shared" si="728"/>
        <v>0</v>
      </c>
      <c r="P463" s="300">
        <f t="shared" si="660"/>
        <v>0</v>
      </c>
      <c r="Q463" s="300">
        <f t="shared" si="729"/>
        <v>0</v>
      </c>
      <c r="R463" s="300">
        <f t="shared" si="720"/>
        <v>134.16999999999999</v>
      </c>
      <c r="S463" s="300">
        <f t="shared" si="721"/>
        <v>188.55</v>
      </c>
      <c r="T463" s="300">
        <f t="shared" si="717"/>
        <v>322.72000000000003</v>
      </c>
      <c r="U463" s="300">
        <f t="shared" si="661"/>
        <v>244762.19000000029</v>
      </c>
      <c r="V463" s="300">
        <f t="shared" si="662"/>
        <v>339216.68000000005</v>
      </c>
      <c r="W463" s="300">
        <f t="shared" si="718"/>
        <v>0</v>
      </c>
      <c r="X463" s="535" t="str">
        <f t="shared" si="653"/>
        <v xml:space="preserve"> </v>
      </c>
      <c r="Y463" s="300">
        <f t="shared" si="730"/>
        <v>208345.53000000023</v>
      </c>
      <c r="Z463" s="527">
        <f t="shared" ref="Z463:Z526" si="755">IF(L463&gt;4,$AA$9,$AA$8)</f>
        <v>7.0000000000000007E-2</v>
      </c>
      <c r="AA463" s="300">
        <f t="shared" ref="AA463:AA526" si="756">IF($O$9&lt;=$A463,IF(+AL462&lt;=0,0,IF(Z463=$AA$8,$Z$8,$Z$9)),0)</f>
        <v>1746.44</v>
      </c>
      <c r="AB463" s="300">
        <f t="shared" si="731"/>
        <v>531.09000000000015</v>
      </c>
      <c r="AC463" s="300">
        <f t="shared" ref="AC463:AC526" si="757">IF($O$9&lt;=$A463,ROUND(Y463*(Z463/12),2),0)</f>
        <v>1215.3499999999999</v>
      </c>
      <c r="AD463" s="300">
        <f t="shared" ref="AD463:AE463" si="758">+AD462</f>
        <v>134.16999999999999</v>
      </c>
      <c r="AE463" s="300">
        <f t="shared" si="758"/>
        <v>188.55</v>
      </c>
      <c r="AF463" s="300">
        <f t="shared" si="733"/>
        <v>2069.1600000000003</v>
      </c>
      <c r="AG463" s="300">
        <f t="shared" si="734"/>
        <v>107109.65999999999</v>
      </c>
      <c r="AH463" s="300">
        <f t="shared" si="735"/>
        <v>591152.34000000078</v>
      </c>
      <c r="AI463" s="545">
        <f t="shared" si="723"/>
        <v>-114283.13000000008</v>
      </c>
      <c r="AJ463" s="545">
        <f t="shared" si="674"/>
        <v>-207814.44000000024</v>
      </c>
      <c r="AK463" s="545">
        <f t="shared" si="724"/>
        <v>-322097.5700000003</v>
      </c>
      <c r="AL463" s="300">
        <f t="shared" si="736"/>
        <v>207814.44000000024</v>
      </c>
      <c r="AM463" s="449">
        <f t="shared" si="655"/>
        <v>33</v>
      </c>
      <c r="AN463" s="14">
        <f t="shared" si="725"/>
        <v>0</v>
      </c>
      <c r="AO463" s="14">
        <f t="shared" si="694"/>
        <v>0</v>
      </c>
      <c r="AP463" s="14">
        <f t="shared" si="726"/>
        <v>0</v>
      </c>
      <c r="AS463" s="14">
        <f t="shared" ref="AS463:AS490" si="759">+AN463-AR463</f>
        <v>0</v>
      </c>
      <c r="AT463" s="14">
        <f t="shared" si="656"/>
        <v>0</v>
      </c>
      <c r="AU463" s="300">
        <f t="shared" si="657"/>
        <v>0</v>
      </c>
      <c r="AV463" s="300">
        <f t="shared" si="658"/>
        <v>0</v>
      </c>
    </row>
    <row r="464" spans="1:48" x14ac:dyDescent="0.25">
      <c r="A464" s="535" t="str">
        <f t="shared" si="712"/>
        <v xml:space="preserve"> </v>
      </c>
      <c r="B464" s="300">
        <f t="shared" si="706"/>
        <v>0</v>
      </c>
      <c r="C464" s="14">
        <f t="shared" si="753"/>
        <v>0</v>
      </c>
      <c r="D464" s="14">
        <f t="shared" si="659"/>
        <v>0</v>
      </c>
      <c r="E464" s="14">
        <f t="shared" si="754"/>
        <v>0</v>
      </c>
      <c r="F464" s="14">
        <f t="shared" si="713"/>
        <v>134.16999999999999</v>
      </c>
      <c r="G464" s="14">
        <f t="shared" si="709"/>
        <v>188.55</v>
      </c>
      <c r="H464" s="14">
        <f t="shared" si="710"/>
        <v>322.72000000000003</v>
      </c>
      <c r="I464" s="300">
        <f t="shared" si="714"/>
        <v>83483.170000000042</v>
      </c>
      <c r="J464" s="300">
        <f t="shared" si="715"/>
        <v>68536.320000000022</v>
      </c>
      <c r="K464" s="300">
        <f t="shared" si="716"/>
        <v>0</v>
      </c>
      <c r="L464" s="449">
        <f t="shared" si="696"/>
        <v>33</v>
      </c>
      <c r="M464" s="449">
        <f t="shared" ref="M464:M490" si="760">IF(N464&lt;&gt;"",IF(N464=$O$5,0,+M463+1),0)</f>
        <v>405</v>
      </c>
      <c r="N464" s="300">
        <f t="shared" si="681"/>
        <v>0</v>
      </c>
      <c r="O464" s="300">
        <f t="shared" si="728"/>
        <v>0</v>
      </c>
      <c r="P464" s="300">
        <f t="shared" si="660"/>
        <v>0</v>
      </c>
      <c r="Q464" s="300">
        <f t="shared" si="729"/>
        <v>0</v>
      </c>
      <c r="R464" s="300">
        <f t="shared" si="720"/>
        <v>134.16999999999999</v>
      </c>
      <c r="S464" s="300">
        <f t="shared" si="721"/>
        <v>188.55</v>
      </c>
      <c r="T464" s="300">
        <f t="shared" si="717"/>
        <v>322.72000000000003</v>
      </c>
      <c r="U464" s="300">
        <f t="shared" si="661"/>
        <v>244762.19000000029</v>
      </c>
      <c r="V464" s="300">
        <f t="shared" si="662"/>
        <v>339216.68000000005</v>
      </c>
      <c r="W464" s="300">
        <f t="shared" si="718"/>
        <v>0</v>
      </c>
      <c r="X464" s="535" t="str">
        <f t="shared" ref="X464:X527" si="761">+A464</f>
        <v xml:space="preserve"> </v>
      </c>
      <c r="Y464" s="300">
        <f t="shared" si="730"/>
        <v>207814.44000000024</v>
      </c>
      <c r="Z464" s="527">
        <f t="shared" si="755"/>
        <v>7.0000000000000007E-2</v>
      </c>
      <c r="AA464" s="300">
        <f t="shared" si="756"/>
        <v>1746.44</v>
      </c>
      <c r="AB464" s="300">
        <f t="shared" si="731"/>
        <v>534.19000000000005</v>
      </c>
      <c r="AC464" s="300">
        <f t="shared" si="757"/>
        <v>1212.25</v>
      </c>
      <c r="AD464" s="300">
        <f t="shared" ref="AD464:AE464" si="762">+AD463</f>
        <v>134.16999999999999</v>
      </c>
      <c r="AE464" s="300">
        <f t="shared" si="762"/>
        <v>188.55</v>
      </c>
      <c r="AF464" s="300">
        <f t="shared" si="733"/>
        <v>2069.1600000000003</v>
      </c>
      <c r="AG464" s="300">
        <f t="shared" si="734"/>
        <v>107643.84999999999</v>
      </c>
      <c r="AH464" s="300">
        <f t="shared" si="735"/>
        <v>592364.59000000078</v>
      </c>
      <c r="AI464" s="545">
        <f t="shared" si="723"/>
        <v>-116029.57000000008</v>
      </c>
      <c r="AJ464" s="545">
        <f t="shared" si="674"/>
        <v>-207280.25000000023</v>
      </c>
      <c r="AK464" s="545">
        <f t="shared" si="724"/>
        <v>-323309.8200000003</v>
      </c>
      <c r="AL464" s="300">
        <f t="shared" si="736"/>
        <v>207280.25000000023</v>
      </c>
      <c r="AM464" s="449">
        <f t="shared" ref="AM464:AM527" si="763">+L464</f>
        <v>33</v>
      </c>
      <c r="AN464" s="14">
        <f t="shared" si="725"/>
        <v>0</v>
      </c>
      <c r="AO464" s="14">
        <f t="shared" si="694"/>
        <v>0</v>
      </c>
      <c r="AP464" s="14">
        <f t="shared" si="726"/>
        <v>0</v>
      </c>
      <c r="AS464" s="14">
        <f t="shared" si="759"/>
        <v>0</v>
      </c>
      <c r="AT464" s="14">
        <f t="shared" ref="AT464:AT490" si="764">IF(W464&lt;=0,0,+AS464+AT463)</f>
        <v>0</v>
      </c>
      <c r="AU464" s="300">
        <f t="shared" ref="AU464:AU490" si="765">IF(W464&lt;=0,0,+($O$5+AV463)*$AQ$2/12)</f>
        <v>0</v>
      </c>
      <c r="AV464" s="300">
        <f t="shared" ref="AV464:AV490" si="766">IF(W464&lt;=0,0,+AV463+AU464)</f>
        <v>0</v>
      </c>
    </row>
    <row r="465" spans="1:48" x14ac:dyDescent="0.25">
      <c r="A465" s="535" t="str">
        <f t="shared" si="712"/>
        <v xml:space="preserve"> </v>
      </c>
      <c r="B465" s="300">
        <f t="shared" si="706"/>
        <v>0</v>
      </c>
      <c r="C465" s="14">
        <f t="shared" si="753"/>
        <v>0</v>
      </c>
      <c r="D465" s="14">
        <f t="shared" ref="D465:D490" si="767">+C465-E465</f>
        <v>0</v>
      </c>
      <c r="E465" s="14">
        <f t="shared" si="754"/>
        <v>0</v>
      </c>
      <c r="F465" s="14">
        <f t="shared" si="713"/>
        <v>134.16999999999999</v>
      </c>
      <c r="G465" s="14">
        <f t="shared" si="709"/>
        <v>188.55</v>
      </c>
      <c r="H465" s="14">
        <f t="shared" si="710"/>
        <v>322.72000000000003</v>
      </c>
      <c r="I465" s="300">
        <f t="shared" si="714"/>
        <v>83483.170000000042</v>
      </c>
      <c r="J465" s="300">
        <f t="shared" si="715"/>
        <v>68536.320000000022</v>
      </c>
      <c r="K465" s="300">
        <f t="shared" si="716"/>
        <v>0</v>
      </c>
      <c r="L465" s="449">
        <f t="shared" si="696"/>
        <v>33</v>
      </c>
      <c r="M465" s="449">
        <f t="shared" si="760"/>
        <v>406</v>
      </c>
      <c r="N465" s="300">
        <f t="shared" si="681"/>
        <v>0</v>
      </c>
      <c r="O465" s="300">
        <f t="shared" si="728"/>
        <v>0</v>
      </c>
      <c r="P465" s="300">
        <f t="shared" ref="P465:P490" si="768">+O465-Q465</f>
        <v>0</v>
      </c>
      <c r="Q465" s="300">
        <f t="shared" si="729"/>
        <v>0</v>
      </c>
      <c r="R465" s="300">
        <f t="shared" si="720"/>
        <v>134.16999999999999</v>
      </c>
      <c r="S465" s="300">
        <f t="shared" si="721"/>
        <v>188.55</v>
      </c>
      <c r="T465" s="300">
        <f t="shared" si="717"/>
        <v>322.72000000000003</v>
      </c>
      <c r="U465" s="300">
        <f t="shared" ref="U465:U490" si="769">+P465+U464</f>
        <v>244762.19000000029</v>
      </c>
      <c r="V465" s="300">
        <f t="shared" ref="V465:V490" si="770">+V464+Q465</f>
        <v>339216.68000000005</v>
      </c>
      <c r="W465" s="300">
        <f t="shared" si="718"/>
        <v>0</v>
      </c>
      <c r="X465" s="535" t="str">
        <f t="shared" si="761"/>
        <v xml:space="preserve"> </v>
      </c>
      <c r="Y465" s="300">
        <f t="shared" si="730"/>
        <v>207280.25000000023</v>
      </c>
      <c r="Z465" s="527">
        <f t="shared" si="755"/>
        <v>7.0000000000000007E-2</v>
      </c>
      <c r="AA465" s="300">
        <f t="shared" si="756"/>
        <v>1746.44</v>
      </c>
      <c r="AB465" s="300">
        <f t="shared" si="731"/>
        <v>537.30999999999995</v>
      </c>
      <c r="AC465" s="300">
        <f t="shared" si="757"/>
        <v>1209.1300000000001</v>
      </c>
      <c r="AD465" s="300">
        <f t="shared" ref="AD465:AE465" si="771">+AD464</f>
        <v>134.16999999999999</v>
      </c>
      <c r="AE465" s="300">
        <f t="shared" si="771"/>
        <v>188.55</v>
      </c>
      <c r="AF465" s="300">
        <f t="shared" si="733"/>
        <v>2069.1600000000003</v>
      </c>
      <c r="AG465" s="300">
        <f t="shared" si="734"/>
        <v>108181.15999999999</v>
      </c>
      <c r="AH465" s="300">
        <f t="shared" si="735"/>
        <v>593573.72000000079</v>
      </c>
      <c r="AI465" s="545">
        <f t="shared" si="723"/>
        <v>-117776.01000000008</v>
      </c>
      <c r="AJ465" s="545">
        <f t="shared" si="674"/>
        <v>-206742.94000000024</v>
      </c>
      <c r="AK465" s="545">
        <f t="shared" si="724"/>
        <v>-324518.9500000003</v>
      </c>
      <c r="AL465" s="300">
        <f t="shared" si="736"/>
        <v>206742.94000000024</v>
      </c>
      <c r="AM465" s="449">
        <f t="shared" si="763"/>
        <v>33</v>
      </c>
      <c r="AN465" s="14">
        <f t="shared" si="725"/>
        <v>0</v>
      </c>
      <c r="AO465" s="14">
        <f t="shared" si="694"/>
        <v>0</v>
      </c>
      <c r="AP465" s="14">
        <f t="shared" si="726"/>
        <v>0</v>
      </c>
      <c r="AS465" s="14">
        <f t="shared" si="759"/>
        <v>0</v>
      </c>
      <c r="AT465" s="14">
        <f t="shared" si="764"/>
        <v>0</v>
      </c>
      <c r="AU465" s="300">
        <f t="shared" si="765"/>
        <v>0</v>
      </c>
      <c r="AV465" s="300">
        <f t="shared" si="766"/>
        <v>0</v>
      </c>
    </row>
    <row r="466" spans="1:48" x14ac:dyDescent="0.25">
      <c r="A466" s="535" t="str">
        <f t="shared" si="712"/>
        <v xml:space="preserve"> </v>
      </c>
      <c r="B466" s="300">
        <f t="shared" si="706"/>
        <v>0</v>
      </c>
      <c r="C466" s="14">
        <f t="shared" si="753"/>
        <v>0</v>
      </c>
      <c r="D466" s="14">
        <f t="shared" si="767"/>
        <v>0</v>
      </c>
      <c r="E466" s="14">
        <f t="shared" si="754"/>
        <v>0</v>
      </c>
      <c r="F466" s="14">
        <f t="shared" si="713"/>
        <v>134.16999999999999</v>
      </c>
      <c r="G466" s="14">
        <f t="shared" si="709"/>
        <v>188.55</v>
      </c>
      <c r="H466" s="14">
        <f t="shared" si="710"/>
        <v>322.72000000000003</v>
      </c>
      <c r="I466" s="300">
        <f t="shared" si="714"/>
        <v>83483.170000000042</v>
      </c>
      <c r="J466" s="300">
        <f t="shared" si="715"/>
        <v>68536.320000000022</v>
      </c>
      <c r="K466" s="300">
        <f t="shared" si="716"/>
        <v>0</v>
      </c>
      <c r="L466" s="449">
        <f t="shared" si="696"/>
        <v>33</v>
      </c>
      <c r="M466" s="449">
        <f t="shared" si="760"/>
        <v>407</v>
      </c>
      <c r="N466" s="300">
        <f t="shared" si="681"/>
        <v>0</v>
      </c>
      <c r="O466" s="300">
        <f t="shared" si="728"/>
        <v>0</v>
      </c>
      <c r="P466" s="300">
        <f t="shared" si="768"/>
        <v>0</v>
      </c>
      <c r="Q466" s="300">
        <f t="shared" si="729"/>
        <v>0</v>
      </c>
      <c r="R466" s="300">
        <f t="shared" si="720"/>
        <v>134.16999999999999</v>
      </c>
      <c r="S466" s="300">
        <f t="shared" si="721"/>
        <v>188.55</v>
      </c>
      <c r="T466" s="300">
        <f t="shared" si="717"/>
        <v>322.72000000000003</v>
      </c>
      <c r="U466" s="300">
        <f t="shared" si="769"/>
        <v>244762.19000000029</v>
      </c>
      <c r="V466" s="300">
        <f t="shared" si="770"/>
        <v>339216.68000000005</v>
      </c>
      <c r="W466" s="300">
        <f t="shared" si="718"/>
        <v>0</v>
      </c>
      <c r="X466" s="535" t="str">
        <f t="shared" si="761"/>
        <v xml:space="preserve"> </v>
      </c>
      <c r="Y466" s="300">
        <f t="shared" si="730"/>
        <v>206742.94000000024</v>
      </c>
      <c r="Z466" s="527">
        <f t="shared" si="755"/>
        <v>7.0000000000000007E-2</v>
      </c>
      <c r="AA466" s="300">
        <f t="shared" si="756"/>
        <v>1746.44</v>
      </c>
      <c r="AB466" s="300">
        <f t="shared" si="731"/>
        <v>540.44000000000005</v>
      </c>
      <c r="AC466" s="300">
        <f t="shared" si="757"/>
        <v>1206</v>
      </c>
      <c r="AD466" s="300">
        <f t="shared" ref="AD466:AE466" si="772">+AD465</f>
        <v>134.16999999999999</v>
      </c>
      <c r="AE466" s="300">
        <f t="shared" si="772"/>
        <v>188.55</v>
      </c>
      <c r="AF466" s="300">
        <f t="shared" si="733"/>
        <v>2069.1600000000003</v>
      </c>
      <c r="AG466" s="300">
        <f t="shared" si="734"/>
        <v>108721.59999999999</v>
      </c>
      <c r="AH466" s="300">
        <f t="shared" si="735"/>
        <v>594779.72000000079</v>
      </c>
      <c r="AI466" s="545">
        <f t="shared" si="723"/>
        <v>-119522.45000000008</v>
      </c>
      <c r="AJ466" s="545">
        <f t="shared" si="674"/>
        <v>-206202.50000000023</v>
      </c>
      <c r="AK466" s="545">
        <f t="shared" si="724"/>
        <v>-325724.9500000003</v>
      </c>
      <c r="AL466" s="300">
        <f t="shared" si="736"/>
        <v>206202.50000000023</v>
      </c>
      <c r="AM466" s="449">
        <f t="shared" si="763"/>
        <v>33</v>
      </c>
      <c r="AN466" s="14">
        <f t="shared" si="725"/>
        <v>0</v>
      </c>
      <c r="AO466" s="14">
        <f t="shared" si="694"/>
        <v>0</v>
      </c>
      <c r="AP466" s="14">
        <f t="shared" si="726"/>
        <v>0</v>
      </c>
      <c r="AS466" s="14">
        <f t="shared" si="759"/>
        <v>0</v>
      </c>
      <c r="AT466" s="14">
        <f t="shared" si="764"/>
        <v>0</v>
      </c>
      <c r="AU466" s="300">
        <f t="shared" si="765"/>
        <v>0</v>
      </c>
      <c r="AV466" s="300">
        <f t="shared" si="766"/>
        <v>0</v>
      </c>
    </row>
    <row r="467" spans="1:48" x14ac:dyDescent="0.25">
      <c r="A467" s="535" t="str">
        <f t="shared" si="712"/>
        <v xml:space="preserve"> </v>
      </c>
      <c r="B467" s="300">
        <f t="shared" si="706"/>
        <v>0</v>
      </c>
      <c r="C467" s="14">
        <f t="shared" si="753"/>
        <v>0</v>
      </c>
      <c r="D467" s="14">
        <f t="shared" si="767"/>
        <v>0</v>
      </c>
      <c r="E467" s="14">
        <f t="shared" si="754"/>
        <v>0</v>
      </c>
      <c r="F467" s="14">
        <f t="shared" si="713"/>
        <v>134.16999999999999</v>
      </c>
      <c r="G467" s="14">
        <f t="shared" si="709"/>
        <v>188.55</v>
      </c>
      <c r="H467" s="14">
        <f t="shared" si="710"/>
        <v>322.72000000000003</v>
      </c>
      <c r="I467" s="300">
        <f t="shared" si="714"/>
        <v>83483.170000000042</v>
      </c>
      <c r="J467" s="300">
        <f t="shared" si="715"/>
        <v>68536.320000000022</v>
      </c>
      <c r="K467" s="300">
        <f t="shared" si="716"/>
        <v>0</v>
      </c>
      <c r="L467" s="449">
        <f t="shared" si="696"/>
        <v>34</v>
      </c>
      <c r="M467" s="449">
        <f t="shared" si="760"/>
        <v>408</v>
      </c>
      <c r="N467" s="300">
        <f t="shared" si="681"/>
        <v>0</v>
      </c>
      <c r="O467" s="300">
        <f t="shared" si="728"/>
        <v>0</v>
      </c>
      <c r="P467" s="300">
        <f t="shared" si="768"/>
        <v>0</v>
      </c>
      <c r="Q467" s="300">
        <f t="shared" si="729"/>
        <v>0</v>
      </c>
      <c r="R467" s="300">
        <f t="shared" si="720"/>
        <v>134.16999999999999</v>
      </c>
      <c r="S467" s="300">
        <f t="shared" si="721"/>
        <v>188.55</v>
      </c>
      <c r="T467" s="300">
        <f t="shared" si="717"/>
        <v>322.72000000000003</v>
      </c>
      <c r="U467" s="300">
        <f t="shared" si="769"/>
        <v>244762.19000000029</v>
      </c>
      <c r="V467" s="300">
        <f t="shared" si="770"/>
        <v>339216.68000000005</v>
      </c>
      <c r="W467" s="300">
        <f t="shared" si="718"/>
        <v>0</v>
      </c>
      <c r="X467" s="535" t="str">
        <f t="shared" si="761"/>
        <v xml:space="preserve"> </v>
      </c>
      <c r="Y467" s="300">
        <f t="shared" si="730"/>
        <v>206202.50000000023</v>
      </c>
      <c r="Z467" s="527">
        <f t="shared" si="755"/>
        <v>7.0000000000000007E-2</v>
      </c>
      <c r="AA467" s="300">
        <f t="shared" si="756"/>
        <v>1746.44</v>
      </c>
      <c r="AB467" s="300">
        <f t="shared" si="731"/>
        <v>543.59000000000015</v>
      </c>
      <c r="AC467" s="300">
        <f t="shared" si="757"/>
        <v>1202.8499999999999</v>
      </c>
      <c r="AD467" s="300">
        <f t="shared" ref="AD467:AE467" si="773">+AD466</f>
        <v>134.16999999999999</v>
      </c>
      <c r="AE467" s="300">
        <f t="shared" si="773"/>
        <v>188.55</v>
      </c>
      <c r="AF467" s="300">
        <f t="shared" si="733"/>
        <v>2069.1600000000003</v>
      </c>
      <c r="AG467" s="300">
        <f t="shared" si="734"/>
        <v>109265.18999999999</v>
      </c>
      <c r="AH467" s="300">
        <f t="shared" si="735"/>
        <v>595982.57000000076</v>
      </c>
      <c r="AI467" s="545">
        <f t="shared" si="723"/>
        <v>-121268.89000000009</v>
      </c>
      <c r="AJ467" s="545">
        <f t="shared" si="674"/>
        <v>-205658.91000000024</v>
      </c>
      <c r="AK467" s="545">
        <f t="shared" si="724"/>
        <v>-326927.80000000034</v>
      </c>
      <c r="AL467" s="300">
        <f t="shared" si="736"/>
        <v>205658.91000000024</v>
      </c>
      <c r="AM467" s="449">
        <f t="shared" si="763"/>
        <v>34</v>
      </c>
      <c r="AN467" s="14">
        <f t="shared" si="725"/>
        <v>0</v>
      </c>
      <c r="AO467" s="14">
        <f t="shared" si="694"/>
        <v>0</v>
      </c>
      <c r="AP467" s="14">
        <f t="shared" si="726"/>
        <v>0</v>
      </c>
      <c r="AS467" s="14">
        <f t="shared" si="759"/>
        <v>0</v>
      </c>
      <c r="AT467" s="14">
        <f t="shared" si="764"/>
        <v>0</v>
      </c>
      <c r="AU467" s="300">
        <f t="shared" si="765"/>
        <v>0</v>
      </c>
      <c r="AV467" s="300">
        <f t="shared" si="766"/>
        <v>0</v>
      </c>
    </row>
    <row r="468" spans="1:48" x14ac:dyDescent="0.25">
      <c r="A468" s="535" t="str">
        <f t="shared" si="712"/>
        <v xml:space="preserve"> </v>
      </c>
      <c r="B468" s="300">
        <f t="shared" si="706"/>
        <v>0</v>
      </c>
      <c r="C468" s="14">
        <f t="shared" si="753"/>
        <v>0</v>
      </c>
      <c r="D468" s="14">
        <f t="shared" si="767"/>
        <v>0</v>
      </c>
      <c r="E468" s="14">
        <f t="shared" si="754"/>
        <v>0</v>
      </c>
      <c r="F468" s="14">
        <f t="shared" si="713"/>
        <v>134.16999999999999</v>
      </c>
      <c r="G468" s="14">
        <f t="shared" si="709"/>
        <v>188.55</v>
      </c>
      <c r="H468" s="14">
        <f t="shared" si="710"/>
        <v>322.72000000000003</v>
      </c>
      <c r="I468" s="300">
        <f t="shared" si="714"/>
        <v>83483.170000000042</v>
      </c>
      <c r="J468" s="300">
        <f t="shared" si="715"/>
        <v>68536.320000000022</v>
      </c>
      <c r="K468" s="300">
        <f t="shared" si="716"/>
        <v>0</v>
      </c>
      <c r="L468" s="449">
        <f t="shared" si="696"/>
        <v>34</v>
      </c>
      <c r="M468" s="449">
        <f t="shared" si="760"/>
        <v>409</v>
      </c>
      <c r="N468" s="300">
        <f t="shared" si="681"/>
        <v>0</v>
      </c>
      <c r="O468" s="300">
        <f t="shared" si="728"/>
        <v>0</v>
      </c>
      <c r="P468" s="300">
        <f t="shared" si="768"/>
        <v>0</v>
      </c>
      <c r="Q468" s="300">
        <f t="shared" si="729"/>
        <v>0</v>
      </c>
      <c r="R468" s="300">
        <f t="shared" si="720"/>
        <v>134.16999999999999</v>
      </c>
      <c r="S468" s="300">
        <f t="shared" si="721"/>
        <v>188.55</v>
      </c>
      <c r="T468" s="300">
        <f t="shared" si="717"/>
        <v>322.72000000000003</v>
      </c>
      <c r="U468" s="300">
        <f t="shared" si="769"/>
        <v>244762.19000000029</v>
      </c>
      <c r="V468" s="300">
        <f t="shared" si="770"/>
        <v>339216.68000000005</v>
      </c>
      <c r="W468" s="300">
        <f t="shared" si="718"/>
        <v>0</v>
      </c>
      <c r="X468" s="535" t="str">
        <f t="shared" si="761"/>
        <v xml:space="preserve"> </v>
      </c>
      <c r="Y468" s="300">
        <f t="shared" si="730"/>
        <v>205658.91000000024</v>
      </c>
      <c r="Z468" s="527">
        <f t="shared" si="755"/>
        <v>7.0000000000000007E-2</v>
      </c>
      <c r="AA468" s="300">
        <f t="shared" si="756"/>
        <v>1746.44</v>
      </c>
      <c r="AB468" s="300">
        <f t="shared" si="731"/>
        <v>546.76</v>
      </c>
      <c r="AC468" s="300">
        <f t="shared" si="757"/>
        <v>1199.68</v>
      </c>
      <c r="AD468" s="300">
        <f t="shared" ref="AD468:AE468" si="774">+AD467</f>
        <v>134.16999999999999</v>
      </c>
      <c r="AE468" s="300">
        <f t="shared" si="774"/>
        <v>188.55</v>
      </c>
      <c r="AF468" s="300">
        <f t="shared" si="733"/>
        <v>2069.1600000000003</v>
      </c>
      <c r="AG468" s="300">
        <f t="shared" si="734"/>
        <v>109811.94999999998</v>
      </c>
      <c r="AH468" s="300">
        <f t="shared" si="735"/>
        <v>597182.25000000081</v>
      </c>
      <c r="AI468" s="545">
        <f t="shared" si="723"/>
        <v>-123015.33000000009</v>
      </c>
      <c r="AJ468" s="545">
        <f t="shared" si="674"/>
        <v>-205112.15000000023</v>
      </c>
      <c r="AK468" s="545">
        <f t="shared" si="724"/>
        <v>-328127.48000000033</v>
      </c>
      <c r="AL468" s="300">
        <f t="shared" si="736"/>
        <v>205112.15000000023</v>
      </c>
      <c r="AM468" s="449">
        <f t="shared" si="763"/>
        <v>34</v>
      </c>
      <c r="AN468" s="14">
        <f t="shared" si="725"/>
        <v>0</v>
      </c>
      <c r="AO468" s="14">
        <f t="shared" si="694"/>
        <v>0</v>
      </c>
      <c r="AP468" s="14">
        <f t="shared" si="726"/>
        <v>0</v>
      </c>
      <c r="AS468" s="14">
        <f t="shared" si="759"/>
        <v>0</v>
      </c>
      <c r="AT468" s="14">
        <f t="shared" si="764"/>
        <v>0</v>
      </c>
      <c r="AU468" s="300">
        <f t="shared" si="765"/>
        <v>0</v>
      </c>
      <c r="AV468" s="300">
        <f t="shared" si="766"/>
        <v>0</v>
      </c>
    </row>
    <row r="469" spans="1:48" x14ac:dyDescent="0.25">
      <c r="A469" s="535" t="str">
        <f t="shared" si="712"/>
        <v xml:space="preserve"> </v>
      </c>
      <c r="B469" s="300">
        <f t="shared" si="706"/>
        <v>0</v>
      </c>
      <c r="C469" s="14">
        <f t="shared" si="753"/>
        <v>0</v>
      </c>
      <c r="D469" s="14">
        <f t="shared" si="767"/>
        <v>0</v>
      </c>
      <c r="E469" s="14">
        <f t="shared" si="754"/>
        <v>0</v>
      </c>
      <c r="F469" s="14">
        <f t="shared" si="713"/>
        <v>134.16999999999999</v>
      </c>
      <c r="G469" s="14">
        <f t="shared" si="709"/>
        <v>188.55</v>
      </c>
      <c r="H469" s="14">
        <f t="shared" si="710"/>
        <v>322.72000000000003</v>
      </c>
      <c r="I469" s="300">
        <f t="shared" si="714"/>
        <v>83483.170000000042</v>
      </c>
      <c r="J469" s="300">
        <f t="shared" si="715"/>
        <v>68536.320000000022</v>
      </c>
      <c r="K469" s="300">
        <f t="shared" si="716"/>
        <v>0</v>
      </c>
      <c r="L469" s="449">
        <f t="shared" si="696"/>
        <v>34</v>
      </c>
      <c r="M469" s="449">
        <f t="shared" si="760"/>
        <v>410</v>
      </c>
      <c r="N469" s="300">
        <f t="shared" si="681"/>
        <v>0</v>
      </c>
      <c r="O469" s="300">
        <f t="shared" si="728"/>
        <v>0</v>
      </c>
      <c r="P469" s="300">
        <f t="shared" si="768"/>
        <v>0</v>
      </c>
      <c r="Q469" s="300">
        <f t="shared" si="729"/>
        <v>0</v>
      </c>
      <c r="R469" s="300">
        <f t="shared" si="720"/>
        <v>134.16999999999999</v>
      </c>
      <c r="S469" s="300">
        <f t="shared" si="721"/>
        <v>188.55</v>
      </c>
      <c r="T469" s="300">
        <f t="shared" si="717"/>
        <v>322.72000000000003</v>
      </c>
      <c r="U469" s="300">
        <f t="shared" si="769"/>
        <v>244762.19000000029</v>
      </c>
      <c r="V469" s="300">
        <f t="shared" si="770"/>
        <v>339216.68000000005</v>
      </c>
      <c r="W469" s="300">
        <f t="shared" si="718"/>
        <v>0</v>
      </c>
      <c r="X469" s="535" t="str">
        <f t="shared" si="761"/>
        <v xml:space="preserve"> </v>
      </c>
      <c r="Y469" s="300">
        <f t="shared" si="730"/>
        <v>205112.15000000023</v>
      </c>
      <c r="Z469" s="527">
        <f t="shared" si="755"/>
        <v>7.0000000000000007E-2</v>
      </c>
      <c r="AA469" s="300">
        <f t="shared" si="756"/>
        <v>1746.44</v>
      </c>
      <c r="AB469" s="300">
        <f t="shared" si="731"/>
        <v>549.95000000000005</v>
      </c>
      <c r="AC469" s="300">
        <f t="shared" si="757"/>
        <v>1196.49</v>
      </c>
      <c r="AD469" s="300">
        <f t="shared" ref="AD469:AE469" si="775">+AD468</f>
        <v>134.16999999999999</v>
      </c>
      <c r="AE469" s="300">
        <f t="shared" si="775"/>
        <v>188.55</v>
      </c>
      <c r="AF469" s="300">
        <f t="shared" si="733"/>
        <v>2069.1600000000003</v>
      </c>
      <c r="AG469" s="300">
        <f t="shared" si="734"/>
        <v>110361.89999999998</v>
      </c>
      <c r="AH469" s="300">
        <f t="shared" si="735"/>
        <v>598378.74000000081</v>
      </c>
      <c r="AI469" s="545">
        <f t="shared" si="723"/>
        <v>-124761.77000000009</v>
      </c>
      <c r="AJ469" s="545">
        <f t="shared" si="674"/>
        <v>-204562.20000000022</v>
      </c>
      <c r="AK469" s="545">
        <f t="shared" si="724"/>
        <v>-329323.97000000032</v>
      </c>
      <c r="AL469" s="300">
        <f t="shared" si="736"/>
        <v>204562.20000000022</v>
      </c>
      <c r="AM469" s="449">
        <f t="shared" si="763"/>
        <v>34</v>
      </c>
      <c r="AN469" s="14">
        <f t="shared" si="725"/>
        <v>0</v>
      </c>
      <c r="AO469" s="14">
        <f t="shared" si="694"/>
        <v>0</v>
      </c>
      <c r="AP469" s="14">
        <f t="shared" si="726"/>
        <v>0</v>
      </c>
      <c r="AS469" s="14">
        <f t="shared" si="759"/>
        <v>0</v>
      </c>
      <c r="AT469" s="14">
        <f t="shared" si="764"/>
        <v>0</v>
      </c>
      <c r="AU469" s="300">
        <f t="shared" si="765"/>
        <v>0</v>
      </c>
      <c r="AV469" s="300">
        <f t="shared" si="766"/>
        <v>0</v>
      </c>
    </row>
    <row r="470" spans="1:48" ht="15.75" thickBot="1" x14ac:dyDescent="0.3">
      <c r="A470" s="538" t="str">
        <f t="shared" si="712"/>
        <v xml:space="preserve"> </v>
      </c>
      <c r="B470" s="369">
        <f t="shared" si="706"/>
        <v>0</v>
      </c>
      <c r="C470" s="21">
        <f t="shared" si="753"/>
        <v>0</v>
      </c>
      <c r="D470" s="21">
        <f t="shared" si="767"/>
        <v>0</v>
      </c>
      <c r="E470" s="21">
        <f t="shared" si="754"/>
        <v>0</v>
      </c>
      <c r="F470" s="21">
        <f t="shared" si="713"/>
        <v>134.16999999999999</v>
      </c>
      <c r="G470" s="21">
        <f t="shared" si="709"/>
        <v>188.55</v>
      </c>
      <c r="H470" s="21">
        <f t="shared" si="710"/>
        <v>322.72000000000003</v>
      </c>
      <c r="I470" s="369">
        <f t="shared" si="714"/>
        <v>83483.170000000042</v>
      </c>
      <c r="J470" s="369">
        <f t="shared" si="715"/>
        <v>68536.320000000022</v>
      </c>
      <c r="K470" s="369">
        <f t="shared" si="716"/>
        <v>0</v>
      </c>
      <c r="L470" s="450">
        <f t="shared" si="696"/>
        <v>34</v>
      </c>
      <c r="M470" s="450">
        <f t="shared" si="760"/>
        <v>411</v>
      </c>
      <c r="N470" s="369">
        <f t="shared" si="681"/>
        <v>0</v>
      </c>
      <c r="O470" s="369">
        <f t="shared" si="728"/>
        <v>0</v>
      </c>
      <c r="P470" s="369">
        <f t="shared" si="768"/>
        <v>0</v>
      </c>
      <c r="Q470" s="369">
        <f t="shared" si="729"/>
        <v>0</v>
      </c>
      <c r="R470" s="369">
        <f t="shared" si="720"/>
        <v>134.16999999999999</v>
      </c>
      <c r="S470" s="369">
        <f t="shared" si="721"/>
        <v>188.55</v>
      </c>
      <c r="T470" s="369">
        <f t="shared" si="717"/>
        <v>322.72000000000003</v>
      </c>
      <c r="U470" s="369">
        <f t="shared" si="769"/>
        <v>244762.19000000029</v>
      </c>
      <c r="V470" s="369">
        <f t="shared" si="770"/>
        <v>339216.68000000005</v>
      </c>
      <c r="W470" s="369">
        <f t="shared" si="718"/>
        <v>0</v>
      </c>
      <c r="X470" s="538" t="str">
        <f t="shared" si="761"/>
        <v xml:space="preserve"> </v>
      </c>
      <c r="Y470" s="369">
        <f t="shared" si="730"/>
        <v>204562.20000000022</v>
      </c>
      <c r="Z470" s="528">
        <f t="shared" si="755"/>
        <v>7.0000000000000007E-2</v>
      </c>
      <c r="AA470" s="369">
        <f t="shared" si="756"/>
        <v>1746.44</v>
      </c>
      <c r="AB470" s="369">
        <f t="shared" si="731"/>
        <v>553.16000000000008</v>
      </c>
      <c r="AC470" s="369">
        <f t="shared" si="757"/>
        <v>1193.28</v>
      </c>
      <c r="AD470" s="369">
        <f t="shared" ref="AD470:AE470" si="776">+AD469</f>
        <v>134.16999999999999</v>
      </c>
      <c r="AE470" s="369">
        <f t="shared" si="776"/>
        <v>188.55</v>
      </c>
      <c r="AF470" s="369">
        <f t="shared" si="733"/>
        <v>2069.1600000000003</v>
      </c>
      <c r="AG470" s="369">
        <f t="shared" si="734"/>
        <v>110915.05999999998</v>
      </c>
      <c r="AH470" s="369">
        <f t="shared" si="735"/>
        <v>599572.02000000083</v>
      </c>
      <c r="AI470" s="546">
        <f t="shared" si="723"/>
        <v>-126508.21000000009</v>
      </c>
      <c r="AJ470" s="546">
        <f t="shared" si="674"/>
        <v>-204009.04000000021</v>
      </c>
      <c r="AK470" s="545">
        <f t="shared" si="724"/>
        <v>-330517.25000000029</v>
      </c>
      <c r="AL470" s="369">
        <f t="shared" si="736"/>
        <v>204009.04000000021</v>
      </c>
      <c r="AM470" s="450">
        <f t="shared" si="763"/>
        <v>34</v>
      </c>
      <c r="AN470" s="21">
        <f t="shared" si="725"/>
        <v>0</v>
      </c>
      <c r="AO470" s="21">
        <f t="shared" si="694"/>
        <v>0</v>
      </c>
      <c r="AP470" s="21">
        <f t="shared" si="726"/>
        <v>0</v>
      </c>
      <c r="AQ470" s="21"/>
      <c r="AR470" s="23"/>
      <c r="AS470" s="21">
        <f t="shared" si="759"/>
        <v>0</v>
      </c>
      <c r="AT470" s="21">
        <f t="shared" si="764"/>
        <v>0</v>
      </c>
      <c r="AU470" s="369">
        <f t="shared" si="765"/>
        <v>0</v>
      </c>
      <c r="AV470" s="369">
        <f t="shared" si="766"/>
        <v>0</v>
      </c>
    </row>
    <row r="471" spans="1:48" x14ac:dyDescent="0.25">
      <c r="A471" s="535" t="str">
        <f t="shared" si="712"/>
        <v xml:space="preserve"> </v>
      </c>
      <c r="B471" s="300">
        <f t="shared" si="706"/>
        <v>0</v>
      </c>
      <c r="C471" s="14">
        <f t="shared" si="753"/>
        <v>0</v>
      </c>
      <c r="D471" s="14">
        <f t="shared" si="767"/>
        <v>0</v>
      </c>
      <c r="E471" s="14">
        <f t="shared" si="754"/>
        <v>0</v>
      </c>
      <c r="F471" s="14">
        <f t="shared" si="713"/>
        <v>134.16999999999999</v>
      </c>
      <c r="G471" s="14">
        <f t="shared" si="709"/>
        <v>188.55</v>
      </c>
      <c r="H471" s="14">
        <f t="shared" si="710"/>
        <v>322.72000000000003</v>
      </c>
      <c r="I471" s="300">
        <f t="shared" si="714"/>
        <v>83483.170000000042</v>
      </c>
      <c r="J471" s="300">
        <f t="shared" si="715"/>
        <v>68536.320000000022</v>
      </c>
      <c r="K471" s="300">
        <f t="shared" si="716"/>
        <v>0</v>
      </c>
      <c r="L471" s="449">
        <f t="shared" si="696"/>
        <v>34</v>
      </c>
      <c r="M471" s="449">
        <f t="shared" si="760"/>
        <v>412</v>
      </c>
      <c r="N471" s="300">
        <f t="shared" si="681"/>
        <v>0</v>
      </c>
      <c r="O471" s="300">
        <f t="shared" si="728"/>
        <v>0</v>
      </c>
      <c r="P471" s="300">
        <f t="shared" si="768"/>
        <v>0</v>
      </c>
      <c r="Q471" s="300">
        <f t="shared" si="729"/>
        <v>0</v>
      </c>
      <c r="R471" s="300">
        <f t="shared" si="720"/>
        <v>134.16999999999999</v>
      </c>
      <c r="S471" s="300">
        <f t="shared" si="721"/>
        <v>188.55</v>
      </c>
      <c r="T471" s="300">
        <f t="shared" si="717"/>
        <v>322.72000000000003</v>
      </c>
      <c r="U471" s="300">
        <f t="shared" si="769"/>
        <v>244762.19000000029</v>
      </c>
      <c r="V471" s="300">
        <f t="shared" si="770"/>
        <v>339216.68000000005</v>
      </c>
      <c r="W471" s="300">
        <f t="shared" si="718"/>
        <v>0</v>
      </c>
      <c r="X471" s="535" t="str">
        <f t="shared" si="761"/>
        <v xml:space="preserve"> </v>
      </c>
      <c r="Y471" s="300">
        <f t="shared" si="730"/>
        <v>204009.04000000021</v>
      </c>
      <c r="Z471" s="527">
        <f t="shared" si="755"/>
        <v>7.0000000000000007E-2</v>
      </c>
      <c r="AA471" s="300">
        <f t="shared" si="756"/>
        <v>1746.44</v>
      </c>
      <c r="AB471" s="300">
        <f t="shared" si="731"/>
        <v>556.3900000000001</v>
      </c>
      <c r="AC471" s="300">
        <f t="shared" si="757"/>
        <v>1190.05</v>
      </c>
      <c r="AD471" s="300">
        <f t="shared" ref="AD471:AE471" si="777">+AD470</f>
        <v>134.16999999999999</v>
      </c>
      <c r="AE471" s="300">
        <f t="shared" si="777"/>
        <v>188.55</v>
      </c>
      <c r="AF471" s="300">
        <f t="shared" si="733"/>
        <v>2069.1600000000003</v>
      </c>
      <c r="AG471" s="300">
        <f t="shared" si="734"/>
        <v>111471.44999999998</v>
      </c>
      <c r="AH471" s="300">
        <f t="shared" si="735"/>
        <v>600762.07000000088</v>
      </c>
      <c r="AI471" s="545">
        <f t="shared" si="723"/>
        <v>-128254.6500000001</v>
      </c>
      <c r="AJ471" s="545">
        <f t="shared" si="674"/>
        <v>-203452.6500000002</v>
      </c>
      <c r="AK471" s="545">
        <f t="shared" si="724"/>
        <v>-331707.30000000028</v>
      </c>
      <c r="AL471" s="300">
        <f t="shared" si="736"/>
        <v>203452.6500000002</v>
      </c>
      <c r="AM471" s="449">
        <f t="shared" si="763"/>
        <v>34</v>
      </c>
      <c r="AN471" s="14">
        <f t="shared" si="725"/>
        <v>0</v>
      </c>
      <c r="AO471" s="14">
        <f t="shared" si="694"/>
        <v>0</v>
      </c>
      <c r="AP471" s="14">
        <f t="shared" si="726"/>
        <v>0</v>
      </c>
      <c r="AS471" s="14">
        <f t="shared" si="759"/>
        <v>0</v>
      </c>
      <c r="AT471" s="14">
        <f t="shared" si="764"/>
        <v>0</v>
      </c>
      <c r="AU471" s="300">
        <f t="shared" si="765"/>
        <v>0</v>
      </c>
      <c r="AV471" s="300">
        <f t="shared" si="766"/>
        <v>0</v>
      </c>
    </row>
    <row r="472" spans="1:48" x14ac:dyDescent="0.25">
      <c r="A472" s="535" t="str">
        <f t="shared" si="712"/>
        <v xml:space="preserve"> </v>
      </c>
      <c r="B472" s="300">
        <f t="shared" si="706"/>
        <v>0</v>
      </c>
      <c r="C472" s="14">
        <f t="shared" si="753"/>
        <v>0</v>
      </c>
      <c r="D472" s="14">
        <f t="shared" si="767"/>
        <v>0</v>
      </c>
      <c r="E472" s="14">
        <f t="shared" si="754"/>
        <v>0</v>
      </c>
      <c r="F472" s="14">
        <f t="shared" si="713"/>
        <v>134.16999999999999</v>
      </c>
      <c r="G472" s="14">
        <f t="shared" si="709"/>
        <v>188.55</v>
      </c>
      <c r="H472" s="14">
        <f t="shared" si="710"/>
        <v>322.72000000000003</v>
      </c>
      <c r="I472" s="300">
        <f t="shared" si="714"/>
        <v>83483.170000000042</v>
      </c>
      <c r="J472" s="300">
        <f t="shared" si="715"/>
        <v>68536.320000000022</v>
      </c>
      <c r="K472" s="300">
        <f t="shared" si="716"/>
        <v>0</v>
      </c>
      <c r="L472" s="449">
        <f t="shared" si="696"/>
        <v>34</v>
      </c>
      <c r="M472" s="449">
        <f t="shared" si="760"/>
        <v>413</v>
      </c>
      <c r="N472" s="300">
        <f t="shared" si="681"/>
        <v>0</v>
      </c>
      <c r="O472" s="300">
        <f t="shared" si="728"/>
        <v>0</v>
      </c>
      <c r="P472" s="300">
        <f t="shared" si="768"/>
        <v>0</v>
      </c>
      <c r="Q472" s="300">
        <f t="shared" si="729"/>
        <v>0</v>
      </c>
      <c r="R472" s="300">
        <f t="shared" si="720"/>
        <v>134.16999999999999</v>
      </c>
      <c r="S472" s="300">
        <f t="shared" si="721"/>
        <v>188.55</v>
      </c>
      <c r="T472" s="300">
        <f t="shared" si="717"/>
        <v>322.72000000000003</v>
      </c>
      <c r="U472" s="300">
        <f t="shared" si="769"/>
        <v>244762.19000000029</v>
      </c>
      <c r="V472" s="300">
        <f t="shared" si="770"/>
        <v>339216.68000000005</v>
      </c>
      <c r="W472" s="300">
        <f t="shared" si="718"/>
        <v>0</v>
      </c>
      <c r="X472" s="535" t="str">
        <f t="shared" si="761"/>
        <v xml:space="preserve"> </v>
      </c>
      <c r="Y472" s="300">
        <f t="shared" si="730"/>
        <v>203452.6500000002</v>
      </c>
      <c r="Z472" s="527">
        <f t="shared" si="755"/>
        <v>7.0000000000000007E-2</v>
      </c>
      <c r="AA472" s="300">
        <f t="shared" si="756"/>
        <v>1746.44</v>
      </c>
      <c r="AB472" s="300">
        <f t="shared" si="731"/>
        <v>559.63000000000011</v>
      </c>
      <c r="AC472" s="300">
        <f t="shared" si="757"/>
        <v>1186.81</v>
      </c>
      <c r="AD472" s="300">
        <f t="shared" ref="AD472:AE472" si="778">+AD471</f>
        <v>134.16999999999999</v>
      </c>
      <c r="AE472" s="300">
        <f t="shared" si="778"/>
        <v>188.55</v>
      </c>
      <c r="AF472" s="300">
        <f t="shared" si="733"/>
        <v>2069.1600000000003</v>
      </c>
      <c r="AG472" s="300">
        <f t="shared" si="734"/>
        <v>112031.07999999999</v>
      </c>
      <c r="AH472" s="300">
        <f t="shared" si="735"/>
        <v>601948.88000000094</v>
      </c>
      <c r="AI472" s="545">
        <f t="shared" si="723"/>
        <v>-130001.0900000001</v>
      </c>
      <c r="AJ472" s="545">
        <f t="shared" si="674"/>
        <v>-202893.02000000019</v>
      </c>
      <c r="AK472" s="545">
        <f t="shared" si="724"/>
        <v>-332894.11000000028</v>
      </c>
      <c r="AL472" s="300">
        <f t="shared" si="736"/>
        <v>202893.02000000019</v>
      </c>
      <c r="AM472" s="449">
        <f t="shared" si="763"/>
        <v>34</v>
      </c>
      <c r="AN472" s="14">
        <f t="shared" si="725"/>
        <v>0</v>
      </c>
      <c r="AO472" s="14">
        <f t="shared" si="694"/>
        <v>0</v>
      </c>
      <c r="AP472" s="14">
        <f t="shared" si="726"/>
        <v>0</v>
      </c>
      <c r="AS472" s="14">
        <f t="shared" si="759"/>
        <v>0</v>
      </c>
      <c r="AT472" s="14">
        <f t="shared" si="764"/>
        <v>0</v>
      </c>
      <c r="AU472" s="300">
        <f t="shared" si="765"/>
        <v>0</v>
      </c>
      <c r="AV472" s="300">
        <f t="shared" si="766"/>
        <v>0</v>
      </c>
    </row>
    <row r="473" spans="1:48" x14ac:dyDescent="0.25">
      <c r="A473" s="535" t="str">
        <f t="shared" si="712"/>
        <v xml:space="preserve"> </v>
      </c>
      <c r="B473" s="300">
        <f t="shared" si="706"/>
        <v>0</v>
      </c>
      <c r="C473" s="14">
        <f t="shared" si="753"/>
        <v>0</v>
      </c>
      <c r="D473" s="14">
        <f t="shared" si="767"/>
        <v>0</v>
      </c>
      <c r="E473" s="14">
        <f t="shared" si="754"/>
        <v>0</v>
      </c>
      <c r="F473" s="14">
        <f t="shared" si="713"/>
        <v>134.16999999999999</v>
      </c>
      <c r="G473" s="14">
        <f t="shared" si="709"/>
        <v>188.55</v>
      </c>
      <c r="H473" s="14">
        <f t="shared" si="710"/>
        <v>322.72000000000003</v>
      </c>
      <c r="I473" s="300">
        <f t="shared" si="714"/>
        <v>83483.170000000042</v>
      </c>
      <c r="J473" s="300">
        <f t="shared" si="715"/>
        <v>68536.320000000022</v>
      </c>
      <c r="K473" s="300">
        <f t="shared" si="716"/>
        <v>0</v>
      </c>
      <c r="L473" s="449">
        <f t="shared" si="696"/>
        <v>34</v>
      </c>
      <c r="M473" s="449">
        <f t="shared" si="760"/>
        <v>414</v>
      </c>
      <c r="N473" s="300">
        <f t="shared" si="681"/>
        <v>0</v>
      </c>
      <c r="O473" s="300">
        <f t="shared" si="728"/>
        <v>0</v>
      </c>
      <c r="P473" s="300">
        <f t="shared" si="768"/>
        <v>0</v>
      </c>
      <c r="Q473" s="300">
        <f t="shared" si="729"/>
        <v>0</v>
      </c>
      <c r="R473" s="300">
        <f t="shared" si="720"/>
        <v>134.16999999999999</v>
      </c>
      <c r="S473" s="300">
        <f t="shared" si="721"/>
        <v>188.55</v>
      </c>
      <c r="T473" s="300">
        <f t="shared" si="717"/>
        <v>322.72000000000003</v>
      </c>
      <c r="U473" s="300">
        <f t="shared" si="769"/>
        <v>244762.19000000029</v>
      </c>
      <c r="V473" s="300">
        <f t="shared" si="770"/>
        <v>339216.68000000005</v>
      </c>
      <c r="W473" s="300">
        <f t="shared" si="718"/>
        <v>0</v>
      </c>
      <c r="X473" s="535" t="str">
        <f t="shared" si="761"/>
        <v xml:space="preserve"> </v>
      </c>
      <c r="Y473" s="300">
        <f t="shared" si="730"/>
        <v>202893.02000000019</v>
      </c>
      <c r="Z473" s="527">
        <f t="shared" si="755"/>
        <v>7.0000000000000007E-2</v>
      </c>
      <c r="AA473" s="300">
        <f t="shared" si="756"/>
        <v>1746.44</v>
      </c>
      <c r="AB473" s="300">
        <f t="shared" si="731"/>
        <v>562.90000000000009</v>
      </c>
      <c r="AC473" s="300">
        <f t="shared" si="757"/>
        <v>1183.54</v>
      </c>
      <c r="AD473" s="300">
        <f t="shared" ref="AD473:AE473" si="779">+AD472</f>
        <v>134.16999999999999</v>
      </c>
      <c r="AE473" s="300">
        <f t="shared" si="779"/>
        <v>188.55</v>
      </c>
      <c r="AF473" s="300">
        <f t="shared" si="733"/>
        <v>2069.1600000000003</v>
      </c>
      <c r="AG473" s="300">
        <f t="shared" si="734"/>
        <v>112593.97999999998</v>
      </c>
      <c r="AH473" s="300">
        <f t="shared" si="735"/>
        <v>603132.42000000097</v>
      </c>
      <c r="AI473" s="545">
        <f t="shared" si="723"/>
        <v>-131747.53000000009</v>
      </c>
      <c r="AJ473" s="545">
        <f t="shared" si="674"/>
        <v>-202330.1200000002</v>
      </c>
      <c r="AK473" s="545">
        <f t="shared" si="724"/>
        <v>-334077.65000000026</v>
      </c>
      <c r="AL473" s="300">
        <f t="shared" si="736"/>
        <v>202330.1200000002</v>
      </c>
      <c r="AM473" s="449">
        <f t="shared" si="763"/>
        <v>34</v>
      </c>
      <c r="AN473" s="14">
        <f t="shared" si="725"/>
        <v>0</v>
      </c>
      <c r="AO473" s="14">
        <f t="shared" si="694"/>
        <v>0</v>
      </c>
      <c r="AP473" s="14">
        <f t="shared" si="726"/>
        <v>0</v>
      </c>
      <c r="AS473" s="14">
        <f t="shared" si="759"/>
        <v>0</v>
      </c>
      <c r="AT473" s="14">
        <f t="shared" si="764"/>
        <v>0</v>
      </c>
      <c r="AU473" s="300">
        <f t="shared" si="765"/>
        <v>0</v>
      </c>
      <c r="AV473" s="300">
        <f t="shared" si="766"/>
        <v>0</v>
      </c>
    </row>
    <row r="474" spans="1:48" x14ac:dyDescent="0.25">
      <c r="A474" s="535" t="str">
        <f t="shared" si="712"/>
        <v xml:space="preserve"> </v>
      </c>
      <c r="B474" s="300">
        <f t="shared" si="706"/>
        <v>0</v>
      </c>
      <c r="C474" s="14">
        <f t="shared" si="753"/>
        <v>0</v>
      </c>
      <c r="D474" s="14">
        <f t="shared" si="767"/>
        <v>0</v>
      </c>
      <c r="E474" s="14">
        <f t="shared" si="754"/>
        <v>0</v>
      </c>
      <c r="F474" s="14">
        <f t="shared" si="713"/>
        <v>134.16999999999999</v>
      </c>
      <c r="G474" s="14">
        <f t="shared" si="709"/>
        <v>188.55</v>
      </c>
      <c r="H474" s="14">
        <f t="shared" si="710"/>
        <v>322.72000000000003</v>
      </c>
      <c r="I474" s="300">
        <f t="shared" si="714"/>
        <v>83483.170000000042</v>
      </c>
      <c r="J474" s="300">
        <f t="shared" si="715"/>
        <v>68536.320000000022</v>
      </c>
      <c r="K474" s="300">
        <f t="shared" si="716"/>
        <v>0</v>
      </c>
      <c r="L474" s="449">
        <f t="shared" si="696"/>
        <v>34</v>
      </c>
      <c r="M474" s="449">
        <f t="shared" si="760"/>
        <v>415</v>
      </c>
      <c r="N474" s="300">
        <f t="shared" si="681"/>
        <v>0</v>
      </c>
      <c r="O474" s="300">
        <f t="shared" si="728"/>
        <v>0</v>
      </c>
      <c r="P474" s="300">
        <f t="shared" si="768"/>
        <v>0</v>
      </c>
      <c r="Q474" s="300">
        <f t="shared" si="729"/>
        <v>0</v>
      </c>
      <c r="R474" s="300">
        <f t="shared" si="720"/>
        <v>134.16999999999999</v>
      </c>
      <c r="S474" s="300">
        <f t="shared" si="721"/>
        <v>188.55</v>
      </c>
      <c r="T474" s="300">
        <f t="shared" si="717"/>
        <v>322.72000000000003</v>
      </c>
      <c r="U474" s="300">
        <f t="shared" si="769"/>
        <v>244762.19000000029</v>
      </c>
      <c r="V474" s="300">
        <f t="shared" si="770"/>
        <v>339216.68000000005</v>
      </c>
      <c r="W474" s="300">
        <f t="shared" si="718"/>
        <v>0</v>
      </c>
      <c r="X474" s="535" t="str">
        <f t="shared" si="761"/>
        <v xml:space="preserve"> </v>
      </c>
      <c r="Y474" s="300">
        <f t="shared" si="730"/>
        <v>202330.1200000002</v>
      </c>
      <c r="Z474" s="527">
        <f t="shared" si="755"/>
        <v>7.0000000000000007E-2</v>
      </c>
      <c r="AA474" s="300">
        <f t="shared" si="756"/>
        <v>1746.44</v>
      </c>
      <c r="AB474" s="300">
        <f t="shared" si="731"/>
        <v>566.18000000000006</v>
      </c>
      <c r="AC474" s="300">
        <f t="shared" si="757"/>
        <v>1180.26</v>
      </c>
      <c r="AD474" s="300">
        <f t="shared" ref="AD474:AE474" si="780">+AD473</f>
        <v>134.16999999999999</v>
      </c>
      <c r="AE474" s="300">
        <f t="shared" si="780"/>
        <v>188.55</v>
      </c>
      <c r="AF474" s="300">
        <f t="shared" si="733"/>
        <v>2069.1600000000003</v>
      </c>
      <c r="AG474" s="300">
        <f t="shared" si="734"/>
        <v>113160.15999999997</v>
      </c>
      <c r="AH474" s="300">
        <f t="shared" si="735"/>
        <v>604312.68000000098</v>
      </c>
      <c r="AI474" s="545">
        <f t="shared" si="723"/>
        <v>-133493.97000000009</v>
      </c>
      <c r="AJ474" s="545">
        <f t="shared" si="674"/>
        <v>-201763.94000000021</v>
      </c>
      <c r="AK474" s="545">
        <f t="shared" si="724"/>
        <v>-335257.91000000027</v>
      </c>
      <c r="AL474" s="300">
        <f t="shared" si="736"/>
        <v>201763.94000000021</v>
      </c>
      <c r="AM474" s="449">
        <f t="shared" si="763"/>
        <v>34</v>
      </c>
      <c r="AN474" s="14">
        <f t="shared" si="725"/>
        <v>0</v>
      </c>
      <c r="AO474" s="14">
        <f t="shared" si="694"/>
        <v>0</v>
      </c>
      <c r="AP474" s="14">
        <f t="shared" si="726"/>
        <v>0</v>
      </c>
      <c r="AS474" s="14">
        <f t="shared" si="759"/>
        <v>0</v>
      </c>
      <c r="AT474" s="14">
        <f t="shared" si="764"/>
        <v>0</v>
      </c>
      <c r="AU474" s="300">
        <f t="shared" si="765"/>
        <v>0</v>
      </c>
      <c r="AV474" s="300">
        <f t="shared" si="766"/>
        <v>0</v>
      </c>
    </row>
    <row r="475" spans="1:48" x14ac:dyDescent="0.25">
      <c r="A475" s="535" t="str">
        <f t="shared" si="712"/>
        <v xml:space="preserve"> </v>
      </c>
      <c r="B475" s="300">
        <f t="shared" si="706"/>
        <v>0</v>
      </c>
      <c r="C475" s="14">
        <f t="shared" si="753"/>
        <v>0</v>
      </c>
      <c r="D475" s="14">
        <f t="shared" si="767"/>
        <v>0</v>
      </c>
      <c r="E475" s="14">
        <f t="shared" si="754"/>
        <v>0</v>
      </c>
      <c r="F475" s="14">
        <f t="shared" si="713"/>
        <v>134.16999999999999</v>
      </c>
      <c r="G475" s="14">
        <f t="shared" si="709"/>
        <v>188.55</v>
      </c>
      <c r="H475" s="14">
        <f t="shared" si="710"/>
        <v>322.72000000000003</v>
      </c>
      <c r="I475" s="300">
        <f t="shared" si="714"/>
        <v>83483.170000000042</v>
      </c>
      <c r="J475" s="300">
        <f t="shared" si="715"/>
        <v>68536.320000000022</v>
      </c>
      <c r="K475" s="300">
        <f t="shared" si="716"/>
        <v>0</v>
      </c>
      <c r="L475" s="449">
        <f t="shared" si="696"/>
        <v>34</v>
      </c>
      <c r="M475" s="449">
        <f t="shared" si="760"/>
        <v>416</v>
      </c>
      <c r="N475" s="300">
        <f t="shared" si="681"/>
        <v>0</v>
      </c>
      <c r="O475" s="300">
        <f t="shared" si="728"/>
        <v>0</v>
      </c>
      <c r="P475" s="300">
        <f t="shared" si="768"/>
        <v>0</v>
      </c>
      <c r="Q475" s="300">
        <f t="shared" si="729"/>
        <v>0</v>
      </c>
      <c r="R475" s="300">
        <f t="shared" si="720"/>
        <v>134.16999999999999</v>
      </c>
      <c r="S475" s="300">
        <f t="shared" si="721"/>
        <v>188.55</v>
      </c>
      <c r="T475" s="300">
        <f t="shared" si="717"/>
        <v>322.72000000000003</v>
      </c>
      <c r="U475" s="300">
        <f t="shared" si="769"/>
        <v>244762.19000000029</v>
      </c>
      <c r="V475" s="300">
        <f t="shared" si="770"/>
        <v>339216.68000000005</v>
      </c>
      <c r="W475" s="300">
        <f t="shared" si="718"/>
        <v>0</v>
      </c>
      <c r="X475" s="535" t="str">
        <f t="shared" si="761"/>
        <v xml:space="preserve"> </v>
      </c>
      <c r="Y475" s="300">
        <f t="shared" si="730"/>
        <v>201763.94000000021</v>
      </c>
      <c r="Z475" s="527">
        <f t="shared" si="755"/>
        <v>7.0000000000000007E-2</v>
      </c>
      <c r="AA475" s="300">
        <f t="shared" si="756"/>
        <v>1746.44</v>
      </c>
      <c r="AB475" s="300">
        <f t="shared" si="731"/>
        <v>569.48</v>
      </c>
      <c r="AC475" s="300">
        <f t="shared" si="757"/>
        <v>1176.96</v>
      </c>
      <c r="AD475" s="300">
        <f t="shared" ref="AD475:AE475" si="781">+AD474</f>
        <v>134.16999999999999</v>
      </c>
      <c r="AE475" s="300">
        <f t="shared" si="781"/>
        <v>188.55</v>
      </c>
      <c r="AF475" s="300">
        <f t="shared" si="733"/>
        <v>2069.1600000000003</v>
      </c>
      <c r="AG475" s="300">
        <f t="shared" si="734"/>
        <v>113729.63999999997</v>
      </c>
      <c r="AH475" s="300">
        <f t="shared" si="735"/>
        <v>605489.64000000095</v>
      </c>
      <c r="AI475" s="545">
        <f t="shared" si="723"/>
        <v>-135240.41000000009</v>
      </c>
      <c r="AJ475" s="545">
        <f t="shared" ref="AJ475:AJ538" si="782">+W475-AL475</f>
        <v>-201194.4600000002</v>
      </c>
      <c r="AK475" s="545">
        <f t="shared" si="724"/>
        <v>-336434.87000000029</v>
      </c>
      <c r="AL475" s="300">
        <f t="shared" si="736"/>
        <v>201194.4600000002</v>
      </c>
      <c r="AM475" s="449">
        <f t="shared" si="763"/>
        <v>34</v>
      </c>
      <c r="AN475" s="14">
        <f t="shared" si="725"/>
        <v>0</v>
      </c>
      <c r="AO475" s="14">
        <f t="shared" si="694"/>
        <v>0</v>
      </c>
      <c r="AP475" s="14">
        <f t="shared" si="726"/>
        <v>0</v>
      </c>
      <c r="AS475" s="14">
        <f t="shared" si="759"/>
        <v>0</v>
      </c>
      <c r="AT475" s="14">
        <f t="shared" si="764"/>
        <v>0</v>
      </c>
      <c r="AU475" s="300">
        <f t="shared" si="765"/>
        <v>0</v>
      </c>
      <c r="AV475" s="300">
        <f t="shared" si="766"/>
        <v>0</v>
      </c>
    </row>
    <row r="476" spans="1:48" x14ac:dyDescent="0.25">
      <c r="A476" s="535" t="str">
        <f t="shared" si="712"/>
        <v xml:space="preserve"> </v>
      </c>
      <c r="B476" s="300">
        <f t="shared" si="706"/>
        <v>0</v>
      </c>
      <c r="C476" s="14">
        <f t="shared" si="753"/>
        <v>0</v>
      </c>
      <c r="D476" s="14">
        <f t="shared" si="767"/>
        <v>0</v>
      </c>
      <c r="E476" s="14">
        <f t="shared" si="754"/>
        <v>0</v>
      </c>
      <c r="F476" s="14">
        <f t="shared" si="713"/>
        <v>134.16999999999999</v>
      </c>
      <c r="G476" s="14">
        <f t="shared" si="709"/>
        <v>188.55</v>
      </c>
      <c r="H476" s="14">
        <f t="shared" si="710"/>
        <v>322.72000000000003</v>
      </c>
      <c r="I476" s="300">
        <f t="shared" si="714"/>
        <v>83483.170000000042</v>
      </c>
      <c r="J476" s="300">
        <f t="shared" si="715"/>
        <v>68536.320000000022</v>
      </c>
      <c r="K476" s="300">
        <f t="shared" si="716"/>
        <v>0</v>
      </c>
      <c r="L476" s="449">
        <f t="shared" si="696"/>
        <v>34</v>
      </c>
      <c r="M476" s="449">
        <f t="shared" si="760"/>
        <v>417</v>
      </c>
      <c r="N476" s="300">
        <f t="shared" si="681"/>
        <v>0</v>
      </c>
      <c r="O476" s="300">
        <f t="shared" si="728"/>
        <v>0</v>
      </c>
      <c r="P476" s="300">
        <f t="shared" si="768"/>
        <v>0</v>
      </c>
      <c r="Q476" s="300">
        <f t="shared" si="729"/>
        <v>0</v>
      </c>
      <c r="R476" s="300">
        <f t="shared" si="720"/>
        <v>134.16999999999999</v>
      </c>
      <c r="S476" s="300">
        <f t="shared" si="721"/>
        <v>188.55</v>
      </c>
      <c r="T476" s="300">
        <f t="shared" si="717"/>
        <v>322.72000000000003</v>
      </c>
      <c r="U476" s="300">
        <f t="shared" si="769"/>
        <v>244762.19000000029</v>
      </c>
      <c r="V476" s="300">
        <f t="shared" si="770"/>
        <v>339216.68000000005</v>
      </c>
      <c r="W476" s="300">
        <f t="shared" si="718"/>
        <v>0</v>
      </c>
      <c r="X476" s="535" t="str">
        <f t="shared" si="761"/>
        <v xml:space="preserve"> </v>
      </c>
      <c r="Y476" s="300">
        <f t="shared" si="730"/>
        <v>201194.4600000002</v>
      </c>
      <c r="Z476" s="527">
        <f t="shared" si="755"/>
        <v>7.0000000000000007E-2</v>
      </c>
      <c r="AA476" s="300">
        <f t="shared" si="756"/>
        <v>1746.44</v>
      </c>
      <c r="AB476" s="300">
        <f t="shared" si="731"/>
        <v>572.80999999999995</v>
      </c>
      <c r="AC476" s="300">
        <f t="shared" si="757"/>
        <v>1173.6300000000001</v>
      </c>
      <c r="AD476" s="300">
        <f t="shared" ref="AD476:AE476" si="783">+AD475</f>
        <v>134.16999999999999</v>
      </c>
      <c r="AE476" s="300">
        <f t="shared" si="783"/>
        <v>188.55</v>
      </c>
      <c r="AF476" s="300">
        <f t="shared" si="733"/>
        <v>2069.1600000000003</v>
      </c>
      <c r="AG476" s="300">
        <f t="shared" si="734"/>
        <v>114302.44999999997</v>
      </c>
      <c r="AH476" s="300">
        <f t="shared" si="735"/>
        <v>606663.27000000095</v>
      </c>
      <c r="AI476" s="545">
        <f t="shared" si="723"/>
        <v>-136986.85000000009</v>
      </c>
      <c r="AJ476" s="545">
        <f t="shared" si="782"/>
        <v>-200621.6500000002</v>
      </c>
      <c r="AK476" s="545">
        <f t="shared" si="724"/>
        <v>-337608.50000000029</v>
      </c>
      <c r="AL476" s="300">
        <f t="shared" si="736"/>
        <v>200621.6500000002</v>
      </c>
      <c r="AM476" s="449">
        <f t="shared" si="763"/>
        <v>34</v>
      </c>
      <c r="AN476" s="14">
        <f t="shared" si="725"/>
        <v>0</v>
      </c>
      <c r="AO476" s="14">
        <f t="shared" si="694"/>
        <v>0</v>
      </c>
      <c r="AP476" s="14">
        <f t="shared" si="726"/>
        <v>0</v>
      </c>
      <c r="AS476" s="14">
        <f t="shared" si="759"/>
        <v>0</v>
      </c>
      <c r="AT476" s="14">
        <f t="shared" si="764"/>
        <v>0</v>
      </c>
      <c r="AU476" s="300">
        <f t="shared" si="765"/>
        <v>0</v>
      </c>
      <c r="AV476" s="300">
        <f t="shared" si="766"/>
        <v>0</v>
      </c>
    </row>
    <row r="477" spans="1:48" x14ac:dyDescent="0.25">
      <c r="A477" s="535" t="str">
        <f t="shared" si="712"/>
        <v xml:space="preserve"> </v>
      </c>
      <c r="B477" s="300">
        <f t="shared" si="706"/>
        <v>0</v>
      </c>
      <c r="C477" s="14">
        <f t="shared" si="753"/>
        <v>0</v>
      </c>
      <c r="D477" s="14">
        <f t="shared" si="767"/>
        <v>0</v>
      </c>
      <c r="E477" s="14">
        <f t="shared" si="754"/>
        <v>0</v>
      </c>
      <c r="F477" s="14">
        <f t="shared" si="713"/>
        <v>134.16999999999999</v>
      </c>
      <c r="G477" s="14">
        <f t="shared" si="709"/>
        <v>188.55</v>
      </c>
      <c r="H477" s="14">
        <f t="shared" si="710"/>
        <v>322.72000000000003</v>
      </c>
      <c r="I477" s="300">
        <f t="shared" si="714"/>
        <v>83483.170000000042</v>
      </c>
      <c r="J477" s="300">
        <f t="shared" si="715"/>
        <v>68536.320000000022</v>
      </c>
      <c r="K477" s="300">
        <f t="shared" si="716"/>
        <v>0</v>
      </c>
      <c r="L477" s="449">
        <f t="shared" si="696"/>
        <v>34</v>
      </c>
      <c r="M477" s="449">
        <f t="shared" si="760"/>
        <v>418</v>
      </c>
      <c r="N477" s="300">
        <f t="shared" si="681"/>
        <v>0</v>
      </c>
      <c r="O477" s="300">
        <f t="shared" si="728"/>
        <v>0</v>
      </c>
      <c r="P477" s="300">
        <f t="shared" si="768"/>
        <v>0</v>
      </c>
      <c r="Q477" s="300">
        <f t="shared" si="729"/>
        <v>0</v>
      </c>
      <c r="R477" s="300">
        <f t="shared" si="720"/>
        <v>134.16999999999999</v>
      </c>
      <c r="S477" s="300">
        <f t="shared" si="721"/>
        <v>188.55</v>
      </c>
      <c r="T477" s="300">
        <f t="shared" si="717"/>
        <v>322.72000000000003</v>
      </c>
      <c r="U477" s="300">
        <f t="shared" si="769"/>
        <v>244762.19000000029</v>
      </c>
      <c r="V477" s="300">
        <f t="shared" si="770"/>
        <v>339216.68000000005</v>
      </c>
      <c r="W477" s="300">
        <f t="shared" si="718"/>
        <v>0</v>
      </c>
      <c r="X477" s="535" t="str">
        <f t="shared" si="761"/>
        <v xml:space="preserve"> </v>
      </c>
      <c r="Y477" s="300">
        <f t="shared" si="730"/>
        <v>200621.6500000002</v>
      </c>
      <c r="Z477" s="527">
        <f t="shared" si="755"/>
        <v>7.0000000000000007E-2</v>
      </c>
      <c r="AA477" s="300">
        <f t="shared" si="756"/>
        <v>1746.44</v>
      </c>
      <c r="AB477" s="300">
        <f t="shared" si="731"/>
        <v>576.15000000000009</v>
      </c>
      <c r="AC477" s="300">
        <f t="shared" si="757"/>
        <v>1170.29</v>
      </c>
      <c r="AD477" s="300">
        <f t="shared" ref="AD477:AE477" si="784">+AD476</f>
        <v>134.16999999999999</v>
      </c>
      <c r="AE477" s="300">
        <f t="shared" si="784"/>
        <v>188.55</v>
      </c>
      <c r="AF477" s="300">
        <f t="shared" si="733"/>
        <v>2069.1600000000003</v>
      </c>
      <c r="AG477" s="300">
        <f t="shared" si="734"/>
        <v>114878.59999999996</v>
      </c>
      <c r="AH477" s="300">
        <f t="shared" si="735"/>
        <v>607833.56000000099</v>
      </c>
      <c r="AI477" s="545">
        <f t="shared" si="723"/>
        <v>-138733.2900000001</v>
      </c>
      <c r="AJ477" s="545">
        <f t="shared" si="782"/>
        <v>-200045.5000000002</v>
      </c>
      <c r="AK477" s="545">
        <f t="shared" si="724"/>
        <v>-338778.79000000027</v>
      </c>
      <c r="AL477" s="300">
        <f t="shared" si="736"/>
        <v>200045.5000000002</v>
      </c>
      <c r="AM477" s="449">
        <f t="shared" si="763"/>
        <v>34</v>
      </c>
      <c r="AN477" s="14">
        <f t="shared" si="725"/>
        <v>0</v>
      </c>
      <c r="AO477" s="14">
        <f t="shared" si="694"/>
        <v>0</v>
      </c>
      <c r="AP477" s="14">
        <f t="shared" si="726"/>
        <v>0</v>
      </c>
      <c r="AS477" s="14">
        <f t="shared" si="759"/>
        <v>0</v>
      </c>
      <c r="AT477" s="14">
        <f t="shared" si="764"/>
        <v>0</v>
      </c>
      <c r="AU477" s="300">
        <f t="shared" si="765"/>
        <v>0</v>
      </c>
      <c r="AV477" s="300">
        <f t="shared" si="766"/>
        <v>0</v>
      </c>
    </row>
    <row r="478" spans="1:48" x14ac:dyDescent="0.25">
      <c r="A478" s="535" t="str">
        <f t="shared" si="712"/>
        <v xml:space="preserve"> </v>
      </c>
      <c r="B478" s="300">
        <f t="shared" si="706"/>
        <v>0</v>
      </c>
      <c r="C478" s="14">
        <f t="shared" si="753"/>
        <v>0</v>
      </c>
      <c r="D478" s="14">
        <f t="shared" si="767"/>
        <v>0</v>
      </c>
      <c r="E478" s="14">
        <f t="shared" si="754"/>
        <v>0</v>
      </c>
      <c r="F478" s="14">
        <f t="shared" si="713"/>
        <v>134.16999999999999</v>
      </c>
      <c r="G478" s="14">
        <f t="shared" si="709"/>
        <v>188.55</v>
      </c>
      <c r="H478" s="14">
        <f t="shared" si="710"/>
        <v>322.72000000000003</v>
      </c>
      <c r="I478" s="300">
        <f t="shared" si="714"/>
        <v>83483.170000000042</v>
      </c>
      <c r="J478" s="300">
        <f t="shared" si="715"/>
        <v>68536.320000000022</v>
      </c>
      <c r="K478" s="300">
        <f t="shared" si="716"/>
        <v>0</v>
      </c>
      <c r="L478" s="449">
        <f t="shared" si="696"/>
        <v>34</v>
      </c>
      <c r="M478" s="449">
        <f t="shared" si="760"/>
        <v>419</v>
      </c>
      <c r="N478" s="300">
        <f t="shared" si="681"/>
        <v>0</v>
      </c>
      <c r="O478" s="300">
        <f t="shared" si="728"/>
        <v>0</v>
      </c>
      <c r="P478" s="300">
        <f t="shared" si="768"/>
        <v>0</v>
      </c>
      <c r="Q478" s="300">
        <f t="shared" si="729"/>
        <v>0</v>
      </c>
      <c r="R478" s="300">
        <f t="shared" si="720"/>
        <v>134.16999999999999</v>
      </c>
      <c r="S478" s="300">
        <f t="shared" si="721"/>
        <v>188.55</v>
      </c>
      <c r="T478" s="300">
        <f t="shared" si="717"/>
        <v>322.72000000000003</v>
      </c>
      <c r="U478" s="300">
        <f t="shared" si="769"/>
        <v>244762.19000000029</v>
      </c>
      <c r="V478" s="300">
        <f t="shared" si="770"/>
        <v>339216.68000000005</v>
      </c>
      <c r="W478" s="300">
        <f t="shared" si="718"/>
        <v>0</v>
      </c>
      <c r="X478" s="535" t="str">
        <f t="shared" si="761"/>
        <v xml:space="preserve"> </v>
      </c>
      <c r="Y478" s="300">
        <f t="shared" si="730"/>
        <v>200045.5000000002</v>
      </c>
      <c r="Z478" s="527">
        <f t="shared" si="755"/>
        <v>7.0000000000000007E-2</v>
      </c>
      <c r="AA478" s="300">
        <f t="shared" si="756"/>
        <v>1746.44</v>
      </c>
      <c r="AB478" s="300">
        <f t="shared" si="731"/>
        <v>579.51</v>
      </c>
      <c r="AC478" s="300">
        <f t="shared" si="757"/>
        <v>1166.93</v>
      </c>
      <c r="AD478" s="300">
        <f t="shared" ref="AD478:AE478" si="785">+AD477</f>
        <v>134.16999999999999</v>
      </c>
      <c r="AE478" s="300">
        <f t="shared" si="785"/>
        <v>188.55</v>
      </c>
      <c r="AF478" s="300">
        <f t="shared" si="733"/>
        <v>2069.1600000000003</v>
      </c>
      <c r="AG478" s="300">
        <f t="shared" si="734"/>
        <v>115458.10999999996</v>
      </c>
      <c r="AH478" s="300">
        <f t="shared" si="735"/>
        <v>609000.49000000104</v>
      </c>
      <c r="AI478" s="545">
        <f t="shared" si="723"/>
        <v>-140479.7300000001</v>
      </c>
      <c r="AJ478" s="545">
        <f t="shared" si="782"/>
        <v>-199465.99000000019</v>
      </c>
      <c r="AK478" s="545">
        <f t="shared" si="724"/>
        <v>-339945.72000000032</v>
      </c>
      <c r="AL478" s="300">
        <f t="shared" si="736"/>
        <v>199465.99000000019</v>
      </c>
      <c r="AM478" s="449">
        <f t="shared" si="763"/>
        <v>34</v>
      </c>
      <c r="AN478" s="14">
        <f t="shared" si="725"/>
        <v>0</v>
      </c>
      <c r="AO478" s="14">
        <f t="shared" si="694"/>
        <v>0</v>
      </c>
      <c r="AP478" s="14">
        <f t="shared" si="726"/>
        <v>0</v>
      </c>
      <c r="AS478" s="14">
        <f t="shared" si="759"/>
        <v>0</v>
      </c>
      <c r="AT478" s="14">
        <f t="shared" si="764"/>
        <v>0</v>
      </c>
      <c r="AU478" s="300">
        <f t="shared" si="765"/>
        <v>0</v>
      </c>
      <c r="AV478" s="300">
        <f t="shared" si="766"/>
        <v>0</v>
      </c>
    </row>
    <row r="479" spans="1:48" x14ac:dyDescent="0.25">
      <c r="A479" s="535" t="str">
        <f t="shared" si="712"/>
        <v xml:space="preserve"> </v>
      </c>
      <c r="B479" s="300">
        <f t="shared" si="706"/>
        <v>0</v>
      </c>
      <c r="C479" s="14">
        <f t="shared" si="753"/>
        <v>0</v>
      </c>
      <c r="D479" s="14">
        <f t="shared" si="767"/>
        <v>0</v>
      </c>
      <c r="E479" s="14">
        <f t="shared" si="754"/>
        <v>0</v>
      </c>
      <c r="F479" s="14">
        <f t="shared" si="713"/>
        <v>134.16999999999999</v>
      </c>
      <c r="G479" s="14">
        <f t="shared" si="709"/>
        <v>188.55</v>
      </c>
      <c r="H479" s="14">
        <f t="shared" si="710"/>
        <v>322.72000000000003</v>
      </c>
      <c r="I479" s="300">
        <f t="shared" si="714"/>
        <v>83483.170000000042</v>
      </c>
      <c r="J479" s="300">
        <f t="shared" si="715"/>
        <v>68536.320000000022</v>
      </c>
      <c r="K479" s="300">
        <f t="shared" si="716"/>
        <v>0</v>
      </c>
      <c r="L479" s="449">
        <f t="shared" si="696"/>
        <v>35</v>
      </c>
      <c r="M479" s="449">
        <f t="shared" si="760"/>
        <v>420</v>
      </c>
      <c r="N479" s="300">
        <f t="shared" si="681"/>
        <v>0</v>
      </c>
      <c r="O479" s="300">
        <f t="shared" si="728"/>
        <v>0</v>
      </c>
      <c r="P479" s="300">
        <f t="shared" si="768"/>
        <v>0</v>
      </c>
      <c r="Q479" s="300">
        <f t="shared" si="729"/>
        <v>0</v>
      </c>
      <c r="R479" s="300">
        <f t="shared" si="720"/>
        <v>134.16999999999999</v>
      </c>
      <c r="S479" s="300">
        <f t="shared" si="721"/>
        <v>188.55</v>
      </c>
      <c r="T479" s="300">
        <f t="shared" si="717"/>
        <v>322.72000000000003</v>
      </c>
      <c r="U479" s="300">
        <f t="shared" si="769"/>
        <v>244762.19000000029</v>
      </c>
      <c r="V479" s="300">
        <f t="shared" si="770"/>
        <v>339216.68000000005</v>
      </c>
      <c r="W479" s="300">
        <f t="shared" si="718"/>
        <v>0</v>
      </c>
      <c r="X479" s="535" t="str">
        <f t="shared" si="761"/>
        <v xml:space="preserve"> </v>
      </c>
      <c r="Y479" s="300">
        <f t="shared" si="730"/>
        <v>199465.99000000019</v>
      </c>
      <c r="Z479" s="527">
        <f t="shared" si="755"/>
        <v>7.0000000000000007E-2</v>
      </c>
      <c r="AA479" s="300">
        <f t="shared" si="756"/>
        <v>1746.44</v>
      </c>
      <c r="AB479" s="300">
        <f t="shared" si="731"/>
        <v>582.8900000000001</v>
      </c>
      <c r="AC479" s="300">
        <f t="shared" si="757"/>
        <v>1163.55</v>
      </c>
      <c r="AD479" s="300">
        <f t="shared" ref="AD479:AE479" si="786">+AD478</f>
        <v>134.16999999999999</v>
      </c>
      <c r="AE479" s="300">
        <f t="shared" si="786"/>
        <v>188.55</v>
      </c>
      <c r="AF479" s="300">
        <f t="shared" si="733"/>
        <v>2069.1600000000003</v>
      </c>
      <c r="AG479" s="300">
        <f t="shared" si="734"/>
        <v>116040.99999999996</v>
      </c>
      <c r="AH479" s="300">
        <f t="shared" si="735"/>
        <v>610164.04000000108</v>
      </c>
      <c r="AI479" s="545">
        <f t="shared" si="723"/>
        <v>-142226.1700000001</v>
      </c>
      <c r="AJ479" s="545">
        <f t="shared" si="782"/>
        <v>-198883.10000000018</v>
      </c>
      <c r="AK479" s="545">
        <f t="shared" si="724"/>
        <v>-341109.27000000025</v>
      </c>
      <c r="AL479" s="300">
        <f t="shared" si="736"/>
        <v>198883.10000000018</v>
      </c>
      <c r="AM479" s="449">
        <f t="shared" si="763"/>
        <v>35</v>
      </c>
      <c r="AN479" s="14">
        <f t="shared" si="725"/>
        <v>0</v>
      </c>
      <c r="AO479" s="14">
        <f t="shared" si="694"/>
        <v>0</v>
      </c>
      <c r="AP479" s="14">
        <f t="shared" si="726"/>
        <v>0</v>
      </c>
      <c r="AS479" s="14">
        <f t="shared" si="759"/>
        <v>0</v>
      </c>
      <c r="AT479" s="14">
        <f t="shared" si="764"/>
        <v>0</v>
      </c>
      <c r="AU479" s="300">
        <f t="shared" si="765"/>
        <v>0</v>
      </c>
      <c r="AV479" s="300">
        <f t="shared" si="766"/>
        <v>0</v>
      </c>
    </row>
    <row r="480" spans="1:48" x14ac:dyDescent="0.25">
      <c r="A480" s="535" t="str">
        <f t="shared" si="712"/>
        <v xml:space="preserve"> </v>
      </c>
      <c r="B480" s="300">
        <f t="shared" si="706"/>
        <v>0</v>
      </c>
      <c r="C480" s="14">
        <f t="shared" si="753"/>
        <v>0</v>
      </c>
      <c r="D480" s="14">
        <f t="shared" si="767"/>
        <v>0</v>
      </c>
      <c r="E480" s="14">
        <f t="shared" si="754"/>
        <v>0</v>
      </c>
      <c r="F480" s="14">
        <f t="shared" si="713"/>
        <v>134.16999999999999</v>
      </c>
      <c r="G480" s="14">
        <f t="shared" si="709"/>
        <v>188.55</v>
      </c>
      <c r="H480" s="14">
        <f t="shared" si="710"/>
        <v>322.72000000000003</v>
      </c>
      <c r="I480" s="300">
        <f t="shared" si="714"/>
        <v>83483.170000000042</v>
      </c>
      <c r="J480" s="300">
        <f t="shared" si="715"/>
        <v>68536.320000000022</v>
      </c>
      <c r="K480" s="300">
        <f t="shared" si="716"/>
        <v>0</v>
      </c>
      <c r="L480" s="449">
        <f t="shared" si="696"/>
        <v>35</v>
      </c>
      <c r="M480" s="449">
        <f t="shared" si="760"/>
        <v>421</v>
      </c>
      <c r="N480" s="300">
        <f t="shared" si="681"/>
        <v>0</v>
      </c>
      <c r="O480" s="300">
        <f t="shared" si="728"/>
        <v>0</v>
      </c>
      <c r="P480" s="300">
        <f t="shared" si="768"/>
        <v>0</v>
      </c>
      <c r="Q480" s="300">
        <f t="shared" si="729"/>
        <v>0</v>
      </c>
      <c r="R480" s="300">
        <f t="shared" si="720"/>
        <v>134.16999999999999</v>
      </c>
      <c r="S480" s="300">
        <f t="shared" si="721"/>
        <v>188.55</v>
      </c>
      <c r="T480" s="300">
        <f t="shared" si="717"/>
        <v>322.72000000000003</v>
      </c>
      <c r="U480" s="300">
        <f t="shared" si="769"/>
        <v>244762.19000000029</v>
      </c>
      <c r="V480" s="300">
        <f t="shared" si="770"/>
        <v>339216.68000000005</v>
      </c>
      <c r="W480" s="300">
        <f t="shared" si="718"/>
        <v>0</v>
      </c>
      <c r="X480" s="535" t="str">
        <f t="shared" si="761"/>
        <v xml:space="preserve"> </v>
      </c>
      <c r="Y480" s="300">
        <f t="shared" si="730"/>
        <v>198883.10000000018</v>
      </c>
      <c r="Z480" s="527">
        <f t="shared" si="755"/>
        <v>7.0000000000000007E-2</v>
      </c>
      <c r="AA480" s="300">
        <f t="shared" si="756"/>
        <v>1746.44</v>
      </c>
      <c r="AB480" s="300">
        <f t="shared" si="731"/>
        <v>586.29</v>
      </c>
      <c r="AC480" s="300">
        <f t="shared" si="757"/>
        <v>1160.1500000000001</v>
      </c>
      <c r="AD480" s="300">
        <f t="shared" ref="AD480:AE480" si="787">+AD479</f>
        <v>134.16999999999999</v>
      </c>
      <c r="AE480" s="300">
        <f t="shared" si="787"/>
        <v>188.55</v>
      </c>
      <c r="AF480" s="300">
        <f t="shared" si="733"/>
        <v>2069.1600000000003</v>
      </c>
      <c r="AG480" s="300">
        <f t="shared" si="734"/>
        <v>116627.28999999995</v>
      </c>
      <c r="AH480" s="300">
        <f t="shared" si="735"/>
        <v>611324.19000000111</v>
      </c>
      <c r="AI480" s="545">
        <f t="shared" si="723"/>
        <v>-143972.6100000001</v>
      </c>
      <c r="AJ480" s="545">
        <f t="shared" si="782"/>
        <v>-198296.81000000017</v>
      </c>
      <c r="AK480" s="545">
        <f t="shared" si="724"/>
        <v>-342269.42000000027</v>
      </c>
      <c r="AL480" s="300">
        <f t="shared" si="736"/>
        <v>198296.81000000017</v>
      </c>
      <c r="AM480" s="449">
        <f t="shared" si="763"/>
        <v>35</v>
      </c>
      <c r="AN480" s="14">
        <f t="shared" si="725"/>
        <v>0</v>
      </c>
      <c r="AO480" s="14">
        <f t="shared" si="694"/>
        <v>0</v>
      </c>
      <c r="AP480" s="14">
        <f t="shared" si="726"/>
        <v>0</v>
      </c>
      <c r="AS480" s="14">
        <f t="shared" si="759"/>
        <v>0</v>
      </c>
      <c r="AT480" s="14">
        <f t="shared" si="764"/>
        <v>0</v>
      </c>
      <c r="AU480" s="300">
        <f t="shared" si="765"/>
        <v>0</v>
      </c>
      <c r="AV480" s="300">
        <f t="shared" si="766"/>
        <v>0</v>
      </c>
    </row>
    <row r="481" spans="1:49" x14ac:dyDescent="0.25">
      <c r="A481" s="535" t="str">
        <f t="shared" si="712"/>
        <v xml:space="preserve"> </v>
      </c>
      <c r="B481" s="300">
        <f t="shared" si="706"/>
        <v>0</v>
      </c>
      <c r="C481" s="14">
        <f t="shared" si="753"/>
        <v>0</v>
      </c>
      <c r="D481" s="14">
        <f t="shared" si="767"/>
        <v>0</v>
      </c>
      <c r="E481" s="14">
        <f t="shared" si="754"/>
        <v>0</v>
      </c>
      <c r="F481" s="14">
        <f t="shared" si="713"/>
        <v>134.16999999999999</v>
      </c>
      <c r="G481" s="14">
        <f t="shared" si="709"/>
        <v>188.55</v>
      </c>
      <c r="H481" s="14">
        <f t="shared" si="710"/>
        <v>322.72000000000003</v>
      </c>
      <c r="I481" s="300">
        <f t="shared" si="714"/>
        <v>83483.170000000042</v>
      </c>
      <c r="J481" s="300">
        <f t="shared" si="715"/>
        <v>68536.320000000022</v>
      </c>
      <c r="K481" s="300">
        <f t="shared" si="716"/>
        <v>0</v>
      </c>
      <c r="L481" s="449">
        <f t="shared" si="696"/>
        <v>35</v>
      </c>
      <c r="M481" s="449">
        <f t="shared" si="760"/>
        <v>422</v>
      </c>
      <c r="N481" s="300">
        <f t="shared" si="681"/>
        <v>0</v>
      </c>
      <c r="O481" s="300">
        <f t="shared" si="728"/>
        <v>0</v>
      </c>
      <c r="P481" s="300">
        <f t="shared" si="768"/>
        <v>0</v>
      </c>
      <c r="Q481" s="300">
        <f t="shared" si="729"/>
        <v>0</v>
      </c>
      <c r="R481" s="300">
        <f t="shared" si="720"/>
        <v>134.16999999999999</v>
      </c>
      <c r="S481" s="300">
        <f t="shared" si="721"/>
        <v>188.55</v>
      </c>
      <c r="T481" s="300">
        <f t="shared" si="717"/>
        <v>322.72000000000003</v>
      </c>
      <c r="U481" s="300">
        <f t="shared" si="769"/>
        <v>244762.19000000029</v>
      </c>
      <c r="V481" s="300">
        <f t="shared" si="770"/>
        <v>339216.68000000005</v>
      </c>
      <c r="W481" s="300">
        <f t="shared" si="718"/>
        <v>0</v>
      </c>
      <c r="X481" s="535" t="str">
        <f t="shared" si="761"/>
        <v xml:space="preserve"> </v>
      </c>
      <c r="Y481" s="300">
        <f t="shared" si="730"/>
        <v>198296.81000000017</v>
      </c>
      <c r="Z481" s="527">
        <f t="shared" si="755"/>
        <v>7.0000000000000007E-2</v>
      </c>
      <c r="AA481" s="300">
        <f t="shared" si="756"/>
        <v>1746.44</v>
      </c>
      <c r="AB481" s="300">
        <f t="shared" si="731"/>
        <v>589.71</v>
      </c>
      <c r="AC481" s="300">
        <f t="shared" si="757"/>
        <v>1156.73</v>
      </c>
      <c r="AD481" s="300">
        <f t="shared" ref="AD481:AE481" si="788">+AD480</f>
        <v>134.16999999999999</v>
      </c>
      <c r="AE481" s="300">
        <f t="shared" si="788"/>
        <v>188.55</v>
      </c>
      <c r="AF481" s="300">
        <f t="shared" si="733"/>
        <v>2069.1600000000003</v>
      </c>
      <c r="AG481" s="300">
        <f t="shared" si="734"/>
        <v>117216.99999999996</v>
      </c>
      <c r="AH481" s="300">
        <f t="shared" si="735"/>
        <v>612480.92000000109</v>
      </c>
      <c r="AI481" s="545">
        <f t="shared" si="723"/>
        <v>-145719.0500000001</v>
      </c>
      <c r="AJ481" s="545">
        <f t="shared" si="782"/>
        <v>-197707.10000000018</v>
      </c>
      <c r="AK481" s="545">
        <f t="shared" si="724"/>
        <v>-343426.15000000026</v>
      </c>
      <c r="AL481" s="300">
        <f t="shared" si="736"/>
        <v>197707.10000000018</v>
      </c>
      <c r="AM481" s="449">
        <f t="shared" si="763"/>
        <v>35</v>
      </c>
      <c r="AN481" s="14">
        <f t="shared" si="725"/>
        <v>0</v>
      </c>
      <c r="AO481" s="14">
        <f t="shared" si="694"/>
        <v>0</v>
      </c>
      <c r="AP481" s="14">
        <f t="shared" si="726"/>
        <v>0</v>
      </c>
      <c r="AS481" s="14">
        <f t="shared" si="759"/>
        <v>0</v>
      </c>
      <c r="AT481" s="14">
        <f t="shared" si="764"/>
        <v>0</v>
      </c>
      <c r="AU481" s="300">
        <f t="shared" si="765"/>
        <v>0</v>
      </c>
      <c r="AV481" s="300">
        <f t="shared" si="766"/>
        <v>0</v>
      </c>
    </row>
    <row r="482" spans="1:49" ht="15.75" thickBot="1" x14ac:dyDescent="0.3">
      <c r="A482" s="538" t="str">
        <f t="shared" si="712"/>
        <v xml:space="preserve"> </v>
      </c>
      <c r="B482" s="369">
        <f t="shared" si="706"/>
        <v>0</v>
      </c>
      <c r="C482" s="21">
        <f t="shared" si="753"/>
        <v>0</v>
      </c>
      <c r="D482" s="21">
        <f t="shared" si="767"/>
        <v>0</v>
      </c>
      <c r="E482" s="21">
        <f t="shared" si="754"/>
        <v>0</v>
      </c>
      <c r="F482" s="21">
        <f t="shared" si="713"/>
        <v>134.16999999999999</v>
      </c>
      <c r="G482" s="21">
        <f t="shared" si="709"/>
        <v>188.55</v>
      </c>
      <c r="H482" s="21">
        <f t="shared" si="710"/>
        <v>322.72000000000003</v>
      </c>
      <c r="I482" s="369">
        <f t="shared" si="714"/>
        <v>83483.170000000042</v>
      </c>
      <c r="J482" s="369">
        <f t="shared" si="715"/>
        <v>68536.320000000022</v>
      </c>
      <c r="K482" s="369">
        <f t="shared" si="716"/>
        <v>0</v>
      </c>
      <c r="L482" s="450">
        <f t="shared" si="696"/>
        <v>35</v>
      </c>
      <c r="M482" s="450">
        <f t="shared" si="760"/>
        <v>423</v>
      </c>
      <c r="N482" s="369">
        <f t="shared" ref="N482:N490" si="789">IF(+W481&lt;0,0,+W481)</f>
        <v>0</v>
      </c>
      <c r="O482" s="369">
        <f t="shared" si="728"/>
        <v>0</v>
      </c>
      <c r="P482" s="369">
        <f t="shared" si="768"/>
        <v>0</v>
      </c>
      <c r="Q482" s="369">
        <f t="shared" si="729"/>
        <v>0</v>
      </c>
      <c r="R482" s="369">
        <f t="shared" si="720"/>
        <v>134.16999999999999</v>
      </c>
      <c r="S482" s="369">
        <f t="shared" si="721"/>
        <v>188.55</v>
      </c>
      <c r="T482" s="369">
        <f t="shared" si="717"/>
        <v>322.72000000000003</v>
      </c>
      <c r="U482" s="369">
        <f t="shared" si="769"/>
        <v>244762.19000000029</v>
      </c>
      <c r="V482" s="369">
        <f t="shared" si="770"/>
        <v>339216.68000000005</v>
      </c>
      <c r="W482" s="369">
        <f t="shared" si="718"/>
        <v>0</v>
      </c>
      <c r="X482" s="538" t="str">
        <f t="shared" si="761"/>
        <v xml:space="preserve"> </v>
      </c>
      <c r="Y482" s="369">
        <f t="shared" si="730"/>
        <v>197707.10000000018</v>
      </c>
      <c r="Z482" s="528">
        <f t="shared" si="755"/>
        <v>7.0000000000000007E-2</v>
      </c>
      <c r="AA482" s="369">
        <f t="shared" si="756"/>
        <v>1746.44</v>
      </c>
      <c r="AB482" s="369">
        <f t="shared" si="731"/>
        <v>593.15000000000009</v>
      </c>
      <c r="AC482" s="369">
        <f t="shared" si="757"/>
        <v>1153.29</v>
      </c>
      <c r="AD482" s="369">
        <f t="shared" ref="AD482:AE482" si="790">+AD481</f>
        <v>134.16999999999999</v>
      </c>
      <c r="AE482" s="369">
        <f t="shared" si="790"/>
        <v>188.55</v>
      </c>
      <c r="AF482" s="369">
        <f t="shared" si="733"/>
        <v>2069.1600000000003</v>
      </c>
      <c r="AG482" s="369">
        <f t="shared" si="734"/>
        <v>117810.14999999995</v>
      </c>
      <c r="AH482" s="369">
        <f t="shared" si="735"/>
        <v>613634.21000000113</v>
      </c>
      <c r="AI482" s="546">
        <f t="shared" si="723"/>
        <v>-147465.49000000011</v>
      </c>
      <c r="AJ482" s="546">
        <f t="shared" si="782"/>
        <v>-197113.95000000019</v>
      </c>
      <c r="AK482" s="545">
        <f t="shared" si="724"/>
        <v>-344579.44000000029</v>
      </c>
      <c r="AL482" s="369">
        <f t="shared" si="736"/>
        <v>197113.95000000019</v>
      </c>
      <c r="AM482" s="450">
        <f t="shared" si="763"/>
        <v>35</v>
      </c>
      <c r="AN482" s="21">
        <f t="shared" si="725"/>
        <v>0</v>
      </c>
      <c r="AO482" s="21">
        <f t="shared" si="694"/>
        <v>0</v>
      </c>
      <c r="AP482" s="21">
        <f t="shared" si="726"/>
        <v>0</v>
      </c>
      <c r="AQ482" s="21"/>
      <c r="AR482" s="23"/>
      <c r="AS482" s="21">
        <f t="shared" si="759"/>
        <v>0</v>
      </c>
      <c r="AT482" s="21">
        <f t="shared" si="764"/>
        <v>0</v>
      </c>
      <c r="AU482" s="369">
        <f t="shared" si="765"/>
        <v>0</v>
      </c>
      <c r="AV482" s="369">
        <f t="shared" si="766"/>
        <v>0</v>
      </c>
    </row>
    <row r="483" spans="1:49" x14ac:dyDescent="0.25">
      <c r="A483" s="535" t="str">
        <f t="shared" si="712"/>
        <v xml:space="preserve"> </v>
      </c>
      <c r="B483" s="300">
        <f t="shared" si="706"/>
        <v>0</v>
      </c>
      <c r="C483" s="14">
        <f t="shared" si="753"/>
        <v>0</v>
      </c>
      <c r="D483" s="14">
        <f t="shared" si="767"/>
        <v>0</v>
      </c>
      <c r="E483" s="14">
        <f t="shared" si="754"/>
        <v>0</v>
      </c>
      <c r="F483" s="14">
        <f t="shared" si="713"/>
        <v>134.16999999999999</v>
      </c>
      <c r="G483" s="14">
        <f t="shared" si="709"/>
        <v>188.55</v>
      </c>
      <c r="H483" s="14">
        <f t="shared" si="710"/>
        <v>322.72000000000003</v>
      </c>
      <c r="I483" s="300">
        <f t="shared" si="714"/>
        <v>83483.170000000042</v>
      </c>
      <c r="J483" s="300">
        <f t="shared" si="715"/>
        <v>68536.320000000022</v>
      </c>
      <c r="K483" s="300">
        <f t="shared" si="716"/>
        <v>0</v>
      </c>
      <c r="L483" s="449">
        <f t="shared" si="696"/>
        <v>35</v>
      </c>
      <c r="M483" s="449">
        <f t="shared" si="760"/>
        <v>424</v>
      </c>
      <c r="N483" s="300">
        <f t="shared" si="789"/>
        <v>0</v>
      </c>
      <c r="O483" s="300">
        <f t="shared" si="728"/>
        <v>0</v>
      </c>
      <c r="P483" s="300">
        <f t="shared" si="768"/>
        <v>0</v>
      </c>
      <c r="Q483" s="300">
        <f t="shared" si="729"/>
        <v>0</v>
      </c>
      <c r="R483" s="300">
        <f t="shared" si="720"/>
        <v>134.16999999999999</v>
      </c>
      <c r="S483" s="300">
        <f t="shared" si="721"/>
        <v>188.55</v>
      </c>
      <c r="T483" s="300">
        <f t="shared" si="717"/>
        <v>322.72000000000003</v>
      </c>
      <c r="U483" s="300">
        <f t="shared" si="769"/>
        <v>244762.19000000029</v>
      </c>
      <c r="V483" s="300">
        <f t="shared" si="770"/>
        <v>339216.68000000005</v>
      </c>
      <c r="W483" s="300">
        <f t="shared" si="718"/>
        <v>0</v>
      </c>
      <c r="X483" s="535" t="str">
        <f t="shared" si="761"/>
        <v xml:space="preserve"> </v>
      </c>
      <c r="Y483" s="300">
        <f t="shared" si="730"/>
        <v>197113.95000000019</v>
      </c>
      <c r="Z483" s="527">
        <f t="shared" si="755"/>
        <v>7.0000000000000007E-2</v>
      </c>
      <c r="AA483" s="300">
        <f t="shared" si="756"/>
        <v>1746.44</v>
      </c>
      <c r="AB483" s="300">
        <f t="shared" si="731"/>
        <v>596.61000000000013</v>
      </c>
      <c r="AC483" s="300">
        <f t="shared" si="757"/>
        <v>1149.83</v>
      </c>
      <c r="AD483" s="300">
        <f t="shared" ref="AD483:AE483" si="791">+AD482</f>
        <v>134.16999999999999</v>
      </c>
      <c r="AE483" s="300">
        <f t="shared" si="791"/>
        <v>188.55</v>
      </c>
      <c r="AF483" s="300">
        <f t="shared" si="733"/>
        <v>2069.1600000000003</v>
      </c>
      <c r="AG483" s="300">
        <f t="shared" si="734"/>
        <v>118406.75999999995</v>
      </c>
      <c r="AH483" s="300">
        <f t="shared" si="735"/>
        <v>614784.04000000108</v>
      </c>
      <c r="AI483" s="545">
        <f t="shared" si="723"/>
        <v>-149211.93000000011</v>
      </c>
      <c r="AJ483" s="545">
        <f t="shared" si="782"/>
        <v>-196517.3400000002</v>
      </c>
      <c r="AK483" s="545">
        <f t="shared" si="724"/>
        <v>-345729.27000000031</v>
      </c>
      <c r="AL483" s="300">
        <f t="shared" si="736"/>
        <v>196517.3400000002</v>
      </c>
      <c r="AM483" s="449">
        <f t="shared" si="763"/>
        <v>35</v>
      </c>
      <c r="AN483" s="14">
        <f t="shared" si="725"/>
        <v>0</v>
      </c>
      <c r="AO483" s="14">
        <f t="shared" si="694"/>
        <v>0</v>
      </c>
      <c r="AP483" s="14">
        <f t="shared" si="726"/>
        <v>0</v>
      </c>
      <c r="AS483" s="14">
        <f t="shared" si="759"/>
        <v>0</v>
      </c>
      <c r="AT483" s="14">
        <f t="shared" si="764"/>
        <v>0</v>
      </c>
      <c r="AU483" s="300">
        <f t="shared" si="765"/>
        <v>0</v>
      </c>
      <c r="AV483" s="300">
        <f t="shared" si="766"/>
        <v>0</v>
      </c>
    </row>
    <row r="484" spans="1:49" x14ac:dyDescent="0.25">
      <c r="A484" s="535" t="str">
        <f t="shared" si="712"/>
        <v xml:space="preserve"> </v>
      </c>
      <c r="B484" s="300">
        <f t="shared" si="706"/>
        <v>0</v>
      </c>
      <c r="C484" s="14">
        <f t="shared" si="753"/>
        <v>0</v>
      </c>
      <c r="D484" s="14">
        <f t="shared" si="767"/>
        <v>0</v>
      </c>
      <c r="E484" s="14">
        <f t="shared" si="754"/>
        <v>0</v>
      </c>
      <c r="F484" s="14">
        <f t="shared" si="713"/>
        <v>134.16999999999999</v>
      </c>
      <c r="G484" s="14">
        <f t="shared" si="709"/>
        <v>188.55</v>
      </c>
      <c r="H484" s="14">
        <f t="shared" si="710"/>
        <v>322.72000000000003</v>
      </c>
      <c r="I484" s="300">
        <f t="shared" si="714"/>
        <v>83483.170000000042</v>
      </c>
      <c r="J484" s="300">
        <f t="shared" si="715"/>
        <v>68536.320000000022</v>
      </c>
      <c r="K484" s="300">
        <f t="shared" si="716"/>
        <v>0</v>
      </c>
      <c r="L484" s="449">
        <f t="shared" si="696"/>
        <v>35</v>
      </c>
      <c r="M484" s="449">
        <f t="shared" si="760"/>
        <v>425</v>
      </c>
      <c r="N484" s="300">
        <f t="shared" si="789"/>
        <v>0</v>
      </c>
      <c r="O484" s="300">
        <f t="shared" si="728"/>
        <v>0</v>
      </c>
      <c r="P484" s="300">
        <f t="shared" si="768"/>
        <v>0</v>
      </c>
      <c r="Q484" s="300">
        <f t="shared" si="729"/>
        <v>0</v>
      </c>
      <c r="R484" s="300">
        <f t="shared" si="720"/>
        <v>134.16999999999999</v>
      </c>
      <c r="S484" s="300">
        <f t="shared" si="721"/>
        <v>188.55</v>
      </c>
      <c r="T484" s="300">
        <f t="shared" si="717"/>
        <v>322.72000000000003</v>
      </c>
      <c r="U484" s="300">
        <f t="shared" si="769"/>
        <v>244762.19000000029</v>
      </c>
      <c r="V484" s="300">
        <f t="shared" si="770"/>
        <v>339216.68000000005</v>
      </c>
      <c r="W484" s="300">
        <f t="shared" si="718"/>
        <v>0</v>
      </c>
      <c r="X484" s="535" t="str">
        <f t="shared" si="761"/>
        <v xml:space="preserve"> </v>
      </c>
      <c r="Y484" s="300">
        <f t="shared" si="730"/>
        <v>196517.3400000002</v>
      </c>
      <c r="Z484" s="527">
        <f t="shared" si="755"/>
        <v>7.0000000000000007E-2</v>
      </c>
      <c r="AA484" s="300">
        <f t="shared" si="756"/>
        <v>1746.44</v>
      </c>
      <c r="AB484" s="300">
        <f t="shared" si="731"/>
        <v>600.09000000000015</v>
      </c>
      <c r="AC484" s="300">
        <f t="shared" si="757"/>
        <v>1146.3499999999999</v>
      </c>
      <c r="AD484" s="300">
        <f t="shared" ref="AD484:AE484" si="792">+AD483</f>
        <v>134.16999999999999</v>
      </c>
      <c r="AE484" s="300">
        <f t="shared" si="792"/>
        <v>188.55</v>
      </c>
      <c r="AF484" s="300">
        <f t="shared" si="733"/>
        <v>2069.1600000000003</v>
      </c>
      <c r="AG484" s="300">
        <f t="shared" si="734"/>
        <v>119006.84999999995</v>
      </c>
      <c r="AH484" s="300">
        <f t="shared" si="735"/>
        <v>615930.39000000106</v>
      </c>
      <c r="AI484" s="545">
        <f t="shared" si="723"/>
        <v>-150958.37000000011</v>
      </c>
      <c r="AJ484" s="545">
        <f t="shared" si="782"/>
        <v>-195917.2500000002</v>
      </c>
      <c r="AK484" s="545">
        <f t="shared" si="724"/>
        <v>-346875.62000000034</v>
      </c>
      <c r="AL484" s="300">
        <f t="shared" si="736"/>
        <v>195917.2500000002</v>
      </c>
      <c r="AM484" s="449">
        <f t="shared" si="763"/>
        <v>35</v>
      </c>
      <c r="AN484" s="14">
        <f t="shared" si="725"/>
        <v>0</v>
      </c>
      <c r="AO484" s="14">
        <f t="shared" si="694"/>
        <v>0</v>
      </c>
      <c r="AP484" s="14">
        <f t="shared" si="726"/>
        <v>0</v>
      </c>
      <c r="AS484" s="14">
        <f t="shared" si="759"/>
        <v>0</v>
      </c>
      <c r="AT484" s="14">
        <f t="shared" si="764"/>
        <v>0</v>
      </c>
      <c r="AU484" s="300">
        <f t="shared" si="765"/>
        <v>0</v>
      </c>
      <c r="AV484" s="300">
        <f t="shared" si="766"/>
        <v>0</v>
      </c>
    </row>
    <row r="485" spans="1:49" x14ac:dyDescent="0.25">
      <c r="A485" s="535" t="str">
        <f t="shared" si="712"/>
        <v xml:space="preserve"> </v>
      </c>
      <c r="B485" s="300">
        <f t="shared" si="706"/>
        <v>0</v>
      </c>
      <c r="C485" s="14">
        <f t="shared" si="753"/>
        <v>0</v>
      </c>
      <c r="D485" s="14">
        <f t="shared" si="767"/>
        <v>0</v>
      </c>
      <c r="E485" s="14">
        <f t="shared" si="754"/>
        <v>0</v>
      </c>
      <c r="F485" s="14">
        <f t="shared" si="713"/>
        <v>134.16999999999999</v>
      </c>
      <c r="G485" s="14">
        <f t="shared" si="709"/>
        <v>188.55</v>
      </c>
      <c r="H485" s="14">
        <f t="shared" si="710"/>
        <v>322.72000000000003</v>
      </c>
      <c r="I485" s="300">
        <f t="shared" si="714"/>
        <v>83483.170000000042</v>
      </c>
      <c r="J485" s="300">
        <f t="shared" si="715"/>
        <v>68536.320000000022</v>
      </c>
      <c r="K485" s="300">
        <f t="shared" si="716"/>
        <v>0</v>
      </c>
      <c r="L485" s="449">
        <f t="shared" si="696"/>
        <v>35</v>
      </c>
      <c r="M485" s="449">
        <f t="shared" si="760"/>
        <v>426</v>
      </c>
      <c r="N485" s="300">
        <f t="shared" si="789"/>
        <v>0</v>
      </c>
      <c r="O485" s="300">
        <f t="shared" si="728"/>
        <v>0</v>
      </c>
      <c r="P485" s="300">
        <f t="shared" si="768"/>
        <v>0</v>
      </c>
      <c r="Q485" s="300">
        <f t="shared" si="729"/>
        <v>0</v>
      </c>
      <c r="R485" s="300">
        <f t="shared" si="720"/>
        <v>134.16999999999999</v>
      </c>
      <c r="S485" s="300">
        <f t="shared" si="721"/>
        <v>188.55</v>
      </c>
      <c r="T485" s="300">
        <f t="shared" si="717"/>
        <v>322.72000000000003</v>
      </c>
      <c r="U485" s="300">
        <f t="shared" si="769"/>
        <v>244762.19000000029</v>
      </c>
      <c r="V485" s="300">
        <f t="shared" si="770"/>
        <v>339216.68000000005</v>
      </c>
      <c r="W485" s="300">
        <f t="shared" si="718"/>
        <v>0</v>
      </c>
      <c r="X485" s="535" t="str">
        <f t="shared" si="761"/>
        <v xml:space="preserve"> </v>
      </c>
      <c r="Y485" s="300">
        <f t="shared" si="730"/>
        <v>195917.2500000002</v>
      </c>
      <c r="Z485" s="527">
        <f t="shared" si="755"/>
        <v>7.0000000000000007E-2</v>
      </c>
      <c r="AA485" s="300">
        <f t="shared" si="756"/>
        <v>1746.44</v>
      </c>
      <c r="AB485" s="300">
        <f t="shared" si="731"/>
        <v>603.59000000000015</v>
      </c>
      <c r="AC485" s="300">
        <f t="shared" si="757"/>
        <v>1142.8499999999999</v>
      </c>
      <c r="AD485" s="300">
        <f t="shared" ref="AD485:AE485" si="793">+AD484</f>
        <v>134.16999999999999</v>
      </c>
      <c r="AE485" s="300">
        <f t="shared" si="793"/>
        <v>188.55</v>
      </c>
      <c r="AF485" s="300">
        <f t="shared" si="733"/>
        <v>2069.1600000000003</v>
      </c>
      <c r="AG485" s="300">
        <f t="shared" si="734"/>
        <v>119610.43999999994</v>
      </c>
      <c r="AH485" s="300">
        <f t="shared" si="735"/>
        <v>617073.24000000104</v>
      </c>
      <c r="AI485" s="545">
        <f t="shared" si="723"/>
        <v>-152704.81000000011</v>
      </c>
      <c r="AJ485" s="545">
        <f t="shared" si="782"/>
        <v>-195313.66000000021</v>
      </c>
      <c r="AK485" s="545">
        <f t="shared" si="724"/>
        <v>-348018.47000000032</v>
      </c>
      <c r="AL485" s="300">
        <f t="shared" si="736"/>
        <v>195313.66000000021</v>
      </c>
      <c r="AM485" s="449">
        <f t="shared" si="763"/>
        <v>35</v>
      </c>
      <c r="AN485" s="14">
        <f t="shared" si="725"/>
        <v>0</v>
      </c>
      <c r="AO485" s="14">
        <f t="shared" si="694"/>
        <v>0</v>
      </c>
      <c r="AP485" s="14">
        <f t="shared" si="726"/>
        <v>0</v>
      </c>
      <c r="AS485" s="14">
        <f t="shared" si="759"/>
        <v>0</v>
      </c>
      <c r="AT485" s="14">
        <f t="shared" si="764"/>
        <v>0</v>
      </c>
      <c r="AU485" s="300">
        <f t="shared" si="765"/>
        <v>0</v>
      </c>
      <c r="AV485" s="300">
        <f t="shared" si="766"/>
        <v>0</v>
      </c>
    </row>
    <row r="486" spans="1:49" x14ac:dyDescent="0.25">
      <c r="A486" s="535" t="str">
        <f t="shared" si="712"/>
        <v xml:space="preserve"> </v>
      </c>
      <c r="B486" s="300">
        <f t="shared" si="706"/>
        <v>0</v>
      </c>
      <c r="C486" s="14">
        <f t="shared" si="753"/>
        <v>0</v>
      </c>
      <c r="D486" s="14">
        <f t="shared" si="767"/>
        <v>0</v>
      </c>
      <c r="E486" s="14">
        <f t="shared" si="754"/>
        <v>0</v>
      </c>
      <c r="F486" s="14">
        <f t="shared" si="713"/>
        <v>134.16999999999999</v>
      </c>
      <c r="G486" s="14">
        <f t="shared" si="709"/>
        <v>188.55</v>
      </c>
      <c r="H486" s="14">
        <f t="shared" si="710"/>
        <v>322.72000000000003</v>
      </c>
      <c r="I486" s="300">
        <f t="shared" si="714"/>
        <v>83483.170000000042</v>
      </c>
      <c r="J486" s="300">
        <f t="shared" si="715"/>
        <v>68536.320000000022</v>
      </c>
      <c r="K486" s="300">
        <f t="shared" si="716"/>
        <v>0</v>
      </c>
      <c r="L486" s="449">
        <f t="shared" si="696"/>
        <v>35</v>
      </c>
      <c r="M486" s="449">
        <f t="shared" si="760"/>
        <v>427</v>
      </c>
      <c r="N486" s="300">
        <f t="shared" si="789"/>
        <v>0</v>
      </c>
      <c r="O486" s="300">
        <f t="shared" si="728"/>
        <v>0</v>
      </c>
      <c r="P486" s="300">
        <f t="shared" si="768"/>
        <v>0</v>
      </c>
      <c r="Q486" s="300">
        <f t="shared" si="729"/>
        <v>0</v>
      </c>
      <c r="R486" s="300">
        <f t="shared" si="720"/>
        <v>134.16999999999999</v>
      </c>
      <c r="S486" s="300">
        <f t="shared" si="721"/>
        <v>188.55</v>
      </c>
      <c r="T486" s="300">
        <f t="shared" si="717"/>
        <v>322.72000000000003</v>
      </c>
      <c r="U486" s="300">
        <f t="shared" si="769"/>
        <v>244762.19000000029</v>
      </c>
      <c r="V486" s="300">
        <f t="shared" si="770"/>
        <v>339216.68000000005</v>
      </c>
      <c r="W486" s="300">
        <f t="shared" si="718"/>
        <v>0</v>
      </c>
      <c r="X486" s="535" t="str">
        <f t="shared" si="761"/>
        <v xml:space="preserve"> </v>
      </c>
      <c r="Y486" s="300">
        <f t="shared" si="730"/>
        <v>195313.66000000021</v>
      </c>
      <c r="Z486" s="527">
        <f t="shared" si="755"/>
        <v>7.0000000000000007E-2</v>
      </c>
      <c r="AA486" s="300">
        <f t="shared" si="756"/>
        <v>1746.44</v>
      </c>
      <c r="AB486" s="300">
        <f t="shared" si="731"/>
        <v>607.11000000000013</v>
      </c>
      <c r="AC486" s="300">
        <f t="shared" si="757"/>
        <v>1139.33</v>
      </c>
      <c r="AD486" s="300">
        <f t="shared" ref="AD486:AE486" si="794">+AD485</f>
        <v>134.16999999999999</v>
      </c>
      <c r="AE486" s="300">
        <f t="shared" si="794"/>
        <v>188.55</v>
      </c>
      <c r="AF486" s="300">
        <f t="shared" si="733"/>
        <v>2069.1600000000003</v>
      </c>
      <c r="AG486" s="300">
        <f t="shared" si="734"/>
        <v>120217.54999999994</v>
      </c>
      <c r="AH486" s="300">
        <f t="shared" si="735"/>
        <v>618212.570000001</v>
      </c>
      <c r="AI486" s="545">
        <f t="shared" si="723"/>
        <v>-154451.25000000012</v>
      </c>
      <c r="AJ486" s="545">
        <f t="shared" si="782"/>
        <v>-194706.55000000022</v>
      </c>
      <c r="AK486" s="545">
        <f t="shared" si="724"/>
        <v>-349157.80000000034</v>
      </c>
      <c r="AL486" s="300">
        <f t="shared" si="736"/>
        <v>194706.55000000022</v>
      </c>
      <c r="AM486" s="449">
        <f t="shared" si="763"/>
        <v>35</v>
      </c>
      <c r="AN486" s="14">
        <f t="shared" si="725"/>
        <v>0</v>
      </c>
      <c r="AO486" s="14">
        <f t="shared" si="694"/>
        <v>0</v>
      </c>
      <c r="AP486" s="14">
        <f t="shared" si="726"/>
        <v>0</v>
      </c>
      <c r="AS486" s="14">
        <f t="shared" si="759"/>
        <v>0</v>
      </c>
      <c r="AT486" s="14">
        <f t="shared" si="764"/>
        <v>0</v>
      </c>
      <c r="AU486" s="300">
        <f t="shared" si="765"/>
        <v>0</v>
      </c>
      <c r="AV486" s="300">
        <f t="shared" si="766"/>
        <v>0</v>
      </c>
    </row>
    <row r="487" spans="1:49" x14ac:dyDescent="0.25">
      <c r="A487" s="535" t="str">
        <f t="shared" si="712"/>
        <v xml:space="preserve"> </v>
      </c>
      <c r="B487" s="300">
        <f t="shared" si="706"/>
        <v>0</v>
      </c>
      <c r="C487" s="14">
        <f t="shared" si="753"/>
        <v>0</v>
      </c>
      <c r="D487" s="14">
        <f t="shared" si="767"/>
        <v>0</v>
      </c>
      <c r="E487" s="14">
        <f t="shared" si="754"/>
        <v>0</v>
      </c>
      <c r="F487" s="14">
        <f t="shared" si="713"/>
        <v>134.16999999999999</v>
      </c>
      <c r="G487" s="14">
        <f t="shared" si="709"/>
        <v>188.55</v>
      </c>
      <c r="H487" s="14">
        <f t="shared" si="710"/>
        <v>322.72000000000003</v>
      </c>
      <c r="I487" s="300">
        <f t="shared" si="714"/>
        <v>83483.170000000042</v>
      </c>
      <c r="J487" s="300">
        <f t="shared" si="715"/>
        <v>68536.320000000022</v>
      </c>
      <c r="K487" s="300">
        <f t="shared" si="716"/>
        <v>0</v>
      </c>
      <c r="L487" s="449">
        <f t="shared" si="696"/>
        <v>35</v>
      </c>
      <c r="M487" s="449">
        <f t="shared" si="760"/>
        <v>428</v>
      </c>
      <c r="N487" s="300">
        <f t="shared" si="789"/>
        <v>0</v>
      </c>
      <c r="O487" s="300">
        <f t="shared" si="728"/>
        <v>0</v>
      </c>
      <c r="P487" s="300">
        <f t="shared" si="768"/>
        <v>0</v>
      </c>
      <c r="Q487" s="300">
        <f t="shared" si="729"/>
        <v>0</v>
      </c>
      <c r="R487" s="300">
        <f t="shared" si="720"/>
        <v>134.16999999999999</v>
      </c>
      <c r="S487" s="300">
        <f t="shared" si="721"/>
        <v>188.55</v>
      </c>
      <c r="T487" s="300">
        <f t="shared" si="717"/>
        <v>322.72000000000003</v>
      </c>
      <c r="U487" s="300">
        <f t="shared" si="769"/>
        <v>244762.19000000029</v>
      </c>
      <c r="V487" s="300">
        <f t="shared" si="770"/>
        <v>339216.68000000005</v>
      </c>
      <c r="W487" s="300">
        <f t="shared" si="718"/>
        <v>0</v>
      </c>
      <c r="X487" s="535" t="str">
        <f t="shared" si="761"/>
        <v xml:space="preserve"> </v>
      </c>
      <c r="Y487" s="300">
        <f t="shared" si="730"/>
        <v>194706.55000000022</v>
      </c>
      <c r="Z487" s="527">
        <f t="shared" si="755"/>
        <v>7.0000000000000007E-2</v>
      </c>
      <c r="AA487" s="300">
        <f t="shared" si="756"/>
        <v>1746.44</v>
      </c>
      <c r="AB487" s="300">
        <f t="shared" si="731"/>
        <v>610.65000000000009</v>
      </c>
      <c r="AC487" s="300">
        <f t="shared" si="757"/>
        <v>1135.79</v>
      </c>
      <c r="AD487" s="300">
        <f t="shared" ref="AD487:AE487" si="795">+AD486</f>
        <v>134.16999999999999</v>
      </c>
      <c r="AE487" s="300">
        <f t="shared" si="795"/>
        <v>188.55</v>
      </c>
      <c r="AF487" s="300">
        <f t="shared" si="733"/>
        <v>2069.1600000000003</v>
      </c>
      <c r="AG487" s="300">
        <f t="shared" si="734"/>
        <v>120828.19999999994</v>
      </c>
      <c r="AH487" s="300">
        <f t="shared" si="735"/>
        <v>619348.36000000103</v>
      </c>
      <c r="AI487" s="545">
        <f t="shared" si="723"/>
        <v>-156197.69000000012</v>
      </c>
      <c r="AJ487" s="545">
        <f t="shared" si="782"/>
        <v>-194095.90000000023</v>
      </c>
      <c r="AK487" s="545">
        <f t="shared" si="724"/>
        <v>-350293.59000000032</v>
      </c>
      <c r="AL487" s="300">
        <f t="shared" si="736"/>
        <v>194095.90000000023</v>
      </c>
      <c r="AM487" s="449">
        <f t="shared" si="763"/>
        <v>35</v>
      </c>
      <c r="AN487" s="14">
        <f t="shared" si="725"/>
        <v>0</v>
      </c>
      <c r="AO487" s="14">
        <f t="shared" si="694"/>
        <v>0</v>
      </c>
      <c r="AP487" s="14">
        <f t="shared" si="726"/>
        <v>0</v>
      </c>
      <c r="AS487" s="14">
        <f t="shared" si="759"/>
        <v>0</v>
      </c>
      <c r="AT487" s="14">
        <f t="shared" si="764"/>
        <v>0</v>
      </c>
      <c r="AU487" s="300">
        <f t="shared" si="765"/>
        <v>0</v>
      </c>
      <c r="AV487" s="300">
        <f t="shared" si="766"/>
        <v>0</v>
      </c>
    </row>
    <row r="488" spans="1:49" x14ac:dyDescent="0.25">
      <c r="A488" s="535" t="str">
        <f t="shared" si="712"/>
        <v xml:space="preserve"> </v>
      </c>
      <c r="B488" s="300">
        <f t="shared" si="706"/>
        <v>0</v>
      </c>
      <c r="C488" s="14">
        <f t="shared" si="753"/>
        <v>0</v>
      </c>
      <c r="D488" s="14">
        <f t="shared" si="767"/>
        <v>0</v>
      </c>
      <c r="E488" s="14">
        <f t="shared" si="754"/>
        <v>0</v>
      </c>
      <c r="F488" s="14">
        <f t="shared" si="713"/>
        <v>134.16999999999999</v>
      </c>
      <c r="G488" s="14">
        <f t="shared" si="709"/>
        <v>188.55</v>
      </c>
      <c r="H488" s="14">
        <f t="shared" si="710"/>
        <v>322.72000000000003</v>
      </c>
      <c r="I488" s="300">
        <f t="shared" si="714"/>
        <v>83483.170000000042</v>
      </c>
      <c r="J488" s="300">
        <f t="shared" si="715"/>
        <v>68536.320000000022</v>
      </c>
      <c r="K488" s="300">
        <f t="shared" si="716"/>
        <v>0</v>
      </c>
      <c r="L488" s="449">
        <f t="shared" si="696"/>
        <v>35</v>
      </c>
      <c r="M488" s="449">
        <f t="shared" si="760"/>
        <v>429</v>
      </c>
      <c r="N488" s="300">
        <f t="shared" si="789"/>
        <v>0</v>
      </c>
      <c r="O488" s="300">
        <f t="shared" si="728"/>
        <v>0</v>
      </c>
      <c r="P488" s="300">
        <f t="shared" si="768"/>
        <v>0</v>
      </c>
      <c r="Q488" s="300">
        <f t="shared" si="729"/>
        <v>0</v>
      </c>
      <c r="R488" s="300">
        <f t="shared" si="720"/>
        <v>134.16999999999999</v>
      </c>
      <c r="S488" s="300">
        <f t="shared" si="721"/>
        <v>188.55</v>
      </c>
      <c r="T488" s="300">
        <f t="shared" si="717"/>
        <v>322.72000000000003</v>
      </c>
      <c r="U488" s="300">
        <f t="shared" si="769"/>
        <v>244762.19000000029</v>
      </c>
      <c r="V488" s="300">
        <f t="shared" si="770"/>
        <v>339216.68000000005</v>
      </c>
      <c r="W488" s="300">
        <f t="shared" si="718"/>
        <v>0</v>
      </c>
      <c r="X488" s="535" t="str">
        <f t="shared" si="761"/>
        <v xml:space="preserve"> </v>
      </c>
      <c r="Y488" s="300">
        <f t="shared" si="730"/>
        <v>194095.90000000023</v>
      </c>
      <c r="Z488" s="527">
        <f t="shared" si="755"/>
        <v>7.0000000000000007E-2</v>
      </c>
      <c r="AA488" s="300">
        <f t="shared" si="756"/>
        <v>1746.44</v>
      </c>
      <c r="AB488" s="300">
        <f t="shared" si="731"/>
        <v>614.21</v>
      </c>
      <c r="AC488" s="300">
        <f t="shared" si="757"/>
        <v>1132.23</v>
      </c>
      <c r="AD488" s="300">
        <f t="shared" ref="AD488:AE488" si="796">+AD487</f>
        <v>134.16999999999999</v>
      </c>
      <c r="AE488" s="300">
        <f t="shared" si="796"/>
        <v>188.55</v>
      </c>
      <c r="AF488" s="300">
        <f t="shared" si="733"/>
        <v>2069.1600000000003</v>
      </c>
      <c r="AG488" s="300">
        <f t="shared" si="734"/>
        <v>121442.40999999995</v>
      </c>
      <c r="AH488" s="300">
        <f t="shared" si="735"/>
        <v>620480.59000000102</v>
      </c>
      <c r="AI488" s="545">
        <f t="shared" si="723"/>
        <v>-157944.13000000012</v>
      </c>
      <c r="AJ488" s="545">
        <f t="shared" si="782"/>
        <v>-193481.69000000024</v>
      </c>
      <c r="AK488" s="545">
        <f t="shared" si="724"/>
        <v>-351425.82000000036</v>
      </c>
      <c r="AL488" s="300">
        <f t="shared" si="736"/>
        <v>193481.69000000024</v>
      </c>
      <c r="AM488" s="449">
        <f t="shared" si="763"/>
        <v>35</v>
      </c>
      <c r="AN488" s="14">
        <f t="shared" si="725"/>
        <v>0</v>
      </c>
      <c r="AO488" s="14">
        <f t="shared" si="694"/>
        <v>0</v>
      </c>
      <c r="AP488" s="14">
        <f t="shared" si="726"/>
        <v>0</v>
      </c>
      <c r="AS488" s="14">
        <f t="shared" si="759"/>
        <v>0</v>
      </c>
      <c r="AT488" s="14">
        <f t="shared" si="764"/>
        <v>0</v>
      </c>
      <c r="AU488" s="300">
        <f t="shared" si="765"/>
        <v>0</v>
      </c>
      <c r="AV488" s="300">
        <f t="shared" si="766"/>
        <v>0</v>
      </c>
    </row>
    <row r="489" spans="1:49" x14ac:dyDescent="0.25">
      <c r="A489" s="535" t="str">
        <f t="shared" si="712"/>
        <v xml:space="preserve"> </v>
      </c>
      <c r="B489" s="300">
        <f t="shared" si="706"/>
        <v>0</v>
      </c>
      <c r="C489" s="14">
        <f t="shared" si="753"/>
        <v>0</v>
      </c>
      <c r="D489" s="14">
        <f t="shared" si="767"/>
        <v>0</v>
      </c>
      <c r="E489" s="14">
        <f t="shared" si="754"/>
        <v>0</v>
      </c>
      <c r="F489" s="14">
        <f t="shared" si="713"/>
        <v>134.16999999999999</v>
      </c>
      <c r="G489" s="14">
        <f t="shared" si="709"/>
        <v>188.55</v>
      </c>
      <c r="H489" s="14">
        <f t="shared" si="710"/>
        <v>322.72000000000003</v>
      </c>
      <c r="I489" s="300">
        <f t="shared" si="714"/>
        <v>83483.170000000042</v>
      </c>
      <c r="J489" s="300">
        <f t="shared" si="715"/>
        <v>68536.320000000022</v>
      </c>
      <c r="K489" s="300">
        <f t="shared" si="716"/>
        <v>0</v>
      </c>
      <c r="L489" s="449">
        <f t="shared" si="696"/>
        <v>35</v>
      </c>
      <c r="M489" s="449">
        <f t="shared" si="760"/>
        <v>430</v>
      </c>
      <c r="N489" s="300">
        <f t="shared" si="789"/>
        <v>0</v>
      </c>
      <c r="O489" s="300">
        <f t="shared" si="728"/>
        <v>0</v>
      </c>
      <c r="P489" s="300">
        <f t="shared" si="768"/>
        <v>0</v>
      </c>
      <c r="Q489" s="300">
        <f t="shared" si="729"/>
        <v>0</v>
      </c>
      <c r="R489" s="300">
        <f t="shared" si="720"/>
        <v>134.16999999999999</v>
      </c>
      <c r="S489" s="300">
        <f t="shared" si="721"/>
        <v>188.55</v>
      </c>
      <c r="T489" s="300">
        <f t="shared" si="717"/>
        <v>322.72000000000003</v>
      </c>
      <c r="U489" s="300">
        <f t="shared" si="769"/>
        <v>244762.19000000029</v>
      </c>
      <c r="V489" s="300">
        <f t="shared" si="770"/>
        <v>339216.68000000005</v>
      </c>
      <c r="W489" s="300">
        <f t="shared" si="718"/>
        <v>0</v>
      </c>
      <c r="X489" s="535" t="str">
        <f t="shared" si="761"/>
        <v xml:space="preserve"> </v>
      </c>
      <c r="Y489" s="300">
        <f t="shared" si="730"/>
        <v>193481.69000000024</v>
      </c>
      <c r="Z489" s="527">
        <f t="shared" si="755"/>
        <v>7.0000000000000007E-2</v>
      </c>
      <c r="AA489" s="300">
        <f t="shared" si="756"/>
        <v>1746.44</v>
      </c>
      <c r="AB489" s="300">
        <f t="shared" si="731"/>
        <v>617.79999999999995</v>
      </c>
      <c r="AC489" s="300">
        <f t="shared" si="757"/>
        <v>1128.6400000000001</v>
      </c>
      <c r="AD489" s="300">
        <f t="shared" ref="AD489:AE489" si="797">+AD488</f>
        <v>134.16999999999999</v>
      </c>
      <c r="AE489" s="300">
        <f t="shared" si="797"/>
        <v>188.55</v>
      </c>
      <c r="AF489" s="300">
        <f t="shared" si="733"/>
        <v>2069.1600000000003</v>
      </c>
      <c r="AG489" s="300">
        <f t="shared" si="734"/>
        <v>122060.20999999995</v>
      </c>
      <c r="AH489" s="300">
        <f t="shared" si="735"/>
        <v>621609.23000000103</v>
      </c>
      <c r="AI489" s="545">
        <f t="shared" si="723"/>
        <v>-159690.57000000012</v>
      </c>
      <c r="AJ489" s="545">
        <f t="shared" si="782"/>
        <v>-192863.89000000025</v>
      </c>
      <c r="AK489" s="545">
        <f t="shared" si="724"/>
        <v>-352554.46000000037</v>
      </c>
      <c r="AL489" s="300">
        <f t="shared" si="736"/>
        <v>192863.89000000025</v>
      </c>
      <c r="AM489" s="449">
        <f t="shared" si="763"/>
        <v>35</v>
      </c>
      <c r="AN489" s="14">
        <f t="shared" si="725"/>
        <v>0</v>
      </c>
      <c r="AO489" s="14">
        <f t="shared" si="694"/>
        <v>0</v>
      </c>
      <c r="AP489" s="14">
        <f t="shared" si="726"/>
        <v>0</v>
      </c>
      <c r="AS489" s="14">
        <f t="shared" si="759"/>
        <v>0</v>
      </c>
      <c r="AT489" s="14">
        <f t="shared" si="764"/>
        <v>0</v>
      </c>
      <c r="AU489" s="300">
        <f t="shared" si="765"/>
        <v>0</v>
      </c>
      <c r="AV489" s="300">
        <f t="shared" si="766"/>
        <v>0</v>
      </c>
    </row>
    <row r="490" spans="1:49" x14ac:dyDescent="0.25">
      <c r="A490" s="535" t="str">
        <f t="shared" si="712"/>
        <v xml:space="preserve"> </v>
      </c>
      <c r="B490" s="300">
        <f t="shared" si="706"/>
        <v>0</v>
      </c>
      <c r="C490" s="14">
        <f t="shared" si="753"/>
        <v>0</v>
      </c>
      <c r="D490" s="14">
        <f t="shared" si="767"/>
        <v>0</v>
      </c>
      <c r="E490" s="14">
        <f t="shared" si="754"/>
        <v>0</v>
      </c>
      <c r="F490" s="14">
        <f t="shared" si="713"/>
        <v>134.16999999999999</v>
      </c>
      <c r="G490" s="14">
        <f t="shared" si="709"/>
        <v>188.55</v>
      </c>
      <c r="H490" s="14">
        <f t="shared" si="710"/>
        <v>322.72000000000003</v>
      </c>
      <c r="I490" s="300">
        <f t="shared" si="714"/>
        <v>83483.170000000042</v>
      </c>
      <c r="J490" s="300">
        <f t="shared" si="715"/>
        <v>68536.320000000022</v>
      </c>
      <c r="K490" s="300">
        <f t="shared" si="716"/>
        <v>0</v>
      </c>
      <c r="L490" s="449">
        <f t="shared" si="696"/>
        <v>35</v>
      </c>
      <c r="M490" s="449">
        <f t="shared" si="760"/>
        <v>431</v>
      </c>
      <c r="N490" s="300">
        <f t="shared" si="789"/>
        <v>0</v>
      </c>
      <c r="O490" s="300">
        <f t="shared" si="728"/>
        <v>0</v>
      </c>
      <c r="P490" s="300">
        <f t="shared" si="768"/>
        <v>0</v>
      </c>
      <c r="Q490" s="300">
        <f t="shared" si="729"/>
        <v>0</v>
      </c>
      <c r="R490" s="300">
        <f t="shared" si="720"/>
        <v>134.16999999999999</v>
      </c>
      <c r="S490" s="300">
        <f t="shared" si="721"/>
        <v>188.55</v>
      </c>
      <c r="T490" s="300">
        <f t="shared" si="717"/>
        <v>322.72000000000003</v>
      </c>
      <c r="U490" s="300">
        <f t="shared" si="769"/>
        <v>244762.19000000029</v>
      </c>
      <c r="V490" s="300">
        <f t="shared" si="770"/>
        <v>339216.68000000005</v>
      </c>
      <c r="W490" s="300">
        <f t="shared" si="718"/>
        <v>0</v>
      </c>
      <c r="X490" s="535" t="str">
        <f t="shared" si="761"/>
        <v xml:space="preserve"> </v>
      </c>
      <c r="Y490" s="300">
        <f t="shared" si="730"/>
        <v>192863.89000000025</v>
      </c>
      <c r="Z490" s="527">
        <f t="shared" si="755"/>
        <v>7.0000000000000007E-2</v>
      </c>
      <c r="AA490" s="300">
        <f t="shared" si="756"/>
        <v>1746.44</v>
      </c>
      <c r="AB490" s="300">
        <f t="shared" si="731"/>
        <v>621.40000000000009</v>
      </c>
      <c r="AC490" s="300">
        <f t="shared" si="757"/>
        <v>1125.04</v>
      </c>
      <c r="AD490" s="300">
        <f t="shared" ref="AD490:AE490" si="798">+AD489</f>
        <v>134.16999999999999</v>
      </c>
      <c r="AE490" s="300">
        <f t="shared" si="798"/>
        <v>188.55</v>
      </c>
      <c r="AF490" s="300">
        <f t="shared" si="733"/>
        <v>2069.1600000000003</v>
      </c>
      <c r="AG490" s="300">
        <f t="shared" si="734"/>
        <v>122681.60999999994</v>
      </c>
      <c r="AH490" s="300">
        <f t="shared" si="735"/>
        <v>622734.27000000107</v>
      </c>
      <c r="AI490" s="545">
        <f t="shared" si="723"/>
        <v>-161437.01000000013</v>
      </c>
      <c r="AJ490" s="545">
        <f t="shared" si="782"/>
        <v>-192242.49000000025</v>
      </c>
      <c r="AK490" s="545">
        <f t="shared" si="724"/>
        <v>-353679.50000000035</v>
      </c>
      <c r="AL490" s="300">
        <f t="shared" si="736"/>
        <v>192242.49000000025</v>
      </c>
      <c r="AM490" s="449">
        <f t="shared" si="763"/>
        <v>35</v>
      </c>
      <c r="AN490" s="14">
        <f t="shared" si="725"/>
        <v>0</v>
      </c>
      <c r="AO490" s="14">
        <f t="shared" si="694"/>
        <v>0</v>
      </c>
      <c r="AP490" s="14">
        <f t="shared" si="726"/>
        <v>0</v>
      </c>
      <c r="AS490" s="14">
        <f t="shared" si="759"/>
        <v>0</v>
      </c>
      <c r="AT490" s="14">
        <f t="shared" si="764"/>
        <v>0</v>
      </c>
      <c r="AU490" s="300">
        <f t="shared" si="765"/>
        <v>0</v>
      </c>
      <c r="AV490" s="300">
        <f t="shared" si="766"/>
        <v>0</v>
      </c>
    </row>
    <row r="491" spans="1:49" x14ac:dyDescent="0.25">
      <c r="A491" s="535"/>
      <c r="L491" s="449">
        <f t="shared" si="696"/>
        <v>0</v>
      </c>
      <c r="M491" s="449"/>
      <c r="X491" s="535">
        <f t="shared" si="761"/>
        <v>0</v>
      </c>
      <c r="Y491" s="300">
        <f t="shared" si="730"/>
        <v>192242.49000000025</v>
      </c>
      <c r="Z491" s="527">
        <f t="shared" si="755"/>
        <v>4.4999999999999998E-2</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300">
        <f t="shared" si="734"/>
        <v>122681.60999999994</v>
      </c>
      <c r="AH491" s="300">
        <f t="shared" si="735"/>
        <v>622734.27000000107</v>
      </c>
      <c r="AI491" s="545">
        <f t="shared" si="723"/>
        <v>-161437.01000000013</v>
      </c>
      <c r="AJ491" s="545">
        <f t="shared" si="782"/>
        <v>-192242.49000000025</v>
      </c>
      <c r="AK491" s="545">
        <f t="shared" si="724"/>
        <v>-353679.50000000035</v>
      </c>
      <c r="AL491" s="300">
        <f t="shared" si="736"/>
        <v>192242.49000000025</v>
      </c>
      <c r="AM491" s="449">
        <f t="shared" si="763"/>
        <v>0</v>
      </c>
    </row>
    <row r="492" spans="1:49" x14ac:dyDescent="0.25">
      <c r="A492" s="535"/>
      <c r="L492" s="449">
        <f t="shared" si="696"/>
        <v>0</v>
      </c>
      <c r="M492" s="449"/>
      <c r="X492" s="535">
        <f t="shared" si="761"/>
        <v>0</v>
      </c>
      <c r="Y492" s="300">
        <f t="shared" si="730"/>
        <v>192242.49000000025</v>
      </c>
      <c r="Z492" s="527">
        <f t="shared" si="755"/>
        <v>4.4999999999999998E-2</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300">
        <f t="shared" si="734"/>
        <v>122681.60999999994</v>
      </c>
      <c r="AH492" s="300">
        <f t="shared" si="735"/>
        <v>622734.27000000107</v>
      </c>
      <c r="AI492" s="545">
        <f t="shared" si="723"/>
        <v>-161437.01000000013</v>
      </c>
      <c r="AJ492" s="545">
        <f t="shared" si="782"/>
        <v>-192242.49000000025</v>
      </c>
      <c r="AK492" s="545">
        <f t="shared" si="724"/>
        <v>-353679.50000000035</v>
      </c>
      <c r="AL492" s="300">
        <f t="shared" si="736"/>
        <v>192242.49000000025</v>
      </c>
      <c r="AM492" s="449">
        <f t="shared" si="763"/>
        <v>0</v>
      </c>
    </row>
    <row r="493" spans="1:49" x14ac:dyDescent="0.25">
      <c r="A493" s="535"/>
      <c r="L493" s="449">
        <f t="shared" si="696"/>
        <v>0</v>
      </c>
      <c r="M493" s="449"/>
      <c r="X493" s="535">
        <f t="shared" si="761"/>
        <v>0</v>
      </c>
      <c r="Y493" s="300">
        <f t="shared" si="730"/>
        <v>192242.49000000025</v>
      </c>
      <c r="Z493" s="527">
        <f t="shared" si="755"/>
        <v>4.4999999999999998E-2</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300">
        <f t="shared" si="734"/>
        <v>122681.60999999994</v>
      </c>
      <c r="AH493" s="300">
        <f t="shared" si="735"/>
        <v>622734.27000000107</v>
      </c>
      <c r="AI493" s="545">
        <f t="shared" si="723"/>
        <v>-161437.01000000013</v>
      </c>
      <c r="AJ493" s="545">
        <f t="shared" si="782"/>
        <v>-192242.49000000025</v>
      </c>
      <c r="AK493" s="545">
        <f t="shared" si="724"/>
        <v>-353679.50000000035</v>
      </c>
      <c r="AL493" s="300">
        <f t="shared" si="736"/>
        <v>192242.49000000025</v>
      </c>
      <c r="AM493" s="449">
        <f t="shared" si="763"/>
        <v>0</v>
      </c>
    </row>
    <row r="494" spans="1:49" ht="15.75" thickBot="1" x14ac:dyDescent="0.3">
      <c r="A494" s="538"/>
      <c r="B494" s="369"/>
      <c r="C494" s="21"/>
      <c r="D494" s="21"/>
      <c r="E494" s="21"/>
      <c r="F494" s="21"/>
      <c r="G494" s="21"/>
      <c r="H494" s="21"/>
      <c r="I494" s="369"/>
      <c r="J494" s="369"/>
      <c r="K494" s="369"/>
      <c r="L494" s="450">
        <f t="shared" si="696"/>
        <v>0</v>
      </c>
      <c r="M494" s="450"/>
      <c r="N494" s="369"/>
      <c r="U494" s="369"/>
      <c r="V494" s="369"/>
      <c r="W494" s="369"/>
      <c r="X494" s="538">
        <f t="shared" si="761"/>
        <v>0</v>
      </c>
      <c r="Y494" s="300">
        <f t="shared" si="730"/>
        <v>192242.49000000025</v>
      </c>
      <c r="Z494" s="527">
        <f t="shared" si="755"/>
        <v>4.4999999999999998E-2</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300">
        <f t="shared" si="734"/>
        <v>122681.60999999994</v>
      </c>
      <c r="AH494" s="300">
        <f t="shared" si="735"/>
        <v>622734.27000000107</v>
      </c>
      <c r="AI494" s="545">
        <f t="shared" si="723"/>
        <v>-161437.01000000013</v>
      </c>
      <c r="AJ494" s="545">
        <f t="shared" si="782"/>
        <v>-192242.49000000025</v>
      </c>
      <c r="AK494" s="545">
        <f t="shared" si="724"/>
        <v>-353679.50000000035</v>
      </c>
      <c r="AL494" s="300">
        <f t="shared" si="736"/>
        <v>192242.49000000025</v>
      </c>
      <c r="AM494" s="450">
        <f t="shared" si="763"/>
        <v>0</v>
      </c>
      <c r="AN494" s="21"/>
      <c r="AO494" s="21"/>
      <c r="AP494" s="21"/>
      <c r="AQ494" s="21"/>
      <c r="AR494" s="23"/>
      <c r="AS494" s="21"/>
      <c r="AT494" s="21"/>
      <c r="AU494" s="369"/>
      <c r="AV494" s="369"/>
      <c r="AW494" s="21"/>
    </row>
    <row r="495" spans="1:49" x14ac:dyDescent="0.25">
      <c r="A495" s="535"/>
      <c r="L495" s="449">
        <f t="shared" ref="L495:L558" si="803">IF(MOD(M495,12)=0,M495/12,L494)</f>
        <v>0</v>
      </c>
      <c r="M495" s="449"/>
      <c r="X495" s="535">
        <f t="shared" si="761"/>
        <v>0</v>
      </c>
      <c r="Y495" s="300">
        <f t="shared" si="730"/>
        <v>192242.49000000025</v>
      </c>
      <c r="Z495" s="527">
        <f t="shared" si="755"/>
        <v>4.4999999999999998E-2</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300">
        <f t="shared" si="734"/>
        <v>122681.60999999994</v>
      </c>
      <c r="AH495" s="300">
        <f t="shared" si="735"/>
        <v>622734.27000000107</v>
      </c>
      <c r="AI495" s="545">
        <f t="shared" si="723"/>
        <v>-161437.01000000013</v>
      </c>
      <c r="AJ495" s="545">
        <f t="shared" si="782"/>
        <v>-192242.49000000025</v>
      </c>
      <c r="AK495" s="545">
        <f t="shared" si="724"/>
        <v>-353679.50000000035</v>
      </c>
      <c r="AL495" s="300">
        <f t="shared" si="736"/>
        <v>192242.49000000025</v>
      </c>
      <c r="AM495" s="449">
        <f t="shared" si="763"/>
        <v>0</v>
      </c>
    </row>
    <row r="496" spans="1:49" x14ac:dyDescent="0.25">
      <c r="A496" s="535"/>
      <c r="L496" s="449">
        <f t="shared" si="803"/>
        <v>0</v>
      </c>
      <c r="M496" s="449"/>
      <c r="X496" s="535">
        <f t="shared" si="761"/>
        <v>0</v>
      </c>
      <c r="Y496" s="300">
        <f t="shared" si="730"/>
        <v>192242.49000000025</v>
      </c>
      <c r="Z496" s="527">
        <f t="shared" si="755"/>
        <v>4.4999999999999998E-2</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300">
        <f t="shared" si="734"/>
        <v>122681.60999999994</v>
      </c>
      <c r="AH496" s="300">
        <f t="shared" si="735"/>
        <v>622734.27000000107</v>
      </c>
      <c r="AI496" s="545">
        <f t="shared" si="723"/>
        <v>-161437.01000000013</v>
      </c>
      <c r="AJ496" s="545">
        <f t="shared" si="782"/>
        <v>-192242.49000000025</v>
      </c>
      <c r="AK496" s="545">
        <f t="shared" si="724"/>
        <v>-353679.50000000035</v>
      </c>
      <c r="AL496" s="300">
        <f t="shared" si="736"/>
        <v>192242.49000000025</v>
      </c>
      <c r="AM496" s="449">
        <f t="shared" si="763"/>
        <v>0</v>
      </c>
    </row>
    <row r="497" spans="1:49" x14ac:dyDescent="0.25">
      <c r="A497" s="535"/>
      <c r="L497" s="449">
        <f t="shared" si="803"/>
        <v>0</v>
      </c>
      <c r="M497" s="449"/>
      <c r="X497" s="535">
        <f t="shared" si="761"/>
        <v>0</v>
      </c>
      <c r="Y497" s="300">
        <f t="shared" si="730"/>
        <v>192242.49000000025</v>
      </c>
      <c r="Z497" s="527">
        <f t="shared" si="755"/>
        <v>4.4999999999999998E-2</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300">
        <f t="shared" si="734"/>
        <v>122681.60999999994</v>
      </c>
      <c r="AH497" s="300">
        <f t="shared" si="735"/>
        <v>622734.27000000107</v>
      </c>
      <c r="AI497" s="545">
        <f t="shared" si="723"/>
        <v>-161437.01000000013</v>
      </c>
      <c r="AJ497" s="545">
        <f t="shared" si="782"/>
        <v>-192242.49000000025</v>
      </c>
      <c r="AK497" s="545">
        <f t="shared" si="724"/>
        <v>-353679.50000000035</v>
      </c>
      <c r="AL497" s="300">
        <f t="shared" si="736"/>
        <v>192242.49000000025</v>
      </c>
      <c r="AM497" s="449">
        <f t="shared" si="763"/>
        <v>0</v>
      </c>
    </row>
    <row r="498" spans="1:49" x14ac:dyDescent="0.25">
      <c r="A498" s="535"/>
      <c r="L498" s="449">
        <f t="shared" si="803"/>
        <v>0</v>
      </c>
      <c r="M498" s="449"/>
      <c r="X498" s="535">
        <f t="shared" si="761"/>
        <v>0</v>
      </c>
      <c r="Y498" s="300">
        <f t="shared" si="730"/>
        <v>192242.49000000025</v>
      </c>
      <c r="Z498" s="527">
        <f t="shared" si="755"/>
        <v>4.4999999999999998E-2</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300">
        <f t="shared" si="734"/>
        <v>122681.60999999994</v>
      </c>
      <c r="AH498" s="300">
        <f t="shared" si="735"/>
        <v>622734.27000000107</v>
      </c>
      <c r="AI498" s="545">
        <f t="shared" si="723"/>
        <v>-161437.01000000013</v>
      </c>
      <c r="AJ498" s="545">
        <f t="shared" si="782"/>
        <v>-192242.49000000025</v>
      </c>
      <c r="AK498" s="545">
        <f t="shared" si="724"/>
        <v>-353679.50000000035</v>
      </c>
      <c r="AL498" s="300">
        <f t="shared" si="736"/>
        <v>192242.49000000025</v>
      </c>
      <c r="AM498" s="449">
        <f t="shared" si="763"/>
        <v>0</v>
      </c>
    </row>
    <row r="499" spans="1:49" x14ac:dyDescent="0.25">
      <c r="A499" s="535"/>
      <c r="L499" s="449">
        <f t="shared" si="803"/>
        <v>0</v>
      </c>
      <c r="M499" s="449"/>
      <c r="X499" s="535">
        <f t="shared" si="761"/>
        <v>0</v>
      </c>
      <c r="Y499" s="300">
        <f t="shared" si="730"/>
        <v>192242.49000000025</v>
      </c>
      <c r="Z499" s="527">
        <f t="shared" si="755"/>
        <v>4.4999999999999998E-2</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300">
        <f t="shared" si="734"/>
        <v>122681.60999999994</v>
      </c>
      <c r="AH499" s="300">
        <f t="shared" si="735"/>
        <v>622734.27000000107</v>
      </c>
      <c r="AI499" s="545">
        <f t="shared" si="723"/>
        <v>-161437.01000000013</v>
      </c>
      <c r="AJ499" s="545">
        <f t="shared" si="782"/>
        <v>-192242.49000000025</v>
      </c>
      <c r="AK499" s="545">
        <f t="shared" si="724"/>
        <v>-353679.50000000035</v>
      </c>
      <c r="AL499" s="300">
        <f t="shared" si="736"/>
        <v>192242.49000000025</v>
      </c>
      <c r="AM499" s="449">
        <f t="shared" si="763"/>
        <v>0</v>
      </c>
    </row>
    <row r="500" spans="1:49" x14ac:dyDescent="0.25">
      <c r="A500" s="535"/>
      <c r="L500" s="449">
        <f t="shared" si="803"/>
        <v>0</v>
      </c>
      <c r="M500" s="449"/>
      <c r="X500" s="535">
        <f t="shared" si="761"/>
        <v>0</v>
      </c>
      <c r="Y500" s="300">
        <f t="shared" si="730"/>
        <v>192242.49000000025</v>
      </c>
      <c r="Z500" s="527">
        <f t="shared" si="755"/>
        <v>4.4999999999999998E-2</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300">
        <f t="shared" si="734"/>
        <v>122681.60999999994</v>
      </c>
      <c r="AH500" s="300">
        <f t="shared" si="735"/>
        <v>622734.27000000107</v>
      </c>
      <c r="AI500" s="545">
        <f t="shared" si="723"/>
        <v>-161437.01000000013</v>
      </c>
      <c r="AJ500" s="545">
        <f t="shared" si="782"/>
        <v>-192242.49000000025</v>
      </c>
      <c r="AK500" s="545">
        <f t="shared" si="724"/>
        <v>-353679.50000000035</v>
      </c>
      <c r="AL500" s="300">
        <f t="shared" si="736"/>
        <v>192242.49000000025</v>
      </c>
      <c r="AM500" s="449">
        <f t="shared" si="763"/>
        <v>0</v>
      </c>
    </row>
    <row r="501" spans="1:49" x14ac:dyDescent="0.25">
      <c r="A501" s="535"/>
      <c r="L501" s="449">
        <f t="shared" si="803"/>
        <v>0</v>
      </c>
      <c r="M501" s="449"/>
      <c r="X501" s="535">
        <f t="shared" si="761"/>
        <v>0</v>
      </c>
      <c r="Y501" s="300">
        <f t="shared" si="730"/>
        <v>192242.49000000025</v>
      </c>
      <c r="Z501" s="527">
        <f t="shared" si="755"/>
        <v>4.4999999999999998E-2</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300">
        <f t="shared" si="734"/>
        <v>122681.60999999994</v>
      </c>
      <c r="AH501" s="300">
        <f t="shared" si="735"/>
        <v>622734.27000000107</v>
      </c>
      <c r="AI501" s="545">
        <f t="shared" si="723"/>
        <v>-161437.01000000013</v>
      </c>
      <c r="AJ501" s="545">
        <f t="shared" si="782"/>
        <v>-192242.49000000025</v>
      </c>
      <c r="AK501" s="545">
        <f t="shared" si="724"/>
        <v>-353679.50000000035</v>
      </c>
      <c r="AL501" s="300">
        <f t="shared" si="736"/>
        <v>192242.49000000025</v>
      </c>
      <c r="AM501" s="449">
        <f t="shared" si="763"/>
        <v>0</v>
      </c>
    </row>
    <row r="502" spans="1:49" x14ac:dyDescent="0.25">
      <c r="A502" s="535"/>
      <c r="L502" s="449">
        <f t="shared" si="803"/>
        <v>0</v>
      </c>
      <c r="M502" s="449"/>
      <c r="X502" s="535">
        <f t="shared" si="761"/>
        <v>0</v>
      </c>
      <c r="Y502" s="300">
        <f t="shared" si="730"/>
        <v>192242.49000000025</v>
      </c>
      <c r="Z502" s="527">
        <f t="shared" si="755"/>
        <v>4.4999999999999998E-2</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300">
        <f t="shared" si="734"/>
        <v>122681.60999999994</v>
      </c>
      <c r="AH502" s="300">
        <f t="shared" si="735"/>
        <v>622734.27000000107</v>
      </c>
      <c r="AI502" s="545">
        <f t="shared" si="723"/>
        <v>-161437.01000000013</v>
      </c>
      <c r="AJ502" s="545">
        <f t="shared" si="782"/>
        <v>-192242.49000000025</v>
      </c>
      <c r="AK502" s="545">
        <f t="shared" si="724"/>
        <v>-353679.50000000035</v>
      </c>
      <c r="AL502" s="300">
        <f t="shared" si="736"/>
        <v>192242.49000000025</v>
      </c>
      <c r="AM502" s="449">
        <f t="shared" si="763"/>
        <v>0</v>
      </c>
    </row>
    <row r="503" spans="1:49" x14ac:dyDescent="0.25">
      <c r="A503" s="535"/>
      <c r="L503" s="449">
        <f t="shared" si="803"/>
        <v>0</v>
      </c>
      <c r="M503" s="449"/>
      <c r="X503" s="535">
        <f t="shared" si="761"/>
        <v>0</v>
      </c>
      <c r="Y503" s="300">
        <f t="shared" si="730"/>
        <v>192242.49000000025</v>
      </c>
      <c r="Z503" s="527">
        <f t="shared" si="755"/>
        <v>4.4999999999999998E-2</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300">
        <f t="shared" si="734"/>
        <v>122681.60999999994</v>
      </c>
      <c r="AH503" s="300">
        <f t="shared" si="735"/>
        <v>622734.27000000107</v>
      </c>
      <c r="AI503" s="545">
        <f t="shared" si="723"/>
        <v>-161437.01000000013</v>
      </c>
      <c r="AJ503" s="545">
        <f t="shared" si="782"/>
        <v>-192242.49000000025</v>
      </c>
      <c r="AK503" s="545">
        <f t="shared" si="724"/>
        <v>-353679.50000000035</v>
      </c>
      <c r="AL503" s="300">
        <f t="shared" si="736"/>
        <v>192242.49000000025</v>
      </c>
      <c r="AM503" s="449">
        <f t="shared" si="763"/>
        <v>0</v>
      </c>
    </row>
    <row r="504" spans="1:49" x14ac:dyDescent="0.25">
      <c r="A504" s="535"/>
      <c r="L504" s="449">
        <f t="shared" si="803"/>
        <v>0</v>
      </c>
      <c r="M504" s="449"/>
      <c r="X504" s="535">
        <f t="shared" si="761"/>
        <v>0</v>
      </c>
      <c r="Y504" s="300">
        <f t="shared" si="730"/>
        <v>192242.49000000025</v>
      </c>
      <c r="Z504" s="527">
        <f t="shared" si="755"/>
        <v>4.4999999999999998E-2</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300">
        <f t="shared" si="734"/>
        <v>122681.60999999994</v>
      </c>
      <c r="AH504" s="300">
        <f t="shared" si="735"/>
        <v>622734.27000000107</v>
      </c>
      <c r="AI504" s="545">
        <f t="shared" si="723"/>
        <v>-161437.01000000013</v>
      </c>
      <c r="AJ504" s="545">
        <f t="shared" si="782"/>
        <v>-192242.49000000025</v>
      </c>
      <c r="AK504" s="545">
        <f t="shared" si="724"/>
        <v>-353679.50000000035</v>
      </c>
      <c r="AL504" s="300">
        <f t="shared" si="736"/>
        <v>192242.49000000025</v>
      </c>
      <c r="AM504" s="449">
        <f t="shared" si="763"/>
        <v>0</v>
      </c>
    </row>
    <row r="505" spans="1:49" x14ac:dyDescent="0.25">
      <c r="A505" s="535"/>
      <c r="L505" s="449">
        <f t="shared" si="803"/>
        <v>0</v>
      </c>
      <c r="M505" s="449"/>
      <c r="X505" s="535">
        <f t="shared" si="761"/>
        <v>0</v>
      </c>
      <c r="Y505" s="300">
        <f t="shared" si="730"/>
        <v>192242.49000000025</v>
      </c>
      <c r="Z505" s="527">
        <f t="shared" si="755"/>
        <v>4.4999999999999998E-2</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300">
        <f t="shared" si="734"/>
        <v>122681.60999999994</v>
      </c>
      <c r="AH505" s="300">
        <f t="shared" si="735"/>
        <v>622734.27000000107</v>
      </c>
      <c r="AI505" s="545">
        <f t="shared" si="723"/>
        <v>-161437.01000000013</v>
      </c>
      <c r="AJ505" s="545">
        <f t="shared" si="782"/>
        <v>-192242.49000000025</v>
      </c>
      <c r="AK505" s="545">
        <f t="shared" si="724"/>
        <v>-353679.50000000035</v>
      </c>
      <c r="AL505" s="300">
        <f t="shared" si="736"/>
        <v>192242.49000000025</v>
      </c>
      <c r="AM505" s="449">
        <f t="shared" si="763"/>
        <v>0</v>
      </c>
    </row>
    <row r="506" spans="1:49" ht="15.75" thickBot="1" x14ac:dyDescent="0.3">
      <c r="A506" s="538"/>
      <c r="B506" s="369"/>
      <c r="C506" s="21"/>
      <c r="D506" s="21"/>
      <c r="E506" s="21"/>
      <c r="F506" s="21"/>
      <c r="G506" s="21"/>
      <c r="H506" s="21"/>
      <c r="I506" s="369"/>
      <c r="J506" s="369"/>
      <c r="K506" s="369"/>
      <c r="L506" s="450">
        <f t="shared" si="803"/>
        <v>0</v>
      </c>
      <c r="M506" s="450"/>
      <c r="N506" s="369"/>
      <c r="U506" s="369"/>
      <c r="V506" s="369"/>
      <c r="W506" s="369"/>
      <c r="X506" s="538">
        <f t="shared" si="761"/>
        <v>0</v>
      </c>
      <c r="Y506" s="300">
        <f t="shared" si="730"/>
        <v>192242.49000000025</v>
      </c>
      <c r="Z506" s="527">
        <f t="shared" si="755"/>
        <v>4.4999999999999998E-2</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300">
        <f t="shared" si="734"/>
        <v>122681.60999999994</v>
      </c>
      <c r="AH506" s="300">
        <f t="shared" si="735"/>
        <v>622734.27000000107</v>
      </c>
      <c r="AI506" s="545">
        <f t="shared" si="723"/>
        <v>-161437.01000000013</v>
      </c>
      <c r="AJ506" s="545">
        <f t="shared" si="782"/>
        <v>-192242.49000000025</v>
      </c>
      <c r="AK506" s="545">
        <f t="shared" si="724"/>
        <v>-353679.50000000035</v>
      </c>
      <c r="AL506" s="300">
        <f t="shared" si="736"/>
        <v>192242.49000000025</v>
      </c>
      <c r="AM506" s="450">
        <f t="shared" si="763"/>
        <v>0</v>
      </c>
      <c r="AN506" s="21"/>
      <c r="AO506" s="21"/>
      <c r="AP506" s="21"/>
      <c r="AQ506" s="21"/>
      <c r="AR506" s="23"/>
      <c r="AS506" s="21"/>
      <c r="AT506" s="21"/>
      <c r="AU506" s="369"/>
      <c r="AV506" s="369"/>
      <c r="AW506" s="21"/>
    </row>
    <row r="507" spans="1:49" x14ac:dyDescent="0.25">
      <c r="A507" s="535"/>
      <c r="L507" s="449">
        <f t="shared" si="803"/>
        <v>0</v>
      </c>
      <c r="M507" s="449"/>
      <c r="X507" s="535">
        <f t="shared" si="761"/>
        <v>0</v>
      </c>
      <c r="Y507" s="300">
        <f t="shared" si="730"/>
        <v>192242.49000000025</v>
      </c>
      <c r="Z507" s="527">
        <f t="shared" si="755"/>
        <v>4.4999999999999998E-2</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300">
        <f t="shared" si="734"/>
        <v>122681.60999999994</v>
      </c>
      <c r="AH507" s="300">
        <f t="shared" si="735"/>
        <v>622734.27000000107</v>
      </c>
      <c r="AI507" s="545">
        <f t="shared" si="723"/>
        <v>-161437.01000000013</v>
      </c>
      <c r="AJ507" s="545">
        <f t="shared" si="782"/>
        <v>-192242.49000000025</v>
      </c>
      <c r="AK507" s="545">
        <f t="shared" si="724"/>
        <v>-353679.50000000035</v>
      </c>
      <c r="AL507" s="300">
        <f t="shared" si="736"/>
        <v>192242.49000000025</v>
      </c>
      <c r="AM507" s="449">
        <f t="shared" si="763"/>
        <v>0</v>
      </c>
    </row>
    <row r="508" spans="1:49" x14ac:dyDescent="0.25">
      <c r="A508" s="535"/>
      <c r="L508" s="449">
        <f t="shared" si="803"/>
        <v>0</v>
      </c>
      <c r="M508" s="449"/>
      <c r="X508" s="535">
        <f t="shared" si="761"/>
        <v>0</v>
      </c>
      <c r="Y508" s="300">
        <f t="shared" si="730"/>
        <v>192242.49000000025</v>
      </c>
      <c r="Z508" s="527">
        <f t="shared" si="755"/>
        <v>4.4999999999999998E-2</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300">
        <f t="shared" si="734"/>
        <v>122681.60999999994</v>
      </c>
      <c r="AH508" s="300">
        <f t="shared" si="735"/>
        <v>622734.27000000107</v>
      </c>
      <c r="AI508" s="545">
        <f t="shared" ref="AI508:AI543" si="818">O508-AA508+AI507</f>
        <v>-161437.01000000013</v>
      </c>
      <c r="AJ508" s="545">
        <f t="shared" si="782"/>
        <v>-192242.49000000025</v>
      </c>
      <c r="AK508" s="545">
        <f t="shared" ref="AK508:AK543" si="819">SUM(AI508:AJ508)</f>
        <v>-353679.50000000035</v>
      </c>
      <c r="AL508" s="300">
        <f t="shared" si="736"/>
        <v>192242.49000000025</v>
      </c>
      <c r="AM508" s="449">
        <f t="shared" si="763"/>
        <v>0</v>
      </c>
    </row>
    <row r="509" spans="1:49" x14ac:dyDescent="0.25">
      <c r="A509" s="535"/>
      <c r="L509" s="449">
        <f t="shared" si="803"/>
        <v>0</v>
      </c>
      <c r="M509" s="449"/>
      <c r="X509" s="535">
        <f t="shared" si="761"/>
        <v>0</v>
      </c>
      <c r="Y509" s="300">
        <f t="shared" si="730"/>
        <v>192242.49000000025</v>
      </c>
      <c r="Z509" s="527">
        <f t="shared" si="755"/>
        <v>4.4999999999999998E-2</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300">
        <f t="shared" si="734"/>
        <v>122681.60999999994</v>
      </c>
      <c r="AH509" s="300">
        <f t="shared" si="735"/>
        <v>622734.27000000107</v>
      </c>
      <c r="AI509" s="545">
        <f t="shared" si="818"/>
        <v>-161437.01000000013</v>
      </c>
      <c r="AJ509" s="545">
        <f t="shared" si="782"/>
        <v>-192242.49000000025</v>
      </c>
      <c r="AK509" s="545">
        <f t="shared" si="819"/>
        <v>-353679.50000000035</v>
      </c>
      <c r="AL509" s="300">
        <f t="shared" si="736"/>
        <v>192242.49000000025</v>
      </c>
      <c r="AM509" s="449">
        <f t="shared" si="763"/>
        <v>0</v>
      </c>
    </row>
    <row r="510" spans="1:49" x14ac:dyDescent="0.25">
      <c r="A510" s="535"/>
      <c r="L510" s="449">
        <f t="shared" si="803"/>
        <v>0</v>
      </c>
      <c r="M510" s="449"/>
      <c r="X510" s="535">
        <f t="shared" si="761"/>
        <v>0</v>
      </c>
      <c r="Y510" s="300">
        <f t="shared" ref="Y510:Y543" si="821">IF(+AL509&lt;0,0,+AL509)</f>
        <v>192242.49000000025</v>
      </c>
      <c r="Z510" s="527">
        <f t="shared" si="755"/>
        <v>4.4999999999999998E-2</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300">
        <f t="shared" ref="AG510:AG543" si="825">+AB510+AG509</f>
        <v>122681.60999999994</v>
      </c>
      <c r="AH510" s="300">
        <f t="shared" ref="AH510:AH543" si="826">+AH509+AC510</f>
        <v>622734.27000000107</v>
      </c>
      <c r="AI510" s="545">
        <f t="shared" si="818"/>
        <v>-161437.01000000013</v>
      </c>
      <c r="AJ510" s="545">
        <f t="shared" si="782"/>
        <v>-192242.49000000025</v>
      </c>
      <c r="AK510" s="545">
        <f t="shared" si="819"/>
        <v>-353679.50000000035</v>
      </c>
      <c r="AL510" s="300">
        <f t="shared" ref="AL510:AL543" si="827">+Y510-AB510</f>
        <v>192242.49000000025</v>
      </c>
      <c r="AM510" s="449">
        <f t="shared" si="763"/>
        <v>0</v>
      </c>
    </row>
    <row r="511" spans="1:49" x14ac:dyDescent="0.25">
      <c r="A511" s="535"/>
      <c r="L511" s="449">
        <f t="shared" si="803"/>
        <v>0</v>
      </c>
      <c r="M511" s="449"/>
      <c r="X511" s="535">
        <f t="shared" si="761"/>
        <v>0</v>
      </c>
      <c r="Y511" s="300">
        <f t="shared" si="821"/>
        <v>192242.49000000025</v>
      </c>
      <c r="Z511" s="527">
        <f t="shared" si="755"/>
        <v>4.4999999999999998E-2</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300">
        <f t="shared" si="825"/>
        <v>122681.60999999994</v>
      </c>
      <c r="AH511" s="300">
        <f t="shared" si="826"/>
        <v>622734.27000000107</v>
      </c>
      <c r="AI511" s="545">
        <f t="shared" si="818"/>
        <v>-161437.01000000013</v>
      </c>
      <c r="AJ511" s="545">
        <f t="shared" si="782"/>
        <v>-192242.49000000025</v>
      </c>
      <c r="AK511" s="545">
        <f t="shared" si="819"/>
        <v>-353679.50000000035</v>
      </c>
      <c r="AL511" s="300">
        <f t="shared" si="827"/>
        <v>192242.49000000025</v>
      </c>
      <c r="AM511" s="449">
        <f t="shared" si="763"/>
        <v>0</v>
      </c>
    </row>
    <row r="512" spans="1:49" x14ac:dyDescent="0.25">
      <c r="A512" s="535"/>
      <c r="L512" s="449">
        <f t="shared" si="803"/>
        <v>0</v>
      </c>
      <c r="M512" s="449"/>
      <c r="X512" s="535">
        <f t="shared" si="761"/>
        <v>0</v>
      </c>
      <c r="Y512" s="300">
        <f t="shared" si="821"/>
        <v>192242.49000000025</v>
      </c>
      <c r="Z512" s="527">
        <f t="shared" si="755"/>
        <v>4.4999999999999998E-2</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300">
        <f t="shared" si="825"/>
        <v>122681.60999999994</v>
      </c>
      <c r="AH512" s="300">
        <f t="shared" si="826"/>
        <v>622734.27000000107</v>
      </c>
      <c r="AI512" s="545">
        <f t="shared" si="818"/>
        <v>-161437.01000000013</v>
      </c>
      <c r="AJ512" s="545">
        <f t="shared" si="782"/>
        <v>-192242.49000000025</v>
      </c>
      <c r="AK512" s="545">
        <f t="shared" si="819"/>
        <v>-353679.50000000035</v>
      </c>
      <c r="AL512" s="300">
        <f t="shared" si="827"/>
        <v>192242.49000000025</v>
      </c>
      <c r="AM512" s="449">
        <f t="shared" si="763"/>
        <v>0</v>
      </c>
    </row>
    <row r="513" spans="1:49" x14ac:dyDescent="0.25">
      <c r="A513" s="535"/>
      <c r="L513" s="449">
        <f t="shared" si="803"/>
        <v>0</v>
      </c>
      <c r="M513" s="449"/>
      <c r="X513" s="535">
        <f t="shared" si="761"/>
        <v>0</v>
      </c>
      <c r="Y513" s="300">
        <f t="shared" si="821"/>
        <v>192242.49000000025</v>
      </c>
      <c r="Z513" s="527">
        <f t="shared" si="755"/>
        <v>4.4999999999999998E-2</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300">
        <f t="shared" si="825"/>
        <v>122681.60999999994</v>
      </c>
      <c r="AH513" s="300">
        <f t="shared" si="826"/>
        <v>622734.27000000107</v>
      </c>
      <c r="AI513" s="545">
        <f t="shared" si="818"/>
        <v>-161437.01000000013</v>
      </c>
      <c r="AJ513" s="545">
        <f t="shared" si="782"/>
        <v>-192242.49000000025</v>
      </c>
      <c r="AK513" s="545">
        <f t="shared" si="819"/>
        <v>-353679.50000000035</v>
      </c>
      <c r="AL513" s="300">
        <f t="shared" si="827"/>
        <v>192242.49000000025</v>
      </c>
      <c r="AM513" s="449">
        <f t="shared" si="763"/>
        <v>0</v>
      </c>
    </row>
    <row r="514" spans="1:49" x14ac:dyDescent="0.25">
      <c r="A514" s="535"/>
      <c r="L514" s="449">
        <f t="shared" si="803"/>
        <v>0</v>
      </c>
      <c r="M514" s="449"/>
      <c r="X514" s="535">
        <f t="shared" si="761"/>
        <v>0</v>
      </c>
      <c r="Y514" s="300">
        <f t="shared" si="821"/>
        <v>192242.49000000025</v>
      </c>
      <c r="Z514" s="527">
        <f t="shared" si="755"/>
        <v>4.4999999999999998E-2</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300">
        <f t="shared" si="825"/>
        <v>122681.60999999994</v>
      </c>
      <c r="AH514" s="300">
        <f t="shared" si="826"/>
        <v>622734.27000000107</v>
      </c>
      <c r="AI514" s="545">
        <f t="shared" si="818"/>
        <v>-161437.01000000013</v>
      </c>
      <c r="AJ514" s="545">
        <f t="shared" si="782"/>
        <v>-192242.49000000025</v>
      </c>
      <c r="AK514" s="545">
        <f t="shared" si="819"/>
        <v>-353679.50000000035</v>
      </c>
      <c r="AL514" s="300">
        <f t="shared" si="827"/>
        <v>192242.49000000025</v>
      </c>
      <c r="AM514" s="449">
        <f t="shared" si="763"/>
        <v>0</v>
      </c>
    </row>
    <row r="515" spans="1:49" x14ac:dyDescent="0.25">
      <c r="A515" s="535"/>
      <c r="L515" s="449">
        <f t="shared" si="803"/>
        <v>0</v>
      </c>
      <c r="M515" s="449"/>
      <c r="X515" s="535">
        <f t="shared" si="761"/>
        <v>0</v>
      </c>
      <c r="Y515" s="300">
        <f t="shared" si="821"/>
        <v>192242.49000000025</v>
      </c>
      <c r="Z515" s="527">
        <f t="shared" si="755"/>
        <v>4.4999999999999998E-2</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300">
        <f t="shared" si="825"/>
        <v>122681.60999999994</v>
      </c>
      <c r="AH515" s="300">
        <f t="shared" si="826"/>
        <v>622734.27000000107</v>
      </c>
      <c r="AI515" s="545">
        <f t="shared" si="818"/>
        <v>-161437.01000000013</v>
      </c>
      <c r="AJ515" s="545">
        <f t="shared" si="782"/>
        <v>-192242.49000000025</v>
      </c>
      <c r="AK515" s="545">
        <f t="shared" si="819"/>
        <v>-353679.50000000035</v>
      </c>
      <c r="AL515" s="300">
        <f t="shared" si="827"/>
        <v>192242.49000000025</v>
      </c>
      <c r="AM515" s="449">
        <f t="shared" si="763"/>
        <v>0</v>
      </c>
    </row>
    <row r="516" spans="1:49" x14ac:dyDescent="0.25">
      <c r="A516" s="535"/>
      <c r="L516" s="449">
        <f t="shared" si="803"/>
        <v>0</v>
      </c>
      <c r="M516" s="449"/>
      <c r="X516" s="535">
        <f t="shared" si="761"/>
        <v>0</v>
      </c>
      <c r="Y516" s="300">
        <f t="shared" si="821"/>
        <v>192242.49000000025</v>
      </c>
      <c r="Z516" s="527">
        <f t="shared" si="755"/>
        <v>4.4999999999999998E-2</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300">
        <f t="shared" si="825"/>
        <v>122681.60999999994</v>
      </c>
      <c r="AH516" s="300">
        <f t="shared" si="826"/>
        <v>622734.27000000107</v>
      </c>
      <c r="AI516" s="545">
        <f t="shared" si="818"/>
        <v>-161437.01000000013</v>
      </c>
      <c r="AJ516" s="545">
        <f t="shared" si="782"/>
        <v>-192242.49000000025</v>
      </c>
      <c r="AK516" s="545">
        <f t="shared" si="819"/>
        <v>-353679.50000000035</v>
      </c>
      <c r="AL516" s="300">
        <f t="shared" si="827"/>
        <v>192242.49000000025</v>
      </c>
      <c r="AM516" s="449">
        <f t="shared" si="763"/>
        <v>0</v>
      </c>
    </row>
    <row r="517" spans="1:49" x14ac:dyDescent="0.25">
      <c r="A517" s="535"/>
      <c r="L517" s="449">
        <f t="shared" si="803"/>
        <v>0</v>
      </c>
      <c r="M517" s="449"/>
      <c r="X517" s="535">
        <f t="shared" si="761"/>
        <v>0</v>
      </c>
      <c r="Y517" s="300">
        <f t="shared" si="821"/>
        <v>192242.49000000025</v>
      </c>
      <c r="Z517" s="527">
        <f t="shared" si="755"/>
        <v>4.4999999999999998E-2</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300">
        <f t="shared" si="825"/>
        <v>122681.60999999994</v>
      </c>
      <c r="AH517" s="300">
        <f t="shared" si="826"/>
        <v>622734.27000000107</v>
      </c>
      <c r="AI517" s="545">
        <f t="shared" si="818"/>
        <v>-161437.01000000013</v>
      </c>
      <c r="AJ517" s="545">
        <f t="shared" si="782"/>
        <v>-192242.49000000025</v>
      </c>
      <c r="AK517" s="545">
        <f t="shared" si="819"/>
        <v>-353679.50000000035</v>
      </c>
      <c r="AL517" s="300">
        <f t="shared" si="827"/>
        <v>192242.49000000025</v>
      </c>
      <c r="AM517" s="449">
        <f t="shared" si="763"/>
        <v>0</v>
      </c>
    </row>
    <row r="518" spans="1:49" ht="15.75" thickBot="1" x14ac:dyDescent="0.3">
      <c r="A518" s="538"/>
      <c r="B518" s="369"/>
      <c r="C518" s="21"/>
      <c r="D518" s="21"/>
      <c r="E518" s="21"/>
      <c r="F518" s="21"/>
      <c r="G518" s="21"/>
      <c r="H518" s="21"/>
      <c r="I518" s="369"/>
      <c r="J518" s="369"/>
      <c r="K518" s="369"/>
      <c r="L518" s="450">
        <f t="shared" si="803"/>
        <v>0</v>
      </c>
      <c r="M518" s="450"/>
      <c r="N518" s="369"/>
      <c r="U518" s="369"/>
      <c r="V518" s="369"/>
      <c r="W518" s="369"/>
      <c r="X518" s="538">
        <f t="shared" si="761"/>
        <v>0</v>
      </c>
      <c r="Y518" s="300">
        <f t="shared" si="821"/>
        <v>192242.49000000025</v>
      </c>
      <c r="Z518" s="527">
        <f t="shared" si="755"/>
        <v>4.4999999999999998E-2</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300">
        <f t="shared" si="825"/>
        <v>122681.60999999994</v>
      </c>
      <c r="AH518" s="300">
        <f t="shared" si="826"/>
        <v>622734.27000000107</v>
      </c>
      <c r="AI518" s="545">
        <f t="shared" si="818"/>
        <v>-161437.01000000013</v>
      </c>
      <c r="AJ518" s="545">
        <f t="shared" si="782"/>
        <v>-192242.49000000025</v>
      </c>
      <c r="AK518" s="545">
        <f t="shared" si="819"/>
        <v>-353679.50000000035</v>
      </c>
      <c r="AL518" s="300">
        <f t="shared" si="827"/>
        <v>192242.49000000025</v>
      </c>
      <c r="AM518" s="450">
        <f t="shared" si="763"/>
        <v>0</v>
      </c>
      <c r="AN518" s="21"/>
      <c r="AO518" s="21"/>
      <c r="AP518" s="21"/>
      <c r="AQ518" s="21"/>
      <c r="AR518" s="23"/>
      <c r="AS518" s="21"/>
      <c r="AT518" s="21"/>
      <c r="AU518" s="369"/>
      <c r="AV518" s="369"/>
      <c r="AW518" s="21"/>
    </row>
    <row r="519" spans="1:49" x14ac:dyDescent="0.25">
      <c r="A519" s="535"/>
      <c r="L519" s="449">
        <f t="shared" si="803"/>
        <v>0</v>
      </c>
      <c r="M519" s="449"/>
      <c r="X519" s="535">
        <f t="shared" si="761"/>
        <v>0</v>
      </c>
      <c r="Y519" s="300">
        <f t="shared" si="821"/>
        <v>192242.49000000025</v>
      </c>
      <c r="Z519" s="527">
        <f t="shared" si="755"/>
        <v>4.4999999999999998E-2</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300">
        <f t="shared" si="825"/>
        <v>122681.60999999994</v>
      </c>
      <c r="AH519" s="300">
        <f t="shared" si="826"/>
        <v>622734.27000000107</v>
      </c>
      <c r="AI519" s="545">
        <f t="shared" si="818"/>
        <v>-161437.01000000013</v>
      </c>
      <c r="AJ519" s="545">
        <f t="shared" si="782"/>
        <v>-192242.49000000025</v>
      </c>
      <c r="AK519" s="545">
        <f t="shared" si="819"/>
        <v>-353679.50000000035</v>
      </c>
      <c r="AL519" s="300">
        <f t="shared" si="827"/>
        <v>192242.49000000025</v>
      </c>
      <c r="AM519" s="449">
        <f t="shared" si="763"/>
        <v>0</v>
      </c>
    </row>
    <row r="520" spans="1:49" x14ac:dyDescent="0.25">
      <c r="A520" s="535"/>
      <c r="L520" s="449">
        <f t="shared" si="803"/>
        <v>0</v>
      </c>
      <c r="M520" s="449"/>
      <c r="X520" s="535">
        <f t="shared" si="761"/>
        <v>0</v>
      </c>
      <c r="Y520" s="300">
        <f t="shared" si="821"/>
        <v>192242.49000000025</v>
      </c>
      <c r="Z520" s="527">
        <f t="shared" si="755"/>
        <v>4.4999999999999998E-2</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300">
        <f t="shared" si="825"/>
        <v>122681.60999999994</v>
      </c>
      <c r="AH520" s="300">
        <f t="shared" si="826"/>
        <v>622734.27000000107</v>
      </c>
      <c r="AI520" s="545">
        <f t="shared" si="818"/>
        <v>-161437.01000000013</v>
      </c>
      <c r="AJ520" s="545">
        <f t="shared" si="782"/>
        <v>-192242.49000000025</v>
      </c>
      <c r="AK520" s="545">
        <f t="shared" si="819"/>
        <v>-353679.50000000035</v>
      </c>
      <c r="AL520" s="300">
        <f t="shared" si="827"/>
        <v>192242.49000000025</v>
      </c>
      <c r="AM520" s="449">
        <f t="shared" si="763"/>
        <v>0</v>
      </c>
    </row>
    <row r="521" spans="1:49" x14ac:dyDescent="0.25">
      <c r="A521" s="535"/>
      <c r="L521" s="449">
        <f t="shared" si="803"/>
        <v>0</v>
      </c>
      <c r="M521" s="449"/>
      <c r="X521" s="535">
        <f t="shared" si="761"/>
        <v>0</v>
      </c>
      <c r="Y521" s="300">
        <f t="shared" si="821"/>
        <v>192242.49000000025</v>
      </c>
      <c r="Z521" s="527">
        <f t="shared" si="755"/>
        <v>4.4999999999999998E-2</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300">
        <f t="shared" si="825"/>
        <v>122681.60999999994</v>
      </c>
      <c r="AH521" s="300">
        <f t="shared" si="826"/>
        <v>622734.27000000107</v>
      </c>
      <c r="AI521" s="545">
        <f t="shared" si="818"/>
        <v>-161437.01000000013</v>
      </c>
      <c r="AJ521" s="545">
        <f t="shared" si="782"/>
        <v>-192242.49000000025</v>
      </c>
      <c r="AK521" s="545">
        <f t="shared" si="819"/>
        <v>-353679.50000000035</v>
      </c>
      <c r="AL521" s="300">
        <f t="shared" si="827"/>
        <v>192242.49000000025</v>
      </c>
      <c r="AM521" s="449">
        <f t="shared" si="763"/>
        <v>0</v>
      </c>
    </row>
    <row r="522" spans="1:49" x14ac:dyDescent="0.25">
      <c r="A522" s="535"/>
      <c r="L522" s="449">
        <f t="shared" si="803"/>
        <v>0</v>
      </c>
      <c r="M522" s="449"/>
      <c r="X522" s="535">
        <f t="shared" si="761"/>
        <v>0</v>
      </c>
      <c r="Y522" s="300">
        <f t="shared" si="821"/>
        <v>192242.49000000025</v>
      </c>
      <c r="Z522" s="527">
        <f t="shared" si="755"/>
        <v>4.4999999999999998E-2</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300">
        <f t="shared" si="825"/>
        <v>122681.60999999994</v>
      </c>
      <c r="AH522" s="300">
        <f t="shared" si="826"/>
        <v>622734.27000000107</v>
      </c>
      <c r="AI522" s="545">
        <f t="shared" si="818"/>
        <v>-161437.01000000013</v>
      </c>
      <c r="AJ522" s="545">
        <f t="shared" si="782"/>
        <v>-192242.49000000025</v>
      </c>
      <c r="AK522" s="545">
        <f t="shared" si="819"/>
        <v>-353679.50000000035</v>
      </c>
      <c r="AL522" s="300">
        <f t="shared" si="827"/>
        <v>192242.49000000025</v>
      </c>
      <c r="AM522" s="449">
        <f t="shared" si="763"/>
        <v>0</v>
      </c>
    </row>
    <row r="523" spans="1:49" x14ac:dyDescent="0.25">
      <c r="A523" s="535"/>
      <c r="L523" s="449">
        <f t="shared" si="803"/>
        <v>0</v>
      </c>
      <c r="M523" s="449"/>
      <c r="X523" s="535">
        <f t="shared" si="761"/>
        <v>0</v>
      </c>
      <c r="Y523" s="300">
        <f t="shared" si="821"/>
        <v>192242.49000000025</v>
      </c>
      <c r="Z523" s="527">
        <f t="shared" si="755"/>
        <v>4.4999999999999998E-2</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300">
        <f t="shared" si="825"/>
        <v>122681.60999999994</v>
      </c>
      <c r="AH523" s="300">
        <f t="shared" si="826"/>
        <v>622734.27000000107</v>
      </c>
      <c r="AI523" s="545">
        <f t="shared" si="818"/>
        <v>-161437.01000000013</v>
      </c>
      <c r="AJ523" s="545">
        <f t="shared" si="782"/>
        <v>-192242.49000000025</v>
      </c>
      <c r="AK523" s="545">
        <f t="shared" si="819"/>
        <v>-353679.50000000035</v>
      </c>
      <c r="AL523" s="300">
        <f t="shared" si="827"/>
        <v>192242.49000000025</v>
      </c>
      <c r="AM523" s="449">
        <f t="shared" si="763"/>
        <v>0</v>
      </c>
    </row>
    <row r="524" spans="1:49" x14ac:dyDescent="0.25">
      <c r="A524" s="535"/>
      <c r="L524" s="449">
        <f t="shared" si="803"/>
        <v>0</v>
      </c>
      <c r="M524" s="449"/>
      <c r="X524" s="535">
        <f t="shared" si="761"/>
        <v>0</v>
      </c>
      <c r="Y524" s="300">
        <f t="shared" si="821"/>
        <v>192242.49000000025</v>
      </c>
      <c r="Z524" s="527">
        <f t="shared" si="755"/>
        <v>4.4999999999999998E-2</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300">
        <f t="shared" si="825"/>
        <v>122681.60999999994</v>
      </c>
      <c r="AH524" s="300">
        <f t="shared" si="826"/>
        <v>622734.27000000107</v>
      </c>
      <c r="AI524" s="545">
        <f t="shared" si="818"/>
        <v>-161437.01000000013</v>
      </c>
      <c r="AJ524" s="545">
        <f t="shared" si="782"/>
        <v>-192242.49000000025</v>
      </c>
      <c r="AK524" s="545">
        <f t="shared" si="819"/>
        <v>-353679.50000000035</v>
      </c>
      <c r="AL524" s="300">
        <f t="shared" si="827"/>
        <v>192242.49000000025</v>
      </c>
      <c r="AM524" s="449">
        <f t="shared" si="763"/>
        <v>0</v>
      </c>
    </row>
    <row r="525" spans="1:49" x14ac:dyDescent="0.25">
      <c r="A525" s="535"/>
      <c r="L525" s="449">
        <f t="shared" si="803"/>
        <v>0</v>
      </c>
      <c r="M525" s="449"/>
      <c r="X525" s="535">
        <f t="shared" si="761"/>
        <v>0</v>
      </c>
      <c r="Y525" s="300">
        <f t="shared" si="821"/>
        <v>192242.49000000025</v>
      </c>
      <c r="Z525" s="527">
        <f t="shared" si="755"/>
        <v>4.4999999999999998E-2</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300">
        <f t="shared" si="825"/>
        <v>122681.60999999994</v>
      </c>
      <c r="AH525" s="300">
        <f t="shared" si="826"/>
        <v>622734.27000000107</v>
      </c>
      <c r="AI525" s="545">
        <f t="shared" si="818"/>
        <v>-161437.01000000013</v>
      </c>
      <c r="AJ525" s="545">
        <f t="shared" si="782"/>
        <v>-192242.49000000025</v>
      </c>
      <c r="AK525" s="545">
        <f t="shared" si="819"/>
        <v>-353679.50000000035</v>
      </c>
      <c r="AL525" s="300">
        <f t="shared" si="827"/>
        <v>192242.49000000025</v>
      </c>
      <c r="AM525" s="449">
        <f t="shared" si="763"/>
        <v>0</v>
      </c>
    </row>
    <row r="526" spans="1:49" x14ac:dyDescent="0.25">
      <c r="A526" s="535"/>
      <c r="L526" s="449">
        <f t="shared" si="803"/>
        <v>0</v>
      </c>
      <c r="M526" s="449"/>
      <c r="X526" s="535">
        <f t="shared" si="761"/>
        <v>0</v>
      </c>
      <c r="Y526" s="300">
        <f t="shared" si="821"/>
        <v>192242.49000000025</v>
      </c>
      <c r="Z526" s="527">
        <f t="shared" si="755"/>
        <v>4.4999999999999998E-2</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300">
        <f t="shared" si="825"/>
        <v>122681.60999999994</v>
      </c>
      <c r="AH526" s="300">
        <f t="shared" si="826"/>
        <v>622734.27000000107</v>
      </c>
      <c r="AI526" s="545">
        <f t="shared" si="818"/>
        <v>-161437.01000000013</v>
      </c>
      <c r="AJ526" s="545">
        <f t="shared" si="782"/>
        <v>-192242.49000000025</v>
      </c>
      <c r="AK526" s="545">
        <f t="shared" si="819"/>
        <v>-353679.50000000035</v>
      </c>
      <c r="AL526" s="300">
        <f t="shared" si="827"/>
        <v>192242.49000000025</v>
      </c>
      <c r="AM526" s="449">
        <f t="shared" si="763"/>
        <v>0</v>
      </c>
    </row>
    <row r="527" spans="1:49" x14ac:dyDescent="0.25">
      <c r="A527" s="535"/>
      <c r="L527" s="449">
        <f t="shared" si="803"/>
        <v>0</v>
      </c>
      <c r="M527" s="449"/>
      <c r="X527" s="535">
        <f t="shared" si="761"/>
        <v>0</v>
      </c>
      <c r="Y527" s="300">
        <f t="shared" si="821"/>
        <v>192242.49000000025</v>
      </c>
      <c r="Z527" s="527">
        <f t="shared" ref="Z527:Z543" si="844">IF(L527&gt;4,$AA$9,$AA$8)</f>
        <v>4.4999999999999998E-2</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300">
        <f t="shared" si="825"/>
        <v>122681.60999999994</v>
      </c>
      <c r="AH527" s="300">
        <f t="shared" si="826"/>
        <v>622734.27000000107</v>
      </c>
      <c r="AI527" s="545">
        <f t="shared" si="818"/>
        <v>-161437.01000000013</v>
      </c>
      <c r="AJ527" s="545">
        <f t="shared" si="782"/>
        <v>-192242.49000000025</v>
      </c>
      <c r="AK527" s="545">
        <f t="shared" si="819"/>
        <v>-353679.50000000035</v>
      </c>
      <c r="AL527" s="300">
        <f t="shared" si="827"/>
        <v>192242.49000000025</v>
      </c>
      <c r="AM527" s="449">
        <f t="shared" si="763"/>
        <v>0</v>
      </c>
    </row>
    <row r="528" spans="1:49" x14ac:dyDescent="0.25">
      <c r="A528" s="535"/>
      <c r="L528" s="449">
        <f t="shared" si="803"/>
        <v>0</v>
      </c>
      <c r="M528" s="449"/>
      <c r="X528" s="535">
        <f t="shared" ref="X528:X591" si="848">+A528</f>
        <v>0</v>
      </c>
      <c r="Y528" s="300">
        <f t="shared" si="821"/>
        <v>192242.49000000025</v>
      </c>
      <c r="Z528" s="527">
        <f t="shared" si="844"/>
        <v>4.4999999999999998E-2</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300">
        <f t="shared" si="825"/>
        <v>122681.60999999994</v>
      </c>
      <c r="AH528" s="300">
        <f t="shared" si="826"/>
        <v>622734.27000000107</v>
      </c>
      <c r="AI528" s="545">
        <f t="shared" si="818"/>
        <v>-161437.01000000013</v>
      </c>
      <c r="AJ528" s="545">
        <f t="shared" si="782"/>
        <v>-192242.49000000025</v>
      </c>
      <c r="AK528" s="545">
        <f t="shared" si="819"/>
        <v>-353679.50000000035</v>
      </c>
      <c r="AL528" s="300">
        <f t="shared" si="827"/>
        <v>192242.49000000025</v>
      </c>
      <c r="AM528" s="449">
        <f t="shared" ref="AM528:AM591" si="850">+L528</f>
        <v>0</v>
      </c>
    </row>
    <row r="529" spans="1:49" x14ac:dyDescent="0.25">
      <c r="A529" s="535"/>
      <c r="L529" s="449">
        <f t="shared" si="803"/>
        <v>0</v>
      </c>
      <c r="M529" s="449"/>
      <c r="X529" s="535">
        <f t="shared" si="848"/>
        <v>0</v>
      </c>
      <c r="Y529" s="300">
        <f t="shared" si="821"/>
        <v>192242.49000000025</v>
      </c>
      <c r="Z529" s="527">
        <f t="shared" si="844"/>
        <v>4.4999999999999998E-2</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300">
        <f t="shared" si="825"/>
        <v>122681.60999999994</v>
      </c>
      <c r="AH529" s="300">
        <f t="shared" si="826"/>
        <v>622734.27000000107</v>
      </c>
      <c r="AI529" s="545">
        <f t="shared" si="818"/>
        <v>-161437.01000000013</v>
      </c>
      <c r="AJ529" s="545">
        <f t="shared" si="782"/>
        <v>-192242.49000000025</v>
      </c>
      <c r="AK529" s="545">
        <f t="shared" si="819"/>
        <v>-353679.50000000035</v>
      </c>
      <c r="AL529" s="300">
        <f t="shared" si="827"/>
        <v>192242.49000000025</v>
      </c>
      <c r="AM529" s="449">
        <f t="shared" si="850"/>
        <v>0</v>
      </c>
    </row>
    <row r="530" spans="1:49" ht="15.75" thickBot="1" x14ac:dyDescent="0.3">
      <c r="A530" s="538"/>
      <c r="B530" s="369"/>
      <c r="C530" s="21"/>
      <c r="D530" s="21"/>
      <c r="E530" s="21"/>
      <c r="F530" s="21"/>
      <c r="G530" s="21"/>
      <c r="H530" s="21"/>
      <c r="I530" s="369"/>
      <c r="J530" s="369"/>
      <c r="K530" s="369"/>
      <c r="L530" s="450">
        <f t="shared" si="803"/>
        <v>0</v>
      </c>
      <c r="M530" s="450"/>
      <c r="N530" s="369"/>
      <c r="U530" s="369"/>
      <c r="V530" s="369"/>
      <c r="W530" s="369"/>
      <c r="X530" s="538">
        <f t="shared" si="848"/>
        <v>0</v>
      </c>
      <c r="Y530" s="300">
        <f t="shared" si="821"/>
        <v>192242.49000000025</v>
      </c>
      <c r="Z530" s="527">
        <f t="shared" si="844"/>
        <v>4.4999999999999998E-2</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300">
        <f t="shared" si="825"/>
        <v>122681.60999999994</v>
      </c>
      <c r="AH530" s="300">
        <f t="shared" si="826"/>
        <v>622734.27000000107</v>
      </c>
      <c r="AI530" s="545">
        <f t="shared" si="818"/>
        <v>-161437.01000000013</v>
      </c>
      <c r="AJ530" s="545">
        <f t="shared" si="782"/>
        <v>-192242.49000000025</v>
      </c>
      <c r="AK530" s="545">
        <f t="shared" si="819"/>
        <v>-353679.50000000035</v>
      </c>
      <c r="AL530" s="300">
        <f t="shared" si="827"/>
        <v>192242.49000000025</v>
      </c>
      <c r="AM530" s="450">
        <f t="shared" si="850"/>
        <v>0</v>
      </c>
      <c r="AN530" s="21"/>
      <c r="AO530" s="21"/>
      <c r="AP530" s="21"/>
      <c r="AQ530" s="21"/>
      <c r="AR530" s="23"/>
      <c r="AS530" s="21"/>
      <c r="AT530" s="21"/>
      <c r="AU530" s="369"/>
      <c r="AV530" s="369"/>
      <c r="AW530" s="21"/>
    </row>
    <row r="531" spans="1:49" x14ac:dyDescent="0.25">
      <c r="A531" s="535"/>
      <c r="L531" s="449">
        <f t="shared" si="803"/>
        <v>0</v>
      </c>
      <c r="M531" s="449"/>
      <c r="X531" s="535">
        <f t="shared" si="848"/>
        <v>0</v>
      </c>
      <c r="Y531" s="300">
        <f t="shared" si="821"/>
        <v>192242.49000000025</v>
      </c>
      <c r="Z531" s="527">
        <f t="shared" si="844"/>
        <v>4.4999999999999998E-2</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300">
        <f t="shared" si="825"/>
        <v>122681.60999999994</v>
      </c>
      <c r="AH531" s="300">
        <f t="shared" si="826"/>
        <v>622734.27000000107</v>
      </c>
      <c r="AI531" s="545">
        <f t="shared" si="818"/>
        <v>-161437.01000000013</v>
      </c>
      <c r="AJ531" s="545">
        <f t="shared" si="782"/>
        <v>-192242.49000000025</v>
      </c>
      <c r="AK531" s="545">
        <f t="shared" si="819"/>
        <v>-353679.50000000035</v>
      </c>
      <c r="AL531" s="300">
        <f t="shared" si="827"/>
        <v>192242.49000000025</v>
      </c>
      <c r="AM531" s="449">
        <f t="shared" si="850"/>
        <v>0</v>
      </c>
    </row>
    <row r="532" spans="1:49" x14ac:dyDescent="0.25">
      <c r="A532" s="535"/>
      <c r="L532" s="449">
        <f t="shared" si="803"/>
        <v>0</v>
      </c>
      <c r="M532" s="449"/>
      <c r="X532" s="535">
        <f t="shared" si="848"/>
        <v>0</v>
      </c>
      <c r="Y532" s="300">
        <f t="shared" si="821"/>
        <v>192242.49000000025</v>
      </c>
      <c r="Z532" s="527">
        <f t="shared" si="844"/>
        <v>4.4999999999999998E-2</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300">
        <f t="shared" si="825"/>
        <v>122681.60999999994</v>
      </c>
      <c r="AH532" s="300">
        <f t="shared" si="826"/>
        <v>622734.27000000107</v>
      </c>
      <c r="AI532" s="545">
        <f t="shared" si="818"/>
        <v>-161437.01000000013</v>
      </c>
      <c r="AJ532" s="545">
        <f t="shared" si="782"/>
        <v>-192242.49000000025</v>
      </c>
      <c r="AK532" s="545">
        <f t="shared" si="819"/>
        <v>-353679.50000000035</v>
      </c>
      <c r="AL532" s="300">
        <f t="shared" si="827"/>
        <v>192242.49000000025</v>
      </c>
      <c r="AM532" s="449">
        <f t="shared" si="850"/>
        <v>0</v>
      </c>
    </row>
    <row r="533" spans="1:49" x14ac:dyDescent="0.25">
      <c r="A533" s="535"/>
      <c r="L533" s="449">
        <f t="shared" si="803"/>
        <v>0</v>
      </c>
      <c r="M533" s="449"/>
      <c r="X533" s="535">
        <f t="shared" si="848"/>
        <v>0</v>
      </c>
      <c r="Y533" s="300">
        <f t="shared" si="821"/>
        <v>192242.49000000025</v>
      </c>
      <c r="Z533" s="527">
        <f t="shared" si="844"/>
        <v>4.4999999999999998E-2</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300">
        <f t="shared" si="825"/>
        <v>122681.60999999994</v>
      </c>
      <c r="AH533" s="300">
        <f t="shared" si="826"/>
        <v>622734.27000000107</v>
      </c>
      <c r="AI533" s="545">
        <f t="shared" si="818"/>
        <v>-161437.01000000013</v>
      </c>
      <c r="AJ533" s="545">
        <f t="shared" si="782"/>
        <v>-192242.49000000025</v>
      </c>
      <c r="AK533" s="545">
        <f t="shared" si="819"/>
        <v>-353679.50000000035</v>
      </c>
      <c r="AL533" s="300">
        <f t="shared" si="827"/>
        <v>192242.49000000025</v>
      </c>
      <c r="AM533" s="449">
        <f t="shared" si="850"/>
        <v>0</v>
      </c>
    </row>
    <row r="534" spans="1:49" x14ac:dyDescent="0.25">
      <c r="A534" s="535"/>
      <c r="L534" s="449">
        <f t="shared" si="803"/>
        <v>0</v>
      </c>
      <c r="M534" s="449"/>
      <c r="X534" s="535">
        <f t="shared" si="848"/>
        <v>0</v>
      </c>
      <c r="Y534" s="300">
        <f t="shared" si="821"/>
        <v>192242.49000000025</v>
      </c>
      <c r="Z534" s="527">
        <f t="shared" si="844"/>
        <v>4.4999999999999998E-2</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300">
        <f t="shared" si="825"/>
        <v>122681.60999999994</v>
      </c>
      <c r="AH534" s="300">
        <f t="shared" si="826"/>
        <v>622734.27000000107</v>
      </c>
      <c r="AI534" s="545">
        <f t="shared" si="818"/>
        <v>-161437.01000000013</v>
      </c>
      <c r="AJ534" s="545">
        <f t="shared" si="782"/>
        <v>-192242.49000000025</v>
      </c>
      <c r="AK534" s="545">
        <f t="shared" si="819"/>
        <v>-353679.50000000035</v>
      </c>
      <c r="AL534" s="300">
        <f t="shared" si="827"/>
        <v>192242.49000000025</v>
      </c>
      <c r="AM534" s="449">
        <f t="shared" si="850"/>
        <v>0</v>
      </c>
    </row>
    <row r="535" spans="1:49" x14ac:dyDescent="0.25">
      <c r="A535" s="535"/>
      <c r="L535" s="449">
        <f t="shared" si="803"/>
        <v>0</v>
      </c>
      <c r="M535" s="449"/>
      <c r="X535" s="535">
        <f t="shared" si="848"/>
        <v>0</v>
      </c>
      <c r="Y535" s="300">
        <f t="shared" si="821"/>
        <v>192242.49000000025</v>
      </c>
      <c r="Z535" s="527">
        <f t="shared" si="844"/>
        <v>4.4999999999999998E-2</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300">
        <f t="shared" si="825"/>
        <v>122681.60999999994</v>
      </c>
      <c r="AH535" s="300">
        <f t="shared" si="826"/>
        <v>622734.27000000107</v>
      </c>
      <c r="AI535" s="545">
        <f t="shared" si="818"/>
        <v>-161437.01000000013</v>
      </c>
      <c r="AJ535" s="545">
        <f t="shared" si="782"/>
        <v>-192242.49000000025</v>
      </c>
      <c r="AK535" s="545">
        <f t="shared" si="819"/>
        <v>-353679.50000000035</v>
      </c>
      <c r="AL535" s="300">
        <f t="shared" si="827"/>
        <v>192242.49000000025</v>
      </c>
      <c r="AM535" s="449">
        <f t="shared" si="850"/>
        <v>0</v>
      </c>
    </row>
    <row r="536" spans="1:49" x14ac:dyDescent="0.25">
      <c r="A536" s="535"/>
      <c r="L536" s="449">
        <f t="shared" si="803"/>
        <v>0</v>
      </c>
      <c r="M536" s="449"/>
      <c r="X536" s="535">
        <f t="shared" si="848"/>
        <v>0</v>
      </c>
      <c r="Y536" s="300">
        <f t="shared" si="821"/>
        <v>192242.49000000025</v>
      </c>
      <c r="Z536" s="527">
        <f t="shared" si="844"/>
        <v>4.4999999999999998E-2</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300">
        <f t="shared" si="825"/>
        <v>122681.60999999994</v>
      </c>
      <c r="AH536" s="300">
        <f t="shared" si="826"/>
        <v>622734.27000000107</v>
      </c>
      <c r="AI536" s="545">
        <f t="shared" si="818"/>
        <v>-161437.01000000013</v>
      </c>
      <c r="AJ536" s="545">
        <f t="shared" si="782"/>
        <v>-192242.49000000025</v>
      </c>
      <c r="AK536" s="545">
        <f t="shared" si="819"/>
        <v>-353679.50000000035</v>
      </c>
      <c r="AL536" s="300">
        <f t="shared" si="827"/>
        <v>192242.49000000025</v>
      </c>
      <c r="AM536" s="449">
        <f t="shared" si="850"/>
        <v>0</v>
      </c>
    </row>
    <row r="537" spans="1:49" x14ac:dyDescent="0.25">
      <c r="A537" s="535"/>
      <c r="L537" s="449">
        <f t="shared" si="803"/>
        <v>0</v>
      </c>
      <c r="M537" s="449"/>
      <c r="X537" s="535">
        <f t="shared" si="848"/>
        <v>0</v>
      </c>
      <c r="Y537" s="300">
        <f t="shared" si="821"/>
        <v>192242.49000000025</v>
      </c>
      <c r="Z537" s="527">
        <f t="shared" si="844"/>
        <v>4.4999999999999998E-2</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300">
        <f t="shared" si="825"/>
        <v>122681.60999999994</v>
      </c>
      <c r="AH537" s="300">
        <f t="shared" si="826"/>
        <v>622734.27000000107</v>
      </c>
      <c r="AI537" s="545">
        <f t="shared" si="818"/>
        <v>-161437.01000000013</v>
      </c>
      <c r="AJ537" s="545">
        <f t="shared" si="782"/>
        <v>-192242.49000000025</v>
      </c>
      <c r="AK537" s="545">
        <f t="shared" si="819"/>
        <v>-353679.50000000035</v>
      </c>
      <c r="AL537" s="300">
        <f t="shared" si="827"/>
        <v>192242.49000000025</v>
      </c>
      <c r="AM537" s="449">
        <f t="shared" si="850"/>
        <v>0</v>
      </c>
    </row>
    <row r="538" spans="1:49" x14ac:dyDescent="0.25">
      <c r="A538" s="535"/>
      <c r="L538" s="449">
        <f t="shared" si="803"/>
        <v>0</v>
      </c>
      <c r="M538" s="449"/>
      <c r="X538" s="535">
        <f t="shared" si="848"/>
        <v>0</v>
      </c>
      <c r="Y538" s="300">
        <f t="shared" si="821"/>
        <v>192242.49000000025</v>
      </c>
      <c r="Z538" s="527">
        <f t="shared" si="844"/>
        <v>4.4999999999999998E-2</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300">
        <f t="shared" si="825"/>
        <v>122681.60999999994</v>
      </c>
      <c r="AH538" s="300">
        <f t="shared" si="826"/>
        <v>622734.27000000107</v>
      </c>
      <c r="AI538" s="545">
        <f t="shared" si="818"/>
        <v>-161437.01000000013</v>
      </c>
      <c r="AJ538" s="545">
        <f t="shared" si="782"/>
        <v>-192242.49000000025</v>
      </c>
      <c r="AK538" s="545">
        <f t="shared" si="819"/>
        <v>-353679.50000000035</v>
      </c>
      <c r="AL538" s="300">
        <f t="shared" si="827"/>
        <v>192242.49000000025</v>
      </c>
      <c r="AM538" s="449">
        <f t="shared" si="850"/>
        <v>0</v>
      </c>
    </row>
    <row r="539" spans="1:49" x14ac:dyDescent="0.25">
      <c r="A539" s="535"/>
      <c r="L539" s="449">
        <f t="shared" si="803"/>
        <v>0</v>
      </c>
      <c r="M539" s="449"/>
      <c r="X539" s="535">
        <f t="shared" si="848"/>
        <v>0</v>
      </c>
      <c r="Y539" s="300">
        <f t="shared" si="821"/>
        <v>192242.49000000025</v>
      </c>
      <c r="Z539" s="527">
        <f t="shared" si="844"/>
        <v>4.4999999999999998E-2</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300">
        <f t="shared" si="825"/>
        <v>122681.60999999994</v>
      </c>
      <c r="AH539" s="300">
        <f t="shared" si="826"/>
        <v>622734.27000000107</v>
      </c>
      <c r="AI539" s="545">
        <f t="shared" si="818"/>
        <v>-161437.01000000013</v>
      </c>
      <c r="AJ539" s="545">
        <f t="shared" ref="AJ539:AJ543" si="862">+W539-AL539</f>
        <v>-192242.49000000025</v>
      </c>
      <c r="AK539" s="545">
        <f t="shared" si="819"/>
        <v>-353679.50000000035</v>
      </c>
      <c r="AL539" s="300">
        <f t="shared" si="827"/>
        <v>192242.49000000025</v>
      </c>
      <c r="AM539" s="449">
        <f t="shared" si="850"/>
        <v>0</v>
      </c>
    </row>
    <row r="540" spans="1:49" x14ac:dyDescent="0.25">
      <c r="A540" s="535"/>
      <c r="L540" s="449">
        <f t="shared" si="803"/>
        <v>0</v>
      </c>
      <c r="M540" s="449"/>
      <c r="X540" s="535">
        <f t="shared" si="848"/>
        <v>0</v>
      </c>
      <c r="Y540" s="300">
        <f t="shared" si="821"/>
        <v>192242.49000000025</v>
      </c>
      <c r="Z540" s="527">
        <f t="shared" si="844"/>
        <v>4.4999999999999998E-2</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300">
        <f t="shared" si="825"/>
        <v>122681.60999999994</v>
      </c>
      <c r="AH540" s="300">
        <f t="shared" si="826"/>
        <v>622734.27000000107</v>
      </c>
      <c r="AI540" s="545">
        <f t="shared" si="818"/>
        <v>-161437.01000000013</v>
      </c>
      <c r="AJ540" s="545">
        <f t="shared" si="862"/>
        <v>-192242.49000000025</v>
      </c>
      <c r="AK540" s="545">
        <f t="shared" si="819"/>
        <v>-353679.50000000035</v>
      </c>
      <c r="AL540" s="300">
        <f t="shared" si="827"/>
        <v>192242.49000000025</v>
      </c>
      <c r="AM540" s="449">
        <f t="shared" si="850"/>
        <v>0</v>
      </c>
    </row>
    <row r="541" spans="1:49" x14ac:dyDescent="0.25">
      <c r="A541" s="535"/>
      <c r="L541" s="449">
        <f t="shared" si="803"/>
        <v>0</v>
      </c>
      <c r="M541" s="449"/>
      <c r="X541" s="535">
        <f t="shared" si="848"/>
        <v>0</v>
      </c>
      <c r="Y541" s="300">
        <f t="shared" si="821"/>
        <v>192242.49000000025</v>
      </c>
      <c r="Z541" s="527">
        <f t="shared" si="844"/>
        <v>4.4999999999999998E-2</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300">
        <f t="shared" si="825"/>
        <v>122681.60999999994</v>
      </c>
      <c r="AH541" s="300">
        <f t="shared" si="826"/>
        <v>622734.27000000107</v>
      </c>
      <c r="AI541" s="545">
        <f t="shared" si="818"/>
        <v>-161437.01000000013</v>
      </c>
      <c r="AJ541" s="545">
        <f t="shared" si="862"/>
        <v>-192242.49000000025</v>
      </c>
      <c r="AK541" s="545">
        <f t="shared" si="819"/>
        <v>-353679.50000000035</v>
      </c>
      <c r="AL541" s="300">
        <f t="shared" si="827"/>
        <v>192242.49000000025</v>
      </c>
      <c r="AM541" s="449">
        <f t="shared" si="850"/>
        <v>0</v>
      </c>
    </row>
    <row r="542" spans="1:49" ht="15.75" thickBot="1" x14ac:dyDescent="0.3">
      <c r="A542" s="538"/>
      <c r="B542" s="369"/>
      <c r="C542" s="21"/>
      <c r="D542" s="21"/>
      <c r="E542" s="21"/>
      <c r="F542" s="21"/>
      <c r="G542" s="21"/>
      <c r="H542" s="21"/>
      <c r="I542" s="369"/>
      <c r="J542" s="369"/>
      <c r="K542" s="369"/>
      <c r="L542" s="450">
        <f t="shared" si="803"/>
        <v>0</v>
      </c>
      <c r="M542" s="450"/>
      <c r="N542" s="369"/>
      <c r="U542" s="369"/>
      <c r="V542" s="369"/>
      <c r="W542" s="369"/>
      <c r="X542" s="538">
        <f t="shared" si="848"/>
        <v>0</v>
      </c>
      <c r="Y542" s="300">
        <f t="shared" si="821"/>
        <v>192242.49000000025</v>
      </c>
      <c r="Z542" s="527">
        <f t="shared" si="844"/>
        <v>4.4999999999999998E-2</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300">
        <f t="shared" si="825"/>
        <v>122681.60999999994</v>
      </c>
      <c r="AH542" s="300">
        <f t="shared" si="826"/>
        <v>622734.27000000107</v>
      </c>
      <c r="AI542" s="545">
        <f t="shared" si="818"/>
        <v>-161437.01000000013</v>
      </c>
      <c r="AJ542" s="545">
        <f t="shared" si="862"/>
        <v>-192242.49000000025</v>
      </c>
      <c r="AK542" s="545">
        <f t="shared" si="819"/>
        <v>-353679.50000000035</v>
      </c>
      <c r="AL542" s="300">
        <f t="shared" si="827"/>
        <v>192242.49000000025</v>
      </c>
      <c r="AM542" s="450">
        <f t="shared" si="850"/>
        <v>0</v>
      </c>
      <c r="AN542" s="21"/>
      <c r="AO542" s="21"/>
      <c r="AP542" s="21"/>
      <c r="AQ542" s="21"/>
      <c r="AR542" s="23"/>
      <c r="AS542" s="21"/>
      <c r="AT542" s="21"/>
      <c r="AU542" s="369"/>
      <c r="AV542" s="369"/>
      <c r="AW542" s="21"/>
    </row>
    <row r="543" spans="1:49" x14ac:dyDescent="0.25">
      <c r="A543" s="535"/>
      <c r="L543" s="449">
        <f t="shared" si="803"/>
        <v>0</v>
      </c>
      <c r="M543" s="449"/>
      <c r="X543" s="535">
        <f t="shared" si="848"/>
        <v>0</v>
      </c>
      <c r="Y543" s="300">
        <f t="shared" si="821"/>
        <v>192242.49000000025</v>
      </c>
      <c r="Z543" s="527">
        <f t="shared" si="844"/>
        <v>4.4999999999999998E-2</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300">
        <f t="shared" si="825"/>
        <v>122681.60999999994</v>
      </c>
      <c r="AH543" s="300">
        <f t="shared" si="826"/>
        <v>622734.27000000107</v>
      </c>
      <c r="AI543" s="545">
        <f t="shared" si="818"/>
        <v>-161437.01000000013</v>
      </c>
      <c r="AJ543" s="545">
        <f t="shared" si="862"/>
        <v>-192242.49000000025</v>
      </c>
      <c r="AK543" s="545">
        <f t="shared" si="819"/>
        <v>-353679.50000000035</v>
      </c>
      <c r="AL543" s="300">
        <f t="shared" si="827"/>
        <v>192242.49000000025</v>
      </c>
      <c r="AM543" s="449">
        <f t="shared" si="850"/>
        <v>0</v>
      </c>
    </row>
    <row r="544" spans="1:49" x14ac:dyDescent="0.25">
      <c r="A544" s="535"/>
      <c r="L544" s="449">
        <f t="shared" si="803"/>
        <v>0</v>
      </c>
      <c r="M544" s="449"/>
      <c r="X544" s="535">
        <f t="shared" si="848"/>
        <v>0</v>
      </c>
      <c r="AM544" s="449">
        <f t="shared" si="850"/>
        <v>0</v>
      </c>
    </row>
    <row r="545" spans="1:49" x14ac:dyDescent="0.25">
      <c r="A545" s="535"/>
      <c r="L545" s="449">
        <f t="shared" si="803"/>
        <v>0</v>
      </c>
      <c r="M545" s="449"/>
      <c r="X545" s="535">
        <f t="shared" si="848"/>
        <v>0</v>
      </c>
      <c r="AM545" s="449">
        <f t="shared" si="850"/>
        <v>0</v>
      </c>
    </row>
    <row r="546" spans="1:49" x14ac:dyDescent="0.25">
      <c r="A546" s="535"/>
      <c r="L546" s="449">
        <f t="shared" si="803"/>
        <v>0</v>
      </c>
      <c r="M546" s="449"/>
      <c r="X546" s="535">
        <f t="shared" si="848"/>
        <v>0</v>
      </c>
      <c r="AM546" s="449">
        <f t="shared" si="850"/>
        <v>0</v>
      </c>
    </row>
    <row r="547" spans="1:49" x14ac:dyDescent="0.25">
      <c r="A547" s="535"/>
      <c r="L547" s="449">
        <f t="shared" si="803"/>
        <v>0</v>
      </c>
      <c r="M547" s="449"/>
      <c r="X547" s="535">
        <f t="shared" si="848"/>
        <v>0</v>
      </c>
      <c r="AM547" s="449">
        <f t="shared" si="850"/>
        <v>0</v>
      </c>
    </row>
    <row r="548" spans="1:49" x14ac:dyDescent="0.25">
      <c r="A548" s="535"/>
      <c r="L548" s="449">
        <f t="shared" si="803"/>
        <v>0</v>
      </c>
      <c r="M548" s="449"/>
      <c r="X548" s="535">
        <f t="shared" si="848"/>
        <v>0</v>
      </c>
      <c r="AM548" s="449">
        <f t="shared" si="850"/>
        <v>0</v>
      </c>
    </row>
    <row r="549" spans="1:49" x14ac:dyDescent="0.25">
      <c r="A549" s="535"/>
      <c r="L549" s="449">
        <f t="shared" si="803"/>
        <v>0</v>
      </c>
      <c r="M549" s="449"/>
      <c r="X549" s="535">
        <f t="shared" si="848"/>
        <v>0</v>
      </c>
      <c r="AM549" s="449">
        <f t="shared" si="850"/>
        <v>0</v>
      </c>
    </row>
    <row r="550" spans="1:49" x14ac:dyDescent="0.25">
      <c r="A550" s="535"/>
      <c r="L550" s="449">
        <f t="shared" si="803"/>
        <v>0</v>
      </c>
      <c r="M550" s="449"/>
      <c r="X550" s="535">
        <f t="shared" si="848"/>
        <v>0</v>
      </c>
      <c r="AM550" s="449">
        <f t="shared" si="850"/>
        <v>0</v>
      </c>
    </row>
    <row r="551" spans="1:49" x14ac:dyDescent="0.25">
      <c r="A551" s="535"/>
      <c r="L551" s="449">
        <f t="shared" si="803"/>
        <v>0</v>
      </c>
      <c r="M551" s="449"/>
      <c r="X551" s="535">
        <f t="shared" si="848"/>
        <v>0</v>
      </c>
      <c r="AM551" s="449">
        <f t="shared" si="850"/>
        <v>0</v>
      </c>
    </row>
    <row r="552" spans="1:49" x14ac:dyDescent="0.25">
      <c r="A552" s="535"/>
      <c r="L552" s="449">
        <f t="shared" si="803"/>
        <v>0</v>
      </c>
      <c r="M552" s="449"/>
      <c r="X552" s="535">
        <f t="shared" si="848"/>
        <v>0</v>
      </c>
      <c r="AM552" s="449">
        <f t="shared" si="850"/>
        <v>0</v>
      </c>
    </row>
    <row r="553" spans="1:49" x14ac:dyDescent="0.25">
      <c r="A553" s="535"/>
      <c r="L553" s="449">
        <f t="shared" si="803"/>
        <v>0</v>
      </c>
      <c r="M553" s="449"/>
      <c r="X553" s="535">
        <f t="shared" si="848"/>
        <v>0</v>
      </c>
      <c r="AM553" s="449">
        <f t="shared" si="850"/>
        <v>0</v>
      </c>
    </row>
    <row r="554" spans="1:49" ht="15.75" thickBot="1" x14ac:dyDescent="0.3">
      <c r="A554" s="538"/>
      <c r="B554" s="369"/>
      <c r="C554" s="21"/>
      <c r="D554" s="21"/>
      <c r="E554" s="21"/>
      <c r="F554" s="21"/>
      <c r="G554" s="21"/>
      <c r="H554" s="21"/>
      <c r="I554" s="369"/>
      <c r="J554" s="369"/>
      <c r="K554" s="369"/>
      <c r="L554" s="450">
        <f t="shared" si="803"/>
        <v>0</v>
      </c>
      <c r="M554" s="450"/>
      <c r="N554" s="369"/>
      <c r="O554" s="21"/>
      <c r="P554" s="21"/>
      <c r="Q554" s="21"/>
      <c r="R554" s="21"/>
      <c r="S554" s="21"/>
      <c r="T554" s="21"/>
      <c r="U554" s="369"/>
      <c r="V554" s="369"/>
      <c r="W554" s="369"/>
      <c r="X554" s="538">
        <f t="shared" si="848"/>
        <v>0</v>
      </c>
      <c r="Y554" s="369"/>
      <c r="Z554" s="528"/>
      <c r="AA554" s="21"/>
      <c r="AB554" s="21"/>
      <c r="AC554" s="21"/>
      <c r="AD554" s="21"/>
      <c r="AE554" s="21"/>
      <c r="AF554" s="21"/>
      <c r="AG554" s="369"/>
      <c r="AH554" s="369"/>
      <c r="AI554" s="369"/>
      <c r="AJ554" s="369"/>
      <c r="AK554" s="369"/>
      <c r="AL554" s="369"/>
      <c r="AM554" s="450">
        <f t="shared" si="850"/>
        <v>0</v>
      </c>
      <c r="AN554" s="21"/>
      <c r="AO554" s="21"/>
      <c r="AP554" s="21"/>
      <c r="AQ554" s="21"/>
      <c r="AR554" s="23"/>
      <c r="AS554" s="21"/>
      <c r="AT554" s="21"/>
      <c r="AU554" s="369"/>
      <c r="AV554" s="369"/>
      <c r="AW554" s="21"/>
    </row>
    <row r="555" spans="1:49" x14ac:dyDescent="0.25">
      <c r="A555" s="535"/>
      <c r="L555" s="449">
        <f t="shared" si="803"/>
        <v>0</v>
      </c>
      <c r="M555" s="449"/>
      <c r="X555" s="535">
        <f t="shared" si="848"/>
        <v>0</v>
      </c>
      <c r="AM555" s="449">
        <f t="shared" si="850"/>
        <v>0</v>
      </c>
    </row>
    <row r="556" spans="1:49" x14ac:dyDescent="0.25">
      <c r="A556" s="535"/>
      <c r="L556" s="449">
        <f t="shared" si="803"/>
        <v>0</v>
      </c>
      <c r="M556" s="449"/>
      <c r="X556" s="535">
        <f t="shared" si="848"/>
        <v>0</v>
      </c>
      <c r="AM556" s="449">
        <f t="shared" si="850"/>
        <v>0</v>
      </c>
    </row>
    <row r="557" spans="1:49" x14ac:dyDescent="0.25">
      <c r="A557" s="535"/>
      <c r="L557" s="449">
        <f t="shared" si="803"/>
        <v>0</v>
      </c>
      <c r="M557" s="449"/>
      <c r="X557" s="535">
        <f t="shared" si="848"/>
        <v>0</v>
      </c>
      <c r="AM557" s="449">
        <f t="shared" si="850"/>
        <v>0</v>
      </c>
    </row>
    <row r="558" spans="1:49" x14ac:dyDescent="0.25">
      <c r="A558" s="535"/>
      <c r="L558" s="449">
        <f t="shared" si="803"/>
        <v>0</v>
      </c>
      <c r="M558" s="449"/>
      <c r="X558" s="535">
        <f t="shared" si="848"/>
        <v>0</v>
      </c>
      <c r="AM558" s="449">
        <f t="shared" si="850"/>
        <v>0</v>
      </c>
    </row>
    <row r="559" spans="1:49" x14ac:dyDescent="0.25">
      <c r="A559" s="535"/>
      <c r="L559" s="449">
        <f t="shared" ref="L559:L622" si="867">IF(MOD(M559,12)=0,M559/12,L558)</f>
        <v>0</v>
      </c>
      <c r="M559" s="449"/>
      <c r="X559" s="535">
        <f t="shared" si="848"/>
        <v>0</v>
      </c>
      <c r="AM559" s="449">
        <f t="shared" si="850"/>
        <v>0</v>
      </c>
    </row>
    <row r="560" spans="1:49" x14ac:dyDescent="0.25">
      <c r="A560" s="535"/>
      <c r="L560" s="449">
        <f t="shared" si="867"/>
        <v>0</v>
      </c>
      <c r="M560" s="449"/>
      <c r="X560" s="535">
        <f t="shared" si="848"/>
        <v>0</v>
      </c>
      <c r="AM560" s="449">
        <f t="shared" si="850"/>
        <v>0</v>
      </c>
    </row>
    <row r="561" spans="1:49" x14ac:dyDescent="0.25">
      <c r="A561" s="535"/>
      <c r="L561" s="449">
        <f t="shared" si="867"/>
        <v>0</v>
      </c>
      <c r="M561" s="449"/>
      <c r="X561" s="535">
        <f t="shared" si="848"/>
        <v>0</v>
      </c>
      <c r="AM561" s="449">
        <f t="shared" si="850"/>
        <v>0</v>
      </c>
    </row>
    <row r="562" spans="1:49" x14ac:dyDescent="0.25">
      <c r="A562" s="535"/>
      <c r="L562" s="449">
        <f t="shared" si="867"/>
        <v>0</v>
      </c>
      <c r="M562" s="449"/>
      <c r="X562" s="535">
        <f t="shared" si="848"/>
        <v>0</v>
      </c>
      <c r="AM562" s="449">
        <f t="shared" si="850"/>
        <v>0</v>
      </c>
    </row>
    <row r="563" spans="1:49" x14ac:dyDescent="0.25">
      <c r="A563" s="535"/>
      <c r="L563" s="449">
        <f t="shared" si="867"/>
        <v>0</v>
      </c>
      <c r="M563" s="449"/>
      <c r="X563" s="535">
        <f t="shared" si="848"/>
        <v>0</v>
      </c>
      <c r="AM563" s="449">
        <f t="shared" si="850"/>
        <v>0</v>
      </c>
    </row>
    <row r="564" spans="1:49" x14ac:dyDescent="0.25">
      <c r="A564" s="535"/>
      <c r="L564" s="449">
        <f t="shared" si="867"/>
        <v>0</v>
      </c>
      <c r="M564" s="449"/>
      <c r="X564" s="535">
        <f t="shared" si="848"/>
        <v>0</v>
      </c>
      <c r="AM564" s="449">
        <f t="shared" si="850"/>
        <v>0</v>
      </c>
    </row>
    <row r="565" spans="1:49" x14ac:dyDescent="0.25">
      <c r="A565" s="535"/>
      <c r="L565" s="449">
        <f t="shared" si="867"/>
        <v>0</v>
      </c>
      <c r="M565" s="449"/>
      <c r="X565" s="535">
        <f t="shared" si="848"/>
        <v>0</v>
      </c>
      <c r="AM565" s="449">
        <f t="shared" si="850"/>
        <v>0</v>
      </c>
    </row>
    <row r="566" spans="1:49" ht="15.75" thickBot="1" x14ac:dyDescent="0.3">
      <c r="A566" s="538"/>
      <c r="B566" s="369"/>
      <c r="C566" s="21"/>
      <c r="D566" s="21"/>
      <c r="E566" s="21"/>
      <c r="F566" s="21"/>
      <c r="G566" s="21"/>
      <c r="H566" s="21"/>
      <c r="I566" s="369"/>
      <c r="J566" s="369"/>
      <c r="K566" s="369"/>
      <c r="L566" s="450">
        <f t="shared" si="867"/>
        <v>0</v>
      </c>
      <c r="M566" s="450"/>
      <c r="N566" s="369"/>
      <c r="O566" s="21"/>
      <c r="P566" s="21"/>
      <c r="Q566" s="21"/>
      <c r="R566" s="21"/>
      <c r="S566" s="21"/>
      <c r="T566" s="21"/>
      <c r="U566" s="369"/>
      <c r="V566" s="369"/>
      <c r="W566" s="369"/>
      <c r="X566" s="538">
        <f t="shared" si="848"/>
        <v>0</v>
      </c>
      <c r="Y566" s="369"/>
      <c r="Z566" s="528"/>
      <c r="AA566" s="21"/>
      <c r="AB566" s="21"/>
      <c r="AC566" s="21"/>
      <c r="AD566" s="21"/>
      <c r="AE566" s="21"/>
      <c r="AF566" s="21"/>
      <c r="AG566" s="369"/>
      <c r="AH566" s="369"/>
      <c r="AI566" s="369"/>
      <c r="AJ566" s="369"/>
      <c r="AK566" s="369"/>
      <c r="AL566" s="369"/>
      <c r="AM566" s="450">
        <f t="shared" si="850"/>
        <v>0</v>
      </c>
      <c r="AN566" s="21"/>
      <c r="AO566" s="21"/>
      <c r="AP566" s="21"/>
      <c r="AQ566" s="21"/>
      <c r="AR566" s="23"/>
      <c r="AS566" s="21"/>
      <c r="AT566" s="21"/>
      <c r="AU566" s="369"/>
      <c r="AV566" s="369"/>
      <c r="AW566" s="21"/>
    </row>
    <row r="567" spans="1:49" x14ac:dyDescent="0.25">
      <c r="A567" s="535"/>
      <c r="L567" s="449">
        <f t="shared" si="867"/>
        <v>0</v>
      </c>
      <c r="M567" s="449"/>
      <c r="X567" s="535">
        <f t="shared" si="848"/>
        <v>0</v>
      </c>
      <c r="AM567" s="449">
        <f t="shared" si="850"/>
        <v>0</v>
      </c>
    </row>
    <row r="568" spans="1:49" x14ac:dyDescent="0.25">
      <c r="A568" s="535"/>
      <c r="L568" s="449">
        <f t="shared" si="867"/>
        <v>0</v>
      </c>
      <c r="M568" s="449"/>
      <c r="X568" s="535">
        <f t="shared" si="848"/>
        <v>0</v>
      </c>
      <c r="AM568" s="449">
        <f t="shared" si="850"/>
        <v>0</v>
      </c>
    </row>
    <row r="569" spans="1:49" x14ac:dyDescent="0.25">
      <c r="A569" s="535"/>
      <c r="L569" s="449">
        <f t="shared" si="867"/>
        <v>0</v>
      </c>
      <c r="M569" s="449"/>
      <c r="X569" s="535">
        <f t="shared" si="848"/>
        <v>0</v>
      </c>
      <c r="AM569" s="449">
        <f t="shared" si="850"/>
        <v>0</v>
      </c>
    </row>
    <row r="570" spans="1:49" x14ac:dyDescent="0.25">
      <c r="A570" s="535"/>
      <c r="L570" s="449">
        <f t="shared" si="867"/>
        <v>0</v>
      </c>
      <c r="M570" s="449"/>
      <c r="X570" s="535">
        <f t="shared" si="848"/>
        <v>0</v>
      </c>
      <c r="AM570" s="449">
        <f t="shared" si="850"/>
        <v>0</v>
      </c>
    </row>
    <row r="571" spans="1:49" x14ac:dyDescent="0.25">
      <c r="A571" s="535"/>
      <c r="L571" s="449">
        <f t="shared" si="867"/>
        <v>0</v>
      </c>
      <c r="M571" s="449"/>
      <c r="X571" s="535">
        <f t="shared" si="848"/>
        <v>0</v>
      </c>
      <c r="AM571" s="449">
        <f t="shared" si="850"/>
        <v>0</v>
      </c>
    </row>
    <row r="572" spans="1:49" x14ac:dyDescent="0.25">
      <c r="A572" s="535"/>
      <c r="L572" s="449">
        <f t="shared" si="867"/>
        <v>0</v>
      </c>
      <c r="M572" s="449"/>
      <c r="X572" s="535">
        <f t="shared" si="848"/>
        <v>0</v>
      </c>
      <c r="AM572" s="449">
        <f t="shared" si="850"/>
        <v>0</v>
      </c>
    </row>
    <row r="573" spans="1:49" x14ac:dyDescent="0.25">
      <c r="A573" s="535"/>
      <c r="L573" s="449">
        <f t="shared" si="867"/>
        <v>0</v>
      </c>
      <c r="M573" s="449"/>
      <c r="X573" s="535">
        <f t="shared" si="848"/>
        <v>0</v>
      </c>
      <c r="AM573" s="449">
        <f t="shared" si="850"/>
        <v>0</v>
      </c>
    </row>
    <row r="574" spans="1:49" x14ac:dyDescent="0.25">
      <c r="A574" s="535"/>
      <c r="L574" s="449">
        <f t="shared" si="867"/>
        <v>0</v>
      </c>
      <c r="M574" s="449"/>
      <c r="X574" s="535">
        <f t="shared" si="848"/>
        <v>0</v>
      </c>
      <c r="AM574" s="449">
        <f t="shared" si="850"/>
        <v>0</v>
      </c>
    </row>
    <row r="575" spans="1:49" x14ac:dyDescent="0.25">
      <c r="A575" s="535"/>
      <c r="L575" s="449">
        <f t="shared" si="867"/>
        <v>0</v>
      </c>
      <c r="M575" s="449"/>
      <c r="X575" s="535">
        <f t="shared" si="848"/>
        <v>0</v>
      </c>
      <c r="AM575" s="449">
        <f t="shared" si="850"/>
        <v>0</v>
      </c>
    </row>
    <row r="576" spans="1:49" x14ac:dyDescent="0.25">
      <c r="A576" s="535"/>
      <c r="L576" s="449">
        <f t="shared" si="867"/>
        <v>0</v>
      </c>
      <c r="M576" s="449"/>
      <c r="X576" s="535">
        <f t="shared" si="848"/>
        <v>0</v>
      </c>
      <c r="AM576" s="449">
        <f t="shared" si="850"/>
        <v>0</v>
      </c>
    </row>
    <row r="577" spans="1:49" x14ac:dyDescent="0.25">
      <c r="A577" s="535"/>
      <c r="L577" s="449">
        <f t="shared" si="867"/>
        <v>0</v>
      </c>
      <c r="M577" s="449"/>
      <c r="X577" s="535">
        <f t="shared" si="848"/>
        <v>0</v>
      </c>
      <c r="AM577" s="449">
        <f t="shared" si="850"/>
        <v>0</v>
      </c>
    </row>
    <row r="578" spans="1:49" ht="15.75" thickBot="1" x14ac:dyDescent="0.3">
      <c r="A578" s="538"/>
      <c r="B578" s="369"/>
      <c r="C578" s="21"/>
      <c r="D578" s="21"/>
      <c r="E578" s="21"/>
      <c r="F578" s="21"/>
      <c r="G578" s="21"/>
      <c r="H578" s="21"/>
      <c r="I578" s="369"/>
      <c r="J578" s="369"/>
      <c r="K578" s="369"/>
      <c r="L578" s="450">
        <f t="shared" si="867"/>
        <v>0</v>
      </c>
      <c r="M578" s="450"/>
      <c r="N578" s="369"/>
      <c r="O578" s="21"/>
      <c r="P578" s="21"/>
      <c r="Q578" s="21"/>
      <c r="R578" s="21"/>
      <c r="S578" s="21"/>
      <c r="T578" s="21"/>
      <c r="U578" s="369"/>
      <c r="V578" s="369"/>
      <c r="W578" s="369"/>
      <c r="X578" s="538">
        <f t="shared" si="848"/>
        <v>0</v>
      </c>
      <c r="Y578" s="369"/>
      <c r="Z578" s="528"/>
      <c r="AA578" s="21"/>
      <c r="AB578" s="21"/>
      <c r="AC578" s="21"/>
      <c r="AD578" s="21"/>
      <c r="AE578" s="21"/>
      <c r="AF578" s="21"/>
      <c r="AG578" s="369"/>
      <c r="AH578" s="369"/>
      <c r="AI578" s="369"/>
      <c r="AJ578" s="369"/>
      <c r="AK578" s="369"/>
      <c r="AL578" s="369"/>
      <c r="AM578" s="450">
        <f t="shared" si="850"/>
        <v>0</v>
      </c>
      <c r="AN578" s="21"/>
      <c r="AO578" s="21"/>
      <c r="AP578" s="21"/>
      <c r="AQ578" s="21"/>
      <c r="AR578" s="23"/>
      <c r="AS578" s="21"/>
      <c r="AT578" s="21"/>
      <c r="AU578" s="369"/>
      <c r="AV578" s="369"/>
      <c r="AW578" s="21"/>
    </row>
    <row r="579" spans="1:49" x14ac:dyDescent="0.25">
      <c r="A579" s="535"/>
      <c r="L579" s="449">
        <f t="shared" si="867"/>
        <v>0</v>
      </c>
      <c r="M579" s="449"/>
      <c r="X579" s="535">
        <f t="shared" si="848"/>
        <v>0</v>
      </c>
      <c r="AM579" s="449">
        <f t="shared" si="850"/>
        <v>0</v>
      </c>
    </row>
    <row r="580" spans="1:49" x14ac:dyDescent="0.25">
      <c r="A580" s="535"/>
      <c r="L580" s="449">
        <f t="shared" si="867"/>
        <v>0</v>
      </c>
      <c r="M580" s="449"/>
      <c r="X580" s="535">
        <f t="shared" si="848"/>
        <v>0</v>
      </c>
      <c r="AM580" s="449">
        <f t="shared" si="850"/>
        <v>0</v>
      </c>
    </row>
    <row r="581" spans="1:49" x14ac:dyDescent="0.25">
      <c r="A581" s="535"/>
      <c r="L581" s="449">
        <f t="shared" si="867"/>
        <v>0</v>
      </c>
      <c r="M581" s="449"/>
      <c r="X581" s="535">
        <f t="shared" si="848"/>
        <v>0</v>
      </c>
      <c r="AM581" s="449">
        <f t="shared" si="850"/>
        <v>0</v>
      </c>
    </row>
    <row r="582" spans="1:49" x14ac:dyDescent="0.25">
      <c r="A582" s="535"/>
      <c r="L582" s="449">
        <f t="shared" si="867"/>
        <v>0</v>
      </c>
      <c r="M582" s="449"/>
      <c r="X582" s="535">
        <f t="shared" si="848"/>
        <v>0</v>
      </c>
      <c r="AM582" s="449">
        <f t="shared" si="850"/>
        <v>0</v>
      </c>
    </row>
    <row r="583" spans="1:49" x14ac:dyDescent="0.25">
      <c r="A583" s="535"/>
      <c r="L583" s="449">
        <f t="shared" si="867"/>
        <v>0</v>
      </c>
      <c r="M583" s="449"/>
      <c r="X583" s="535">
        <f t="shared" si="848"/>
        <v>0</v>
      </c>
      <c r="AM583" s="449">
        <f t="shared" si="850"/>
        <v>0</v>
      </c>
    </row>
    <row r="584" spans="1:49" x14ac:dyDescent="0.25">
      <c r="A584" s="535"/>
      <c r="L584" s="449">
        <f t="shared" si="867"/>
        <v>0</v>
      </c>
      <c r="M584" s="449"/>
      <c r="X584" s="535">
        <f t="shared" si="848"/>
        <v>0</v>
      </c>
      <c r="AM584" s="449">
        <f t="shared" si="850"/>
        <v>0</v>
      </c>
    </row>
    <row r="585" spans="1:49" x14ac:dyDescent="0.25">
      <c r="A585" s="535"/>
      <c r="L585" s="449">
        <f t="shared" si="867"/>
        <v>0</v>
      </c>
      <c r="M585" s="449"/>
      <c r="X585" s="535">
        <f t="shared" si="848"/>
        <v>0</v>
      </c>
      <c r="AM585" s="449">
        <f t="shared" si="850"/>
        <v>0</v>
      </c>
    </row>
    <row r="586" spans="1:49" x14ac:dyDescent="0.25">
      <c r="A586" s="535"/>
      <c r="L586" s="449">
        <f t="shared" si="867"/>
        <v>0</v>
      </c>
      <c r="M586" s="449"/>
      <c r="X586" s="535">
        <f t="shared" si="848"/>
        <v>0</v>
      </c>
      <c r="AM586" s="449">
        <f t="shared" si="850"/>
        <v>0</v>
      </c>
    </row>
    <row r="587" spans="1:49" x14ac:dyDescent="0.25">
      <c r="A587" s="535"/>
      <c r="L587" s="449">
        <f t="shared" si="867"/>
        <v>0</v>
      </c>
      <c r="M587" s="449"/>
      <c r="X587" s="535">
        <f t="shared" si="848"/>
        <v>0</v>
      </c>
      <c r="AM587" s="449">
        <f t="shared" si="850"/>
        <v>0</v>
      </c>
    </row>
    <row r="588" spans="1:49" x14ac:dyDescent="0.25">
      <c r="A588" s="535"/>
      <c r="L588" s="449">
        <f t="shared" si="867"/>
        <v>0</v>
      </c>
      <c r="M588" s="449"/>
      <c r="X588" s="535">
        <f t="shared" si="848"/>
        <v>0</v>
      </c>
      <c r="AM588" s="449">
        <f t="shared" si="850"/>
        <v>0</v>
      </c>
    </row>
    <row r="589" spans="1:49" x14ac:dyDescent="0.25">
      <c r="A589" s="535"/>
      <c r="L589" s="449">
        <f t="shared" si="867"/>
        <v>0</v>
      </c>
      <c r="M589" s="449"/>
      <c r="X589" s="535">
        <f t="shared" si="848"/>
        <v>0</v>
      </c>
      <c r="AM589" s="449">
        <f t="shared" si="850"/>
        <v>0</v>
      </c>
    </row>
    <row r="590" spans="1:49" ht="15.75" thickBot="1" x14ac:dyDescent="0.3">
      <c r="A590" s="538"/>
      <c r="B590" s="369"/>
      <c r="C590" s="21"/>
      <c r="D590" s="21"/>
      <c r="E590" s="21"/>
      <c r="F590" s="21"/>
      <c r="G590" s="21"/>
      <c r="H590" s="21"/>
      <c r="I590" s="369"/>
      <c r="J590" s="369"/>
      <c r="K590" s="369"/>
      <c r="L590" s="450">
        <f t="shared" si="867"/>
        <v>0</v>
      </c>
      <c r="M590" s="450"/>
      <c r="N590" s="369"/>
      <c r="O590" s="21"/>
      <c r="P590" s="21"/>
      <c r="Q590" s="21"/>
      <c r="R590" s="21"/>
      <c r="S590" s="21"/>
      <c r="T590" s="21"/>
      <c r="U590" s="369"/>
      <c r="V590" s="369"/>
      <c r="W590" s="369"/>
      <c r="X590" s="538">
        <f t="shared" si="848"/>
        <v>0</v>
      </c>
      <c r="Y590" s="369"/>
      <c r="Z590" s="528"/>
      <c r="AA590" s="21"/>
      <c r="AB590" s="21"/>
      <c r="AC590" s="21"/>
      <c r="AD590" s="21"/>
      <c r="AE590" s="21"/>
      <c r="AF590" s="21"/>
      <c r="AG590" s="369"/>
      <c r="AH590" s="369"/>
      <c r="AI590" s="369"/>
      <c r="AJ590" s="369"/>
      <c r="AK590" s="369"/>
      <c r="AL590" s="369"/>
      <c r="AM590" s="450">
        <f t="shared" si="850"/>
        <v>0</v>
      </c>
      <c r="AN590" s="21"/>
      <c r="AO590" s="21"/>
      <c r="AP590" s="21"/>
      <c r="AQ590" s="21"/>
      <c r="AR590" s="23"/>
      <c r="AS590" s="21"/>
      <c r="AT590" s="21"/>
      <c r="AU590" s="369"/>
      <c r="AV590" s="369"/>
      <c r="AW590" s="21"/>
    </row>
    <row r="591" spans="1:49" x14ac:dyDescent="0.25">
      <c r="A591" s="535"/>
      <c r="L591" s="449">
        <f t="shared" si="867"/>
        <v>0</v>
      </c>
      <c r="M591" s="449"/>
      <c r="X591" s="535">
        <f t="shared" si="848"/>
        <v>0</v>
      </c>
      <c r="AM591" s="449">
        <f t="shared" si="850"/>
        <v>0</v>
      </c>
    </row>
    <row r="592" spans="1:49" x14ac:dyDescent="0.25">
      <c r="A592" s="535"/>
      <c r="L592" s="449">
        <f t="shared" si="867"/>
        <v>0</v>
      </c>
      <c r="M592" s="449"/>
      <c r="X592" s="535">
        <f t="shared" ref="X592:X655" si="868">+A592</f>
        <v>0</v>
      </c>
      <c r="AM592" s="449">
        <f t="shared" ref="AM592:AM655" si="869">+L592</f>
        <v>0</v>
      </c>
    </row>
    <row r="593" spans="1:49" x14ac:dyDescent="0.25">
      <c r="A593" s="535"/>
      <c r="L593" s="449">
        <f t="shared" si="867"/>
        <v>0</v>
      </c>
      <c r="M593" s="449"/>
      <c r="X593" s="535">
        <f t="shared" si="868"/>
        <v>0</v>
      </c>
      <c r="AM593" s="449">
        <f t="shared" si="869"/>
        <v>0</v>
      </c>
    </row>
    <row r="594" spans="1:49" x14ac:dyDescent="0.25">
      <c r="A594" s="535"/>
      <c r="L594" s="449">
        <f t="shared" si="867"/>
        <v>0</v>
      </c>
      <c r="M594" s="449"/>
      <c r="X594" s="535">
        <f t="shared" si="868"/>
        <v>0</v>
      </c>
      <c r="AM594" s="449">
        <f t="shared" si="869"/>
        <v>0</v>
      </c>
    </row>
    <row r="595" spans="1:49" x14ac:dyDescent="0.25">
      <c r="A595" s="535"/>
      <c r="L595" s="449">
        <f t="shared" si="867"/>
        <v>0</v>
      </c>
      <c r="M595" s="449"/>
      <c r="X595" s="535">
        <f t="shared" si="868"/>
        <v>0</v>
      </c>
      <c r="AM595" s="449">
        <f t="shared" si="869"/>
        <v>0</v>
      </c>
    </row>
    <row r="596" spans="1:49" x14ac:dyDescent="0.25">
      <c r="A596" s="535"/>
      <c r="L596" s="449">
        <f t="shared" si="867"/>
        <v>0</v>
      </c>
      <c r="M596" s="449"/>
      <c r="X596" s="535">
        <f t="shared" si="868"/>
        <v>0</v>
      </c>
      <c r="AM596" s="449">
        <f t="shared" si="869"/>
        <v>0</v>
      </c>
    </row>
    <row r="597" spans="1:49" x14ac:dyDescent="0.25">
      <c r="A597" s="535"/>
      <c r="L597" s="449">
        <f t="shared" si="867"/>
        <v>0</v>
      </c>
      <c r="M597" s="449"/>
      <c r="X597" s="535">
        <f t="shared" si="868"/>
        <v>0</v>
      </c>
      <c r="AM597" s="449">
        <f t="shared" si="869"/>
        <v>0</v>
      </c>
    </row>
    <row r="598" spans="1:49" x14ac:dyDescent="0.25">
      <c r="A598" s="535"/>
      <c r="L598" s="449">
        <f t="shared" si="867"/>
        <v>0</v>
      </c>
      <c r="M598" s="449"/>
      <c r="X598" s="535">
        <f t="shared" si="868"/>
        <v>0</v>
      </c>
      <c r="AM598" s="449">
        <f t="shared" si="869"/>
        <v>0</v>
      </c>
    </row>
    <row r="599" spans="1:49" x14ac:dyDescent="0.25">
      <c r="A599" s="535"/>
      <c r="L599" s="449">
        <f t="shared" si="867"/>
        <v>0</v>
      </c>
      <c r="M599" s="449"/>
      <c r="X599" s="535">
        <f t="shared" si="868"/>
        <v>0</v>
      </c>
      <c r="AM599" s="449">
        <f t="shared" si="869"/>
        <v>0</v>
      </c>
    </row>
    <row r="600" spans="1:49" x14ac:dyDescent="0.25">
      <c r="A600" s="535"/>
      <c r="L600" s="449">
        <f t="shared" si="867"/>
        <v>0</v>
      </c>
      <c r="M600" s="449"/>
      <c r="X600" s="535">
        <f t="shared" si="868"/>
        <v>0</v>
      </c>
      <c r="AM600" s="449">
        <f t="shared" si="869"/>
        <v>0</v>
      </c>
    </row>
    <row r="601" spans="1:49" x14ac:dyDescent="0.25">
      <c r="A601" s="535"/>
      <c r="L601" s="449">
        <f t="shared" si="867"/>
        <v>0</v>
      </c>
      <c r="M601" s="449"/>
      <c r="X601" s="535">
        <f t="shared" si="868"/>
        <v>0</v>
      </c>
      <c r="AM601" s="449">
        <f t="shared" si="869"/>
        <v>0</v>
      </c>
    </row>
    <row r="602" spans="1:49" ht="15.75" thickBot="1" x14ac:dyDescent="0.3">
      <c r="A602" s="538"/>
      <c r="B602" s="369"/>
      <c r="C602" s="21"/>
      <c r="D602" s="21"/>
      <c r="E602" s="21"/>
      <c r="F602" s="21"/>
      <c r="G602" s="21"/>
      <c r="H602" s="21"/>
      <c r="I602" s="369"/>
      <c r="J602" s="369"/>
      <c r="K602" s="369"/>
      <c r="L602" s="450">
        <f t="shared" si="867"/>
        <v>0</v>
      </c>
      <c r="M602" s="450"/>
      <c r="N602" s="369"/>
      <c r="O602" s="21"/>
      <c r="P602" s="21"/>
      <c r="Q602" s="21"/>
      <c r="R602" s="21"/>
      <c r="S602" s="21"/>
      <c r="T602" s="21"/>
      <c r="U602" s="369"/>
      <c r="V602" s="369"/>
      <c r="W602" s="369"/>
      <c r="X602" s="538">
        <f t="shared" si="868"/>
        <v>0</v>
      </c>
      <c r="Y602" s="369"/>
      <c r="Z602" s="528"/>
      <c r="AA602" s="21"/>
      <c r="AB602" s="21"/>
      <c r="AC602" s="21"/>
      <c r="AD602" s="21"/>
      <c r="AE602" s="21"/>
      <c r="AF602" s="21"/>
      <c r="AG602" s="369"/>
      <c r="AH602" s="369"/>
      <c r="AI602" s="369"/>
      <c r="AJ602" s="369"/>
      <c r="AK602" s="369"/>
      <c r="AL602" s="369"/>
      <c r="AM602" s="450">
        <f t="shared" si="869"/>
        <v>0</v>
      </c>
      <c r="AN602" s="21"/>
      <c r="AO602" s="21"/>
      <c r="AP602" s="21"/>
      <c r="AQ602" s="21"/>
      <c r="AR602" s="23"/>
      <c r="AS602" s="21"/>
      <c r="AT602" s="21"/>
      <c r="AU602" s="369"/>
      <c r="AV602" s="369"/>
      <c r="AW602" s="21"/>
    </row>
    <row r="603" spans="1:49" x14ac:dyDescent="0.25">
      <c r="A603" s="535"/>
      <c r="L603" s="449">
        <f t="shared" si="867"/>
        <v>0</v>
      </c>
      <c r="M603" s="449"/>
      <c r="X603" s="535">
        <f t="shared" si="868"/>
        <v>0</v>
      </c>
      <c r="AM603" s="449">
        <f t="shared" si="869"/>
        <v>0</v>
      </c>
    </row>
    <row r="604" spans="1:49" x14ac:dyDescent="0.25">
      <c r="A604" s="535"/>
      <c r="L604" s="449">
        <f t="shared" si="867"/>
        <v>0</v>
      </c>
      <c r="M604" s="449"/>
      <c r="X604" s="535">
        <f t="shared" si="868"/>
        <v>0</v>
      </c>
      <c r="AM604" s="449">
        <f t="shared" si="869"/>
        <v>0</v>
      </c>
    </row>
    <row r="605" spans="1:49" x14ac:dyDescent="0.25">
      <c r="A605" s="535"/>
      <c r="L605" s="449">
        <f t="shared" si="867"/>
        <v>0</v>
      </c>
      <c r="M605" s="449"/>
      <c r="X605" s="535">
        <f t="shared" si="868"/>
        <v>0</v>
      </c>
      <c r="AM605" s="449">
        <f t="shared" si="869"/>
        <v>0</v>
      </c>
    </row>
    <row r="606" spans="1:49" x14ac:dyDescent="0.25">
      <c r="A606" s="535"/>
      <c r="L606" s="449">
        <f t="shared" si="867"/>
        <v>0</v>
      </c>
      <c r="M606" s="449"/>
      <c r="X606" s="535">
        <f t="shared" si="868"/>
        <v>0</v>
      </c>
      <c r="AM606" s="449">
        <f t="shared" si="869"/>
        <v>0</v>
      </c>
    </row>
    <row r="607" spans="1:49" x14ac:dyDescent="0.25">
      <c r="A607" s="535"/>
      <c r="L607" s="449">
        <f t="shared" si="867"/>
        <v>0</v>
      </c>
      <c r="M607" s="449"/>
      <c r="X607" s="535">
        <f t="shared" si="868"/>
        <v>0</v>
      </c>
      <c r="AM607" s="449">
        <f t="shared" si="869"/>
        <v>0</v>
      </c>
    </row>
    <row r="608" spans="1:49" x14ac:dyDescent="0.25">
      <c r="A608" s="535"/>
      <c r="L608" s="449">
        <f t="shared" si="867"/>
        <v>0</v>
      </c>
      <c r="M608" s="449"/>
      <c r="X608" s="535">
        <f t="shared" si="868"/>
        <v>0</v>
      </c>
      <c r="AM608" s="449">
        <f t="shared" si="869"/>
        <v>0</v>
      </c>
    </row>
    <row r="609" spans="1:49" x14ac:dyDescent="0.25">
      <c r="A609" s="535"/>
      <c r="L609" s="449">
        <f t="shared" si="867"/>
        <v>0</v>
      </c>
      <c r="M609" s="449"/>
      <c r="X609" s="535">
        <f t="shared" si="868"/>
        <v>0</v>
      </c>
      <c r="AM609" s="449">
        <f t="shared" si="869"/>
        <v>0</v>
      </c>
    </row>
    <row r="610" spans="1:49" x14ac:dyDescent="0.25">
      <c r="A610" s="535"/>
      <c r="L610" s="449">
        <f t="shared" si="867"/>
        <v>0</v>
      </c>
      <c r="M610" s="449"/>
      <c r="X610" s="535">
        <f t="shared" si="868"/>
        <v>0</v>
      </c>
      <c r="AM610" s="449">
        <f t="shared" si="869"/>
        <v>0</v>
      </c>
    </row>
    <row r="611" spans="1:49" x14ac:dyDescent="0.25">
      <c r="A611" s="535"/>
      <c r="L611" s="449">
        <f t="shared" si="867"/>
        <v>0</v>
      </c>
      <c r="M611" s="449"/>
      <c r="X611" s="535">
        <f t="shared" si="868"/>
        <v>0</v>
      </c>
      <c r="AM611" s="449">
        <f t="shared" si="869"/>
        <v>0</v>
      </c>
    </row>
    <row r="612" spans="1:49" x14ac:dyDescent="0.25">
      <c r="A612" s="535"/>
      <c r="L612" s="449">
        <f t="shared" si="867"/>
        <v>0</v>
      </c>
      <c r="M612" s="449"/>
      <c r="X612" s="535">
        <f t="shared" si="868"/>
        <v>0</v>
      </c>
      <c r="AM612" s="449">
        <f t="shared" si="869"/>
        <v>0</v>
      </c>
    </row>
    <row r="613" spans="1:49" x14ac:dyDescent="0.25">
      <c r="A613" s="535"/>
      <c r="L613" s="449">
        <f t="shared" si="867"/>
        <v>0</v>
      </c>
      <c r="M613" s="449"/>
      <c r="X613" s="535">
        <f t="shared" si="868"/>
        <v>0</v>
      </c>
      <c r="AM613" s="449">
        <f t="shared" si="869"/>
        <v>0</v>
      </c>
    </row>
    <row r="614" spans="1:49" ht="15.75" thickBot="1" x14ac:dyDescent="0.3">
      <c r="A614" s="538"/>
      <c r="B614" s="369"/>
      <c r="C614" s="21"/>
      <c r="D614" s="21"/>
      <c r="E614" s="21"/>
      <c r="F614" s="21"/>
      <c r="G614" s="21"/>
      <c r="H614" s="21"/>
      <c r="I614" s="369"/>
      <c r="J614" s="369"/>
      <c r="K614" s="369"/>
      <c r="L614" s="450">
        <f t="shared" si="867"/>
        <v>0</v>
      </c>
      <c r="M614" s="450"/>
      <c r="N614" s="369"/>
      <c r="O614" s="21"/>
      <c r="P614" s="21"/>
      <c r="Q614" s="21"/>
      <c r="R614" s="21"/>
      <c r="S614" s="21"/>
      <c r="T614" s="21"/>
      <c r="U614" s="369"/>
      <c r="V614" s="369"/>
      <c r="W614" s="369"/>
      <c r="X614" s="538">
        <f t="shared" si="868"/>
        <v>0</v>
      </c>
      <c r="Y614" s="369"/>
      <c r="Z614" s="528"/>
      <c r="AA614" s="21"/>
      <c r="AB614" s="21"/>
      <c r="AC614" s="21"/>
      <c r="AD614" s="21"/>
      <c r="AE614" s="21"/>
      <c r="AF614" s="21"/>
      <c r="AG614" s="369"/>
      <c r="AH614" s="369"/>
      <c r="AI614" s="369"/>
      <c r="AJ614" s="369"/>
      <c r="AK614" s="369"/>
      <c r="AL614" s="369"/>
      <c r="AM614" s="450">
        <f t="shared" si="869"/>
        <v>0</v>
      </c>
      <c r="AN614" s="21"/>
      <c r="AO614" s="21"/>
      <c r="AP614" s="21"/>
      <c r="AQ614" s="21"/>
      <c r="AR614" s="23"/>
      <c r="AS614" s="21"/>
      <c r="AT614" s="21"/>
      <c r="AU614" s="369"/>
      <c r="AV614" s="369"/>
      <c r="AW614" s="21"/>
    </row>
    <row r="615" spans="1:49" x14ac:dyDescent="0.25">
      <c r="A615" s="535"/>
      <c r="L615" s="449">
        <f t="shared" si="867"/>
        <v>0</v>
      </c>
      <c r="M615" s="449"/>
      <c r="X615" s="535">
        <f t="shared" si="868"/>
        <v>0</v>
      </c>
      <c r="AM615" s="449">
        <f t="shared" si="869"/>
        <v>0</v>
      </c>
    </row>
    <row r="616" spans="1:49" x14ac:dyDescent="0.25">
      <c r="A616" s="535"/>
      <c r="L616" s="449">
        <f t="shared" si="867"/>
        <v>0</v>
      </c>
      <c r="M616" s="449"/>
      <c r="X616" s="535">
        <f t="shared" si="868"/>
        <v>0</v>
      </c>
      <c r="AM616" s="449">
        <f t="shared" si="869"/>
        <v>0</v>
      </c>
    </row>
    <row r="617" spans="1:49" x14ac:dyDescent="0.25">
      <c r="A617" s="535"/>
      <c r="L617" s="449">
        <f t="shared" si="867"/>
        <v>0</v>
      </c>
      <c r="M617" s="449"/>
      <c r="X617" s="535">
        <f t="shared" si="868"/>
        <v>0</v>
      </c>
      <c r="AM617" s="449">
        <f t="shared" si="869"/>
        <v>0</v>
      </c>
    </row>
    <row r="618" spans="1:49" x14ac:dyDescent="0.25">
      <c r="A618" s="535"/>
      <c r="L618" s="449">
        <f t="shared" si="867"/>
        <v>0</v>
      </c>
      <c r="M618" s="449"/>
      <c r="X618" s="535">
        <f t="shared" si="868"/>
        <v>0</v>
      </c>
      <c r="AM618" s="449">
        <f t="shared" si="869"/>
        <v>0</v>
      </c>
    </row>
    <row r="619" spans="1:49" x14ac:dyDescent="0.25">
      <c r="A619" s="535"/>
      <c r="L619" s="449">
        <f t="shared" si="867"/>
        <v>0</v>
      </c>
      <c r="M619" s="449"/>
      <c r="X619" s="535">
        <f t="shared" si="868"/>
        <v>0</v>
      </c>
      <c r="AM619" s="449">
        <f t="shared" si="869"/>
        <v>0</v>
      </c>
    </row>
    <row r="620" spans="1:49" x14ac:dyDescent="0.25">
      <c r="A620" s="535"/>
      <c r="L620" s="449">
        <f t="shared" si="867"/>
        <v>0</v>
      </c>
      <c r="M620" s="449"/>
      <c r="X620" s="535">
        <f t="shared" si="868"/>
        <v>0</v>
      </c>
      <c r="AM620" s="449">
        <f t="shared" si="869"/>
        <v>0</v>
      </c>
    </row>
    <row r="621" spans="1:49" x14ac:dyDescent="0.25">
      <c r="A621" s="535"/>
      <c r="L621" s="449">
        <f t="shared" si="867"/>
        <v>0</v>
      </c>
      <c r="M621" s="449"/>
      <c r="X621" s="535">
        <f t="shared" si="868"/>
        <v>0</v>
      </c>
      <c r="AM621" s="449">
        <f t="shared" si="869"/>
        <v>0</v>
      </c>
    </row>
    <row r="622" spans="1:49" x14ac:dyDescent="0.25">
      <c r="A622" s="535"/>
      <c r="L622" s="449">
        <f t="shared" si="867"/>
        <v>0</v>
      </c>
      <c r="M622" s="449"/>
      <c r="X622" s="535">
        <f t="shared" si="868"/>
        <v>0</v>
      </c>
      <c r="AM622" s="449">
        <f t="shared" si="869"/>
        <v>0</v>
      </c>
    </row>
    <row r="623" spans="1:49" x14ac:dyDescent="0.25">
      <c r="A623" s="535"/>
      <c r="L623" s="449">
        <f t="shared" ref="L623:L686" si="870">IF(MOD(M623,12)=0,M623/12,L622)</f>
        <v>0</v>
      </c>
      <c r="M623" s="449"/>
      <c r="X623" s="535">
        <f t="shared" si="868"/>
        <v>0</v>
      </c>
      <c r="AM623" s="449">
        <f t="shared" si="869"/>
        <v>0</v>
      </c>
    </row>
    <row r="624" spans="1:49" x14ac:dyDescent="0.25">
      <c r="A624" s="535"/>
      <c r="L624" s="449">
        <f t="shared" si="870"/>
        <v>0</v>
      </c>
      <c r="M624" s="449"/>
      <c r="X624" s="535">
        <f t="shared" si="868"/>
        <v>0</v>
      </c>
      <c r="AM624" s="449">
        <f t="shared" si="869"/>
        <v>0</v>
      </c>
    </row>
    <row r="625" spans="1:49" x14ac:dyDescent="0.25">
      <c r="A625" s="535"/>
      <c r="L625" s="449">
        <f t="shared" si="870"/>
        <v>0</v>
      </c>
      <c r="M625" s="449"/>
      <c r="X625" s="535">
        <f t="shared" si="868"/>
        <v>0</v>
      </c>
      <c r="AM625" s="449">
        <f t="shared" si="869"/>
        <v>0</v>
      </c>
    </row>
    <row r="626" spans="1:49" ht="15.75" thickBot="1" x14ac:dyDescent="0.3">
      <c r="A626" s="538"/>
      <c r="B626" s="369"/>
      <c r="C626" s="21"/>
      <c r="D626" s="21"/>
      <c r="E626" s="21"/>
      <c r="F626" s="21"/>
      <c r="G626" s="21"/>
      <c r="H626" s="21"/>
      <c r="I626" s="369"/>
      <c r="J626" s="369"/>
      <c r="K626" s="369"/>
      <c r="L626" s="450">
        <f t="shared" si="870"/>
        <v>0</v>
      </c>
      <c r="M626" s="450"/>
      <c r="N626" s="369"/>
      <c r="O626" s="21"/>
      <c r="P626" s="21"/>
      <c r="Q626" s="21"/>
      <c r="R626" s="21"/>
      <c r="S626" s="21"/>
      <c r="T626" s="21"/>
      <c r="U626" s="369"/>
      <c r="V626" s="369"/>
      <c r="W626" s="369"/>
      <c r="X626" s="538">
        <f t="shared" si="868"/>
        <v>0</v>
      </c>
      <c r="Y626" s="369"/>
      <c r="Z626" s="528"/>
      <c r="AA626" s="21"/>
      <c r="AB626" s="21"/>
      <c r="AC626" s="21"/>
      <c r="AD626" s="21"/>
      <c r="AE626" s="21"/>
      <c r="AF626" s="21"/>
      <c r="AG626" s="369"/>
      <c r="AH626" s="369"/>
      <c r="AI626" s="369"/>
      <c r="AJ626" s="369"/>
      <c r="AK626" s="369"/>
      <c r="AL626" s="369"/>
      <c r="AM626" s="450">
        <f t="shared" si="869"/>
        <v>0</v>
      </c>
      <c r="AN626" s="21"/>
      <c r="AO626" s="21"/>
      <c r="AP626" s="21"/>
      <c r="AQ626" s="21"/>
      <c r="AR626" s="23"/>
      <c r="AS626" s="21"/>
      <c r="AT626" s="21"/>
      <c r="AU626" s="369"/>
      <c r="AV626" s="369"/>
      <c r="AW626" s="21"/>
    </row>
    <row r="627" spans="1:49" x14ac:dyDescent="0.25">
      <c r="A627" s="535"/>
      <c r="L627" s="449">
        <f t="shared" si="870"/>
        <v>0</v>
      </c>
      <c r="M627" s="449"/>
      <c r="X627" s="535">
        <f t="shared" si="868"/>
        <v>0</v>
      </c>
      <c r="AM627" s="449">
        <f t="shared" si="869"/>
        <v>0</v>
      </c>
    </row>
    <row r="628" spans="1:49" x14ac:dyDescent="0.25">
      <c r="A628" s="535"/>
      <c r="L628" s="449">
        <f t="shared" si="870"/>
        <v>0</v>
      </c>
      <c r="M628" s="449"/>
      <c r="X628" s="535">
        <f t="shared" si="868"/>
        <v>0</v>
      </c>
      <c r="AM628" s="449">
        <f t="shared" si="869"/>
        <v>0</v>
      </c>
    </row>
    <row r="629" spans="1:49" x14ac:dyDescent="0.25">
      <c r="A629" s="535"/>
      <c r="L629" s="449">
        <f t="shared" si="870"/>
        <v>0</v>
      </c>
      <c r="M629" s="449"/>
      <c r="X629" s="535">
        <f t="shared" si="868"/>
        <v>0</v>
      </c>
      <c r="AM629" s="449">
        <f t="shared" si="869"/>
        <v>0</v>
      </c>
    </row>
    <row r="630" spans="1:49" x14ac:dyDescent="0.25">
      <c r="A630" s="535"/>
      <c r="L630" s="449">
        <f t="shared" si="870"/>
        <v>0</v>
      </c>
      <c r="M630" s="449"/>
      <c r="X630" s="535">
        <f t="shared" si="868"/>
        <v>0</v>
      </c>
      <c r="AM630" s="449">
        <f t="shared" si="869"/>
        <v>0</v>
      </c>
    </row>
    <row r="631" spans="1:49" x14ac:dyDescent="0.25">
      <c r="A631" s="535"/>
      <c r="L631" s="449">
        <f t="shared" si="870"/>
        <v>0</v>
      </c>
      <c r="M631" s="449"/>
      <c r="X631" s="535">
        <f t="shared" si="868"/>
        <v>0</v>
      </c>
      <c r="AM631" s="449">
        <f t="shared" si="869"/>
        <v>0</v>
      </c>
    </row>
    <row r="632" spans="1:49" x14ac:dyDescent="0.25">
      <c r="A632" s="535"/>
      <c r="L632" s="449">
        <f t="shared" si="870"/>
        <v>0</v>
      </c>
      <c r="M632" s="449"/>
      <c r="X632" s="535">
        <f t="shared" si="868"/>
        <v>0</v>
      </c>
      <c r="AM632" s="449">
        <f t="shared" si="869"/>
        <v>0</v>
      </c>
    </row>
    <row r="633" spans="1:49" x14ac:dyDescent="0.25">
      <c r="A633" s="535"/>
      <c r="L633" s="449">
        <f t="shared" si="870"/>
        <v>0</v>
      </c>
      <c r="M633" s="449"/>
      <c r="X633" s="535">
        <f t="shared" si="868"/>
        <v>0</v>
      </c>
      <c r="AM633" s="449">
        <f t="shared" si="869"/>
        <v>0</v>
      </c>
    </row>
    <row r="634" spans="1:49" x14ac:dyDescent="0.25">
      <c r="A634" s="535"/>
      <c r="L634" s="449">
        <f t="shared" si="870"/>
        <v>0</v>
      </c>
      <c r="M634" s="449"/>
      <c r="X634" s="535">
        <f t="shared" si="868"/>
        <v>0</v>
      </c>
      <c r="AM634" s="449">
        <f t="shared" si="869"/>
        <v>0</v>
      </c>
    </row>
    <row r="635" spans="1:49" x14ac:dyDescent="0.25">
      <c r="A635" s="535"/>
      <c r="L635" s="449">
        <f t="shared" si="870"/>
        <v>0</v>
      </c>
      <c r="M635" s="449"/>
      <c r="X635" s="535">
        <f t="shared" si="868"/>
        <v>0</v>
      </c>
      <c r="AM635" s="449">
        <f t="shared" si="869"/>
        <v>0</v>
      </c>
    </row>
    <row r="636" spans="1:49" x14ac:dyDescent="0.25">
      <c r="A636" s="535"/>
      <c r="L636" s="449">
        <f t="shared" si="870"/>
        <v>0</v>
      </c>
      <c r="M636" s="449"/>
      <c r="X636" s="535">
        <f t="shared" si="868"/>
        <v>0</v>
      </c>
      <c r="AM636" s="449">
        <f t="shared" si="869"/>
        <v>0</v>
      </c>
    </row>
    <row r="637" spans="1:49" x14ac:dyDescent="0.25">
      <c r="A637" s="535"/>
      <c r="L637" s="449">
        <f t="shared" si="870"/>
        <v>0</v>
      </c>
      <c r="M637" s="449"/>
      <c r="X637" s="535">
        <f t="shared" si="868"/>
        <v>0</v>
      </c>
      <c r="AM637" s="449">
        <f t="shared" si="869"/>
        <v>0</v>
      </c>
    </row>
    <row r="638" spans="1:49" ht="15.75" thickBot="1" x14ac:dyDescent="0.3">
      <c r="A638" s="538"/>
      <c r="B638" s="369"/>
      <c r="C638" s="21"/>
      <c r="D638" s="21"/>
      <c r="E638" s="21"/>
      <c r="F638" s="21"/>
      <c r="G638" s="21"/>
      <c r="H638" s="21"/>
      <c r="I638" s="369"/>
      <c r="J638" s="369"/>
      <c r="K638" s="369"/>
      <c r="L638" s="450">
        <f t="shared" si="870"/>
        <v>0</v>
      </c>
      <c r="M638" s="450"/>
      <c r="N638" s="369"/>
      <c r="O638" s="21"/>
      <c r="P638" s="21"/>
      <c r="Q638" s="21"/>
      <c r="R638" s="21"/>
      <c r="S638" s="21"/>
      <c r="T638" s="21"/>
      <c r="U638" s="369"/>
      <c r="V638" s="369"/>
      <c r="W638" s="369"/>
      <c r="X638" s="538">
        <f t="shared" si="868"/>
        <v>0</v>
      </c>
      <c r="Y638" s="369"/>
      <c r="Z638" s="528"/>
      <c r="AA638" s="21"/>
      <c r="AB638" s="21"/>
      <c r="AC638" s="21"/>
      <c r="AD638" s="21"/>
      <c r="AE638" s="21"/>
      <c r="AF638" s="21"/>
      <c r="AG638" s="369"/>
      <c r="AH638" s="369"/>
      <c r="AI638" s="369"/>
      <c r="AJ638" s="369"/>
      <c r="AK638" s="369"/>
      <c r="AL638" s="369"/>
      <c r="AM638" s="450">
        <f t="shared" si="869"/>
        <v>0</v>
      </c>
      <c r="AN638" s="21"/>
      <c r="AO638" s="21"/>
      <c r="AP638" s="21"/>
      <c r="AQ638" s="21"/>
      <c r="AR638" s="23"/>
      <c r="AS638" s="21"/>
      <c r="AT638" s="21"/>
      <c r="AU638" s="369"/>
      <c r="AV638" s="369"/>
      <c r="AW638" s="21"/>
    </row>
    <row r="639" spans="1:49" x14ac:dyDescent="0.25">
      <c r="A639" s="535"/>
      <c r="L639" s="449">
        <f t="shared" si="870"/>
        <v>0</v>
      </c>
      <c r="M639" s="449"/>
      <c r="X639" s="535">
        <f t="shared" si="868"/>
        <v>0</v>
      </c>
      <c r="AM639" s="449">
        <f t="shared" si="869"/>
        <v>0</v>
      </c>
    </row>
    <row r="640" spans="1:49" x14ac:dyDescent="0.25">
      <c r="A640" s="535"/>
      <c r="L640" s="449">
        <f t="shared" si="870"/>
        <v>0</v>
      </c>
      <c r="M640" s="449"/>
      <c r="X640" s="535">
        <f t="shared" si="868"/>
        <v>0</v>
      </c>
      <c r="AM640" s="449">
        <f t="shared" si="869"/>
        <v>0</v>
      </c>
    </row>
    <row r="641" spans="1:49" x14ac:dyDescent="0.25">
      <c r="A641" s="535"/>
      <c r="L641" s="449">
        <f t="shared" si="870"/>
        <v>0</v>
      </c>
      <c r="M641" s="449"/>
      <c r="X641" s="535">
        <f t="shared" si="868"/>
        <v>0</v>
      </c>
      <c r="AM641" s="449">
        <f t="shared" si="869"/>
        <v>0</v>
      </c>
    </row>
    <row r="642" spans="1:49" x14ac:dyDescent="0.25">
      <c r="A642" s="535"/>
      <c r="L642" s="449">
        <f t="shared" si="870"/>
        <v>0</v>
      </c>
      <c r="M642" s="449"/>
      <c r="X642" s="535">
        <f t="shared" si="868"/>
        <v>0</v>
      </c>
      <c r="AM642" s="449">
        <f t="shared" si="869"/>
        <v>0</v>
      </c>
    </row>
    <row r="643" spans="1:49" x14ac:dyDescent="0.25">
      <c r="A643" s="535"/>
      <c r="L643" s="449">
        <f t="shared" si="870"/>
        <v>0</v>
      </c>
      <c r="M643" s="449"/>
      <c r="X643" s="535">
        <f t="shared" si="868"/>
        <v>0</v>
      </c>
      <c r="AM643" s="449">
        <f t="shared" si="869"/>
        <v>0</v>
      </c>
    </row>
    <row r="644" spans="1:49" x14ac:dyDescent="0.25">
      <c r="A644" s="535"/>
      <c r="L644" s="449">
        <f t="shared" si="870"/>
        <v>0</v>
      </c>
      <c r="M644" s="449"/>
      <c r="X644" s="535">
        <f t="shared" si="868"/>
        <v>0</v>
      </c>
      <c r="AM644" s="449">
        <f t="shared" si="869"/>
        <v>0</v>
      </c>
    </row>
    <row r="645" spans="1:49" x14ac:dyDescent="0.25">
      <c r="A645" s="535"/>
      <c r="L645" s="449">
        <f t="shared" si="870"/>
        <v>0</v>
      </c>
      <c r="M645" s="449"/>
      <c r="X645" s="535">
        <f t="shared" si="868"/>
        <v>0</v>
      </c>
      <c r="AM645" s="449">
        <f t="shared" si="869"/>
        <v>0</v>
      </c>
    </row>
    <row r="646" spans="1:49" x14ac:dyDescent="0.25">
      <c r="A646" s="535"/>
      <c r="L646" s="449">
        <f t="shared" si="870"/>
        <v>0</v>
      </c>
      <c r="M646" s="449"/>
      <c r="X646" s="535">
        <f t="shared" si="868"/>
        <v>0</v>
      </c>
      <c r="AM646" s="449">
        <f t="shared" si="869"/>
        <v>0</v>
      </c>
    </row>
    <row r="647" spans="1:49" x14ac:dyDescent="0.25">
      <c r="A647" s="535"/>
      <c r="L647" s="449">
        <f t="shared" si="870"/>
        <v>0</v>
      </c>
      <c r="M647" s="449"/>
      <c r="X647" s="535">
        <f t="shared" si="868"/>
        <v>0</v>
      </c>
      <c r="AM647" s="449">
        <f t="shared" si="869"/>
        <v>0</v>
      </c>
    </row>
    <row r="648" spans="1:49" x14ac:dyDescent="0.25">
      <c r="A648" s="535"/>
      <c r="L648" s="449">
        <f t="shared" si="870"/>
        <v>0</v>
      </c>
      <c r="M648" s="449"/>
      <c r="X648" s="535">
        <f t="shared" si="868"/>
        <v>0</v>
      </c>
      <c r="AM648" s="449">
        <f t="shared" si="869"/>
        <v>0</v>
      </c>
    </row>
    <row r="649" spans="1:49" x14ac:dyDescent="0.25">
      <c r="A649" s="535"/>
      <c r="L649" s="449">
        <f t="shared" si="870"/>
        <v>0</v>
      </c>
      <c r="M649" s="449"/>
      <c r="X649" s="535">
        <f t="shared" si="868"/>
        <v>0</v>
      </c>
      <c r="AM649" s="449">
        <f t="shared" si="869"/>
        <v>0</v>
      </c>
    </row>
    <row r="650" spans="1:49" ht="15.75" thickBot="1" x14ac:dyDescent="0.3">
      <c r="A650" s="538"/>
      <c r="B650" s="369"/>
      <c r="C650" s="21"/>
      <c r="D650" s="21"/>
      <c r="E650" s="21"/>
      <c r="F650" s="21"/>
      <c r="G650" s="21"/>
      <c r="H650" s="21"/>
      <c r="I650" s="369"/>
      <c r="J650" s="369"/>
      <c r="K650" s="369"/>
      <c r="L650" s="450">
        <f t="shared" si="870"/>
        <v>0</v>
      </c>
      <c r="M650" s="450"/>
      <c r="N650" s="369"/>
      <c r="O650" s="21"/>
      <c r="P650" s="21"/>
      <c r="Q650" s="21"/>
      <c r="R650" s="21"/>
      <c r="S650" s="21"/>
      <c r="T650" s="21"/>
      <c r="U650" s="369"/>
      <c r="V650" s="369"/>
      <c r="W650" s="369"/>
      <c r="X650" s="538">
        <f t="shared" si="868"/>
        <v>0</v>
      </c>
      <c r="Y650" s="369"/>
      <c r="Z650" s="528"/>
      <c r="AA650" s="21"/>
      <c r="AB650" s="21"/>
      <c r="AC650" s="21"/>
      <c r="AD650" s="21"/>
      <c r="AE650" s="21"/>
      <c r="AF650" s="21"/>
      <c r="AG650" s="369"/>
      <c r="AH650" s="369"/>
      <c r="AI650" s="369"/>
      <c r="AJ650" s="369"/>
      <c r="AK650" s="369"/>
      <c r="AL650" s="369"/>
      <c r="AM650" s="450">
        <f t="shared" si="869"/>
        <v>0</v>
      </c>
      <c r="AN650" s="21"/>
      <c r="AO650" s="21"/>
      <c r="AP650" s="21"/>
      <c r="AQ650" s="21"/>
      <c r="AR650" s="23"/>
      <c r="AS650" s="21"/>
      <c r="AT650" s="21"/>
      <c r="AU650" s="369"/>
      <c r="AV650" s="369"/>
      <c r="AW650" s="21"/>
    </row>
    <row r="651" spans="1:49" x14ac:dyDescent="0.25">
      <c r="A651" s="535"/>
      <c r="L651" s="449">
        <f t="shared" si="870"/>
        <v>0</v>
      </c>
      <c r="M651" s="449"/>
      <c r="X651" s="535">
        <f t="shared" si="868"/>
        <v>0</v>
      </c>
      <c r="AM651" s="449">
        <f t="shared" si="869"/>
        <v>0</v>
      </c>
    </row>
    <row r="652" spans="1:49" x14ac:dyDescent="0.25">
      <c r="A652" s="535"/>
      <c r="L652" s="449">
        <f t="shared" si="870"/>
        <v>0</v>
      </c>
      <c r="M652" s="449"/>
      <c r="X652" s="535">
        <f t="shared" si="868"/>
        <v>0</v>
      </c>
      <c r="AM652" s="449">
        <f t="shared" si="869"/>
        <v>0</v>
      </c>
    </row>
    <row r="653" spans="1:49" x14ac:dyDescent="0.25">
      <c r="A653" s="535"/>
      <c r="L653" s="449">
        <f t="shared" si="870"/>
        <v>0</v>
      </c>
      <c r="M653" s="449"/>
      <c r="X653" s="535">
        <f t="shared" si="868"/>
        <v>0</v>
      </c>
      <c r="AM653" s="449">
        <f t="shared" si="869"/>
        <v>0</v>
      </c>
    </row>
    <row r="654" spans="1:49" x14ac:dyDescent="0.25">
      <c r="A654" s="535"/>
      <c r="L654" s="449">
        <f t="shared" si="870"/>
        <v>0</v>
      </c>
      <c r="M654" s="449"/>
      <c r="X654" s="535">
        <f t="shared" si="868"/>
        <v>0</v>
      </c>
      <c r="AM654" s="449">
        <f t="shared" si="869"/>
        <v>0</v>
      </c>
    </row>
    <row r="655" spans="1:49" x14ac:dyDescent="0.25">
      <c r="A655" s="535"/>
      <c r="L655" s="449">
        <f t="shared" si="870"/>
        <v>0</v>
      </c>
      <c r="M655" s="449"/>
      <c r="X655" s="535">
        <f t="shared" si="868"/>
        <v>0</v>
      </c>
      <c r="AM655" s="449">
        <f t="shared" si="869"/>
        <v>0</v>
      </c>
    </row>
    <row r="656" spans="1:49" x14ac:dyDescent="0.25">
      <c r="A656" s="535"/>
      <c r="L656" s="449">
        <f t="shared" si="870"/>
        <v>0</v>
      </c>
      <c r="M656" s="449"/>
      <c r="X656" s="535">
        <f t="shared" ref="X656:X719" si="871">+A656</f>
        <v>0</v>
      </c>
      <c r="AM656" s="449">
        <f t="shared" ref="AM656:AM719" si="872">+L656</f>
        <v>0</v>
      </c>
    </row>
    <row r="657" spans="1:49" x14ac:dyDescent="0.25">
      <c r="A657" s="535"/>
      <c r="L657" s="449">
        <f t="shared" si="870"/>
        <v>0</v>
      </c>
      <c r="M657" s="449"/>
      <c r="X657" s="535">
        <f t="shared" si="871"/>
        <v>0</v>
      </c>
      <c r="AM657" s="449">
        <f t="shared" si="872"/>
        <v>0</v>
      </c>
    </row>
    <row r="658" spans="1:49" x14ac:dyDescent="0.25">
      <c r="A658" s="535"/>
      <c r="L658" s="449">
        <f t="shared" si="870"/>
        <v>0</v>
      </c>
      <c r="M658" s="449"/>
      <c r="X658" s="535">
        <f t="shared" si="871"/>
        <v>0</v>
      </c>
      <c r="AM658" s="449">
        <f t="shared" si="872"/>
        <v>0</v>
      </c>
    </row>
    <row r="659" spans="1:49" x14ac:dyDescent="0.25">
      <c r="A659" s="535"/>
      <c r="L659" s="449">
        <f t="shared" si="870"/>
        <v>0</v>
      </c>
      <c r="M659" s="449"/>
      <c r="X659" s="535">
        <f t="shared" si="871"/>
        <v>0</v>
      </c>
      <c r="AM659" s="449">
        <f t="shared" si="872"/>
        <v>0</v>
      </c>
    </row>
    <row r="660" spans="1:49" x14ac:dyDescent="0.25">
      <c r="A660" s="535"/>
      <c r="L660" s="449">
        <f t="shared" si="870"/>
        <v>0</v>
      </c>
      <c r="M660" s="449"/>
      <c r="X660" s="535">
        <f t="shared" si="871"/>
        <v>0</v>
      </c>
      <c r="AM660" s="449">
        <f t="shared" si="872"/>
        <v>0</v>
      </c>
    </row>
    <row r="661" spans="1:49" x14ac:dyDescent="0.25">
      <c r="A661" s="535"/>
      <c r="L661" s="449">
        <f t="shared" si="870"/>
        <v>0</v>
      </c>
      <c r="M661" s="449"/>
      <c r="X661" s="535">
        <f t="shared" si="871"/>
        <v>0</v>
      </c>
      <c r="AM661" s="449">
        <f t="shared" si="872"/>
        <v>0</v>
      </c>
    </row>
    <row r="662" spans="1:49" ht="15.75" thickBot="1" x14ac:dyDescent="0.3">
      <c r="A662" s="538"/>
      <c r="B662" s="369"/>
      <c r="C662" s="21"/>
      <c r="D662" s="21"/>
      <c r="E662" s="21"/>
      <c r="F662" s="21"/>
      <c r="G662" s="21"/>
      <c r="H662" s="21"/>
      <c r="I662" s="369"/>
      <c r="J662" s="369"/>
      <c r="K662" s="369"/>
      <c r="L662" s="450">
        <f t="shared" si="870"/>
        <v>0</v>
      </c>
      <c r="M662" s="450"/>
      <c r="N662" s="369"/>
      <c r="O662" s="21"/>
      <c r="P662" s="21"/>
      <c r="Q662" s="21"/>
      <c r="R662" s="21"/>
      <c r="S662" s="21"/>
      <c r="T662" s="21"/>
      <c r="U662" s="369"/>
      <c r="V662" s="369"/>
      <c r="W662" s="369"/>
      <c r="X662" s="538">
        <f t="shared" si="871"/>
        <v>0</v>
      </c>
      <c r="Y662" s="369"/>
      <c r="Z662" s="528"/>
      <c r="AA662" s="21"/>
      <c r="AB662" s="21"/>
      <c r="AC662" s="21"/>
      <c r="AD662" s="21"/>
      <c r="AE662" s="21"/>
      <c r="AF662" s="21"/>
      <c r="AG662" s="369"/>
      <c r="AH662" s="369"/>
      <c r="AI662" s="369"/>
      <c r="AJ662" s="369"/>
      <c r="AK662" s="369"/>
      <c r="AL662" s="369"/>
      <c r="AM662" s="450">
        <f t="shared" si="872"/>
        <v>0</v>
      </c>
      <c r="AN662" s="21"/>
      <c r="AO662" s="21"/>
      <c r="AP662" s="21"/>
      <c r="AQ662" s="21"/>
      <c r="AR662" s="23"/>
      <c r="AS662" s="21"/>
      <c r="AT662" s="21"/>
      <c r="AU662" s="369"/>
      <c r="AV662" s="369"/>
      <c r="AW662" s="21"/>
    </row>
    <row r="663" spans="1:49" x14ac:dyDescent="0.25">
      <c r="A663" s="535"/>
      <c r="L663" s="449">
        <f t="shared" si="870"/>
        <v>0</v>
      </c>
      <c r="M663" s="449"/>
      <c r="X663" s="535">
        <f t="shared" si="871"/>
        <v>0</v>
      </c>
      <c r="AM663" s="449">
        <f t="shared" si="872"/>
        <v>0</v>
      </c>
    </row>
    <row r="664" spans="1:49" x14ac:dyDescent="0.25">
      <c r="A664" s="535"/>
      <c r="L664" s="449">
        <f t="shared" si="870"/>
        <v>0</v>
      </c>
      <c r="M664" s="449"/>
      <c r="X664" s="535">
        <f t="shared" si="871"/>
        <v>0</v>
      </c>
      <c r="AM664" s="449">
        <f t="shared" si="872"/>
        <v>0</v>
      </c>
    </row>
    <row r="665" spans="1:49" x14ac:dyDescent="0.25">
      <c r="A665" s="535"/>
      <c r="L665" s="449">
        <f t="shared" si="870"/>
        <v>0</v>
      </c>
      <c r="M665" s="449"/>
      <c r="X665" s="535">
        <f t="shared" si="871"/>
        <v>0</v>
      </c>
      <c r="AM665" s="449">
        <f t="shared" si="872"/>
        <v>0</v>
      </c>
    </row>
    <row r="666" spans="1:49" x14ac:dyDescent="0.25">
      <c r="A666" s="535"/>
      <c r="L666" s="449">
        <f t="shared" si="870"/>
        <v>0</v>
      </c>
      <c r="M666" s="449"/>
      <c r="X666" s="535">
        <f t="shared" si="871"/>
        <v>0</v>
      </c>
      <c r="AM666" s="449">
        <f t="shared" si="872"/>
        <v>0</v>
      </c>
    </row>
    <row r="667" spans="1:49" x14ac:dyDescent="0.25">
      <c r="A667" s="535"/>
      <c r="L667" s="449">
        <f t="shared" si="870"/>
        <v>0</v>
      </c>
      <c r="M667" s="449"/>
      <c r="X667" s="535">
        <f t="shared" si="871"/>
        <v>0</v>
      </c>
      <c r="AM667" s="449">
        <f t="shared" si="872"/>
        <v>0</v>
      </c>
    </row>
    <row r="668" spans="1:49" x14ac:dyDescent="0.25">
      <c r="A668" s="535"/>
      <c r="L668" s="449">
        <f t="shared" si="870"/>
        <v>0</v>
      </c>
      <c r="M668" s="449"/>
      <c r="X668" s="535">
        <f t="shared" si="871"/>
        <v>0</v>
      </c>
      <c r="AM668" s="449">
        <f t="shared" si="872"/>
        <v>0</v>
      </c>
    </row>
    <row r="669" spans="1:49" x14ac:dyDescent="0.25">
      <c r="A669" s="535"/>
      <c r="L669" s="449">
        <f t="shared" si="870"/>
        <v>0</v>
      </c>
      <c r="M669" s="449"/>
      <c r="X669" s="535">
        <f t="shared" si="871"/>
        <v>0</v>
      </c>
      <c r="AM669" s="449">
        <f t="shared" si="872"/>
        <v>0</v>
      </c>
    </row>
    <row r="670" spans="1:49" x14ac:dyDescent="0.25">
      <c r="A670" s="535"/>
      <c r="L670" s="449">
        <f t="shared" si="870"/>
        <v>0</v>
      </c>
      <c r="M670" s="449"/>
      <c r="X670" s="535">
        <f t="shared" si="871"/>
        <v>0</v>
      </c>
      <c r="AM670" s="449">
        <f t="shared" si="872"/>
        <v>0</v>
      </c>
    </row>
    <row r="671" spans="1:49" x14ac:dyDescent="0.25">
      <c r="A671" s="535"/>
      <c r="L671" s="449">
        <f t="shared" si="870"/>
        <v>0</v>
      </c>
      <c r="M671" s="449"/>
      <c r="X671" s="535">
        <f t="shared" si="871"/>
        <v>0</v>
      </c>
      <c r="AM671" s="449">
        <f t="shared" si="872"/>
        <v>0</v>
      </c>
    </row>
    <row r="672" spans="1:49" x14ac:dyDescent="0.25">
      <c r="A672" s="535"/>
      <c r="L672" s="449">
        <f t="shared" si="870"/>
        <v>0</v>
      </c>
      <c r="M672" s="449"/>
      <c r="X672" s="535">
        <f t="shared" si="871"/>
        <v>0</v>
      </c>
      <c r="AM672" s="449">
        <f t="shared" si="872"/>
        <v>0</v>
      </c>
    </row>
    <row r="673" spans="1:49" x14ac:dyDescent="0.25">
      <c r="A673" s="535"/>
      <c r="L673" s="449">
        <f t="shared" si="870"/>
        <v>0</v>
      </c>
      <c r="M673" s="449"/>
      <c r="X673" s="535">
        <f t="shared" si="871"/>
        <v>0</v>
      </c>
      <c r="AM673" s="449">
        <f t="shared" si="872"/>
        <v>0</v>
      </c>
    </row>
    <row r="674" spans="1:49" ht="15.75" thickBot="1" x14ac:dyDescent="0.3">
      <c r="A674" s="538"/>
      <c r="B674" s="369"/>
      <c r="C674" s="21"/>
      <c r="D674" s="21"/>
      <c r="E674" s="21"/>
      <c r="F674" s="21"/>
      <c r="G674" s="21"/>
      <c r="H674" s="21"/>
      <c r="I674" s="369"/>
      <c r="J674" s="369"/>
      <c r="K674" s="369"/>
      <c r="L674" s="450">
        <f t="shared" si="870"/>
        <v>0</v>
      </c>
      <c r="M674" s="450"/>
      <c r="N674" s="369"/>
      <c r="O674" s="21"/>
      <c r="P674" s="21"/>
      <c r="Q674" s="21"/>
      <c r="R674" s="21"/>
      <c r="S674" s="21"/>
      <c r="T674" s="21"/>
      <c r="U674" s="369"/>
      <c r="V674" s="369"/>
      <c r="W674" s="369"/>
      <c r="X674" s="538">
        <f t="shared" si="871"/>
        <v>0</v>
      </c>
      <c r="Y674" s="369"/>
      <c r="Z674" s="528"/>
      <c r="AA674" s="21"/>
      <c r="AB674" s="21"/>
      <c r="AC674" s="21"/>
      <c r="AD674" s="21"/>
      <c r="AE674" s="21"/>
      <c r="AF674" s="21"/>
      <c r="AG674" s="369"/>
      <c r="AH674" s="369"/>
      <c r="AI674" s="369"/>
      <c r="AJ674" s="369"/>
      <c r="AK674" s="369"/>
      <c r="AL674" s="369"/>
      <c r="AM674" s="450">
        <f t="shared" si="872"/>
        <v>0</v>
      </c>
      <c r="AN674" s="21"/>
      <c r="AO674" s="21"/>
      <c r="AP674" s="21"/>
      <c r="AQ674" s="21"/>
      <c r="AR674" s="23"/>
      <c r="AS674" s="21"/>
      <c r="AT674" s="21"/>
      <c r="AU674" s="369"/>
      <c r="AV674" s="369"/>
      <c r="AW674" s="21"/>
    </row>
    <row r="675" spans="1:49" x14ac:dyDescent="0.25">
      <c r="A675" s="535"/>
      <c r="L675" s="449">
        <f t="shared" si="870"/>
        <v>0</v>
      </c>
      <c r="M675" s="449"/>
      <c r="X675" s="535">
        <f t="shared" si="871"/>
        <v>0</v>
      </c>
      <c r="AM675" s="449">
        <f t="shared" si="872"/>
        <v>0</v>
      </c>
    </row>
    <row r="676" spans="1:49" x14ac:dyDescent="0.25">
      <c r="A676" s="535"/>
      <c r="L676" s="449">
        <f t="shared" si="870"/>
        <v>0</v>
      </c>
      <c r="M676" s="449"/>
      <c r="X676" s="535">
        <f t="shared" si="871"/>
        <v>0</v>
      </c>
      <c r="AM676" s="449">
        <f t="shared" si="872"/>
        <v>0</v>
      </c>
    </row>
    <row r="677" spans="1:49" x14ac:dyDescent="0.25">
      <c r="A677" s="535"/>
      <c r="L677" s="449">
        <f t="shared" si="870"/>
        <v>0</v>
      </c>
      <c r="M677" s="449"/>
      <c r="X677" s="535">
        <f t="shared" si="871"/>
        <v>0</v>
      </c>
      <c r="AM677" s="449">
        <f t="shared" si="872"/>
        <v>0</v>
      </c>
    </row>
    <row r="678" spans="1:49" x14ac:dyDescent="0.25">
      <c r="A678" s="535"/>
      <c r="L678" s="449">
        <f t="shared" si="870"/>
        <v>0</v>
      </c>
      <c r="M678" s="449"/>
      <c r="X678" s="535">
        <f t="shared" si="871"/>
        <v>0</v>
      </c>
      <c r="AM678" s="449">
        <f t="shared" si="872"/>
        <v>0</v>
      </c>
    </row>
    <row r="679" spans="1:49" x14ac:dyDescent="0.25">
      <c r="A679" s="535"/>
      <c r="L679" s="449">
        <f t="shared" si="870"/>
        <v>0</v>
      </c>
      <c r="M679" s="449"/>
      <c r="X679" s="535">
        <f t="shared" si="871"/>
        <v>0</v>
      </c>
      <c r="AM679" s="449">
        <f t="shared" si="872"/>
        <v>0</v>
      </c>
    </row>
    <row r="680" spans="1:49" x14ac:dyDescent="0.25">
      <c r="A680" s="535"/>
      <c r="L680" s="449">
        <f t="shared" si="870"/>
        <v>0</v>
      </c>
      <c r="M680" s="449"/>
      <c r="X680" s="535">
        <f t="shared" si="871"/>
        <v>0</v>
      </c>
      <c r="AM680" s="449">
        <f t="shared" si="872"/>
        <v>0</v>
      </c>
    </row>
    <row r="681" spans="1:49" x14ac:dyDescent="0.25">
      <c r="A681" s="535"/>
      <c r="L681" s="449">
        <f t="shared" si="870"/>
        <v>0</v>
      </c>
      <c r="M681" s="449"/>
      <c r="X681" s="535">
        <f t="shared" si="871"/>
        <v>0</v>
      </c>
      <c r="AM681" s="449">
        <f t="shared" si="872"/>
        <v>0</v>
      </c>
    </row>
    <row r="682" spans="1:49" x14ac:dyDescent="0.25">
      <c r="A682" s="535"/>
      <c r="L682" s="449">
        <f t="shared" si="870"/>
        <v>0</v>
      </c>
      <c r="M682" s="449"/>
      <c r="X682" s="535">
        <f t="shared" si="871"/>
        <v>0</v>
      </c>
      <c r="AM682" s="449">
        <f t="shared" si="872"/>
        <v>0</v>
      </c>
    </row>
    <row r="683" spans="1:49" x14ac:dyDescent="0.25">
      <c r="A683" s="535"/>
      <c r="L683" s="449">
        <f t="shared" si="870"/>
        <v>0</v>
      </c>
      <c r="M683" s="449"/>
      <c r="X683" s="535">
        <f t="shared" si="871"/>
        <v>0</v>
      </c>
      <c r="AM683" s="449">
        <f t="shared" si="872"/>
        <v>0</v>
      </c>
    </row>
    <row r="684" spans="1:49" x14ac:dyDescent="0.25">
      <c r="A684" s="535"/>
      <c r="L684" s="449">
        <f t="shared" si="870"/>
        <v>0</v>
      </c>
      <c r="M684" s="449"/>
      <c r="X684" s="535">
        <f t="shared" si="871"/>
        <v>0</v>
      </c>
      <c r="AM684" s="449">
        <f t="shared" si="872"/>
        <v>0</v>
      </c>
    </row>
    <row r="685" spans="1:49" x14ac:dyDescent="0.25">
      <c r="A685" s="535"/>
      <c r="L685" s="449">
        <f t="shared" si="870"/>
        <v>0</v>
      </c>
      <c r="M685" s="449"/>
      <c r="X685" s="535">
        <f t="shared" si="871"/>
        <v>0</v>
      </c>
      <c r="AM685" s="449">
        <f t="shared" si="872"/>
        <v>0</v>
      </c>
    </row>
    <row r="686" spans="1:49" ht="15.75" thickBot="1" x14ac:dyDescent="0.3">
      <c r="A686" s="538"/>
      <c r="B686" s="369"/>
      <c r="C686" s="21"/>
      <c r="D686" s="21"/>
      <c r="E686" s="21"/>
      <c r="F686" s="21"/>
      <c r="G686" s="21"/>
      <c r="H686" s="21"/>
      <c r="I686" s="369"/>
      <c r="J686" s="369"/>
      <c r="K686" s="369"/>
      <c r="L686" s="450">
        <f t="shared" si="870"/>
        <v>0</v>
      </c>
      <c r="M686" s="450"/>
      <c r="N686" s="369"/>
      <c r="O686" s="21"/>
      <c r="P686" s="21"/>
      <c r="Q686" s="21"/>
      <c r="R686" s="21"/>
      <c r="S686" s="21"/>
      <c r="T686" s="21"/>
      <c r="U686" s="369"/>
      <c r="V686" s="369"/>
      <c r="W686" s="369"/>
      <c r="X686" s="538">
        <f t="shared" si="871"/>
        <v>0</v>
      </c>
      <c r="Y686" s="369"/>
      <c r="Z686" s="528"/>
      <c r="AA686" s="21"/>
      <c r="AB686" s="21"/>
      <c r="AC686" s="21"/>
      <c r="AD686" s="21"/>
      <c r="AE686" s="21"/>
      <c r="AF686" s="21"/>
      <c r="AG686" s="369"/>
      <c r="AH686" s="369"/>
      <c r="AI686" s="369"/>
      <c r="AJ686" s="369"/>
      <c r="AK686" s="369"/>
      <c r="AL686" s="369"/>
      <c r="AM686" s="450">
        <f t="shared" si="872"/>
        <v>0</v>
      </c>
      <c r="AN686" s="21"/>
      <c r="AO686" s="21"/>
      <c r="AP686" s="21"/>
      <c r="AQ686" s="21"/>
      <c r="AR686" s="23"/>
      <c r="AS686" s="21"/>
      <c r="AT686" s="21"/>
      <c r="AU686" s="369"/>
      <c r="AV686" s="369"/>
      <c r="AW686" s="21"/>
    </row>
    <row r="687" spans="1:49" x14ac:dyDescent="0.25">
      <c r="A687" s="535"/>
      <c r="L687" s="449">
        <f t="shared" ref="L687:L750" si="873">IF(MOD(M687,12)=0,M687/12,L686)</f>
        <v>0</v>
      </c>
      <c r="M687" s="449"/>
      <c r="X687" s="535">
        <f t="shared" si="871"/>
        <v>0</v>
      </c>
      <c r="AM687" s="449">
        <f t="shared" si="872"/>
        <v>0</v>
      </c>
    </row>
    <row r="688" spans="1:49" x14ac:dyDescent="0.25">
      <c r="A688" s="535"/>
      <c r="L688" s="449">
        <f t="shared" si="873"/>
        <v>0</v>
      </c>
      <c r="M688" s="449"/>
      <c r="X688" s="535">
        <f t="shared" si="871"/>
        <v>0</v>
      </c>
      <c r="AM688" s="449">
        <f t="shared" si="872"/>
        <v>0</v>
      </c>
    </row>
    <row r="689" spans="1:49" x14ac:dyDescent="0.25">
      <c r="A689" s="535"/>
      <c r="L689" s="449">
        <f t="shared" si="873"/>
        <v>0</v>
      </c>
      <c r="M689" s="449"/>
      <c r="X689" s="535">
        <f t="shared" si="871"/>
        <v>0</v>
      </c>
      <c r="AM689" s="449">
        <f t="shared" si="872"/>
        <v>0</v>
      </c>
    </row>
    <row r="690" spans="1:49" x14ac:dyDescent="0.25">
      <c r="A690" s="535"/>
      <c r="L690" s="449">
        <f t="shared" si="873"/>
        <v>0</v>
      </c>
      <c r="M690" s="449"/>
      <c r="X690" s="535">
        <f t="shared" si="871"/>
        <v>0</v>
      </c>
      <c r="AM690" s="449">
        <f t="shared" si="872"/>
        <v>0</v>
      </c>
    </row>
    <row r="691" spans="1:49" x14ac:dyDescent="0.25">
      <c r="A691" s="535"/>
      <c r="L691" s="449">
        <f t="shared" si="873"/>
        <v>0</v>
      </c>
      <c r="M691" s="449"/>
      <c r="X691" s="535">
        <f t="shared" si="871"/>
        <v>0</v>
      </c>
      <c r="AM691" s="449">
        <f t="shared" si="872"/>
        <v>0</v>
      </c>
    </row>
    <row r="692" spans="1:49" x14ac:dyDescent="0.25">
      <c r="A692" s="535"/>
      <c r="L692" s="449">
        <f t="shared" si="873"/>
        <v>0</v>
      </c>
      <c r="M692" s="449"/>
      <c r="X692" s="535">
        <f t="shared" si="871"/>
        <v>0</v>
      </c>
      <c r="AM692" s="449">
        <f t="shared" si="872"/>
        <v>0</v>
      </c>
    </row>
    <row r="693" spans="1:49" x14ac:dyDescent="0.25">
      <c r="A693" s="535"/>
      <c r="L693" s="449">
        <f t="shared" si="873"/>
        <v>0</v>
      </c>
      <c r="M693" s="449"/>
      <c r="X693" s="535">
        <f t="shared" si="871"/>
        <v>0</v>
      </c>
      <c r="AM693" s="449">
        <f t="shared" si="872"/>
        <v>0</v>
      </c>
    </row>
    <row r="694" spans="1:49" x14ac:dyDescent="0.25">
      <c r="A694" s="535"/>
      <c r="L694" s="449">
        <f t="shared" si="873"/>
        <v>0</v>
      </c>
      <c r="M694" s="449"/>
      <c r="X694" s="535">
        <f t="shared" si="871"/>
        <v>0</v>
      </c>
      <c r="AM694" s="449">
        <f t="shared" si="872"/>
        <v>0</v>
      </c>
    </row>
    <row r="695" spans="1:49" x14ac:dyDescent="0.25">
      <c r="A695" s="535"/>
      <c r="L695" s="449">
        <f t="shared" si="873"/>
        <v>0</v>
      </c>
      <c r="M695" s="449"/>
      <c r="X695" s="535">
        <f t="shared" si="871"/>
        <v>0</v>
      </c>
      <c r="AM695" s="449">
        <f t="shared" si="872"/>
        <v>0</v>
      </c>
    </row>
    <row r="696" spans="1:49" x14ac:dyDescent="0.25">
      <c r="A696" s="535"/>
      <c r="L696" s="449">
        <f t="shared" si="873"/>
        <v>0</v>
      </c>
      <c r="M696" s="449"/>
      <c r="X696" s="535">
        <f t="shared" si="871"/>
        <v>0</v>
      </c>
      <c r="AM696" s="449">
        <f t="shared" si="872"/>
        <v>0</v>
      </c>
    </row>
    <row r="697" spans="1:49" x14ac:dyDescent="0.25">
      <c r="A697" s="535"/>
      <c r="L697" s="449">
        <f t="shared" si="873"/>
        <v>0</v>
      </c>
      <c r="M697" s="449"/>
      <c r="X697" s="535">
        <f t="shared" si="871"/>
        <v>0</v>
      </c>
      <c r="AM697" s="449">
        <f t="shared" si="872"/>
        <v>0</v>
      </c>
    </row>
    <row r="698" spans="1:49" ht="15.75" thickBot="1" x14ac:dyDescent="0.3">
      <c r="A698" s="538"/>
      <c r="B698" s="369"/>
      <c r="C698" s="21"/>
      <c r="D698" s="21"/>
      <c r="E698" s="21"/>
      <c r="F698" s="21"/>
      <c r="G698" s="21"/>
      <c r="H698" s="21"/>
      <c r="I698" s="369"/>
      <c r="J698" s="369"/>
      <c r="K698" s="369"/>
      <c r="L698" s="450">
        <f t="shared" si="873"/>
        <v>0</v>
      </c>
      <c r="M698" s="450"/>
      <c r="N698" s="369"/>
      <c r="O698" s="21"/>
      <c r="P698" s="21"/>
      <c r="Q698" s="21"/>
      <c r="R698" s="21"/>
      <c r="S698" s="21"/>
      <c r="T698" s="21"/>
      <c r="U698" s="369"/>
      <c r="V698" s="369"/>
      <c r="W698" s="369"/>
      <c r="X698" s="538">
        <f t="shared" si="871"/>
        <v>0</v>
      </c>
      <c r="Y698" s="369"/>
      <c r="Z698" s="528"/>
      <c r="AA698" s="21"/>
      <c r="AB698" s="21"/>
      <c r="AC698" s="21"/>
      <c r="AD698" s="21"/>
      <c r="AE698" s="21"/>
      <c r="AF698" s="21"/>
      <c r="AG698" s="369"/>
      <c r="AH698" s="369"/>
      <c r="AI698" s="369"/>
      <c r="AJ698" s="369"/>
      <c r="AK698" s="369"/>
      <c r="AL698" s="369"/>
      <c r="AM698" s="450">
        <f t="shared" si="872"/>
        <v>0</v>
      </c>
      <c r="AN698" s="21"/>
      <c r="AO698" s="21"/>
      <c r="AP698" s="21"/>
      <c r="AQ698" s="21"/>
      <c r="AR698" s="23"/>
      <c r="AS698" s="21"/>
      <c r="AT698" s="21"/>
      <c r="AU698" s="369"/>
      <c r="AV698" s="369"/>
      <c r="AW698" s="21"/>
    </row>
    <row r="699" spans="1:49" x14ac:dyDescent="0.25">
      <c r="A699" s="535"/>
      <c r="L699" s="449">
        <f t="shared" si="873"/>
        <v>0</v>
      </c>
      <c r="M699" s="449"/>
      <c r="X699" s="535">
        <f t="shared" si="871"/>
        <v>0</v>
      </c>
      <c r="AM699" s="449">
        <f t="shared" si="872"/>
        <v>0</v>
      </c>
    </row>
    <row r="700" spans="1:49" x14ac:dyDescent="0.25">
      <c r="A700" s="535"/>
      <c r="L700" s="449">
        <f t="shared" si="873"/>
        <v>0</v>
      </c>
      <c r="M700" s="449"/>
      <c r="X700" s="535">
        <f t="shared" si="871"/>
        <v>0</v>
      </c>
      <c r="AM700" s="449">
        <f t="shared" si="872"/>
        <v>0</v>
      </c>
    </row>
    <row r="701" spans="1:49" x14ac:dyDescent="0.25">
      <c r="A701" s="535"/>
      <c r="L701" s="449">
        <f t="shared" si="873"/>
        <v>0</v>
      </c>
      <c r="M701" s="449"/>
      <c r="X701" s="535">
        <f t="shared" si="871"/>
        <v>0</v>
      </c>
      <c r="AM701" s="449">
        <f t="shared" si="872"/>
        <v>0</v>
      </c>
    </row>
    <row r="702" spans="1:49" x14ac:dyDescent="0.25">
      <c r="A702" s="535"/>
      <c r="L702" s="449">
        <f t="shared" si="873"/>
        <v>0</v>
      </c>
      <c r="M702" s="449"/>
      <c r="X702" s="535">
        <f t="shared" si="871"/>
        <v>0</v>
      </c>
      <c r="AM702" s="449">
        <f t="shared" si="872"/>
        <v>0</v>
      </c>
    </row>
    <row r="703" spans="1:49" x14ac:dyDescent="0.25">
      <c r="A703" s="535"/>
      <c r="L703" s="449">
        <f t="shared" si="873"/>
        <v>0</v>
      </c>
      <c r="M703" s="449"/>
      <c r="X703" s="535">
        <f t="shared" si="871"/>
        <v>0</v>
      </c>
      <c r="AM703" s="449">
        <f t="shared" si="872"/>
        <v>0</v>
      </c>
    </row>
    <row r="704" spans="1:49" x14ac:dyDescent="0.25">
      <c r="A704" s="535"/>
      <c r="L704" s="449">
        <f t="shared" si="873"/>
        <v>0</v>
      </c>
      <c r="M704" s="449"/>
      <c r="X704" s="535">
        <f t="shared" si="871"/>
        <v>0</v>
      </c>
      <c r="AM704" s="449">
        <f t="shared" si="872"/>
        <v>0</v>
      </c>
    </row>
    <row r="705" spans="1:49" x14ac:dyDescent="0.25">
      <c r="A705" s="535"/>
      <c r="L705" s="449">
        <f t="shared" si="873"/>
        <v>0</v>
      </c>
      <c r="M705" s="449"/>
      <c r="X705" s="535">
        <f t="shared" si="871"/>
        <v>0</v>
      </c>
      <c r="AM705" s="449">
        <f t="shared" si="872"/>
        <v>0</v>
      </c>
    </row>
    <row r="706" spans="1:49" x14ac:dyDescent="0.25">
      <c r="A706" s="535"/>
      <c r="L706" s="449">
        <f t="shared" si="873"/>
        <v>0</v>
      </c>
      <c r="M706" s="449"/>
      <c r="X706" s="535">
        <f t="shared" si="871"/>
        <v>0</v>
      </c>
      <c r="AM706" s="449">
        <f t="shared" si="872"/>
        <v>0</v>
      </c>
    </row>
    <row r="707" spans="1:49" x14ac:dyDescent="0.25">
      <c r="A707" s="535"/>
      <c r="L707" s="449">
        <f t="shared" si="873"/>
        <v>0</v>
      </c>
      <c r="M707" s="449"/>
      <c r="X707" s="535">
        <f t="shared" si="871"/>
        <v>0</v>
      </c>
      <c r="AM707" s="449">
        <f t="shared" si="872"/>
        <v>0</v>
      </c>
    </row>
    <row r="708" spans="1:49" x14ac:dyDescent="0.25">
      <c r="A708" s="535"/>
      <c r="L708" s="449">
        <f t="shared" si="873"/>
        <v>0</v>
      </c>
      <c r="M708" s="449"/>
      <c r="X708" s="535">
        <f t="shared" si="871"/>
        <v>0</v>
      </c>
      <c r="AM708" s="449">
        <f t="shared" si="872"/>
        <v>0</v>
      </c>
    </row>
    <row r="709" spans="1:49" x14ac:dyDescent="0.25">
      <c r="A709" s="535"/>
      <c r="L709" s="449">
        <f t="shared" si="873"/>
        <v>0</v>
      </c>
      <c r="M709" s="449"/>
      <c r="X709" s="535">
        <f t="shared" si="871"/>
        <v>0</v>
      </c>
      <c r="AM709" s="449">
        <f t="shared" si="872"/>
        <v>0</v>
      </c>
    </row>
    <row r="710" spans="1:49" ht="15.75" thickBot="1" x14ac:dyDescent="0.3">
      <c r="A710" s="538"/>
      <c r="B710" s="369"/>
      <c r="C710" s="21"/>
      <c r="D710" s="21"/>
      <c r="E710" s="21"/>
      <c r="F710" s="21"/>
      <c r="G710" s="21"/>
      <c r="H710" s="21"/>
      <c r="I710" s="369"/>
      <c r="J710" s="369"/>
      <c r="K710" s="369"/>
      <c r="L710" s="450">
        <f t="shared" si="873"/>
        <v>0</v>
      </c>
      <c r="M710" s="450"/>
      <c r="N710" s="369"/>
      <c r="O710" s="21"/>
      <c r="P710" s="21"/>
      <c r="Q710" s="21"/>
      <c r="R710" s="21"/>
      <c r="S710" s="21"/>
      <c r="T710" s="21"/>
      <c r="U710" s="369"/>
      <c r="V710" s="369"/>
      <c r="W710" s="369"/>
      <c r="X710" s="538">
        <f t="shared" si="871"/>
        <v>0</v>
      </c>
      <c r="Y710" s="369"/>
      <c r="Z710" s="528"/>
      <c r="AA710" s="21"/>
      <c r="AB710" s="21"/>
      <c r="AC710" s="21"/>
      <c r="AD710" s="21"/>
      <c r="AE710" s="21"/>
      <c r="AF710" s="21"/>
      <c r="AG710" s="369"/>
      <c r="AH710" s="369"/>
      <c r="AI710" s="369"/>
      <c r="AJ710" s="369"/>
      <c r="AK710" s="369"/>
      <c r="AL710" s="369"/>
      <c r="AM710" s="450">
        <f t="shared" si="872"/>
        <v>0</v>
      </c>
      <c r="AN710" s="21"/>
      <c r="AO710" s="21"/>
      <c r="AP710" s="21"/>
      <c r="AQ710" s="21"/>
      <c r="AR710" s="23"/>
      <c r="AS710" s="21"/>
      <c r="AT710" s="21"/>
      <c r="AU710" s="369"/>
      <c r="AV710" s="369"/>
      <c r="AW710" s="21"/>
    </row>
    <row r="711" spans="1:49" x14ac:dyDescent="0.25">
      <c r="A711" s="535"/>
      <c r="L711" s="449">
        <f t="shared" si="873"/>
        <v>0</v>
      </c>
      <c r="M711" s="449"/>
      <c r="X711" s="535">
        <f t="shared" si="871"/>
        <v>0</v>
      </c>
      <c r="AM711" s="449">
        <f t="shared" si="872"/>
        <v>0</v>
      </c>
    </row>
    <row r="712" spans="1:49" x14ac:dyDescent="0.25">
      <c r="A712" s="535"/>
      <c r="L712" s="449">
        <f t="shared" si="873"/>
        <v>0</v>
      </c>
      <c r="M712" s="449"/>
      <c r="X712" s="535">
        <f t="shared" si="871"/>
        <v>0</v>
      </c>
      <c r="AM712" s="449">
        <f t="shared" si="872"/>
        <v>0</v>
      </c>
    </row>
    <row r="713" spans="1:49" x14ac:dyDescent="0.25">
      <c r="A713" s="535"/>
      <c r="L713" s="449">
        <f t="shared" si="873"/>
        <v>0</v>
      </c>
      <c r="M713" s="449"/>
      <c r="X713" s="535">
        <f t="shared" si="871"/>
        <v>0</v>
      </c>
      <c r="AM713" s="449">
        <f t="shared" si="872"/>
        <v>0</v>
      </c>
    </row>
    <row r="714" spans="1:49" x14ac:dyDescent="0.25">
      <c r="A714" s="535"/>
      <c r="L714" s="449">
        <f t="shared" si="873"/>
        <v>0</v>
      </c>
      <c r="M714" s="449"/>
      <c r="X714" s="535">
        <f t="shared" si="871"/>
        <v>0</v>
      </c>
      <c r="AM714" s="449">
        <f t="shared" si="872"/>
        <v>0</v>
      </c>
    </row>
    <row r="715" spans="1:49" x14ac:dyDescent="0.25">
      <c r="A715" s="535"/>
      <c r="L715" s="449">
        <f t="shared" si="873"/>
        <v>0</v>
      </c>
      <c r="M715" s="449"/>
      <c r="X715" s="535">
        <f t="shared" si="871"/>
        <v>0</v>
      </c>
      <c r="AM715" s="449">
        <f t="shared" si="872"/>
        <v>0</v>
      </c>
    </row>
    <row r="716" spans="1:49" x14ac:dyDescent="0.25">
      <c r="A716" s="535"/>
      <c r="L716" s="449">
        <f t="shared" si="873"/>
        <v>0</v>
      </c>
      <c r="M716" s="449"/>
      <c r="X716" s="535">
        <f t="shared" si="871"/>
        <v>0</v>
      </c>
      <c r="AM716" s="449">
        <f t="shared" si="872"/>
        <v>0</v>
      </c>
    </row>
    <row r="717" spans="1:49" x14ac:dyDescent="0.25">
      <c r="A717" s="535"/>
      <c r="L717" s="449">
        <f t="shared" si="873"/>
        <v>0</v>
      </c>
      <c r="M717" s="449"/>
      <c r="X717" s="535">
        <f t="shared" si="871"/>
        <v>0</v>
      </c>
      <c r="AM717" s="449">
        <f t="shared" si="872"/>
        <v>0</v>
      </c>
    </row>
    <row r="718" spans="1:49" x14ac:dyDescent="0.25">
      <c r="A718" s="535"/>
      <c r="L718" s="449">
        <f t="shared" si="873"/>
        <v>0</v>
      </c>
      <c r="M718" s="449"/>
      <c r="X718" s="535">
        <f t="shared" si="871"/>
        <v>0</v>
      </c>
      <c r="AM718" s="449">
        <f t="shared" si="872"/>
        <v>0</v>
      </c>
    </row>
    <row r="719" spans="1:49" x14ac:dyDescent="0.25">
      <c r="A719" s="535"/>
      <c r="L719" s="449">
        <f t="shared" si="873"/>
        <v>0</v>
      </c>
      <c r="M719" s="449"/>
      <c r="X719" s="535">
        <f t="shared" si="871"/>
        <v>0</v>
      </c>
      <c r="AM719" s="449">
        <f t="shared" si="872"/>
        <v>0</v>
      </c>
    </row>
    <row r="720" spans="1:49" x14ac:dyDescent="0.25">
      <c r="A720" s="535"/>
      <c r="L720" s="449">
        <f t="shared" si="873"/>
        <v>0</v>
      </c>
      <c r="M720" s="449"/>
      <c r="X720" s="535">
        <f t="shared" ref="X720:X782" si="874">+A720</f>
        <v>0</v>
      </c>
      <c r="AM720" s="449">
        <f t="shared" ref="AM720:AM723" si="875">+L720</f>
        <v>0</v>
      </c>
    </row>
    <row r="721" spans="1:49" x14ac:dyDescent="0.25">
      <c r="A721" s="535"/>
      <c r="L721" s="449">
        <f t="shared" si="873"/>
        <v>0</v>
      </c>
      <c r="M721" s="449"/>
      <c r="X721" s="535">
        <f t="shared" si="874"/>
        <v>0</v>
      </c>
      <c r="AM721" s="449">
        <f t="shared" si="875"/>
        <v>0</v>
      </c>
    </row>
    <row r="722" spans="1:49" ht="15.75" thickBot="1" x14ac:dyDescent="0.3">
      <c r="A722" s="538"/>
      <c r="B722" s="369"/>
      <c r="C722" s="21"/>
      <c r="D722" s="21"/>
      <c r="E722" s="21"/>
      <c r="F722" s="21"/>
      <c r="G722" s="21"/>
      <c r="H722" s="21"/>
      <c r="I722" s="369"/>
      <c r="J722" s="369"/>
      <c r="K722" s="369"/>
      <c r="L722" s="450">
        <f t="shared" si="873"/>
        <v>0</v>
      </c>
      <c r="M722" s="450"/>
      <c r="N722" s="369"/>
      <c r="O722" s="21"/>
      <c r="P722" s="21"/>
      <c r="Q722" s="21"/>
      <c r="R722" s="21"/>
      <c r="S722" s="21"/>
      <c r="T722" s="21"/>
      <c r="U722" s="369"/>
      <c r="V722" s="369"/>
      <c r="W722" s="369"/>
      <c r="X722" s="538">
        <f t="shared" si="874"/>
        <v>0</v>
      </c>
      <c r="Y722" s="369"/>
      <c r="Z722" s="528"/>
      <c r="AA722" s="21"/>
      <c r="AB722" s="21"/>
      <c r="AC722" s="21"/>
      <c r="AD722" s="21"/>
      <c r="AE722" s="21"/>
      <c r="AF722" s="21"/>
      <c r="AG722" s="369"/>
      <c r="AH722" s="369"/>
      <c r="AI722" s="369"/>
      <c r="AJ722" s="369"/>
      <c r="AK722" s="369"/>
      <c r="AL722" s="369"/>
      <c r="AM722" s="450">
        <f t="shared" si="875"/>
        <v>0</v>
      </c>
      <c r="AN722" s="21"/>
      <c r="AO722" s="21"/>
      <c r="AP722" s="21"/>
      <c r="AQ722" s="21"/>
      <c r="AR722" s="23"/>
      <c r="AS722" s="21"/>
      <c r="AT722" s="21"/>
      <c r="AU722" s="369"/>
      <c r="AV722" s="369"/>
      <c r="AW722" s="21"/>
    </row>
    <row r="723" spans="1:49" x14ac:dyDescent="0.25">
      <c r="A723" s="535"/>
      <c r="L723" s="449">
        <f t="shared" si="873"/>
        <v>0</v>
      </c>
      <c r="M723" s="449"/>
      <c r="X723" s="535">
        <f t="shared" si="874"/>
        <v>0</v>
      </c>
      <c r="AM723" s="449">
        <f t="shared" si="875"/>
        <v>0</v>
      </c>
    </row>
    <row r="724" spans="1:49" x14ac:dyDescent="0.25">
      <c r="A724" s="535"/>
      <c r="L724" s="449">
        <f t="shared" si="873"/>
        <v>0</v>
      </c>
      <c r="M724" s="449"/>
      <c r="X724" s="535">
        <f t="shared" si="874"/>
        <v>0</v>
      </c>
      <c r="AM724" s="449"/>
    </row>
    <row r="725" spans="1:49" x14ac:dyDescent="0.25">
      <c r="A725" s="535"/>
      <c r="L725" s="449">
        <f t="shared" si="873"/>
        <v>0</v>
      </c>
      <c r="M725" s="449"/>
      <c r="X725" s="535">
        <f t="shared" si="874"/>
        <v>0</v>
      </c>
      <c r="AM725" s="449"/>
    </row>
    <row r="726" spans="1:49" x14ac:dyDescent="0.25">
      <c r="A726" s="535"/>
      <c r="L726" s="449">
        <f t="shared" si="873"/>
        <v>0</v>
      </c>
      <c r="M726" s="449"/>
      <c r="X726" s="535">
        <f t="shared" si="874"/>
        <v>0</v>
      </c>
      <c r="AM726" s="449"/>
    </row>
    <row r="727" spans="1:49" x14ac:dyDescent="0.25">
      <c r="A727" s="535"/>
      <c r="L727" s="449">
        <f t="shared" si="873"/>
        <v>0</v>
      </c>
      <c r="M727" s="449"/>
      <c r="X727" s="535">
        <f t="shared" si="874"/>
        <v>0</v>
      </c>
      <c r="AM727" s="449"/>
    </row>
    <row r="728" spans="1:49" x14ac:dyDescent="0.25">
      <c r="A728" s="535"/>
      <c r="L728" s="449">
        <f t="shared" si="873"/>
        <v>0</v>
      </c>
      <c r="M728" s="449"/>
      <c r="X728" s="535">
        <f t="shared" si="874"/>
        <v>0</v>
      </c>
      <c r="AM728" s="449"/>
    </row>
    <row r="729" spans="1:49" x14ac:dyDescent="0.25">
      <c r="A729" s="535"/>
      <c r="L729" s="449">
        <f t="shared" si="873"/>
        <v>0</v>
      </c>
      <c r="M729" s="449"/>
      <c r="X729" s="535">
        <f t="shared" si="874"/>
        <v>0</v>
      </c>
      <c r="AM729" s="449"/>
    </row>
    <row r="730" spans="1:49" x14ac:dyDescent="0.25">
      <c r="A730" s="535"/>
      <c r="L730" s="449">
        <f t="shared" si="873"/>
        <v>0</v>
      </c>
      <c r="M730" s="449"/>
      <c r="X730" s="535">
        <f t="shared" si="874"/>
        <v>0</v>
      </c>
      <c r="AM730" s="449"/>
    </row>
    <row r="731" spans="1:49" x14ac:dyDescent="0.25">
      <c r="A731" s="535"/>
      <c r="L731" s="449">
        <f t="shared" si="873"/>
        <v>0</v>
      </c>
      <c r="M731" s="449"/>
      <c r="X731" s="535">
        <f t="shared" si="874"/>
        <v>0</v>
      </c>
      <c r="AM731" s="449"/>
    </row>
    <row r="732" spans="1:49" x14ac:dyDescent="0.25">
      <c r="A732" s="535"/>
      <c r="L732" s="449">
        <f t="shared" si="873"/>
        <v>0</v>
      </c>
      <c r="M732" s="449"/>
      <c r="X732" s="535">
        <f t="shared" si="874"/>
        <v>0</v>
      </c>
      <c r="AM732" s="449"/>
    </row>
    <row r="733" spans="1:49" x14ac:dyDescent="0.25">
      <c r="A733" s="535"/>
      <c r="L733" s="449">
        <f t="shared" si="873"/>
        <v>0</v>
      </c>
      <c r="M733" s="449"/>
      <c r="X733" s="535">
        <f t="shared" si="874"/>
        <v>0</v>
      </c>
      <c r="AM733" s="449"/>
    </row>
    <row r="734" spans="1:49" ht="15.75" thickBot="1" x14ac:dyDescent="0.3">
      <c r="A734" s="538"/>
      <c r="B734" s="369"/>
      <c r="C734" s="21"/>
      <c r="D734" s="21"/>
      <c r="E734" s="21"/>
      <c r="F734" s="21"/>
      <c r="G734" s="21"/>
      <c r="H734" s="21"/>
      <c r="I734" s="369"/>
      <c r="J734" s="369"/>
      <c r="K734" s="369"/>
      <c r="L734" s="450">
        <f t="shared" si="873"/>
        <v>0</v>
      </c>
      <c r="M734" s="450"/>
      <c r="N734" s="369"/>
      <c r="O734" s="21"/>
      <c r="P734" s="21"/>
      <c r="Q734" s="21"/>
      <c r="R734" s="21"/>
      <c r="S734" s="21"/>
      <c r="T734" s="21"/>
      <c r="U734" s="369"/>
      <c r="V734" s="369"/>
      <c r="W734" s="369"/>
      <c r="X734" s="538">
        <f t="shared" si="874"/>
        <v>0</v>
      </c>
      <c r="Y734" s="369"/>
      <c r="Z734" s="528"/>
      <c r="AA734" s="21"/>
      <c r="AB734" s="21"/>
      <c r="AC734" s="21"/>
      <c r="AD734" s="21"/>
      <c r="AE734" s="21"/>
      <c r="AF734" s="21"/>
      <c r="AG734" s="369"/>
      <c r="AH734" s="369"/>
      <c r="AI734" s="369"/>
      <c r="AJ734" s="369"/>
      <c r="AK734" s="369"/>
      <c r="AL734" s="369"/>
      <c r="AM734" s="450"/>
      <c r="AN734" s="21"/>
      <c r="AO734" s="21"/>
      <c r="AP734" s="21"/>
      <c r="AQ734" s="21"/>
      <c r="AR734" s="23"/>
      <c r="AS734" s="21"/>
      <c r="AT734" s="21"/>
      <c r="AU734" s="369"/>
      <c r="AV734" s="369"/>
      <c r="AW734" s="21"/>
    </row>
    <row r="735" spans="1:49" x14ac:dyDescent="0.25">
      <c r="A735" s="535"/>
      <c r="L735" s="449">
        <f t="shared" si="873"/>
        <v>0</v>
      </c>
      <c r="M735" s="449"/>
      <c r="X735" s="535">
        <f t="shared" si="874"/>
        <v>0</v>
      </c>
      <c r="AM735" s="449"/>
    </row>
    <row r="736" spans="1:49" x14ac:dyDescent="0.25">
      <c r="A736" s="535"/>
      <c r="L736" s="449">
        <f t="shared" si="873"/>
        <v>0</v>
      </c>
      <c r="M736" s="449"/>
      <c r="X736" s="535">
        <f t="shared" si="874"/>
        <v>0</v>
      </c>
      <c r="AM736" s="449"/>
    </row>
    <row r="737" spans="1:49" x14ac:dyDescent="0.25">
      <c r="A737" s="535"/>
      <c r="L737" s="449">
        <f t="shared" si="873"/>
        <v>0</v>
      </c>
      <c r="M737" s="449"/>
      <c r="X737" s="535">
        <f t="shared" si="874"/>
        <v>0</v>
      </c>
      <c r="AM737" s="449"/>
    </row>
    <row r="738" spans="1:49" x14ac:dyDescent="0.25">
      <c r="A738" s="535"/>
      <c r="L738" s="449">
        <f t="shared" si="873"/>
        <v>0</v>
      </c>
      <c r="M738" s="449"/>
      <c r="X738" s="535">
        <f t="shared" si="874"/>
        <v>0</v>
      </c>
      <c r="AM738" s="449"/>
    </row>
    <row r="739" spans="1:49" x14ac:dyDescent="0.25">
      <c r="A739" s="535"/>
      <c r="L739" s="449">
        <f t="shared" si="873"/>
        <v>0</v>
      </c>
      <c r="M739" s="449"/>
      <c r="X739" s="535">
        <f t="shared" si="874"/>
        <v>0</v>
      </c>
      <c r="AM739" s="449"/>
    </row>
    <row r="740" spans="1:49" x14ac:dyDescent="0.25">
      <c r="A740" s="535"/>
      <c r="L740" s="449">
        <f t="shared" si="873"/>
        <v>0</v>
      </c>
      <c r="M740" s="449"/>
      <c r="X740" s="535">
        <f t="shared" si="874"/>
        <v>0</v>
      </c>
      <c r="AM740" s="449"/>
    </row>
    <row r="741" spans="1:49" x14ac:dyDescent="0.25">
      <c r="A741" s="535"/>
      <c r="L741" s="449">
        <f t="shared" si="873"/>
        <v>0</v>
      </c>
      <c r="M741" s="449"/>
      <c r="X741" s="535">
        <f t="shared" si="874"/>
        <v>0</v>
      </c>
      <c r="AM741" s="449"/>
    </row>
    <row r="742" spans="1:49" x14ac:dyDescent="0.25">
      <c r="A742" s="535"/>
      <c r="L742" s="449">
        <f t="shared" si="873"/>
        <v>0</v>
      </c>
      <c r="M742" s="449"/>
      <c r="X742" s="535">
        <f t="shared" si="874"/>
        <v>0</v>
      </c>
      <c r="AM742" s="449"/>
    </row>
    <row r="743" spans="1:49" x14ac:dyDescent="0.25">
      <c r="A743" s="535"/>
      <c r="L743" s="449">
        <f t="shared" si="873"/>
        <v>0</v>
      </c>
      <c r="M743" s="449"/>
      <c r="X743" s="535">
        <f t="shared" si="874"/>
        <v>0</v>
      </c>
      <c r="AM743" s="449"/>
    </row>
    <row r="744" spans="1:49" x14ac:dyDescent="0.25">
      <c r="A744" s="535"/>
      <c r="L744" s="449">
        <f t="shared" si="873"/>
        <v>0</v>
      </c>
      <c r="M744" s="449"/>
      <c r="X744" s="535">
        <f t="shared" si="874"/>
        <v>0</v>
      </c>
      <c r="AM744" s="449"/>
    </row>
    <row r="745" spans="1:49" x14ac:dyDescent="0.25">
      <c r="A745" s="535"/>
      <c r="L745" s="449">
        <f t="shared" si="873"/>
        <v>0</v>
      </c>
      <c r="M745" s="449"/>
      <c r="X745" s="535">
        <f t="shared" si="874"/>
        <v>0</v>
      </c>
      <c r="AM745" s="449"/>
    </row>
    <row r="746" spans="1:49" ht="15.75" thickBot="1" x14ac:dyDescent="0.3">
      <c r="A746" s="538"/>
      <c r="B746" s="369"/>
      <c r="C746" s="21"/>
      <c r="D746" s="21"/>
      <c r="E746" s="21"/>
      <c r="F746" s="21"/>
      <c r="G746" s="21"/>
      <c r="H746" s="21"/>
      <c r="I746" s="369"/>
      <c r="J746" s="369"/>
      <c r="K746" s="369"/>
      <c r="L746" s="450">
        <f t="shared" si="873"/>
        <v>0</v>
      </c>
      <c r="M746" s="450"/>
      <c r="N746" s="369"/>
      <c r="O746" s="21"/>
      <c r="P746" s="21"/>
      <c r="Q746" s="21"/>
      <c r="R746" s="21"/>
      <c r="S746" s="21"/>
      <c r="T746" s="21"/>
      <c r="U746" s="369"/>
      <c r="V746" s="369"/>
      <c r="W746" s="369"/>
      <c r="X746" s="538">
        <f t="shared" si="874"/>
        <v>0</v>
      </c>
      <c r="Y746" s="369"/>
      <c r="Z746" s="528"/>
      <c r="AA746" s="21"/>
      <c r="AB746" s="21"/>
      <c r="AC746" s="21"/>
      <c r="AD746" s="21"/>
      <c r="AE746" s="21"/>
      <c r="AF746" s="21"/>
      <c r="AG746" s="369"/>
      <c r="AH746" s="369"/>
      <c r="AI746" s="369"/>
      <c r="AJ746" s="369"/>
      <c r="AK746" s="369"/>
      <c r="AL746" s="369"/>
      <c r="AM746" s="450"/>
      <c r="AN746" s="21"/>
      <c r="AO746" s="21"/>
      <c r="AP746" s="21"/>
      <c r="AQ746" s="21"/>
      <c r="AR746" s="23"/>
      <c r="AS746" s="21"/>
      <c r="AT746" s="21"/>
      <c r="AU746" s="369"/>
      <c r="AV746" s="369"/>
      <c r="AW746" s="21"/>
    </row>
    <row r="747" spans="1:49" x14ac:dyDescent="0.25">
      <c r="A747" s="535"/>
      <c r="L747" s="449">
        <f t="shared" si="873"/>
        <v>0</v>
      </c>
      <c r="M747" s="449"/>
      <c r="X747" s="535">
        <f t="shared" si="874"/>
        <v>0</v>
      </c>
      <c r="AM747" s="449"/>
    </row>
    <row r="748" spans="1:49" x14ac:dyDescent="0.25">
      <c r="A748" s="535"/>
      <c r="L748" s="449">
        <f t="shared" si="873"/>
        <v>0</v>
      </c>
      <c r="M748" s="449"/>
      <c r="X748" s="535">
        <f t="shared" si="874"/>
        <v>0</v>
      </c>
      <c r="AM748" s="449"/>
    </row>
    <row r="749" spans="1:49" x14ac:dyDescent="0.25">
      <c r="A749" s="535"/>
      <c r="L749" s="449">
        <f t="shared" si="873"/>
        <v>0</v>
      </c>
      <c r="M749" s="449"/>
      <c r="X749" s="535">
        <f t="shared" si="874"/>
        <v>0</v>
      </c>
      <c r="AM749" s="449"/>
    </row>
    <row r="750" spans="1:49" x14ac:dyDescent="0.25">
      <c r="A750" s="535"/>
      <c r="L750" s="449">
        <f t="shared" si="873"/>
        <v>0</v>
      </c>
      <c r="M750" s="449"/>
      <c r="X750" s="535">
        <f t="shared" si="874"/>
        <v>0</v>
      </c>
      <c r="AM750" s="449"/>
    </row>
    <row r="751" spans="1:49" x14ac:dyDescent="0.25">
      <c r="A751" s="535"/>
      <c r="L751" s="449">
        <f t="shared" ref="L751:L782" si="876">IF(MOD(M751,12)=0,M751/12,L750)</f>
        <v>0</v>
      </c>
      <c r="M751" s="449"/>
      <c r="X751" s="535">
        <f t="shared" si="874"/>
        <v>0</v>
      </c>
      <c r="AM751" s="449"/>
    </row>
    <row r="752" spans="1:49" x14ac:dyDescent="0.25">
      <c r="A752" s="535"/>
      <c r="L752" s="449">
        <f t="shared" si="876"/>
        <v>0</v>
      </c>
      <c r="M752" s="449"/>
      <c r="X752" s="535">
        <f t="shared" si="874"/>
        <v>0</v>
      </c>
      <c r="AM752" s="449"/>
    </row>
    <row r="753" spans="1:49" x14ac:dyDescent="0.25">
      <c r="A753" s="535"/>
      <c r="L753" s="449">
        <f t="shared" si="876"/>
        <v>0</v>
      </c>
      <c r="M753" s="449"/>
      <c r="X753" s="535">
        <f t="shared" si="874"/>
        <v>0</v>
      </c>
      <c r="AM753" s="449"/>
    </row>
    <row r="754" spans="1:49" x14ac:dyDescent="0.25">
      <c r="A754" s="535"/>
      <c r="L754" s="449">
        <f t="shared" si="876"/>
        <v>0</v>
      </c>
      <c r="M754" s="449"/>
      <c r="X754" s="535">
        <f t="shared" si="874"/>
        <v>0</v>
      </c>
      <c r="AM754" s="449"/>
    </row>
    <row r="755" spans="1:49" x14ac:dyDescent="0.25">
      <c r="A755" s="535"/>
      <c r="L755" s="449">
        <f t="shared" si="876"/>
        <v>0</v>
      </c>
      <c r="M755" s="449"/>
      <c r="X755" s="535">
        <f t="shared" si="874"/>
        <v>0</v>
      </c>
      <c r="AM755" s="449"/>
    </row>
    <row r="756" spans="1:49" x14ac:dyDescent="0.25">
      <c r="A756" s="535"/>
      <c r="L756" s="449">
        <f t="shared" si="876"/>
        <v>0</v>
      </c>
      <c r="M756" s="449"/>
      <c r="X756" s="535">
        <f t="shared" si="874"/>
        <v>0</v>
      </c>
      <c r="AM756" s="449"/>
    </row>
    <row r="757" spans="1:49" x14ac:dyDescent="0.25">
      <c r="A757" s="535"/>
      <c r="L757" s="449">
        <f t="shared" si="876"/>
        <v>0</v>
      </c>
      <c r="M757" s="449"/>
      <c r="X757" s="535">
        <f t="shared" si="874"/>
        <v>0</v>
      </c>
      <c r="AM757" s="449"/>
    </row>
    <row r="758" spans="1:49" ht="15.75" thickBot="1" x14ac:dyDescent="0.3">
      <c r="A758" s="538"/>
      <c r="B758" s="369"/>
      <c r="C758" s="21"/>
      <c r="D758" s="21"/>
      <c r="E758" s="21"/>
      <c r="F758" s="21"/>
      <c r="G758" s="21"/>
      <c r="H758" s="21"/>
      <c r="I758" s="369"/>
      <c r="J758" s="369"/>
      <c r="K758" s="369"/>
      <c r="L758" s="450">
        <f t="shared" si="876"/>
        <v>0</v>
      </c>
      <c r="M758" s="450"/>
      <c r="N758" s="369"/>
      <c r="O758" s="21"/>
      <c r="P758" s="21"/>
      <c r="Q758" s="21"/>
      <c r="R758" s="21"/>
      <c r="S758" s="21"/>
      <c r="T758" s="21"/>
      <c r="U758" s="369"/>
      <c r="V758" s="369"/>
      <c r="W758" s="369"/>
      <c r="X758" s="538">
        <f t="shared" si="874"/>
        <v>0</v>
      </c>
      <c r="Y758" s="369"/>
      <c r="Z758" s="528"/>
      <c r="AA758" s="21"/>
      <c r="AB758" s="21"/>
      <c r="AC758" s="21"/>
      <c r="AD758" s="21"/>
      <c r="AE758" s="21"/>
      <c r="AF758" s="21"/>
      <c r="AG758" s="369"/>
      <c r="AH758" s="369"/>
      <c r="AI758" s="369"/>
      <c r="AJ758" s="369"/>
      <c r="AK758" s="369"/>
      <c r="AL758" s="369"/>
      <c r="AM758" s="450"/>
      <c r="AN758" s="21"/>
      <c r="AO758" s="21"/>
      <c r="AP758" s="21"/>
      <c r="AQ758" s="21"/>
      <c r="AR758" s="23"/>
      <c r="AS758" s="21"/>
      <c r="AT758" s="21"/>
      <c r="AU758" s="369"/>
      <c r="AV758" s="369"/>
      <c r="AW758" s="21"/>
    </row>
    <row r="759" spans="1:49" x14ac:dyDescent="0.25">
      <c r="A759" s="535"/>
      <c r="L759" s="449">
        <f t="shared" si="876"/>
        <v>0</v>
      </c>
      <c r="M759" s="449"/>
      <c r="X759" s="535">
        <f t="shared" si="874"/>
        <v>0</v>
      </c>
      <c r="AM759" s="449"/>
    </row>
    <row r="760" spans="1:49" x14ac:dyDescent="0.25">
      <c r="A760" s="535"/>
      <c r="L760" s="449">
        <f t="shared" si="876"/>
        <v>0</v>
      </c>
      <c r="M760" s="449"/>
      <c r="X760" s="535">
        <f t="shared" si="874"/>
        <v>0</v>
      </c>
      <c r="AM760" s="449"/>
    </row>
    <row r="761" spans="1:49" x14ac:dyDescent="0.25">
      <c r="A761" s="535"/>
      <c r="L761" s="449">
        <f t="shared" si="876"/>
        <v>0</v>
      </c>
      <c r="M761" s="449"/>
      <c r="X761" s="535">
        <f t="shared" si="874"/>
        <v>0</v>
      </c>
      <c r="AM761" s="449"/>
    </row>
    <row r="762" spans="1:49" x14ac:dyDescent="0.25">
      <c r="A762" s="535"/>
      <c r="L762" s="449">
        <f t="shared" si="876"/>
        <v>0</v>
      </c>
      <c r="M762" s="449"/>
      <c r="X762" s="535">
        <f t="shared" si="874"/>
        <v>0</v>
      </c>
      <c r="AM762" s="449"/>
    </row>
    <row r="763" spans="1:49" x14ac:dyDescent="0.25">
      <c r="A763" s="535"/>
      <c r="L763" s="449">
        <f t="shared" si="876"/>
        <v>0</v>
      </c>
      <c r="M763" s="449"/>
      <c r="X763" s="535">
        <f t="shared" si="874"/>
        <v>0</v>
      </c>
      <c r="AM763" s="449"/>
    </row>
    <row r="764" spans="1:49" x14ac:dyDescent="0.25">
      <c r="A764" s="535"/>
      <c r="L764" s="449">
        <f t="shared" si="876"/>
        <v>0</v>
      </c>
      <c r="M764" s="449"/>
      <c r="X764" s="535">
        <f t="shared" si="874"/>
        <v>0</v>
      </c>
      <c r="AM764" s="449"/>
    </row>
    <row r="765" spans="1:49" x14ac:dyDescent="0.25">
      <c r="A765" s="535"/>
      <c r="L765" s="449">
        <f t="shared" si="876"/>
        <v>0</v>
      </c>
      <c r="M765" s="449"/>
      <c r="X765" s="535">
        <f t="shared" si="874"/>
        <v>0</v>
      </c>
      <c r="AM765" s="449"/>
    </row>
    <row r="766" spans="1:49" x14ac:dyDescent="0.25">
      <c r="A766" s="535"/>
      <c r="L766" s="449">
        <f t="shared" si="876"/>
        <v>0</v>
      </c>
      <c r="M766" s="449"/>
      <c r="X766" s="535">
        <f t="shared" si="874"/>
        <v>0</v>
      </c>
      <c r="AM766" s="449"/>
    </row>
    <row r="767" spans="1:49" x14ac:dyDescent="0.25">
      <c r="A767" s="535"/>
      <c r="L767" s="449">
        <f t="shared" si="876"/>
        <v>0</v>
      </c>
      <c r="M767" s="449"/>
      <c r="X767" s="535">
        <f t="shared" si="874"/>
        <v>0</v>
      </c>
      <c r="AM767" s="449"/>
    </row>
    <row r="768" spans="1:49" x14ac:dyDescent="0.25">
      <c r="A768" s="535"/>
      <c r="L768" s="449">
        <f t="shared" si="876"/>
        <v>0</v>
      </c>
      <c r="M768" s="449"/>
      <c r="X768" s="535">
        <f t="shared" si="874"/>
        <v>0</v>
      </c>
      <c r="AM768" s="449"/>
    </row>
    <row r="769" spans="1:49" x14ac:dyDescent="0.25">
      <c r="A769" s="535"/>
      <c r="L769" s="449">
        <f t="shared" si="876"/>
        <v>0</v>
      </c>
      <c r="M769" s="449"/>
      <c r="X769" s="535">
        <f t="shared" si="874"/>
        <v>0</v>
      </c>
      <c r="AM769" s="449"/>
    </row>
    <row r="770" spans="1:49" ht="15.75" thickBot="1" x14ac:dyDescent="0.3">
      <c r="A770" s="538"/>
      <c r="B770" s="369"/>
      <c r="C770" s="21"/>
      <c r="D770" s="21"/>
      <c r="E770" s="21"/>
      <c r="F770" s="21"/>
      <c r="G770" s="21"/>
      <c r="H770" s="21"/>
      <c r="I770" s="369"/>
      <c r="J770" s="369"/>
      <c r="K770" s="369"/>
      <c r="L770" s="450">
        <f t="shared" si="876"/>
        <v>0</v>
      </c>
      <c r="M770" s="450"/>
      <c r="N770" s="369"/>
      <c r="O770" s="21"/>
      <c r="P770" s="21"/>
      <c r="Q770" s="21"/>
      <c r="R770" s="21"/>
      <c r="S770" s="21"/>
      <c r="T770" s="21"/>
      <c r="U770" s="369"/>
      <c r="V770" s="369"/>
      <c r="W770" s="369"/>
      <c r="X770" s="538">
        <f t="shared" si="874"/>
        <v>0</v>
      </c>
      <c r="Y770" s="369"/>
      <c r="Z770" s="528"/>
      <c r="AA770" s="21"/>
      <c r="AB770" s="21"/>
      <c r="AC770" s="21"/>
      <c r="AD770" s="21"/>
      <c r="AE770" s="21"/>
      <c r="AF770" s="21"/>
      <c r="AG770" s="369"/>
      <c r="AH770" s="369"/>
      <c r="AI770" s="369"/>
      <c r="AJ770" s="369"/>
      <c r="AK770" s="369"/>
      <c r="AL770" s="369"/>
      <c r="AM770" s="450"/>
      <c r="AN770" s="21"/>
      <c r="AO770" s="21"/>
      <c r="AP770" s="21"/>
      <c r="AQ770" s="21"/>
      <c r="AR770" s="23"/>
      <c r="AS770" s="21"/>
      <c r="AT770" s="21"/>
      <c r="AU770" s="369"/>
      <c r="AV770" s="369"/>
      <c r="AW770" s="21"/>
    </row>
    <row r="771" spans="1:49" x14ac:dyDescent="0.25">
      <c r="A771" s="535"/>
      <c r="L771" s="449">
        <f t="shared" si="876"/>
        <v>0</v>
      </c>
      <c r="M771" s="449"/>
      <c r="X771" s="535">
        <f t="shared" si="874"/>
        <v>0</v>
      </c>
      <c r="AM771" s="449"/>
    </row>
    <row r="772" spans="1:49" x14ac:dyDescent="0.25">
      <c r="A772" s="535"/>
      <c r="L772" s="449">
        <f t="shared" si="876"/>
        <v>0</v>
      </c>
      <c r="M772" s="449"/>
      <c r="X772" s="535">
        <f t="shared" si="874"/>
        <v>0</v>
      </c>
      <c r="AM772" s="449"/>
    </row>
    <row r="773" spans="1:49" x14ac:dyDescent="0.25">
      <c r="A773" s="535"/>
      <c r="L773" s="449">
        <f t="shared" si="876"/>
        <v>0</v>
      </c>
      <c r="M773" s="449"/>
      <c r="X773" s="535">
        <f t="shared" si="874"/>
        <v>0</v>
      </c>
      <c r="AM773" s="449"/>
    </row>
    <row r="774" spans="1:49" x14ac:dyDescent="0.25">
      <c r="A774" s="535"/>
      <c r="L774" s="449">
        <f t="shared" si="876"/>
        <v>0</v>
      </c>
      <c r="M774" s="449"/>
      <c r="X774" s="535">
        <f t="shared" si="874"/>
        <v>0</v>
      </c>
      <c r="AM774" s="449"/>
    </row>
    <row r="775" spans="1:49" x14ac:dyDescent="0.25">
      <c r="A775" s="535"/>
      <c r="L775" s="449">
        <f t="shared" si="876"/>
        <v>0</v>
      </c>
      <c r="M775" s="449"/>
      <c r="X775" s="535">
        <f t="shared" si="874"/>
        <v>0</v>
      </c>
      <c r="AM775" s="449"/>
    </row>
    <row r="776" spans="1:49" x14ac:dyDescent="0.25">
      <c r="A776" s="535"/>
      <c r="L776" s="449">
        <f t="shared" si="876"/>
        <v>0</v>
      </c>
      <c r="M776" s="449"/>
      <c r="X776" s="535">
        <f t="shared" si="874"/>
        <v>0</v>
      </c>
      <c r="AM776" s="449"/>
    </row>
    <row r="777" spans="1:49" x14ac:dyDescent="0.25">
      <c r="A777" s="535"/>
      <c r="L777" s="449">
        <f t="shared" si="876"/>
        <v>0</v>
      </c>
      <c r="M777" s="449"/>
      <c r="X777" s="535">
        <f t="shared" si="874"/>
        <v>0</v>
      </c>
      <c r="AM777" s="449"/>
    </row>
    <row r="778" spans="1:49" x14ac:dyDescent="0.25">
      <c r="A778" s="535"/>
      <c r="L778" s="449">
        <f t="shared" si="876"/>
        <v>0</v>
      </c>
      <c r="M778" s="449"/>
      <c r="X778" s="535">
        <f t="shared" si="874"/>
        <v>0</v>
      </c>
      <c r="AM778" s="449"/>
    </row>
    <row r="779" spans="1:49" x14ac:dyDescent="0.25">
      <c r="A779" s="535"/>
      <c r="L779" s="449">
        <f t="shared" si="876"/>
        <v>0</v>
      </c>
      <c r="M779" s="449"/>
      <c r="X779" s="535">
        <f t="shared" si="874"/>
        <v>0</v>
      </c>
      <c r="AM779" s="449"/>
    </row>
    <row r="780" spans="1:49" x14ac:dyDescent="0.25">
      <c r="A780" s="535"/>
      <c r="L780" s="449">
        <f t="shared" si="876"/>
        <v>0</v>
      </c>
      <c r="M780" s="449"/>
      <c r="X780" s="535">
        <f t="shared" si="874"/>
        <v>0</v>
      </c>
      <c r="AM780" s="449"/>
    </row>
    <row r="781" spans="1:49" x14ac:dyDescent="0.25">
      <c r="A781" s="535"/>
      <c r="L781" s="449">
        <f t="shared" si="876"/>
        <v>0</v>
      </c>
      <c r="M781" s="449"/>
      <c r="X781" s="535">
        <f t="shared" si="874"/>
        <v>0</v>
      </c>
      <c r="AM781" s="449"/>
    </row>
    <row r="782" spans="1:49" ht="15.75" thickBot="1" x14ac:dyDescent="0.3">
      <c r="A782" s="538"/>
      <c r="B782" s="369"/>
      <c r="C782" s="21"/>
      <c r="D782" s="21"/>
      <c r="E782" s="21"/>
      <c r="F782" s="21"/>
      <c r="G782" s="21"/>
      <c r="H782" s="21"/>
      <c r="I782" s="369"/>
      <c r="J782" s="369"/>
      <c r="K782" s="369"/>
      <c r="L782" s="450">
        <f t="shared" si="876"/>
        <v>0</v>
      </c>
      <c r="M782" s="450"/>
      <c r="N782" s="369"/>
      <c r="O782" s="21"/>
      <c r="P782" s="21"/>
      <c r="Q782" s="21"/>
      <c r="R782" s="21"/>
      <c r="S782" s="21"/>
      <c r="T782" s="21"/>
      <c r="U782" s="369"/>
      <c r="V782" s="369"/>
      <c r="W782" s="369"/>
      <c r="X782" s="538">
        <f t="shared" si="874"/>
        <v>0</v>
      </c>
      <c r="Y782" s="369"/>
      <c r="Z782" s="528"/>
      <c r="AA782" s="21"/>
      <c r="AB782" s="21"/>
      <c r="AC782" s="21"/>
      <c r="AD782" s="21"/>
      <c r="AE782" s="21"/>
      <c r="AF782" s="21"/>
      <c r="AG782" s="369"/>
      <c r="AH782" s="369"/>
      <c r="AI782" s="369"/>
      <c r="AJ782" s="369"/>
      <c r="AK782" s="369"/>
      <c r="AL782" s="369"/>
      <c r="AM782" s="450"/>
      <c r="AN782" s="21"/>
      <c r="AO782" s="21"/>
      <c r="AP782" s="21"/>
      <c r="AQ782" s="21"/>
      <c r="AR782" s="23"/>
      <c r="AS782" s="21"/>
      <c r="AT782" s="21"/>
      <c r="AU782" s="369"/>
      <c r="AV782" s="369"/>
      <c r="AW782" s="21"/>
    </row>
  </sheetData>
  <mergeCells count="15">
    <mergeCell ref="I13:J13"/>
    <mergeCell ref="AN13:AO13"/>
    <mergeCell ref="C13:H13"/>
    <mergeCell ref="N12:W12"/>
    <mergeCell ref="Y12:AL12"/>
    <mergeCell ref="U13:V13"/>
    <mergeCell ref="Y3:Z3"/>
    <mergeCell ref="Y4:Z4"/>
    <mergeCell ref="AU13:AV13"/>
    <mergeCell ref="Y11:Z11"/>
    <mergeCell ref="AI13:AK13"/>
    <mergeCell ref="AA13:AF13"/>
    <mergeCell ref="AG13:AH13"/>
    <mergeCell ref="Y5:Z5"/>
    <mergeCell ref="AP13:AQ13"/>
  </mergeCells>
  <conditionalFormatting sqref="AK15:AK543">
    <cfRule type="cellIs" dxfId="32"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dimension ref="A1:DJ150"/>
  <sheetViews>
    <sheetView workbookViewId="0">
      <pane xSplit="2" ySplit="2" topLeftCell="BW91" activePane="bottomRight" state="frozen"/>
      <selection pane="topRight" activeCell="C1" sqref="C1"/>
      <selection pane="bottomLeft" activeCell="A3" sqref="A3"/>
      <selection pane="bottomRight" activeCell="BX98" sqref="BX98"/>
    </sheetView>
  </sheetViews>
  <sheetFormatPr defaultRowHeight="15.75" x14ac:dyDescent="0.25"/>
  <cols>
    <col min="1" max="1" width="30" bestFit="1" customWidth="1"/>
    <col min="2" max="2" width="51.42578125" style="565" customWidth="1"/>
    <col min="3" max="3" width="13" style="565" customWidth="1"/>
    <col min="4" max="6" width="35.5703125" style="565" customWidth="1"/>
    <col min="7" max="8" width="39.140625" customWidth="1"/>
    <col min="9" max="9" width="17" customWidth="1"/>
    <col min="10" max="11" width="15.28515625" style="138" customWidth="1"/>
    <col min="12" max="23" width="15.28515625" customWidth="1"/>
    <col min="24" max="33" width="11.28515625" customWidth="1"/>
    <col min="34" max="34" width="12.5703125" bestFit="1" customWidth="1"/>
    <col min="35" max="35" width="13.140625" bestFit="1" customWidth="1"/>
    <col min="36" max="43" width="11.28515625" customWidth="1"/>
    <col min="44" max="44" width="12.85546875" bestFit="1" customWidth="1"/>
    <col min="45" max="45" width="17" bestFit="1" customWidth="1"/>
    <col min="46" max="46" width="18.140625" bestFit="1" customWidth="1"/>
    <col min="47" max="47" width="12.85546875" bestFit="1" customWidth="1"/>
    <col min="48" max="48" width="21.140625" bestFit="1" customWidth="1"/>
    <col min="49" max="49" width="21.85546875" bestFit="1" customWidth="1"/>
    <col min="50" max="50" width="13.42578125" bestFit="1" customWidth="1"/>
    <col min="51" max="51" width="24.140625" bestFit="1" customWidth="1"/>
    <col min="52" max="58" width="24.140625" customWidth="1"/>
    <col min="59" max="59" width="21.140625" bestFit="1" customWidth="1"/>
    <col min="60" max="60" width="21.140625" customWidth="1"/>
    <col min="61" max="61" width="21.140625" bestFit="1" customWidth="1"/>
    <col min="62" max="62" width="21.140625" customWidth="1"/>
    <col min="63" max="64" width="17.7109375" customWidth="1"/>
    <col min="65" max="65" width="18.5703125" bestFit="1" customWidth="1"/>
    <col min="66" max="66" width="14.28515625" bestFit="1" customWidth="1"/>
    <col min="67" max="67" width="13.140625" bestFit="1" customWidth="1"/>
    <col min="68" max="73" width="13.140625" customWidth="1"/>
    <col min="74" max="74" width="25.28515625" bestFit="1" customWidth="1"/>
    <col min="75" max="76" width="25.28515625" customWidth="1"/>
    <col min="77" max="77" width="17" bestFit="1" customWidth="1"/>
    <col min="78" max="78" width="17.7109375" customWidth="1"/>
    <col min="79" max="79" width="11.28515625" customWidth="1"/>
    <col min="80" max="80" width="13.140625" bestFit="1" customWidth="1"/>
    <col min="81" max="83" width="13.140625" customWidth="1"/>
    <col min="84" max="84" width="17.5703125" bestFit="1" customWidth="1"/>
    <col min="85" max="86" width="13.140625" customWidth="1"/>
    <col min="87" max="89" width="11.28515625" customWidth="1"/>
    <col min="90" max="90" width="45.42578125" bestFit="1" customWidth="1"/>
    <col min="91" max="91" width="11.28515625" customWidth="1"/>
    <col min="92" max="92" width="22.5703125" bestFit="1" customWidth="1"/>
    <col min="93" max="94" width="22.5703125" customWidth="1"/>
    <col min="95" max="95" width="5" bestFit="1" customWidth="1"/>
    <col min="96" max="96" width="35.28515625" bestFit="1" customWidth="1"/>
    <col min="97" max="97" width="12.7109375" bestFit="1" customWidth="1"/>
    <col min="98" max="98" width="12.5703125" bestFit="1" customWidth="1"/>
    <col min="99" max="99" width="17.5703125" bestFit="1" customWidth="1"/>
    <col min="100" max="100" width="28.85546875" bestFit="1" customWidth="1"/>
    <col min="101" max="101" width="24.140625" bestFit="1" customWidth="1"/>
    <col min="102" max="102" width="13.140625" bestFit="1" customWidth="1"/>
    <col min="103" max="103" width="13.140625" customWidth="1"/>
    <col min="104" max="104" width="18.7109375" bestFit="1" customWidth="1"/>
    <col min="105" max="105" width="17.28515625" bestFit="1" customWidth="1"/>
    <col min="106" max="106" width="13.85546875" bestFit="1" customWidth="1"/>
    <col min="107" max="107" width="17.28515625" bestFit="1" customWidth="1"/>
    <col min="108" max="108" width="15.85546875" bestFit="1" customWidth="1"/>
    <col min="109" max="109" width="17.5703125" bestFit="1" customWidth="1"/>
    <col min="110" max="110" width="14.28515625" bestFit="1" customWidth="1"/>
    <col min="111" max="111" width="18.42578125" bestFit="1" customWidth="1"/>
    <col min="112" max="112" width="14.5703125" bestFit="1" customWidth="1"/>
  </cols>
  <sheetData>
    <row r="1" spans="1:114" s="15" customFormat="1" ht="16.5" thickBot="1" x14ac:dyDescent="0.3">
      <c r="B1" s="581"/>
      <c r="C1" s="581"/>
      <c r="D1" s="15" t="s">
        <v>195</v>
      </c>
      <c r="E1" s="583" t="s">
        <v>196</v>
      </c>
      <c r="F1" s="15" t="s">
        <v>197</v>
      </c>
      <c r="G1" s="15" t="s">
        <v>198</v>
      </c>
      <c r="H1" s="15" t="s">
        <v>199</v>
      </c>
      <c r="I1" s="15" t="s">
        <v>200</v>
      </c>
      <c r="J1" s="585" t="s">
        <v>201</v>
      </c>
      <c r="K1" s="30" t="s">
        <v>202</v>
      </c>
      <c r="L1" s="15" t="s">
        <v>203</v>
      </c>
      <c r="M1" s="15" t="s">
        <v>204</v>
      </c>
      <c r="N1" s="582" t="s">
        <v>205</v>
      </c>
      <c r="O1" s="583" t="s">
        <v>206</v>
      </c>
      <c r="P1" s="584" t="s">
        <v>207</v>
      </c>
      <c r="R1" s="583" t="s">
        <v>208</v>
      </c>
      <c r="S1" s="15" t="s">
        <v>209</v>
      </c>
      <c r="T1" s="15" t="s">
        <v>210</v>
      </c>
      <c r="U1" s="15" t="s">
        <v>211</v>
      </c>
      <c r="V1" s="15" t="s">
        <v>212</v>
      </c>
      <c r="W1" s="15" t="s">
        <v>213</v>
      </c>
      <c r="X1" s="583" t="s">
        <v>214</v>
      </c>
      <c r="Y1" s="15" t="s">
        <v>215</v>
      </c>
      <c r="Z1" s="15" t="s">
        <v>216</v>
      </c>
      <c r="AA1" s="15" t="s">
        <v>217</v>
      </c>
      <c r="AB1" s="15" t="s">
        <v>218</v>
      </c>
      <c r="AC1" s="15" t="s">
        <v>219</v>
      </c>
      <c r="AD1" s="15" t="s">
        <v>220</v>
      </c>
      <c r="AE1" s="15" t="s">
        <v>221</v>
      </c>
      <c r="AF1" s="15" t="s">
        <v>222</v>
      </c>
      <c r="AG1" s="15" t="s">
        <v>223</v>
      </c>
      <c r="AH1" s="583" t="s">
        <v>224</v>
      </c>
      <c r="AI1" s="583" t="s">
        <v>225</v>
      </c>
      <c r="AJ1" s="15" t="s">
        <v>226</v>
      </c>
      <c r="AK1" s="15" t="s">
        <v>227</v>
      </c>
      <c r="AL1" s="584" t="s">
        <v>228</v>
      </c>
      <c r="AM1" s="583" t="s">
        <v>229</v>
      </c>
      <c r="AN1" s="583" t="s">
        <v>230</v>
      </c>
      <c r="AO1" s="15" t="s">
        <v>231</v>
      </c>
      <c r="AP1" s="15" t="s">
        <v>232</v>
      </c>
      <c r="AQ1" s="583" t="s">
        <v>233</v>
      </c>
      <c r="AR1" s="15" t="s">
        <v>234</v>
      </c>
      <c r="AS1" s="15" t="s">
        <v>235</v>
      </c>
      <c r="AT1" s="15" t="s">
        <v>236</v>
      </c>
      <c r="AU1" s="15" t="s">
        <v>237</v>
      </c>
      <c r="AV1" s="583" t="s">
        <v>238</v>
      </c>
      <c r="AW1" s="583" t="s">
        <v>239</v>
      </c>
      <c r="AX1" s="583" t="s">
        <v>240</v>
      </c>
      <c r="AY1" s="15" t="s">
        <v>241</v>
      </c>
      <c r="AZ1" s="15" t="s">
        <v>242</v>
      </c>
      <c r="BA1" s="30" t="s">
        <v>243</v>
      </c>
      <c r="BB1" s="30" t="s">
        <v>244</v>
      </c>
      <c r="BC1" s="30" t="s">
        <v>245</v>
      </c>
      <c r="BD1" s="30" t="s">
        <v>246</v>
      </c>
      <c r="BE1" s="30" t="s">
        <v>247</v>
      </c>
      <c r="BF1" s="30" t="s">
        <v>248</v>
      </c>
      <c r="BG1" s="15" t="s">
        <v>249</v>
      </c>
      <c r="BH1" s="15" t="s">
        <v>250</v>
      </c>
      <c r="BI1" s="15" t="s">
        <v>251</v>
      </c>
      <c r="BJ1" s="15" t="s">
        <v>252</v>
      </c>
      <c r="BK1" s="583" t="s">
        <v>253</v>
      </c>
      <c r="BL1" s="583" t="s">
        <v>254</v>
      </c>
      <c r="BM1" s="583" t="s">
        <v>255</v>
      </c>
      <c r="BN1" s="15" t="s">
        <v>256</v>
      </c>
      <c r="BO1" s="15" t="s">
        <v>257</v>
      </c>
      <c r="BP1" s="30" t="s">
        <v>258</v>
      </c>
      <c r="BQ1" s="30" t="s">
        <v>259</v>
      </c>
      <c r="BR1" s="30" t="s">
        <v>260</v>
      </c>
      <c r="BS1" s="30" t="s">
        <v>261</v>
      </c>
      <c r="BT1" s="30" t="s">
        <v>262</v>
      </c>
      <c r="BU1" s="30" t="s">
        <v>263</v>
      </c>
      <c r="BV1" s="15" t="s">
        <v>264</v>
      </c>
      <c r="BW1" s="15" t="s">
        <v>265</v>
      </c>
      <c r="BX1" s="15" t="s">
        <v>266</v>
      </c>
      <c r="BY1" s="583" t="s">
        <v>267</v>
      </c>
      <c r="BZ1" s="15" t="s">
        <v>268</v>
      </c>
      <c r="CA1" s="15" t="s">
        <v>269</v>
      </c>
      <c r="CB1" s="584" t="s">
        <v>270</v>
      </c>
      <c r="CC1" s="583" t="s">
        <v>271</v>
      </c>
      <c r="CF1" s="15" t="s">
        <v>272</v>
      </c>
      <c r="CG1" s="30" t="s">
        <v>273</v>
      </c>
      <c r="CH1" s="583" t="s">
        <v>274</v>
      </c>
      <c r="CI1" s="584" t="s">
        <v>275</v>
      </c>
      <c r="CJ1" s="584" t="s">
        <v>276</v>
      </c>
      <c r="CK1" s="15" t="s">
        <v>277</v>
      </c>
      <c r="CL1" s="15" t="s">
        <v>278</v>
      </c>
      <c r="CM1" s="15" t="s">
        <v>279</v>
      </c>
      <c r="CN1" s="15" t="s">
        <v>280</v>
      </c>
      <c r="CO1" s="15" t="s">
        <v>281</v>
      </c>
      <c r="CP1" s="15" t="s">
        <v>282</v>
      </c>
      <c r="CQ1" s="15" t="s">
        <v>181</v>
      </c>
      <c r="CR1" s="30" t="s">
        <v>283</v>
      </c>
      <c r="CS1" s="30" t="s">
        <v>284</v>
      </c>
      <c r="CT1" s="30" t="s">
        <v>285</v>
      </c>
      <c r="CU1" s="30" t="s">
        <v>286</v>
      </c>
      <c r="CV1" s="30" t="s">
        <v>287</v>
      </c>
      <c r="CW1" s="30" t="s">
        <v>288</v>
      </c>
      <c r="CX1" s="30" t="s">
        <v>289</v>
      </c>
      <c r="CY1" s="30" t="s">
        <v>290</v>
      </c>
      <c r="CZ1" s="30" t="s">
        <v>291</v>
      </c>
      <c r="DA1" s="30" t="s">
        <v>292</v>
      </c>
      <c r="DB1" s="30" t="s">
        <v>293</v>
      </c>
      <c r="DC1" s="30" t="s">
        <v>294</v>
      </c>
      <c r="DD1" s="584" t="s">
        <v>295</v>
      </c>
      <c r="DE1" s="30" t="s">
        <v>296</v>
      </c>
      <c r="DF1" s="30" t="s">
        <v>297</v>
      </c>
      <c r="DG1" s="30" t="s">
        <v>298</v>
      </c>
      <c r="DH1" s="30" t="s">
        <v>299</v>
      </c>
      <c r="DI1" s="30" t="s">
        <v>300</v>
      </c>
      <c r="DJ1" s="30" t="s">
        <v>301</v>
      </c>
    </row>
    <row r="2" spans="1:114" x14ac:dyDescent="0.25">
      <c r="D2">
        <f>+B24</f>
        <v>0</v>
      </c>
      <c r="E2" s="14" t="str">
        <f>+B55</f>
        <v xml:space="preserve"> </v>
      </c>
      <c r="F2" t="str">
        <f>+B83</f>
        <v>LO1 BRIDGEGATE ESTATES P1 MP1 BM1996-246</v>
      </c>
      <c r="G2" t="str">
        <f>+B26</f>
        <v>HERITAGE MANAGEMENT LLC</v>
      </c>
      <c r="H2" t="str">
        <f>+B35</f>
        <v>DOUGLAS COUCH and SHIELA MARIE COUCH</v>
      </c>
      <c r="I2" t="str">
        <f>+B27</f>
        <v>DOUGLAS COUCH</v>
      </c>
      <c r="J2" s="138" t="str">
        <f>+B30</f>
        <v>SHIELA MARIE COUCH</v>
      </c>
      <c r="K2" t="str">
        <f>+B34</f>
        <v>SHIELA MARIE COUCH</v>
      </c>
      <c r="L2" t="str">
        <f>+B43</f>
        <v>X:      -    -       :</v>
      </c>
      <c r="M2" t="str">
        <f>+B44</f>
        <v>X:      -    -       :</v>
      </c>
      <c r="N2">
        <f>+B50</f>
        <v>500</v>
      </c>
      <c r="O2">
        <f>B51</f>
        <v>14500</v>
      </c>
      <c r="P2" s="14">
        <f>+B49</f>
        <v>112039.66</v>
      </c>
      <c r="R2" s="362">
        <f>B48</f>
        <v>83169.53</v>
      </c>
      <c r="S2" t="str">
        <f>+B28</f>
        <v>4749 Sussex Ln</v>
      </c>
      <c r="T2" s="138" t="str">
        <f>+B29</f>
        <v>Chattanooga, TN 37421</v>
      </c>
      <c r="U2">
        <f>+B31</f>
        <v>0</v>
      </c>
      <c r="V2">
        <f>+B32</f>
        <v>0</v>
      </c>
      <c r="W2" s="300">
        <f>+B73</f>
        <v>0</v>
      </c>
      <c r="X2" s="514">
        <f>+B52*100</f>
        <v>4.5</v>
      </c>
      <c r="Y2" s="514" t="str">
        <f>+B77</f>
        <v>WAKE</v>
      </c>
      <c r="Z2">
        <f ca="1">+B101</f>
        <v>5</v>
      </c>
      <c r="AA2">
        <f ca="1">+B100</f>
        <v>2026</v>
      </c>
      <c r="AB2">
        <f>+B88</f>
        <v>0</v>
      </c>
      <c r="AC2">
        <f>+B89</f>
        <v>0</v>
      </c>
      <c r="AD2">
        <f>+B90</f>
        <v>0</v>
      </c>
      <c r="AE2">
        <f>+B91</f>
        <v>0</v>
      </c>
      <c r="AF2">
        <f>+B113</f>
        <v>6</v>
      </c>
      <c r="AG2">
        <f>+B114</f>
        <v>0</v>
      </c>
      <c r="AH2" s="514" t="str">
        <f>+B53</f>
        <v>4.500%</v>
      </c>
      <c r="AI2" s="514" t="str">
        <f>+B54</f>
        <v>7.000%</v>
      </c>
      <c r="AJ2" t="str">
        <f>+B45</f>
        <v>X:      -    -       :</v>
      </c>
      <c r="AK2" t="str">
        <f>+B42</f>
        <v>:</v>
      </c>
      <c r="AL2">
        <f>+B81</f>
        <v>0</v>
      </c>
      <c r="AM2" s="14" t="str">
        <f>+B67</f>
        <v>DOUGLAS COUCH</v>
      </c>
      <c r="AN2">
        <f>+B68</f>
        <v>2025</v>
      </c>
      <c r="AO2" t="str">
        <f>+B84</f>
        <v>BEING all of Lot 1, Phase 1, Bridgegate Subdivision, as depicted in Map Book 1996, beginning at or including Page 246.</v>
      </c>
      <c r="AP2" t="str">
        <f>B46</f>
        <v>8364802</v>
      </c>
      <c r="AQ2" s="14">
        <f>+B12</f>
        <v>214002.10499999998</v>
      </c>
      <c r="AR2" s="515">
        <f>+B21</f>
        <v>47543</v>
      </c>
      <c r="AS2" s="515">
        <f>+B20</f>
        <v>45748</v>
      </c>
      <c r="AT2" s="515">
        <f>+B22</f>
        <v>47574</v>
      </c>
      <c r="AU2" s="515">
        <f>+B23</f>
        <v>56674</v>
      </c>
      <c r="AV2" s="362">
        <f>+B16</f>
        <v>1746.44</v>
      </c>
      <c r="AW2" s="362">
        <f>+B13</f>
        <v>1595.67</v>
      </c>
      <c r="AX2" s="362">
        <f>+B16</f>
        <v>1746.44</v>
      </c>
      <c r="AY2" t="str">
        <f>+B99</f>
        <v>Wesley Dale Browning</v>
      </c>
      <c r="AZ2" t="str">
        <f>+B115</f>
        <v/>
      </c>
      <c r="BA2" t="str">
        <f>+B110</f>
        <v>DON'T USE</v>
      </c>
      <c r="BB2" t="str">
        <f>+B111</f>
        <v>Part of Purchase and Sale Agreement</v>
      </c>
      <c r="BC2" t="str">
        <f>+B116</f>
        <v>Purchase and Sale Agreement</v>
      </c>
      <c r="BD2" s="14">
        <f>+B107</f>
        <v>0</v>
      </c>
      <c r="BE2" s="14">
        <f>+B108</f>
        <v>0</v>
      </c>
      <c r="BF2" t="str">
        <f>+B109</f>
        <v>A balloon payment of $0.00 will be due when the property is resold by the purchaser</v>
      </c>
      <c r="BG2" t="str">
        <f>+B75</f>
        <v>7001 Outrigger Dr</v>
      </c>
      <c r="BH2" t="str">
        <f>+B76</f>
        <v>Wendell, NC 27591</v>
      </c>
      <c r="BI2" t="str">
        <f>+B77</f>
        <v>WAKE</v>
      </c>
      <c r="BJ2">
        <f>+B85</f>
        <v>220955</v>
      </c>
      <c r="BK2">
        <f>+B78</f>
        <v>2262.6000000000004</v>
      </c>
      <c r="BL2" s="514">
        <f>+B14</f>
        <v>1595.67</v>
      </c>
      <c r="BM2" s="300">
        <f>+B80</f>
        <v>134.16999999999999</v>
      </c>
      <c r="BN2">
        <f>+B33</f>
        <v>0</v>
      </c>
      <c r="BO2">
        <f>+B106</f>
        <v>0</v>
      </c>
      <c r="BP2">
        <f>+B119</f>
        <v>0</v>
      </c>
      <c r="BQ2">
        <f>+B120</f>
        <v>0</v>
      </c>
      <c r="BR2">
        <f>+B121</f>
        <v>0</v>
      </c>
      <c r="BS2" s="1">
        <f>+B122</f>
        <v>0</v>
      </c>
      <c r="BT2" s="1">
        <f>+B123</f>
        <v>0</v>
      </c>
      <c r="BU2" s="1">
        <f>+B124</f>
        <v>0</v>
      </c>
      <c r="BV2">
        <f>+B87</f>
        <v>0</v>
      </c>
      <c r="BW2" s="138" t="str">
        <f>+B69</f>
        <v>The lease shall be without cost, with the acknowledgement that Lessee will cooperate with work crews in remodeling effort.</v>
      </c>
      <c r="BX2" s="14" t="str">
        <f>+B71</f>
        <v xml:space="preserve"> </v>
      </c>
      <c r="BY2" s="513">
        <f>+B11</f>
        <v>26516.5</v>
      </c>
      <c r="BZ2">
        <f>+B8</f>
        <v>0</v>
      </c>
      <c r="CA2">
        <f>+B9</f>
        <v>0</v>
      </c>
      <c r="CB2" s="513">
        <f>+B10</f>
        <v>314924.09999999998</v>
      </c>
      <c r="CC2" s="14">
        <f>B47</f>
        <v>13870.13</v>
      </c>
      <c r="CF2" t="str">
        <f>+B36</f>
        <v>a married couple</v>
      </c>
      <c r="CG2">
        <f>+B37</f>
        <v>0</v>
      </c>
      <c r="CH2" s="300">
        <f>+B79</f>
        <v>188.55</v>
      </c>
      <c r="CI2">
        <f>+B17</f>
        <v>30</v>
      </c>
      <c r="CJ2">
        <f>+B19</f>
        <v>300</v>
      </c>
      <c r="CK2">
        <f>+B18</f>
        <v>360</v>
      </c>
      <c r="CL2" t="str">
        <f>+B96</f>
        <v>7001 Outrigger Dr Real Estate Trust dated May 2, 2025</v>
      </c>
      <c r="CM2" s="138" t="str">
        <f>+B97</f>
        <v>May 2</v>
      </c>
      <c r="CN2" t="str">
        <f>+B93</f>
        <v>Investment Services LLC</v>
      </c>
      <c r="CO2" t="str">
        <f>+B94</f>
        <v>1309 Coffeen Avenue, STE 1200</v>
      </c>
      <c r="CP2" t="str">
        <f>+B95</f>
        <v>Sheridan, Wyoming 82801</v>
      </c>
      <c r="CQ2">
        <f>+B98</f>
        <v>2025</v>
      </c>
      <c r="CR2" t="str">
        <f>+B128</f>
        <v>Optionee will work with the foreclosure attorneys to stop the sale of the property</v>
      </c>
      <c r="CS2" t="str">
        <f>+B129</f>
        <v>Optionee will reinstate the mortgage by paying the amount in arrears. This is known to be $12,944.45 on March 17th</v>
      </c>
      <c r="CT2" t="str">
        <f>+B130</f>
        <v>Optionee will start probate with the aim of becoming the Administrator of the Estate of Janice Neal.</v>
      </c>
      <c r="CU2" t="str">
        <f>+B131</f>
        <v>Optionee, as the Administrator, I will provide all services to close the estate and sell of its assets.</v>
      </c>
      <c r="CV2" t="str">
        <f>+B132</f>
        <v>Optionee will make regular monthly payments to the mortgage company, until we are prepared to sell the property.</v>
      </c>
      <c r="CW2" t="str">
        <f>+B133</f>
        <v>Optionee will manage property insurance company</v>
      </c>
      <c r="CX2" t="str">
        <f>+B134</f>
        <v>Optionee will pay all expenses of Buying, Administrating Probate, Rehab &amp; Maintenance &amp; Management.</v>
      </c>
      <c r="CY2">
        <f>B135</f>
        <v>0</v>
      </c>
      <c r="CZ2" s="595">
        <f>+B138</f>
        <v>45778</v>
      </c>
      <c r="DA2" s="595">
        <f>+B139</f>
        <v>46143</v>
      </c>
      <c r="DB2" s="595">
        <f>+B140</f>
        <v>45778</v>
      </c>
      <c r="DC2" s="595">
        <f>+B141</f>
        <v>46143</v>
      </c>
      <c r="DD2" s="14" t="str">
        <f>+B57</f>
        <v>Village Capital &amp; Investment LLC</v>
      </c>
      <c r="DE2" s="568" t="str">
        <f>+B58</f>
        <v>PO Box 679118, Dallas, TX 75267</v>
      </c>
      <c r="DF2" s="568" t="str">
        <f>+B59</f>
        <v>800-919-0068</v>
      </c>
      <c r="DG2" s="578" t="str">
        <f>+B60</f>
        <v>8364802</v>
      </c>
      <c r="DH2" s="568">
        <f>+B61</f>
        <v>83169.53</v>
      </c>
      <c r="DI2" s="568">
        <f>+B62</f>
        <v>727.42</v>
      </c>
      <c r="DJ2" s="568">
        <f>+B63</f>
        <v>4.4999999999999998E-2</v>
      </c>
    </row>
    <row r="3" spans="1:114" x14ac:dyDescent="0.25">
      <c r="CZ3" s="25"/>
    </row>
    <row r="4" spans="1:114" x14ac:dyDescent="0.25">
      <c r="K4" s="30"/>
      <c r="BA4" s="30"/>
      <c r="BB4" s="30"/>
      <c r="BC4" s="30"/>
      <c r="BD4" s="30"/>
      <c r="BE4" s="30"/>
      <c r="BF4" s="30"/>
      <c r="CC4" s="514"/>
      <c r="CD4" s="514"/>
      <c r="CE4" s="514"/>
      <c r="CF4" s="514"/>
      <c r="CG4" s="514"/>
      <c r="CH4" s="514"/>
    </row>
    <row r="5" spans="1:114" x14ac:dyDescent="0.25">
      <c r="F5" s="15"/>
      <c r="G5" t="str">
        <f>+B55</f>
        <v xml:space="preserve"> </v>
      </c>
      <c r="BA5" s="30"/>
      <c r="BB5" s="30"/>
      <c r="BX5" s="15"/>
      <c r="CG5" s="30"/>
    </row>
    <row r="6" spans="1:114" ht="16.5" thickBot="1" x14ac:dyDescent="0.3">
      <c r="F6"/>
      <c r="BX6" s="14"/>
    </row>
    <row r="7" spans="1:114" ht="16.5" thickBot="1" x14ac:dyDescent="0.3">
      <c r="A7" s="550" t="s">
        <v>302</v>
      </c>
      <c r="B7" s="566"/>
      <c r="C7" s="566"/>
      <c r="D7" s="566"/>
      <c r="E7" s="566"/>
      <c r="F7" s="566"/>
      <c r="G7" s="25"/>
      <c r="H7" s="25"/>
      <c r="DA7" s="595"/>
    </row>
    <row r="8" spans="1:114" x14ac:dyDescent="0.25">
      <c r="A8" s="30" t="s">
        <v>303</v>
      </c>
      <c r="B8" s="566"/>
      <c r="C8" s="566"/>
      <c r="D8" s="566"/>
      <c r="E8" s="566"/>
      <c r="F8" s="566"/>
      <c r="G8" s="25"/>
      <c r="H8" s="25"/>
    </row>
    <row r="9" spans="1:114" x14ac:dyDescent="0.25">
      <c r="A9" s="30" t="s">
        <v>304</v>
      </c>
      <c r="B9" s="571"/>
      <c r="C9" s="566"/>
      <c r="D9" s="566"/>
      <c r="E9" s="566"/>
      <c r="F9" s="566"/>
      <c r="G9" s="25"/>
      <c r="H9" s="25"/>
    </row>
    <row r="10" spans="1:114" x14ac:dyDescent="0.25">
      <c r="A10" s="30" t="s">
        <v>305</v>
      </c>
      <c r="B10" s="567">
        <f>+Amortization!AA5</f>
        <v>314924.09999999998</v>
      </c>
      <c r="C10" s="567"/>
      <c r="D10" s="567"/>
      <c r="E10" s="567"/>
      <c r="F10" s="567"/>
      <c r="G10" s="518"/>
      <c r="H10" s="518"/>
    </row>
    <row r="11" spans="1:114" x14ac:dyDescent="0.25">
      <c r="A11" s="524" t="s">
        <v>306</v>
      </c>
      <c r="B11" s="567">
        <f>+Amortization!$O$4-B50</f>
        <v>26516.5</v>
      </c>
      <c r="C11" s="567"/>
      <c r="D11" s="567"/>
      <c r="E11" s="567"/>
      <c r="F11" s="567"/>
      <c r="G11" s="518"/>
      <c r="H11" s="518"/>
    </row>
    <row r="12" spans="1:114" x14ac:dyDescent="0.25">
      <c r="A12" s="524" t="s">
        <v>141</v>
      </c>
      <c r="B12" s="568">
        <f>+B10-SUM(B50:B77)</f>
        <v>214002.10499999998</v>
      </c>
      <c r="C12" s="568"/>
      <c r="D12" s="568"/>
      <c r="E12" s="568"/>
      <c r="F12" s="568"/>
      <c r="G12" s="519"/>
      <c r="H12" s="519"/>
    </row>
    <row r="13" spans="1:114" ht="13.5" customHeight="1" x14ac:dyDescent="0.25">
      <c r="A13" s="524" t="s">
        <v>239</v>
      </c>
      <c r="B13" s="569">
        <f>SUM(B14:B14)</f>
        <v>1595.67</v>
      </c>
      <c r="C13" s="569"/>
      <c r="D13" s="569"/>
      <c r="E13" s="569"/>
      <c r="F13" s="569"/>
      <c r="G13" s="522"/>
      <c r="H13" s="522"/>
    </row>
    <row r="14" spans="1:114" ht="13.5" customHeight="1" x14ac:dyDescent="0.25">
      <c r="A14" s="524" t="s">
        <v>307</v>
      </c>
      <c r="B14" s="570">
        <f>+Amortization!Z8</f>
        <v>1595.67</v>
      </c>
      <c r="C14" s="570"/>
      <c r="D14" s="570"/>
      <c r="E14" s="570"/>
      <c r="F14" s="570"/>
      <c r="G14" s="521"/>
      <c r="H14" s="521"/>
    </row>
    <row r="15" spans="1:114" ht="13.5" customHeight="1" x14ac:dyDescent="0.25">
      <c r="A15" s="524" t="s">
        <v>308</v>
      </c>
      <c r="B15" s="570">
        <f>+Amortization!Z9</f>
        <v>1746.44</v>
      </c>
      <c r="C15" s="570"/>
      <c r="D15" s="570"/>
      <c r="E15" s="570"/>
      <c r="F15" s="570"/>
      <c r="G15" s="521"/>
      <c r="H15" s="521"/>
    </row>
    <row r="16" spans="1:114" ht="13.5" customHeight="1" x14ac:dyDescent="0.25">
      <c r="A16" s="524" t="s">
        <v>240</v>
      </c>
      <c r="B16" s="569">
        <f>SUM(B15:B15)</f>
        <v>1746.44</v>
      </c>
      <c r="C16" s="569"/>
      <c r="D16" s="569"/>
      <c r="E16" s="569"/>
      <c r="F16" s="569"/>
      <c r="G16" s="522"/>
      <c r="H16" s="522"/>
    </row>
    <row r="17" spans="1:8" ht="13.5" customHeight="1" x14ac:dyDescent="0.25">
      <c r="A17" s="524" t="s">
        <v>309</v>
      </c>
      <c r="B17" s="571">
        <v>30</v>
      </c>
      <c r="C17" s="569"/>
      <c r="D17" s="569"/>
      <c r="E17" s="569"/>
      <c r="F17" s="569"/>
      <c r="G17" s="522"/>
      <c r="H17" s="522"/>
    </row>
    <row r="18" spans="1:8" ht="13.5" customHeight="1" x14ac:dyDescent="0.25">
      <c r="A18" s="30" t="s">
        <v>310</v>
      </c>
      <c r="B18" s="590">
        <f>+B17*12</f>
        <v>360</v>
      </c>
      <c r="C18" s="569"/>
      <c r="D18" s="569"/>
      <c r="E18" s="569"/>
      <c r="F18" s="569"/>
      <c r="G18" s="522"/>
      <c r="H18" s="522"/>
    </row>
    <row r="19" spans="1:8" ht="13.5" customHeight="1" x14ac:dyDescent="0.25">
      <c r="A19" s="30" t="s">
        <v>311</v>
      </c>
      <c r="B19" s="590">
        <f>+B18-60</f>
        <v>300</v>
      </c>
      <c r="C19" s="569"/>
      <c r="D19" s="569"/>
      <c r="E19" s="569"/>
      <c r="F19" s="569"/>
      <c r="G19" s="522"/>
      <c r="H19" s="522"/>
    </row>
    <row r="20" spans="1:8" ht="13.5" customHeight="1" x14ac:dyDescent="0.25">
      <c r="A20" s="30" t="s">
        <v>312</v>
      </c>
      <c r="B20" s="572">
        <v>45748</v>
      </c>
      <c r="C20" s="569"/>
      <c r="D20" s="569"/>
      <c r="E20" s="569"/>
      <c r="F20" s="569"/>
      <c r="G20" s="522"/>
      <c r="H20" s="522"/>
    </row>
    <row r="21" spans="1:8" x14ac:dyDescent="0.25">
      <c r="A21" s="30" t="s">
        <v>313</v>
      </c>
      <c r="B21" s="573">
        <f>+$B$20+(5*365)-DAY(+$B$20+(5*365))+1</f>
        <v>47543</v>
      </c>
      <c r="C21" s="569"/>
      <c r="D21" s="569"/>
      <c r="E21" s="569"/>
      <c r="F21" s="569"/>
      <c r="G21" s="522"/>
      <c r="H21" s="522"/>
    </row>
    <row r="22" spans="1:8" x14ac:dyDescent="0.25">
      <c r="A22" s="30" t="s">
        <v>314</v>
      </c>
      <c r="B22" s="573">
        <f>+$B$20+(5*365)-DAY(+$B$20+(5*365))+32</f>
        <v>47574</v>
      </c>
      <c r="C22" s="569"/>
      <c r="D22" s="569"/>
      <c r="E22" s="569"/>
      <c r="F22" s="569"/>
      <c r="G22" s="522"/>
      <c r="H22" s="522"/>
    </row>
    <row r="23" spans="1:8" x14ac:dyDescent="0.25">
      <c r="A23" s="30" t="s">
        <v>315</v>
      </c>
      <c r="B23" s="573">
        <f>+$B$20+($B$17*365)-DAY(+$B$20+($B$17*365))+1</f>
        <v>56674</v>
      </c>
      <c r="C23" s="569"/>
      <c r="D23" s="569"/>
      <c r="E23" s="569"/>
      <c r="F23" s="569"/>
      <c r="G23" s="522"/>
      <c r="H23" s="522"/>
    </row>
    <row r="24" spans="1:8" ht="16.5" thickBot="1" x14ac:dyDescent="0.3">
      <c r="A24" s="30" t="s">
        <v>316</v>
      </c>
      <c r="B24" s="566"/>
      <c r="C24" s="569"/>
      <c r="D24" s="569"/>
      <c r="E24" s="569"/>
      <c r="F24" s="569"/>
      <c r="G24" s="522"/>
      <c r="H24" s="522"/>
    </row>
    <row r="25" spans="1:8" ht="16.5" thickBot="1" x14ac:dyDescent="0.3">
      <c r="A25" s="550" t="s">
        <v>317</v>
      </c>
      <c r="B25" s="566"/>
      <c r="C25" s="569"/>
      <c r="D25" s="569"/>
      <c r="E25" s="569"/>
      <c r="F25" s="569"/>
      <c r="G25" s="522"/>
      <c r="H25" s="522"/>
    </row>
    <row r="26" spans="1:8" x14ac:dyDescent="0.25">
      <c r="A26" s="30" t="s">
        <v>318</v>
      </c>
      <c r="B26" s="571" t="s">
        <v>319</v>
      </c>
      <c r="C26" s="569"/>
      <c r="D26" s="569"/>
      <c r="E26" s="569"/>
      <c r="F26" s="569"/>
      <c r="G26" s="522"/>
      <c r="H26" s="522"/>
    </row>
    <row r="27" spans="1:8" x14ac:dyDescent="0.25">
      <c r="A27" s="30" t="s">
        <v>320</v>
      </c>
      <c r="B27" s="566" t="str">
        <f>MOG!$B$3 &amp; " " &amp; MOG!$C$3</f>
        <v>DOUGLAS COUCH</v>
      </c>
      <c r="C27" s="569"/>
      <c r="D27" s="569"/>
      <c r="E27" s="569"/>
      <c r="F27" s="569"/>
      <c r="G27" s="522"/>
      <c r="H27" s="522"/>
    </row>
    <row r="28" spans="1:8" x14ac:dyDescent="0.25">
      <c r="A28" s="30" t="s">
        <v>321</v>
      </c>
      <c r="B28" s="566" t="s">
        <v>322</v>
      </c>
      <c r="C28" s="569"/>
      <c r="D28" s="569"/>
      <c r="E28" s="569"/>
      <c r="F28" s="569"/>
      <c r="G28" s="522"/>
      <c r="H28" s="522"/>
    </row>
    <row r="29" spans="1:8" x14ac:dyDescent="0.25">
      <c r="A29" s="30" t="s">
        <v>323</v>
      </c>
      <c r="B29" s="566" t="s">
        <v>324</v>
      </c>
      <c r="C29" s="569"/>
      <c r="D29" s="569"/>
      <c r="E29" s="569"/>
      <c r="F29" s="569"/>
      <c r="G29" s="522"/>
      <c r="H29" s="522"/>
    </row>
    <row r="30" spans="1:8" x14ac:dyDescent="0.25">
      <c r="A30" s="30" t="s">
        <v>325</v>
      </c>
      <c r="B30" s="566" t="str">
        <f>IF(B33="",MOG!B4&amp;" "&amp;MOG!C4,"")</f>
        <v>SHIELA MARIE COUCH</v>
      </c>
      <c r="C30" s="569"/>
      <c r="D30" s="569"/>
      <c r="E30" s="569"/>
      <c r="F30" s="569"/>
      <c r="G30" s="522"/>
      <c r="H30" s="522"/>
    </row>
    <row r="31" spans="1:8" x14ac:dyDescent="0.25">
      <c r="A31" s="30" t="s">
        <v>326</v>
      </c>
      <c r="B31" s="591"/>
      <c r="C31" s="569"/>
      <c r="D31" s="569"/>
      <c r="E31" s="569"/>
      <c r="F31" s="569"/>
      <c r="G31" s="522"/>
      <c r="H31" s="522"/>
    </row>
    <row r="32" spans="1:8" x14ac:dyDescent="0.25">
      <c r="A32" s="30" t="s">
        <v>327</v>
      </c>
      <c r="B32" s="591"/>
      <c r="C32" s="569"/>
      <c r="D32" s="569"/>
      <c r="E32" s="569"/>
      <c r="F32" s="569"/>
      <c r="G32" s="522"/>
      <c r="H32" s="522"/>
    </row>
    <row r="33" spans="1:8" x14ac:dyDescent="0.25">
      <c r="A33" s="30" t="s">
        <v>328</v>
      </c>
      <c r="B33" s="590"/>
      <c r="C33" s="569"/>
      <c r="D33" s="569"/>
      <c r="E33" s="569"/>
      <c r="F33" s="569"/>
      <c r="G33" s="522"/>
      <c r="H33" s="522"/>
    </row>
    <row r="34" spans="1:8" x14ac:dyDescent="0.25">
      <c r="A34" s="30" t="s">
        <v>329</v>
      </c>
      <c r="B34" s="571" t="str">
        <f>MOG!B4&amp;" "&amp;MOG!C4</f>
        <v>SHIELA MARIE COUCH</v>
      </c>
      <c r="C34" s="569"/>
      <c r="D34" s="569"/>
      <c r="E34" s="569"/>
      <c r="F34" s="569"/>
      <c r="G34" s="522"/>
      <c r="H34" s="522"/>
    </row>
    <row r="35" spans="1:8" x14ac:dyDescent="0.25">
      <c r="A35" s="30" t="s">
        <v>330</v>
      </c>
      <c r="B35" s="566" t="str">
        <f>IF(B33="",MOG!$B$3 &amp; " " &amp; MOG!$C$3 &amp; IF(+MOG!$C$4="",""," and " &amp; +MOG!$B$4 &amp; " " &amp;MOG!$C$4),B33)</f>
        <v>DOUGLAS COUCH and SHIELA MARIE COUCH</v>
      </c>
      <c r="C35" s="569"/>
      <c r="D35" s="569"/>
      <c r="E35" s="569"/>
      <c r="F35" s="569"/>
      <c r="G35" s="522"/>
      <c r="H35" s="522"/>
    </row>
    <row r="36" spans="1:8" x14ac:dyDescent="0.25">
      <c r="A36" s="30" t="s">
        <v>331</v>
      </c>
      <c r="B36" s="566" t="s">
        <v>332</v>
      </c>
      <c r="C36" s="569"/>
      <c r="D36" s="569"/>
      <c r="E36" s="569"/>
      <c r="F36" s="569"/>
      <c r="G36" s="522"/>
      <c r="H36" s="522"/>
    </row>
    <row r="37" spans="1:8" x14ac:dyDescent="0.25">
      <c r="A37" s="30" t="s">
        <v>333</v>
      </c>
      <c r="B37" s="571"/>
      <c r="C37" s="569"/>
      <c r="D37" s="569"/>
      <c r="E37" s="569"/>
      <c r="F37" s="569"/>
      <c r="G37" s="522"/>
      <c r="H37" s="522"/>
    </row>
    <row r="38" spans="1:8" x14ac:dyDescent="0.25">
      <c r="C38" s="569"/>
      <c r="D38" s="569"/>
      <c r="E38" s="569"/>
      <c r="F38" s="569"/>
      <c r="G38" s="522"/>
      <c r="H38" s="522"/>
    </row>
    <row r="39" spans="1:8" x14ac:dyDescent="0.25">
      <c r="C39" s="569"/>
      <c r="D39" s="569"/>
      <c r="E39" s="569"/>
      <c r="F39" s="569"/>
      <c r="G39" s="522"/>
      <c r="H39" s="522"/>
    </row>
    <row r="40" spans="1:8" x14ac:dyDescent="0.25">
      <c r="C40" s="569"/>
      <c r="D40" s="569"/>
      <c r="E40" s="569"/>
      <c r="F40" s="569"/>
      <c r="G40" s="522"/>
      <c r="H40" s="522"/>
    </row>
    <row r="41" spans="1:8" x14ac:dyDescent="0.25">
      <c r="C41" s="569"/>
      <c r="D41" s="569"/>
      <c r="E41" s="569"/>
      <c r="F41" s="569"/>
      <c r="G41" s="522"/>
      <c r="H41" s="522"/>
    </row>
    <row r="42" spans="1:8" x14ac:dyDescent="0.25">
      <c r="A42" s="30" t="s">
        <v>227</v>
      </c>
      <c r="B42" s="566" t="s">
        <v>334</v>
      </c>
      <c r="C42" s="569"/>
      <c r="D42" s="569"/>
      <c r="E42" s="569"/>
      <c r="F42" s="569"/>
      <c r="G42" s="522"/>
      <c r="H42" s="522"/>
    </row>
    <row r="43" spans="1:8" x14ac:dyDescent="0.25">
      <c r="A43" s="30" t="s">
        <v>335</v>
      </c>
      <c r="B43" s="571" t="s">
        <v>336</v>
      </c>
      <c r="C43" s="569"/>
      <c r="D43" s="569"/>
      <c r="E43" s="569"/>
      <c r="F43" s="569"/>
      <c r="G43" s="522"/>
      <c r="H43" s="522"/>
    </row>
    <row r="44" spans="1:8" x14ac:dyDescent="0.25">
      <c r="A44" s="30" t="s">
        <v>337</v>
      </c>
      <c r="B44" s="571" t="s">
        <v>336</v>
      </c>
      <c r="C44" s="569"/>
      <c r="D44" s="569"/>
      <c r="E44" s="569"/>
      <c r="F44" s="569"/>
      <c r="G44" s="522"/>
      <c r="H44" s="522"/>
    </row>
    <row r="45" spans="1:8" x14ac:dyDescent="0.25">
      <c r="A45" s="30" t="s">
        <v>338</v>
      </c>
      <c r="B45" s="571" t="s">
        <v>336</v>
      </c>
      <c r="C45" s="569"/>
      <c r="D45" s="569"/>
      <c r="E45" s="569"/>
      <c r="F45" s="569"/>
      <c r="G45" s="522"/>
      <c r="H45" s="522"/>
    </row>
    <row r="46" spans="1:8" x14ac:dyDescent="0.25">
      <c r="A46" s="30" t="s">
        <v>232</v>
      </c>
      <c r="B46" s="602" t="str">
        <f>+B60</f>
        <v>8364802</v>
      </c>
      <c r="C46" s="569"/>
      <c r="D46" s="569"/>
      <c r="E46" s="569"/>
      <c r="F46" s="569"/>
      <c r="G46" s="522"/>
      <c r="H46" s="522"/>
    </row>
    <row r="47" spans="1:8" x14ac:dyDescent="0.25">
      <c r="A47" s="524" t="s">
        <v>339</v>
      </c>
      <c r="B47" s="568">
        <f>Profit!C14</f>
        <v>13870.13</v>
      </c>
      <c r="C47" s="569"/>
      <c r="D47" s="569"/>
      <c r="E47" s="569"/>
      <c r="F47" s="569"/>
      <c r="G47" s="522"/>
      <c r="H47" s="522"/>
    </row>
    <row r="48" spans="1:8" x14ac:dyDescent="0.25">
      <c r="A48" s="524" t="s">
        <v>135</v>
      </c>
      <c r="B48" s="568">
        <f>Profit!C15</f>
        <v>83169.53</v>
      </c>
      <c r="C48" s="569"/>
      <c r="D48" s="569"/>
      <c r="E48" s="569"/>
      <c r="F48" s="569"/>
      <c r="G48" s="522"/>
      <c r="H48" s="522"/>
    </row>
    <row r="49" spans="1:8" x14ac:dyDescent="0.25">
      <c r="A49" s="524" t="s">
        <v>340</v>
      </c>
      <c r="B49" s="568">
        <f>Profit!B21</f>
        <v>112039.66</v>
      </c>
      <c r="C49" s="569"/>
      <c r="D49" s="569"/>
      <c r="E49" s="569"/>
      <c r="F49" s="569"/>
      <c r="G49" s="522"/>
      <c r="H49" s="522"/>
    </row>
    <row r="50" spans="1:8" x14ac:dyDescent="0.25">
      <c r="A50" s="524" t="s">
        <v>341</v>
      </c>
      <c r="B50" s="571">
        <v>500</v>
      </c>
      <c r="C50" s="569"/>
      <c r="D50" s="569"/>
      <c r="E50" s="569"/>
      <c r="F50" s="569"/>
      <c r="G50" s="522"/>
      <c r="H50" s="522"/>
    </row>
    <row r="51" spans="1:8" x14ac:dyDescent="0.25">
      <c r="A51" s="524" t="s">
        <v>342</v>
      </c>
      <c r="B51" s="568">
        <f>+Profit!C20-B50</f>
        <v>14500</v>
      </c>
      <c r="C51" s="568"/>
      <c r="D51" s="568"/>
      <c r="E51" s="568"/>
      <c r="F51" s="568"/>
      <c r="G51" s="519"/>
      <c r="H51" s="519"/>
    </row>
    <row r="52" spans="1:8" x14ac:dyDescent="0.25">
      <c r="A52" s="524" t="s">
        <v>343</v>
      </c>
      <c r="B52" s="570" t="str">
        <f>TEXT(Amortization!$C$3,"0.000%")</f>
        <v>4.500%</v>
      </c>
      <c r="C52" s="570"/>
      <c r="D52" s="570"/>
      <c r="E52" s="570"/>
      <c r="F52" s="570"/>
      <c r="G52" s="521"/>
      <c r="H52" s="521"/>
    </row>
    <row r="53" spans="1:8" x14ac:dyDescent="0.25">
      <c r="A53" s="524" t="s">
        <v>344</v>
      </c>
      <c r="B53" s="570" t="str">
        <f>TEXT(+Amortization!AA8,"0.000%")</f>
        <v>4.500%</v>
      </c>
      <c r="C53" s="570"/>
      <c r="D53" s="570"/>
      <c r="E53" s="570"/>
      <c r="F53" s="570"/>
      <c r="G53" s="521"/>
      <c r="H53" s="521"/>
    </row>
    <row r="54" spans="1:8" x14ac:dyDescent="0.25">
      <c r="A54" s="524" t="s">
        <v>345</v>
      </c>
      <c r="B54" s="570" t="str">
        <f>TEXT(Amortization!$O$6,"0.000%")</f>
        <v>7.000%</v>
      </c>
      <c r="C54" s="570"/>
      <c r="D54" s="570"/>
      <c r="E54" s="570"/>
      <c r="F54" s="570"/>
      <c r="G54" s="521"/>
      <c r="H54" s="521"/>
    </row>
    <row r="55" spans="1:8" ht="16.5" thickBot="1" x14ac:dyDescent="0.3">
      <c r="A55" s="524" t="s">
        <v>346</v>
      </c>
      <c r="B55" s="568" t="s">
        <v>347</v>
      </c>
      <c r="C55" s="568"/>
      <c r="D55" s="568"/>
      <c r="E55" s="568"/>
      <c r="F55" s="568"/>
      <c r="G55" s="519"/>
      <c r="H55" s="519"/>
    </row>
    <row r="56" spans="1:8" ht="16.5" thickBot="1" x14ac:dyDescent="0.3">
      <c r="A56" s="550" t="s">
        <v>348</v>
      </c>
      <c r="B56" s="570"/>
      <c r="C56" s="570"/>
      <c r="D56" s="570"/>
      <c r="E56" s="570"/>
      <c r="F56" s="570"/>
      <c r="G56" s="521"/>
      <c r="H56" s="521"/>
    </row>
    <row r="57" spans="1:8" x14ac:dyDescent="0.25">
      <c r="A57" s="524" t="s">
        <v>348</v>
      </c>
      <c r="B57" s="579" t="s">
        <v>349</v>
      </c>
      <c r="C57" s="568"/>
      <c r="D57" s="568"/>
      <c r="E57" s="568"/>
      <c r="F57" s="568"/>
      <c r="G57" s="519"/>
      <c r="H57" s="519"/>
    </row>
    <row r="58" spans="1:8" x14ac:dyDescent="0.25">
      <c r="A58" s="30" t="s">
        <v>350</v>
      </c>
      <c r="B58" s="579" t="s">
        <v>351</v>
      </c>
      <c r="C58" s="568"/>
      <c r="F58" s="568"/>
      <c r="G58" s="519"/>
      <c r="H58" s="519"/>
    </row>
    <row r="59" spans="1:8" x14ac:dyDescent="0.25">
      <c r="A59" s="30" t="s">
        <v>352</v>
      </c>
      <c r="B59" s="579" t="s">
        <v>353</v>
      </c>
      <c r="C59" s="568"/>
      <c r="F59" s="568"/>
      <c r="G59" s="519"/>
      <c r="H59" s="519"/>
    </row>
    <row r="60" spans="1:8" x14ac:dyDescent="0.25">
      <c r="A60" s="30" t="s">
        <v>298</v>
      </c>
      <c r="B60" s="577" t="s">
        <v>354</v>
      </c>
      <c r="G60" s="520"/>
      <c r="H60" s="520"/>
    </row>
    <row r="61" spans="1:8" x14ac:dyDescent="0.25">
      <c r="A61" s="30" t="s">
        <v>355</v>
      </c>
      <c r="B61" s="597">
        <f>+Profit!C15</f>
        <v>83169.53</v>
      </c>
      <c r="G61" s="520"/>
      <c r="H61" s="520"/>
    </row>
    <row r="62" spans="1:8" x14ac:dyDescent="0.25">
      <c r="A62" s="30" t="s">
        <v>356</v>
      </c>
      <c r="B62" s="597">
        <f>+Carrying!E5</f>
        <v>727.42</v>
      </c>
      <c r="G62" s="520"/>
      <c r="H62" s="520"/>
    </row>
    <row r="63" spans="1:8" x14ac:dyDescent="0.25">
      <c r="A63" s="30" t="s">
        <v>357</v>
      </c>
      <c r="B63" s="599">
        <f>+Profit!B15</f>
        <v>4.4999999999999998E-2</v>
      </c>
      <c r="G63" s="520"/>
      <c r="H63" s="520"/>
    </row>
    <row r="64" spans="1:8" ht="16.5" thickBot="1" x14ac:dyDescent="0.3"/>
    <row r="65" spans="1:8" ht="16.5" thickBot="1" x14ac:dyDescent="0.3">
      <c r="A65" s="550" t="s">
        <v>358</v>
      </c>
      <c r="B65" s="575"/>
      <c r="C65" s="575"/>
      <c r="D65" s="575"/>
      <c r="E65" s="575"/>
      <c r="F65" s="575"/>
      <c r="G65" s="551"/>
      <c r="H65" s="551"/>
    </row>
    <row r="66" spans="1:8" x14ac:dyDescent="0.25">
      <c r="A66" s="524" t="s">
        <v>359</v>
      </c>
      <c r="B66" s="579" t="str">
        <f>+MOG!B3&amp;" "&amp;MOG!C3</f>
        <v>DOUGLAS COUCH</v>
      </c>
      <c r="C66" s="575"/>
      <c r="D66" s="575"/>
      <c r="E66" s="575"/>
      <c r="F66" s="575"/>
      <c r="G66" s="551"/>
      <c r="H66" s="551"/>
    </row>
    <row r="67" spans="1:8" x14ac:dyDescent="0.25">
      <c r="A67" s="524" t="s">
        <v>360</v>
      </c>
      <c r="B67" s="568" t="str">
        <f>IF(B66="",+Docs!B35,B66)</f>
        <v>DOUGLAS COUCH</v>
      </c>
      <c r="C67" s="568"/>
      <c r="D67" s="568"/>
      <c r="E67" s="568"/>
      <c r="F67" s="568"/>
      <c r="G67" s="551"/>
      <c r="H67" s="551"/>
    </row>
    <row r="68" spans="1:8" x14ac:dyDescent="0.25">
      <c r="A68" s="524" t="s">
        <v>361</v>
      </c>
      <c r="B68" s="592">
        <v>2025</v>
      </c>
      <c r="C68" s="576"/>
      <c r="D68" s="576"/>
      <c r="E68" s="576"/>
      <c r="F68" s="576"/>
      <c r="G68" s="32"/>
      <c r="H68" s="32"/>
    </row>
    <row r="69" spans="1:8" x14ac:dyDescent="0.25">
      <c r="A69" s="30" t="s">
        <v>362</v>
      </c>
      <c r="B69" s="579" t="s">
        <v>363</v>
      </c>
      <c r="C69" s="568"/>
      <c r="D69" s="568"/>
      <c r="E69" s="568"/>
      <c r="F69" s="568"/>
      <c r="G69" s="519"/>
      <c r="H69" s="519"/>
    </row>
    <row r="70" spans="1:8" x14ac:dyDescent="0.25">
      <c r="A70" s="30" t="s">
        <v>364</v>
      </c>
      <c r="B70" s="579"/>
      <c r="C70" s="575"/>
      <c r="D70" s="575"/>
      <c r="E70" s="575"/>
      <c r="F70" s="575"/>
      <c r="G70" s="519"/>
      <c r="H70" s="519"/>
    </row>
    <row r="71" spans="1:8" x14ac:dyDescent="0.25">
      <c r="A71" s="30" t="s">
        <v>365</v>
      </c>
      <c r="B71" s="568" t="str">
        <f>IF(B70="X","[X] If checked, The rent shall adjust, annually, to exactly the amount of the mortgage payment, property insurance, real estate taxes, plus $10.00."," ")</f>
        <v xml:space="preserve"> </v>
      </c>
      <c r="C71" s="575"/>
      <c r="D71" s="575"/>
      <c r="E71" s="575"/>
      <c r="F71" s="575"/>
      <c r="G71" s="519"/>
      <c r="H71" s="519"/>
    </row>
    <row r="72" spans="1:8" x14ac:dyDescent="0.25">
      <c r="A72" s="30" t="s">
        <v>366</v>
      </c>
      <c r="B72" s="580">
        <v>0</v>
      </c>
      <c r="C72" s="575"/>
      <c r="D72" s="575"/>
      <c r="E72" s="575"/>
      <c r="F72" s="575"/>
      <c r="G72" s="519"/>
      <c r="H72" s="519"/>
    </row>
    <row r="73" spans="1:8" ht="16.5" thickBot="1" x14ac:dyDescent="0.3">
      <c r="A73" s="30" t="s">
        <v>367</v>
      </c>
      <c r="B73" s="574">
        <f>IF(B72=0,0,Carrying!E5)</f>
        <v>0</v>
      </c>
      <c r="C73" s="574"/>
      <c r="D73" s="574"/>
      <c r="E73" s="574"/>
      <c r="F73" s="574"/>
      <c r="G73" s="519"/>
      <c r="H73" s="519"/>
    </row>
    <row r="74" spans="1:8" ht="16.5" thickBot="1" x14ac:dyDescent="0.3">
      <c r="A74" s="550" t="s">
        <v>368</v>
      </c>
      <c r="B74" s="566"/>
      <c r="C74" s="566"/>
      <c r="D74" s="566"/>
      <c r="E74" s="566"/>
      <c r="F74" s="566"/>
      <c r="G74" s="25"/>
      <c r="H74" s="25"/>
    </row>
    <row r="75" spans="1:8" x14ac:dyDescent="0.25">
      <c r="A75" s="30" t="s">
        <v>369</v>
      </c>
      <c r="B75" s="566" t="str">
        <f>+Profit!$B$2</f>
        <v>7001 Outrigger Dr</v>
      </c>
      <c r="C75" s="566"/>
      <c r="D75" s="566"/>
      <c r="E75" s="566"/>
      <c r="F75" s="566"/>
      <c r="G75" s="25"/>
      <c r="H75" s="25"/>
    </row>
    <row r="76" spans="1:8" x14ac:dyDescent="0.25">
      <c r="A76" s="30" t="s">
        <v>370</v>
      </c>
      <c r="B76" s="566" t="str">
        <f>+Profit!$E$2</f>
        <v>Wendell, NC 27591</v>
      </c>
      <c r="C76" s="566"/>
      <c r="D76" s="566"/>
      <c r="E76" s="566"/>
      <c r="F76" s="566"/>
      <c r="G76" s="25"/>
      <c r="H76" s="25"/>
    </row>
    <row r="77" spans="1:8" x14ac:dyDescent="0.25">
      <c r="A77" s="30" t="s">
        <v>371</v>
      </c>
      <c r="B77" s="571" t="s">
        <v>372</v>
      </c>
      <c r="C77" s="566"/>
      <c r="D77" s="566"/>
      <c r="E77" s="566"/>
      <c r="F77" s="566"/>
      <c r="G77" s="25"/>
      <c r="H77" s="25"/>
    </row>
    <row r="78" spans="1:8" x14ac:dyDescent="0.25">
      <c r="A78" s="524" t="s">
        <v>373</v>
      </c>
      <c r="B78" s="566">
        <f>+B79*12</f>
        <v>2262.6000000000004</v>
      </c>
      <c r="C78" s="566"/>
      <c r="D78" s="566"/>
      <c r="E78" s="566"/>
      <c r="F78" s="566"/>
      <c r="G78" s="25"/>
      <c r="H78" s="25"/>
    </row>
    <row r="79" spans="1:8" x14ac:dyDescent="0.25">
      <c r="A79" s="524" t="s">
        <v>374</v>
      </c>
      <c r="B79" s="574">
        <f>+Amortization!$T$9</f>
        <v>188.55</v>
      </c>
      <c r="C79" s="574"/>
      <c r="D79" s="574"/>
      <c r="E79" s="574"/>
      <c r="F79" s="574"/>
      <c r="G79" s="520"/>
      <c r="H79" s="520"/>
    </row>
    <row r="80" spans="1:8" x14ac:dyDescent="0.25">
      <c r="A80" s="524" t="s">
        <v>375</v>
      </c>
      <c r="B80" s="574">
        <f>+Amortization!$T$8</f>
        <v>134.16999999999999</v>
      </c>
      <c r="C80" s="574"/>
      <c r="D80" s="574"/>
      <c r="E80" s="574"/>
      <c r="F80" s="574"/>
      <c r="G80" s="520"/>
      <c r="H80" s="520"/>
    </row>
    <row r="81" spans="1:73" ht="16.5" thickBot="1" x14ac:dyDescent="0.3">
      <c r="A81" s="525" t="s">
        <v>376</v>
      </c>
      <c r="B81" s="571">
        <v>0</v>
      </c>
      <c r="C81" s="566"/>
      <c r="D81" s="566"/>
      <c r="E81" s="566"/>
      <c r="F81" s="566"/>
      <c r="G81" s="25"/>
      <c r="H81" s="25"/>
    </row>
    <row r="82" spans="1:73" ht="16.5" thickBot="1" x14ac:dyDescent="0.3">
      <c r="A82" s="550" t="s">
        <v>377</v>
      </c>
      <c r="B82" s="566"/>
      <c r="C82" s="566"/>
      <c r="D82" s="566"/>
      <c r="E82" s="566"/>
      <c r="F82" s="566"/>
      <c r="G82" s="25"/>
      <c r="H82" s="25"/>
    </row>
    <row r="83" spans="1:73" ht="31.5" x14ac:dyDescent="0.25">
      <c r="A83" s="30" t="s">
        <v>378</v>
      </c>
      <c r="B83" s="601" t="s">
        <v>379</v>
      </c>
      <c r="C83" s="568"/>
      <c r="D83" s="568"/>
      <c r="E83" s="568"/>
      <c r="F83" s="568"/>
      <c r="G83" s="519"/>
      <c r="H83" s="519"/>
    </row>
    <row r="84" spans="1:73" ht="47.25" x14ac:dyDescent="0.25">
      <c r="A84" s="30" t="s">
        <v>380</v>
      </c>
      <c r="B84" s="601" t="s">
        <v>381</v>
      </c>
      <c r="C84" s="568"/>
      <c r="D84" s="568"/>
      <c r="E84" s="568"/>
      <c r="F84" s="568"/>
      <c r="G84" s="519"/>
      <c r="H84" s="519"/>
    </row>
    <row r="85" spans="1:73" x14ac:dyDescent="0.25">
      <c r="A85" s="30" t="s">
        <v>382</v>
      </c>
      <c r="B85" s="600">
        <v>220955</v>
      </c>
      <c r="C85" s="575"/>
      <c r="D85" s="575"/>
      <c r="E85" s="575"/>
      <c r="F85" s="575"/>
      <c r="G85" s="575"/>
      <c r="H85" s="575"/>
      <c r="I85" s="575"/>
      <c r="J85" s="575"/>
    </row>
    <row r="86" spans="1:73" x14ac:dyDescent="0.25">
      <c r="C86" s="575"/>
      <c r="D86" s="575"/>
      <c r="E86" s="575"/>
      <c r="F86" s="575"/>
      <c r="G86" s="575"/>
      <c r="H86" s="575"/>
      <c r="I86" s="575"/>
      <c r="J86" s="575"/>
    </row>
    <row r="87" spans="1:73" x14ac:dyDescent="0.25">
      <c r="A87" s="30" t="s">
        <v>383</v>
      </c>
      <c r="B87" s="580"/>
      <c r="C87" s="575"/>
      <c r="D87" s="575"/>
      <c r="E87" s="575"/>
      <c r="F87" s="575"/>
      <c r="G87" s="575"/>
      <c r="H87" s="575"/>
      <c r="I87" s="575"/>
      <c r="J87" s="575"/>
    </row>
    <row r="88" spans="1:73" x14ac:dyDescent="0.25">
      <c r="A88" s="30" t="s">
        <v>384</v>
      </c>
      <c r="B88" s="571"/>
      <c r="C88" s="575"/>
      <c r="D88" s="575"/>
      <c r="E88" s="575"/>
      <c r="F88" s="575"/>
      <c r="G88" s="575"/>
      <c r="H88" s="575"/>
      <c r="I88" s="575"/>
      <c r="J88" s="575"/>
    </row>
    <row r="89" spans="1:73" x14ac:dyDescent="0.25">
      <c r="A89" s="30" t="s">
        <v>385</v>
      </c>
      <c r="B89" s="577"/>
      <c r="C89" s="575"/>
      <c r="D89" s="575"/>
      <c r="E89" s="575"/>
      <c r="F89" s="575"/>
      <c r="G89" s="575"/>
      <c r="H89" s="575"/>
      <c r="I89" s="575"/>
      <c r="J89" s="575"/>
    </row>
    <row r="90" spans="1:73" x14ac:dyDescent="0.25">
      <c r="A90" s="30" t="s">
        <v>386</v>
      </c>
      <c r="B90" s="577"/>
      <c r="C90" s="575"/>
      <c r="D90" s="575"/>
      <c r="E90" s="575"/>
      <c r="F90" s="575"/>
      <c r="G90" s="575"/>
      <c r="H90" s="575"/>
      <c r="I90" s="575"/>
      <c r="J90" s="575"/>
    </row>
    <row r="91" spans="1:73" ht="16.5" thickBot="1" x14ac:dyDescent="0.3">
      <c r="A91" s="30" t="s">
        <v>387</v>
      </c>
      <c r="B91" s="571"/>
      <c r="C91" s="575"/>
      <c r="D91" s="575"/>
      <c r="E91" s="575"/>
      <c r="F91" s="575"/>
      <c r="G91" s="575"/>
      <c r="H91" s="575"/>
      <c r="I91" s="575"/>
      <c r="J91" s="575"/>
    </row>
    <row r="92" spans="1:73" ht="16.5" thickBot="1" x14ac:dyDescent="0.3">
      <c r="A92" s="550" t="s">
        <v>388</v>
      </c>
      <c r="B92" s="566"/>
      <c r="C92" s="575"/>
      <c r="D92" s="575"/>
      <c r="E92" s="575"/>
      <c r="F92" s="575"/>
      <c r="G92" s="25"/>
      <c r="H92" s="25"/>
    </row>
    <row r="93" spans="1:73" x14ac:dyDescent="0.25">
      <c r="A93" s="30" t="s">
        <v>280</v>
      </c>
      <c r="B93" s="571" t="s">
        <v>389</v>
      </c>
      <c r="C93" s="566"/>
      <c r="D93" s="566"/>
      <c r="E93" s="566"/>
      <c r="F93" s="566"/>
      <c r="G93" s="25"/>
      <c r="H93" s="25"/>
    </row>
    <row r="94" spans="1:73" x14ac:dyDescent="0.25">
      <c r="A94" s="30" t="s">
        <v>390</v>
      </c>
      <c r="B94" s="580" t="s">
        <v>391</v>
      </c>
    </row>
    <row r="95" spans="1:73" x14ac:dyDescent="0.25">
      <c r="A95" s="30" t="s">
        <v>392</v>
      </c>
      <c r="B95" s="580" t="s">
        <v>393</v>
      </c>
    </row>
    <row r="96" spans="1:73" x14ac:dyDescent="0.25">
      <c r="A96" s="30" t="s">
        <v>278</v>
      </c>
      <c r="B96" s="566" t="str">
        <f>+ B75 &amp; " Real Estate Trust dated " &amp; B97 &amp; ", " &amp; B98</f>
        <v>7001 Outrigger Dr Real Estate Trust dated May 2, 2025</v>
      </c>
      <c r="C96" s="566"/>
      <c r="D96" s="566"/>
      <c r="E96" s="566"/>
      <c r="F96" s="566"/>
      <c r="G96" s="25"/>
      <c r="H96" s="25"/>
      <c r="BT96" s="30"/>
      <c r="BU96" s="30"/>
    </row>
    <row r="97" spans="1:103" x14ac:dyDescent="0.25">
      <c r="A97" s="30" t="s">
        <v>394</v>
      </c>
      <c r="B97" s="577" t="s">
        <v>395</v>
      </c>
      <c r="C97" s="578"/>
      <c r="D97" s="578"/>
      <c r="E97" s="578"/>
      <c r="F97" s="578"/>
      <c r="G97" s="523"/>
      <c r="H97" s="523"/>
      <c r="CX97" s="30" t="s">
        <v>396</v>
      </c>
      <c r="CY97" s="30"/>
    </row>
    <row r="98" spans="1:103" x14ac:dyDescent="0.25">
      <c r="A98" s="30" t="s">
        <v>181</v>
      </c>
      <c r="B98" s="571">
        <v>2025</v>
      </c>
      <c r="C98" s="566"/>
      <c r="D98" s="566"/>
      <c r="E98" s="566"/>
      <c r="F98" s="566"/>
      <c r="G98" s="25"/>
      <c r="H98" s="25"/>
      <c r="CX98" s="30" t="s">
        <v>397</v>
      </c>
      <c r="CY98" s="30"/>
    </row>
    <row r="99" spans="1:103" x14ac:dyDescent="0.25">
      <c r="A99" s="30" t="s">
        <v>241</v>
      </c>
      <c r="B99" s="571" t="s">
        <v>398</v>
      </c>
      <c r="C99" s="569"/>
      <c r="D99" s="569"/>
      <c r="E99" s="569"/>
      <c r="F99" s="569"/>
      <c r="G99" s="522"/>
      <c r="H99" s="522"/>
      <c r="CX99" s="30" t="s">
        <v>399</v>
      </c>
      <c r="CY99" s="30"/>
    </row>
    <row r="100" spans="1:103" x14ac:dyDescent="0.25">
      <c r="A100" s="30" t="s">
        <v>400</v>
      </c>
      <c r="B100" s="576">
        <f ca="1">YEAR(NOW())</f>
        <v>2026</v>
      </c>
      <c r="C100" s="576"/>
      <c r="D100" s="576"/>
      <c r="E100" s="576"/>
      <c r="F100" s="576"/>
      <c r="G100" s="32"/>
      <c r="H100" s="32"/>
      <c r="CX100" s="30" t="s">
        <v>401</v>
      </c>
      <c r="CY100" s="30"/>
    </row>
    <row r="101" spans="1:103" x14ac:dyDescent="0.25">
      <c r="A101" s="30" t="s">
        <v>402</v>
      </c>
      <c r="B101" s="576">
        <f ca="1">MONTH(NOW())</f>
        <v>5</v>
      </c>
      <c r="C101" s="576"/>
      <c r="D101" s="576"/>
      <c r="E101" s="576"/>
      <c r="F101" s="576"/>
      <c r="G101" s="32"/>
      <c r="H101" s="32"/>
    </row>
    <row r="102" spans="1:103" x14ac:dyDescent="0.25">
      <c r="A102" s="30"/>
      <c r="B102" s="566"/>
      <c r="C102" s="566"/>
      <c r="D102" s="566"/>
      <c r="E102" s="566"/>
      <c r="F102" s="566"/>
      <c r="G102" s="25"/>
      <c r="H102" s="25"/>
    </row>
    <row r="103" spans="1:103" x14ac:dyDescent="0.25">
      <c r="A103" s="30" t="s">
        <v>403</v>
      </c>
      <c r="B103" s="566"/>
      <c r="C103" s="566"/>
      <c r="D103" s="566"/>
      <c r="E103" s="566"/>
      <c r="F103" s="566"/>
      <c r="G103" s="25"/>
      <c r="H103" s="25"/>
    </row>
    <row r="104" spans="1:103" ht="16.5" thickBot="1" x14ac:dyDescent="0.3">
      <c r="A104" s="30"/>
      <c r="B104" s="566"/>
      <c r="C104" s="566"/>
      <c r="D104" s="566"/>
      <c r="E104" s="566"/>
      <c r="F104" s="566"/>
      <c r="G104" s="25"/>
      <c r="H104" s="25"/>
    </row>
    <row r="105" spans="1:103" ht="16.5" thickBot="1" x14ac:dyDescent="0.3">
      <c r="A105" s="550" t="s">
        <v>404</v>
      </c>
      <c r="B105" s="566"/>
      <c r="C105" s="566"/>
      <c r="D105" s="566"/>
      <c r="E105" s="566"/>
      <c r="F105" s="566"/>
      <c r="G105" s="25"/>
      <c r="H105" s="25"/>
    </row>
    <row r="106" spans="1:103" x14ac:dyDescent="0.25">
      <c r="A106" s="30" t="s">
        <v>405</v>
      </c>
      <c r="B106" s="566">
        <f>+Profit!C19</f>
        <v>0</v>
      </c>
      <c r="C106" s="566"/>
      <c r="D106" s="566"/>
      <c r="E106" s="566"/>
      <c r="F106" s="566"/>
      <c r="G106" s="25"/>
      <c r="H106" s="25"/>
    </row>
    <row r="107" spans="1:103" x14ac:dyDescent="0.25">
      <c r="A107" s="30" t="s">
        <v>406</v>
      </c>
      <c r="B107" s="568">
        <f>+B106/2/6</f>
        <v>0</v>
      </c>
      <c r="C107" s="566"/>
      <c r="D107" s="566"/>
      <c r="E107" s="566"/>
      <c r="F107" s="566"/>
      <c r="G107" s="25"/>
      <c r="H107" s="25"/>
    </row>
    <row r="108" spans="1:103" x14ac:dyDescent="0.25">
      <c r="A108" s="30" t="s">
        <v>407</v>
      </c>
      <c r="B108" s="568">
        <f>+B106/2</f>
        <v>0</v>
      </c>
      <c r="C108" s="566"/>
      <c r="D108" s="566"/>
      <c r="E108" s="566"/>
      <c r="F108" s="566"/>
      <c r="G108" s="25"/>
      <c r="H108" s="25"/>
    </row>
    <row r="109" spans="1:103" x14ac:dyDescent="0.25">
      <c r="A109" s="30" t="s">
        <v>408</v>
      </c>
      <c r="B109" s="566" t="str">
        <f>"A balloon payment of " &amp; TEXT(B108,"$#,##0.00") &amp; " will be due when the property is resold by the purchaser"</f>
        <v>A balloon payment of $0.00 will be due when the property is resold by the purchaser</v>
      </c>
      <c r="C109" s="566"/>
      <c r="D109" s="566"/>
      <c r="E109" s="566"/>
      <c r="F109" s="566"/>
      <c r="G109" s="25"/>
      <c r="H109" s="25"/>
    </row>
    <row r="110" spans="1:103" x14ac:dyDescent="0.25">
      <c r="A110" s="30" t="s">
        <v>243</v>
      </c>
      <c r="B110" s="30" t="str">
        <f>IF(C110="Yes","Limited Allowance Compensating for Rent", "DON'T USE")</f>
        <v>DON'T USE</v>
      </c>
      <c r="C110" s="565" t="s">
        <v>409</v>
      </c>
      <c r="G110" s="520"/>
      <c r="H110" s="520"/>
    </row>
    <row r="111" spans="1:103" x14ac:dyDescent="0.25">
      <c r="A111" s="30" t="s">
        <v>244</v>
      </c>
      <c r="B111" s="30" t="str">
        <f>IF(C111="Yes","Part of Purchase and Sale Agreement", "DON'T USE")</f>
        <v>Part of Purchase and Sale Agreement</v>
      </c>
      <c r="C111" s="565" t="s">
        <v>410</v>
      </c>
      <c r="G111" s="520"/>
      <c r="H111" s="520"/>
    </row>
    <row r="112" spans="1:103" x14ac:dyDescent="0.25">
      <c r="A112" s="30" t="s">
        <v>411</v>
      </c>
      <c r="B112" s="552">
        <v>11</v>
      </c>
      <c r="C112" s="569"/>
      <c r="D112" s="569"/>
      <c r="E112" s="569"/>
      <c r="F112" s="569"/>
      <c r="G112" s="522"/>
      <c r="H112" s="522"/>
    </row>
    <row r="113" spans="1:8" x14ac:dyDescent="0.25">
      <c r="A113" s="30" t="s">
        <v>412</v>
      </c>
      <c r="B113" s="571">
        <v>6</v>
      </c>
      <c r="C113" s="566"/>
      <c r="D113" s="566"/>
      <c r="E113" s="566"/>
      <c r="F113" s="566"/>
      <c r="G113" s="25"/>
      <c r="H113" s="25"/>
    </row>
    <row r="114" spans="1:8" x14ac:dyDescent="0.25">
      <c r="A114" s="30" t="s">
        <v>413</v>
      </c>
      <c r="B114" s="571">
        <v>0</v>
      </c>
      <c r="C114" s="566"/>
      <c r="D114" s="566"/>
      <c r="E114" s="566"/>
      <c r="F114" s="566"/>
      <c r="G114" s="25"/>
      <c r="H114" s="25"/>
    </row>
    <row r="115" spans="1:8" x14ac:dyDescent="0.25">
      <c r="A115" s="30" t="s">
        <v>414</v>
      </c>
      <c r="B115" s="566" t="str">
        <f>IF(B106&gt;0,"X","")</f>
        <v/>
      </c>
      <c r="C115" s="566"/>
      <c r="D115" s="566"/>
      <c r="E115" s="566"/>
      <c r="F115" s="566"/>
      <c r="G115" s="25"/>
      <c r="H115" s="25"/>
    </row>
    <row r="116" spans="1:8" x14ac:dyDescent="0.25">
      <c r="A116" s="30" t="s">
        <v>415</v>
      </c>
      <c r="B116" s="566" t="s">
        <v>416</v>
      </c>
      <c r="C116" s="566"/>
      <c r="D116" s="566"/>
      <c r="E116" s="566"/>
      <c r="F116" s="566"/>
      <c r="G116" s="25"/>
      <c r="H116" s="25"/>
    </row>
    <row r="117" spans="1:8" ht="16.5" thickBot="1" x14ac:dyDescent="0.3">
      <c r="A117" s="30"/>
      <c r="B117" s="566"/>
      <c r="C117" s="566"/>
      <c r="D117" s="566"/>
      <c r="E117" s="566"/>
      <c r="F117" s="566"/>
      <c r="G117" s="25"/>
      <c r="H117" s="25"/>
    </row>
    <row r="118" spans="1:8" ht="16.5" thickBot="1" x14ac:dyDescent="0.3">
      <c r="A118" s="550" t="s">
        <v>417</v>
      </c>
      <c r="B118" s="566"/>
      <c r="C118" s="566"/>
      <c r="D118" s="566"/>
      <c r="E118" s="566"/>
      <c r="F118" s="566"/>
      <c r="G118" s="25"/>
      <c r="H118" s="25"/>
    </row>
    <row r="119" spans="1:8" x14ac:dyDescent="0.25">
      <c r="A119" s="30" t="s">
        <v>418</v>
      </c>
      <c r="B119" s="571"/>
      <c r="C119" s="566"/>
      <c r="D119" s="566"/>
      <c r="E119" s="566"/>
      <c r="F119" s="566"/>
      <c r="G119" s="25"/>
      <c r="H119" s="25"/>
    </row>
    <row r="120" spans="1:8" x14ac:dyDescent="0.25">
      <c r="A120" s="30" t="s">
        <v>419</v>
      </c>
      <c r="B120" s="571"/>
      <c r="C120" s="566"/>
      <c r="D120" s="566"/>
      <c r="E120" s="566"/>
      <c r="F120" s="566"/>
      <c r="G120" s="25"/>
      <c r="H120" s="25"/>
    </row>
    <row r="121" spans="1:8" x14ac:dyDescent="0.25">
      <c r="A121" s="30" t="s">
        <v>420</v>
      </c>
      <c r="B121" s="571"/>
      <c r="C121" s="566"/>
      <c r="D121" s="566"/>
      <c r="E121" s="566"/>
      <c r="F121" s="566"/>
      <c r="G121" s="25"/>
      <c r="H121" s="25"/>
    </row>
    <row r="122" spans="1:8" x14ac:dyDescent="0.25">
      <c r="A122" s="30" t="s">
        <v>421</v>
      </c>
      <c r="B122" s="593"/>
      <c r="C122" s="566"/>
      <c r="D122" s="566"/>
      <c r="E122" s="566"/>
      <c r="F122" s="566"/>
      <c r="G122" s="25"/>
      <c r="H122" s="25"/>
    </row>
    <row r="123" spans="1:8" x14ac:dyDescent="0.25">
      <c r="A123" s="30" t="s">
        <v>422</v>
      </c>
      <c r="B123" s="571"/>
      <c r="C123" s="566"/>
      <c r="D123" s="566"/>
      <c r="E123" s="566"/>
      <c r="F123" s="566"/>
      <c r="G123" s="25"/>
      <c r="H123" s="25"/>
    </row>
    <row r="124" spans="1:8" x14ac:dyDescent="0.25">
      <c r="A124" s="30" t="s">
        <v>423</v>
      </c>
      <c r="B124" s="571"/>
      <c r="C124" s="566"/>
      <c r="D124" s="566"/>
      <c r="E124" s="566"/>
      <c r="F124" s="566"/>
      <c r="G124" s="25"/>
      <c r="H124" s="25"/>
    </row>
    <row r="125" spans="1:8" x14ac:dyDescent="0.25">
      <c r="A125" s="30"/>
      <c r="B125" s="566"/>
      <c r="C125" s="566"/>
      <c r="D125" s="566"/>
      <c r="E125" s="566"/>
      <c r="F125" s="566"/>
      <c r="G125" s="25"/>
      <c r="H125" s="25"/>
    </row>
    <row r="127" spans="1:8" x14ac:dyDescent="0.25">
      <c r="A127" s="32" t="s">
        <v>424</v>
      </c>
    </row>
    <row r="128" spans="1:8" x14ac:dyDescent="0.25">
      <c r="A128" s="30" t="s">
        <v>425</v>
      </c>
      <c r="B128" s="594" t="s">
        <v>426</v>
      </c>
      <c r="E128" s="594"/>
    </row>
    <row r="129" spans="1:4" x14ac:dyDescent="0.25">
      <c r="A129" s="30" t="s">
        <v>427</v>
      </c>
      <c r="B129" s="594" t="s">
        <v>428</v>
      </c>
    </row>
    <row r="130" spans="1:4" x14ac:dyDescent="0.25">
      <c r="A130" s="30" t="s">
        <v>429</v>
      </c>
      <c r="B130" s="594" t="s">
        <v>430</v>
      </c>
    </row>
    <row r="131" spans="1:4" x14ac:dyDescent="0.25">
      <c r="A131" s="30" t="s">
        <v>431</v>
      </c>
      <c r="B131" s="594" t="s">
        <v>432</v>
      </c>
    </row>
    <row r="132" spans="1:4" x14ac:dyDescent="0.25">
      <c r="A132" s="30" t="s">
        <v>433</v>
      </c>
      <c r="B132" s="594" t="s">
        <v>434</v>
      </c>
    </row>
    <row r="133" spans="1:4" x14ac:dyDescent="0.25">
      <c r="A133" s="30" t="s">
        <v>435</v>
      </c>
      <c r="B133" s="594" t="s">
        <v>436</v>
      </c>
    </row>
    <row r="134" spans="1:4" x14ac:dyDescent="0.25">
      <c r="A134" s="30" t="s">
        <v>437</v>
      </c>
      <c r="B134" s="594" t="s">
        <v>438</v>
      </c>
    </row>
    <row r="135" spans="1:4" x14ac:dyDescent="0.25">
      <c r="A135" s="30" t="s">
        <v>439</v>
      </c>
      <c r="B135" s="594"/>
    </row>
    <row r="136" spans="1:4" x14ac:dyDescent="0.25">
      <c r="A136" s="30"/>
      <c r="B136" s="594"/>
    </row>
    <row r="137" spans="1:4" x14ac:dyDescent="0.25">
      <c r="A137" s="30"/>
      <c r="B137" s="594"/>
    </row>
    <row r="138" spans="1:4" x14ac:dyDescent="0.25">
      <c r="A138" s="30" t="s">
        <v>396</v>
      </c>
      <c r="B138" s="596">
        <v>45778</v>
      </c>
    </row>
    <row r="139" spans="1:4" x14ac:dyDescent="0.25">
      <c r="A139" s="30" t="s">
        <v>397</v>
      </c>
      <c r="B139" s="595">
        <f>ROUND(+B138+C139*365,0)</f>
        <v>46143</v>
      </c>
      <c r="C139" s="580">
        <v>1</v>
      </c>
    </row>
    <row r="140" spans="1:4" x14ac:dyDescent="0.25">
      <c r="A140" s="30" t="s">
        <v>399</v>
      </c>
      <c r="B140" s="595">
        <f>+B138</f>
        <v>45778</v>
      </c>
    </row>
    <row r="141" spans="1:4" x14ac:dyDescent="0.25">
      <c r="A141" s="30" t="s">
        <v>401</v>
      </c>
      <c r="B141" s="595">
        <f>+B139</f>
        <v>46143</v>
      </c>
    </row>
    <row r="144" spans="1:4" x14ac:dyDescent="0.25">
      <c r="D144" s="594"/>
    </row>
    <row r="145" spans="4:4" x14ac:dyDescent="0.25">
      <c r="D145" s="598"/>
    </row>
    <row r="146" spans="4:4" x14ac:dyDescent="0.25">
      <c r="D146" s="598"/>
    </row>
    <row r="147" spans="4:4" x14ac:dyDescent="0.25">
      <c r="D147" s="598"/>
    </row>
    <row r="148" spans="4:4" x14ac:dyDescent="0.25">
      <c r="D148" s="598"/>
    </row>
    <row r="149" spans="4:4" x14ac:dyDescent="0.25">
      <c r="D149" s="598"/>
    </row>
    <row r="150" spans="4:4" x14ac:dyDescent="0.25">
      <c r="D150" s="59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5" sqref="B5"/>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24" t="s">
        <v>440</v>
      </c>
      <c r="D1" s="825"/>
      <c r="E1" s="793"/>
      <c r="I1" s="818"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DOUGLAS and SHIELA MARIE,
Thank you for the opportunity to make an offer on your property at 7001 Outrigger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26" t="s">
        <v>441</v>
      </c>
      <c r="K1" s="818" t="str">
        <f>+I1&amp;IF(N14="X",O14,"")&amp;"
"&amp; IF(H15="X",I15,"") &amp;"
"&amp; IF(H16="X",I16,"") &amp;"
"&amp; IF(H20="X",I20,"") &amp;"
"&amp; IF(H26="X",I26,"") &amp;"
"&amp; IF(H33="X",I33,"") &amp; "
"&amp; IF(H42="X",I42,"") &amp; "
"&amp; IF(H52="X",I52,"") &amp; "
"&amp; IF(H61="X",I61,"") &amp; "
"&amp; IF(H74="X",I74,"") &amp; "
"&amp; IF(H81="X",I81,"") &amp; "
"&amp; IF(H82="X",I82,"") &amp; "
"&amp; ""</f>
        <v xml:space="preserve">Hi DOUGLAS and SHIELA MARIE,
Thank you for the opportunity to make an offer on your property at 7001 Outrigger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$15,000.00
                                Total Value:                      $15,000.00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$5,100.00
                        12 Month Note:                        $20,300.00
                         Interest Earned:                         $4,060.00            $67.67 per month
                                Total Value:                    $29,460.00
DOUGLAS,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$257,300.00.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93"/>
      <c r="J2" s="826"/>
      <c r="K2" s="818"/>
    </row>
    <row r="3" spans="1:11" ht="16.5" customHeight="1" x14ac:dyDescent="0.25">
      <c r="A3" t="s">
        <v>442</v>
      </c>
      <c r="B3" s="345" t="s">
        <v>443</v>
      </c>
      <c r="C3" s="254" t="s">
        <v>444</v>
      </c>
      <c r="D3" s="22"/>
      <c r="I3" s="793"/>
      <c r="J3" s="248"/>
      <c r="K3" s="818"/>
    </row>
    <row r="4" spans="1:11" x14ac:dyDescent="0.25">
      <c r="A4" t="s">
        <v>445</v>
      </c>
      <c r="B4" s="253" t="s">
        <v>446</v>
      </c>
      <c r="C4" s="255" t="s">
        <v>444</v>
      </c>
      <c r="D4" s="22"/>
      <c r="I4" s="793"/>
      <c r="K4" s="818"/>
    </row>
    <row r="5" spans="1:11" ht="16.5" x14ac:dyDescent="0.3">
      <c r="A5" t="s">
        <v>447</v>
      </c>
      <c r="B5" s="243"/>
      <c r="C5" s="244"/>
      <c r="D5" s="22"/>
      <c r="I5" s="793"/>
      <c r="K5" s="818"/>
    </row>
    <row r="6" spans="1:11" ht="15" customHeight="1" thickBot="1" x14ac:dyDescent="0.3">
      <c r="A6" t="s">
        <v>448</v>
      </c>
      <c r="B6" s="245"/>
      <c r="C6" s="246"/>
      <c r="D6" s="22"/>
      <c r="I6" s="793"/>
      <c r="K6" s="818"/>
    </row>
    <row r="7" spans="1:11" x14ac:dyDescent="0.25">
      <c r="I7" s="793"/>
      <c r="K7" s="818"/>
    </row>
    <row r="8" spans="1:11" x14ac:dyDescent="0.25">
      <c r="I8" s="793"/>
      <c r="K8" s="818"/>
    </row>
    <row r="9" spans="1:11" x14ac:dyDescent="0.25">
      <c r="A9" s="15" t="s">
        <v>449</v>
      </c>
      <c r="B9" s="15" t="s">
        <v>450</v>
      </c>
      <c r="C9" s="15"/>
      <c r="I9" s="793"/>
      <c r="K9" s="818"/>
    </row>
    <row r="10" spans="1:11" x14ac:dyDescent="0.25">
      <c r="B10" s="827" t="s">
        <v>451</v>
      </c>
      <c r="C10" s="828"/>
      <c r="D10" s="828"/>
      <c r="E10" s="828"/>
      <c r="F10" s="828"/>
      <c r="G10" s="828"/>
      <c r="I10" s="793"/>
      <c r="K10" s="818"/>
    </row>
    <row r="11" spans="1:11" x14ac:dyDescent="0.25">
      <c r="B11" s="793"/>
      <c r="C11" s="793"/>
      <c r="D11" s="793"/>
      <c r="E11" s="793"/>
      <c r="F11" s="793"/>
      <c r="G11" s="793"/>
      <c r="I11" s="793"/>
      <c r="K11" s="818"/>
    </row>
    <row r="12" spans="1:11" x14ac:dyDescent="0.25">
      <c r="F12" s="817" t="s">
        <v>452</v>
      </c>
      <c r="I12" s="793"/>
      <c r="K12" s="818"/>
    </row>
    <row r="13" spans="1:11" ht="15.75" thickBot="1" x14ac:dyDescent="0.3">
      <c r="B13" s="31" t="s">
        <v>453</v>
      </c>
      <c r="C13" s="241" t="s">
        <v>454</v>
      </c>
      <c r="D13" s="31" t="s">
        <v>455</v>
      </c>
      <c r="E13" s="31"/>
      <c r="F13" s="671"/>
      <c r="G13" s="31" t="s">
        <v>456</v>
      </c>
      <c r="I13" s="793"/>
      <c r="K13" s="818"/>
    </row>
    <row r="14" spans="1:11" ht="16.5" thickTop="1" thickBot="1" x14ac:dyDescent="0.3">
      <c r="B14" s="252">
        <f>+D14+F14</f>
        <v>110539.66</v>
      </c>
      <c r="C14" s="1">
        <f>+Profit!B4</f>
        <v>257300</v>
      </c>
      <c r="D14" s="1">
        <f>+Profit!K42-Profit!C20</f>
        <v>97039.66</v>
      </c>
      <c r="F14" s="251">
        <f>+B24-(B24*F16)</f>
        <v>13500</v>
      </c>
      <c r="G14" s="217">
        <f ca="1">+C14-D14-F14+Profit!D49+Profit!C20</f>
        <v>7976.6903202877729</v>
      </c>
      <c r="I14" s="793"/>
      <c r="K14" s="818"/>
    </row>
    <row r="15" spans="1:11" ht="16.5" thickTop="1" thickBot="1" x14ac:dyDescent="0.3">
      <c r="C15" s="212"/>
      <c r="D15" s="213" t="s">
        <v>457</v>
      </c>
      <c r="E15" s="214">
        <f ca="1">+Profit!$K$44</f>
        <v>-4385.8803202877689</v>
      </c>
      <c r="H15" s="242"/>
      <c r="K15" s="818"/>
    </row>
    <row r="16" spans="1:11" ht="16.5" thickTop="1" thickBot="1" x14ac:dyDescent="0.3">
      <c r="C16" s="212"/>
      <c r="D16" s="215" t="s">
        <v>458</v>
      </c>
      <c r="E16" s="216">
        <f ca="1">+G14/E15</f>
        <v>-1.8187204706407496</v>
      </c>
      <c r="F16" s="250">
        <v>0.1</v>
      </c>
      <c r="H16" s="242" t="s">
        <v>459</v>
      </c>
      <c r="I16" s="818"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18"/>
    </row>
    <row r="17" spans="1:13" ht="15.75" thickTop="1" x14ac:dyDescent="0.25">
      <c r="C17" s="212"/>
      <c r="D17" s="215" t="s">
        <v>460</v>
      </c>
      <c r="E17" s="216">
        <f ca="1">+G14/(F14+G14)</f>
        <v>0.37141152576720166</v>
      </c>
      <c r="F17" t="s">
        <v>461</v>
      </c>
      <c r="I17" s="818"/>
      <c r="K17" s="818"/>
    </row>
    <row r="18" spans="1:13" x14ac:dyDescent="0.25">
      <c r="I18" s="818"/>
      <c r="K18" s="818"/>
    </row>
    <row r="19" spans="1:13" ht="15.75" thickBot="1" x14ac:dyDescent="0.3">
      <c r="A19" s="15" t="s">
        <v>462</v>
      </c>
      <c r="B19" s="15" t="s">
        <v>463</v>
      </c>
      <c r="D19" s="15" t="s">
        <v>464</v>
      </c>
      <c r="H19">
        <f>IF(H20="X",1,0)</f>
        <v>0</v>
      </c>
      <c r="K19" s="818"/>
    </row>
    <row r="20" spans="1:13" ht="15" customHeight="1" thickTop="1" thickBot="1" x14ac:dyDescent="0.3">
      <c r="B20" t="s">
        <v>465</v>
      </c>
      <c r="H20" s="242"/>
      <c r="I20" s="818"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$110,539.66
                                Total Value:                     $13,500.00</v>
      </c>
      <c r="K20" s="818"/>
    </row>
    <row r="21" spans="1:13" ht="15.75" thickTop="1" x14ac:dyDescent="0.25">
      <c r="B21" t="s">
        <v>466</v>
      </c>
      <c r="I21" s="818"/>
      <c r="J21" s="239"/>
      <c r="K21" s="818"/>
      <c r="L21" s="238"/>
      <c r="M21" s="238"/>
    </row>
    <row r="22" spans="1:13" ht="30" x14ac:dyDescent="0.25">
      <c r="F22" s="62" t="s">
        <v>467</v>
      </c>
      <c r="I22" s="818"/>
      <c r="J22" s="238"/>
      <c r="K22" s="818"/>
      <c r="L22" s="238"/>
      <c r="M22" s="238"/>
    </row>
    <row r="23" spans="1:13" ht="15.75" thickBot="1" x14ac:dyDescent="0.3">
      <c r="B23" s="31" t="s">
        <v>468</v>
      </c>
      <c r="C23" s="820"/>
      <c r="D23" s="821"/>
      <c r="E23" s="821"/>
      <c r="F23" s="821"/>
      <c r="G23" s="31" t="s">
        <v>456</v>
      </c>
      <c r="I23" s="819"/>
      <c r="J23" s="238"/>
      <c r="K23" s="818"/>
      <c r="L23" s="238"/>
      <c r="M23" s="238"/>
    </row>
    <row r="24" spans="1:13" ht="16.5" thickTop="1" thickBot="1" x14ac:dyDescent="0.3">
      <c r="B24" s="249">
        <f>+SUM(Profit!C19:'Profit'!C20)</f>
        <v>15000</v>
      </c>
      <c r="C24" s="822" t="s">
        <v>469</v>
      </c>
      <c r="D24" s="823"/>
      <c r="E24" s="823"/>
      <c r="F24" s="10">
        <f>+B24</f>
        <v>15000</v>
      </c>
      <c r="G24" s="217">
        <f ca="1">+Profit!K57</f>
        <v>222200.42892224461</v>
      </c>
      <c r="I24" s="793"/>
      <c r="K24" s="818"/>
    </row>
    <row r="25" spans="1:13" ht="15.4" customHeight="1" thickTop="1" thickBot="1" x14ac:dyDescent="0.3">
      <c r="C25" s="212"/>
      <c r="D25" s="213" t="s">
        <v>457</v>
      </c>
      <c r="E25" s="214">
        <f ca="1">+Profit!$K$44</f>
        <v>-4385.8803202877689</v>
      </c>
      <c r="H25">
        <f>IF(H26="X",1+H19,H19)</f>
        <v>1</v>
      </c>
      <c r="K25" s="818"/>
    </row>
    <row r="26" spans="1:13" ht="15" customHeight="1" thickTop="1" thickBot="1" x14ac:dyDescent="0.3">
      <c r="C26" s="212"/>
      <c r="D26" s="215" t="s">
        <v>458</v>
      </c>
      <c r="E26" s="216">
        <f ca="1">+G24/E25</f>
        <v>-50.662674923985492</v>
      </c>
      <c r="H26" s="242" t="s">
        <v>470</v>
      </c>
      <c r="I26" s="818"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$15,000.00
                                Total Value:                      $15,000.00</v>
      </c>
      <c r="K26" s="818"/>
    </row>
    <row r="27" spans="1:13" ht="15" customHeight="1" thickTop="1" x14ac:dyDescent="0.25">
      <c r="C27" s="212"/>
      <c r="D27" s="215" t="s">
        <v>460</v>
      </c>
      <c r="E27" s="216">
        <f ca="1">+G24/(F24+G24)</f>
        <v>0.93676234032056882</v>
      </c>
      <c r="I27" s="818"/>
      <c r="K27" s="818"/>
    </row>
    <row r="28" spans="1:13" ht="15" customHeight="1" x14ac:dyDescent="0.25">
      <c r="I28" s="818"/>
      <c r="K28" s="818"/>
    </row>
    <row r="29" spans="1:13" x14ac:dyDescent="0.25">
      <c r="A29" s="15"/>
      <c r="B29" s="15"/>
      <c r="I29" s="819"/>
      <c r="K29" s="818"/>
    </row>
    <row r="30" spans="1:13" x14ac:dyDescent="0.25">
      <c r="A30" s="15" t="s">
        <v>471</v>
      </c>
      <c r="B30" s="15" t="s">
        <v>472</v>
      </c>
      <c r="D30" t="s">
        <v>473</v>
      </c>
      <c r="I30" s="793"/>
      <c r="K30" s="818"/>
    </row>
    <row r="31" spans="1:13" ht="25.5" x14ac:dyDescent="0.25">
      <c r="B31" t="s">
        <v>465</v>
      </c>
      <c r="I31" s="239"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18"/>
    </row>
    <row r="32" spans="1:13" ht="15.75" thickBot="1" x14ac:dyDescent="0.3">
      <c r="B32" t="s">
        <v>466</v>
      </c>
      <c r="H32">
        <f>IF(H33="X",H25+1,H25)</f>
        <v>2</v>
      </c>
      <c r="K32" s="818"/>
    </row>
    <row r="33" spans="1:13" ht="15" customHeight="1" thickTop="1" thickBot="1" x14ac:dyDescent="0.3">
      <c r="H33" s="242" t="s">
        <v>470</v>
      </c>
      <c r="I33" s="818"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$5,100.00
                        12 Month Note:                        $20,300.00
                         Interest Earned:                         $4,060.00            $67.67 per month
                                Total Value:                    $29,460.00</v>
      </c>
      <c r="K33" s="818"/>
    </row>
    <row r="34" spans="1:13" ht="16.5" thickTop="1" thickBot="1" x14ac:dyDescent="0.3">
      <c r="C34" s="2" t="s">
        <v>474</v>
      </c>
      <c r="D34" s="3" t="s">
        <v>475</v>
      </c>
      <c r="F34" s="3" t="s">
        <v>476</v>
      </c>
      <c r="I34" s="818"/>
      <c r="K34" s="818"/>
    </row>
    <row r="35" spans="1:13" ht="16.5" thickTop="1" thickBot="1" x14ac:dyDescent="0.3">
      <c r="B35" s="247" t="s">
        <v>477</v>
      </c>
      <c r="C35" s="220">
        <v>10400</v>
      </c>
      <c r="D35" s="211">
        <v>60</v>
      </c>
      <c r="F35" s="817" t="s">
        <v>467</v>
      </c>
      <c r="I35" s="818"/>
      <c r="K35" s="818"/>
    </row>
    <row r="36" spans="1:13" ht="16.5" thickTop="1" thickBot="1" x14ac:dyDescent="0.3">
      <c r="B36" s="31" t="s">
        <v>478</v>
      </c>
      <c r="C36" s="31" t="s">
        <v>479</v>
      </c>
      <c r="D36" s="31" t="s">
        <v>480</v>
      </c>
      <c r="E36" s="31" t="s">
        <v>413</v>
      </c>
      <c r="F36" s="671"/>
      <c r="G36" s="31" t="s">
        <v>456</v>
      </c>
      <c r="I36" s="818"/>
      <c r="K36" s="818"/>
    </row>
    <row r="37" spans="1:13" ht="16.5" thickTop="1" thickBot="1" x14ac:dyDescent="0.3">
      <c r="B37" s="10">
        <f>+SUM(Profit!C19:'Profit'!C20)*B38</f>
        <v>5100</v>
      </c>
      <c r="C37" s="10">
        <f>+SUM(Profit!C19:'Profit'!C20)-B37+C35</f>
        <v>20300</v>
      </c>
      <c r="D37" s="10">
        <f>+C37*D35/12*E37</f>
        <v>4060</v>
      </c>
      <c r="E37" s="222">
        <v>0.04</v>
      </c>
      <c r="F37" s="10">
        <f>+SUM(B37:D37)</f>
        <v>29460</v>
      </c>
      <c r="G37" s="217">
        <f ca="1">+Profit!$K$57-D37-C35</f>
        <v>207740.42892224461</v>
      </c>
      <c r="I37" s="818"/>
      <c r="K37" s="818"/>
    </row>
    <row r="38" spans="1:13" ht="16.5" thickTop="1" thickBot="1" x14ac:dyDescent="0.3">
      <c r="B38" s="222">
        <v>0.34</v>
      </c>
      <c r="C38" s="237">
        <f>1-B38</f>
        <v>0.65999999999999992</v>
      </c>
      <c r="D38" s="10"/>
      <c r="E38" s="37"/>
      <c r="F38" s="10"/>
      <c r="G38" s="10"/>
      <c r="I38" s="818"/>
      <c r="K38" s="818"/>
    </row>
    <row r="39" spans="1:13" ht="15.4" customHeight="1" thickTop="1" x14ac:dyDescent="0.25">
      <c r="B39" s="10"/>
      <c r="C39" s="217"/>
      <c r="D39" s="213" t="s">
        <v>457</v>
      </c>
      <c r="E39" s="214">
        <f ca="1">+Profit!$K$44-C37+C35</f>
        <v>-14285.880320287768</v>
      </c>
      <c r="F39" s="10"/>
      <c r="G39" s="10"/>
      <c r="I39" s="818"/>
      <c r="K39" s="818"/>
    </row>
    <row r="40" spans="1:13" x14ac:dyDescent="0.25">
      <c r="C40" s="212"/>
      <c r="D40" s="215" t="s">
        <v>458</v>
      </c>
      <c r="E40" s="216">
        <f ca="1">+G37/E39</f>
        <v>-14.541661015263216</v>
      </c>
      <c r="I40" s="818"/>
      <c r="K40" s="818"/>
    </row>
    <row r="41" spans="1:13" ht="15" customHeight="1" thickBot="1" x14ac:dyDescent="0.3">
      <c r="C41" s="212"/>
      <c r="D41" s="215" t="s">
        <v>460</v>
      </c>
      <c r="E41" s="216">
        <f ca="1">+G37/(F37+G37)</f>
        <v>0.87580123638959728</v>
      </c>
      <c r="H41">
        <f>IF(H42="X",H32+1,H32)</f>
        <v>2</v>
      </c>
      <c r="K41" s="818"/>
    </row>
    <row r="42" spans="1:13" ht="16.5" thickTop="1" thickBot="1" x14ac:dyDescent="0.3">
      <c r="A42" s="15" t="s">
        <v>481</v>
      </c>
      <c r="B42" s="15" t="s">
        <v>482</v>
      </c>
      <c r="H42" s="242"/>
      <c r="I42" s="818"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$186,056.80   *    Expected 3% appreciation per year
                          Expected Value:                    $196,056.80    ** After 60 months.</v>
      </c>
      <c r="K42" s="818"/>
    </row>
    <row r="43" spans="1:13" ht="15.75" thickTop="1" x14ac:dyDescent="0.25">
      <c r="B43" t="s">
        <v>465</v>
      </c>
      <c r="I43" s="818"/>
      <c r="K43" s="793"/>
      <c r="M43" s="224"/>
    </row>
    <row r="44" spans="1:13" x14ac:dyDescent="0.25">
      <c r="B44" t="s">
        <v>466</v>
      </c>
      <c r="I44" s="818"/>
      <c r="K44" s="793"/>
    </row>
    <row r="45" spans="1:13" ht="15" customHeight="1" x14ac:dyDescent="0.25">
      <c r="B45" t="s">
        <v>483</v>
      </c>
      <c r="I45" s="818"/>
      <c r="K45" s="793"/>
    </row>
    <row r="46" spans="1:13" x14ac:dyDescent="0.25">
      <c r="B46" t="s">
        <v>484</v>
      </c>
      <c r="I46" s="818"/>
      <c r="K46" s="793"/>
    </row>
    <row r="47" spans="1:13" x14ac:dyDescent="0.25">
      <c r="F47" s="3" t="s">
        <v>485</v>
      </c>
      <c r="I47" s="818"/>
      <c r="K47" s="793"/>
    </row>
    <row r="48" spans="1:13" x14ac:dyDescent="0.25">
      <c r="C48" s="817" t="s">
        <v>486</v>
      </c>
      <c r="D48" s="817" t="s">
        <v>487</v>
      </c>
      <c r="E48" s="817" t="s">
        <v>488</v>
      </c>
      <c r="F48" s="817" t="s">
        <v>467</v>
      </c>
      <c r="I48" s="818"/>
      <c r="K48" s="793"/>
    </row>
    <row r="49" spans="1:11" ht="15.75" thickBot="1" x14ac:dyDescent="0.3">
      <c r="B49" s="3" t="s">
        <v>478</v>
      </c>
      <c r="C49" s="671" t="s">
        <v>486</v>
      </c>
      <c r="D49" s="671" t="s">
        <v>487</v>
      </c>
      <c r="E49" s="671" t="s">
        <v>489</v>
      </c>
      <c r="F49" s="671"/>
      <c r="G49" s="31" t="s">
        <v>456</v>
      </c>
      <c r="I49" s="818"/>
      <c r="K49" s="793"/>
    </row>
    <row r="50" spans="1:11" ht="16.5" thickTop="1" thickBot="1" x14ac:dyDescent="0.3">
      <c r="B50" s="220">
        <v>10000</v>
      </c>
      <c r="C50" s="8">
        <f ca="1">+Profit!$K$57+Profit!C20-B50+(Profit!K7*Profit!C45/12*Profit!B4)</f>
        <v>265795.42892224458</v>
      </c>
      <c r="D50" s="210">
        <v>0.7</v>
      </c>
      <c r="E50" s="10">
        <f ca="1">+D50*C50</f>
        <v>186056.80024557118</v>
      </c>
      <c r="F50" s="10">
        <f ca="1">+B50+E50</f>
        <v>196056.80024557118</v>
      </c>
      <c r="G50" s="217">
        <f ca="1">(1-D50)*C50</f>
        <v>79738.628676673383</v>
      </c>
      <c r="I50" s="818"/>
      <c r="K50" s="793"/>
    </row>
    <row r="51" spans="1:11" ht="15.75" thickTop="1" x14ac:dyDescent="0.25">
      <c r="D51" s="15" t="s">
        <v>490</v>
      </c>
      <c r="I51" s="240"/>
      <c r="K51" s="793"/>
    </row>
    <row r="52" spans="1:11" x14ac:dyDescent="0.25">
      <c r="C52" s="212"/>
      <c r="D52" s="213" t="s">
        <v>457</v>
      </c>
      <c r="E52" s="214">
        <f ca="1">+Profit!$K$44-B24+B50</f>
        <v>-9385.880320287768</v>
      </c>
      <c r="H52" t="s">
        <v>459</v>
      </c>
      <c r="I52" s="818"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DOUGLAS,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93"/>
    </row>
    <row r="53" spans="1:11" ht="15" customHeight="1" x14ac:dyDescent="0.25">
      <c r="C53" s="212"/>
      <c r="D53" s="215" t="s">
        <v>458</v>
      </c>
      <c r="E53" s="216">
        <f ca="1">+G50/E52</f>
        <v>-8.4955940152269722</v>
      </c>
      <c r="I53" s="793"/>
      <c r="K53" s="793"/>
    </row>
    <row r="54" spans="1:11" x14ac:dyDescent="0.25">
      <c r="C54" s="212"/>
      <c r="D54" s="215" t="s">
        <v>460</v>
      </c>
      <c r="E54" s="216">
        <f ca="1">+G50/(F50+G50)</f>
        <v>0.28912237228976778</v>
      </c>
      <c r="I54" s="793"/>
      <c r="K54" s="793"/>
    </row>
    <row r="55" spans="1:11" ht="15" customHeight="1" x14ac:dyDescent="0.25">
      <c r="I55" s="793"/>
      <c r="K55" s="793"/>
    </row>
    <row r="56" spans="1:11" ht="15.75" thickBot="1" x14ac:dyDescent="0.3">
      <c r="B56" s="15" t="s">
        <v>491</v>
      </c>
      <c r="D56" t="s">
        <v>492</v>
      </c>
      <c r="I56" s="793"/>
      <c r="K56" s="793"/>
    </row>
    <row r="57" spans="1:11" x14ac:dyDescent="0.25">
      <c r="A57" s="808"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$257,300.00.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09"/>
      <c r="C57" s="809"/>
      <c r="D57" s="809"/>
      <c r="E57" s="809"/>
      <c r="F57" s="809"/>
      <c r="G57" s="810"/>
      <c r="I57" s="793"/>
      <c r="K57" s="793"/>
    </row>
    <row r="58" spans="1:11" x14ac:dyDescent="0.25">
      <c r="A58" s="811"/>
      <c r="B58" s="812"/>
      <c r="C58" s="812"/>
      <c r="D58" s="812"/>
      <c r="E58" s="812"/>
      <c r="F58" s="812"/>
      <c r="G58" s="813"/>
      <c r="I58" s="793"/>
      <c r="K58" s="793"/>
    </row>
    <row r="59" spans="1:11" x14ac:dyDescent="0.25">
      <c r="A59" s="811"/>
      <c r="B59" s="812"/>
      <c r="C59" s="812"/>
      <c r="D59" s="812"/>
      <c r="E59" s="812"/>
      <c r="F59" s="812"/>
      <c r="G59" s="813"/>
      <c r="K59" s="793"/>
    </row>
    <row r="60" spans="1:11" x14ac:dyDescent="0.25">
      <c r="A60" s="811"/>
      <c r="B60" s="812"/>
      <c r="C60" s="812"/>
      <c r="D60" s="812"/>
      <c r="E60" s="812"/>
      <c r="F60" s="812"/>
      <c r="G60" s="813"/>
      <c r="K60" s="793"/>
    </row>
    <row r="61" spans="1:11" x14ac:dyDescent="0.25">
      <c r="A61" s="811"/>
      <c r="B61" s="812"/>
      <c r="C61" s="812"/>
      <c r="D61" s="812"/>
      <c r="E61" s="812"/>
      <c r="F61" s="812"/>
      <c r="G61" s="813"/>
      <c r="H61" t="s">
        <v>459</v>
      </c>
      <c r="I61" s="818" t="str">
        <f>A57</f>
        <v xml:space="preserve">This offer is based on Zillow's Zestimate of $257,300.00.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93"/>
    </row>
    <row r="62" spans="1:11" x14ac:dyDescent="0.25">
      <c r="A62" s="811"/>
      <c r="B62" s="812"/>
      <c r="C62" s="812"/>
      <c r="D62" s="812"/>
      <c r="E62" s="812"/>
      <c r="F62" s="812"/>
      <c r="G62" s="813"/>
      <c r="I62" s="793"/>
      <c r="K62" s="793"/>
    </row>
    <row r="63" spans="1:11" x14ac:dyDescent="0.25">
      <c r="A63" s="811"/>
      <c r="B63" s="812"/>
      <c r="C63" s="812"/>
      <c r="D63" s="812"/>
      <c r="E63" s="812"/>
      <c r="F63" s="812"/>
      <c r="G63" s="813"/>
      <c r="I63" s="793"/>
      <c r="K63" s="793"/>
    </row>
    <row r="64" spans="1:11" x14ac:dyDescent="0.25">
      <c r="A64" s="811"/>
      <c r="B64" s="812"/>
      <c r="C64" s="812"/>
      <c r="D64" s="812"/>
      <c r="E64" s="812"/>
      <c r="F64" s="812"/>
      <c r="G64" s="813"/>
      <c r="I64" s="793"/>
      <c r="K64" s="793"/>
    </row>
    <row r="65" spans="1:11" x14ac:dyDescent="0.25">
      <c r="A65" s="811"/>
      <c r="B65" s="812"/>
      <c r="C65" s="812"/>
      <c r="D65" s="812"/>
      <c r="E65" s="812"/>
      <c r="F65" s="812"/>
      <c r="G65" s="813"/>
      <c r="I65" s="793"/>
      <c r="K65" s="793"/>
    </row>
    <row r="66" spans="1:11" x14ac:dyDescent="0.25">
      <c r="A66" s="811"/>
      <c r="B66" s="812"/>
      <c r="C66" s="812"/>
      <c r="D66" s="812"/>
      <c r="E66" s="812"/>
      <c r="F66" s="812"/>
      <c r="G66" s="813"/>
      <c r="I66" s="793"/>
      <c r="K66" s="793"/>
    </row>
    <row r="67" spans="1:11" x14ac:dyDescent="0.25">
      <c r="A67" s="811"/>
      <c r="B67" s="812"/>
      <c r="C67" s="812"/>
      <c r="D67" s="812"/>
      <c r="E67" s="812"/>
      <c r="F67" s="812"/>
      <c r="G67" s="813"/>
      <c r="I67" s="793"/>
      <c r="K67" s="793"/>
    </row>
    <row r="68" spans="1:11" x14ac:dyDescent="0.25">
      <c r="A68" s="811"/>
      <c r="B68" s="812"/>
      <c r="C68" s="812"/>
      <c r="D68" s="812"/>
      <c r="E68" s="812"/>
      <c r="F68" s="812"/>
      <c r="G68" s="813"/>
      <c r="I68" s="793"/>
    </row>
    <row r="69" spans="1:11" x14ac:dyDescent="0.25">
      <c r="A69" s="811"/>
      <c r="B69" s="812"/>
      <c r="C69" s="812"/>
      <c r="D69" s="812"/>
      <c r="E69" s="812"/>
      <c r="F69" s="812"/>
      <c r="G69" s="813"/>
      <c r="I69" s="793"/>
    </row>
    <row r="70" spans="1:11" x14ac:dyDescent="0.25">
      <c r="A70" s="811"/>
      <c r="B70" s="812"/>
      <c r="C70" s="812"/>
      <c r="D70" s="812"/>
      <c r="E70" s="812"/>
      <c r="F70" s="812"/>
      <c r="G70" s="813"/>
      <c r="I70" s="793"/>
    </row>
    <row r="71" spans="1:11" x14ac:dyDescent="0.25">
      <c r="A71" s="811"/>
      <c r="B71" s="812"/>
      <c r="C71" s="812"/>
      <c r="D71" s="812"/>
      <c r="E71" s="812"/>
      <c r="F71" s="812"/>
      <c r="G71" s="813"/>
      <c r="I71" s="793"/>
    </row>
    <row r="72" spans="1:11" x14ac:dyDescent="0.25">
      <c r="A72" s="811"/>
      <c r="B72" s="812"/>
      <c r="C72" s="812"/>
      <c r="D72" s="812"/>
      <c r="E72" s="812"/>
      <c r="F72" s="812"/>
      <c r="G72" s="813"/>
      <c r="I72" s="793"/>
    </row>
    <row r="73" spans="1:11" x14ac:dyDescent="0.25">
      <c r="A73" s="811"/>
      <c r="B73" s="812"/>
      <c r="C73" s="812"/>
      <c r="D73" s="812"/>
      <c r="E73" s="812"/>
      <c r="F73" s="812"/>
      <c r="G73" s="813"/>
    </row>
    <row r="74" spans="1:11" x14ac:dyDescent="0.25">
      <c r="A74" s="811"/>
      <c r="B74" s="812"/>
      <c r="C74" s="812"/>
      <c r="D74" s="812"/>
      <c r="E74" s="812"/>
      <c r="F74" s="812"/>
      <c r="G74" s="813"/>
      <c r="H74" t="s">
        <v>459</v>
      </c>
      <c r="I74" s="223" t="str">
        <f>"Sincerely,
Wes Browning"</f>
        <v>Sincerely,
Wes Browning</v>
      </c>
    </row>
    <row r="75" spans="1:11" ht="15" customHeight="1" x14ac:dyDescent="0.25">
      <c r="A75" s="811"/>
      <c r="B75" s="812"/>
      <c r="C75" s="812"/>
      <c r="D75" s="812"/>
      <c r="E75" s="812"/>
      <c r="F75" s="812"/>
      <c r="G75" s="813"/>
      <c r="I75" s="223"/>
    </row>
    <row r="76" spans="1:11" x14ac:dyDescent="0.25">
      <c r="A76" s="811"/>
      <c r="B76" s="812"/>
      <c r="C76" s="812"/>
      <c r="D76" s="812"/>
      <c r="E76" s="812"/>
      <c r="F76" s="812"/>
      <c r="G76" s="813"/>
      <c r="I76" s="223"/>
    </row>
    <row r="77" spans="1:11" x14ac:dyDescent="0.25">
      <c r="A77" s="811"/>
      <c r="B77" s="812"/>
      <c r="C77" s="812"/>
      <c r="D77" s="812"/>
      <c r="E77" s="812"/>
      <c r="F77" s="812"/>
      <c r="G77" s="813"/>
    </row>
    <row r="78" spans="1:11" x14ac:dyDescent="0.25">
      <c r="A78" s="811"/>
      <c r="B78" s="812"/>
      <c r="C78" s="812"/>
      <c r="D78" s="812"/>
      <c r="E78" s="812"/>
      <c r="F78" s="812"/>
      <c r="G78" s="813"/>
    </row>
    <row r="79" spans="1:11" ht="15.75" thickBot="1" x14ac:dyDescent="0.3">
      <c r="A79" s="814"/>
      <c r="B79" s="815"/>
      <c r="C79" s="815"/>
      <c r="D79" s="815"/>
      <c r="E79" s="815"/>
      <c r="F79" s="815"/>
      <c r="G79" s="816"/>
    </row>
    <row r="80" spans="1:11" x14ac:dyDescent="0.25">
      <c r="A80" s="223"/>
      <c r="B80" s="223"/>
      <c r="C80" s="223"/>
      <c r="D80" s="223"/>
      <c r="E80" s="223"/>
      <c r="F80" s="223"/>
      <c r="G80" s="223"/>
    </row>
    <row r="81" spans="1:9" x14ac:dyDescent="0.25">
      <c r="A81" s="223"/>
      <c r="B81" s="223"/>
      <c r="C81" s="223"/>
      <c r="D81" s="223"/>
      <c r="E81" s="223"/>
      <c r="F81" s="223"/>
      <c r="G81" s="2" t="s">
        <v>493</v>
      </c>
      <c r="I81" s="223" t="s">
        <v>494</v>
      </c>
    </row>
    <row r="82" spans="1:9" x14ac:dyDescent="0.25">
      <c r="G82" s="2" t="s">
        <v>495</v>
      </c>
      <c r="H82" t="s">
        <v>459</v>
      </c>
      <c r="I82" s="223" t="s">
        <v>496</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131FC-90AC-443C-A73E-F7CE9DF8AC63}">
  <sheetPr codeName="Sheet3">
    <tabColor theme="9"/>
  </sheetPr>
  <dimension ref="A1:Z73"/>
  <sheetViews>
    <sheetView zoomScaleNormal="100" workbookViewId="0">
      <pane xSplit="5" ySplit="1" topLeftCell="F33" activePane="bottomRight" state="frozen"/>
      <selection pane="topRight" activeCell="C1" sqref="C1:E1"/>
      <selection pane="bottomLeft" activeCell="C1" sqref="C1:E1"/>
      <selection pane="bottomRight" activeCell="Q51" sqref="Q51"/>
    </sheetView>
  </sheetViews>
  <sheetFormatPr defaultRowHeight="15" x14ac:dyDescent="0.25"/>
  <cols>
    <col min="1" max="1" width="11" customWidth="1"/>
    <col min="2" max="2" width="38.140625" bestFit="1" customWidth="1"/>
    <col min="3" max="3" width="10.5703125" customWidth="1"/>
    <col min="4" max="4" width="9.28515625" customWidth="1"/>
    <col min="5" max="5" width="24" style="25" customWidth="1"/>
    <col min="6" max="11" width="9.5703125" style="138" customWidth="1"/>
    <col min="12" max="12" width="8.5703125" style="138" customWidth="1"/>
    <col min="13" max="13" width="8.7109375" customWidth="1"/>
    <col min="14" max="14" width="10.42578125" customWidth="1"/>
    <col min="15" max="15" width="7.28515625" customWidth="1"/>
    <col min="16" max="16" width="3.140625" customWidth="1"/>
    <col min="17" max="17" width="9.140625" customWidth="1"/>
    <col min="18" max="19" width="7.7109375" customWidth="1"/>
    <col min="20" max="20" width="8.85546875" customWidth="1"/>
    <col min="21" max="22" width="7.7109375" customWidth="1"/>
    <col min="23" max="23" width="3.140625" customWidth="1"/>
    <col min="26" max="26" width="9.5703125" style="138" customWidth="1"/>
  </cols>
  <sheetData>
    <row r="1" spans="1:26" s="62" customFormat="1" ht="45.75" thickBot="1" x14ac:dyDescent="0.3">
      <c r="A1" s="167"/>
      <c r="B1" s="851" t="str">
        <f>+Profit!B2</f>
        <v>7001 Outrigger Dr</v>
      </c>
      <c r="C1" s="669"/>
      <c r="D1" s="855" t="s">
        <v>497</v>
      </c>
      <c r="E1" s="856"/>
      <c r="F1" s="587" t="s">
        <v>498</v>
      </c>
      <c r="G1" s="587" t="s">
        <v>499</v>
      </c>
      <c r="H1" s="193" t="s">
        <v>500</v>
      </c>
      <c r="I1" s="317" t="s">
        <v>501</v>
      </c>
      <c r="J1" s="193" t="s">
        <v>502</v>
      </c>
      <c r="K1" s="317" t="s">
        <v>503</v>
      </c>
      <c r="L1" s="193" t="s">
        <v>504</v>
      </c>
      <c r="M1" s="193" t="s">
        <v>505</v>
      </c>
      <c r="N1" s="317" t="s">
        <v>506</v>
      </c>
      <c r="O1" s="193" t="s">
        <v>507</v>
      </c>
      <c r="P1" s="164"/>
      <c r="Q1" s="312" t="s">
        <v>508</v>
      </c>
      <c r="R1" s="312" t="s">
        <v>509</v>
      </c>
      <c r="S1" s="312" t="s">
        <v>510</v>
      </c>
      <c r="T1" s="312" t="s">
        <v>511</v>
      </c>
      <c r="U1" s="312" t="s">
        <v>512</v>
      </c>
      <c r="V1" s="312" t="s">
        <v>513</v>
      </c>
      <c r="W1" s="164"/>
      <c r="X1" s="158"/>
      <c r="Z1" s="138"/>
    </row>
    <row r="2" spans="1:26" x14ac:dyDescent="0.25">
      <c r="A2" s="168" t="s">
        <v>514</v>
      </c>
      <c r="B2" s="165"/>
      <c r="D2" s="556"/>
      <c r="E2" s="557"/>
      <c r="F2" s="588"/>
      <c r="G2" s="589"/>
      <c r="H2" s="162"/>
      <c r="I2" s="162"/>
      <c r="J2" s="162"/>
      <c r="K2" s="162"/>
      <c r="L2" s="162"/>
      <c r="M2" s="162"/>
      <c r="N2" s="162"/>
      <c r="O2" s="162"/>
      <c r="P2" s="189"/>
      <c r="W2" s="189"/>
    </row>
    <row r="3" spans="1:26" ht="13.15" customHeight="1" x14ac:dyDescent="0.25">
      <c r="A3" s="169"/>
      <c r="B3" s="166" t="s">
        <v>515</v>
      </c>
      <c r="C3" s="139" t="s">
        <v>516</v>
      </c>
      <c r="D3" s="840" t="s">
        <v>347</v>
      </c>
      <c r="E3" s="841"/>
      <c r="F3" s="588"/>
      <c r="G3" s="589"/>
      <c r="H3" s="163"/>
      <c r="I3" s="163"/>
      <c r="J3" s="163" t="str">
        <f>+[1]Todo!$C3</f>
        <v>Yes</v>
      </c>
      <c r="K3" s="163" t="str">
        <f>+[2]Todo!$C3</f>
        <v>Yes</v>
      </c>
      <c r="L3" s="163" t="str">
        <f>+[3]Todo!$C3</f>
        <v>Yes</v>
      </c>
      <c r="M3" s="163" t="str">
        <f>+[4]Todo!$C3</f>
        <v>Yes</v>
      </c>
      <c r="N3" s="163" t="str">
        <f>+[5]Todo!$C3</f>
        <v>Yes</v>
      </c>
      <c r="O3" s="163" t="str">
        <f>+[6]Todo!$C3</f>
        <v>Yes</v>
      </c>
      <c r="P3" s="189"/>
      <c r="W3" s="189"/>
    </row>
    <row r="4" spans="1:26" ht="13.15" customHeight="1" x14ac:dyDescent="0.25">
      <c r="A4" s="169"/>
      <c r="B4" s="166" t="s">
        <v>517</v>
      </c>
      <c r="C4" s="140" t="s">
        <v>516</v>
      </c>
      <c r="D4" s="840" t="s">
        <v>347</v>
      </c>
      <c r="E4" s="841"/>
      <c r="F4" s="588"/>
      <c r="G4" s="589"/>
      <c r="H4" s="163"/>
      <c r="I4" s="163"/>
      <c r="J4" s="163" t="str">
        <f>+[1]Todo!$C4</f>
        <v>Yes</v>
      </c>
      <c r="K4" s="163" t="str">
        <f>+[2]Todo!$C4</f>
        <v>Yes</v>
      </c>
      <c r="L4" s="163" t="str">
        <f>+[3]Todo!$C4</f>
        <v>Yes</v>
      </c>
      <c r="M4" s="163" t="str">
        <f>+[4]Todo!$C4</f>
        <v>Yes</v>
      </c>
      <c r="N4" s="163" t="str">
        <f>+[5]Todo!$C4</f>
        <v>Yes</v>
      </c>
      <c r="O4" s="163" t="str">
        <f>+[6]Todo!$C4</f>
        <v>Yes</v>
      </c>
      <c r="P4" s="189"/>
      <c r="W4" s="189"/>
    </row>
    <row r="5" spans="1:26" ht="13.15" customHeight="1" x14ac:dyDescent="0.25">
      <c r="A5" s="169"/>
      <c r="B5" s="166" t="s">
        <v>518</v>
      </c>
      <c r="C5" s="140" t="s">
        <v>516</v>
      </c>
      <c r="D5" s="840" t="s">
        <v>347</v>
      </c>
      <c r="E5" s="841"/>
      <c r="F5" s="163"/>
      <c r="G5" s="163"/>
      <c r="H5" s="163"/>
      <c r="I5" s="163"/>
      <c r="J5" s="163" t="str">
        <f>+[1]Todo!$C5</f>
        <v>Yes</v>
      </c>
      <c r="K5" s="163" t="str">
        <f>+[2]Todo!$C5</f>
        <v>Yes</v>
      </c>
      <c r="L5" s="163" t="str">
        <f>+[3]Todo!$C5</f>
        <v>Yes</v>
      </c>
      <c r="M5" s="163" t="str">
        <f>+[4]Todo!$C5</f>
        <v>Yes</v>
      </c>
      <c r="N5" s="163" t="str">
        <f>+[5]Todo!$C5</f>
        <v>Yes</v>
      </c>
      <c r="O5" s="163" t="str">
        <f>+[6]Todo!$C5</f>
        <v>Yes</v>
      </c>
      <c r="P5" s="189"/>
      <c r="W5" s="189"/>
    </row>
    <row r="6" spans="1:26" ht="13.15" customHeight="1" x14ac:dyDescent="0.25">
      <c r="A6" s="169"/>
      <c r="B6" s="166" t="s">
        <v>519</v>
      </c>
      <c r="C6" s="140" t="s">
        <v>410</v>
      </c>
      <c r="D6" s="840" t="s">
        <v>520</v>
      </c>
      <c r="E6" s="841"/>
      <c r="F6" s="163"/>
      <c r="G6" s="163"/>
      <c r="H6" s="163"/>
      <c r="I6" s="163"/>
      <c r="J6" s="163" t="str">
        <f>+[1]Todo!$C6</f>
        <v>yes</v>
      </c>
      <c r="K6" s="163" t="str">
        <f>+[2]Todo!$C6</f>
        <v>yes</v>
      </c>
      <c r="L6" s="163" t="str">
        <f>+[3]Todo!$C6</f>
        <v>yes</v>
      </c>
      <c r="M6" s="163" t="str">
        <f>+[4]Todo!$C6</f>
        <v>yes</v>
      </c>
      <c r="N6" s="163" t="str">
        <f>+[5]Todo!$C6</f>
        <v>Yes</v>
      </c>
      <c r="O6" s="163" t="str">
        <f>+[6]Todo!$C6</f>
        <v>Yes</v>
      </c>
      <c r="P6" s="189"/>
      <c r="W6" s="189"/>
    </row>
    <row r="7" spans="1:26" ht="13.15" customHeight="1" x14ac:dyDescent="0.25">
      <c r="A7" s="169"/>
      <c r="B7" s="166" t="s">
        <v>521</v>
      </c>
      <c r="C7" s="140"/>
      <c r="D7" s="840" t="s">
        <v>522</v>
      </c>
      <c r="E7" s="841"/>
      <c r="F7" s="163"/>
      <c r="G7" s="163"/>
      <c r="H7" s="163"/>
      <c r="I7" s="163"/>
      <c r="J7" s="163">
        <f>+[1]Todo!$C7</f>
        <v>0</v>
      </c>
      <c r="K7" s="163">
        <f>+[2]Todo!$C7</f>
        <v>0</v>
      </c>
      <c r="L7" s="163">
        <f>+[3]Todo!$C7</f>
        <v>0</v>
      </c>
      <c r="M7" s="163">
        <f>+[4]Todo!$C7</f>
        <v>0</v>
      </c>
      <c r="N7" s="163" t="str">
        <f>+[5]Todo!$C7</f>
        <v>yes</v>
      </c>
      <c r="O7" s="163" t="str">
        <f>+[6]Todo!$C7</f>
        <v>yes</v>
      </c>
      <c r="P7" s="189"/>
      <c r="W7" s="189"/>
    </row>
    <row r="8" spans="1:26" ht="13.15" customHeight="1" x14ac:dyDescent="0.25">
      <c r="A8" s="169"/>
      <c r="B8" s="166" t="s">
        <v>523</v>
      </c>
      <c r="C8" s="140"/>
      <c r="D8" s="840"/>
      <c r="E8" s="841"/>
      <c r="F8" s="163"/>
      <c r="G8" s="163"/>
      <c r="H8" s="163"/>
      <c r="I8" s="163"/>
      <c r="J8" s="163">
        <f>+[1]Todo!$C8</f>
        <v>0</v>
      </c>
      <c r="K8" s="163">
        <f>+[2]Todo!$C8</f>
        <v>0</v>
      </c>
      <c r="L8" s="163">
        <f>+[3]Todo!$C8</f>
        <v>0</v>
      </c>
      <c r="M8" s="163">
        <f>+[4]Todo!$C8</f>
        <v>0</v>
      </c>
      <c r="N8" s="163" t="str">
        <f>+[5]Todo!$C8</f>
        <v>yes</v>
      </c>
      <c r="O8" s="163" t="str">
        <f>+[6]Todo!$C8</f>
        <v>yes</v>
      </c>
      <c r="P8" s="189"/>
      <c r="W8" s="189"/>
    </row>
    <row r="9" spans="1:26" ht="13.15" customHeight="1" x14ac:dyDescent="0.25">
      <c r="A9" s="169"/>
      <c r="B9" s="166" t="s">
        <v>524</v>
      </c>
      <c r="C9" s="140" t="s">
        <v>516</v>
      </c>
      <c r="D9" s="840"/>
      <c r="E9" s="841"/>
      <c r="F9" s="163"/>
      <c r="G9" s="163"/>
      <c r="H9" s="163"/>
      <c r="I9" s="163"/>
      <c r="J9" s="163" t="str">
        <f>+[1]Todo!$C9</f>
        <v>Yes</v>
      </c>
      <c r="K9" s="163" t="str">
        <f>+[2]Todo!$C9</f>
        <v>Yes</v>
      </c>
      <c r="L9" s="163">
        <f>+[3]Todo!$C9</f>
        <v>0</v>
      </c>
      <c r="M9" s="163">
        <f>+[4]Todo!$C9</f>
        <v>0</v>
      </c>
      <c r="N9" s="163" t="str">
        <f>+[5]Todo!$C9</f>
        <v>na</v>
      </c>
      <c r="O9" s="163" t="str">
        <f>+[6]Todo!$C9</f>
        <v>na</v>
      </c>
      <c r="P9" s="190"/>
      <c r="W9" s="190"/>
    </row>
    <row r="10" spans="1:26" ht="13.15" customHeight="1" x14ac:dyDescent="0.25">
      <c r="A10" s="169"/>
      <c r="B10" s="166" t="s">
        <v>525</v>
      </c>
      <c r="C10" s="140" t="s">
        <v>87</v>
      </c>
      <c r="D10" s="840"/>
      <c r="E10" s="841"/>
      <c r="F10" s="163"/>
      <c r="G10" s="163"/>
      <c r="H10" s="163"/>
      <c r="I10" s="163"/>
      <c r="J10" s="163" t="str">
        <f>+[1]Todo!$C10</f>
        <v>n/a</v>
      </c>
      <c r="K10" s="163" t="str">
        <f>+[2]Todo!$C10</f>
        <v>n/a</v>
      </c>
      <c r="L10" s="163" t="str">
        <f>+[3]Todo!$C10</f>
        <v>yes</v>
      </c>
      <c r="M10" s="163" t="str">
        <f>+[4]Todo!$C10</f>
        <v>yes</v>
      </c>
      <c r="N10" s="163" t="str">
        <f>+[5]Todo!$C10</f>
        <v>na</v>
      </c>
      <c r="O10" s="163" t="str">
        <f>+[6]Todo!$C10</f>
        <v>na</v>
      </c>
      <c r="P10" s="190"/>
      <c r="W10" s="190"/>
    </row>
    <row r="11" spans="1:26" ht="13.15" customHeight="1" x14ac:dyDescent="0.25">
      <c r="A11" s="169"/>
      <c r="B11" s="166"/>
      <c r="C11" s="140"/>
      <c r="D11" s="840"/>
      <c r="E11" s="841"/>
      <c r="F11" s="163"/>
      <c r="G11" s="163"/>
      <c r="H11" s="163"/>
      <c r="I11" s="163"/>
      <c r="J11" s="163">
        <f>+[1]Todo!$C11</f>
        <v>0</v>
      </c>
      <c r="K11" s="163">
        <f>+[2]Todo!$C11</f>
        <v>0</v>
      </c>
      <c r="L11" s="163">
        <f>+[3]Todo!$C11</f>
        <v>0</v>
      </c>
      <c r="M11" s="163">
        <f>+[4]Todo!$C11</f>
        <v>0</v>
      </c>
      <c r="N11" s="163">
        <f>+[5]Todo!$C11</f>
        <v>0</v>
      </c>
      <c r="O11" s="163">
        <f>+[6]Todo!$C11</f>
        <v>0</v>
      </c>
      <c r="P11" s="190"/>
      <c r="W11" s="190"/>
    </row>
    <row r="12" spans="1:26" ht="13.15" customHeight="1" x14ac:dyDescent="0.25">
      <c r="A12" s="849" t="s">
        <v>526</v>
      </c>
      <c r="B12" s="166"/>
      <c r="C12" s="140"/>
      <c r="D12" s="840"/>
      <c r="E12" s="841"/>
      <c r="F12" s="163"/>
      <c r="G12" s="163"/>
      <c r="H12" s="163"/>
      <c r="I12" s="163"/>
      <c r="J12" s="163">
        <f>+[1]Todo!$C12</f>
        <v>0</v>
      </c>
      <c r="K12" s="163">
        <f>+[2]Todo!$C12</f>
        <v>0</v>
      </c>
      <c r="L12" s="163">
        <f>+[3]Todo!$C12</f>
        <v>0</v>
      </c>
      <c r="M12" s="163">
        <f>+[4]Todo!$C12</f>
        <v>0</v>
      </c>
      <c r="N12" s="163">
        <f>+[5]Todo!$C12</f>
        <v>0</v>
      </c>
      <c r="O12" s="163">
        <f>+[6]Todo!$C12</f>
        <v>0</v>
      </c>
      <c r="P12" s="190"/>
      <c r="W12" s="190"/>
    </row>
    <row r="13" spans="1:26" ht="13.15" customHeight="1" x14ac:dyDescent="0.25">
      <c r="A13" s="850"/>
      <c r="B13" s="166" t="s">
        <v>527</v>
      </c>
      <c r="C13" s="140"/>
      <c r="D13" s="840"/>
      <c r="E13" s="841"/>
      <c r="F13" s="163"/>
      <c r="G13" s="163"/>
      <c r="H13" s="163"/>
      <c r="I13" s="163"/>
      <c r="J13" s="163">
        <f>+[1]Todo!$C13</f>
        <v>0</v>
      </c>
      <c r="K13" s="163">
        <f>+[2]Todo!$C13</f>
        <v>0</v>
      </c>
      <c r="L13" s="163">
        <f>+[3]Todo!$C13</f>
        <v>0</v>
      </c>
      <c r="M13" s="163">
        <f>+[4]Todo!$C13</f>
        <v>0</v>
      </c>
      <c r="N13" s="163">
        <f>+[5]Todo!$C13</f>
        <v>0</v>
      </c>
      <c r="O13" s="163" t="str">
        <f>+[6]Todo!$C13</f>
        <v>na</v>
      </c>
      <c r="P13" s="190"/>
      <c r="W13" s="190"/>
    </row>
    <row r="14" spans="1:26" ht="13.15" customHeight="1" x14ac:dyDescent="0.25">
      <c r="A14" s="169"/>
      <c r="B14" s="166" t="s">
        <v>528</v>
      </c>
      <c r="C14" s="140"/>
      <c r="D14" s="840"/>
      <c r="E14" s="841"/>
      <c r="F14" s="163"/>
      <c r="G14" s="163"/>
      <c r="H14" s="163"/>
      <c r="I14" s="163"/>
      <c r="J14" s="163">
        <f>+[1]Todo!$C14</f>
        <v>0</v>
      </c>
      <c r="K14" s="163">
        <f>+[2]Todo!$C14</f>
        <v>0</v>
      </c>
      <c r="L14" s="163" t="str">
        <f>+[3]Todo!$C14</f>
        <v xml:space="preserve"> </v>
      </c>
      <c r="M14" s="163" t="str">
        <f>+[4]Todo!$C14</f>
        <v>yes</v>
      </c>
      <c r="N14" s="163">
        <f>+[5]Todo!$C14</f>
        <v>0</v>
      </c>
      <c r="O14" s="163" t="str">
        <f>+[6]Todo!$C14</f>
        <v>na</v>
      </c>
      <c r="P14" s="190"/>
      <c r="W14" s="190"/>
    </row>
    <row r="15" spans="1:26" ht="13.15" customHeight="1" x14ac:dyDescent="0.25">
      <c r="A15" s="169"/>
      <c r="B15" s="166" t="s">
        <v>529</v>
      </c>
      <c r="C15" s="140"/>
      <c r="D15" s="840" t="s">
        <v>347</v>
      </c>
      <c r="E15" s="841"/>
      <c r="F15" s="163"/>
      <c r="G15" s="163"/>
      <c r="H15" s="163"/>
      <c r="I15" s="163"/>
      <c r="J15" s="163">
        <f>+[1]Todo!$C15</f>
        <v>0</v>
      </c>
      <c r="K15" s="163">
        <f>+[2]Todo!$C15</f>
        <v>0</v>
      </c>
      <c r="L15" s="163" t="str">
        <f>+[3]Todo!$C15</f>
        <v>n/a</v>
      </c>
      <c r="M15" s="163" t="str">
        <f>+[4]Todo!$C15</f>
        <v>yes</v>
      </c>
      <c r="N15" s="163">
        <f>+[5]Todo!$C15</f>
        <v>0</v>
      </c>
      <c r="O15" s="163" t="str">
        <f>+[6]Todo!$C15</f>
        <v>na</v>
      </c>
      <c r="P15" s="190"/>
      <c r="W15" s="190"/>
    </row>
    <row r="16" spans="1:26" ht="13.15" customHeight="1" x14ac:dyDescent="0.25">
      <c r="A16" s="169"/>
      <c r="B16" s="166" t="s">
        <v>530</v>
      </c>
      <c r="C16" s="140"/>
      <c r="D16" s="840"/>
      <c r="E16" s="841"/>
      <c r="F16" s="163"/>
      <c r="G16" s="163"/>
      <c r="H16" s="163"/>
      <c r="I16" s="163"/>
      <c r="J16" s="163">
        <f>+[1]Todo!$C16</f>
        <v>0</v>
      </c>
      <c r="K16" s="163">
        <f>+[2]Todo!$C16</f>
        <v>0</v>
      </c>
      <c r="L16" s="163" t="str">
        <f>+[3]Todo!$C16</f>
        <v xml:space="preserve"> n/a</v>
      </c>
      <c r="M16" s="163" t="str">
        <f>+[4]Todo!$C16</f>
        <v>yes</v>
      </c>
      <c r="N16" s="163">
        <f>+[5]Todo!$C16</f>
        <v>0</v>
      </c>
      <c r="O16" s="163" t="str">
        <f>+[6]Todo!$C16</f>
        <v>yes</v>
      </c>
      <c r="P16" s="190"/>
      <c r="W16" s="190"/>
    </row>
    <row r="17" spans="1:23" ht="13.15" customHeight="1" x14ac:dyDescent="0.25">
      <c r="A17" s="169"/>
      <c r="B17" s="166" t="s">
        <v>531</v>
      </c>
      <c r="C17" s="140"/>
      <c r="D17" s="840"/>
      <c r="E17" s="841"/>
      <c r="F17" s="163"/>
      <c r="G17" s="163"/>
      <c r="H17" s="163"/>
      <c r="I17" s="163"/>
      <c r="J17" s="163">
        <f>+[1]Todo!$C17</f>
        <v>0</v>
      </c>
      <c r="K17" s="163">
        <f>+[2]Todo!$C17</f>
        <v>0</v>
      </c>
      <c r="L17" s="163" t="str">
        <f>+[3]Todo!$C17</f>
        <v xml:space="preserve"> </v>
      </c>
      <c r="M17" s="163" t="str">
        <f>+[4]Todo!$C17</f>
        <v>yes</v>
      </c>
      <c r="N17" s="163">
        <f>+[5]Todo!$C17</f>
        <v>0</v>
      </c>
      <c r="O17" s="163">
        <f>+[6]Todo!$C17</f>
        <v>0</v>
      </c>
      <c r="P17" s="190"/>
      <c r="W17" s="190"/>
    </row>
    <row r="18" spans="1:23" ht="13.15" customHeight="1" x14ac:dyDescent="0.25">
      <c r="A18" s="169"/>
      <c r="B18" s="166" t="s">
        <v>532</v>
      </c>
      <c r="C18" s="140"/>
      <c r="D18" s="840"/>
      <c r="E18" s="841"/>
      <c r="F18" s="163"/>
      <c r="G18" s="163"/>
      <c r="H18" s="163"/>
      <c r="I18" s="163"/>
      <c r="J18" s="163">
        <f>+[1]Todo!$C18</f>
        <v>0</v>
      </c>
      <c r="K18" s="163">
        <f>+[2]Todo!$C18</f>
        <v>0</v>
      </c>
      <c r="L18" s="163" t="str">
        <f>+[3]Todo!$C18</f>
        <v xml:space="preserve"> </v>
      </c>
      <c r="M18" s="163" t="str">
        <f>+[4]Todo!$C18</f>
        <v>yes</v>
      </c>
      <c r="N18" s="163">
        <f>+[5]Todo!$C18</f>
        <v>0</v>
      </c>
      <c r="O18" s="163" t="str">
        <f>+[6]Todo!$C18</f>
        <v>yes</v>
      </c>
      <c r="P18" s="190"/>
      <c r="W18" s="190"/>
    </row>
    <row r="19" spans="1:23" ht="13.15" customHeight="1" x14ac:dyDescent="0.25">
      <c r="A19" s="169"/>
      <c r="B19" s="166" t="s">
        <v>533</v>
      </c>
      <c r="C19" s="140"/>
      <c r="D19" s="840"/>
      <c r="E19" s="841"/>
      <c r="F19" s="163"/>
      <c r="G19" s="163"/>
      <c r="H19" s="163"/>
      <c r="I19" s="163"/>
      <c r="J19" s="163">
        <f>+[1]Todo!$C19</f>
        <v>0</v>
      </c>
      <c r="K19" s="163">
        <f>+[2]Todo!$C19</f>
        <v>0</v>
      </c>
      <c r="L19" s="163" t="str">
        <f>+[3]Todo!$C19</f>
        <v xml:space="preserve"> </v>
      </c>
      <c r="M19" s="163" t="str">
        <f>+[4]Todo!$C19</f>
        <v xml:space="preserve"> na</v>
      </c>
      <c r="N19" s="163" t="str">
        <f>+[5]Todo!$C19</f>
        <v xml:space="preserve"> </v>
      </c>
      <c r="O19" s="163" t="str">
        <f>+[6]Todo!$C19</f>
        <v>na</v>
      </c>
      <c r="P19" s="190"/>
      <c r="W19" s="190"/>
    </row>
    <row r="20" spans="1:23" ht="13.15" customHeight="1" x14ac:dyDescent="0.25">
      <c r="A20" s="169"/>
      <c r="B20" s="166" t="s">
        <v>534</v>
      </c>
      <c r="C20" s="140"/>
      <c r="D20" s="840" t="s">
        <v>347</v>
      </c>
      <c r="E20" s="841"/>
      <c r="F20" s="163"/>
      <c r="G20" s="163"/>
      <c r="H20" s="163"/>
      <c r="I20" s="163"/>
      <c r="J20" s="163">
        <f>+[1]Todo!$C20</f>
        <v>0</v>
      </c>
      <c r="K20" s="163">
        <f>+[2]Todo!$C20</f>
        <v>0</v>
      </c>
      <c r="L20" s="163" t="str">
        <f>+[3]Todo!$C20</f>
        <v>yes</v>
      </c>
      <c r="M20" s="163" t="str">
        <f>+[4]Todo!$C20</f>
        <v>yes</v>
      </c>
      <c r="N20" s="163" t="str">
        <f>+[5]Todo!$C20</f>
        <v>yes</v>
      </c>
      <c r="O20" s="163" t="str">
        <f>+[6]Todo!$C20</f>
        <v>yes</v>
      </c>
      <c r="P20" s="190"/>
      <c r="W20" s="190"/>
    </row>
    <row r="21" spans="1:23" ht="13.15" customHeight="1" x14ac:dyDescent="0.25">
      <c r="A21" s="169"/>
      <c r="B21" s="166" t="s">
        <v>535</v>
      </c>
      <c r="C21" s="140"/>
      <c r="D21" s="840"/>
      <c r="E21" s="841"/>
      <c r="F21" s="163"/>
      <c r="G21" s="163"/>
      <c r="H21" s="163"/>
      <c r="I21" s="163"/>
      <c r="J21" s="163">
        <f>+[1]Todo!$C21</f>
        <v>0</v>
      </c>
      <c r="K21" s="163">
        <f>+[2]Todo!$C21</f>
        <v>0</v>
      </c>
      <c r="L21" s="163" t="str">
        <f>+[3]Todo!$C21</f>
        <v xml:space="preserve"> </v>
      </c>
      <c r="M21" s="163" t="str">
        <f>+[4]Todo!$C21</f>
        <v>na</v>
      </c>
      <c r="N21" s="163">
        <f>+[5]Todo!$C21</f>
        <v>0</v>
      </c>
      <c r="O21" s="163" t="str">
        <f>+[6]Todo!$C21</f>
        <v>na</v>
      </c>
      <c r="P21" s="190"/>
      <c r="W21" s="190"/>
    </row>
    <row r="22" spans="1:23" ht="13.15" customHeight="1" x14ac:dyDescent="0.25">
      <c r="A22" s="169"/>
      <c r="B22" s="166" t="s">
        <v>536</v>
      </c>
      <c r="C22" s="140"/>
      <c r="D22" s="840"/>
      <c r="E22" s="841"/>
      <c r="F22" s="163"/>
      <c r="G22" s="163"/>
      <c r="H22" s="163"/>
      <c r="I22" s="163"/>
      <c r="J22" s="163">
        <f>+[1]Todo!$C22</f>
        <v>0</v>
      </c>
      <c r="K22" s="163">
        <f>+[2]Todo!$C22</f>
        <v>0</v>
      </c>
      <c r="L22" s="163" t="str">
        <f>+[3]Todo!$C22</f>
        <v xml:space="preserve"> </v>
      </c>
      <c r="M22" s="163" t="str">
        <f>+[4]Todo!$C22</f>
        <v>yes</v>
      </c>
      <c r="N22" s="163">
        <f>+[5]Todo!$C22</f>
        <v>0</v>
      </c>
      <c r="O22" s="163" t="str">
        <f>+[6]Todo!$C22</f>
        <v>yes</v>
      </c>
      <c r="P22" s="190"/>
      <c r="W22" s="190"/>
    </row>
    <row r="23" spans="1:23" ht="13.15" customHeight="1" x14ac:dyDescent="0.25">
      <c r="A23" s="169"/>
      <c r="B23" s="166" t="s">
        <v>537</v>
      </c>
      <c r="C23" s="140"/>
      <c r="D23" s="840"/>
      <c r="E23" s="841"/>
      <c r="F23" s="163"/>
      <c r="G23" s="163"/>
      <c r="H23" s="163"/>
      <c r="I23" s="163"/>
      <c r="J23" s="163">
        <f>+[1]Todo!$C23</f>
        <v>0</v>
      </c>
      <c r="K23" s="163">
        <f>+[2]Todo!$C23</f>
        <v>0</v>
      </c>
      <c r="L23" s="163" t="str">
        <f>+[3]Todo!$C23</f>
        <v xml:space="preserve"> </v>
      </c>
      <c r="M23" s="163" t="str">
        <f>+[4]Todo!$C23</f>
        <v>yes</v>
      </c>
      <c r="N23" s="163">
        <f>+[5]Todo!$C23</f>
        <v>0</v>
      </c>
      <c r="O23" s="163" t="str">
        <f>+[6]Todo!$C23</f>
        <v>yes</v>
      </c>
      <c r="P23" s="190"/>
      <c r="W23" s="190"/>
    </row>
    <row r="24" spans="1:23" ht="13.15" customHeight="1" x14ac:dyDescent="0.25">
      <c r="A24" s="169"/>
      <c r="B24" s="166" t="s">
        <v>538</v>
      </c>
      <c r="C24" s="140"/>
      <c r="D24" s="840"/>
      <c r="E24" s="841"/>
      <c r="F24" s="163"/>
      <c r="G24" s="163"/>
      <c r="H24" s="163"/>
      <c r="I24" s="163"/>
      <c r="J24" s="163">
        <f>+[1]Todo!$C24</f>
        <v>0</v>
      </c>
      <c r="K24" s="163">
        <f>+[2]Todo!$C24</f>
        <v>0</v>
      </c>
      <c r="L24" s="163" t="str">
        <f>+[3]Todo!$C24</f>
        <v>yes</v>
      </c>
      <c r="M24" s="163" t="str">
        <f>+[4]Todo!$C24</f>
        <v>yes</v>
      </c>
      <c r="N24" s="163" t="str">
        <f>+[5]Todo!$C24</f>
        <v>yes</v>
      </c>
      <c r="O24" s="163" t="str">
        <f>+[6]Todo!$C24</f>
        <v>yes</v>
      </c>
      <c r="P24" s="190"/>
      <c r="W24" s="190"/>
    </row>
    <row r="25" spans="1:23" ht="13.15" customHeight="1" x14ac:dyDescent="0.25">
      <c r="A25" s="170"/>
      <c r="B25" s="166" t="s">
        <v>539</v>
      </c>
      <c r="C25" s="140"/>
      <c r="D25" s="840" t="s">
        <v>347</v>
      </c>
      <c r="E25" s="841"/>
      <c r="F25" s="163"/>
      <c r="G25" s="163"/>
      <c r="H25" s="163"/>
      <c r="I25" s="163"/>
      <c r="J25" s="163">
        <f>+[1]Todo!$C25</f>
        <v>0</v>
      </c>
      <c r="K25" s="163">
        <f>+[2]Todo!$C25</f>
        <v>0</v>
      </c>
      <c r="L25" s="163">
        <f>+[3]Todo!$C25</f>
        <v>0</v>
      </c>
      <c r="M25" s="163" t="str">
        <f>+[4]Todo!$C25</f>
        <v>yes</v>
      </c>
      <c r="N25" s="163">
        <f>+[5]Todo!$C25</f>
        <v>0</v>
      </c>
      <c r="O25" s="163" t="str">
        <f>+[6]Todo!$C25</f>
        <v>yes</v>
      </c>
      <c r="P25" s="190"/>
      <c r="W25" s="190"/>
    </row>
    <row r="26" spans="1:23" ht="13.15" customHeight="1" x14ac:dyDescent="0.25">
      <c r="A26" s="170"/>
      <c r="B26" s="166" t="s">
        <v>540</v>
      </c>
      <c r="C26" s="140"/>
      <c r="D26" s="840"/>
      <c r="E26" s="841"/>
      <c r="F26" s="163"/>
      <c r="G26" s="163"/>
      <c r="H26" s="163"/>
      <c r="I26" s="163"/>
      <c r="J26" s="163">
        <f>+[1]Todo!$C26</f>
        <v>0</v>
      </c>
      <c r="K26" s="163">
        <f>+[2]Todo!$C26</f>
        <v>0</v>
      </c>
      <c r="L26" s="163">
        <f>+[3]Todo!$C26</f>
        <v>0</v>
      </c>
      <c r="M26" s="163" t="str">
        <f>+[4]Todo!$C26</f>
        <v>yes</v>
      </c>
      <c r="N26" s="163">
        <f>+[5]Todo!$C26</f>
        <v>0</v>
      </c>
      <c r="O26" s="163" t="str">
        <f>+[6]Todo!$C26</f>
        <v>na</v>
      </c>
      <c r="P26" s="190"/>
      <c r="W26" s="190"/>
    </row>
    <row r="27" spans="1:23" ht="13.15" customHeight="1" x14ac:dyDescent="0.25">
      <c r="A27" s="169"/>
      <c r="B27" s="166" t="s">
        <v>541</v>
      </c>
      <c r="C27" s="141"/>
      <c r="D27" s="840"/>
      <c r="E27" s="841"/>
      <c r="F27" s="163"/>
      <c r="G27" s="163"/>
      <c r="H27" s="163"/>
      <c r="I27" s="163"/>
      <c r="J27" s="163">
        <f>+[1]Todo!$C27</f>
        <v>0</v>
      </c>
      <c r="K27" s="163">
        <f>+[2]Todo!$C27</f>
        <v>0</v>
      </c>
      <c r="L27" s="163">
        <f>+[3]Todo!$C27</f>
        <v>0</v>
      </c>
      <c r="M27" s="163">
        <f>+[4]Todo!$C27</f>
        <v>0</v>
      </c>
      <c r="N27" s="163">
        <f>+[5]Todo!$C27</f>
        <v>0</v>
      </c>
      <c r="O27" s="163">
        <f>+[6]Todo!$C27</f>
        <v>0</v>
      </c>
      <c r="P27" s="190"/>
      <c r="W27" s="190"/>
    </row>
    <row r="28" spans="1:23" ht="13.15" customHeight="1" x14ac:dyDescent="0.25">
      <c r="A28" s="169"/>
      <c r="B28" s="166" t="s">
        <v>542</v>
      </c>
      <c r="C28" s="140"/>
      <c r="D28" s="840"/>
      <c r="E28" s="841"/>
      <c r="F28" s="163"/>
      <c r="G28" s="163"/>
      <c r="H28" s="163"/>
      <c r="I28" s="163"/>
      <c r="J28" s="163">
        <f>+[1]Todo!$C28</f>
        <v>0</v>
      </c>
      <c r="K28" s="163">
        <f>+[2]Todo!$C28</f>
        <v>0</v>
      </c>
      <c r="L28" s="163" t="str">
        <f>+[3]Todo!$C28</f>
        <v>na</v>
      </c>
      <c r="M28" s="163" t="str">
        <f>+[4]Todo!$C28</f>
        <v>na</v>
      </c>
      <c r="N28" s="163" t="str">
        <f>+[5]Todo!$C28</f>
        <v>na</v>
      </c>
      <c r="O28" s="163" t="str">
        <f>+[6]Todo!$C28</f>
        <v>na</v>
      </c>
      <c r="P28" s="190"/>
      <c r="W28" s="190"/>
    </row>
    <row r="29" spans="1:23" ht="13.15" customHeight="1" x14ac:dyDescent="0.25">
      <c r="A29" s="169"/>
      <c r="B29" s="166"/>
      <c r="C29" s="140"/>
      <c r="D29" s="558"/>
      <c r="E29" s="559"/>
      <c r="F29" s="163"/>
      <c r="G29" s="163"/>
      <c r="H29" s="163"/>
      <c r="I29" s="163"/>
      <c r="J29" s="163">
        <f>+[1]Todo!$C29</f>
        <v>0</v>
      </c>
      <c r="K29" s="163">
        <f>+[2]Todo!$C29</f>
        <v>0</v>
      </c>
      <c r="L29" s="163">
        <f>+[3]Todo!$C29</f>
        <v>0</v>
      </c>
      <c r="M29" s="163">
        <f>+[4]Todo!$C29</f>
        <v>0</v>
      </c>
      <c r="N29" s="163">
        <f>+[5]Todo!$C29</f>
        <v>0</v>
      </c>
      <c r="O29" s="163">
        <f>+[6]Todo!$C29</f>
        <v>0</v>
      </c>
      <c r="P29" s="190"/>
      <c r="W29" s="190"/>
    </row>
    <row r="30" spans="1:23" ht="13.15" customHeight="1" x14ac:dyDescent="0.25">
      <c r="A30" s="849" t="s">
        <v>543</v>
      </c>
      <c r="B30" s="166" t="s">
        <v>544</v>
      </c>
      <c r="C30" s="140"/>
      <c r="D30" s="840"/>
      <c r="E30" s="841"/>
      <c r="F30" s="163"/>
      <c r="G30" s="163"/>
      <c r="H30" s="163"/>
      <c r="I30" s="163"/>
      <c r="J30" s="163">
        <f>+[1]Todo!$C30</f>
        <v>0</v>
      </c>
      <c r="K30" s="163">
        <f>+[2]Todo!$C30</f>
        <v>0</v>
      </c>
      <c r="L30" s="163">
        <f>+[3]Todo!$C30</f>
        <v>0</v>
      </c>
      <c r="M30" s="163">
        <f>+[4]Todo!$C30</f>
        <v>0</v>
      </c>
      <c r="N30" s="163">
        <f>+[5]Todo!$C30</f>
        <v>0</v>
      </c>
      <c r="O30" s="163">
        <f>+[6]Todo!$C30</f>
        <v>0</v>
      </c>
      <c r="P30" s="190"/>
      <c r="W30" s="190"/>
    </row>
    <row r="31" spans="1:23" ht="13.15" customHeight="1" x14ac:dyDescent="0.25">
      <c r="A31" s="850"/>
      <c r="B31" s="166" t="s">
        <v>545</v>
      </c>
      <c r="C31" s="140"/>
      <c r="D31" s="558"/>
      <c r="E31" s="559"/>
      <c r="F31" s="163"/>
      <c r="G31" s="163"/>
      <c r="H31" s="163"/>
      <c r="I31" s="163"/>
      <c r="J31" s="163">
        <f>+[1]Todo!$C31</f>
        <v>0</v>
      </c>
      <c r="K31" s="163">
        <f>+[2]Todo!$C31</f>
        <v>0</v>
      </c>
      <c r="L31" s="163">
        <f>+[3]Todo!$C31</f>
        <v>0</v>
      </c>
      <c r="M31" s="163">
        <f>+[4]Todo!$C31</f>
        <v>0</v>
      </c>
      <c r="N31" s="163">
        <f>+[5]Todo!$C31</f>
        <v>0</v>
      </c>
      <c r="O31" s="163">
        <f>+[6]Todo!$C31</f>
        <v>0</v>
      </c>
      <c r="P31" s="190"/>
      <c r="W31" s="190"/>
    </row>
    <row r="32" spans="1:23" ht="13.15" customHeight="1" x14ac:dyDescent="0.25">
      <c r="A32" s="170"/>
      <c r="B32" s="166" t="s">
        <v>546</v>
      </c>
      <c r="C32" s="140"/>
      <c r="D32" s="558"/>
      <c r="E32" s="559"/>
      <c r="F32" s="163"/>
      <c r="G32" s="163"/>
      <c r="H32" s="163"/>
      <c r="I32" s="163"/>
      <c r="J32" s="163">
        <f>+[1]Todo!$C32</f>
        <v>0</v>
      </c>
      <c r="K32" s="163">
        <f>+[2]Todo!$C32</f>
        <v>0</v>
      </c>
      <c r="L32" s="163">
        <f>+[3]Todo!$C32</f>
        <v>0</v>
      </c>
      <c r="M32" s="163">
        <f>+[4]Todo!$C32</f>
        <v>0</v>
      </c>
      <c r="N32" s="163">
        <f>+[5]Todo!$C32</f>
        <v>0</v>
      </c>
      <c r="O32" s="163">
        <f>+[6]Todo!$C32</f>
        <v>0</v>
      </c>
      <c r="P32" s="190"/>
      <c r="W32" s="190"/>
    </row>
    <row r="33" spans="1:25" ht="13.15" customHeight="1" x14ac:dyDescent="0.25">
      <c r="A33" s="170"/>
      <c r="B33" s="166" t="s">
        <v>547</v>
      </c>
      <c r="C33" s="140"/>
      <c r="D33" s="558"/>
      <c r="E33" s="559"/>
      <c r="F33" s="163"/>
      <c r="G33" s="163"/>
      <c r="H33" s="163"/>
      <c r="I33" s="163"/>
      <c r="J33" s="163">
        <f>+[1]Todo!$C33</f>
        <v>0</v>
      </c>
      <c r="K33" s="163">
        <f>+[2]Todo!$C33</f>
        <v>0</v>
      </c>
      <c r="L33" s="163">
        <f>+[3]Todo!$C33</f>
        <v>0</v>
      </c>
      <c r="M33" s="163">
        <f>+[4]Todo!$C33</f>
        <v>0</v>
      </c>
      <c r="N33" s="163">
        <f>+[5]Todo!$C33</f>
        <v>0</v>
      </c>
      <c r="O33" s="163">
        <f>+[6]Todo!$C33</f>
        <v>0</v>
      </c>
      <c r="P33" s="190"/>
      <c r="W33" s="190"/>
    </row>
    <row r="34" spans="1:25" ht="13.15" customHeight="1" x14ac:dyDescent="0.25">
      <c r="A34" s="170"/>
      <c r="B34" s="166" t="s">
        <v>548</v>
      </c>
      <c r="C34" s="140"/>
      <c r="D34" s="840"/>
      <c r="E34" s="841"/>
      <c r="F34" s="163"/>
      <c r="G34" s="163"/>
      <c r="H34" s="163"/>
      <c r="I34" s="163"/>
      <c r="J34" s="163">
        <f>+[1]Todo!$C34</f>
        <v>0</v>
      </c>
      <c r="K34" s="163">
        <f>+[2]Todo!$C34</f>
        <v>0</v>
      </c>
      <c r="L34" s="163">
        <f>+[3]Todo!$C34</f>
        <v>0</v>
      </c>
      <c r="M34" s="163">
        <f>+[4]Todo!$C34</f>
        <v>0</v>
      </c>
      <c r="N34" s="163">
        <f>+[5]Todo!$C34</f>
        <v>0</v>
      </c>
      <c r="O34" s="163">
        <f>+[6]Todo!$C34</f>
        <v>0</v>
      </c>
      <c r="P34" s="190"/>
      <c r="W34" s="190"/>
    </row>
    <row r="35" spans="1:25" ht="13.15" customHeight="1" x14ac:dyDescent="0.25">
      <c r="A35" s="169"/>
      <c r="B35" s="166"/>
      <c r="C35" s="140"/>
      <c r="D35" s="840"/>
      <c r="E35" s="841"/>
      <c r="F35" s="163"/>
      <c r="G35" s="163"/>
      <c r="H35" s="163"/>
      <c r="I35" s="163"/>
      <c r="J35" s="163">
        <f>+[1]Todo!$C35</f>
        <v>0</v>
      </c>
      <c r="K35" s="163">
        <f>+[2]Todo!$C35</f>
        <v>0</v>
      </c>
      <c r="L35" s="163">
        <f>+[3]Todo!$C35</f>
        <v>0</v>
      </c>
      <c r="M35" s="163">
        <f>+[4]Todo!$C35</f>
        <v>0</v>
      </c>
      <c r="N35" s="163">
        <f>+[5]Todo!$C35</f>
        <v>0</v>
      </c>
      <c r="O35" s="163"/>
      <c r="P35" s="190"/>
      <c r="W35" s="190"/>
    </row>
    <row r="36" spans="1:25" ht="13.15" customHeight="1" x14ac:dyDescent="0.25">
      <c r="A36" s="169"/>
      <c r="B36" s="166"/>
      <c r="C36" s="140"/>
      <c r="D36" s="840"/>
      <c r="E36" s="841"/>
      <c r="F36" s="163"/>
      <c r="G36" s="163"/>
      <c r="H36" s="163"/>
      <c r="I36" s="163"/>
      <c r="J36" s="163">
        <f>+[1]Todo!$C36</f>
        <v>0</v>
      </c>
      <c r="K36" s="163">
        <f>+[2]Todo!$C36</f>
        <v>0</v>
      </c>
      <c r="L36" s="163">
        <f>+[3]Todo!$C36</f>
        <v>0</v>
      </c>
      <c r="M36" s="163">
        <f>+[4]Todo!$C36</f>
        <v>0</v>
      </c>
      <c r="N36" s="163">
        <f>+[5]Todo!$C36</f>
        <v>0</v>
      </c>
      <c r="O36" s="163"/>
      <c r="P36" s="190"/>
      <c r="W36" s="190"/>
    </row>
    <row r="37" spans="1:25" ht="13.15" customHeight="1" x14ac:dyDescent="0.25">
      <c r="A37" s="169"/>
      <c r="B37" s="166"/>
      <c r="C37" s="140"/>
      <c r="D37" s="840"/>
      <c r="E37" s="841"/>
      <c r="F37" s="163"/>
      <c r="G37" s="163"/>
      <c r="H37" s="163"/>
      <c r="I37" s="163"/>
      <c r="J37" s="163">
        <f>+[1]Todo!$C37</f>
        <v>0</v>
      </c>
      <c r="K37" s="163">
        <f>+[2]Todo!$C37</f>
        <v>0</v>
      </c>
      <c r="L37" s="163">
        <f>+[3]Todo!$C37</f>
        <v>0</v>
      </c>
      <c r="M37" s="163">
        <f>+[4]Todo!$C37</f>
        <v>0</v>
      </c>
      <c r="N37" s="163">
        <f>+[5]Todo!$C37</f>
        <v>0</v>
      </c>
      <c r="O37" s="163"/>
      <c r="P37" s="190"/>
      <c r="W37" s="190"/>
    </row>
    <row r="38" spans="1:25" ht="13.15" customHeight="1" x14ac:dyDescent="0.25">
      <c r="A38" s="849" t="s">
        <v>549</v>
      </c>
      <c r="B38" s="166" t="s">
        <v>550</v>
      </c>
      <c r="C38" s="140"/>
      <c r="D38" s="840"/>
      <c r="E38" s="841"/>
      <c r="F38" s="163"/>
      <c r="G38" s="163"/>
      <c r="H38" s="163"/>
      <c r="I38" s="163"/>
      <c r="J38" s="163">
        <f>+[1]Todo!$C38</f>
        <v>0</v>
      </c>
      <c r="K38" s="163">
        <f>+[2]Todo!$C38</f>
        <v>0</v>
      </c>
      <c r="L38" s="163">
        <f>+[3]Todo!$C38</f>
        <v>0</v>
      </c>
      <c r="M38" s="163">
        <f>+[4]Todo!$C38</f>
        <v>0</v>
      </c>
      <c r="N38" s="163">
        <f>+[5]Todo!$C38</f>
        <v>0</v>
      </c>
      <c r="O38" s="163">
        <f>+[6]Todo!$C38</f>
        <v>0</v>
      </c>
      <c r="P38" s="190"/>
      <c r="W38" s="190"/>
    </row>
    <row r="39" spans="1:25" ht="13.15" customHeight="1" x14ac:dyDescent="0.25">
      <c r="A39" s="850"/>
      <c r="B39" s="166" t="s">
        <v>548</v>
      </c>
      <c r="C39" s="140"/>
      <c r="D39" s="840"/>
      <c r="E39" s="841"/>
      <c r="F39" s="163"/>
      <c r="G39" s="163"/>
      <c r="H39" s="163"/>
      <c r="I39" s="163"/>
      <c r="J39" s="163">
        <f>+[1]Todo!$C39</f>
        <v>0</v>
      </c>
      <c r="K39" s="163">
        <f>+[2]Todo!$C39</f>
        <v>0</v>
      </c>
      <c r="L39" s="163">
        <f>+[3]Todo!$C39</f>
        <v>0</v>
      </c>
      <c r="M39" s="163">
        <f>+[4]Todo!$C39</f>
        <v>0</v>
      </c>
      <c r="N39" s="163">
        <f>+[5]Todo!$C39</f>
        <v>0</v>
      </c>
      <c r="O39" s="163">
        <f>+[6]Todo!$C39</f>
        <v>0</v>
      </c>
      <c r="P39" s="190"/>
      <c r="W39" s="190"/>
    </row>
    <row r="40" spans="1:25" ht="13.15" customHeight="1" x14ac:dyDescent="0.25">
      <c r="A40" s="169"/>
      <c r="B40" s="166" t="s">
        <v>551</v>
      </c>
      <c r="C40" s="140"/>
      <c r="D40" s="840"/>
      <c r="E40" s="841"/>
      <c r="F40" s="163"/>
      <c r="G40" s="163"/>
      <c r="H40" s="163"/>
      <c r="I40" s="163"/>
      <c r="J40" s="163">
        <f>+[1]Todo!$C40</f>
        <v>0</v>
      </c>
      <c r="K40" s="163">
        <f>+[2]Todo!$C40</f>
        <v>0</v>
      </c>
      <c r="L40" s="163">
        <f>+[3]Todo!$C40</f>
        <v>0</v>
      </c>
      <c r="M40" s="163">
        <f>+[4]Todo!$C40</f>
        <v>0</v>
      </c>
      <c r="N40" s="163">
        <f>+[5]Todo!$C40</f>
        <v>0</v>
      </c>
      <c r="O40" s="163">
        <f>+[6]Todo!$C40</f>
        <v>0</v>
      </c>
      <c r="P40" s="190"/>
      <c r="W40" s="190"/>
    </row>
    <row r="41" spans="1:25" ht="13.15" customHeight="1" x14ac:dyDescent="0.25">
      <c r="A41" s="169"/>
      <c r="B41" s="166" t="s">
        <v>552</v>
      </c>
      <c r="C41" s="140"/>
      <c r="D41" s="840"/>
      <c r="E41" s="841"/>
      <c r="F41" s="163"/>
      <c r="G41" s="163"/>
      <c r="H41" s="163"/>
      <c r="I41" s="163"/>
      <c r="J41" s="163">
        <f>+[1]Todo!$C41</f>
        <v>0</v>
      </c>
      <c r="K41" s="163">
        <f>+[2]Todo!$C41</f>
        <v>0</v>
      </c>
      <c r="L41" s="163">
        <f>+[3]Todo!$C41</f>
        <v>0</v>
      </c>
      <c r="M41" s="163">
        <f>+[4]Todo!$C41</f>
        <v>0</v>
      </c>
      <c r="N41" s="163">
        <f>+[5]Todo!$C41</f>
        <v>0</v>
      </c>
      <c r="O41" s="163">
        <f>+[6]Todo!$C41</f>
        <v>0</v>
      </c>
      <c r="P41" s="190"/>
      <c r="W41" s="190"/>
    </row>
    <row r="42" spans="1:25" ht="13.15" customHeight="1" thickBot="1" x14ac:dyDescent="0.3">
      <c r="A42" s="169"/>
      <c r="B42" s="166"/>
      <c r="C42" s="140"/>
      <c r="D42" s="840"/>
      <c r="E42" s="841"/>
      <c r="F42" s="163"/>
      <c r="G42" s="163"/>
      <c r="H42" s="163"/>
      <c r="I42" s="163"/>
      <c r="J42" s="163">
        <f>+[1]Todo!$C42</f>
        <v>0</v>
      </c>
      <c r="K42" s="163"/>
      <c r="L42" s="163"/>
      <c r="M42" s="163"/>
      <c r="N42" s="163"/>
      <c r="O42" s="163"/>
      <c r="P42" s="190"/>
      <c r="W42" s="190"/>
    </row>
    <row r="43" spans="1:25" ht="45.75" thickBot="1" x14ac:dyDescent="0.3">
      <c r="A43" s="170"/>
      <c r="B43" s="844" t="str">
        <f>+"Project Totals for the Year - "&amp; COUNT(E44:P44) &amp; " Active Projects"</f>
        <v>Project Totals for the Year - 11 Active Projects</v>
      </c>
      <c r="C43" s="845"/>
      <c r="D43" s="836"/>
      <c r="E43" s="554" t="str">
        <f>+B1</f>
        <v>7001 Outrigger Dr</v>
      </c>
      <c r="F43" s="587" t="str">
        <f t="shared" ref="F43:G43" si="0">+F1</f>
        <v>612 Britton  Ct</v>
      </c>
      <c r="G43" s="587" t="str">
        <f t="shared" si="0"/>
        <v>908 Pond St</v>
      </c>
      <c r="H43" s="268" t="str">
        <f t="shared" ref="H43:J43" si="1">+H1</f>
        <v>4121 Tensity Dr</v>
      </c>
      <c r="I43" s="315" t="str">
        <f t="shared" ref="I43:O43" si="2">+I1</f>
        <v>6316 Willow Dell</v>
      </c>
      <c r="J43" s="268" t="str">
        <f t="shared" si="1"/>
        <v>2325 Cool Springs Rd</v>
      </c>
      <c r="K43" s="315" t="str">
        <f t="shared" si="2"/>
        <v>1343 Old Buckhorn Rd</v>
      </c>
      <c r="L43" s="268" t="str">
        <f>+L1</f>
        <v>115 Rosebrooks Dr</v>
      </c>
      <c r="M43" s="268" t="str">
        <f>+M1</f>
        <v>1426 Pleasant Garden</v>
      </c>
      <c r="N43" s="315" t="str">
        <f>+N1</f>
        <v>3413 Pinetree Ln</v>
      </c>
      <c r="O43" s="268" t="str">
        <f t="shared" si="2"/>
        <v>3325 Banks</v>
      </c>
      <c r="P43" s="190"/>
      <c r="Q43" s="314">
        <f>+COUNTIFS(Past!$E$73:$H$73,"&gt;0")</f>
        <v>2</v>
      </c>
      <c r="R43" s="314">
        <f>+COUNTIFS(Past!$E$59:$G$59,"&gt;0")</f>
        <v>2</v>
      </c>
      <c r="S43" s="314">
        <f>COUNT(Past!$E$45:$H$45)</f>
        <v>2</v>
      </c>
      <c r="T43" s="314">
        <f>COUNT(Past!$E$31:$H$31)</f>
        <v>4</v>
      </c>
      <c r="U43" s="314">
        <f>COUNT(Past!$E$17:$H$17)</f>
        <v>3</v>
      </c>
      <c r="V43" s="314">
        <f>COUNT(Past!$E$3:$H$3)</f>
        <v>3</v>
      </c>
      <c r="W43" s="190"/>
      <c r="Y43" s="11"/>
    </row>
    <row r="44" spans="1:25" ht="15.75" thickBot="1" x14ac:dyDescent="0.3">
      <c r="A44" s="170"/>
      <c r="B44" s="334" t="s">
        <v>553</v>
      </c>
      <c r="C44" s="837">
        <f>+SUM(E44:O44)</f>
        <v>3328800</v>
      </c>
      <c r="D44" s="838"/>
      <c r="E44" s="555">
        <f>+Profit!B4</f>
        <v>257300</v>
      </c>
      <c r="F44" s="588">
        <f>+[7]Todo!$E44</f>
        <v>399000</v>
      </c>
      <c r="G44" s="588">
        <f>+[8]Todo!$E44</f>
        <v>0</v>
      </c>
      <c r="H44" s="270">
        <f>+[9]Todo!$E44</f>
        <v>276800</v>
      </c>
      <c r="I44" s="316">
        <f>+[10]Todo!$E44</f>
        <v>425000</v>
      </c>
      <c r="J44" s="270">
        <f>+[1]Todo!$E44</f>
        <v>239000</v>
      </c>
      <c r="K44" s="316">
        <f>+[2]Todo!$E44</f>
        <v>375000</v>
      </c>
      <c r="L44" s="270">
        <f>+[3]Todo!$E44</f>
        <v>289000</v>
      </c>
      <c r="M44" s="270">
        <f>+[4]Todo!$E44</f>
        <v>341700</v>
      </c>
      <c r="N44" s="316">
        <f>+[5]Todo!$E44</f>
        <v>287000</v>
      </c>
      <c r="O44" s="270">
        <f>+[6]Todo!$E44</f>
        <v>439000</v>
      </c>
      <c r="P44" s="267"/>
      <c r="Q44" s="313">
        <f>+Past!$C73</f>
        <v>1100000</v>
      </c>
      <c r="R44" s="313">
        <f>+Past!$C59</f>
        <v>335000</v>
      </c>
      <c r="S44" s="313">
        <f>+Past!$C$45</f>
        <v>750000</v>
      </c>
      <c r="T44" s="313">
        <f>+Past!$C$31</f>
        <v>1262529</v>
      </c>
      <c r="U44" s="313">
        <f>+Past!$C$17</f>
        <v>811800</v>
      </c>
      <c r="V44" s="313">
        <f>+Past!$C$3</f>
        <v>540000</v>
      </c>
      <c r="W44" s="267"/>
    </row>
    <row r="45" spans="1:25" ht="15.75" thickBot="1" x14ac:dyDescent="0.3">
      <c r="A45" s="170"/>
      <c r="B45" s="334" t="s">
        <v>554</v>
      </c>
      <c r="C45" s="837">
        <f t="shared" ref="C45:C49" si="3">+SUM(E45:O45)</f>
        <v>1716860.2470000002</v>
      </c>
      <c r="D45" s="838"/>
      <c r="E45" s="555">
        <f>+Profit!K42</f>
        <v>112039.66</v>
      </c>
      <c r="F45" s="588">
        <f>+[7]Todo!$E45</f>
        <v>136402.79</v>
      </c>
      <c r="G45" s="588">
        <f>+[8]Todo!$E45</f>
        <v>0</v>
      </c>
      <c r="H45" s="270">
        <f>+[9]Todo!$E45</f>
        <v>130291.26</v>
      </c>
      <c r="I45" s="316">
        <f>+[10]Todo!$E45</f>
        <v>281338.38</v>
      </c>
      <c r="J45" s="270">
        <f>+[1]Todo!$E45</f>
        <v>204823.02</v>
      </c>
      <c r="K45" s="316">
        <f>+[2]Todo!$E45</f>
        <v>126750.1</v>
      </c>
      <c r="L45" s="270">
        <f>+[3]Todo!$E45</f>
        <v>209324.04450000002</v>
      </c>
      <c r="M45" s="270">
        <f>+[4]Todo!$E45</f>
        <v>182784</v>
      </c>
      <c r="N45" s="316">
        <f>+[5]Todo!$E45</f>
        <v>185424.13125000001</v>
      </c>
      <c r="O45" s="270">
        <f>+[6]Todo!$E45</f>
        <v>147682.86124999999</v>
      </c>
      <c r="P45" s="267"/>
      <c r="Q45" s="313">
        <f>+Past!$C74</f>
        <v>572564.34</v>
      </c>
      <c r="R45" s="313">
        <f>+Past!$C60</f>
        <v>89099.277500000011</v>
      </c>
      <c r="S45" s="313">
        <f>+Past!$C$46</f>
        <v>352369</v>
      </c>
      <c r="T45" s="313">
        <f>+Past!$C$32</f>
        <v>554594.92000000004</v>
      </c>
      <c r="U45" s="313">
        <f>+Past!$C$18</f>
        <v>401770.9</v>
      </c>
      <c r="V45" s="313">
        <f>+Past!$C$4</f>
        <v>310642.71000000002</v>
      </c>
      <c r="W45" s="267"/>
    </row>
    <row r="46" spans="1:25" ht="15.75" thickBot="1" x14ac:dyDescent="0.3">
      <c r="A46" s="170"/>
      <c r="B46" s="334" t="s">
        <v>555</v>
      </c>
      <c r="C46" s="837">
        <f ca="1">+SUM(E46:O46)</f>
        <v>581940.86518232292</v>
      </c>
      <c r="D46" s="838"/>
      <c r="E46" s="555">
        <f ca="1">-Profit!D49</f>
        <v>153783.64967971222</v>
      </c>
      <c r="F46" s="588">
        <f>+[7]Todo!$E46</f>
        <v>9836.542594999999</v>
      </c>
      <c r="G46" s="588">
        <f>+[8]Todo!$E46</f>
        <v>0</v>
      </c>
      <c r="H46" s="270">
        <f>+[9]Todo!$E46</f>
        <v>27991.342402099999</v>
      </c>
      <c r="I46" s="316">
        <f>+[10]Todo!$E46</f>
        <v>56164.766025000004</v>
      </c>
      <c r="J46" s="270">
        <f>+[1]Todo!$E46</f>
        <v>11744.259443010687</v>
      </c>
      <c r="K46" s="316">
        <f>+[2]Todo!$E46</f>
        <v>200334.77554999999</v>
      </c>
      <c r="L46" s="270">
        <f>+[3]Todo!$E46</f>
        <v>37573.025187499996</v>
      </c>
      <c r="M46" s="270">
        <f>+[4]Todo!$E46</f>
        <v>47412.056299999997</v>
      </c>
      <c r="N46" s="316">
        <f>+[5]Todo!$E46</f>
        <v>5676.2640000000001</v>
      </c>
      <c r="O46" s="270">
        <f>+[6]Todo!$E46</f>
        <v>31424.184000000001</v>
      </c>
      <c r="P46" s="159"/>
      <c r="Q46" s="313">
        <f>+Past!$C75</f>
        <v>217103.43097500002</v>
      </c>
      <c r="R46" s="313">
        <f>+Past!$C61</f>
        <v>84974.5</v>
      </c>
      <c r="S46" s="313">
        <f>+Past!$C$47</f>
        <v>242267</v>
      </c>
      <c r="T46" s="313">
        <f>+Past!$C$33</f>
        <v>148708.10749999998</v>
      </c>
      <c r="U46" s="313">
        <f>+Past!$C$19</f>
        <v>146350.07515412499</v>
      </c>
      <c r="V46" s="313">
        <f>+Past!$C$5</f>
        <v>49980.701499999996</v>
      </c>
      <c r="W46" s="159"/>
    </row>
    <row r="47" spans="1:25" ht="15.75" thickBot="1" x14ac:dyDescent="0.3">
      <c r="A47" s="170"/>
      <c r="B47" s="334" t="s">
        <v>556</v>
      </c>
      <c r="C47" s="837">
        <f>+SUM(E47:O47)</f>
        <v>2007302.63</v>
      </c>
      <c r="D47" s="838"/>
      <c r="E47" s="555">
        <f>SUM(Profit!C15:C19)+Profit!B39</f>
        <v>158169.53</v>
      </c>
      <c r="F47" s="588">
        <f>+[7]Todo!$E47</f>
        <v>223480.66999999998</v>
      </c>
      <c r="G47" s="588">
        <f>+[8]Todo!$E47</f>
        <v>0</v>
      </c>
      <c r="H47" s="270">
        <f>+[9]Todo!$E47</f>
        <v>199694</v>
      </c>
      <c r="I47" s="316">
        <f>+[10]Todo!$E47</f>
        <v>256982.44</v>
      </c>
      <c r="J47" s="270">
        <f>+[1]Todo!$E47</f>
        <v>174164</v>
      </c>
      <c r="K47" s="316">
        <f>+[2]Todo!$E47</f>
        <v>197509.1</v>
      </c>
      <c r="L47" s="270">
        <f>+[3]Todo!$E47</f>
        <v>181057.16</v>
      </c>
      <c r="M47" s="270">
        <f>+[4]Todo!$E47</f>
        <v>273784</v>
      </c>
      <c r="N47" s="316">
        <f>+[5]Todo!$E47</f>
        <v>142424</v>
      </c>
      <c r="O47" s="270">
        <f>+[6]Todo!$E47</f>
        <v>200037.72999999998</v>
      </c>
      <c r="P47" s="159"/>
      <c r="Q47" s="313"/>
      <c r="R47" s="313"/>
      <c r="S47" s="313"/>
      <c r="T47" s="313"/>
      <c r="U47" s="313"/>
      <c r="V47" s="313"/>
      <c r="W47" s="159"/>
    </row>
    <row r="48" spans="1:25" ht="15.75" thickBot="1" x14ac:dyDescent="0.3">
      <c r="A48" s="170"/>
      <c r="B48" s="334" t="s">
        <v>557</v>
      </c>
      <c r="C48" s="842">
        <f t="shared" ca="1" si="3"/>
        <v>10833.226547129001</v>
      </c>
      <c r="D48" s="843"/>
      <c r="E48" s="350">
        <f ca="1">IF(+Profit!R3=3,-Profit!H49,+Profit!B37/Profit!B28)</f>
        <v>1224.4065480916031</v>
      </c>
      <c r="F48" s="350">
        <f>+[7]Todo!$E48</f>
        <v>1519.017685714286</v>
      </c>
      <c r="G48" s="350">
        <f>+[8]Todo!$E48</f>
        <v>0</v>
      </c>
      <c r="H48" s="350">
        <f>+[9]Todo!$E48</f>
        <v>914.8075278688525</v>
      </c>
      <c r="I48" s="350">
        <f>+[10]Todo!$E48</f>
        <v>0</v>
      </c>
      <c r="J48" s="350">
        <f>+[1]Todo!$E48</f>
        <v>1133.9438066465257</v>
      </c>
      <c r="K48" s="350">
        <f>+[2]Todo!$E48</f>
        <v>0</v>
      </c>
      <c r="L48" s="350">
        <f>+[3]Todo!$E48</f>
        <v>1477.1203178206588</v>
      </c>
      <c r="M48" s="350">
        <f>+[4]Todo!$E48</f>
        <v>2395.7597826086949</v>
      </c>
      <c r="N48" s="350">
        <f>+[5]Todo!$E48</f>
        <v>890.28000000000009</v>
      </c>
      <c r="O48" s="350">
        <f>+[6]Todo!$E48</f>
        <v>1277.8908783783791</v>
      </c>
      <c r="P48" s="159"/>
      <c r="Q48" s="313"/>
      <c r="R48" s="313"/>
      <c r="S48" s="313"/>
      <c r="T48" s="313"/>
      <c r="U48" s="313"/>
      <c r="V48" s="313"/>
      <c r="W48" s="159"/>
    </row>
    <row r="49" spans="1:23" ht="15.75" thickBot="1" x14ac:dyDescent="0.3">
      <c r="A49" s="170"/>
      <c r="B49" s="334" t="s">
        <v>558</v>
      </c>
      <c r="C49" s="837">
        <f t="shared" si="3"/>
        <v>8680.843806646526</v>
      </c>
      <c r="D49" s="838"/>
      <c r="E49" s="351">
        <f>+Profit!I49</f>
        <v>2200</v>
      </c>
      <c r="F49" s="351">
        <f>+[7]Todo!$E49</f>
        <v>2</v>
      </c>
      <c r="G49" s="351">
        <f>+[8]Todo!$E49</f>
        <v>0</v>
      </c>
      <c r="H49" s="351">
        <f>+[9]Todo!$E49</f>
        <v>1800</v>
      </c>
      <c r="I49" s="351">
        <f>+[10]Todo!$E49</f>
        <v>0</v>
      </c>
      <c r="J49" s="351">
        <f>+[1]Todo!$E49</f>
        <v>1563.5438066465258</v>
      </c>
      <c r="K49" s="351">
        <f>+[2]Todo!$E49</f>
        <v>0</v>
      </c>
      <c r="L49" s="351">
        <f>+[3]Todo!$E49</f>
        <v>0</v>
      </c>
      <c r="M49" s="351">
        <f>+[4]Todo!$E49</f>
        <v>2225</v>
      </c>
      <c r="N49" s="351">
        <f>+[5]Todo!$E49</f>
        <v>890.3</v>
      </c>
      <c r="O49" s="351">
        <f>+[6]Todo!$E49</f>
        <v>0</v>
      </c>
      <c r="P49" s="159"/>
      <c r="Q49" s="313"/>
      <c r="R49" s="313"/>
      <c r="S49" s="313"/>
      <c r="T49" s="313"/>
      <c r="U49" s="313"/>
      <c r="V49" s="313"/>
      <c r="W49" s="159"/>
    </row>
    <row r="50" spans="1:23" ht="15.75" thickBot="1" x14ac:dyDescent="0.3">
      <c r="A50" s="170"/>
      <c r="B50" s="334" t="s">
        <v>559</v>
      </c>
      <c r="C50" s="837">
        <f t="shared" ref="C50:C52" ca="1" si="4">+SUM(E50:O50)</f>
        <v>1344031.2476250222</v>
      </c>
      <c r="D50" s="838"/>
      <c r="E50" s="555">
        <f ca="1">+Profit!K57</f>
        <v>222200.42892224461</v>
      </c>
      <c r="F50" s="588">
        <f>+[7]Todo!$E50</f>
        <v>193865.39934424998</v>
      </c>
      <c r="G50" s="588">
        <f>+[8]Todo!$E50</f>
        <v>0</v>
      </c>
      <c r="H50" s="270">
        <f>+[9]Todo!$E50</f>
        <v>139293.48783591992</v>
      </c>
      <c r="I50" s="316">
        <f>+[10]Todo!$E50</f>
        <v>39419.87397499998</v>
      </c>
      <c r="J50" s="270">
        <f>+[1]Todo!$E50</f>
        <v>68361.07707344096</v>
      </c>
      <c r="K50" s="316">
        <f>+[2]Todo!$E50</f>
        <v>124665.22445000004</v>
      </c>
      <c r="L50" s="270">
        <f>+[3]Todo!$E50</f>
        <v>191224.29347916669</v>
      </c>
      <c r="M50" s="270">
        <f>+[4]Todo!$E50</f>
        <v>131188.02054500004</v>
      </c>
      <c r="N50" s="316">
        <f>+[5]Todo!$E50</f>
        <v>104394.49600000001</v>
      </c>
      <c r="O50" s="270">
        <f>+[6]Todo!$E50</f>
        <v>129418.94599999997</v>
      </c>
      <c r="P50" s="159"/>
      <c r="Q50" s="313"/>
      <c r="R50" s="313"/>
      <c r="S50" s="313"/>
      <c r="T50" s="313"/>
      <c r="U50" s="313"/>
      <c r="V50" s="313"/>
      <c r="W50" s="159"/>
    </row>
    <row r="51" spans="1:23" ht="15.75" thickBot="1" x14ac:dyDescent="0.3">
      <c r="A51" s="170"/>
      <c r="B51" s="334" t="s">
        <v>560</v>
      </c>
      <c r="C51" s="837">
        <f>+SUM(Q51:V51)</f>
        <v>1221725.2937053887</v>
      </c>
      <c r="D51" s="838"/>
      <c r="E51" s="555"/>
      <c r="F51" s="588">
        <f>+[7]Todo!$E51</f>
        <v>0</v>
      </c>
      <c r="G51" s="588">
        <f>+[8]Todo!$E51</f>
        <v>0</v>
      </c>
      <c r="H51" s="270">
        <f>+[9]Todo!$E51</f>
        <v>0</v>
      </c>
      <c r="I51" s="316">
        <f>+[10]Todo!$E51</f>
        <v>0</v>
      </c>
      <c r="J51" s="270">
        <f>+[1]Todo!$E51</f>
        <v>0</v>
      </c>
      <c r="K51" s="316">
        <f>+[2]Todo!$E51</f>
        <v>0</v>
      </c>
      <c r="L51" s="270">
        <f>+[3]Todo!$E51</f>
        <v>0</v>
      </c>
      <c r="M51" s="270">
        <f>+[4]Todo!$E51</f>
        <v>13118.802054500004</v>
      </c>
      <c r="N51" s="316">
        <f>+[5]Todo!$E51</f>
        <v>10439.449600000002</v>
      </c>
      <c r="O51" s="270">
        <f>+[6]Todo!$E51</f>
        <v>12941.894599999998</v>
      </c>
      <c r="P51" s="159"/>
      <c r="Q51" s="313">
        <f>+Past!$C76</f>
        <v>130635.59541506917</v>
      </c>
      <c r="R51" s="313">
        <f>+Past!$C$62</f>
        <v>91406.693999999989</v>
      </c>
      <c r="S51" s="313">
        <f>+Past!$C$48</f>
        <v>155363.89666666667</v>
      </c>
      <c r="T51" s="313">
        <f>+Past!$C$34</f>
        <v>471212.07700000005</v>
      </c>
      <c r="U51" s="313">
        <f>+Past!$C$20</f>
        <v>257067.10484587503</v>
      </c>
      <c r="V51" s="313">
        <f>+Past!$C$6</f>
        <v>116039.9257777778</v>
      </c>
      <c r="W51" s="159"/>
    </row>
    <row r="52" spans="1:23" ht="15.75" thickBot="1" x14ac:dyDescent="0.3">
      <c r="A52" s="170"/>
      <c r="B52" s="334" t="s">
        <v>561</v>
      </c>
      <c r="C52" s="837">
        <f t="shared" si="4"/>
        <v>25958.537055260767</v>
      </c>
      <c r="D52" s="838"/>
      <c r="E52" s="560"/>
      <c r="F52" s="588">
        <f>+[7]Todo!$E52</f>
        <v>0</v>
      </c>
      <c r="G52" s="588">
        <f>+[8]Todo!$E52</f>
        <v>0</v>
      </c>
      <c r="H52" s="270">
        <f>+[9]Todo!$E52</f>
        <v>0</v>
      </c>
      <c r="I52" s="316">
        <f>+[10]Todo!$E52</f>
        <v>0</v>
      </c>
      <c r="J52" s="270">
        <f>+[1]Todo!$E52</f>
        <v>6836.1077073440965</v>
      </c>
      <c r="K52" s="316">
        <f>+[2]Todo!$E52</f>
        <v>0</v>
      </c>
      <c r="L52" s="270">
        <f>+[3]Todo!$E52</f>
        <v>19122.42934791667</v>
      </c>
      <c r="M52" s="270">
        <f>+[4]Todo!$E52</f>
        <v>0</v>
      </c>
      <c r="N52" s="316">
        <f>+[5]Todo!$E52</f>
        <v>0</v>
      </c>
      <c r="O52" s="270">
        <f>+[6]Todo!$E52</f>
        <v>0</v>
      </c>
      <c r="P52" s="160"/>
      <c r="Q52" s="333">
        <f>+Past!$C$64</f>
        <v>0</v>
      </c>
      <c r="R52" s="333">
        <f>+Past!$C$64</f>
        <v>0</v>
      </c>
      <c r="S52" s="333">
        <f>+Past!$C$50</f>
        <v>0</v>
      </c>
      <c r="T52" s="333">
        <f>+Past!$C$36</f>
        <v>15470.803800000003</v>
      </c>
      <c r="U52" s="333">
        <f>+Past!$C$22</f>
        <v>0</v>
      </c>
      <c r="V52" s="333">
        <f>+Past!$C$8</f>
        <v>0</v>
      </c>
      <c r="W52" s="159"/>
    </row>
    <row r="53" spans="1:23" ht="15.75" thickBot="1" x14ac:dyDescent="0.3">
      <c r="A53" s="170"/>
      <c r="B53" s="852" t="s">
        <v>562</v>
      </c>
      <c r="C53" s="853"/>
      <c r="D53" s="854"/>
      <c r="E53" s="846" t="str">
        <f>+"Averages for all Years Across  "&amp; COUNT(E44:P44)+SUM(Q43:V43) &amp; " Projects"</f>
        <v>Averages for all Years Across  27 Projects</v>
      </c>
      <c r="F53" s="847"/>
      <c r="G53" s="847"/>
      <c r="H53" s="847"/>
      <c r="I53" s="847"/>
      <c r="J53" s="847"/>
      <c r="K53" s="847"/>
      <c r="L53" s="848"/>
      <c r="M53" s="852" t="s">
        <v>563</v>
      </c>
      <c r="N53" s="863"/>
      <c r="O53" s="863"/>
      <c r="P53" s="864"/>
      <c r="Q53" s="869" t="s">
        <v>564</v>
      </c>
      <c r="R53" s="870"/>
      <c r="S53" s="871"/>
      <c r="T53" s="871"/>
      <c r="U53" s="871"/>
      <c r="V53" s="871"/>
      <c r="W53" s="872"/>
    </row>
    <row r="54" spans="1:23" ht="15.75" thickBot="1" x14ac:dyDescent="0.3">
      <c r="A54" s="170"/>
      <c r="B54" s="161" t="s">
        <v>565</v>
      </c>
      <c r="C54" s="835">
        <f>+AVERAGE(E44:P44)</f>
        <v>302618.18181818182</v>
      </c>
      <c r="D54" s="836"/>
      <c r="E54" s="161" t="s">
        <v>565</v>
      </c>
      <c r="F54" s="561">
        <f>+SUM(E44:W44)/(COUNT(E44:O44)+SUM($Q$43:$W$43))</f>
        <v>301041.81481481483</v>
      </c>
      <c r="G54" s="561"/>
      <c r="H54" s="561"/>
      <c r="I54" s="553"/>
      <c r="J54" s="344"/>
      <c r="K54" s="344"/>
      <c r="L54" s="344"/>
      <c r="M54" s="866" t="s">
        <v>553</v>
      </c>
      <c r="N54" s="867"/>
      <c r="O54" s="865">
        <f>+SUM(E44:V44)</f>
        <v>8128129</v>
      </c>
      <c r="P54" s="756"/>
      <c r="Q54" s="873" t="s">
        <v>1</v>
      </c>
      <c r="R54" s="874"/>
      <c r="S54" s="875"/>
      <c r="T54" s="875"/>
      <c r="U54" s="875"/>
      <c r="V54" s="875"/>
      <c r="W54" s="876"/>
    </row>
    <row r="55" spans="1:23" ht="15.75" thickBot="1" x14ac:dyDescent="0.3">
      <c r="A55" s="170"/>
      <c r="B55" s="161" t="s">
        <v>566</v>
      </c>
      <c r="C55" s="835">
        <f>+AVERAGE(E45:P45)</f>
        <v>156078.20427272728</v>
      </c>
      <c r="D55" s="836"/>
      <c r="E55" s="161" t="s">
        <v>566</v>
      </c>
      <c r="F55" s="561">
        <f>+SUM(E45:W45)/(COUNT(E45:O45)+SUM($Q$43:$W$43))</f>
        <v>148070.42201851853</v>
      </c>
      <c r="G55" s="561"/>
      <c r="H55" s="561"/>
      <c r="I55" s="553"/>
      <c r="J55" s="344"/>
      <c r="K55" s="344"/>
      <c r="L55" s="344"/>
      <c r="M55" s="866" t="s">
        <v>554</v>
      </c>
      <c r="N55" s="867"/>
      <c r="O55" s="865">
        <f>+SUM(E45:$V$45)</f>
        <v>3997901.3944999999</v>
      </c>
      <c r="P55" s="756"/>
      <c r="Q55" s="857" t="s">
        <v>567</v>
      </c>
      <c r="R55" s="858"/>
      <c r="S55" s="845"/>
      <c r="T55" s="845"/>
      <c r="U55" s="845"/>
      <c r="V55" s="845"/>
      <c r="W55" s="836"/>
    </row>
    <row r="56" spans="1:23" ht="15.75" thickBot="1" x14ac:dyDescent="0.3">
      <c r="B56" s="161" t="s">
        <v>568</v>
      </c>
      <c r="C56" s="835">
        <f ca="1">+AVERAGE(E46:P46)</f>
        <v>52903.71501657481</v>
      </c>
      <c r="D56" s="836"/>
      <c r="E56" s="161" t="s">
        <v>568</v>
      </c>
      <c r="F56" s="561">
        <f ca="1">+SUM(E46:W46)/(COUNT(E46:O46)+SUM($Q$43:$W$43))</f>
        <v>54493.506678201767</v>
      </c>
      <c r="G56" s="561"/>
      <c r="H56" s="561"/>
      <c r="I56" s="553"/>
      <c r="J56" s="344"/>
      <c r="K56" s="344"/>
      <c r="L56" s="344"/>
      <c r="M56" s="866" t="s">
        <v>555</v>
      </c>
      <c r="N56" s="867"/>
      <c r="O56" s="865">
        <f ca="1">+SUM(E46:V46)</f>
        <v>1471324.6803114477</v>
      </c>
      <c r="P56" s="756"/>
      <c r="Q56" s="859" t="s">
        <v>569</v>
      </c>
      <c r="R56" s="860"/>
      <c r="S56" s="845"/>
      <c r="T56" s="845"/>
      <c r="U56" s="845"/>
      <c r="V56" s="845"/>
      <c r="W56" s="836"/>
    </row>
    <row r="57" spans="1:23" ht="15.75" thickBot="1" x14ac:dyDescent="0.3">
      <c r="B57" s="161" t="s">
        <v>570</v>
      </c>
      <c r="C57" s="835">
        <f ca="1">+AVERAGE(E50:O50)</f>
        <v>122184.65887500202</v>
      </c>
      <c r="D57" s="836"/>
      <c r="E57" s="161" t="s">
        <v>570</v>
      </c>
      <c r="F57" s="561">
        <f ca="1">+SUM(E50:W51)/(COUNT(E50:O50)+SUM($Q$43:$W$43))</f>
        <v>96379.877317959646</v>
      </c>
      <c r="G57" s="561"/>
      <c r="H57" s="561"/>
      <c r="I57" s="553"/>
      <c r="J57" s="344"/>
      <c r="K57" s="344"/>
      <c r="L57" s="344"/>
      <c r="M57" s="868" t="s">
        <v>82</v>
      </c>
      <c r="N57" s="845"/>
      <c r="O57" s="835">
        <f ca="1">+SUM($E$50:$V$51)</f>
        <v>2602256.6875849105</v>
      </c>
      <c r="P57" s="836"/>
      <c r="Q57" s="861" t="s">
        <v>571</v>
      </c>
      <c r="R57" s="862"/>
      <c r="S57" s="845"/>
      <c r="T57" s="845"/>
      <c r="U57" s="845"/>
      <c r="V57" s="845"/>
      <c r="W57" s="836"/>
    </row>
    <row r="58" spans="1:23" ht="15.75" thickBot="1" x14ac:dyDescent="0.3">
      <c r="M58" s="138"/>
      <c r="N58" s="138"/>
      <c r="O58" s="138"/>
      <c r="P58" s="138"/>
    </row>
    <row r="59" spans="1:23" ht="15.75" thickBot="1" x14ac:dyDescent="0.3">
      <c r="B59" s="334" t="str">
        <f>+B50</f>
        <v>Total Expected Profit:</v>
      </c>
      <c r="C59" s="833">
        <f ca="1">+C50</f>
        <v>1344031.2476250222</v>
      </c>
      <c r="D59" s="834"/>
      <c r="M59" s="138"/>
      <c r="N59" s="138"/>
      <c r="O59" s="138"/>
      <c r="P59" s="138"/>
    </row>
    <row r="60" spans="1:23" ht="15.75" thickBot="1" x14ac:dyDescent="0.3">
      <c r="B60" s="334" t="s">
        <v>572</v>
      </c>
      <c r="C60" s="833">
        <f>+[11]Cards!J67</f>
        <v>0</v>
      </c>
      <c r="D60" s="839"/>
      <c r="E60" s="485">
        <f ca="1">SUM(C59:D60)</f>
        <v>1344031.2476250222</v>
      </c>
      <c r="F60"/>
      <c r="G60"/>
      <c r="H60"/>
      <c r="J60"/>
      <c r="M60" s="138"/>
      <c r="N60" s="138"/>
      <c r="O60" s="138"/>
      <c r="P60" s="138"/>
    </row>
    <row r="61" spans="1:23" ht="15.75" thickBot="1" x14ac:dyDescent="0.3">
      <c r="B61" s="334" t="s">
        <v>573</v>
      </c>
      <c r="E61" s="484">
        <f ca="1">+C49-C48</f>
        <v>-2152.3827404824751</v>
      </c>
      <c r="F61" s="25"/>
      <c r="G61" s="25"/>
      <c r="H61" s="25"/>
      <c r="J61" s="25"/>
    </row>
    <row r="62" spans="1:23" ht="15.75" thickBot="1" x14ac:dyDescent="0.3">
      <c r="B62" s="334" t="s">
        <v>574</v>
      </c>
      <c r="E62" s="483">
        <f>-[11]Cards!O65</f>
        <v>-69700</v>
      </c>
      <c r="F62" s="25"/>
      <c r="G62" s="25"/>
      <c r="H62" s="25"/>
      <c r="I62"/>
      <c r="J62" s="25"/>
      <c r="K62"/>
    </row>
    <row r="63" spans="1:23" ht="15.75" thickBot="1" x14ac:dyDescent="0.3">
      <c r="B63" s="334" t="s">
        <v>575</v>
      </c>
      <c r="E63" s="483">
        <f>-[11]Cards!O66</f>
        <v>-57000</v>
      </c>
      <c r="F63" s="25"/>
      <c r="G63" s="25"/>
      <c r="H63" s="25"/>
      <c r="J63" s="25"/>
    </row>
    <row r="64" spans="1:23" ht="15.75" thickBot="1" x14ac:dyDescent="0.3">
      <c r="B64" s="334" t="s">
        <v>576</v>
      </c>
      <c r="C64" s="359"/>
      <c r="D64" s="360">
        <v>-668</v>
      </c>
    </row>
    <row r="65" spans="2:5" ht="15.75" thickBot="1" x14ac:dyDescent="0.3">
      <c r="B65" s="334" t="s">
        <v>577</v>
      </c>
      <c r="C65" s="359"/>
      <c r="D65" s="360">
        <v>-613</v>
      </c>
    </row>
    <row r="66" spans="2:5" ht="15.75" thickBot="1" x14ac:dyDescent="0.3">
      <c r="B66" s="334" t="s">
        <v>68</v>
      </c>
      <c r="C66" s="359"/>
      <c r="D66" s="360">
        <v>-1710</v>
      </c>
    </row>
    <row r="67" spans="2:5" ht="15.75" thickBot="1" x14ac:dyDescent="0.3">
      <c r="B67" s="334" t="s">
        <v>578</v>
      </c>
      <c r="C67" s="359"/>
      <c r="D67" s="360">
        <v>-872</v>
      </c>
    </row>
    <row r="68" spans="2:5" ht="15.75" thickBot="1" x14ac:dyDescent="0.3">
      <c r="B68" s="334" t="s">
        <v>579</v>
      </c>
      <c r="C68" s="359"/>
      <c r="D68" s="360">
        <v>-656</v>
      </c>
    </row>
    <row r="69" spans="2:5" ht="15.75" thickBot="1" x14ac:dyDescent="0.3">
      <c r="B69" s="334" t="s">
        <v>580</v>
      </c>
      <c r="E69" s="483">
        <f>SUM(D64:D68)</f>
        <v>-4519</v>
      </c>
    </row>
    <row r="70" spans="2:5" ht="15.75" thickBot="1" x14ac:dyDescent="0.3">
      <c r="B70" s="334" t="s">
        <v>581</v>
      </c>
      <c r="E70" s="483">
        <v>-500</v>
      </c>
    </row>
    <row r="71" spans="2:5" ht="15.75" thickBot="1" x14ac:dyDescent="0.3">
      <c r="E71"/>
    </row>
    <row r="72" spans="2:5" ht="15.75" thickBot="1" x14ac:dyDescent="0.3">
      <c r="B72" s="829" t="s">
        <v>582</v>
      </c>
      <c r="C72" s="830"/>
      <c r="D72" s="829" t="s">
        <v>583</v>
      </c>
      <c r="E72" s="830"/>
    </row>
    <row r="73" spans="2:5" ht="15.75" thickBot="1" x14ac:dyDescent="0.3">
      <c r="B73" s="832">
        <f ca="1">SUM(E61:E70)</f>
        <v>-133871.38274048246</v>
      </c>
      <c r="C73" s="758"/>
      <c r="D73" s="831">
        <f ca="1">E60/-B73/12</f>
        <v>0.83664336377159465</v>
      </c>
      <c r="E73" s="710"/>
    </row>
  </sheetData>
  <mergeCells count="77">
    <mergeCell ref="Q55:W55"/>
    <mergeCell ref="Q56:W56"/>
    <mergeCell ref="Q57:W57"/>
    <mergeCell ref="M53:P53"/>
    <mergeCell ref="O54:P54"/>
    <mergeCell ref="O55:P55"/>
    <mergeCell ref="O56:P56"/>
    <mergeCell ref="O57:P57"/>
    <mergeCell ref="M54:N54"/>
    <mergeCell ref="M55:N55"/>
    <mergeCell ref="M56:N56"/>
    <mergeCell ref="M57:N57"/>
    <mergeCell ref="Q53:W53"/>
    <mergeCell ref="Q54:W54"/>
    <mergeCell ref="B1:C1"/>
    <mergeCell ref="D30:E30"/>
    <mergeCell ref="D34:E34"/>
    <mergeCell ref="B53:D53"/>
    <mergeCell ref="D8:E8"/>
    <mergeCell ref="D9:E9"/>
    <mergeCell ref="D10:E10"/>
    <mergeCell ref="D11:E11"/>
    <mergeCell ref="D12:E12"/>
    <mergeCell ref="D7:E7"/>
    <mergeCell ref="D1:E1"/>
    <mergeCell ref="D3:E3"/>
    <mergeCell ref="D4:E4"/>
    <mergeCell ref="D5:E5"/>
    <mergeCell ref="D6:E6"/>
    <mergeCell ref="D13:E13"/>
    <mergeCell ref="A12:A13"/>
    <mergeCell ref="D20:E20"/>
    <mergeCell ref="D21:E21"/>
    <mergeCell ref="D18:E18"/>
    <mergeCell ref="D14:E14"/>
    <mergeCell ref="D15:E15"/>
    <mergeCell ref="D19:E19"/>
    <mergeCell ref="A30:A31"/>
    <mergeCell ref="D37:E37"/>
    <mergeCell ref="D38:E38"/>
    <mergeCell ref="D22:E22"/>
    <mergeCell ref="D16:E16"/>
    <mergeCell ref="D17:E17"/>
    <mergeCell ref="D23:E23"/>
    <mergeCell ref="D24:E24"/>
    <mergeCell ref="D25:E25"/>
    <mergeCell ref="D26:E26"/>
    <mergeCell ref="D27:E27"/>
    <mergeCell ref="D28:E28"/>
    <mergeCell ref="A38:A39"/>
    <mergeCell ref="D35:E35"/>
    <mergeCell ref="D36:E36"/>
    <mergeCell ref="D39:E39"/>
    <mergeCell ref="D40:E40"/>
    <mergeCell ref="D41:E41"/>
    <mergeCell ref="D42:E42"/>
    <mergeCell ref="C54:D54"/>
    <mergeCell ref="C55:D55"/>
    <mergeCell ref="C46:D46"/>
    <mergeCell ref="C48:D48"/>
    <mergeCell ref="C49:D49"/>
    <mergeCell ref="B43:D43"/>
    <mergeCell ref="C50:D50"/>
    <mergeCell ref="E53:L53"/>
    <mergeCell ref="C56:D56"/>
    <mergeCell ref="C44:D44"/>
    <mergeCell ref="C45:D45"/>
    <mergeCell ref="C60:D60"/>
    <mergeCell ref="C51:D51"/>
    <mergeCell ref="C57:D57"/>
    <mergeCell ref="C52:D52"/>
    <mergeCell ref="C47:D47"/>
    <mergeCell ref="D72:E72"/>
    <mergeCell ref="D73:E73"/>
    <mergeCell ref="B72:C72"/>
    <mergeCell ref="B73:C73"/>
    <mergeCell ref="C59:D59"/>
  </mergeCells>
  <pageMargins left="0.25" right="0.25" top="0.75" bottom="0.5" header="0.3" footer="0.3"/>
  <pageSetup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Q82"/>
  <sheetViews>
    <sheetView workbookViewId="0">
      <pane ySplit="2" topLeftCell="A3" activePane="bottomLeft" state="frozen"/>
      <selection pane="bottomLeft" activeCell="K5" sqref="K5"/>
    </sheetView>
  </sheetViews>
  <sheetFormatPr defaultRowHeight="15" x14ac:dyDescent="0.25"/>
  <cols>
    <col min="1" max="1" width="11" customWidth="1"/>
    <col min="2" max="2" width="38.140625" bestFit="1" customWidth="1"/>
    <col min="3" max="3" width="10.5703125" customWidth="1"/>
    <col min="4" max="4" width="9.5703125" customWidth="1"/>
    <col min="5" max="5" width="15.42578125" customWidth="1"/>
    <col min="6" max="6" width="16" customWidth="1"/>
    <col min="7" max="7" width="15.42578125" bestFit="1" customWidth="1"/>
    <col min="8" max="8" width="13.28515625" customWidth="1"/>
    <col min="9" max="9" width="5.5703125" customWidth="1"/>
    <col min="11" max="11" width="22" style="2" customWidth="1"/>
    <col min="16" max="16" width="9.42578125" customWidth="1"/>
    <col min="17" max="17" width="11" customWidth="1"/>
  </cols>
  <sheetData>
    <row r="1" spans="1:17" ht="15.75" thickBot="1" x14ac:dyDescent="0.3"/>
    <row r="2" spans="1:17" s="62" customFormat="1" ht="32.25" customHeight="1" thickBot="1" x14ac:dyDescent="0.3">
      <c r="A2"/>
      <c r="B2" s="844" t="s">
        <v>584</v>
      </c>
      <c r="C2" s="877"/>
      <c r="D2" s="311" t="s">
        <v>497</v>
      </c>
      <c r="E2" s="322" t="s">
        <v>585</v>
      </c>
      <c r="F2" s="322" t="s">
        <v>586</v>
      </c>
      <c r="G2" s="198" t="s">
        <v>587</v>
      </c>
      <c r="H2" s="164"/>
      <c r="I2" s="158"/>
      <c r="K2" s="3" t="s">
        <v>588</v>
      </c>
      <c r="L2" s="3" t="s">
        <v>589</v>
      </c>
      <c r="M2" s="62" t="s">
        <v>590</v>
      </c>
      <c r="N2" s="62" t="s">
        <v>591</v>
      </c>
      <c r="O2" s="62" t="s">
        <v>592</v>
      </c>
      <c r="P2" s="62" t="s">
        <v>593</v>
      </c>
      <c r="Q2" s="62" t="s">
        <v>594</v>
      </c>
    </row>
    <row r="3" spans="1:17" ht="15.75" thickBot="1" x14ac:dyDescent="0.3">
      <c r="B3" s="194" t="s">
        <v>553</v>
      </c>
      <c r="C3" s="195">
        <f>+SUM(E3:H3)</f>
        <v>540000</v>
      </c>
      <c r="D3" s="195"/>
      <c r="E3" s="270">
        <v>150000</v>
      </c>
      <c r="F3" s="323">
        <v>195000</v>
      </c>
      <c r="G3" s="319">
        <v>195000</v>
      </c>
      <c r="H3" s="267"/>
      <c r="J3">
        <v>1</v>
      </c>
      <c r="K3" s="2" t="s">
        <v>587</v>
      </c>
      <c r="L3">
        <v>2020</v>
      </c>
      <c r="M3" s="610">
        <f>+G4</f>
        <v>128687.99</v>
      </c>
      <c r="N3" s="300">
        <f>+G5</f>
        <v>23252.601500000001</v>
      </c>
      <c r="O3" s="300">
        <f>+G3</f>
        <v>195000</v>
      </c>
      <c r="P3" s="300">
        <f>+E7</f>
        <v>62037</v>
      </c>
      <c r="Q3" s="300">
        <f>+P3+Q4</f>
        <v>251875</v>
      </c>
    </row>
    <row r="4" spans="1:17" x14ac:dyDescent="0.25">
      <c r="B4" s="194" t="s">
        <v>554</v>
      </c>
      <c r="C4" s="195">
        <f>+SUM(E4:$H$4)</f>
        <v>310642.71000000002</v>
      </c>
      <c r="D4" s="195"/>
      <c r="E4" s="270">
        <v>71644.86</v>
      </c>
      <c r="F4" s="324">
        <v>110309.86</v>
      </c>
      <c r="G4" s="320">
        <v>128687.99</v>
      </c>
      <c r="H4" s="267"/>
      <c r="J4">
        <f>+J3+1</f>
        <v>2</v>
      </c>
      <c r="K4" s="2" t="s">
        <v>586</v>
      </c>
      <c r="L4">
        <v>2020</v>
      </c>
      <c r="M4" s="300">
        <f>+F4</f>
        <v>110309.86</v>
      </c>
      <c r="N4" s="300">
        <f>+F5</f>
        <v>20425.14</v>
      </c>
      <c r="O4" s="300">
        <f>+F3</f>
        <v>195000</v>
      </c>
      <c r="P4" s="300">
        <f>+F7</f>
        <v>75240</v>
      </c>
      <c r="Q4" s="300">
        <f>+P4+Q5</f>
        <v>189838</v>
      </c>
    </row>
    <row r="5" spans="1:17" x14ac:dyDescent="0.25">
      <c r="B5" s="196" t="s">
        <v>555</v>
      </c>
      <c r="C5" s="197">
        <f>+SUM(E5:H5)</f>
        <v>49980.701499999996</v>
      </c>
      <c r="D5" s="197"/>
      <c r="E5" s="270">
        <v>6302.96</v>
      </c>
      <c r="F5" s="324">
        <v>20425.14</v>
      </c>
      <c r="G5" s="320">
        <v>23252.601500000001</v>
      </c>
      <c r="H5" s="159"/>
      <c r="J5">
        <f t="shared" ref="J5:J18" si="0">+J4+1</f>
        <v>3</v>
      </c>
      <c r="K5" s="2" t="s">
        <v>585</v>
      </c>
      <c r="L5">
        <v>2020</v>
      </c>
      <c r="M5" s="300">
        <f>+E4</f>
        <v>71644.86</v>
      </c>
      <c r="N5" s="300">
        <f>+E5</f>
        <v>6302.96</v>
      </c>
      <c r="O5" s="300">
        <f>+E3</f>
        <v>150000</v>
      </c>
      <c r="P5" s="300">
        <f>+G7</f>
        <v>114598</v>
      </c>
      <c r="Q5" s="300">
        <f>+P5</f>
        <v>114598</v>
      </c>
    </row>
    <row r="6" spans="1:17" ht="15.75" thickBot="1" x14ac:dyDescent="0.3">
      <c r="B6" s="161" t="s">
        <v>560</v>
      </c>
      <c r="C6" s="156">
        <f>+SUM($E$6:$H$6)</f>
        <v>116039.9257777778</v>
      </c>
      <c r="D6" s="156"/>
      <c r="E6" s="270">
        <v>37694.072</v>
      </c>
      <c r="F6" s="324">
        <v>52771.490000000005</v>
      </c>
      <c r="G6" s="320">
        <v>25574.363777777784</v>
      </c>
      <c r="H6" s="159"/>
      <c r="J6">
        <f t="shared" si="0"/>
        <v>4</v>
      </c>
      <c r="K6" s="328" t="str">
        <f>+G16</f>
        <v>1201 Hazelnut</v>
      </c>
      <c r="L6">
        <v>2021</v>
      </c>
      <c r="M6" s="300">
        <f>+G18</f>
        <v>74709</v>
      </c>
      <c r="N6" s="300">
        <f>+G19</f>
        <v>71081.80715412501</v>
      </c>
      <c r="O6" s="300">
        <f>+G17</f>
        <v>237900</v>
      </c>
      <c r="P6" s="300">
        <f>+G21</f>
        <v>96542</v>
      </c>
      <c r="Q6" s="300">
        <f>+P6+Q3</f>
        <v>348417</v>
      </c>
    </row>
    <row r="7" spans="1:17" ht="15.75" thickBot="1" x14ac:dyDescent="0.3">
      <c r="B7" s="161" t="s">
        <v>595</v>
      </c>
      <c r="C7" s="156">
        <f>+SUM(E7:H7)</f>
        <v>251875</v>
      </c>
      <c r="D7" s="156"/>
      <c r="E7" s="606">
        <v>62037</v>
      </c>
      <c r="F7" s="607">
        <v>75240</v>
      </c>
      <c r="G7" s="608">
        <v>114598</v>
      </c>
      <c r="H7" s="159"/>
      <c r="J7">
        <f t="shared" si="0"/>
        <v>5</v>
      </c>
      <c r="K7" s="328" t="str">
        <f>+F16</f>
        <v>178 Patricia</v>
      </c>
      <c r="L7">
        <v>2021</v>
      </c>
      <c r="M7" s="300">
        <f>+F18</f>
        <v>107061.9</v>
      </c>
      <c r="N7" s="300">
        <f>+F19</f>
        <v>47760.57</v>
      </c>
      <c r="O7" s="300">
        <f>+F17</f>
        <v>210000</v>
      </c>
      <c r="P7" s="300">
        <f>+F21</f>
        <v>51700</v>
      </c>
      <c r="Q7" s="300">
        <f t="shared" ref="Q7:Q8" si="1">+P7+Q6</f>
        <v>400117</v>
      </c>
    </row>
    <row r="8" spans="1:17" ht="15.75" thickBot="1" x14ac:dyDescent="0.3">
      <c r="B8" s="161" t="s">
        <v>561</v>
      </c>
      <c r="C8" s="156">
        <f>+SUM($E$8:$H$8)</f>
        <v>0</v>
      </c>
      <c r="D8" s="156"/>
      <c r="E8" s="318"/>
      <c r="F8" s="325"/>
      <c r="G8" s="326"/>
      <c r="H8" s="159"/>
      <c r="J8">
        <f t="shared" si="0"/>
        <v>6</v>
      </c>
      <c r="K8" s="328" t="str">
        <f>+E16</f>
        <v>2153 Haig Point</v>
      </c>
      <c r="L8">
        <v>2021</v>
      </c>
      <c r="M8" s="300">
        <f>+E18</f>
        <v>220000</v>
      </c>
      <c r="N8" s="300">
        <f>+E19</f>
        <v>27507.698</v>
      </c>
      <c r="O8" s="300">
        <f>+E17</f>
        <v>363900</v>
      </c>
      <c r="P8" s="300">
        <f>+E21</f>
        <v>218000</v>
      </c>
      <c r="Q8" s="300">
        <f t="shared" si="1"/>
        <v>618117</v>
      </c>
    </row>
    <row r="9" spans="1:17" ht="15.75" thickBot="1" x14ac:dyDescent="0.3">
      <c r="B9" s="161" t="s">
        <v>565</v>
      </c>
      <c r="C9" s="835">
        <f>+AVERAGE(E3:G3)</f>
        <v>180000</v>
      </c>
      <c r="D9" s="836"/>
      <c r="E9" s="878"/>
      <c r="F9" s="879"/>
      <c r="G9" s="793"/>
      <c r="H9" s="758"/>
      <c r="J9">
        <f t="shared" si="0"/>
        <v>7</v>
      </c>
      <c r="K9" s="328" t="str">
        <f>+H30</f>
        <v>3007 Eric</v>
      </c>
      <c r="L9">
        <v>2022</v>
      </c>
      <c r="M9" s="300">
        <f>+H32</f>
        <v>167033.66</v>
      </c>
      <c r="N9" s="300">
        <f>+H33</f>
        <v>38679.380000000005</v>
      </c>
      <c r="O9" s="300">
        <f>+H31</f>
        <v>299000</v>
      </c>
      <c r="P9" s="300">
        <f>+H35</f>
        <v>206590</v>
      </c>
      <c r="Q9" s="300">
        <f t="shared" ref="Q9:Q16" si="2">+P9+Q8</f>
        <v>824707</v>
      </c>
    </row>
    <row r="10" spans="1:17" ht="15.75" thickBot="1" x14ac:dyDescent="0.3">
      <c r="B10" s="161" t="s">
        <v>566</v>
      </c>
      <c r="C10" s="835">
        <f>+AVERAGE(E4:G4)</f>
        <v>103547.57</v>
      </c>
      <c r="D10" s="836"/>
      <c r="E10" s="759"/>
      <c r="F10" s="797"/>
      <c r="G10" s="797"/>
      <c r="H10" s="760"/>
      <c r="J10">
        <f t="shared" si="0"/>
        <v>8</v>
      </c>
      <c r="K10" s="328" t="str">
        <f>+G30</f>
        <v>120 Keith</v>
      </c>
      <c r="L10">
        <v>2022</v>
      </c>
      <c r="M10" s="300">
        <f>+G32</f>
        <v>85975.790000000008</v>
      </c>
      <c r="N10" s="300">
        <f>+G33</f>
        <v>82805.727499999994</v>
      </c>
      <c r="O10" s="300">
        <f>+G31</f>
        <v>330000</v>
      </c>
      <c r="P10" s="300">
        <f>+G35</f>
        <v>59415</v>
      </c>
      <c r="Q10" s="300">
        <f t="shared" si="2"/>
        <v>884122</v>
      </c>
    </row>
    <row r="11" spans="1:17" ht="15.75" thickBot="1" x14ac:dyDescent="0.3">
      <c r="B11" s="161" t="s">
        <v>568</v>
      </c>
      <c r="C11" s="835">
        <f>+AVERAGE(E5:G5)</f>
        <v>16660.233833333332</v>
      </c>
      <c r="D11" s="836"/>
      <c r="E11" s="857" t="s">
        <v>596</v>
      </c>
      <c r="F11" s="858"/>
      <c r="G11" s="712"/>
      <c r="H11" s="710"/>
      <c r="J11">
        <f t="shared" si="0"/>
        <v>9</v>
      </c>
      <c r="K11" s="328" t="str">
        <f>+F30</f>
        <v>1900 Red Quartz</v>
      </c>
      <c r="L11">
        <v>2022</v>
      </c>
      <c r="M11" s="300">
        <f>+F32</f>
        <v>174585.47</v>
      </c>
      <c r="N11" s="300">
        <f>+F33</f>
        <v>12223</v>
      </c>
      <c r="O11" s="300">
        <f>+F31</f>
        <v>423529</v>
      </c>
      <c r="P11" s="300">
        <f>+F35</f>
        <v>230800</v>
      </c>
      <c r="Q11" s="300">
        <f t="shared" si="2"/>
        <v>1114922</v>
      </c>
    </row>
    <row r="12" spans="1:17" ht="15.75" thickBot="1" x14ac:dyDescent="0.3">
      <c r="B12" s="161" t="s">
        <v>570</v>
      </c>
      <c r="C12" s="835">
        <f>+AVERAGE(E6:G6)</f>
        <v>38679.975259259263</v>
      </c>
      <c r="D12" s="836"/>
      <c r="E12" s="859" t="s">
        <v>597</v>
      </c>
      <c r="F12" s="860"/>
      <c r="G12" s="880"/>
      <c r="H12" s="881"/>
      <c r="J12">
        <f t="shared" si="0"/>
        <v>10</v>
      </c>
      <c r="K12" s="328" t="str">
        <f>+E30</f>
        <v>202 Avery</v>
      </c>
      <c r="L12">
        <v>2022</v>
      </c>
      <c r="M12" s="300">
        <f>+E32</f>
        <v>127000</v>
      </c>
      <c r="N12" s="300">
        <f>+E33</f>
        <v>15000</v>
      </c>
      <c r="O12" s="300">
        <f>+E31</f>
        <v>210000</v>
      </c>
      <c r="P12" s="300">
        <f>+E35</f>
        <v>0</v>
      </c>
      <c r="Q12" s="300">
        <f t="shared" si="2"/>
        <v>1114922</v>
      </c>
    </row>
    <row r="13" spans="1:17" x14ac:dyDescent="0.25">
      <c r="J13">
        <f t="shared" si="0"/>
        <v>11</v>
      </c>
      <c r="K13" s="328" t="str">
        <f>+F44</f>
        <v>2608 Alton</v>
      </c>
      <c r="L13">
        <v>2023</v>
      </c>
      <c r="M13" s="300">
        <f>+F46</f>
        <v>102500</v>
      </c>
      <c r="N13" s="300">
        <f>+F47</f>
        <v>144075</v>
      </c>
      <c r="O13" s="300">
        <f>+F45</f>
        <v>315000</v>
      </c>
      <c r="P13" s="300">
        <f>+F49</f>
        <v>231000</v>
      </c>
      <c r="Q13" s="300">
        <f t="shared" si="2"/>
        <v>1345922</v>
      </c>
    </row>
    <row r="14" spans="1:17" x14ac:dyDescent="0.25">
      <c r="J14">
        <f t="shared" si="0"/>
        <v>12</v>
      </c>
      <c r="K14" s="328" t="str">
        <f>+E44</f>
        <v>164 Churchill Dr</v>
      </c>
      <c r="L14">
        <v>2023</v>
      </c>
      <c r="M14" s="300">
        <f>+E46</f>
        <v>249869</v>
      </c>
      <c r="N14" s="300">
        <f>+E47</f>
        <v>98192</v>
      </c>
      <c r="O14" s="300">
        <f>+E45</f>
        <v>435000</v>
      </c>
      <c r="P14" s="300">
        <f>+E49</f>
        <v>256000</v>
      </c>
      <c r="Q14" s="300">
        <f t="shared" si="2"/>
        <v>1601922</v>
      </c>
    </row>
    <row r="15" spans="1:17" ht="15.75" thickBot="1" x14ac:dyDescent="0.3">
      <c r="J15">
        <f t="shared" si="0"/>
        <v>13</v>
      </c>
      <c r="K15" s="328" t="str">
        <f>+F58</f>
        <v>6004  Sandy Run</v>
      </c>
      <c r="L15">
        <v>2024</v>
      </c>
      <c r="M15" s="300">
        <f>+F60</f>
        <v>79099.138750000013</v>
      </c>
      <c r="N15" s="300">
        <f>+F61</f>
        <v>84974.5</v>
      </c>
      <c r="O15" s="300">
        <f>+F59</f>
        <v>285000</v>
      </c>
      <c r="P15" s="300">
        <f>+F63</f>
        <v>65943</v>
      </c>
      <c r="Q15" s="300">
        <f t="shared" si="2"/>
        <v>1667865</v>
      </c>
    </row>
    <row r="16" spans="1:17" ht="15.75" thickBot="1" x14ac:dyDescent="0.3">
      <c r="B16" s="844" t="s">
        <v>598</v>
      </c>
      <c r="C16" s="877"/>
      <c r="D16" s="311" t="s">
        <v>497</v>
      </c>
      <c r="E16" s="322" t="s">
        <v>599</v>
      </c>
      <c r="F16" s="322" t="s">
        <v>600</v>
      </c>
      <c r="G16" s="198" t="s">
        <v>601</v>
      </c>
      <c r="H16" s="164"/>
      <c r="J16">
        <f t="shared" si="0"/>
        <v>14</v>
      </c>
      <c r="K16" s="328" t="str">
        <f>+E58</f>
        <v>3021 Pearces Rd</v>
      </c>
      <c r="L16">
        <v>2024</v>
      </c>
      <c r="M16" s="300">
        <f>+E60</f>
        <v>10000.13875</v>
      </c>
      <c r="N16" s="300">
        <f>+E61</f>
        <v>0</v>
      </c>
      <c r="O16" s="300">
        <f>+E59</f>
        <v>50000</v>
      </c>
      <c r="P16" s="300">
        <f>+E63</f>
        <v>0</v>
      </c>
      <c r="Q16" s="300">
        <f t="shared" si="2"/>
        <v>1667865</v>
      </c>
    </row>
    <row r="17" spans="2:17" ht="15.75" thickBot="1" x14ac:dyDescent="0.3">
      <c r="B17" s="194" t="s">
        <v>553</v>
      </c>
      <c r="C17" s="195">
        <f>+SUM(E17:H17)</f>
        <v>811800</v>
      </c>
      <c r="D17" s="195"/>
      <c r="E17" s="270">
        <v>363900</v>
      </c>
      <c r="F17" s="323">
        <v>210000</v>
      </c>
      <c r="G17" s="319">
        <v>237900</v>
      </c>
      <c r="H17" s="267"/>
      <c r="J17">
        <f t="shared" si="0"/>
        <v>15</v>
      </c>
      <c r="K17" s="328" t="str">
        <f>+G72</f>
        <v>5008 Larchmont</v>
      </c>
      <c r="L17">
        <v>2025</v>
      </c>
      <c r="M17" s="300">
        <f>+G74</f>
        <v>352162.49</v>
      </c>
      <c r="N17" s="300">
        <f>+G75</f>
        <v>159759.01010000001</v>
      </c>
      <c r="O17" s="300">
        <f>+G73</f>
        <v>630000</v>
      </c>
      <c r="P17" s="300">
        <f>+G77</f>
        <v>554121.49</v>
      </c>
      <c r="Q17" s="300">
        <f t="shared" ref="Q17:Q18" si="3">+P17+Q16</f>
        <v>2221986.4900000002</v>
      </c>
    </row>
    <row r="18" spans="2:17" x14ac:dyDescent="0.25">
      <c r="B18" s="194" t="s">
        <v>554</v>
      </c>
      <c r="C18" s="195">
        <f>+SUM(E18:$H$18)</f>
        <v>401770.9</v>
      </c>
      <c r="D18" s="195"/>
      <c r="E18" s="270">
        <v>220000</v>
      </c>
      <c r="F18" s="324">
        <v>107061.9</v>
      </c>
      <c r="G18" s="320">
        <v>74709</v>
      </c>
      <c r="H18" s="267"/>
      <c r="J18">
        <f t="shared" si="0"/>
        <v>16</v>
      </c>
      <c r="K18" s="328" t="str">
        <f>+F72</f>
        <v>8225 Burgwyn Ln</v>
      </c>
      <c r="L18">
        <v>2025</v>
      </c>
      <c r="M18" s="300">
        <f>+F74</f>
        <v>220401.85</v>
      </c>
      <c r="N18" s="300">
        <f>+F75</f>
        <v>57344.420874999996</v>
      </c>
      <c r="O18" s="300">
        <f>+F73</f>
        <v>470000</v>
      </c>
      <c r="P18" s="300">
        <f>+F77</f>
        <v>196273.85</v>
      </c>
      <c r="Q18" s="300">
        <f t="shared" si="3"/>
        <v>2418260.3400000003</v>
      </c>
    </row>
    <row r="19" spans="2:17" x14ac:dyDescent="0.25">
      <c r="B19" s="196" t="s">
        <v>555</v>
      </c>
      <c r="C19" s="197">
        <f>+SUM(E19:H19)</f>
        <v>146350.07515412499</v>
      </c>
      <c r="D19" s="197"/>
      <c r="E19" s="270">
        <v>27507.698</v>
      </c>
      <c r="F19" s="324">
        <v>47760.57</v>
      </c>
      <c r="G19" s="320">
        <v>71081.80715412501</v>
      </c>
      <c r="H19" s="159"/>
    </row>
    <row r="20" spans="2:17" ht="15.75" thickBot="1" x14ac:dyDescent="0.3">
      <c r="B20" s="161" t="s">
        <v>560</v>
      </c>
      <c r="C20" s="156">
        <f>+SUM($E$20:$H$20)</f>
        <v>257067.10484587503</v>
      </c>
      <c r="D20" s="156"/>
      <c r="E20" s="270">
        <v>92658.781999999992</v>
      </c>
      <c r="F20" s="324">
        <v>64240.530000000028</v>
      </c>
      <c r="G20" s="320">
        <v>100167.792845875</v>
      </c>
      <c r="H20" s="159"/>
    </row>
    <row r="21" spans="2:17" ht="15.75" thickBot="1" x14ac:dyDescent="0.3">
      <c r="B21" s="161" t="s">
        <v>595</v>
      </c>
      <c r="C21" s="156">
        <f>+SUM(E21:H21)</f>
        <v>366242</v>
      </c>
      <c r="D21" s="156"/>
      <c r="E21" s="606">
        <f>152983+65017</f>
        <v>218000</v>
      </c>
      <c r="F21" s="607">
        <f>9700+42000</f>
        <v>51700</v>
      </c>
      <c r="G21" s="608">
        <f>47279+19263+30000</f>
        <v>96542</v>
      </c>
      <c r="H21" s="159"/>
    </row>
    <row r="22" spans="2:17" ht="15.75" thickBot="1" x14ac:dyDescent="0.3">
      <c r="B22" s="161" t="s">
        <v>561</v>
      </c>
      <c r="C22" s="156">
        <f>+SUM($E$22:$H$22)</f>
        <v>0</v>
      </c>
      <c r="D22" s="156"/>
      <c r="E22" s="318"/>
      <c r="F22" s="325"/>
      <c r="G22" s="326"/>
      <c r="H22" s="159"/>
    </row>
    <row r="23" spans="2:17" ht="15.75" thickBot="1" x14ac:dyDescent="0.3">
      <c r="B23" s="161" t="s">
        <v>565</v>
      </c>
      <c r="C23" s="835">
        <f>+AVERAGE(E17:G17)</f>
        <v>270600</v>
      </c>
      <c r="D23" s="836"/>
      <c r="E23" s="878"/>
      <c r="F23" s="879"/>
      <c r="G23" s="793"/>
      <c r="H23" s="758"/>
    </row>
    <row r="24" spans="2:17" ht="15.75" thickBot="1" x14ac:dyDescent="0.3">
      <c r="B24" s="161" t="s">
        <v>566</v>
      </c>
      <c r="C24" s="835">
        <f>+AVERAGE(E18:G18)</f>
        <v>133923.63333333333</v>
      </c>
      <c r="D24" s="836"/>
      <c r="E24" s="759"/>
      <c r="F24" s="797"/>
      <c r="G24" s="797"/>
      <c r="H24" s="760"/>
    </row>
    <row r="25" spans="2:17" ht="15.75" thickBot="1" x14ac:dyDescent="0.3">
      <c r="B25" s="161" t="s">
        <v>568</v>
      </c>
      <c r="C25" s="835">
        <f>+AVERAGE(E19:G19)</f>
        <v>48783.358384708328</v>
      </c>
      <c r="D25" s="836"/>
      <c r="E25" s="857" t="s">
        <v>596</v>
      </c>
      <c r="F25" s="858"/>
      <c r="G25" s="712"/>
      <c r="H25" s="710"/>
    </row>
    <row r="26" spans="2:17" ht="15.75" thickBot="1" x14ac:dyDescent="0.3">
      <c r="B26" s="161" t="s">
        <v>570</v>
      </c>
      <c r="C26" s="835">
        <f>+AVERAGE(E20:G20)</f>
        <v>85689.034948625005</v>
      </c>
      <c r="D26" s="836"/>
      <c r="E26" s="859" t="s">
        <v>597</v>
      </c>
      <c r="F26" s="860"/>
      <c r="G26" s="880"/>
      <c r="H26" s="881"/>
    </row>
    <row r="29" spans="2:17" ht="15.75" thickBot="1" x14ac:dyDescent="0.3"/>
    <row r="30" spans="2:17" ht="15.75" thickBot="1" x14ac:dyDescent="0.3">
      <c r="B30" s="844" t="s">
        <v>602</v>
      </c>
      <c r="C30" s="884"/>
      <c r="D30" s="311" t="s">
        <v>497</v>
      </c>
      <c r="E30" s="193" t="s">
        <v>603</v>
      </c>
      <c r="F30" s="193" t="s">
        <v>604</v>
      </c>
      <c r="G30" s="193" t="s">
        <v>605</v>
      </c>
      <c r="H30" s="198" t="s">
        <v>606</v>
      </c>
      <c r="I30" s="164"/>
    </row>
    <row r="31" spans="2:17" ht="15.75" thickBot="1" x14ac:dyDescent="0.3">
      <c r="B31" s="194" t="s">
        <v>553</v>
      </c>
      <c r="C31" s="195">
        <f>+SUM(E31:I31)</f>
        <v>1262529</v>
      </c>
      <c r="D31" s="195"/>
      <c r="E31" s="270">
        <v>210000</v>
      </c>
      <c r="F31" s="270">
        <v>423529</v>
      </c>
      <c r="G31" s="270">
        <v>330000</v>
      </c>
      <c r="H31" s="269">
        <v>299000</v>
      </c>
      <c r="I31" s="267"/>
    </row>
    <row r="32" spans="2:17" x14ac:dyDescent="0.25">
      <c r="B32" s="194" t="s">
        <v>554</v>
      </c>
      <c r="C32" s="195">
        <f>+SUM(E32:$I$32)</f>
        <v>554594.92000000004</v>
      </c>
      <c r="D32" s="195"/>
      <c r="E32" s="270">
        <v>127000</v>
      </c>
      <c r="F32" s="270">
        <v>174585.47</v>
      </c>
      <c r="G32" s="270">
        <v>85975.790000000008</v>
      </c>
      <c r="H32" s="269">
        <v>167033.66</v>
      </c>
      <c r="I32" s="267"/>
    </row>
    <row r="33" spans="2:9" x14ac:dyDescent="0.25">
      <c r="B33" s="196" t="s">
        <v>555</v>
      </c>
      <c r="C33" s="197">
        <f>+SUM(E33:I33)</f>
        <v>148708.10749999998</v>
      </c>
      <c r="D33" s="197"/>
      <c r="E33" s="270">
        <v>15000</v>
      </c>
      <c r="F33" s="270">
        <v>12223</v>
      </c>
      <c r="G33" s="270">
        <v>82805.727499999994</v>
      </c>
      <c r="H33" s="269">
        <v>38679.380000000005</v>
      </c>
      <c r="I33" s="159"/>
    </row>
    <row r="34" spans="2:9" ht="15.75" thickBot="1" x14ac:dyDescent="0.3">
      <c r="B34" s="161" t="s">
        <v>560</v>
      </c>
      <c r="C34" s="156">
        <f>+SUM($E$34:$I$34)</f>
        <v>471212.07700000005</v>
      </c>
      <c r="D34" s="156"/>
      <c r="E34" s="270">
        <v>67485.868000000002</v>
      </c>
      <c r="F34" s="270">
        <v>154708.03800000003</v>
      </c>
      <c r="G34" s="270">
        <v>154490.20250000001</v>
      </c>
      <c r="H34" s="269">
        <v>94527.968499999988</v>
      </c>
      <c r="I34" s="159"/>
    </row>
    <row r="35" spans="2:9" ht="15.75" thickBot="1" x14ac:dyDescent="0.3">
      <c r="B35" s="161" t="s">
        <v>595</v>
      </c>
      <c r="C35" s="156">
        <f>+SUM(E35:H35)</f>
        <v>496805</v>
      </c>
      <c r="D35" s="156"/>
      <c r="E35" s="270">
        <v>0</v>
      </c>
      <c r="F35" s="270">
        <f>130800+100000</f>
        <v>230800</v>
      </c>
      <c r="G35" s="270">
        <v>59415</v>
      </c>
      <c r="H35" s="609">
        <f>131590+75000</f>
        <v>206590</v>
      </c>
      <c r="I35" s="159"/>
    </row>
    <row r="36" spans="2:9" ht="15.75" thickBot="1" x14ac:dyDescent="0.3">
      <c r="B36" s="161" t="s">
        <v>561</v>
      </c>
      <c r="C36" s="156">
        <f>+SUM($E$36:$I$36)</f>
        <v>15470.803800000003</v>
      </c>
      <c r="D36" s="156"/>
      <c r="E36" s="318"/>
      <c r="F36" s="325">
        <v>15470.803800000003</v>
      </c>
      <c r="G36" s="325"/>
      <c r="H36" s="327"/>
      <c r="I36" s="159"/>
    </row>
    <row r="37" spans="2:9" ht="15.75" thickBot="1" x14ac:dyDescent="0.3">
      <c r="B37" s="161" t="s">
        <v>565</v>
      </c>
      <c r="C37" s="835">
        <f>+AVERAGE(E31:H31)</f>
        <v>315632.25</v>
      </c>
      <c r="D37" s="882"/>
      <c r="E37" s="878"/>
      <c r="F37" s="793"/>
      <c r="G37" s="793"/>
      <c r="H37" s="793"/>
      <c r="I37" s="758"/>
    </row>
    <row r="38" spans="2:9" ht="15.75" thickBot="1" x14ac:dyDescent="0.3">
      <c r="B38" s="161" t="s">
        <v>566</v>
      </c>
      <c r="C38" s="835">
        <f>+AVERAGE(E32:H32)</f>
        <v>138648.73000000001</v>
      </c>
      <c r="D38" s="882"/>
      <c r="E38" s="759"/>
      <c r="F38" s="797"/>
      <c r="G38" s="797"/>
      <c r="H38" s="797"/>
      <c r="I38" s="760"/>
    </row>
    <row r="39" spans="2:9" ht="15.75" thickBot="1" x14ac:dyDescent="0.3">
      <c r="B39" s="161" t="s">
        <v>568</v>
      </c>
      <c r="C39" s="835">
        <f>+AVERAGE(E33:H33)</f>
        <v>37177.026874999996</v>
      </c>
      <c r="D39" s="882"/>
      <c r="E39" s="857" t="s">
        <v>596</v>
      </c>
      <c r="F39" s="858"/>
      <c r="G39" s="858"/>
      <c r="H39" s="858"/>
      <c r="I39" s="885"/>
    </row>
    <row r="40" spans="2:9" ht="15.75" thickBot="1" x14ac:dyDescent="0.3">
      <c r="B40" s="161" t="s">
        <v>570</v>
      </c>
      <c r="C40" s="835">
        <f>+AVERAGE(E34:H34)</f>
        <v>117803.01925000001</v>
      </c>
      <c r="D40" s="882"/>
      <c r="E40" s="859" t="s">
        <v>597</v>
      </c>
      <c r="F40" s="860"/>
      <c r="G40" s="860"/>
      <c r="H40" s="860"/>
      <c r="I40" s="883"/>
    </row>
    <row r="43" spans="2:9" ht="15.75" thickBot="1" x14ac:dyDescent="0.3"/>
    <row r="44" spans="2:9" ht="15.75" thickBot="1" x14ac:dyDescent="0.3">
      <c r="B44" s="844" t="s">
        <v>607</v>
      </c>
      <c r="C44" s="877"/>
      <c r="D44" s="311" t="s">
        <v>497</v>
      </c>
      <c r="E44" s="322" t="s">
        <v>608</v>
      </c>
      <c r="F44" s="198" t="s">
        <v>609</v>
      </c>
      <c r="G44" s="164"/>
    </row>
    <row r="45" spans="2:9" ht="15.75" thickBot="1" x14ac:dyDescent="0.3">
      <c r="B45" s="194" t="s">
        <v>553</v>
      </c>
      <c r="C45" s="195">
        <f>+SUM(E45:G45)</f>
        <v>750000</v>
      </c>
      <c r="D45" s="195"/>
      <c r="E45" s="270">
        <v>435000</v>
      </c>
      <c r="F45" s="319">
        <v>315000</v>
      </c>
      <c r="G45" s="267"/>
    </row>
    <row r="46" spans="2:9" x14ac:dyDescent="0.25">
      <c r="B46" s="194" t="s">
        <v>554</v>
      </c>
      <c r="C46" s="195">
        <f>+SUM(E46:$G$46)</f>
        <v>352369</v>
      </c>
      <c r="D46" s="195"/>
      <c r="E46" s="270">
        <v>249869</v>
      </c>
      <c r="F46" s="320">
        <v>102500</v>
      </c>
      <c r="G46" s="267"/>
    </row>
    <row r="47" spans="2:9" x14ac:dyDescent="0.25">
      <c r="B47" s="196" t="s">
        <v>555</v>
      </c>
      <c r="C47" s="197">
        <f>+SUM(E47:G47)</f>
        <v>242267</v>
      </c>
      <c r="D47" s="197"/>
      <c r="E47" s="270">
        <v>98192</v>
      </c>
      <c r="F47" s="320">
        <f>+F45+-F46-F48</f>
        <v>144075</v>
      </c>
      <c r="G47" s="159"/>
    </row>
    <row r="48" spans="2:9" ht="15.75" thickBot="1" x14ac:dyDescent="0.3">
      <c r="B48" s="161" t="s">
        <v>560</v>
      </c>
      <c r="C48" s="156">
        <f>+SUM($E$48:$G$48)</f>
        <v>155363.89666666667</v>
      </c>
      <c r="D48" s="156"/>
      <c r="E48" s="270">
        <v>86938.896666666667</v>
      </c>
      <c r="F48" s="320">
        <v>68425</v>
      </c>
      <c r="G48" s="159"/>
    </row>
    <row r="49" spans="2:7" ht="15.75" thickBot="1" x14ac:dyDescent="0.3">
      <c r="B49" s="161" t="s">
        <v>595</v>
      </c>
      <c r="C49" s="156">
        <f>+SUM(E49:H49)</f>
        <v>487000</v>
      </c>
      <c r="D49" s="156"/>
      <c r="E49" s="270">
        <f>141000+15000+100000</f>
        <v>256000</v>
      </c>
      <c r="F49" s="320">
        <f>90000+30000+36000+75000</f>
        <v>231000</v>
      </c>
      <c r="G49" s="159"/>
    </row>
    <row r="50" spans="2:7" ht="15.75" thickBot="1" x14ac:dyDescent="0.3">
      <c r="B50" s="161" t="s">
        <v>561</v>
      </c>
      <c r="C50" s="156">
        <f>+SUM($E$50:$G$50)</f>
        <v>0</v>
      </c>
      <c r="D50" s="156"/>
      <c r="E50" s="270"/>
      <c r="F50" s="320"/>
      <c r="G50" s="159"/>
    </row>
    <row r="51" spans="2:7" ht="15.75" thickBot="1" x14ac:dyDescent="0.3">
      <c r="B51" s="161" t="s">
        <v>565</v>
      </c>
      <c r="C51" s="835">
        <f>+AVERAGE(E45:F45)</f>
        <v>375000</v>
      </c>
      <c r="D51" s="836"/>
      <c r="E51" s="878"/>
      <c r="F51" s="793"/>
      <c r="G51" s="758"/>
    </row>
    <row r="52" spans="2:7" ht="15.75" thickBot="1" x14ac:dyDescent="0.3">
      <c r="B52" s="161" t="s">
        <v>566</v>
      </c>
      <c r="C52" s="835">
        <f>+AVERAGE(E46:F46)</f>
        <v>176184.5</v>
      </c>
      <c r="D52" s="836"/>
      <c r="E52" s="759"/>
      <c r="F52" s="797"/>
      <c r="G52" s="760"/>
    </row>
    <row r="53" spans="2:7" ht="15.75" thickBot="1" x14ac:dyDescent="0.3">
      <c r="B53" s="161" t="s">
        <v>568</v>
      </c>
      <c r="C53" s="835">
        <f>+AVERAGE(E47:F47)</f>
        <v>121133.5</v>
      </c>
      <c r="D53" s="836"/>
      <c r="E53" s="857" t="s">
        <v>596</v>
      </c>
      <c r="F53" s="712"/>
      <c r="G53" s="710"/>
    </row>
    <row r="54" spans="2:7" ht="15.75" thickBot="1" x14ac:dyDescent="0.3">
      <c r="B54" s="161" t="s">
        <v>570</v>
      </c>
      <c r="C54" s="835">
        <f>+AVERAGE(E48:F48)</f>
        <v>77681.948333333334</v>
      </c>
      <c r="D54" s="836"/>
      <c r="E54" s="859" t="s">
        <v>597</v>
      </c>
      <c r="F54" s="880"/>
      <c r="G54" s="881"/>
    </row>
    <row r="57" spans="2:7" ht="15.75" thickBot="1" x14ac:dyDescent="0.3"/>
    <row r="58" spans="2:7" ht="15.75" thickBot="1" x14ac:dyDescent="0.3">
      <c r="B58" s="844" t="s">
        <v>610</v>
      </c>
      <c r="C58" s="877"/>
      <c r="D58" s="311" t="s">
        <v>497</v>
      </c>
      <c r="E58" s="322" t="s">
        <v>611</v>
      </c>
      <c r="F58" s="198" t="s">
        <v>612</v>
      </c>
      <c r="G58" s="164"/>
    </row>
    <row r="59" spans="2:7" ht="15.75" thickBot="1" x14ac:dyDescent="0.3">
      <c r="B59" s="194" t="s">
        <v>553</v>
      </c>
      <c r="C59" s="195">
        <f>+SUM(E59:G59)</f>
        <v>335000</v>
      </c>
      <c r="D59" s="195"/>
      <c r="E59" s="270">
        <v>50000</v>
      </c>
      <c r="F59" s="319">
        <v>285000</v>
      </c>
      <c r="G59" s="267"/>
    </row>
    <row r="60" spans="2:7" x14ac:dyDescent="0.25">
      <c r="B60" s="194" t="s">
        <v>554</v>
      </c>
      <c r="C60" s="195">
        <f>+SUM(E60:$G$60)</f>
        <v>89099.277500000011</v>
      </c>
      <c r="D60" s="195"/>
      <c r="E60" s="270">
        <v>10000.13875</v>
      </c>
      <c r="F60" s="320">
        <v>79099.138750000013</v>
      </c>
      <c r="G60" s="267"/>
    </row>
    <row r="61" spans="2:7" x14ac:dyDescent="0.25">
      <c r="B61" s="196" t="s">
        <v>555</v>
      </c>
      <c r="C61" s="197">
        <f>+SUM(E61:G61)</f>
        <v>84974.5</v>
      </c>
      <c r="D61" s="197"/>
      <c r="E61" s="270">
        <v>0</v>
      </c>
      <c r="F61" s="320">
        <v>84974.5</v>
      </c>
      <c r="G61" s="159"/>
    </row>
    <row r="62" spans="2:7" ht="15.75" thickBot="1" x14ac:dyDescent="0.3">
      <c r="B62" s="161" t="s">
        <v>560</v>
      </c>
      <c r="C62" s="156">
        <f>+SUM($E$62:$G$62)</f>
        <v>91406.693999999989</v>
      </c>
      <c r="D62" s="156"/>
      <c r="E62" s="313">
        <v>30489.599999999999</v>
      </c>
      <c r="F62" s="313">
        <v>60917.093999999997</v>
      </c>
      <c r="G62" s="159"/>
    </row>
    <row r="63" spans="2:7" ht="15.75" thickBot="1" x14ac:dyDescent="0.3">
      <c r="B63" s="161" t="s">
        <v>595</v>
      </c>
      <c r="C63" s="156">
        <f>+SUM(E63:G63)</f>
        <v>65943</v>
      </c>
      <c r="D63" s="156"/>
      <c r="E63" s="313">
        <v>0</v>
      </c>
      <c r="F63" s="313">
        <v>65943</v>
      </c>
      <c r="G63" s="159"/>
    </row>
    <row r="64" spans="2:7" ht="15.75" thickBot="1" x14ac:dyDescent="0.3">
      <c r="B64" s="161" t="s">
        <v>561</v>
      </c>
      <c r="C64" s="156">
        <f>+SUM($E$64:$G$64)</f>
        <v>0</v>
      </c>
      <c r="D64" s="156"/>
      <c r="E64" s="270"/>
      <c r="F64" s="321"/>
      <c r="G64" s="159"/>
    </row>
    <row r="65" spans="2:8" ht="15.75" thickBot="1" x14ac:dyDescent="0.3">
      <c r="B65" s="161" t="s">
        <v>565</v>
      </c>
      <c r="C65" s="835">
        <f>+AVERAGE(E59:F59)</f>
        <v>167500</v>
      </c>
      <c r="D65" s="836"/>
      <c r="E65" s="878"/>
      <c r="F65" s="879"/>
      <c r="G65" s="758"/>
    </row>
    <row r="66" spans="2:8" ht="15.75" thickBot="1" x14ac:dyDescent="0.3">
      <c r="B66" s="161" t="s">
        <v>566</v>
      </c>
      <c r="C66" s="835">
        <f>+AVERAGE(E60:F60)</f>
        <v>44549.638750000006</v>
      </c>
      <c r="D66" s="836"/>
      <c r="E66" s="759"/>
      <c r="F66" s="797"/>
      <c r="G66" s="760"/>
    </row>
    <row r="67" spans="2:8" ht="15.75" thickBot="1" x14ac:dyDescent="0.3">
      <c r="B67" s="161" t="s">
        <v>568</v>
      </c>
      <c r="C67" s="835">
        <f>+AVERAGE(E61:F61)</f>
        <v>42487.25</v>
      </c>
      <c r="D67" s="836"/>
      <c r="E67" s="857" t="s">
        <v>596</v>
      </c>
      <c r="F67" s="858"/>
      <c r="G67" s="710"/>
    </row>
    <row r="68" spans="2:8" ht="15.75" thickBot="1" x14ac:dyDescent="0.3">
      <c r="B68" s="161" t="s">
        <v>570</v>
      </c>
      <c r="C68" s="835">
        <f>+AVERAGE(E62:F62)</f>
        <v>45703.346999999994</v>
      </c>
      <c r="D68" s="836"/>
      <c r="E68" s="859" t="s">
        <v>597</v>
      </c>
      <c r="F68" s="860"/>
      <c r="G68" s="881"/>
    </row>
    <row r="71" spans="2:8" ht="15.75" thickBot="1" x14ac:dyDescent="0.3"/>
    <row r="72" spans="2:8" ht="15.75" thickBot="1" x14ac:dyDescent="0.3">
      <c r="B72" s="844" t="s">
        <v>613</v>
      </c>
      <c r="C72" s="877"/>
      <c r="D72" s="311" t="s">
        <v>497</v>
      </c>
      <c r="E72" s="322"/>
      <c r="F72" s="268" t="s">
        <v>614</v>
      </c>
      <c r="G72" s="315" t="s">
        <v>615</v>
      </c>
      <c r="H72" s="164"/>
    </row>
    <row r="73" spans="2:8" ht="15.75" thickBot="1" x14ac:dyDescent="0.3">
      <c r="B73" s="194" t="s">
        <v>553</v>
      </c>
      <c r="C73" s="195">
        <f>+SUM(E73:H73)</f>
        <v>1100000</v>
      </c>
      <c r="D73" s="195"/>
      <c r="E73" s="270"/>
      <c r="F73" s="270">
        <v>470000</v>
      </c>
      <c r="G73" s="316">
        <v>630000</v>
      </c>
      <c r="H73" s="267"/>
    </row>
    <row r="74" spans="2:8" x14ac:dyDescent="0.25">
      <c r="B74" s="194" t="s">
        <v>554</v>
      </c>
      <c r="C74" s="195">
        <f>+SUM(E74:$H$74)</f>
        <v>572564.34</v>
      </c>
      <c r="D74" s="195"/>
      <c r="E74" s="270"/>
      <c r="F74" s="270">
        <v>220401.85</v>
      </c>
      <c r="G74" s="316">
        <v>352162.49</v>
      </c>
      <c r="H74" s="267"/>
    </row>
    <row r="75" spans="2:8" x14ac:dyDescent="0.25">
      <c r="B75" s="196" t="s">
        <v>555</v>
      </c>
      <c r="C75" s="197">
        <f>+SUM(E75:H75)</f>
        <v>217103.43097500002</v>
      </c>
      <c r="D75" s="197"/>
      <c r="E75" s="270"/>
      <c r="F75" s="270">
        <v>57344.420874999996</v>
      </c>
      <c r="G75" s="316">
        <v>159759.01010000001</v>
      </c>
      <c r="H75" s="159"/>
    </row>
    <row r="76" spans="2:8" ht="15.75" thickBot="1" x14ac:dyDescent="0.3">
      <c r="B76" s="161" t="s">
        <v>560</v>
      </c>
      <c r="C76" s="156">
        <f>+SUM($E$76:$H$76)</f>
        <v>130635.59541506917</v>
      </c>
      <c r="D76" s="156"/>
      <c r="E76" s="313"/>
      <c r="F76" s="605">
        <v>149981.58261184339</v>
      </c>
      <c r="G76" s="316">
        <v>-19345.987196774222</v>
      </c>
      <c r="H76" s="159"/>
    </row>
    <row r="77" spans="2:8" ht="15.75" thickBot="1" x14ac:dyDescent="0.3">
      <c r="B77" s="161" t="s">
        <v>595</v>
      </c>
      <c r="C77" s="156">
        <f>+SUM(E77:H77)</f>
        <v>750395.34</v>
      </c>
      <c r="D77" s="156"/>
      <c r="E77" s="313"/>
      <c r="F77" s="605">
        <v>196273.85</v>
      </c>
      <c r="G77" s="316">
        <v>554121.49</v>
      </c>
      <c r="H77" s="159"/>
    </row>
    <row r="78" spans="2:8" ht="15.75" thickBot="1" x14ac:dyDescent="0.3">
      <c r="B78" s="161" t="s">
        <v>561</v>
      </c>
      <c r="C78" s="156">
        <f>+SUM($E$78:$H$78)</f>
        <v>494121</v>
      </c>
      <c r="D78" s="156"/>
      <c r="E78" s="270"/>
      <c r="F78" s="270">
        <v>0</v>
      </c>
      <c r="G78" s="321">
        <f>136821+85000+172000+100300</f>
        <v>494121</v>
      </c>
      <c r="H78" s="159"/>
    </row>
    <row r="79" spans="2:8" ht="15.75" thickBot="1" x14ac:dyDescent="0.3">
      <c r="B79" s="161" t="s">
        <v>565</v>
      </c>
      <c r="C79" s="835">
        <f>+AVERAGE(E73:G73)</f>
        <v>550000</v>
      </c>
      <c r="D79" s="836"/>
      <c r="E79" s="878"/>
      <c r="F79" s="879"/>
      <c r="G79" s="793"/>
      <c r="H79" s="758"/>
    </row>
    <row r="80" spans="2:8" ht="15.75" thickBot="1" x14ac:dyDescent="0.3">
      <c r="B80" s="161" t="s">
        <v>566</v>
      </c>
      <c r="C80" s="835">
        <f>+AVERAGE(E74:G74)</f>
        <v>286282.17</v>
      </c>
      <c r="D80" s="836"/>
      <c r="E80" s="759"/>
      <c r="F80" s="797"/>
      <c r="G80" s="797"/>
      <c r="H80" s="760"/>
    </row>
    <row r="81" spans="2:8" ht="15.75" thickBot="1" x14ac:dyDescent="0.3">
      <c r="B81" s="161" t="s">
        <v>568</v>
      </c>
      <c r="C81" s="835">
        <f>+AVERAGE(E75:G75)</f>
        <v>108551.71548750001</v>
      </c>
      <c r="D81" s="836"/>
      <c r="E81" s="857" t="s">
        <v>596</v>
      </c>
      <c r="F81" s="858"/>
      <c r="G81" s="712"/>
      <c r="H81" s="710"/>
    </row>
    <row r="82" spans="2:8" ht="15.75" thickBot="1" x14ac:dyDescent="0.3">
      <c r="B82" s="161" t="s">
        <v>570</v>
      </c>
      <c r="C82" s="835">
        <f>+AVERAGE(E76:G76)</f>
        <v>65317.797707534584</v>
      </c>
      <c r="D82" s="836"/>
      <c r="E82" s="859" t="s">
        <v>597</v>
      </c>
      <c r="F82" s="860"/>
      <c r="G82" s="880"/>
      <c r="H82" s="881"/>
    </row>
  </sheetData>
  <mergeCells count="48">
    <mergeCell ref="C82:D82"/>
    <mergeCell ref="E82:H82"/>
    <mergeCell ref="B72:C72"/>
    <mergeCell ref="C79:D79"/>
    <mergeCell ref="E79:H80"/>
    <mergeCell ref="C80:D80"/>
    <mergeCell ref="C81:D81"/>
    <mergeCell ref="E81:H81"/>
    <mergeCell ref="C68:D68"/>
    <mergeCell ref="E68:G68"/>
    <mergeCell ref="B58:C58"/>
    <mergeCell ref="C65:D65"/>
    <mergeCell ref="E65:G66"/>
    <mergeCell ref="C66:D66"/>
    <mergeCell ref="C67:D67"/>
    <mergeCell ref="E67:G67"/>
    <mergeCell ref="C54:D54"/>
    <mergeCell ref="E54:G54"/>
    <mergeCell ref="E51:G52"/>
    <mergeCell ref="B44:C44"/>
    <mergeCell ref="C51:D51"/>
    <mergeCell ref="C52:D52"/>
    <mergeCell ref="C53:D53"/>
    <mergeCell ref="E53:G53"/>
    <mergeCell ref="C40:D40"/>
    <mergeCell ref="E40:I40"/>
    <mergeCell ref="E37:I38"/>
    <mergeCell ref="B30:C30"/>
    <mergeCell ref="C37:D37"/>
    <mergeCell ref="C38:D38"/>
    <mergeCell ref="C39:D39"/>
    <mergeCell ref="E39:I39"/>
    <mergeCell ref="C26:D26"/>
    <mergeCell ref="E26:H26"/>
    <mergeCell ref="E23:H24"/>
    <mergeCell ref="B16:C16"/>
    <mergeCell ref="C23:D23"/>
    <mergeCell ref="C24:D24"/>
    <mergeCell ref="C25:D25"/>
    <mergeCell ref="E25:H25"/>
    <mergeCell ref="B2:C2"/>
    <mergeCell ref="E9:H10"/>
    <mergeCell ref="C11:D11"/>
    <mergeCell ref="C12:D12"/>
    <mergeCell ref="E11:H11"/>
    <mergeCell ref="E12:H12"/>
    <mergeCell ref="C9:D9"/>
    <mergeCell ref="C10:D10"/>
  </mergeCells>
  <pageMargins left="0.7" right="0.7" top="0.75" bottom="0.75" header="0.3" footer="0.3"/>
  <pageSetup orientation="portrait" horizontalDpi="4800" verticalDpi="48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workbookViewId="0">
      <pane ySplit="1" topLeftCell="A2" activePane="bottomLeft" state="frozen"/>
      <selection activeCell="C1" sqref="C1:E1"/>
      <selection pane="bottomLeft" activeCell="A12" sqref="A12:B12"/>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616</v>
      </c>
      <c r="B1" s="3" t="s">
        <v>617</v>
      </c>
      <c r="C1" s="32" t="s">
        <v>618</v>
      </c>
      <c r="D1" s="30" t="s">
        <v>619</v>
      </c>
      <c r="E1" s="32" t="s">
        <v>620</v>
      </c>
      <c r="F1" s="3" t="s">
        <v>621</v>
      </c>
    </row>
    <row r="2" spans="1:9" x14ac:dyDescent="0.25">
      <c r="A2" s="25" t="s">
        <v>622</v>
      </c>
      <c r="E2" s="27"/>
    </row>
    <row r="3" spans="1:9" x14ac:dyDescent="0.25">
      <c r="C3" s="28"/>
    </row>
    <row r="4" spans="1:9" ht="16.5" x14ac:dyDescent="0.3">
      <c r="A4" s="2" t="s">
        <v>623</v>
      </c>
      <c r="B4" s="355"/>
      <c r="C4" s="28"/>
      <c r="D4" s="25" t="s">
        <v>624</v>
      </c>
      <c r="E4" s="12"/>
    </row>
    <row r="5" spans="1:9" x14ac:dyDescent="0.25">
      <c r="B5" s="44" t="str">
        <f>+Profit!B2</f>
        <v>7001 Outrigger Dr</v>
      </c>
      <c r="C5" s="44" t="str">
        <f>+Profit!E2</f>
        <v>Wendell, NC 27591</v>
      </c>
      <c r="D5" s="25"/>
      <c r="E5" s="27"/>
    </row>
    <row r="6" spans="1:9" x14ac:dyDescent="0.25">
      <c r="A6" s="25" t="s">
        <v>625</v>
      </c>
      <c r="B6" s="44"/>
      <c r="E6" s="265"/>
    </row>
    <row r="7" spans="1:9" x14ac:dyDescent="0.25">
      <c r="A7" s="45" t="s">
        <v>626</v>
      </c>
      <c r="B7" s="46" t="s">
        <v>353</v>
      </c>
      <c r="D7" s="47" t="s">
        <v>627</v>
      </c>
      <c r="E7" s="27" t="s">
        <v>628</v>
      </c>
      <c r="F7" s="19"/>
    </row>
    <row r="8" spans="1:9" x14ac:dyDescent="0.25">
      <c r="A8" s="45" t="s">
        <v>629</v>
      </c>
      <c r="B8" s="46" t="s">
        <v>630</v>
      </c>
      <c r="D8" s="47"/>
      <c r="E8" s="27"/>
      <c r="F8" s="19"/>
    </row>
    <row r="9" spans="1:9" x14ac:dyDescent="0.25">
      <c r="A9" s="45" t="s">
        <v>631</v>
      </c>
      <c r="B9" s="231" t="s">
        <v>632</v>
      </c>
      <c r="D9" s="47"/>
      <c r="E9" s="27"/>
      <c r="F9" s="19"/>
      <c r="H9" s="19"/>
    </row>
    <row r="10" spans="1:9" x14ac:dyDescent="0.25">
      <c r="A10" s="2" t="s">
        <v>633</v>
      </c>
      <c r="C10" s="25" t="s">
        <v>634</v>
      </c>
      <c r="E10"/>
      <c r="F10" s="2"/>
    </row>
    <row r="11" spans="1:9" x14ac:dyDescent="0.25">
      <c r="E11" s="27"/>
    </row>
    <row r="12" spans="1:9" x14ac:dyDescent="0.25">
      <c r="A12" s="2" t="s">
        <v>635</v>
      </c>
      <c r="B12" s="2" t="s">
        <v>636</v>
      </c>
      <c r="E12"/>
    </row>
    <row r="13" spans="1:9" x14ac:dyDescent="0.25">
      <c r="E13"/>
      <c r="F13" s="27"/>
      <c r="I13" s="310"/>
    </row>
    <row r="14" spans="1:9" x14ac:dyDescent="0.25">
      <c r="E14"/>
      <c r="I14" s="25"/>
    </row>
    <row r="16" spans="1:9" x14ac:dyDescent="0.25">
      <c r="A16" s="2" t="s">
        <v>637</v>
      </c>
      <c r="B16" s="33" t="s">
        <v>638</v>
      </c>
      <c r="E16" s="19"/>
    </row>
    <row r="18" spans="1:25" x14ac:dyDescent="0.25">
      <c r="V18" t="s">
        <v>639</v>
      </c>
      <c r="W18" t="s">
        <v>640</v>
      </c>
      <c r="X18" t="s">
        <v>641</v>
      </c>
      <c r="Y18" t="s">
        <v>642</v>
      </c>
    </row>
    <row r="19" spans="1:25" x14ac:dyDescent="0.25">
      <c r="E19" s="27"/>
      <c r="F19" s="19"/>
      <c r="V19" t="s">
        <v>643</v>
      </c>
      <c r="W19" s="227">
        <v>0.4458333333333333</v>
      </c>
      <c r="X19" t="s">
        <v>644</v>
      </c>
    </row>
    <row r="22" spans="1:25" x14ac:dyDescent="0.25">
      <c r="A22" s="2" t="s">
        <v>645</v>
      </c>
    </row>
    <row r="23" spans="1:25" x14ac:dyDescent="0.25">
      <c r="A23" s="228" t="s">
        <v>646</v>
      </c>
      <c r="B23" s="2" t="s">
        <v>647</v>
      </c>
      <c r="C23" s="27" t="s">
        <v>648</v>
      </c>
    </row>
    <row r="24" spans="1:25" x14ac:dyDescent="0.25">
      <c r="A24" s="229" t="s">
        <v>649</v>
      </c>
    </row>
    <row r="25" spans="1:25" x14ac:dyDescent="0.25">
      <c r="A25" s="230" t="s">
        <v>650</v>
      </c>
    </row>
    <row r="26" spans="1:25" x14ac:dyDescent="0.25">
      <c r="A26" s="231" t="s">
        <v>651</v>
      </c>
    </row>
    <row r="27" spans="1:25" x14ac:dyDescent="0.25">
      <c r="A27" s="232" t="s">
        <v>652</v>
      </c>
      <c r="B27" s="2" t="s">
        <v>653</v>
      </c>
      <c r="C27" s="27" t="s">
        <v>654</v>
      </c>
    </row>
    <row r="28" spans="1:25" x14ac:dyDescent="0.25">
      <c r="A28" s="233" t="s">
        <v>655</v>
      </c>
    </row>
    <row r="29" spans="1:25" x14ac:dyDescent="0.25">
      <c r="A29" s="234" t="s">
        <v>650</v>
      </c>
    </row>
    <row r="30" spans="1:25" x14ac:dyDescent="0.25">
      <c r="A30" s="235" t="s">
        <v>656</v>
      </c>
    </row>
    <row r="32" spans="1:25" x14ac:dyDescent="0.25">
      <c r="A32" s="2" t="s">
        <v>657</v>
      </c>
      <c r="B32" s="2" t="s">
        <v>658</v>
      </c>
      <c r="E32" s="25" t="s">
        <v>659</v>
      </c>
      <c r="I32" t="s">
        <v>660</v>
      </c>
    </row>
    <row r="34" spans="1:9" x14ac:dyDescent="0.25">
      <c r="A34" s="2" t="s">
        <v>661</v>
      </c>
      <c r="B34" s="2" t="s">
        <v>662</v>
      </c>
    </row>
    <row r="36" spans="1:9" x14ac:dyDescent="0.25">
      <c r="A36" s="2" t="s">
        <v>663</v>
      </c>
      <c r="B36" s="2" t="s">
        <v>664</v>
      </c>
    </row>
    <row r="38" spans="1:9" x14ac:dyDescent="0.25">
      <c r="A38" s="2" t="s">
        <v>665</v>
      </c>
      <c r="B38" s="2" t="s">
        <v>666</v>
      </c>
    </row>
    <row r="40" spans="1:9" x14ac:dyDescent="0.25">
      <c r="A40" s="2" t="s">
        <v>667</v>
      </c>
      <c r="B40" s="2" t="s">
        <v>668</v>
      </c>
      <c r="E40" s="25" t="s">
        <v>669</v>
      </c>
    </row>
    <row r="42" spans="1:9" x14ac:dyDescent="0.25">
      <c r="A42" s="2" t="s">
        <v>670</v>
      </c>
      <c r="B42" s="2" t="s">
        <v>671</v>
      </c>
      <c r="I42" t="s">
        <v>672</v>
      </c>
    </row>
  </sheetData>
  <hyperlinks>
    <hyperlink ref="A26" r:id="rId1" display="https://insurancehub.com/" xr:uid="{BB28BE1F-F276-4F2B-BE68-1FB7424223AB}"/>
    <hyperlink ref="C23" r:id="rId2" xr:uid="{E62FE15F-C0E6-4336-AEF8-E221E0CD3D60}"/>
    <hyperlink ref="A30" r:id="rId3" display="https://insurancehub.com/" xr:uid="{D53D7F4E-D2FD-41D2-A85A-D5A39F5AA2DB}"/>
    <hyperlink ref="C27" r:id="rId4" xr:uid="{76B65E13-61A9-4A89-9EA8-A0A64207EC9D}"/>
    <hyperlink ref="B9" r:id="rId5" display="w3638B0@" xr:uid="{A5D0D668-D1EB-4F30-8107-DE541688C086}"/>
    <hyperlink ref="E7" r:id="rId6" location="/login" xr:uid="{2220B4F3-F8E4-428F-85DD-A0A1C742F8FF}"/>
  </hyperlinks>
  <pageMargins left="0.7" right="0.7" top="0.75" bottom="0.75" header="0.3" footer="0.3"/>
  <pageSetup orientation="portrait"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U25"/>
  <sheetViews>
    <sheetView tabSelected="1" workbookViewId="0">
      <selection activeCell="C12" sqref="C12"/>
    </sheetView>
  </sheetViews>
  <sheetFormatPr defaultRowHeight="15" x14ac:dyDescent="0.25"/>
  <cols>
    <col min="1" max="1" width="10.7109375" bestFit="1" customWidth="1"/>
    <col min="4" max="4" width="10.42578125" bestFit="1" customWidth="1"/>
    <col min="5" max="5" width="10.7109375" bestFit="1" customWidth="1"/>
    <col min="6" max="6" width="10.28515625" customWidth="1"/>
    <col min="7" max="8" width="13.42578125" customWidth="1"/>
    <col min="9" max="9" width="10.140625" bestFit="1" customWidth="1"/>
    <col min="10" max="10" width="10.7109375" bestFit="1" customWidth="1"/>
    <col min="13" max="13" width="10.7109375" bestFit="1" customWidth="1"/>
    <col min="16" max="16" width="10.7109375" bestFit="1" customWidth="1"/>
    <col min="19" max="19" width="10.7109375" bestFit="1" customWidth="1"/>
  </cols>
  <sheetData>
    <row r="1" spans="1:21" s="3" customFormat="1" ht="36" customHeight="1" thickBot="1" x14ac:dyDescent="0.3">
      <c r="A1" s="886" t="s">
        <v>673</v>
      </c>
      <c r="B1" s="887"/>
      <c r="C1" s="888"/>
      <c r="D1" s="886" t="s">
        <v>674</v>
      </c>
      <c r="E1" s="887"/>
      <c r="F1" s="888"/>
      <c r="G1" s="886" t="s">
        <v>59</v>
      </c>
      <c r="H1" s="887"/>
      <c r="I1" s="888"/>
      <c r="J1" s="886" t="s">
        <v>675</v>
      </c>
      <c r="K1" s="887"/>
      <c r="L1" s="888"/>
      <c r="M1" s="886" t="s">
        <v>676</v>
      </c>
      <c r="N1" s="887"/>
      <c r="O1" s="888"/>
      <c r="P1" s="886" t="s">
        <v>228</v>
      </c>
      <c r="Q1" s="887"/>
      <c r="R1" s="888"/>
      <c r="S1" s="886" t="s">
        <v>677</v>
      </c>
      <c r="T1" s="887"/>
      <c r="U1" s="888"/>
    </row>
    <row r="2" spans="1:21" x14ac:dyDescent="0.25">
      <c r="C2" s="336"/>
      <c r="D2" s="166"/>
      <c r="F2" s="336"/>
      <c r="G2" s="166"/>
      <c r="I2" s="336"/>
      <c r="L2" s="336"/>
      <c r="O2" s="336"/>
      <c r="R2" s="336"/>
      <c r="U2" s="889" t="s">
        <v>678</v>
      </c>
    </row>
    <row r="3" spans="1:21" x14ac:dyDescent="0.25">
      <c r="A3" s="3" t="s">
        <v>111</v>
      </c>
      <c r="B3" s="13" t="s">
        <v>679</v>
      </c>
      <c r="C3" s="338"/>
      <c r="D3" s="3" t="s">
        <v>111</v>
      </c>
      <c r="E3" s="13" t="s">
        <v>680</v>
      </c>
      <c r="F3" s="338"/>
      <c r="G3" s="3" t="s">
        <v>111</v>
      </c>
      <c r="H3" s="13" t="s">
        <v>680</v>
      </c>
      <c r="I3" s="338"/>
      <c r="J3" s="3" t="s">
        <v>111</v>
      </c>
      <c r="K3" s="13" t="s">
        <v>680</v>
      </c>
      <c r="L3" s="336"/>
      <c r="M3" s="3" t="s">
        <v>111</v>
      </c>
      <c r="N3" s="13" t="s">
        <v>680</v>
      </c>
      <c r="O3" s="336"/>
      <c r="P3" t="s">
        <v>111</v>
      </c>
      <c r="Q3" t="s">
        <v>680</v>
      </c>
      <c r="R3" s="336"/>
      <c r="S3" t="s">
        <v>111</v>
      </c>
      <c r="T3" t="s">
        <v>680</v>
      </c>
      <c r="U3" s="890"/>
    </row>
    <row r="4" spans="1:21" x14ac:dyDescent="0.25">
      <c r="B4" s="14"/>
      <c r="C4" s="340"/>
      <c r="D4" s="339"/>
      <c r="F4" s="340"/>
      <c r="G4" s="339"/>
      <c r="I4" s="340"/>
      <c r="K4" s="14"/>
      <c r="L4" s="336"/>
      <c r="N4" s="14"/>
      <c r="O4" s="336"/>
      <c r="P4" s="12" t="s">
        <v>347</v>
      </c>
      <c r="Q4" t="s">
        <v>347</v>
      </c>
      <c r="R4" s="336"/>
      <c r="S4" s="12" t="s">
        <v>347</v>
      </c>
      <c r="T4" t="s">
        <v>347</v>
      </c>
      <c r="U4" s="336"/>
    </row>
    <row r="5" spans="1:21" x14ac:dyDescent="0.25">
      <c r="A5" s="12">
        <v>45947</v>
      </c>
      <c r="B5" s="14">
        <v>305</v>
      </c>
      <c r="C5" s="340" t="s">
        <v>681</v>
      </c>
      <c r="D5" s="12">
        <v>45908</v>
      </c>
      <c r="E5" s="14">
        <v>727.42</v>
      </c>
      <c r="F5" s="340"/>
      <c r="G5" s="12">
        <v>45992</v>
      </c>
      <c r="H5" s="508">
        <v>625</v>
      </c>
      <c r="I5" s="340"/>
      <c r="J5" s="12">
        <v>46023</v>
      </c>
      <c r="K5" s="14">
        <v>0</v>
      </c>
      <c r="L5" s="336"/>
      <c r="M5" s="12">
        <v>45957</v>
      </c>
      <c r="N5" s="14">
        <v>50</v>
      </c>
      <c r="O5" s="336"/>
      <c r="P5" s="12">
        <f>+M5</f>
        <v>45957</v>
      </c>
      <c r="Q5" s="14">
        <v>0</v>
      </c>
      <c r="R5" s="336"/>
      <c r="S5" s="12">
        <v>45170</v>
      </c>
      <c r="T5" s="14">
        <v>893</v>
      </c>
      <c r="U5" s="340">
        <f>-T5</f>
        <v>-893</v>
      </c>
    </row>
    <row r="6" spans="1:21" x14ac:dyDescent="0.25">
      <c r="A6" s="12">
        <v>45947</v>
      </c>
      <c r="B6" s="14">
        <v>20.5</v>
      </c>
      <c r="C6" s="340"/>
      <c r="D6" s="12">
        <f>+D5+30.42</f>
        <v>45938.42</v>
      </c>
      <c r="E6" s="14">
        <f ca="1">IF(+Profit!$J$67&gt;D6,E5,0)</f>
        <v>727.42</v>
      </c>
      <c r="F6" s="340"/>
      <c r="G6" s="12">
        <f t="shared" ref="G6:G23" si="0">+G5+30.42</f>
        <v>46022.42</v>
      </c>
      <c r="H6" s="14">
        <f ca="1">IF(+Profit!$J$67&gt;G6,H5,0)</f>
        <v>625</v>
      </c>
      <c r="I6" s="340"/>
      <c r="J6" s="12">
        <f t="shared" ref="J6:J23" si="1">+J5+30.42</f>
        <v>46053.42</v>
      </c>
      <c r="K6" s="14">
        <f ca="1">IF(+Profit!$J$67&gt;J6,K5,0)</f>
        <v>0</v>
      </c>
      <c r="L6" s="336"/>
      <c r="M6" s="12">
        <v>45957</v>
      </c>
      <c r="N6" s="14">
        <v>38.78</v>
      </c>
      <c r="O6" s="336"/>
      <c r="P6" s="12">
        <f t="shared" ref="P6:P23" si="2">+P5+30.42</f>
        <v>45987.42</v>
      </c>
      <c r="Q6" s="14">
        <f ca="1">IF(+Profit!$J$67&gt;P6,Q5,0)</f>
        <v>0</v>
      </c>
      <c r="R6" s="336"/>
      <c r="S6" s="12">
        <v>45536</v>
      </c>
      <c r="T6" s="14">
        <v>2453</v>
      </c>
      <c r="U6" s="340">
        <f t="shared" ref="U6:U23" si="3">-T6</f>
        <v>-2453</v>
      </c>
    </row>
    <row r="7" spans="1:21" x14ac:dyDescent="0.25">
      <c r="A7" s="12">
        <v>45978</v>
      </c>
      <c r="B7" s="14">
        <v>18.04</v>
      </c>
      <c r="C7" s="340"/>
      <c r="D7" s="12">
        <f t="shared" ref="D7:D23" si="4">+D6+30.42</f>
        <v>45968.84</v>
      </c>
      <c r="E7" s="14">
        <f ca="1">IF(+Profit!$J$67&gt;D7,E6,0)</f>
        <v>727.42</v>
      </c>
      <c r="F7" s="340"/>
      <c r="G7" s="12">
        <f t="shared" si="0"/>
        <v>46052.84</v>
      </c>
      <c r="H7" s="14">
        <f ca="1">IF(+Profit!$J$67&gt;G7,H6,0)</f>
        <v>625</v>
      </c>
      <c r="I7" s="340"/>
      <c r="J7" s="12">
        <f t="shared" si="1"/>
        <v>46083.839999999997</v>
      </c>
      <c r="K7" s="14">
        <f ca="1">IF(+Profit!$J$67&gt;J7,K6,0)</f>
        <v>0</v>
      </c>
      <c r="L7" s="336"/>
      <c r="M7" s="12">
        <f t="shared" ref="M7:M23" si="5">+M6+30.42</f>
        <v>45987.42</v>
      </c>
      <c r="N7" s="14">
        <v>38.78</v>
      </c>
      <c r="O7" s="336"/>
      <c r="P7" s="12">
        <f t="shared" si="2"/>
        <v>46017.84</v>
      </c>
      <c r="Q7" s="14">
        <f ca="1">IF(+Profit!$J$67&gt;P7,Q6,0)</f>
        <v>0</v>
      </c>
      <c r="R7" s="336"/>
      <c r="S7" s="12">
        <f t="shared" ref="S7:S23" si="6">+S6+365</f>
        <v>45901</v>
      </c>
      <c r="T7" s="14">
        <f ca="1">IF(+Profit!$J$67&gt;S7,T6,0)</f>
        <v>2453</v>
      </c>
      <c r="U7" s="340">
        <f t="shared" ca="1" si="3"/>
        <v>-2453</v>
      </c>
    </row>
    <row r="8" spans="1:21" x14ac:dyDescent="0.25">
      <c r="A8" s="12">
        <v>46007</v>
      </c>
      <c r="B8" s="14">
        <v>11.7</v>
      </c>
      <c r="C8" s="340"/>
      <c r="D8" s="12">
        <f t="shared" si="4"/>
        <v>45999.259999999995</v>
      </c>
      <c r="E8" s="14">
        <f ca="1">IF(+Profit!$J$67&gt;D8,E7,0)</f>
        <v>727.42</v>
      </c>
      <c r="F8" s="340"/>
      <c r="G8" s="12">
        <f t="shared" si="0"/>
        <v>46083.259999999995</v>
      </c>
      <c r="H8" s="14">
        <f ca="1">IF(+Profit!$J$67&gt;G8,H7,0)</f>
        <v>625</v>
      </c>
      <c r="I8" s="340"/>
      <c r="J8" s="12">
        <f t="shared" si="1"/>
        <v>46114.259999999995</v>
      </c>
      <c r="K8" s="14">
        <f ca="1">IF(+Profit!$J$67&gt;J8,K7,0)</f>
        <v>0</v>
      </c>
      <c r="L8" s="336"/>
      <c r="M8" s="12">
        <v>46020</v>
      </c>
      <c r="N8" s="14">
        <v>38.78</v>
      </c>
      <c r="O8" s="336"/>
      <c r="P8" s="12">
        <f t="shared" si="2"/>
        <v>46048.259999999995</v>
      </c>
      <c r="Q8" s="14">
        <f ca="1">IF(+Profit!$J$67&gt;P8,Q7,0)</f>
        <v>0</v>
      </c>
      <c r="R8" s="336"/>
      <c r="S8" s="12">
        <f t="shared" si="6"/>
        <v>46266</v>
      </c>
      <c r="T8" s="14">
        <f ca="1">IF(+Profit!$J$67&gt;S8,T7,0)</f>
        <v>0</v>
      </c>
      <c r="U8" s="340">
        <f t="shared" ca="1" si="3"/>
        <v>0</v>
      </c>
    </row>
    <row r="9" spans="1:21" x14ac:dyDescent="0.25">
      <c r="A9" s="12">
        <v>46042</v>
      </c>
      <c r="B9" s="14">
        <v>43.84</v>
      </c>
      <c r="C9" s="340"/>
      <c r="D9" s="12">
        <v>46043</v>
      </c>
      <c r="E9" s="14">
        <v>1663.1</v>
      </c>
      <c r="F9" s="340"/>
      <c r="G9" s="12">
        <f t="shared" si="0"/>
        <v>46113.679999999993</v>
      </c>
      <c r="H9" s="14">
        <f ca="1">IF(+Profit!$J$67&gt;G9,H8,0)</f>
        <v>625</v>
      </c>
      <c r="I9" s="340"/>
      <c r="J9" s="12">
        <f t="shared" si="1"/>
        <v>46144.679999999993</v>
      </c>
      <c r="K9" s="14">
        <f ca="1">IF(+Profit!$J$67&gt;J9,K8,0)</f>
        <v>0</v>
      </c>
      <c r="L9" s="336"/>
      <c r="M9" s="12">
        <v>46049</v>
      </c>
      <c r="N9" s="14">
        <v>38.78</v>
      </c>
      <c r="O9" s="336"/>
      <c r="P9" s="12">
        <f t="shared" si="2"/>
        <v>46078.679999999993</v>
      </c>
      <c r="Q9" s="14">
        <f ca="1">IF(+Profit!$J$67&gt;P9,Q8,0)</f>
        <v>0</v>
      </c>
      <c r="R9" s="336"/>
      <c r="S9" s="12">
        <f t="shared" si="6"/>
        <v>46631</v>
      </c>
      <c r="T9" s="14">
        <f ca="1">IF(+Profit!$J$67&gt;S9,T8,0)</f>
        <v>0</v>
      </c>
      <c r="U9" s="340">
        <f t="shared" ca="1" si="3"/>
        <v>0</v>
      </c>
    </row>
    <row r="10" spans="1:21" x14ac:dyDescent="0.25">
      <c r="A10" s="12">
        <v>46070</v>
      </c>
      <c r="B10" s="14">
        <f ca="1">IF(+Profit!$J$67&gt;A10,B9,0)</f>
        <v>43.84</v>
      </c>
      <c r="C10" s="340"/>
      <c r="D10" s="12">
        <v>46024</v>
      </c>
      <c r="E10" s="14">
        <v>727.42</v>
      </c>
      <c r="F10" s="340"/>
      <c r="G10" s="12">
        <f t="shared" si="0"/>
        <v>46144.099999999991</v>
      </c>
      <c r="H10" s="14">
        <f ca="1">IF(+Profit!$J$67&gt;G10,H9,0)</f>
        <v>625</v>
      </c>
      <c r="I10" s="340"/>
      <c r="J10" s="12">
        <f t="shared" si="1"/>
        <v>46175.099999999991</v>
      </c>
      <c r="K10" s="14">
        <f ca="1">IF(+Profit!$J$67&gt;J10,K9,0)</f>
        <v>0</v>
      </c>
      <c r="L10" s="336"/>
      <c r="M10" s="12">
        <f t="shared" si="5"/>
        <v>46079.42</v>
      </c>
      <c r="N10" s="14">
        <v>0</v>
      </c>
      <c r="O10" s="336"/>
      <c r="P10" s="12">
        <f t="shared" si="2"/>
        <v>46109.099999999991</v>
      </c>
      <c r="Q10" s="14">
        <f ca="1">IF(+Profit!$J$67&gt;P10,Q9,0)</f>
        <v>0</v>
      </c>
      <c r="R10" s="336"/>
      <c r="S10" s="12">
        <f t="shared" si="6"/>
        <v>46996</v>
      </c>
      <c r="T10" s="14">
        <f ca="1">IF(+Profit!$J$67&gt;S10,T9,0)</f>
        <v>0</v>
      </c>
      <c r="U10" s="340">
        <f t="shared" ca="1" si="3"/>
        <v>0</v>
      </c>
    </row>
    <row r="11" spans="1:21" x14ac:dyDescent="0.25">
      <c r="A11" s="12">
        <v>46098</v>
      </c>
      <c r="B11" s="14">
        <v>43.5</v>
      </c>
      <c r="C11" s="340"/>
      <c r="D11" s="12">
        <f t="shared" si="4"/>
        <v>46054.42</v>
      </c>
      <c r="E11" s="14">
        <f ca="1">IF(+Profit!$J$67&gt;D11,E10,0)</f>
        <v>727.42</v>
      </c>
      <c r="F11" s="336"/>
      <c r="G11" s="12">
        <f t="shared" si="0"/>
        <v>46174.51999999999</v>
      </c>
      <c r="H11" s="14">
        <f ca="1">IF(+Profit!$J$67&gt;G11,H10,0)</f>
        <v>0</v>
      </c>
      <c r="I11" s="336"/>
      <c r="J11" s="12">
        <f t="shared" si="1"/>
        <v>46205.51999999999</v>
      </c>
      <c r="K11" s="14">
        <f ca="1">IF(+Profit!$J$67&gt;J11,K10,0)</f>
        <v>0</v>
      </c>
      <c r="L11" s="336"/>
      <c r="M11" s="12">
        <v>46108</v>
      </c>
      <c r="N11" s="14">
        <v>16.37</v>
      </c>
      <c r="O11" s="336"/>
      <c r="P11" s="12">
        <f t="shared" si="2"/>
        <v>46139.51999999999</v>
      </c>
      <c r="Q11" s="14">
        <f ca="1">IF(+Profit!$J$67&gt;P11,Q10,0)</f>
        <v>0</v>
      </c>
      <c r="R11" s="336"/>
      <c r="S11" s="12">
        <f t="shared" si="6"/>
        <v>47361</v>
      </c>
      <c r="T11" s="14">
        <f ca="1">IF(+Profit!$J$67&gt;S11,T10,0)</f>
        <v>0</v>
      </c>
      <c r="U11" s="340">
        <f t="shared" ca="1" si="3"/>
        <v>0</v>
      </c>
    </row>
    <row r="12" spans="1:21" x14ac:dyDescent="0.25">
      <c r="A12" s="12">
        <f t="shared" ref="A12:A23" si="7">+A11+30.42</f>
        <v>46128.42</v>
      </c>
      <c r="B12" s="14">
        <v>65.25</v>
      </c>
      <c r="C12" s="340"/>
      <c r="D12" s="12">
        <f t="shared" si="4"/>
        <v>46084.84</v>
      </c>
      <c r="E12" s="14">
        <f ca="1">IF(+Profit!$J$67&gt;D12,E11,0)</f>
        <v>727.42</v>
      </c>
      <c r="F12" s="336"/>
      <c r="H12" s="14">
        <f ca="1">IF(+Profit!$J$67&gt;G12,H11,0)</f>
        <v>0</v>
      </c>
      <c r="I12" s="336"/>
      <c r="J12" s="12">
        <f t="shared" si="1"/>
        <v>46235.939999999988</v>
      </c>
      <c r="K12" s="14">
        <f ca="1">IF(+Profit!$J$67&gt;J12,K11,0)</f>
        <v>0</v>
      </c>
      <c r="L12" s="336"/>
      <c r="M12" s="12">
        <v>46140</v>
      </c>
      <c r="N12" s="14">
        <v>55.15</v>
      </c>
      <c r="O12" s="336"/>
      <c r="P12" s="12">
        <f t="shared" si="2"/>
        <v>46169.939999999988</v>
      </c>
      <c r="Q12" s="14">
        <f ca="1">IF(+Profit!$J$67&gt;P12,Q11,0)</f>
        <v>0</v>
      </c>
      <c r="R12" s="336"/>
      <c r="S12" s="12">
        <f t="shared" si="6"/>
        <v>47726</v>
      </c>
      <c r="T12" s="14">
        <f ca="1">IF(+Profit!$J$67&gt;S12,T11,0)</f>
        <v>0</v>
      </c>
      <c r="U12" s="340">
        <f t="shared" ca="1" si="3"/>
        <v>0</v>
      </c>
    </row>
    <row r="13" spans="1:21" x14ac:dyDescent="0.25">
      <c r="A13" s="12">
        <f t="shared" si="7"/>
        <v>46158.84</v>
      </c>
      <c r="B13" s="14">
        <f ca="1">IF(+Profit!$J$67&gt;A13,B12,0)</f>
        <v>65.25</v>
      </c>
      <c r="C13" s="340"/>
      <c r="D13" s="12">
        <f t="shared" si="4"/>
        <v>46115.259999999995</v>
      </c>
      <c r="E13" s="14">
        <f ca="1">IF(+Profit!$J$67&gt;D13,E12,0)</f>
        <v>727.42</v>
      </c>
      <c r="F13" s="336"/>
      <c r="G13" s="12">
        <f>+G5+30.42</f>
        <v>46022.42</v>
      </c>
      <c r="H13" s="14">
        <f ca="1">IF(+Profit!$J$67&gt;G13,H12,0)</f>
        <v>0</v>
      </c>
      <c r="I13" s="336"/>
      <c r="J13" s="12">
        <f t="shared" si="1"/>
        <v>46266.359999999986</v>
      </c>
      <c r="K13" s="14">
        <f ca="1">IF(+Profit!$J$67&gt;J13,K12,0)</f>
        <v>0</v>
      </c>
      <c r="L13" s="336"/>
      <c r="M13" s="12">
        <f t="shared" si="5"/>
        <v>46170.42</v>
      </c>
      <c r="N13" s="14">
        <f ca="1">IF(+Profit!$J$67&gt;M13,N12,0)</f>
        <v>55.15</v>
      </c>
      <c r="O13" s="336"/>
      <c r="P13" s="12">
        <f t="shared" si="2"/>
        <v>46200.359999999986</v>
      </c>
      <c r="Q13" s="14">
        <f ca="1">IF(+Profit!$J$67&gt;P13,Q12,0)</f>
        <v>0</v>
      </c>
      <c r="R13" s="336"/>
      <c r="S13" s="12">
        <f t="shared" si="6"/>
        <v>48091</v>
      </c>
      <c r="T13" s="14">
        <f ca="1">IF(+Profit!$J$67&gt;S13,T12,0)</f>
        <v>0</v>
      </c>
      <c r="U13" s="340">
        <f t="shared" ca="1" si="3"/>
        <v>0</v>
      </c>
    </row>
    <row r="14" spans="1:21" x14ac:dyDescent="0.25">
      <c r="A14" s="12">
        <f t="shared" si="7"/>
        <v>46189.259999999995</v>
      </c>
      <c r="B14" s="14">
        <f ca="1">IF(+Profit!$J$67&gt;A14,B13,0)</f>
        <v>0</v>
      </c>
      <c r="C14" s="340"/>
      <c r="D14" s="12">
        <v>20</v>
      </c>
      <c r="E14" s="14">
        <f ca="1">IF(+Profit!$J$67&gt;D14,E13,0)</f>
        <v>727.42</v>
      </c>
      <c r="F14" s="336"/>
      <c r="G14" s="12">
        <f t="shared" si="0"/>
        <v>46052.84</v>
      </c>
      <c r="H14" s="14">
        <f ca="1">IF(+Profit!$J$67&gt;G14,H13,0)</f>
        <v>0</v>
      </c>
      <c r="I14" s="336"/>
      <c r="J14" s="12">
        <f t="shared" si="1"/>
        <v>46296.779999999984</v>
      </c>
      <c r="K14" s="14">
        <f ca="1">IF(+Profit!$J$67&gt;J14,K13,0)</f>
        <v>0</v>
      </c>
      <c r="L14" s="336"/>
      <c r="M14" s="12">
        <f t="shared" si="5"/>
        <v>46200.84</v>
      </c>
      <c r="N14" s="14">
        <f ca="1">IF(+Profit!$J$67&gt;M14,N13,0)</f>
        <v>0</v>
      </c>
      <c r="O14" s="336"/>
      <c r="P14" s="12">
        <f t="shared" si="2"/>
        <v>46230.779999999984</v>
      </c>
      <c r="Q14" s="14">
        <f ca="1">IF(+Profit!$J$67&gt;P14,Q13,0)</f>
        <v>0</v>
      </c>
      <c r="R14" s="336"/>
      <c r="S14" s="12">
        <f t="shared" si="6"/>
        <v>48456</v>
      </c>
      <c r="T14" s="14">
        <f ca="1">IF(+Profit!$J$67&gt;S14,T13,0)</f>
        <v>0</v>
      </c>
      <c r="U14" s="340">
        <f t="shared" ca="1" si="3"/>
        <v>0</v>
      </c>
    </row>
    <row r="15" spans="1:21" x14ac:dyDescent="0.25">
      <c r="A15" s="12">
        <f t="shared" si="7"/>
        <v>46219.679999999993</v>
      </c>
      <c r="B15" s="14">
        <f ca="1">IF(+Profit!$J$67&gt;A15,B14,0)</f>
        <v>0</v>
      </c>
      <c r="C15" s="336"/>
      <c r="D15" s="12">
        <v>46054</v>
      </c>
      <c r="E15" s="14">
        <f ca="1">IF(+Profit!$J$67&gt;D15,E14,0)</f>
        <v>727.42</v>
      </c>
      <c r="F15" s="336"/>
      <c r="G15" s="12">
        <f t="shared" si="0"/>
        <v>46083.259999999995</v>
      </c>
      <c r="H15" s="14">
        <f ca="1">IF(+Profit!$J$67&gt;G15,H14,0)</f>
        <v>0</v>
      </c>
      <c r="I15" s="336"/>
      <c r="J15" s="12">
        <f t="shared" si="1"/>
        <v>46327.199999999983</v>
      </c>
      <c r="K15" s="14">
        <f ca="1">IF(+Profit!$J$67&gt;J15,K14,0)</f>
        <v>0</v>
      </c>
      <c r="L15" s="336"/>
      <c r="M15" s="12">
        <f t="shared" si="5"/>
        <v>46231.259999999995</v>
      </c>
      <c r="N15" s="14">
        <f ca="1">IF(+Profit!$J$67&gt;M15,N14,0)</f>
        <v>0</v>
      </c>
      <c r="O15" s="336"/>
      <c r="P15" s="12">
        <f t="shared" si="2"/>
        <v>46261.199999999983</v>
      </c>
      <c r="Q15" s="14">
        <f ca="1">IF(+Profit!$J$67&gt;P15,Q14,0)</f>
        <v>0</v>
      </c>
      <c r="R15" s="336"/>
      <c r="S15" s="12">
        <f t="shared" si="6"/>
        <v>48821</v>
      </c>
      <c r="T15" s="14">
        <f ca="1">IF(+Profit!$J$67&gt;S15,T14,0)</f>
        <v>0</v>
      </c>
      <c r="U15" s="340">
        <f t="shared" ca="1" si="3"/>
        <v>0</v>
      </c>
    </row>
    <row r="16" spans="1:21" x14ac:dyDescent="0.25">
      <c r="A16" s="12">
        <f t="shared" si="7"/>
        <v>46250.099999999991</v>
      </c>
      <c r="B16" s="14">
        <f ca="1">IF(+Profit!$J$67&gt;A16,B15,0)</f>
        <v>0</v>
      </c>
      <c r="C16" s="336"/>
      <c r="D16" s="12">
        <f t="shared" si="4"/>
        <v>46084.42</v>
      </c>
      <c r="E16" s="14">
        <f ca="1">IF(+Profit!$J$67&gt;D16,E15,0)</f>
        <v>727.42</v>
      </c>
      <c r="F16" s="336"/>
      <c r="G16" s="12">
        <f t="shared" si="0"/>
        <v>46113.679999999993</v>
      </c>
      <c r="H16" s="14">
        <f ca="1">IF(+Profit!$J$67&gt;G16,H15,0)</f>
        <v>0</v>
      </c>
      <c r="I16" s="336"/>
      <c r="J16" s="12">
        <f t="shared" si="1"/>
        <v>46357.619999999981</v>
      </c>
      <c r="K16" s="14">
        <f ca="1">IF(+Profit!$J$67&gt;J16,K15,0)</f>
        <v>0</v>
      </c>
      <c r="L16" s="336"/>
      <c r="M16" s="12">
        <f t="shared" si="5"/>
        <v>46261.679999999993</v>
      </c>
      <c r="N16" s="14">
        <f ca="1">IF(+Profit!$J$67&gt;M16,N15,0)</f>
        <v>0</v>
      </c>
      <c r="O16" s="336"/>
      <c r="P16" s="12">
        <f t="shared" si="2"/>
        <v>46291.619999999981</v>
      </c>
      <c r="Q16" s="14">
        <f ca="1">IF(+Profit!$J$67&gt;P16,Q15,0)</f>
        <v>0</v>
      </c>
      <c r="R16" s="336"/>
      <c r="S16" s="12">
        <f t="shared" si="6"/>
        <v>49186</v>
      </c>
      <c r="T16" s="14">
        <f ca="1">IF(+Profit!$J$67&gt;S16,T15,0)</f>
        <v>0</v>
      </c>
      <c r="U16" s="340">
        <f t="shared" ca="1" si="3"/>
        <v>0</v>
      </c>
    </row>
    <row r="17" spans="1:21" x14ac:dyDescent="0.25">
      <c r="A17" s="12">
        <f t="shared" si="7"/>
        <v>46280.51999999999</v>
      </c>
      <c r="B17" s="14">
        <f ca="1">IF(+Profit!$J$67&gt;A17,B16,0)</f>
        <v>0</v>
      </c>
      <c r="C17" s="336"/>
      <c r="D17" s="12">
        <f t="shared" si="4"/>
        <v>46114.84</v>
      </c>
      <c r="E17" s="14">
        <f ca="1">IF(+Profit!$J$67&gt;D17,E16,0)</f>
        <v>727.42</v>
      </c>
      <c r="F17" s="336"/>
      <c r="G17" s="12">
        <f t="shared" si="0"/>
        <v>46144.099999999991</v>
      </c>
      <c r="H17" s="14">
        <f ca="1">IF(+Profit!$J$67&gt;G17,H16,0)</f>
        <v>0</v>
      </c>
      <c r="I17" s="336"/>
      <c r="J17" s="12">
        <f t="shared" si="1"/>
        <v>46388.039999999979</v>
      </c>
      <c r="K17" s="14">
        <f ca="1">IF(+Profit!$J$67&gt;J17,K16,0)</f>
        <v>0</v>
      </c>
      <c r="L17" s="336"/>
      <c r="M17" s="12">
        <f t="shared" si="5"/>
        <v>46292.099999999991</v>
      </c>
      <c r="N17" s="14">
        <f ca="1">IF(+Profit!$J$67&gt;M17,N16,0)</f>
        <v>0</v>
      </c>
      <c r="O17" s="336"/>
      <c r="P17" s="12">
        <f t="shared" si="2"/>
        <v>46322.039999999979</v>
      </c>
      <c r="Q17" s="14">
        <f ca="1">IF(+Profit!$J$67&gt;P17,Q16,0)</f>
        <v>0</v>
      </c>
      <c r="R17" s="336"/>
      <c r="S17" s="12">
        <f t="shared" si="6"/>
        <v>49551</v>
      </c>
      <c r="T17" s="14">
        <f ca="1">IF(+Profit!$J$67&gt;S17,T16,0)</f>
        <v>0</v>
      </c>
      <c r="U17" s="340">
        <f t="shared" ca="1" si="3"/>
        <v>0</v>
      </c>
    </row>
    <row r="18" spans="1:21" x14ac:dyDescent="0.25">
      <c r="A18" s="12">
        <f t="shared" si="7"/>
        <v>46310.939999999988</v>
      </c>
      <c r="B18" s="14">
        <f ca="1">IF(+Profit!$J$67&gt;A18,B17,0)</f>
        <v>0</v>
      </c>
      <c r="C18" s="336"/>
      <c r="D18" s="12">
        <f t="shared" si="4"/>
        <v>46145.259999999995</v>
      </c>
      <c r="E18" s="14">
        <f ca="1">IF(+Profit!$J$67&gt;D18,E17,0)</f>
        <v>727.42</v>
      </c>
      <c r="F18" s="336"/>
      <c r="G18" s="12">
        <f t="shared" si="0"/>
        <v>46174.51999999999</v>
      </c>
      <c r="H18" s="14">
        <f ca="1">IF(+Profit!$J$67&gt;G18,H17,0)</f>
        <v>0</v>
      </c>
      <c r="I18" s="336"/>
      <c r="J18" s="12">
        <f t="shared" si="1"/>
        <v>46418.459999999977</v>
      </c>
      <c r="K18" s="14">
        <f ca="1">IF(+Profit!$J$67&gt;J18,K17,0)</f>
        <v>0</v>
      </c>
      <c r="L18" s="336"/>
      <c r="M18" s="12">
        <f t="shared" si="5"/>
        <v>46322.51999999999</v>
      </c>
      <c r="N18" s="14">
        <f ca="1">IF(+Profit!$J$67&gt;M18,N17,0)</f>
        <v>0</v>
      </c>
      <c r="O18" s="336"/>
      <c r="P18" s="12">
        <f t="shared" si="2"/>
        <v>46352.459999999977</v>
      </c>
      <c r="Q18" s="14">
        <f ca="1">IF(+Profit!$J$67&gt;P18,Q17,0)</f>
        <v>0</v>
      </c>
      <c r="R18" s="336"/>
      <c r="S18" s="12">
        <f t="shared" si="6"/>
        <v>49916</v>
      </c>
      <c r="T18" s="14">
        <f ca="1">IF(+Profit!$J$67&gt;S18,T17,0)</f>
        <v>0</v>
      </c>
      <c r="U18" s="340">
        <f t="shared" ca="1" si="3"/>
        <v>0</v>
      </c>
    </row>
    <row r="19" spans="1:21" x14ac:dyDescent="0.25">
      <c r="A19" s="12">
        <f t="shared" si="7"/>
        <v>46341.359999999986</v>
      </c>
      <c r="B19" s="14">
        <f ca="1">IF(+Profit!$J$67&gt;A19,B18,0)</f>
        <v>0</v>
      </c>
      <c r="C19" s="336"/>
      <c r="D19" s="12">
        <f t="shared" si="4"/>
        <v>46175.679999999993</v>
      </c>
      <c r="E19" s="14">
        <f ca="1">IF(+Profit!$J$67&gt;D19,E18,0)</f>
        <v>0</v>
      </c>
      <c r="F19" s="336"/>
      <c r="G19" s="12">
        <f t="shared" si="0"/>
        <v>46204.939999999988</v>
      </c>
      <c r="H19" s="14">
        <f ca="1">IF(+Profit!$J$67&gt;G19,H18,0)</f>
        <v>0</v>
      </c>
      <c r="I19" s="336"/>
      <c r="J19" s="12">
        <f t="shared" si="1"/>
        <v>46448.879999999976</v>
      </c>
      <c r="K19" s="14">
        <f ca="1">IF(+Profit!$J$67&gt;J19,K18,0)</f>
        <v>0</v>
      </c>
      <c r="L19" s="336"/>
      <c r="M19" s="12">
        <f t="shared" si="5"/>
        <v>46352.939999999988</v>
      </c>
      <c r="N19" s="14">
        <f ca="1">IF(+Profit!$J$67&gt;M19,N18,0)</f>
        <v>0</v>
      </c>
      <c r="O19" s="336"/>
      <c r="P19" s="12">
        <f t="shared" si="2"/>
        <v>46382.879999999976</v>
      </c>
      <c r="Q19" s="14">
        <f ca="1">IF(+Profit!$J$67&gt;P19,Q18,0)</f>
        <v>0</v>
      </c>
      <c r="R19" s="336"/>
      <c r="S19" s="12">
        <f t="shared" si="6"/>
        <v>50281</v>
      </c>
      <c r="T19" s="14">
        <f ca="1">IF(+Profit!$J$67&gt;S19,T18,0)</f>
        <v>0</v>
      </c>
      <c r="U19" s="340">
        <f t="shared" ca="1" si="3"/>
        <v>0</v>
      </c>
    </row>
    <row r="20" spans="1:21" x14ac:dyDescent="0.25">
      <c r="A20" s="12">
        <f t="shared" si="7"/>
        <v>46371.779999999984</v>
      </c>
      <c r="B20" s="14">
        <f ca="1">IF(+Profit!$J$67&gt;A20,B19,0)</f>
        <v>0</v>
      </c>
      <c r="C20" s="336"/>
      <c r="D20" s="12">
        <f t="shared" si="4"/>
        <v>46206.099999999991</v>
      </c>
      <c r="E20" s="14">
        <f ca="1">IF(+Profit!$J$67&gt;D20,E19,0)</f>
        <v>0</v>
      </c>
      <c r="F20" s="336"/>
      <c r="G20" s="12">
        <f t="shared" si="0"/>
        <v>46235.359999999986</v>
      </c>
      <c r="H20" s="14">
        <f ca="1">IF(+Profit!$J$67&gt;G20,H19,0)</f>
        <v>0</v>
      </c>
      <c r="I20" s="336"/>
      <c r="J20" s="12">
        <f t="shared" si="1"/>
        <v>46479.299999999974</v>
      </c>
      <c r="K20" s="14">
        <f ca="1">IF(+Profit!$J$67&gt;J20,K19,0)</f>
        <v>0</v>
      </c>
      <c r="L20" s="336"/>
      <c r="M20" s="12">
        <f t="shared" si="5"/>
        <v>46383.359999999986</v>
      </c>
      <c r="N20" s="14">
        <f ca="1">IF(+Profit!$J$67&gt;M20,N19,0)</f>
        <v>0</v>
      </c>
      <c r="O20" s="336"/>
      <c r="P20" s="12">
        <f t="shared" si="2"/>
        <v>46413.299999999974</v>
      </c>
      <c r="Q20" s="14">
        <f ca="1">IF(+Profit!$J$67&gt;P20,Q19,0)</f>
        <v>0</v>
      </c>
      <c r="R20" s="336"/>
      <c r="S20" s="12">
        <f t="shared" si="6"/>
        <v>50646</v>
      </c>
      <c r="T20" s="14">
        <f ca="1">IF(+Profit!$J$67&gt;S20,T19,0)</f>
        <v>0</v>
      </c>
      <c r="U20" s="340">
        <f t="shared" ca="1" si="3"/>
        <v>0</v>
      </c>
    </row>
    <row r="21" spans="1:21" x14ac:dyDescent="0.25">
      <c r="A21" s="12">
        <f t="shared" si="7"/>
        <v>46402.199999999983</v>
      </c>
      <c r="B21" s="14">
        <f ca="1">IF(+Profit!$J$67&gt;A21,B20,0)</f>
        <v>0</v>
      </c>
      <c r="C21" s="336"/>
      <c r="D21" s="12">
        <f t="shared" si="4"/>
        <v>46236.51999999999</v>
      </c>
      <c r="E21" s="14">
        <f ca="1">IF(+Profit!$J$67&gt;D21,E20,0)</f>
        <v>0</v>
      </c>
      <c r="F21" s="336"/>
      <c r="G21" s="12">
        <f t="shared" si="0"/>
        <v>46265.779999999984</v>
      </c>
      <c r="H21" s="14">
        <f ca="1">IF(+Profit!$J$67&gt;G21,H20,0)</f>
        <v>0</v>
      </c>
      <c r="I21" s="336"/>
      <c r="J21" s="12">
        <f t="shared" si="1"/>
        <v>46509.719999999972</v>
      </c>
      <c r="K21" s="14">
        <f ca="1">IF(+Profit!$J$67&gt;J21,K20,0)</f>
        <v>0</v>
      </c>
      <c r="L21" s="336"/>
      <c r="M21" s="12">
        <f t="shared" si="5"/>
        <v>46413.779999999984</v>
      </c>
      <c r="N21" s="14">
        <f ca="1">IF(+Profit!$J$67&gt;M21,N20,0)</f>
        <v>0</v>
      </c>
      <c r="O21" s="336"/>
      <c r="P21" s="12">
        <f t="shared" si="2"/>
        <v>46443.719999999972</v>
      </c>
      <c r="Q21" s="14">
        <f ca="1">IF(+Profit!$J$67&gt;P21,Q20,0)</f>
        <v>0</v>
      </c>
      <c r="R21" s="336"/>
      <c r="S21" s="12">
        <f t="shared" si="6"/>
        <v>51011</v>
      </c>
      <c r="T21" s="14">
        <f ca="1">IF(+Profit!$J$67&gt;S21,T20,0)</f>
        <v>0</v>
      </c>
      <c r="U21" s="340">
        <f t="shared" ca="1" si="3"/>
        <v>0</v>
      </c>
    </row>
    <row r="22" spans="1:21" x14ac:dyDescent="0.25">
      <c r="A22" s="12">
        <f t="shared" si="7"/>
        <v>46432.619999999981</v>
      </c>
      <c r="B22" s="14">
        <f ca="1">IF(+Profit!$J$67&gt;A22,B21,0)</f>
        <v>0</v>
      </c>
      <c r="C22" s="336"/>
      <c r="D22" s="12">
        <f t="shared" si="4"/>
        <v>46266.939999999988</v>
      </c>
      <c r="E22" s="14">
        <f ca="1">IF(+Profit!$J$67&gt;D22,E21,0)</f>
        <v>0</v>
      </c>
      <c r="F22" s="336"/>
      <c r="G22" s="12">
        <f t="shared" si="0"/>
        <v>46296.199999999983</v>
      </c>
      <c r="H22" s="14">
        <f ca="1">IF(+Profit!$J$67&gt;G22,H21,0)</f>
        <v>0</v>
      </c>
      <c r="I22" s="336"/>
      <c r="J22" s="12">
        <f t="shared" si="1"/>
        <v>46540.13999999997</v>
      </c>
      <c r="K22" s="14">
        <f ca="1">IF(+Profit!$J$67&gt;J22,K21,0)</f>
        <v>0</v>
      </c>
      <c r="L22" s="336"/>
      <c r="M22" s="12">
        <f t="shared" si="5"/>
        <v>46444.199999999983</v>
      </c>
      <c r="N22" s="14">
        <f ca="1">IF(+Profit!$J$67&gt;M22,N21,0)</f>
        <v>0</v>
      </c>
      <c r="O22" s="336"/>
      <c r="P22" s="12">
        <f t="shared" si="2"/>
        <v>46474.13999999997</v>
      </c>
      <c r="Q22" s="14">
        <f ca="1">IF(+Profit!$J$67&gt;P22,Q21,0)</f>
        <v>0</v>
      </c>
      <c r="R22" s="336"/>
      <c r="S22" s="12">
        <f t="shared" si="6"/>
        <v>51376</v>
      </c>
      <c r="T22" s="14">
        <f ca="1">IF(+Profit!$J$67&gt;S22,T21,0)</f>
        <v>0</v>
      </c>
      <c r="U22" s="340">
        <f t="shared" ca="1" si="3"/>
        <v>0</v>
      </c>
    </row>
    <row r="23" spans="1:21" x14ac:dyDescent="0.25">
      <c r="A23" s="12">
        <f t="shared" si="7"/>
        <v>46463.039999999979</v>
      </c>
      <c r="B23" s="14">
        <f ca="1">IF(+Profit!$J$67&gt;A23,B22,0)</f>
        <v>0</v>
      </c>
      <c r="C23" s="336"/>
      <c r="D23" s="12">
        <f t="shared" si="4"/>
        <v>46297.359999999986</v>
      </c>
      <c r="E23" s="14">
        <f ca="1">IF(+Profit!$J$67&gt;D23,E22,0)</f>
        <v>0</v>
      </c>
      <c r="F23" s="336"/>
      <c r="G23" s="12">
        <f t="shared" si="0"/>
        <v>46326.619999999981</v>
      </c>
      <c r="H23" s="14">
        <f ca="1">IF(+Profit!$J$67&gt;G23,H22,0)</f>
        <v>0</v>
      </c>
      <c r="I23" s="336"/>
      <c r="J23" s="12">
        <f t="shared" si="1"/>
        <v>46570.559999999969</v>
      </c>
      <c r="K23" s="14">
        <f ca="1">IF(+Profit!$J$67&gt;J23,K22,0)</f>
        <v>0</v>
      </c>
      <c r="L23" s="336"/>
      <c r="M23" s="12">
        <f t="shared" si="5"/>
        <v>46474.619999999981</v>
      </c>
      <c r="N23" s="14">
        <f ca="1">IF(+Profit!$J$67&gt;M23,N22,0)</f>
        <v>0</v>
      </c>
      <c r="O23" s="336"/>
      <c r="P23" s="12">
        <f t="shared" si="2"/>
        <v>46504.559999999969</v>
      </c>
      <c r="Q23" s="14">
        <f ca="1">IF(+Profit!$J$67&gt;P23,Q22,0)</f>
        <v>0</v>
      </c>
      <c r="R23" s="336"/>
      <c r="S23" s="12">
        <f t="shared" si="6"/>
        <v>51741</v>
      </c>
      <c r="T23" s="14">
        <f ca="1">IF(+Profit!$J$67&gt;S23,T22,0)</f>
        <v>0</v>
      </c>
      <c r="U23" s="340">
        <f t="shared" ca="1" si="3"/>
        <v>0</v>
      </c>
    </row>
    <row r="24" spans="1:21" ht="15.75" thickBot="1" x14ac:dyDescent="0.3">
      <c r="B24" s="23"/>
      <c r="C24" s="337"/>
      <c r="D24" s="339"/>
      <c r="F24" s="337"/>
      <c r="G24" s="339"/>
      <c r="I24" s="337"/>
      <c r="K24" s="23"/>
      <c r="L24" s="337"/>
      <c r="N24" s="23"/>
      <c r="O24" s="337"/>
      <c r="Q24" s="23"/>
      <c r="R24" s="337"/>
      <c r="T24" s="23"/>
      <c r="U24" s="337"/>
    </row>
    <row r="25" spans="1:21" ht="15.75" thickBot="1" x14ac:dyDescent="0.3">
      <c r="A25" s="23"/>
      <c r="B25" s="21"/>
      <c r="C25" s="342">
        <f ca="1">SUM(B4:B24)</f>
        <v>616.92000000000007</v>
      </c>
      <c r="D25" s="341"/>
      <c r="E25" s="23"/>
      <c r="F25" s="342">
        <f ca="1">SUM(E4:E24)</f>
        <v>11119.56</v>
      </c>
      <c r="G25" s="341"/>
      <c r="H25" s="23"/>
      <c r="I25" s="342">
        <f ca="1">SUM(H4:H24)</f>
        <v>3750</v>
      </c>
      <c r="J25" s="23"/>
      <c r="K25" s="21"/>
      <c r="L25" s="342">
        <f ca="1">SUM(K4:K27)</f>
        <v>0</v>
      </c>
      <c r="M25" s="23"/>
      <c r="N25" s="21"/>
      <c r="O25" s="342">
        <f ca="1">SUM(N4:N23)</f>
        <v>331.78999999999996</v>
      </c>
      <c r="P25" s="23"/>
      <c r="Q25" s="21"/>
      <c r="R25" s="342">
        <f ca="1">SUM(Q4:Q23)</f>
        <v>0</v>
      </c>
      <c r="S25" s="23"/>
      <c r="T25" s="21"/>
      <c r="U25" s="342">
        <f ca="1">SUM(T4:U23)</f>
        <v>0</v>
      </c>
    </row>
  </sheetData>
  <mergeCells count="8">
    <mergeCell ref="S1:U1"/>
    <mergeCell ref="U2:U3"/>
    <mergeCell ref="P1:R1"/>
    <mergeCell ref="A1:C1"/>
    <mergeCell ref="D1:F1"/>
    <mergeCell ref="J1:L1"/>
    <mergeCell ref="M1:O1"/>
    <mergeCell ref="G1:I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E29" sqref="E29"/>
    </sheetView>
  </sheetViews>
  <sheetFormatPr defaultRowHeight="15" x14ac:dyDescent="0.25"/>
  <cols>
    <col min="1" max="1" width="21.42578125" style="55" bestFit="1" customWidth="1"/>
    <col min="2" max="2" width="20.5703125" style="55" bestFit="1" customWidth="1"/>
    <col min="3" max="3" width="97.85546875" style="55" bestFit="1" customWidth="1"/>
    <col min="4" max="4" width="7.5703125" style="56" customWidth="1"/>
    <col min="5" max="5" width="14.140625" style="57" customWidth="1"/>
    <col min="6" max="6" width="9.140625" style="55"/>
    <col min="7" max="7" width="18.7109375" style="55" bestFit="1" customWidth="1"/>
    <col min="8" max="8" width="27.7109375" style="55" bestFit="1" customWidth="1"/>
    <col min="9" max="9" width="81.140625" style="55" bestFit="1" customWidth="1"/>
    <col min="10" max="10" width="6.28515625" style="55" bestFit="1" customWidth="1"/>
    <col min="11" max="12" width="12" style="55" bestFit="1" customWidth="1"/>
    <col min="13" max="254" width="9.140625" style="55"/>
    <col min="255" max="255" width="21.85546875" style="55" customWidth="1"/>
    <col min="256" max="256" width="35.85546875" style="55" customWidth="1"/>
    <col min="257" max="257" width="97.7109375" style="55" customWidth="1"/>
    <col min="258" max="258" width="31.7109375" style="55" customWidth="1"/>
    <col min="259" max="259" width="13.7109375" style="55" bestFit="1" customWidth="1"/>
    <col min="260" max="510" width="9.140625" style="55"/>
    <col min="511" max="511" width="21.85546875" style="55" customWidth="1"/>
    <col min="512" max="512" width="35.85546875" style="55" customWidth="1"/>
    <col min="513" max="513" width="97.7109375" style="55" customWidth="1"/>
    <col min="514" max="514" width="31.7109375" style="55" customWidth="1"/>
    <col min="515" max="515" width="13.7109375" style="55" bestFit="1" customWidth="1"/>
    <col min="516" max="766" width="9.140625" style="55"/>
    <col min="767" max="767" width="21.85546875" style="55" customWidth="1"/>
    <col min="768" max="768" width="35.85546875" style="55" customWidth="1"/>
    <col min="769" max="769" width="97.7109375" style="55" customWidth="1"/>
    <col min="770" max="770" width="31.7109375" style="55" customWidth="1"/>
    <col min="771" max="771" width="13.7109375" style="55" bestFit="1" customWidth="1"/>
    <col min="772" max="1022" width="9.140625" style="55"/>
    <col min="1023" max="1023" width="21.85546875" style="55" customWidth="1"/>
    <col min="1024" max="1024" width="35.85546875" style="55" customWidth="1"/>
    <col min="1025" max="1025" width="97.7109375" style="55" customWidth="1"/>
    <col min="1026" max="1026" width="31.7109375" style="55" customWidth="1"/>
    <col min="1027" max="1027" width="13.7109375" style="55" bestFit="1" customWidth="1"/>
    <col min="1028" max="1278" width="9.140625" style="55"/>
    <col min="1279" max="1279" width="21.85546875" style="55" customWidth="1"/>
    <col min="1280" max="1280" width="35.85546875" style="55" customWidth="1"/>
    <col min="1281" max="1281" width="97.7109375" style="55" customWidth="1"/>
    <col min="1282" max="1282" width="31.7109375" style="55" customWidth="1"/>
    <col min="1283" max="1283" width="13.7109375" style="55" bestFit="1" customWidth="1"/>
    <col min="1284" max="1534" width="9.140625" style="55"/>
    <col min="1535" max="1535" width="21.85546875" style="55" customWidth="1"/>
    <col min="1536" max="1536" width="35.85546875" style="55" customWidth="1"/>
    <col min="1537" max="1537" width="97.7109375" style="55" customWidth="1"/>
    <col min="1538" max="1538" width="31.7109375" style="55" customWidth="1"/>
    <col min="1539" max="1539" width="13.7109375" style="55" bestFit="1" customWidth="1"/>
    <col min="1540" max="1790" width="9.140625" style="55"/>
    <col min="1791" max="1791" width="21.85546875" style="55" customWidth="1"/>
    <col min="1792" max="1792" width="35.85546875" style="55" customWidth="1"/>
    <col min="1793" max="1793" width="97.7109375" style="55" customWidth="1"/>
    <col min="1794" max="1794" width="31.7109375" style="55" customWidth="1"/>
    <col min="1795" max="1795" width="13.7109375" style="55" bestFit="1" customWidth="1"/>
    <col min="1796" max="2046" width="9.140625" style="55"/>
    <col min="2047" max="2047" width="21.85546875" style="55" customWidth="1"/>
    <col min="2048" max="2048" width="35.85546875" style="55" customWidth="1"/>
    <col min="2049" max="2049" width="97.7109375" style="55" customWidth="1"/>
    <col min="2050" max="2050" width="31.7109375" style="55" customWidth="1"/>
    <col min="2051" max="2051" width="13.7109375" style="55" bestFit="1" customWidth="1"/>
    <col min="2052" max="2302" width="9.140625" style="55"/>
    <col min="2303" max="2303" width="21.85546875" style="55" customWidth="1"/>
    <col min="2304" max="2304" width="35.85546875" style="55" customWidth="1"/>
    <col min="2305" max="2305" width="97.7109375" style="55" customWidth="1"/>
    <col min="2306" max="2306" width="31.7109375" style="55" customWidth="1"/>
    <col min="2307" max="2307" width="13.7109375" style="55" bestFit="1" customWidth="1"/>
    <col min="2308" max="2558" width="9.140625" style="55"/>
    <col min="2559" max="2559" width="21.85546875" style="55" customWidth="1"/>
    <col min="2560" max="2560" width="35.85546875" style="55" customWidth="1"/>
    <col min="2561" max="2561" width="97.7109375" style="55" customWidth="1"/>
    <col min="2562" max="2562" width="31.7109375" style="55" customWidth="1"/>
    <col min="2563" max="2563" width="13.7109375" style="55" bestFit="1" customWidth="1"/>
    <col min="2564" max="2814" width="9.140625" style="55"/>
    <col min="2815" max="2815" width="21.85546875" style="55" customWidth="1"/>
    <col min="2816" max="2816" width="35.85546875" style="55" customWidth="1"/>
    <col min="2817" max="2817" width="97.7109375" style="55" customWidth="1"/>
    <col min="2818" max="2818" width="31.7109375" style="55" customWidth="1"/>
    <col min="2819" max="2819" width="13.7109375" style="55" bestFit="1" customWidth="1"/>
    <col min="2820" max="3070" width="9.140625" style="55"/>
    <col min="3071" max="3071" width="21.85546875" style="55" customWidth="1"/>
    <col min="3072" max="3072" width="35.85546875" style="55" customWidth="1"/>
    <col min="3073" max="3073" width="97.7109375" style="55" customWidth="1"/>
    <col min="3074" max="3074" width="31.7109375" style="55" customWidth="1"/>
    <col min="3075" max="3075" width="13.7109375" style="55" bestFit="1" customWidth="1"/>
    <col min="3076" max="3326" width="9.140625" style="55"/>
    <col min="3327" max="3327" width="21.85546875" style="55" customWidth="1"/>
    <col min="3328" max="3328" width="35.85546875" style="55" customWidth="1"/>
    <col min="3329" max="3329" width="97.7109375" style="55" customWidth="1"/>
    <col min="3330" max="3330" width="31.7109375" style="55" customWidth="1"/>
    <col min="3331" max="3331" width="13.7109375" style="55" bestFit="1" customWidth="1"/>
    <col min="3332" max="3582" width="9.140625" style="55"/>
    <col min="3583" max="3583" width="21.85546875" style="55" customWidth="1"/>
    <col min="3584" max="3584" width="35.85546875" style="55" customWidth="1"/>
    <col min="3585" max="3585" width="97.7109375" style="55" customWidth="1"/>
    <col min="3586" max="3586" width="31.7109375" style="55" customWidth="1"/>
    <col min="3587" max="3587" width="13.7109375" style="55" bestFit="1" customWidth="1"/>
    <col min="3588" max="3838" width="9.140625" style="55"/>
    <col min="3839" max="3839" width="21.85546875" style="55" customWidth="1"/>
    <col min="3840" max="3840" width="35.85546875" style="55" customWidth="1"/>
    <col min="3841" max="3841" width="97.7109375" style="55" customWidth="1"/>
    <col min="3842" max="3842" width="31.7109375" style="55" customWidth="1"/>
    <col min="3843" max="3843" width="13.7109375" style="55" bestFit="1" customWidth="1"/>
    <col min="3844" max="4094" width="9.140625" style="55"/>
    <col min="4095" max="4095" width="21.85546875" style="55" customWidth="1"/>
    <col min="4096" max="4096" width="35.85546875" style="55" customWidth="1"/>
    <col min="4097" max="4097" width="97.7109375" style="55" customWidth="1"/>
    <col min="4098" max="4098" width="31.7109375" style="55" customWidth="1"/>
    <col min="4099" max="4099" width="13.7109375" style="55" bestFit="1" customWidth="1"/>
    <col min="4100" max="4350" width="9.140625" style="55"/>
    <col min="4351" max="4351" width="21.85546875" style="55" customWidth="1"/>
    <col min="4352" max="4352" width="35.85546875" style="55" customWidth="1"/>
    <col min="4353" max="4353" width="97.7109375" style="55" customWidth="1"/>
    <col min="4354" max="4354" width="31.7109375" style="55" customWidth="1"/>
    <col min="4355" max="4355" width="13.7109375" style="55" bestFit="1" customWidth="1"/>
    <col min="4356" max="4606" width="9.140625" style="55"/>
    <col min="4607" max="4607" width="21.85546875" style="55" customWidth="1"/>
    <col min="4608" max="4608" width="35.85546875" style="55" customWidth="1"/>
    <col min="4609" max="4609" width="97.7109375" style="55" customWidth="1"/>
    <col min="4610" max="4610" width="31.7109375" style="55" customWidth="1"/>
    <col min="4611" max="4611" width="13.7109375" style="55" bestFit="1" customWidth="1"/>
    <col min="4612" max="4862" width="9.140625" style="55"/>
    <col min="4863" max="4863" width="21.85546875" style="55" customWidth="1"/>
    <col min="4864" max="4864" width="35.85546875" style="55" customWidth="1"/>
    <col min="4865" max="4865" width="97.7109375" style="55" customWidth="1"/>
    <col min="4866" max="4866" width="31.7109375" style="55" customWidth="1"/>
    <col min="4867" max="4867" width="13.7109375" style="55" bestFit="1" customWidth="1"/>
    <col min="4868" max="5118" width="9.140625" style="55"/>
    <col min="5119" max="5119" width="21.85546875" style="55" customWidth="1"/>
    <col min="5120" max="5120" width="35.85546875" style="55" customWidth="1"/>
    <col min="5121" max="5121" width="97.7109375" style="55" customWidth="1"/>
    <col min="5122" max="5122" width="31.7109375" style="55" customWidth="1"/>
    <col min="5123" max="5123" width="13.7109375" style="55" bestFit="1" customWidth="1"/>
    <col min="5124" max="5374" width="9.140625" style="55"/>
    <col min="5375" max="5375" width="21.85546875" style="55" customWidth="1"/>
    <col min="5376" max="5376" width="35.85546875" style="55" customWidth="1"/>
    <col min="5377" max="5377" width="97.7109375" style="55" customWidth="1"/>
    <col min="5378" max="5378" width="31.7109375" style="55" customWidth="1"/>
    <col min="5379" max="5379" width="13.7109375" style="55" bestFit="1" customWidth="1"/>
    <col min="5380" max="5630" width="9.140625" style="55"/>
    <col min="5631" max="5631" width="21.85546875" style="55" customWidth="1"/>
    <col min="5632" max="5632" width="35.85546875" style="55" customWidth="1"/>
    <col min="5633" max="5633" width="97.7109375" style="55" customWidth="1"/>
    <col min="5634" max="5634" width="31.7109375" style="55" customWidth="1"/>
    <col min="5635" max="5635" width="13.7109375" style="55" bestFit="1" customWidth="1"/>
    <col min="5636" max="5886" width="9.140625" style="55"/>
    <col min="5887" max="5887" width="21.85546875" style="55" customWidth="1"/>
    <col min="5888" max="5888" width="35.85546875" style="55" customWidth="1"/>
    <col min="5889" max="5889" width="97.7109375" style="55" customWidth="1"/>
    <col min="5890" max="5890" width="31.7109375" style="55" customWidth="1"/>
    <col min="5891" max="5891" width="13.7109375" style="55" bestFit="1" customWidth="1"/>
    <col min="5892" max="6142" width="9.140625" style="55"/>
    <col min="6143" max="6143" width="21.85546875" style="55" customWidth="1"/>
    <col min="6144" max="6144" width="35.85546875" style="55" customWidth="1"/>
    <col min="6145" max="6145" width="97.7109375" style="55" customWidth="1"/>
    <col min="6146" max="6146" width="31.7109375" style="55" customWidth="1"/>
    <col min="6147" max="6147" width="13.7109375" style="55" bestFit="1" customWidth="1"/>
    <col min="6148" max="6398" width="9.140625" style="55"/>
    <col min="6399" max="6399" width="21.85546875" style="55" customWidth="1"/>
    <col min="6400" max="6400" width="35.85546875" style="55" customWidth="1"/>
    <col min="6401" max="6401" width="97.7109375" style="55" customWidth="1"/>
    <col min="6402" max="6402" width="31.7109375" style="55" customWidth="1"/>
    <col min="6403" max="6403" width="13.7109375" style="55" bestFit="1" customWidth="1"/>
    <col min="6404" max="6654" width="9.140625" style="55"/>
    <col min="6655" max="6655" width="21.85546875" style="55" customWidth="1"/>
    <col min="6656" max="6656" width="35.85546875" style="55" customWidth="1"/>
    <col min="6657" max="6657" width="97.7109375" style="55" customWidth="1"/>
    <col min="6658" max="6658" width="31.7109375" style="55" customWidth="1"/>
    <col min="6659" max="6659" width="13.7109375" style="55" bestFit="1" customWidth="1"/>
    <col min="6660" max="6910" width="9.140625" style="55"/>
    <col min="6911" max="6911" width="21.85546875" style="55" customWidth="1"/>
    <col min="6912" max="6912" width="35.85546875" style="55" customWidth="1"/>
    <col min="6913" max="6913" width="97.7109375" style="55" customWidth="1"/>
    <col min="6914" max="6914" width="31.7109375" style="55" customWidth="1"/>
    <col min="6915" max="6915" width="13.7109375" style="55" bestFit="1" customWidth="1"/>
    <col min="6916" max="7166" width="9.140625" style="55"/>
    <col min="7167" max="7167" width="21.85546875" style="55" customWidth="1"/>
    <col min="7168" max="7168" width="35.85546875" style="55" customWidth="1"/>
    <col min="7169" max="7169" width="97.7109375" style="55" customWidth="1"/>
    <col min="7170" max="7170" width="31.7109375" style="55" customWidth="1"/>
    <col min="7171" max="7171" width="13.7109375" style="55" bestFit="1" customWidth="1"/>
    <col min="7172" max="7422" width="9.140625" style="55"/>
    <col min="7423" max="7423" width="21.85546875" style="55" customWidth="1"/>
    <col min="7424" max="7424" width="35.85546875" style="55" customWidth="1"/>
    <col min="7425" max="7425" width="97.7109375" style="55" customWidth="1"/>
    <col min="7426" max="7426" width="31.7109375" style="55" customWidth="1"/>
    <col min="7427" max="7427" width="13.7109375" style="55" bestFit="1" customWidth="1"/>
    <col min="7428" max="7678" width="9.140625" style="55"/>
    <col min="7679" max="7679" width="21.85546875" style="55" customWidth="1"/>
    <col min="7680" max="7680" width="35.85546875" style="55" customWidth="1"/>
    <col min="7681" max="7681" width="97.7109375" style="55" customWidth="1"/>
    <col min="7682" max="7682" width="31.7109375" style="55" customWidth="1"/>
    <col min="7683" max="7683" width="13.7109375" style="55" bestFit="1" customWidth="1"/>
    <col min="7684" max="7934" width="9.140625" style="55"/>
    <col min="7935" max="7935" width="21.85546875" style="55" customWidth="1"/>
    <col min="7936" max="7936" width="35.85546875" style="55" customWidth="1"/>
    <col min="7937" max="7937" width="97.7109375" style="55" customWidth="1"/>
    <col min="7938" max="7938" width="31.7109375" style="55" customWidth="1"/>
    <col min="7939" max="7939" width="13.7109375" style="55" bestFit="1" customWidth="1"/>
    <col min="7940" max="8190" width="9.140625" style="55"/>
    <col min="8191" max="8191" width="21.85546875" style="55" customWidth="1"/>
    <col min="8192" max="8192" width="35.85546875" style="55" customWidth="1"/>
    <col min="8193" max="8193" width="97.7109375" style="55" customWidth="1"/>
    <col min="8194" max="8194" width="31.7109375" style="55" customWidth="1"/>
    <col min="8195" max="8195" width="13.7109375" style="55" bestFit="1" customWidth="1"/>
    <col min="8196" max="8446" width="9.140625" style="55"/>
    <col min="8447" max="8447" width="21.85546875" style="55" customWidth="1"/>
    <col min="8448" max="8448" width="35.85546875" style="55" customWidth="1"/>
    <col min="8449" max="8449" width="97.7109375" style="55" customWidth="1"/>
    <col min="8450" max="8450" width="31.7109375" style="55" customWidth="1"/>
    <col min="8451" max="8451" width="13.7109375" style="55" bestFit="1" customWidth="1"/>
    <col min="8452" max="8702" width="9.140625" style="55"/>
    <col min="8703" max="8703" width="21.85546875" style="55" customWidth="1"/>
    <col min="8704" max="8704" width="35.85546875" style="55" customWidth="1"/>
    <col min="8705" max="8705" width="97.7109375" style="55" customWidth="1"/>
    <col min="8706" max="8706" width="31.7109375" style="55" customWidth="1"/>
    <col min="8707" max="8707" width="13.7109375" style="55" bestFit="1" customWidth="1"/>
    <col min="8708" max="8958" width="9.140625" style="55"/>
    <col min="8959" max="8959" width="21.85546875" style="55" customWidth="1"/>
    <col min="8960" max="8960" width="35.85546875" style="55" customWidth="1"/>
    <col min="8961" max="8961" width="97.7109375" style="55" customWidth="1"/>
    <col min="8962" max="8962" width="31.7109375" style="55" customWidth="1"/>
    <col min="8963" max="8963" width="13.7109375" style="55" bestFit="1" customWidth="1"/>
    <col min="8964" max="9214" width="9.140625" style="55"/>
    <col min="9215" max="9215" width="21.85546875" style="55" customWidth="1"/>
    <col min="9216" max="9216" width="35.85546875" style="55" customWidth="1"/>
    <col min="9217" max="9217" width="97.7109375" style="55" customWidth="1"/>
    <col min="9218" max="9218" width="31.7109375" style="55" customWidth="1"/>
    <col min="9219" max="9219" width="13.7109375" style="55" bestFit="1" customWidth="1"/>
    <col min="9220" max="9470" width="9.140625" style="55"/>
    <col min="9471" max="9471" width="21.85546875" style="55" customWidth="1"/>
    <col min="9472" max="9472" width="35.85546875" style="55" customWidth="1"/>
    <col min="9473" max="9473" width="97.7109375" style="55" customWidth="1"/>
    <col min="9474" max="9474" width="31.7109375" style="55" customWidth="1"/>
    <col min="9475" max="9475" width="13.7109375" style="55" bestFit="1" customWidth="1"/>
    <col min="9476" max="9726" width="9.140625" style="55"/>
    <col min="9727" max="9727" width="21.85546875" style="55" customWidth="1"/>
    <col min="9728" max="9728" width="35.85546875" style="55" customWidth="1"/>
    <col min="9729" max="9729" width="97.7109375" style="55" customWidth="1"/>
    <col min="9730" max="9730" width="31.7109375" style="55" customWidth="1"/>
    <col min="9731" max="9731" width="13.7109375" style="55" bestFit="1" customWidth="1"/>
    <col min="9732" max="9982" width="9.140625" style="55"/>
    <col min="9983" max="9983" width="21.85546875" style="55" customWidth="1"/>
    <col min="9984" max="9984" width="35.85546875" style="55" customWidth="1"/>
    <col min="9985" max="9985" width="97.7109375" style="55" customWidth="1"/>
    <col min="9986" max="9986" width="31.7109375" style="55" customWidth="1"/>
    <col min="9987" max="9987" width="13.7109375" style="55" bestFit="1" customWidth="1"/>
    <col min="9988" max="10238" width="9.140625" style="55"/>
    <col min="10239" max="10239" width="21.85546875" style="55" customWidth="1"/>
    <col min="10240" max="10240" width="35.85546875" style="55" customWidth="1"/>
    <col min="10241" max="10241" width="97.7109375" style="55" customWidth="1"/>
    <col min="10242" max="10242" width="31.7109375" style="55" customWidth="1"/>
    <col min="10243" max="10243" width="13.7109375" style="55" bestFit="1" customWidth="1"/>
    <col min="10244" max="10494" width="9.140625" style="55"/>
    <col min="10495" max="10495" width="21.85546875" style="55" customWidth="1"/>
    <col min="10496" max="10496" width="35.85546875" style="55" customWidth="1"/>
    <col min="10497" max="10497" width="97.7109375" style="55" customWidth="1"/>
    <col min="10498" max="10498" width="31.7109375" style="55" customWidth="1"/>
    <col min="10499" max="10499" width="13.7109375" style="55" bestFit="1" customWidth="1"/>
    <col min="10500" max="10750" width="9.140625" style="55"/>
    <col min="10751" max="10751" width="21.85546875" style="55" customWidth="1"/>
    <col min="10752" max="10752" width="35.85546875" style="55" customWidth="1"/>
    <col min="10753" max="10753" width="97.7109375" style="55" customWidth="1"/>
    <col min="10754" max="10754" width="31.7109375" style="55" customWidth="1"/>
    <col min="10755" max="10755" width="13.7109375" style="55" bestFit="1" customWidth="1"/>
    <col min="10756" max="11006" width="9.140625" style="55"/>
    <col min="11007" max="11007" width="21.85546875" style="55" customWidth="1"/>
    <col min="11008" max="11008" width="35.85546875" style="55" customWidth="1"/>
    <col min="11009" max="11009" width="97.7109375" style="55" customWidth="1"/>
    <col min="11010" max="11010" width="31.7109375" style="55" customWidth="1"/>
    <col min="11011" max="11011" width="13.7109375" style="55" bestFit="1" customWidth="1"/>
    <col min="11012" max="11262" width="9.140625" style="55"/>
    <col min="11263" max="11263" width="21.85546875" style="55" customWidth="1"/>
    <col min="11264" max="11264" width="35.85546875" style="55" customWidth="1"/>
    <col min="11265" max="11265" width="97.7109375" style="55" customWidth="1"/>
    <col min="11266" max="11266" width="31.7109375" style="55" customWidth="1"/>
    <col min="11267" max="11267" width="13.7109375" style="55" bestFit="1" customWidth="1"/>
    <col min="11268" max="11518" width="9.140625" style="55"/>
    <col min="11519" max="11519" width="21.85546875" style="55" customWidth="1"/>
    <col min="11520" max="11520" width="35.85546875" style="55" customWidth="1"/>
    <col min="11521" max="11521" width="97.7109375" style="55" customWidth="1"/>
    <col min="11522" max="11522" width="31.7109375" style="55" customWidth="1"/>
    <col min="11523" max="11523" width="13.7109375" style="55" bestFit="1" customWidth="1"/>
    <col min="11524" max="11774" width="9.140625" style="55"/>
    <col min="11775" max="11775" width="21.85546875" style="55" customWidth="1"/>
    <col min="11776" max="11776" width="35.85546875" style="55" customWidth="1"/>
    <col min="11777" max="11777" width="97.7109375" style="55" customWidth="1"/>
    <col min="11778" max="11778" width="31.7109375" style="55" customWidth="1"/>
    <col min="11779" max="11779" width="13.7109375" style="55" bestFit="1" customWidth="1"/>
    <col min="11780" max="12030" width="9.140625" style="55"/>
    <col min="12031" max="12031" width="21.85546875" style="55" customWidth="1"/>
    <col min="12032" max="12032" width="35.85546875" style="55" customWidth="1"/>
    <col min="12033" max="12033" width="97.7109375" style="55" customWidth="1"/>
    <col min="12034" max="12034" width="31.7109375" style="55" customWidth="1"/>
    <col min="12035" max="12035" width="13.7109375" style="55" bestFit="1" customWidth="1"/>
    <col min="12036" max="12286" width="9.140625" style="55"/>
    <col min="12287" max="12287" width="21.85546875" style="55" customWidth="1"/>
    <col min="12288" max="12288" width="35.85546875" style="55" customWidth="1"/>
    <col min="12289" max="12289" width="97.7109375" style="55" customWidth="1"/>
    <col min="12290" max="12290" width="31.7109375" style="55" customWidth="1"/>
    <col min="12291" max="12291" width="13.7109375" style="55" bestFit="1" customWidth="1"/>
    <col min="12292" max="12542" width="9.140625" style="55"/>
    <col min="12543" max="12543" width="21.85546875" style="55" customWidth="1"/>
    <col min="12544" max="12544" width="35.85546875" style="55" customWidth="1"/>
    <col min="12545" max="12545" width="97.7109375" style="55" customWidth="1"/>
    <col min="12546" max="12546" width="31.7109375" style="55" customWidth="1"/>
    <col min="12547" max="12547" width="13.7109375" style="55" bestFit="1" customWidth="1"/>
    <col min="12548" max="12798" width="9.140625" style="55"/>
    <col min="12799" max="12799" width="21.85546875" style="55" customWidth="1"/>
    <col min="12800" max="12800" width="35.85546875" style="55" customWidth="1"/>
    <col min="12801" max="12801" width="97.7109375" style="55" customWidth="1"/>
    <col min="12802" max="12802" width="31.7109375" style="55" customWidth="1"/>
    <col min="12803" max="12803" width="13.7109375" style="55" bestFit="1" customWidth="1"/>
    <col min="12804" max="13054" width="9.140625" style="55"/>
    <col min="13055" max="13055" width="21.85546875" style="55" customWidth="1"/>
    <col min="13056" max="13056" width="35.85546875" style="55" customWidth="1"/>
    <col min="13057" max="13057" width="97.7109375" style="55" customWidth="1"/>
    <col min="13058" max="13058" width="31.7109375" style="55" customWidth="1"/>
    <col min="13059" max="13059" width="13.7109375" style="55" bestFit="1" customWidth="1"/>
    <col min="13060" max="13310" width="9.140625" style="55"/>
    <col min="13311" max="13311" width="21.85546875" style="55" customWidth="1"/>
    <col min="13312" max="13312" width="35.85546875" style="55" customWidth="1"/>
    <col min="13313" max="13313" width="97.7109375" style="55" customWidth="1"/>
    <col min="13314" max="13314" width="31.7109375" style="55" customWidth="1"/>
    <col min="13315" max="13315" width="13.7109375" style="55" bestFit="1" customWidth="1"/>
    <col min="13316" max="13566" width="9.140625" style="55"/>
    <col min="13567" max="13567" width="21.85546875" style="55" customWidth="1"/>
    <col min="13568" max="13568" width="35.85546875" style="55" customWidth="1"/>
    <col min="13569" max="13569" width="97.7109375" style="55" customWidth="1"/>
    <col min="13570" max="13570" width="31.7109375" style="55" customWidth="1"/>
    <col min="13571" max="13571" width="13.7109375" style="55" bestFit="1" customWidth="1"/>
    <col min="13572" max="13822" width="9.140625" style="55"/>
    <col min="13823" max="13823" width="21.85546875" style="55" customWidth="1"/>
    <col min="13824" max="13824" width="35.85546875" style="55" customWidth="1"/>
    <col min="13825" max="13825" width="97.7109375" style="55" customWidth="1"/>
    <col min="13826" max="13826" width="31.7109375" style="55" customWidth="1"/>
    <col min="13827" max="13827" width="13.7109375" style="55" bestFit="1" customWidth="1"/>
    <col min="13828" max="14078" width="9.140625" style="55"/>
    <col min="14079" max="14079" width="21.85546875" style="55" customWidth="1"/>
    <col min="14080" max="14080" width="35.85546875" style="55" customWidth="1"/>
    <col min="14081" max="14081" width="97.7109375" style="55" customWidth="1"/>
    <col min="14082" max="14082" width="31.7109375" style="55" customWidth="1"/>
    <col min="14083" max="14083" width="13.7109375" style="55" bestFit="1" customWidth="1"/>
    <col min="14084" max="14334" width="9.140625" style="55"/>
    <col min="14335" max="14335" width="21.85546875" style="55" customWidth="1"/>
    <col min="14336" max="14336" width="35.85546875" style="55" customWidth="1"/>
    <col min="14337" max="14337" width="97.7109375" style="55" customWidth="1"/>
    <col min="14338" max="14338" width="31.7109375" style="55" customWidth="1"/>
    <col min="14339" max="14339" width="13.7109375" style="55" bestFit="1" customWidth="1"/>
    <col min="14340" max="14590" width="9.140625" style="55"/>
    <col min="14591" max="14591" width="21.85546875" style="55" customWidth="1"/>
    <col min="14592" max="14592" width="35.85546875" style="55" customWidth="1"/>
    <col min="14593" max="14593" width="97.7109375" style="55" customWidth="1"/>
    <col min="14594" max="14594" width="31.7109375" style="55" customWidth="1"/>
    <col min="14595" max="14595" width="13.7109375" style="55" bestFit="1" customWidth="1"/>
    <col min="14596" max="14846" width="9.140625" style="55"/>
    <col min="14847" max="14847" width="21.85546875" style="55" customWidth="1"/>
    <col min="14848" max="14848" width="35.85546875" style="55" customWidth="1"/>
    <col min="14849" max="14849" width="97.7109375" style="55" customWidth="1"/>
    <col min="14850" max="14850" width="31.7109375" style="55" customWidth="1"/>
    <col min="14851" max="14851" width="13.7109375" style="55" bestFit="1" customWidth="1"/>
    <col min="14852" max="15102" width="9.140625" style="55"/>
    <col min="15103" max="15103" width="21.85546875" style="55" customWidth="1"/>
    <col min="15104" max="15104" width="35.85546875" style="55" customWidth="1"/>
    <col min="15105" max="15105" width="97.7109375" style="55" customWidth="1"/>
    <col min="15106" max="15106" width="31.7109375" style="55" customWidth="1"/>
    <col min="15107" max="15107" width="13.7109375" style="55" bestFit="1" customWidth="1"/>
    <col min="15108" max="15358" width="9.140625" style="55"/>
    <col min="15359" max="15359" width="21.85546875" style="55" customWidth="1"/>
    <col min="15360" max="15360" width="35.85546875" style="55" customWidth="1"/>
    <col min="15361" max="15361" width="97.7109375" style="55" customWidth="1"/>
    <col min="15362" max="15362" width="31.7109375" style="55" customWidth="1"/>
    <col min="15363" max="15363" width="13.7109375" style="55" bestFit="1" customWidth="1"/>
    <col min="15364" max="15614" width="9.140625" style="55"/>
    <col min="15615" max="15615" width="21.85546875" style="55" customWidth="1"/>
    <col min="15616" max="15616" width="35.85546875" style="55" customWidth="1"/>
    <col min="15617" max="15617" width="97.7109375" style="55" customWidth="1"/>
    <col min="15618" max="15618" width="31.7109375" style="55" customWidth="1"/>
    <col min="15619" max="15619" width="13.7109375" style="55" bestFit="1" customWidth="1"/>
    <col min="15620" max="15870" width="9.140625" style="55"/>
    <col min="15871" max="15871" width="21.85546875" style="55" customWidth="1"/>
    <col min="15872" max="15872" width="35.85546875" style="55" customWidth="1"/>
    <col min="15873" max="15873" width="97.7109375" style="55" customWidth="1"/>
    <col min="15874" max="15874" width="31.7109375" style="55" customWidth="1"/>
    <col min="15875" max="15875" width="13.7109375" style="55" bestFit="1" customWidth="1"/>
    <col min="15876" max="16126" width="9.140625" style="55"/>
    <col min="16127" max="16127" width="21.85546875" style="55" customWidth="1"/>
    <col min="16128" max="16128" width="35.85546875" style="55" customWidth="1"/>
    <col min="16129" max="16129" width="97.7109375" style="55" customWidth="1"/>
    <col min="16130" max="16130" width="31.7109375" style="55" customWidth="1"/>
    <col min="16131" max="16131" width="13.7109375" style="55" bestFit="1" customWidth="1"/>
    <col min="16132" max="16384" width="9.140625" style="55"/>
  </cols>
  <sheetData>
    <row r="1" spans="1:13" ht="15.75" hidden="1" thickBot="1" x14ac:dyDescent="0.3"/>
    <row r="2" spans="1:13" hidden="1" x14ac:dyDescent="0.25">
      <c r="B2" s="891" t="str">
        <f>"Preassigned Rows Indicating Payment or Scheduling by " &amp;Profit!E1&amp;" Your Home"</f>
        <v>Preassigned Rows Indicating Payment or Scheduling by Heritage Mangement Your Home</v>
      </c>
      <c r="C2" s="892"/>
      <c r="E2" s="55"/>
    </row>
    <row r="3" spans="1:13" ht="15.75" hidden="1" thickBot="1" x14ac:dyDescent="0.3">
      <c r="B3" s="893"/>
      <c r="C3" s="894"/>
      <c r="E3" s="55"/>
    </row>
    <row r="4" spans="1:13" hidden="1" x14ac:dyDescent="0.25">
      <c r="B4" s="899" t="s">
        <v>682</v>
      </c>
      <c r="C4" s="900"/>
      <c r="E4" s="55"/>
    </row>
    <row r="5" spans="1:13" ht="15.75" hidden="1" thickBot="1" x14ac:dyDescent="0.3">
      <c r="B5" s="901"/>
      <c r="C5" s="902"/>
      <c r="E5" s="55"/>
    </row>
    <row r="6" spans="1:13" hidden="1" x14ac:dyDescent="0.25">
      <c r="B6" s="895" t="s">
        <v>683</v>
      </c>
      <c r="C6" s="896"/>
      <c r="E6" s="55"/>
    </row>
    <row r="7" spans="1:13" ht="15.75" hidden="1" thickBot="1" x14ac:dyDescent="0.3">
      <c r="B7" s="897"/>
      <c r="C7" s="898"/>
    </row>
    <row r="8" spans="1:13" hidden="1" x14ac:dyDescent="0.25">
      <c r="B8" s="903" t="s">
        <v>684</v>
      </c>
      <c r="C8" s="904"/>
    </row>
    <row r="9" spans="1:13" ht="15.75" hidden="1" thickBot="1" x14ac:dyDescent="0.3">
      <c r="B9" s="905"/>
      <c r="C9" s="906"/>
    </row>
    <row r="10" spans="1:13" hidden="1" x14ac:dyDescent="0.25"/>
    <row r="11" spans="1:13" s="49" customFormat="1" ht="15.75" thickBot="1" x14ac:dyDescent="0.3">
      <c r="A11" s="48" t="s">
        <v>685</v>
      </c>
      <c r="B11" s="48" t="s">
        <v>686</v>
      </c>
      <c r="C11" s="48" t="s">
        <v>687</v>
      </c>
      <c r="D11" s="65" t="s">
        <v>688</v>
      </c>
      <c r="E11" s="66" t="s">
        <v>689</v>
      </c>
      <c r="G11" s="55"/>
      <c r="H11" s="55"/>
      <c r="I11" s="55"/>
      <c r="J11" s="55"/>
      <c r="K11" s="55"/>
      <c r="L11" s="55"/>
      <c r="M11" s="55"/>
    </row>
    <row r="12" spans="1:13" s="49" customFormat="1" ht="15.75" thickTop="1" x14ac:dyDescent="0.25">
      <c r="A12" s="51" t="s">
        <v>690</v>
      </c>
      <c r="B12" s="51" t="s">
        <v>690</v>
      </c>
      <c r="C12" s="51" t="s">
        <v>691</v>
      </c>
      <c r="D12" s="63">
        <v>0</v>
      </c>
      <c r="E12" s="64"/>
      <c r="G12" s="55"/>
      <c r="H12" s="55"/>
      <c r="I12" s="55"/>
      <c r="J12" s="55"/>
      <c r="K12" s="55"/>
      <c r="L12" s="55"/>
      <c r="M12" s="55"/>
    </row>
    <row r="13" spans="1:13" s="49" customFormat="1" x14ac:dyDescent="0.25">
      <c r="A13" s="51" t="s">
        <v>174</v>
      </c>
      <c r="B13" s="51" t="s">
        <v>692</v>
      </c>
      <c r="C13" s="51" t="s">
        <v>693</v>
      </c>
      <c r="D13" s="63">
        <f>187.5/62.5</f>
        <v>3</v>
      </c>
      <c r="E13" s="64">
        <v>62.5</v>
      </c>
      <c r="G13" s="55"/>
      <c r="H13" s="55"/>
      <c r="I13" s="55"/>
      <c r="J13" s="55"/>
      <c r="K13" s="55"/>
      <c r="L13" s="55"/>
      <c r="M13" s="55"/>
    </row>
    <row r="14" spans="1:13" s="49" customFormat="1" x14ac:dyDescent="0.25">
      <c r="A14" s="51" t="s">
        <v>694</v>
      </c>
      <c r="B14" s="51" t="s">
        <v>692</v>
      </c>
      <c r="C14" s="51" t="s">
        <v>695</v>
      </c>
      <c r="D14" s="63">
        <v>1</v>
      </c>
      <c r="E14" s="64">
        <v>350</v>
      </c>
      <c r="G14" s="55"/>
      <c r="H14" s="55"/>
      <c r="I14" s="55"/>
      <c r="J14" s="55"/>
      <c r="K14" s="55"/>
      <c r="L14" s="55"/>
      <c r="M14" s="55"/>
    </row>
    <row r="15" spans="1:13" s="49" customFormat="1" x14ac:dyDescent="0.25">
      <c r="A15" s="51"/>
      <c r="B15" s="51" t="s">
        <v>696</v>
      </c>
      <c r="C15" s="51" t="s">
        <v>697</v>
      </c>
      <c r="D15" s="63">
        <v>6</v>
      </c>
      <c r="E15" s="64"/>
      <c r="G15" s="55"/>
      <c r="H15" s="55"/>
      <c r="I15" s="55"/>
      <c r="J15" s="55"/>
      <c r="K15" s="55"/>
      <c r="L15" s="55"/>
      <c r="M15" s="55"/>
    </row>
    <row r="16" spans="1:13" s="49" customFormat="1" x14ac:dyDescent="0.25">
      <c r="A16" s="260" t="s">
        <v>174</v>
      </c>
      <c r="B16" s="256" t="s">
        <v>692</v>
      </c>
      <c r="C16" s="256" t="s">
        <v>698</v>
      </c>
      <c r="D16" s="278">
        <v>1</v>
      </c>
      <c r="E16" s="279">
        <v>500</v>
      </c>
      <c r="G16" s="55"/>
      <c r="H16" s="55"/>
      <c r="I16" s="55"/>
      <c r="J16" s="55"/>
      <c r="K16" s="55"/>
      <c r="L16" s="55"/>
      <c r="M16" s="55"/>
    </row>
    <row r="17" spans="1:13" s="49" customFormat="1" x14ac:dyDescent="0.25">
      <c r="A17" s="260" t="s">
        <v>174</v>
      </c>
      <c r="B17" s="256" t="s">
        <v>692</v>
      </c>
      <c r="C17" s="256" t="s">
        <v>699</v>
      </c>
      <c r="D17" s="278">
        <v>25</v>
      </c>
      <c r="E17" s="279">
        <v>62.5</v>
      </c>
      <c r="G17" s="55"/>
      <c r="H17" s="55"/>
      <c r="I17" s="55"/>
      <c r="J17" s="55"/>
      <c r="K17" s="55"/>
      <c r="L17" s="55"/>
      <c r="M17" s="55"/>
    </row>
    <row r="18" spans="1:13" s="49" customFormat="1" x14ac:dyDescent="0.25">
      <c r="A18" s="260" t="s">
        <v>174</v>
      </c>
      <c r="B18" s="256" t="s">
        <v>692</v>
      </c>
      <c r="C18" s="256" t="s">
        <v>700</v>
      </c>
      <c r="D18" s="278">
        <v>1</v>
      </c>
      <c r="E18" s="279">
        <v>256.11</v>
      </c>
      <c r="G18" s="55"/>
      <c r="H18" s="55"/>
      <c r="I18" s="55"/>
      <c r="J18" s="55"/>
      <c r="K18" s="55"/>
      <c r="L18" s="55"/>
      <c r="M18" s="55"/>
    </row>
    <row r="19" spans="1:13" s="49" customFormat="1" x14ac:dyDescent="0.25">
      <c r="A19" s="260" t="s">
        <v>174</v>
      </c>
      <c r="B19" s="256" t="s">
        <v>692</v>
      </c>
      <c r="C19" s="256" t="s">
        <v>1144</v>
      </c>
      <c r="D19" s="278">
        <v>1</v>
      </c>
      <c r="E19" s="279">
        <v>1312.5</v>
      </c>
      <c r="G19" s="55"/>
      <c r="H19" s="55"/>
      <c r="I19" s="55"/>
      <c r="J19" s="55"/>
      <c r="K19" s="55"/>
      <c r="L19" s="55"/>
      <c r="M19" s="55"/>
    </row>
    <row r="20" spans="1:13" s="49" customFormat="1" x14ac:dyDescent="0.25">
      <c r="A20" s="260" t="s">
        <v>702</v>
      </c>
      <c r="B20" s="256" t="s">
        <v>701</v>
      </c>
      <c r="C20" s="256" t="s">
        <v>703</v>
      </c>
      <c r="D20" s="278">
        <v>0</v>
      </c>
      <c r="E20" s="279">
        <v>0</v>
      </c>
      <c r="G20" s="50"/>
    </row>
    <row r="21" spans="1:13" x14ac:dyDescent="0.25">
      <c r="A21" s="256" t="s">
        <v>174</v>
      </c>
      <c r="B21" s="256" t="s">
        <v>692</v>
      </c>
      <c r="C21" s="256" t="s">
        <v>704</v>
      </c>
      <c r="D21" s="278">
        <v>30</v>
      </c>
      <c r="E21" s="279">
        <v>62.5</v>
      </c>
    </row>
    <row r="22" spans="1:13" x14ac:dyDescent="0.2">
      <c r="A22" s="260" t="s">
        <v>174</v>
      </c>
      <c r="B22" s="260" t="s">
        <v>705</v>
      </c>
      <c r="C22" s="617" t="s">
        <v>706</v>
      </c>
      <c r="D22" s="262">
        <v>1</v>
      </c>
      <c r="E22" s="263">
        <v>138.13999999999999</v>
      </c>
    </row>
    <row r="23" spans="1:13" x14ac:dyDescent="0.25">
      <c r="A23" s="260" t="s">
        <v>174</v>
      </c>
      <c r="B23" s="256" t="s">
        <v>692</v>
      </c>
      <c r="C23" s="256" t="s">
        <v>707</v>
      </c>
      <c r="D23" s="278">
        <f>1312.5/62.5</f>
        <v>21</v>
      </c>
      <c r="E23" s="279">
        <v>62.5</v>
      </c>
    </row>
    <row r="24" spans="1:13" x14ac:dyDescent="0.2">
      <c r="A24" s="256" t="s">
        <v>174</v>
      </c>
      <c r="B24" s="256" t="s">
        <v>705</v>
      </c>
      <c r="C24" s="617" t="s">
        <v>708</v>
      </c>
      <c r="D24" s="278">
        <v>1</v>
      </c>
      <c r="E24" s="279">
        <v>97.45</v>
      </c>
    </row>
    <row r="25" spans="1:13" s="49" customFormat="1" x14ac:dyDescent="0.2">
      <c r="A25" s="256" t="s">
        <v>174</v>
      </c>
      <c r="B25" s="256" t="s">
        <v>692</v>
      </c>
      <c r="C25" s="617" t="s">
        <v>1145</v>
      </c>
      <c r="D25" s="278">
        <v>1</v>
      </c>
      <c r="E25" s="279">
        <v>150</v>
      </c>
      <c r="G25" s="55"/>
      <c r="H25" s="55"/>
      <c r="I25" s="55"/>
      <c r="J25" s="55"/>
      <c r="K25" s="55"/>
      <c r="L25" s="55"/>
      <c r="M25" s="55"/>
    </row>
    <row r="26" spans="1:13" x14ac:dyDescent="0.2">
      <c r="A26" s="256" t="s">
        <v>174</v>
      </c>
      <c r="B26" s="256" t="s">
        <v>692</v>
      </c>
      <c r="C26" s="617" t="s">
        <v>1146</v>
      </c>
      <c r="D26" s="278">
        <v>1</v>
      </c>
      <c r="E26" s="279">
        <v>25</v>
      </c>
    </row>
    <row r="27" spans="1:13" x14ac:dyDescent="0.2">
      <c r="A27" s="256" t="s">
        <v>174</v>
      </c>
      <c r="B27" s="256" t="s">
        <v>692</v>
      </c>
      <c r="C27" s="617" t="s">
        <v>1147</v>
      </c>
      <c r="D27" s="278">
        <v>1</v>
      </c>
      <c r="E27" s="279">
        <v>78.78</v>
      </c>
    </row>
    <row r="28" spans="1:13" x14ac:dyDescent="0.2">
      <c r="A28" s="256" t="s">
        <v>174</v>
      </c>
      <c r="B28" s="256" t="s">
        <v>692</v>
      </c>
      <c r="C28" s="617" t="s">
        <v>1152</v>
      </c>
      <c r="D28" s="278">
        <v>2</v>
      </c>
      <c r="E28" s="279">
        <v>62.15</v>
      </c>
    </row>
    <row r="29" spans="1:13" x14ac:dyDescent="0.25">
      <c r="A29" s="256"/>
      <c r="B29" s="256"/>
      <c r="C29" s="256"/>
      <c r="D29" s="278"/>
      <c r="E29" s="279"/>
    </row>
    <row r="30" spans="1:13" x14ac:dyDescent="0.25">
      <c r="A30" s="256"/>
      <c r="B30" s="256"/>
      <c r="C30" s="256"/>
      <c r="D30" s="278"/>
      <c r="E30" s="279"/>
    </row>
    <row r="31" spans="1:13" x14ac:dyDescent="0.25">
      <c r="A31" s="256"/>
      <c r="B31" s="256"/>
      <c r="C31" s="256"/>
      <c r="D31" s="278"/>
      <c r="E31" s="279"/>
    </row>
    <row r="32" spans="1:13" x14ac:dyDescent="0.25">
      <c r="A32" s="256"/>
      <c r="B32" s="256"/>
      <c r="C32" s="256"/>
      <c r="D32" s="278"/>
      <c r="E32" s="279"/>
    </row>
    <row r="33" spans="1:7" x14ac:dyDescent="0.25">
      <c r="A33" s="256"/>
      <c r="B33" s="256"/>
      <c r="C33" s="256"/>
      <c r="D33" s="278"/>
      <c r="E33" s="279"/>
    </row>
    <row r="34" spans="1:7" x14ac:dyDescent="0.25">
      <c r="A34" s="256"/>
      <c r="B34" s="256"/>
      <c r="C34" s="260"/>
      <c r="D34" s="278"/>
      <c r="E34" s="279"/>
    </row>
    <row r="35" spans="1:7" x14ac:dyDescent="0.25">
      <c r="A35" s="256"/>
      <c r="B35" s="256"/>
      <c r="C35" s="256"/>
      <c r="D35" s="278"/>
      <c r="E35" s="279"/>
    </row>
    <row r="36" spans="1:7" x14ac:dyDescent="0.25">
      <c r="A36" s="256"/>
      <c r="B36" s="256"/>
      <c r="C36" s="256"/>
      <c r="D36" s="278"/>
      <c r="E36" s="279"/>
    </row>
    <row r="37" spans="1:7" x14ac:dyDescent="0.25">
      <c r="A37" s="256"/>
      <c r="B37" s="256"/>
      <c r="C37" s="256"/>
      <c r="D37" s="278"/>
      <c r="E37" s="279"/>
    </row>
    <row r="38" spans="1:7" x14ac:dyDescent="0.25">
      <c r="A38" s="256"/>
      <c r="B38" s="256"/>
      <c r="C38" s="256"/>
      <c r="D38" s="278"/>
      <c r="E38" s="279"/>
    </row>
    <row r="39" spans="1:7" x14ac:dyDescent="0.25">
      <c r="A39" s="256"/>
      <c r="B39" s="256"/>
      <c r="C39" s="256"/>
      <c r="D39" s="278"/>
      <c r="E39" s="279"/>
    </row>
    <row r="40" spans="1:7" x14ac:dyDescent="0.25">
      <c r="A40" s="256"/>
      <c r="B40" s="256"/>
      <c r="C40" s="256"/>
      <c r="D40" s="278"/>
      <c r="E40" s="279"/>
    </row>
    <row r="41" spans="1:7" x14ac:dyDescent="0.25">
      <c r="A41" s="256"/>
      <c r="B41" s="256"/>
      <c r="C41" s="256"/>
      <c r="D41" s="278"/>
      <c r="E41" s="279"/>
    </row>
    <row r="42" spans="1:7" x14ac:dyDescent="0.25">
      <c r="A42" s="256"/>
      <c r="B42" s="256"/>
      <c r="C42" s="256"/>
      <c r="D42" s="278"/>
      <c r="E42" s="279"/>
    </row>
    <row r="43" spans="1:7" x14ac:dyDescent="0.25">
      <c r="A43" s="256"/>
      <c r="B43" s="256"/>
      <c r="C43" s="256"/>
      <c r="D43" s="278"/>
      <c r="E43" s="279"/>
    </row>
    <row r="44" spans="1:7" x14ac:dyDescent="0.25">
      <c r="A44" s="256"/>
      <c r="B44" s="256"/>
      <c r="C44" s="256"/>
      <c r="D44" s="278"/>
      <c r="E44" s="279"/>
    </row>
    <row r="45" spans="1:7" x14ac:dyDescent="0.25">
      <c r="A45" s="256"/>
      <c r="B45" s="256"/>
      <c r="C45" s="256"/>
      <c r="D45" s="278"/>
      <c r="E45" s="279"/>
    </row>
    <row r="46" spans="1:7" x14ac:dyDescent="0.25">
      <c r="A46" s="256"/>
      <c r="B46" s="256"/>
      <c r="C46" s="256"/>
      <c r="D46" s="278"/>
      <c r="E46" s="279"/>
    </row>
    <row r="47" spans="1:7" s="49" customFormat="1" x14ac:dyDescent="0.25">
      <c r="A47" s="52"/>
      <c r="B47" s="52"/>
      <c r="C47" s="52"/>
      <c r="D47" s="53"/>
      <c r="E47" s="54"/>
      <c r="G47" s="50"/>
    </row>
    <row r="48" spans="1:7" x14ac:dyDescent="0.25">
      <c r="A48" s="256"/>
      <c r="B48" s="256"/>
      <c r="C48" s="256"/>
      <c r="D48" s="278"/>
      <c r="E48" s="279"/>
    </row>
    <row r="49" spans="1:5" x14ac:dyDescent="0.25">
      <c r="A49" s="256"/>
      <c r="B49" s="256"/>
      <c r="C49" s="256"/>
      <c r="D49" s="278"/>
      <c r="E49" s="279"/>
    </row>
    <row r="50" spans="1:5" x14ac:dyDescent="0.25">
      <c r="A50" s="256"/>
      <c r="B50" s="256"/>
      <c r="C50" s="256"/>
      <c r="D50" s="278"/>
      <c r="E50" s="279"/>
    </row>
    <row r="51" spans="1:5" x14ac:dyDescent="0.25">
      <c r="A51" s="256"/>
      <c r="B51" s="256"/>
      <c r="C51" s="256"/>
      <c r="D51" s="278"/>
      <c r="E51" s="279"/>
    </row>
    <row r="52" spans="1:5" x14ac:dyDescent="0.25">
      <c r="A52" s="256"/>
      <c r="B52" s="256"/>
      <c r="C52" s="256"/>
      <c r="D52" s="278"/>
      <c r="E52" s="279"/>
    </row>
    <row r="53" spans="1:5" x14ac:dyDescent="0.25">
      <c r="A53" s="256"/>
      <c r="B53" s="256"/>
      <c r="C53" s="256"/>
      <c r="D53" s="278"/>
      <c r="E53" s="279"/>
    </row>
    <row r="54" spans="1:5" x14ac:dyDescent="0.25">
      <c r="A54" s="256"/>
      <c r="B54" s="256"/>
      <c r="C54" s="256"/>
      <c r="D54" s="278"/>
      <c r="E54" s="279"/>
    </row>
    <row r="55" spans="1:5" x14ac:dyDescent="0.25">
      <c r="A55" s="256"/>
      <c r="B55" s="256"/>
      <c r="C55" s="256"/>
      <c r="D55" s="278"/>
      <c r="E55" s="279"/>
    </row>
    <row r="56" spans="1:5" x14ac:dyDescent="0.25">
      <c r="A56" s="256"/>
      <c r="B56" s="256"/>
      <c r="C56" s="256"/>
      <c r="D56" s="278"/>
      <c r="E56" s="279"/>
    </row>
    <row r="57" spans="1:5" x14ac:dyDescent="0.25">
      <c r="A57" s="256"/>
      <c r="B57" s="256"/>
      <c r="C57" s="256"/>
      <c r="D57" s="278"/>
      <c r="E57" s="279"/>
    </row>
    <row r="58" spans="1:5" x14ac:dyDescent="0.25">
      <c r="A58" s="256"/>
      <c r="B58" s="256"/>
      <c r="C58" s="256"/>
      <c r="D58" s="278"/>
      <c r="E58" s="279"/>
    </row>
    <row r="59" spans="1:5" x14ac:dyDescent="0.25">
      <c r="A59" s="256"/>
      <c r="B59" s="256"/>
      <c r="C59" s="256"/>
      <c r="D59" s="278"/>
      <c r="E59" s="279"/>
    </row>
    <row r="60" spans="1:5" x14ac:dyDescent="0.25">
      <c r="A60" s="256"/>
      <c r="B60" s="256"/>
      <c r="C60" s="256"/>
      <c r="D60" s="278"/>
      <c r="E60" s="279"/>
    </row>
    <row r="61" spans="1:5" x14ac:dyDescent="0.25">
      <c r="A61" s="256"/>
      <c r="B61" s="256"/>
      <c r="C61" s="256"/>
      <c r="D61" s="278"/>
      <c r="E61" s="279"/>
    </row>
    <row r="62" spans="1:5" x14ac:dyDescent="0.25">
      <c r="A62" s="256"/>
      <c r="B62" s="256"/>
      <c r="C62" s="256"/>
      <c r="D62" s="278"/>
      <c r="E62" s="279"/>
    </row>
    <row r="63" spans="1:5" x14ac:dyDescent="0.25">
      <c r="A63" s="256"/>
      <c r="B63" s="256"/>
      <c r="C63" s="256"/>
      <c r="D63" s="278"/>
      <c r="E63" s="279"/>
    </row>
    <row r="64" spans="1:5" x14ac:dyDescent="0.25">
      <c r="A64" s="260"/>
      <c r="B64" s="260"/>
      <c r="C64" s="260"/>
      <c r="D64" s="278"/>
      <c r="E64" s="279"/>
    </row>
    <row r="65" spans="1:5" x14ac:dyDescent="0.25">
      <c r="A65" s="260"/>
      <c r="B65" s="260"/>
      <c r="C65" s="260"/>
      <c r="D65" s="262"/>
      <c r="E65" s="263"/>
    </row>
    <row r="66" spans="1:5" x14ac:dyDescent="0.25">
      <c r="A66" s="260"/>
      <c r="B66" s="260"/>
      <c r="C66" s="260"/>
      <c r="D66" s="278"/>
      <c r="E66" s="279"/>
    </row>
    <row r="67" spans="1:5" x14ac:dyDescent="0.25">
      <c r="A67" s="260"/>
      <c r="B67" s="260"/>
      <c r="C67" s="260"/>
      <c r="D67" s="262"/>
      <c r="E67" s="263"/>
    </row>
    <row r="68" spans="1:5" x14ac:dyDescent="0.25">
      <c r="A68" s="260"/>
      <c r="B68" s="260"/>
      <c r="C68" s="260"/>
      <c r="D68" s="278"/>
      <c r="E68" s="279"/>
    </row>
    <row r="69" spans="1:5" x14ac:dyDescent="0.25">
      <c r="A69" s="260"/>
      <c r="B69" s="260"/>
      <c r="C69" s="260"/>
      <c r="D69" s="262"/>
      <c r="E69" s="263"/>
    </row>
    <row r="70" spans="1:5" x14ac:dyDescent="0.25">
      <c r="A70" s="260"/>
      <c r="B70" s="260"/>
      <c r="C70" s="260"/>
      <c r="D70" s="278"/>
      <c r="E70" s="279"/>
    </row>
    <row r="71" spans="1:5" x14ac:dyDescent="0.25">
      <c r="A71" s="260"/>
      <c r="B71" s="260"/>
      <c r="C71" s="260"/>
      <c r="D71" s="262"/>
      <c r="E71" s="263"/>
    </row>
  </sheetData>
  <mergeCells count="4">
    <mergeCell ref="B2:C3"/>
    <mergeCell ref="B6:C7"/>
    <mergeCell ref="B4:C5"/>
    <mergeCell ref="B8:C9"/>
  </mergeCells>
  <phoneticPr fontId="26"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69"/>
  <sheetViews>
    <sheetView topLeftCell="D1" workbookViewId="0">
      <pane ySplit="4" topLeftCell="A5" activePane="bottomLeft" state="frozen"/>
      <selection activeCell="H28" sqref="H28"/>
      <selection pane="bottomLeft" activeCell="L12" sqref="L12"/>
    </sheetView>
  </sheetViews>
  <sheetFormatPr defaultRowHeight="15" x14ac:dyDescent="0.25"/>
  <cols>
    <col min="1" max="1" width="14.140625" style="73" bestFit="1" customWidth="1"/>
    <col min="2" max="2" width="9.7109375" style="71" bestFit="1" customWidth="1"/>
    <col min="3" max="3" width="14.42578125" style="73" bestFit="1" customWidth="1"/>
    <col min="4" max="4" width="13.5703125" style="73" bestFit="1" customWidth="1"/>
    <col min="5" max="5" width="81.140625" style="73" bestFit="1" customWidth="1"/>
    <col min="6" max="6" width="8.7109375" style="73" bestFit="1" customWidth="1"/>
    <col min="7" max="7" width="14.28515625" style="112" bestFit="1" customWidth="1"/>
    <col min="8" max="8" width="10" style="112" bestFit="1" customWidth="1"/>
    <col min="9" max="9" width="10.28515625" style="259" bestFit="1" customWidth="1"/>
    <col min="10" max="10" width="16.7109375" style="71" bestFit="1" customWidth="1"/>
    <col min="11" max="11" width="14.28515625" style="108" bestFit="1" customWidth="1"/>
    <col min="12" max="12" width="9.7109375" style="72" bestFit="1" customWidth="1"/>
    <col min="13" max="13" width="9.42578125" style="71" bestFit="1" customWidth="1"/>
    <col min="14" max="14" width="19" style="73"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916" t="s">
        <v>709</v>
      </c>
      <c r="B1" s="917"/>
      <c r="C1" s="917"/>
      <c r="D1" s="917"/>
      <c r="E1" s="917"/>
      <c r="F1" s="917"/>
      <c r="G1" s="917"/>
      <c r="H1" s="918"/>
      <c r="I1" s="907" t="s">
        <v>710</v>
      </c>
      <c r="J1" s="908"/>
      <c r="K1" s="908"/>
      <c r="L1" s="908"/>
      <c r="M1" s="908"/>
      <c r="N1" s="909"/>
      <c r="P1" s="30" t="s">
        <v>711</v>
      </c>
      <c r="Q1" s="15">
        <v>1</v>
      </c>
      <c r="R1" s="60" t="s">
        <v>174</v>
      </c>
      <c r="S1" s="15">
        <v>4</v>
      </c>
    </row>
    <row r="2" spans="1:19" x14ac:dyDescent="0.25">
      <c r="A2" s="919"/>
      <c r="B2" s="793"/>
      <c r="C2" s="793"/>
      <c r="D2" s="793"/>
      <c r="E2" s="793"/>
      <c r="F2" s="793"/>
      <c r="G2" s="793"/>
      <c r="H2" s="920"/>
      <c r="I2" s="910"/>
      <c r="J2" s="911"/>
      <c r="K2" s="911"/>
      <c r="L2" s="911"/>
      <c r="M2" s="911"/>
      <c r="N2" s="912"/>
      <c r="P2" s="30" t="s">
        <v>712</v>
      </c>
      <c r="Q2" s="15">
        <v>2</v>
      </c>
      <c r="R2" s="30" t="s">
        <v>713</v>
      </c>
      <c r="S2" s="15">
        <v>0</v>
      </c>
    </row>
    <row r="3" spans="1:19" ht="15.75" thickBot="1" x14ac:dyDescent="0.3">
      <c r="A3" s="921"/>
      <c r="B3" s="922"/>
      <c r="C3" s="922"/>
      <c r="D3" s="922"/>
      <c r="E3" s="922"/>
      <c r="F3" s="922"/>
      <c r="G3" s="922"/>
      <c r="H3" s="923"/>
      <c r="I3" s="913"/>
      <c r="J3" s="914"/>
      <c r="K3" s="914"/>
      <c r="L3" s="914"/>
      <c r="M3" s="914"/>
      <c r="N3" s="915"/>
      <c r="P3" s="30" t="s">
        <v>714</v>
      </c>
      <c r="Q3" s="15">
        <v>3</v>
      </c>
      <c r="R3" s="15" t="s">
        <v>715</v>
      </c>
      <c r="S3" s="15">
        <v>5</v>
      </c>
    </row>
    <row r="4" spans="1:19" s="62" customFormat="1" ht="15.75" thickTop="1" x14ac:dyDescent="0.25">
      <c r="A4" s="109" t="s">
        <v>716</v>
      </c>
      <c r="B4" s="110" t="s">
        <v>717</v>
      </c>
      <c r="C4" s="109" t="s">
        <v>718</v>
      </c>
      <c r="D4" s="109" t="s">
        <v>719</v>
      </c>
      <c r="E4" s="109" t="s">
        <v>720</v>
      </c>
      <c r="F4" s="109" t="s">
        <v>688</v>
      </c>
      <c r="G4" s="111" t="s">
        <v>689</v>
      </c>
      <c r="H4" s="111" t="s">
        <v>721</v>
      </c>
      <c r="I4" s="257" t="s">
        <v>722</v>
      </c>
      <c r="J4" s="68" t="s">
        <v>723</v>
      </c>
      <c r="K4" s="273" t="s">
        <v>102</v>
      </c>
      <c r="L4" s="68" t="s">
        <v>724</v>
      </c>
      <c r="M4" s="68" t="s">
        <v>725</v>
      </c>
      <c r="N4" s="68" t="s">
        <v>497</v>
      </c>
    </row>
    <row r="5" spans="1:19" x14ac:dyDescent="0.25">
      <c r="A5" s="73" t="str">
        <f>+IF(FromProposal[[#This Row],[Cost Code]]&lt;&gt;0,+'Gnatt Chart'!$A$2,"")</f>
        <v xml:space="preserve">Tim Flemming </v>
      </c>
      <c r="B5" s="71">
        <v>1</v>
      </c>
      <c r="C5" s="73" t="s">
        <v>690</v>
      </c>
      <c r="D5" s="73" t="s">
        <v>690</v>
      </c>
      <c r="E5" s="73" t="s">
        <v>691</v>
      </c>
      <c r="F5" s="73">
        <v>0</v>
      </c>
      <c r="G5" s="306"/>
      <c r="H5" s="306"/>
      <c r="I5" s="258" t="s">
        <v>516</v>
      </c>
      <c r="J5" s="69">
        <v>4</v>
      </c>
      <c r="K5" s="277">
        <v>45363</v>
      </c>
      <c r="L5" s="69"/>
      <c r="M5" s="276"/>
      <c r="N5" s="70"/>
    </row>
    <row r="6" spans="1:19" x14ac:dyDescent="0.25">
      <c r="A6" s="73" t="str">
        <f>+IF(FromProposal[[#This Row],[Cost Code]]&lt;&gt;0,+'Gnatt Chart'!$A$2,"")</f>
        <v xml:space="preserve">Tim Flemming </v>
      </c>
      <c r="B6" s="71">
        <v>2</v>
      </c>
      <c r="C6" s="73" t="s">
        <v>174</v>
      </c>
      <c r="D6" s="73" t="s">
        <v>692</v>
      </c>
      <c r="E6" s="73" t="s">
        <v>693</v>
      </c>
      <c r="F6" s="73">
        <v>3</v>
      </c>
      <c r="G6" s="306">
        <v>62.5</v>
      </c>
      <c r="H6" s="306">
        <v>187.5</v>
      </c>
      <c r="I6" s="258" t="s">
        <v>516</v>
      </c>
      <c r="J6" s="69">
        <v>4</v>
      </c>
      <c r="K6" s="277">
        <v>46034</v>
      </c>
      <c r="L6" s="69"/>
      <c r="M6" s="276">
        <v>187.5</v>
      </c>
      <c r="N6" s="70"/>
    </row>
    <row r="7" spans="1:19" x14ac:dyDescent="0.25">
      <c r="A7" s="73" t="str">
        <f>+IF(FromProposal[[#This Row],[Cost Code]]&lt;&gt;0,+'Gnatt Chart'!$A$2,"")</f>
        <v xml:space="preserve">Tim Flemming </v>
      </c>
      <c r="B7" s="71">
        <v>3</v>
      </c>
      <c r="C7" s="73" t="s">
        <v>694</v>
      </c>
      <c r="D7" s="73" t="s">
        <v>692</v>
      </c>
      <c r="E7" s="73" t="s">
        <v>695</v>
      </c>
      <c r="F7" s="73">
        <v>1</v>
      </c>
      <c r="G7" s="306">
        <v>350</v>
      </c>
      <c r="H7" s="306">
        <v>350</v>
      </c>
      <c r="I7" s="258" t="s">
        <v>516</v>
      </c>
      <c r="J7" s="69">
        <v>4</v>
      </c>
      <c r="K7" s="277">
        <v>46052</v>
      </c>
      <c r="L7" s="69"/>
      <c r="M7" s="276">
        <v>350</v>
      </c>
      <c r="N7" s="70"/>
    </row>
    <row r="8" spans="1:19" x14ac:dyDescent="0.25">
      <c r="A8" s="73" t="str">
        <f>+IF(FromProposal[[#This Row],[Cost Code]]&lt;&gt;0,+'Gnatt Chart'!$A$2,"")</f>
        <v/>
      </c>
      <c r="B8" s="71">
        <v>4</v>
      </c>
      <c r="D8" s="73" t="s">
        <v>696</v>
      </c>
      <c r="E8" s="73" t="s">
        <v>697</v>
      </c>
      <c r="F8" s="73">
        <v>6</v>
      </c>
      <c r="G8" s="306"/>
      <c r="H8" s="306"/>
      <c r="I8" s="258"/>
      <c r="J8" s="69">
        <v>4</v>
      </c>
      <c r="K8" s="277"/>
      <c r="L8" s="69"/>
      <c r="M8" s="276"/>
      <c r="N8" s="70"/>
    </row>
    <row r="9" spans="1:19" x14ac:dyDescent="0.25">
      <c r="A9" s="73" t="str">
        <f>+IF(FromProposal[[#This Row],[Cost Code]]&lt;&gt;0,+'Gnatt Chart'!$A$2,"")</f>
        <v xml:space="preserve">Tim Flemming </v>
      </c>
      <c r="B9" s="71">
        <v>5</v>
      </c>
      <c r="C9" s="73" t="s">
        <v>174</v>
      </c>
      <c r="D9" s="73" t="s">
        <v>692</v>
      </c>
      <c r="E9" s="73" t="s">
        <v>698</v>
      </c>
      <c r="F9" s="73">
        <v>1</v>
      </c>
      <c r="G9" s="306">
        <v>500</v>
      </c>
      <c r="H9" s="306">
        <v>500</v>
      </c>
      <c r="I9" s="258" t="s">
        <v>516</v>
      </c>
      <c r="J9" s="69">
        <v>4</v>
      </c>
      <c r="K9" s="277">
        <v>46034</v>
      </c>
      <c r="L9" s="69"/>
      <c r="M9" s="276">
        <v>500</v>
      </c>
      <c r="N9" s="70"/>
    </row>
    <row r="10" spans="1:19" x14ac:dyDescent="0.25">
      <c r="A10" s="73" t="str">
        <f>+IF(FromProposal[[#This Row],[Cost Code]]&lt;&gt;0,+'Gnatt Chart'!$A$2,"")</f>
        <v xml:space="preserve">Tim Flemming </v>
      </c>
      <c r="B10" s="71">
        <v>6</v>
      </c>
      <c r="C10" s="73" t="s">
        <v>174</v>
      </c>
      <c r="D10" s="73" t="s">
        <v>692</v>
      </c>
      <c r="E10" s="73" t="s">
        <v>699</v>
      </c>
      <c r="F10" s="73">
        <v>25</v>
      </c>
      <c r="G10" s="306">
        <v>62.5</v>
      </c>
      <c r="H10" s="306">
        <v>1562.5</v>
      </c>
      <c r="I10" s="258" t="s">
        <v>516</v>
      </c>
      <c r="J10" s="69">
        <v>4</v>
      </c>
      <c r="K10" s="277">
        <v>46111</v>
      </c>
      <c r="L10" s="69"/>
      <c r="M10" s="276">
        <v>1562.5</v>
      </c>
      <c r="N10" s="70"/>
    </row>
    <row r="11" spans="1:19" x14ac:dyDescent="0.25">
      <c r="A11" s="73" t="str">
        <f>+IF(FromProposal[[#This Row],[Cost Code]]&lt;&gt;0,+'Gnatt Chart'!$A$2,"")</f>
        <v xml:space="preserve">Tim Flemming </v>
      </c>
      <c r="B11" s="71">
        <v>7</v>
      </c>
      <c r="C11" s="73" t="s">
        <v>174</v>
      </c>
      <c r="D11" s="73" t="s">
        <v>692</v>
      </c>
      <c r="E11" s="73" t="s">
        <v>700</v>
      </c>
      <c r="F11" s="73">
        <v>1</v>
      </c>
      <c r="G11" s="306">
        <v>256.11</v>
      </c>
      <c r="H11" s="306">
        <v>256.11</v>
      </c>
      <c r="I11" s="258" t="s">
        <v>516</v>
      </c>
      <c r="J11" s="69">
        <v>4</v>
      </c>
      <c r="K11" s="277">
        <v>46111</v>
      </c>
      <c r="L11" s="69"/>
      <c r="M11" s="276">
        <v>256.11</v>
      </c>
      <c r="N11" s="70"/>
    </row>
    <row r="12" spans="1:19" x14ac:dyDescent="0.25">
      <c r="A12" s="73" t="str">
        <f>+IF(FromProposal[[#This Row],[Cost Code]]&lt;&gt;0,+'Gnatt Chart'!$A$2,"")</f>
        <v xml:space="preserve">Tim Flemming </v>
      </c>
      <c r="B12" s="71">
        <v>8</v>
      </c>
      <c r="C12" s="73" t="s">
        <v>174</v>
      </c>
      <c r="D12" s="73" t="s">
        <v>692</v>
      </c>
      <c r="E12" s="73" t="s">
        <v>1144</v>
      </c>
      <c r="F12" s="73">
        <v>1</v>
      </c>
      <c r="G12" s="306">
        <v>1312.5</v>
      </c>
      <c r="H12" s="306">
        <v>1312.5</v>
      </c>
      <c r="I12" s="258" t="s">
        <v>516</v>
      </c>
      <c r="J12" s="69">
        <v>4</v>
      </c>
      <c r="K12" s="277"/>
      <c r="L12" s="69"/>
      <c r="M12" s="276">
        <v>1312.5</v>
      </c>
      <c r="N12" s="70"/>
    </row>
    <row r="13" spans="1:19" x14ac:dyDescent="0.25">
      <c r="A13" s="73" t="str">
        <f>+IF(FromProposal[[#This Row],[Cost Code]]&lt;&gt;0,+'Gnatt Chart'!$A$2,"")</f>
        <v xml:space="preserve">Tim Flemming </v>
      </c>
      <c r="B13" s="71">
        <v>9</v>
      </c>
      <c r="C13" s="73" t="s">
        <v>702</v>
      </c>
      <c r="D13" s="73" t="s">
        <v>701</v>
      </c>
      <c r="E13" s="73" t="s">
        <v>703</v>
      </c>
      <c r="F13" s="73">
        <v>0</v>
      </c>
      <c r="G13" s="306">
        <v>0</v>
      </c>
      <c r="H13" s="306">
        <v>0</v>
      </c>
      <c r="I13" s="258" t="s">
        <v>516</v>
      </c>
      <c r="J13" s="69"/>
      <c r="K13" s="277"/>
      <c r="L13" s="69"/>
      <c r="M13" s="276"/>
      <c r="N13" s="70"/>
    </row>
    <row r="14" spans="1:19" x14ac:dyDescent="0.25">
      <c r="A14" s="73" t="str">
        <f>+IF(FromProposal[[#This Row],[Cost Code]]&lt;&gt;0,+'Gnatt Chart'!$A$2,"")</f>
        <v xml:space="preserve">Tim Flemming </v>
      </c>
      <c r="B14" s="71">
        <v>10</v>
      </c>
      <c r="C14" s="73" t="s">
        <v>174</v>
      </c>
      <c r="D14" s="73" t="s">
        <v>692</v>
      </c>
      <c r="E14" s="73" t="s">
        <v>704</v>
      </c>
      <c r="F14" s="73">
        <v>30</v>
      </c>
      <c r="G14" s="305">
        <v>62.5</v>
      </c>
      <c r="H14" s="305">
        <v>1875</v>
      </c>
      <c r="I14" s="258" t="s">
        <v>516</v>
      </c>
      <c r="J14" s="69">
        <v>4</v>
      </c>
      <c r="K14" s="277">
        <v>46075</v>
      </c>
      <c r="L14" s="69"/>
      <c r="M14" s="276">
        <v>1875</v>
      </c>
      <c r="N14" s="70"/>
    </row>
    <row r="15" spans="1:19" x14ac:dyDescent="0.25">
      <c r="A15" s="73" t="str">
        <f>+IF(FromProposal[[#This Row],[Cost Code]]&lt;&gt;0,+'Gnatt Chart'!$A$2,"")</f>
        <v xml:space="preserve">Tim Flemming </v>
      </c>
      <c r="B15" s="71">
        <v>11</v>
      </c>
      <c r="C15" s="73" t="s">
        <v>174</v>
      </c>
      <c r="D15" s="73" t="s">
        <v>705</v>
      </c>
      <c r="E15" s="617" t="s">
        <v>706</v>
      </c>
      <c r="F15" s="73">
        <v>1</v>
      </c>
      <c r="G15" s="306">
        <v>138.13999999999999</v>
      </c>
      <c r="H15" s="306">
        <v>138.13999999999999</v>
      </c>
      <c r="I15" s="258" t="s">
        <v>516</v>
      </c>
      <c r="J15" s="69">
        <v>4</v>
      </c>
      <c r="K15" s="277">
        <v>46075</v>
      </c>
      <c r="L15" s="69"/>
      <c r="M15" s="276">
        <v>138.13999999999999</v>
      </c>
      <c r="N15" s="70"/>
    </row>
    <row r="16" spans="1:19" x14ac:dyDescent="0.25">
      <c r="A16" s="73" t="str">
        <f>+IF(FromProposal[[#This Row],[Cost Code]]&lt;&gt;0,+'Gnatt Chart'!$A$2,"")</f>
        <v xml:space="preserve">Tim Flemming </v>
      </c>
      <c r="B16" s="71">
        <v>12</v>
      </c>
      <c r="C16" s="73" t="s">
        <v>174</v>
      </c>
      <c r="D16" s="73" t="s">
        <v>692</v>
      </c>
      <c r="E16" s="73" t="s">
        <v>707</v>
      </c>
      <c r="F16" s="73">
        <v>21</v>
      </c>
      <c r="G16" s="306">
        <v>62.5</v>
      </c>
      <c r="H16" s="306">
        <v>1312.5</v>
      </c>
      <c r="I16" s="258" t="s">
        <v>516</v>
      </c>
      <c r="J16" s="69">
        <v>4</v>
      </c>
      <c r="K16" s="277">
        <v>46090</v>
      </c>
      <c r="L16" s="69"/>
      <c r="M16" s="276">
        <v>1312.5</v>
      </c>
      <c r="N16" s="70"/>
    </row>
    <row r="17" spans="1:14" x14ac:dyDescent="0.25">
      <c r="A17" s="73" t="str">
        <f>+IF(FromProposal[[#This Row],[Cost Code]]&lt;&gt;0,+'Gnatt Chart'!$A$2,"")</f>
        <v xml:space="preserve">Tim Flemming </v>
      </c>
      <c r="B17" s="71">
        <v>13</v>
      </c>
      <c r="C17" s="73" t="s">
        <v>174</v>
      </c>
      <c r="D17" s="73" t="s">
        <v>705</v>
      </c>
      <c r="E17" s="73" t="s">
        <v>708</v>
      </c>
      <c r="F17" s="73">
        <v>1</v>
      </c>
      <c r="G17" s="306">
        <v>97.45</v>
      </c>
      <c r="H17" s="306">
        <v>97.45</v>
      </c>
      <c r="I17" s="258" t="s">
        <v>516</v>
      </c>
      <c r="J17" s="69">
        <v>4</v>
      </c>
      <c r="K17" s="277">
        <v>46090</v>
      </c>
      <c r="L17" s="69"/>
      <c r="M17" s="276">
        <v>97.45</v>
      </c>
      <c r="N17" s="70"/>
    </row>
    <row r="18" spans="1:14" x14ac:dyDescent="0.25">
      <c r="A18" s="73" t="str">
        <f>+IF(FromProposal[[#This Row],[Cost Code]]&lt;&gt;0,+'Gnatt Chart'!$A$2,"")</f>
        <v xml:space="preserve">Tim Flemming </v>
      </c>
      <c r="B18" s="71">
        <v>14</v>
      </c>
      <c r="C18" s="73" t="s">
        <v>174</v>
      </c>
      <c r="D18" s="73" t="s">
        <v>692</v>
      </c>
      <c r="E18" s="73" t="s">
        <v>1145</v>
      </c>
      <c r="F18" s="73">
        <v>1</v>
      </c>
      <c r="G18" s="306">
        <v>150</v>
      </c>
      <c r="H18" s="306">
        <v>150</v>
      </c>
      <c r="I18" s="258" t="s">
        <v>516</v>
      </c>
      <c r="J18" s="69">
        <v>4</v>
      </c>
      <c r="K18" s="277">
        <v>46128</v>
      </c>
      <c r="L18" s="69"/>
      <c r="M18" s="276">
        <v>150</v>
      </c>
      <c r="N18" s="70"/>
    </row>
    <row r="19" spans="1:14" x14ac:dyDescent="0.25">
      <c r="A19" s="73" t="str">
        <f>+IF(FromProposal[[#This Row],[Cost Code]]&lt;&gt;0,+'Gnatt Chart'!$A$2,"")</f>
        <v xml:space="preserve">Tim Flemming </v>
      </c>
      <c r="B19" s="71">
        <v>15</v>
      </c>
      <c r="C19" s="73" t="s">
        <v>174</v>
      </c>
      <c r="D19" s="73" t="s">
        <v>692</v>
      </c>
      <c r="E19" s="73" t="s">
        <v>1146</v>
      </c>
      <c r="F19" s="73">
        <v>1</v>
      </c>
      <c r="G19" s="306">
        <v>25</v>
      </c>
      <c r="H19" s="306">
        <v>25</v>
      </c>
      <c r="I19" s="258" t="s">
        <v>516</v>
      </c>
      <c r="J19" s="69">
        <v>4</v>
      </c>
      <c r="K19" s="277">
        <v>46128</v>
      </c>
      <c r="L19" s="69"/>
      <c r="M19" s="276">
        <v>25</v>
      </c>
      <c r="N19" s="70"/>
    </row>
    <row r="20" spans="1:14" x14ac:dyDescent="0.25">
      <c r="A20" s="73" t="str">
        <f>+IF(FromProposal[[#This Row],[Cost Code]]&lt;&gt;0,+'Gnatt Chart'!$A$2,"")</f>
        <v xml:space="preserve">Tim Flemming </v>
      </c>
      <c r="B20" s="71">
        <v>16</v>
      </c>
      <c r="C20" s="73" t="s">
        <v>174</v>
      </c>
      <c r="D20" s="73" t="s">
        <v>692</v>
      </c>
      <c r="E20" s="73" t="s">
        <v>1147</v>
      </c>
      <c r="F20" s="73">
        <v>1</v>
      </c>
      <c r="G20" s="306">
        <v>78.78</v>
      </c>
      <c r="H20" s="306">
        <v>78.78</v>
      </c>
      <c r="I20" s="258" t="s">
        <v>516</v>
      </c>
      <c r="J20" s="69">
        <v>4</v>
      </c>
      <c r="K20" s="277">
        <v>46128</v>
      </c>
      <c r="L20" s="69"/>
      <c r="M20" s="276">
        <v>78.78</v>
      </c>
      <c r="N20" s="70"/>
    </row>
    <row r="21" spans="1:14" x14ac:dyDescent="0.25">
      <c r="A21" s="73" t="str">
        <f>+IF(FromProposal[[#This Row],[Cost Code]]&lt;&gt;0,+'Gnatt Chart'!$A$2,"")</f>
        <v xml:space="preserve">Tim Flemming </v>
      </c>
      <c r="B21" s="71">
        <v>17</v>
      </c>
      <c r="C21" s="73" t="s">
        <v>174</v>
      </c>
      <c r="D21" s="73" t="s">
        <v>692</v>
      </c>
      <c r="E21" s="73" t="s">
        <v>1152</v>
      </c>
      <c r="F21" s="73">
        <v>2</v>
      </c>
      <c r="G21" s="306">
        <v>62.15</v>
      </c>
      <c r="H21" s="306">
        <v>124.3</v>
      </c>
      <c r="I21" s="258"/>
      <c r="J21" s="69"/>
      <c r="K21" s="277"/>
      <c r="L21" s="69"/>
      <c r="M21" s="276"/>
      <c r="N21" s="70"/>
    </row>
    <row r="22" spans="1:14" x14ac:dyDescent="0.25">
      <c r="A22" s="73" t="str">
        <f>+IF(FromProposal[[#This Row],[Cost Code]]&lt;&gt;0,+'Gnatt Chart'!$A$2,"")</f>
        <v/>
      </c>
      <c r="B22" s="71">
        <v>18</v>
      </c>
      <c r="G22" s="306"/>
      <c r="H22" s="306"/>
      <c r="I22" s="258"/>
      <c r="J22" s="69"/>
      <c r="K22" s="277"/>
      <c r="L22" s="69"/>
      <c r="M22" s="276"/>
      <c r="N22" s="70" t="s">
        <v>726</v>
      </c>
    </row>
    <row r="23" spans="1:14" x14ac:dyDescent="0.25">
      <c r="A23" s="73" t="str">
        <f>+IF(FromProposal[[#This Row],[Cost Code]]&lt;&gt;0,+'Gnatt Chart'!$A$2,"")</f>
        <v/>
      </c>
      <c r="B23" s="71">
        <v>19</v>
      </c>
      <c r="G23" s="306"/>
      <c r="H23" s="306"/>
      <c r="I23" s="258"/>
      <c r="J23" s="69"/>
      <c r="K23" s="277"/>
      <c r="L23" s="69"/>
      <c r="M23" s="276"/>
      <c r="N23" s="70"/>
    </row>
    <row r="24" spans="1:14" x14ac:dyDescent="0.25">
      <c r="A24" s="73" t="str">
        <f>+IF(FromProposal[[#This Row],[Cost Code]]&lt;&gt;0,+'Gnatt Chart'!$A$2,"")</f>
        <v/>
      </c>
      <c r="B24" s="71">
        <v>20</v>
      </c>
      <c r="G24" s="306"/>
      <c r="H24" s="306"/>
      <c r="I24" s="258"/>
      <c r="J24" s="69"/>
      <c r="K24" s="277"/>
      <c r="L24" s="69"/>
      <c r="M24" s="276"/>
      <c r="N24" s="70"/>
    </row>
    <row r="25" spans="1:14" x14ac:dyDescent="0.25">
      <c r="A25" s="73" t="str">
        <f>+IF(FromProposal[[#This Row],[Cost Code]]&lt;&gt;0,+'Gnatt Chart'!$A$2,"")</f>
        <v/>
      </c>
      <c r="B25" s="71">
        <v>21</v>
      </c>
      <c r="G25" s="306"/>
      <c r="H25" s="306"/>
      <c r="I25" s="258"/>
      <c r="J25" s="69"/>
      <c r="K25" s="277"/>
      <c r="L25" s="69"/>
      <c r="M25" s="276"/>
      <c r="N25" s="70"/>
    </row>
    <row r="26" spans="1:14" x14ac:dyDescent="0.25">
      <c r="A26" s="73" t="str">
        <f>+IF(FromProposal[[#This Row],[Cost Code]]&lt;&gt;0,+'Gnatt Chart'!$A$2,"")</f>
        <v/>
      </c>
      <c r="B26" s="71">
        <v>22</v>
      </c>
      <c r="E26" s="289"/>
      <c r="F26" s="289"/>
      <c r="G26" s="307"/>
      <c r="H26" s="307"/>
      <c r="I26" s="258"/>
      <c r="J26" s="69"/>
      <c r="K26" s="277"/>
      <c r="L26" s="69"/>
      <c r="M26" s="276"/>
      <c r="N26" s="70"/>
    </row>
    <row r="27" spans="1:14" x14ac:dyDescent="0.25">
      <c r="A27" s="73" t="str">
        <f>+IF(FromProposal[[#This Row],[Cost Code]]&lt;&gt;0,+'Gnatt Chart'!$A$2,"")</f>
        <v/>
      </c>
      <c r="B27" s="71">
        <v>23</v>
      </c>
      <c r="G27" s="306"/>
      <c r="H27" s="306"/>
      <c r="I27" s="258"/>
      <c r="J27" s="69"/>
      <c r="K27" s="277"/>
      <c r="L27" s="69"/>
      <c r="M27" s="276"/>
      <c r="N27" s="70"/>
    </row>
    <row r="28" spans="1:14" x14ac:dyDescent="0.25">
      <c r="G28" s="73"/>
      <c r="H28" s="73"/>
      <c r="K28" s="274"/>
    </row>
    <row r="29" spans="1:14" x14ac:dyDescent="0.25">
      <c r="G29" s="73"/>
      <c r="H29" s="73"/>
      <c r="K29" s="274"/>
    </row>
    <row r="30" spans="1:14" x14ac:dyDescent="0.25">
      <c r="G30" s="73"/>
      <c r="H30" s="73"/>
      <c r="K30" s="274"/>
    </row>
    <row r="31" spans="1:14" x14ac:dyDescent="0.25">
      <c r="G31" s="73"/>
      <c r="H31" s="73"/>
      <c r="K31" s="274"/>
    </row>
    <row r="32" spans="1:14" x14ac:dyDescent="0.25">
      <c r="G32" s="73"/>
      <c r="H32" s="73"/>
      <c r="K32" s="274"/>
    </row>
    <row r="33" spans="7:11" x14ac:dyDescent="0.25">
      <c r="G33" s="73"/>
      <c r="H33" s="73"/>
      <c r="K33" s="274"/>
    </row>
    <row r="34" spans="7:11" x14ac:dyDescent="0.25">
      <c r="G34" s="73"/>
      <c r="H34" s="73"/>
      <c r="K34" s="274"/>
    </row>
    <row r="35" spans="7:11" x14ac:dyDescent="0.25">
      <c r="G35" s="73"/>
      <c r="H35" s="73"/>
      <c r="K35" s="274"/>
    </row>
    <row r="36" spans="7:11" x14ac:dyDescent="0.25">
      <c r="G36" s="73"/>
      <c r="H36" s="73"/>
      <c r="K36" s="274"/>
    </row>
    <row r="37" spans="7:11" x14ac:dyDescent="0.25">
      <c r="G37" s="73"/>
      <c r="H37" s="73"/>
      <c r="K37" s="274"/>
    </row>
    <row r="38" spans="7:11" x14ac:dyDescent="0.25">
      <c r="G38" s="73"/>
      <c r="H38" s="73"/>
      <c r="K38" s="274"/>
    </row>
    <row r="39" spans="7:11" x14ac:dyDescent="0.25">
      <c r="G39" s="73"/>
      <c r="H39" s="73"/>
      <c r="K39" s="274"/>
    </row>
    <row r="40" spans="7:11" x14ac:dyDescent="0.25">
      <c r="G40" s="73"/>
      <c r="H40" s="73"/>
      <c r="K40" s="274"/>
    </row>
    <row r="41" spans="7:11" x14ac:dyDescent="0.25">
      <c r="G41" s="73"/>
      <c r="H41" s="73"/>
      <c r="K41" s="274"/>
    </row>
    <row r="42" spans="7:11" x14ac:dyDescent="0.25">
      <c r="G42" s="73"/>
      <c r="H42" s="73"/>
      <c r="K42" s="274"/>
    </row>
    <row r="43" spans="7:11" x14ac:dyDescent="0.25">
      <c r="G43" s="73"/>
      <c r="H43" s="73"/>
      <c r="K43" s="274"/>
    </row>
    <row r="44" spans="7:11" x14ac:dyDescent="0.25">
      <c r="G44" s="73"/>
      <c r="H44" s="73"/>
      <c r="K44" s="274"/>
    </row>
    <row r="45" spans="7:11" x14ac:dyDescent="0.25">
      <c r="G45" s="73"/>
      <c r="H45" s="73"/>
      <c r="K45" s="274"/>
    </row>
    <row r="46" spans="7:11" x14ac:dyDescent="0.25">
      <c r="G46" s="73"/>
      <c r="H46" s="73"/>
      <c r="K46" s="274"/>
    </row>
    <row r="47" spans="7:11" x14ac:dyDescent="0.25">
      <c r="G47" s="73"/>
      <c r="H47" s="73"/>
      <c r="K47" s="274"/>
    </row>
    <row r="48" spans="7:11" x14ac:dyDescent="0.25">
      <c r="G48" s="73"/>
      <c r="H48" s="73"/>
      <c r="K48" s="274"/>
    </row>
    <row r="49" spans="7:11" x14ac:dyDescent="0.25">
      <c r="G49" s="73"/>
      <c r="H49" s="73"/>
      <c r="K49" s="274"/>
    </row>
    <row r="50" spans="7:11" x14ac:dyDescent="0.25">
      <c r="G50" s="73"/>
      <c r="H50" s="73"/>
      <c r="K50" s="274"/>
    </row>
    <row r="51" spans="7:11" x14ac:dyDescent="0.25">
      <c r="G51" s="73"/>
      <c r="H51" s="73"/>
      <c r="K51" s="274"/>
    </row>
    <row r="52" spans="7:11" x14ac:dyDescent="0.25">
      <c r="G52" s="73"/>
      <c r="H52" s="73"/>
      <c r="K52" s="274"/>
    </row>
    <row r="53" spans="7:11" x14ac:dyDescent="0.25">
      <c r="G53" s="73"/>
      <c r="H53" s="73"/>
      <c r="K53" s="274"/>
    </row>
    <row r="54" spans="7:11" x14ac:dyDescent="0.25">
      <c r="G54" s="73"/>
      <c r="H54" s="73"/>
      <c r="K54" s="274"/>
    </row>
    <row r="55" spans="7:11" x14ac:dyDescent="0.25">
      <c r="G55" s="73"/>
      <c r="H55" s="73"/>
      <c r="K55" s="274"/>
    </row>
    <row r="56" spans="7:11" x14ac:dyDescent="0.25">
      <c r="G56" s="73"/>
      <c r="H56" s="73"/>
      <c r="K56" s="274"/>
    </row>
    <row r="57" spans="7:11" x14ac:dyDescent="0.25">
      <c r="G57" s="73"/>
      <c r="H57" s="73"/>
      <c r="K57" s="274"/>
    </row>
    <row r="58" spans="7:11" x14ac:dyDescent="0.25">
      <c r="G58" s="73"/>
      <c r="H58" s="73"/>
      <c r="K58" s="274"/>
    </row>
    <row r="59" spans="7:11" x14ac:dyDescent="0.25">
      <c r="G59" s="73"/>
      <c r="H59" s="73"/>
      <c r="K59" s="274"/>
    </row>
    <row r="60" spans="7:11" x14ac:dyDescent="0.25">
      <c r="G60" s="73"/>
      <c r="H60" s="73"/>
      <c r="K60" s="274"/>
    </row>
    <row r="61" spans="7:11" x14ac:dyDescent="0.25">
      <c r="G61" s="73"/>
      <c r="H61" s="73"/>
      <c r="K61" s="274"/>
    </row>
    <row r="62" spans="7:11" x14ac:dyDescent="0.25">
      <c r="G62" s="73"/>
      <c r="H62" s="73"/>
      <c r="K62" s="274"/>
    </row>
    <row r="63" spans="7:11" x14ac:dyDescent="0.25">
      <c r="G63" s="73"/>
      <c r="H63" s="73"/>
      <c r="K63" s="274"/>
    </row>
    <row r="64" spans="7:11" x14ac:dyDescent="0.25">
      <c r="G64" s="73"/>
      <c r="H64" s="73"/>
      <c r="K64" s="274"/>
    </row>
    <row r="65" spans="7:11" x14ac:dyDescent="0.25">
      <c r="G65" s="73"/>
      <c r="H65" s="73"/>
      <c r="K65" s="274"/>
    </row>
    <row r="66" spans="7:11" x14ac:dyDescent="0.25">
      <c r="G66" s="73"/>
      <c r="H66" s="73"/>
      <c r="K66" s="274"/>
    </row>
    <row r="67" spans="7:11" x14ac:dyDescent="0.25">
      <c r="G67" s="73"/>
      <c r="H67" s="73"/>
      <c r="K67" s="274"/>
    </row>
    <row r="68" spans="7:11" x14ac:dyDescent="0.25">
      <c r="G68" s="73"/>
      <c r="H68" s="73"/>
      <c r="K68" s="274"/>
    </row>
    <row r="69" spans="7:11" x14ac:dyDescent="0.25">
      <c r="K69" s="274"/>
    </row>
    <row r="70" spans="7:11" x14ac:dyDescent="0.25">
      <c r="K70" s="274"/>
    </row>
    <row r="71" spans="7:11" x14ac:dyDescent="0.25">
      <c r="K71" s="274"/>
    </row>
    <row r="72" spans="7:11" x14ac:dyDescent="0.25">
      <c r="K72" s="274"/>
    </row>
    <row r="73" spans="7:11" x14ac:dyDescent="0.25">
      <c r="K73" s="274"/>
    </row>
    <row r="74" spans="7:11" x14ac:dyDescent="0.25">
      <c r="K74" s="274"/>
    </row>
    <row r="75" spans="7:11" x14ac:dyDescent="0.25">
      <c r="K75" s="274"/>
    </row>
    <row r="76" spans="7:11" x14ac:dyDescent="0.25">
      <c r="K76" s="274"/>
    </row>
    <row r="77" spans="7:11" x14ac:dyDescent="0.25">
      <c r="K77" s="274"/>
    </row>
    <row r="78" spans="7:11" x14ac:dyDescent="0.25">
      <c r="K78" s="274"/>
    </row>
    <row r="79" spans="7:11" x14ac:dyDescent="0.25">
      <c r="K79" s="274"/>
    </row>
    <row r="80" spans="7:11" x14ac:dyDescent="0.25">
      <c r="K80" s="274"/>
    </row>
    <row r="81" spans="11:11" x14ac:dyDescent="0.25">
      <c r="K81" s="274"/>
    </row>
    <row r="82" spans="11:11" x14ac:dyDescent="0.25">
      <c r="K82" s="274"/>
    </row>
    <row r="83" spans="11:11" x14ac:dyDescent="0.25">
      <c r="K83" s="274"/>
    </row>
    <row r="84" spans="11:11" x14ac:dyDescent="0.25">
      <c r="K84" s="274"/>
    </row>
    <row r="85" spans="11:11" x14ac:dyDescent="0.25">
      <c r="K85" s="274"/>
    </row>
    <row r="86" spans="11:11" x14ac:dyDescent="0.25">
      <c r="K86" s="274"/>
    </row>
    <row r="87" spans="11:11" x14ac:dyDescent="0.25">
      <c r="K87" s="274"/>
    </row>
    <row r="88" spans="11:11" x14ac:dyDescent="0.25">
      <c r="K88" s="274"/>
    </row>
    <row r="89" spans="11:11" x14ac:dyDescent="0.25">
      <c r="K89" s="274"/>
    </row>
    <row r="90" spans="11:11" x14ac:dyDescent="0.25">
      <c r="K90" s="274"/>
    </row>
    <row r="91" spans="11:11" x14ac:dyDescent="0.25">
      <c r="K91" s="274"/>
    </row>
    <row r="92" spans="11:11" x14ac:dyDescent="0.25">
      <c r="K92" s="274"/>
    </row>
    <row r="93" spans="11:11" x14ac:dyDescent="0.25">
      <c r="K93" s="274"/>
    </row>
    <row r="94" spans="11:11" x14ac:dyDescent="0.25">
      <c r="K94" s="274"/>
    </row>
    <row r="95" spans="11:11" x14ac:dyDescent="0.25">
      <c r="K95" s="274"/>
    </row>
    <row r="96" spans="11:11" x14ac:dyDescent="0.25">
      <c r="K96" s="274"/>
    </row>
    <row r="97" spans="11:11" x14ac:dyDescent="0.25">
      <c r="K97" s="274"/>
    </row>
    <row r="98" spans="11:11" x14ac:dyDescent="0.25">
      <c r="K98" s="274"/>
    </row>
    <row r="99" spans="11:11" x14ac:dyDescent="0.25">
      <c r="K99" s="274"/>
    </row>
    <row r="100" spans="11:11" x14ac:dyDescent="0.25">
      <c r="K100" s="274"/>
    </row>
    <row r="101" spans="11:11" x14ac:dyDescent="0.25">
      <c r="K101" s="274"/>
    </row>
    <row r="102" spans="11:11" x14ac:dyDescent="0.25">
      <c r="K102" s="274"/>
    </row>
    <row r="103" spans="11:11" x14ac:dyDescent="0.25">
      <c r="K103" s="274"/>
    </row>
    <row r="104" spans="11:11" x14ac:dyDescent="0.25">
      <c r="K104" s="274"/>
    </row>
    <row r="105" spans="11:11" x14ac:dyDescent="0.25">
      <c r="K105" s="274"/>
    </row>
    <row r="106" spans="11:11" x14ac:dyDescent="0.25">
      <c r="K106" s="274"/>
    </row>
    <row r="107" spans="11:11" x14ac:dyDescent="0.25">
      <c r="K107" s="274"/>
    </row>
    <row r="108" spans="11:11" x14ac:dyDescent="0.25">
      <c r="K108" s="274"/>
    </row>
    <row r="109" spans="11:11" x14ac:dyDescent="0.25">
      <c r="K109" s="274"/>
    </row>
    <row r="110" spans="11:11" x14ac:dyDescent="0.25">
      <c r="K110" s="274"/>
    </row>
    <row r="111" spans="11:11" x14ac:dyDescent="0.25">
      <c r="K111" s="274"/>
    </row>
    <row r="112" spans="11:11" x14ac:dyDescent="0.25">
      <c r="K112" s="274"/>
    </row>
    <row r="113" spans="11:11" x14ac:dyDescent="0.25">
      <c r="K113" s="274"/>
    </row>
    <row r="114" spans="11:11" x14ac:dyDescent="0.25">
      <c r="K114" s="274"/>
    </row>
    <row r="115" spans="11:11" x14ac:dyDescent="0.25">
      <c r="K115" s="274"/>
    </row>
    <row r="116" spans="11:11" x14ac:dyDescent="0.25">
      <c r="K116" s="274"/>
    </row>
    <row r="117" spans="11:11" x14ac:dyDescent="0.25">
      <c r="K117" s="274"/>
    </row>
    <row r="118" spans="11:11" x14ac:dyDescent="0.25">
      <c r="K118" s="274"/>
    </row>
    <row r="119" spans="11:11" x14ac:dyDescent="0.25">
      <c r="K119" s="274"/>
    </row>
    <row r="120" spans="11:11" x14ac:dyDescent="0.25">
      <c r="K120" s="274"/>
    </row>
    <row r="121" spans="11:11" x14ac:dyDescent="0.25">
      <c r="K121" s="274"/>
    </row>
    <row r="122" spans="11:11" x14ac:dyDescent="0.25">
      <c r="K122" s="274"/>
    </row>
    <row r="123" spans="11:11" x14ac:dyDescent="0.25">
      <c r="K123" s="274"/>
    </row>
    <row r="124" spans="11:11" x14ac:dyDescent="0.25">
      <c r="K124" s="274"/>
    </row>
    <row r="125" spans="11:11" x14ac:dyDescent="0.25">
      <c r="K125" s="274"/>
    </row>
    <row r="126" spans="11:11" x14ac:dyDescent="0.25">
      <c r="K126" s="274"/>
    </row>
    <row r="127" spans="11:11" x14ac:dyDescent="0.25">
      <c r="K127" s="274"/>
    </row>
    <row r="128" spans="11:11" x14ac:dyDescent="0.25">
      <c r="K128" s="274"/>
    </row>
    <row r="129" spans="11:11" x14ac:dyDescent="0.25">
      <c r="K129" s="274"/>
    </row>
    <row r="130" spans="11:11" x14ac:dyDescent="0.25">
      <c r="K130" s="274"/>
    </row>
    <row r="131" spans="11:11" x14ac:dyDescent="0.25">
      <c r="K131" s="274"/>
    </row>
    <row r="132" spans="11:11" x14ac:dyDescent="0.25">
      <c r="K132" s="274"/>
    </row>
    <row r="133" spans="11:11" x14ac:dyDescent="0.25">
      <c r="K133" s="274"/>
    </row>
    <row r="134" spans="11:11" x14ac:dyDescent="0.25">
      <c r="K134" s="274"/>
    </row>
    <row r="135" spans="11:11" x14ac:dyDescent="0.25">
      <c r="K135" s="274"/>
    </row>
    <row r="136" spans="11:11" x14ac:dyDescent="0.25">
      <c r="K136" s="274"/>
    </row>
    <row r="137" spans="11:11" x14ac:dyDescent="0.25">
      <c r="K137" s="274"/>
    </row>
    <row r="138" spans="11:11" x14ac:dyDescent="0.25">
      <c r="K138" s="274"/>
    </row>
    <row r="139" spans="11:11" x14ac:dyDescent="0.25">
      <c r="K139" s="274"/>
    </row>
    <row r="140" spans="11:11" x14ac:dyDescent="0.25">
      <c r="K140" s="274"/>
    </row>
    <row r="141" spans="11:11" x14ac:dyDescent="0.25">
      <c r="K141" s="274"/>
    </row>
    <row r="142" spans="11:11" x14ac:dyDescent="0.25">
      <c r="K142" s="274"/>
    </row>
    <row r="143" spans="11:11" x14ac:dyDescent="0.25">
      <c r="K143" s="274"/>
    </row>
    <row r="144" spans="11:11" x14ac:dyDescent="0.25">
      <c r="K144" s="274"/>
    </row>
    <row r="145" spans="11:11" x14ac:dyDescent="0.25">
      <c r="K145" s="274"/>
    </row>
    <row r="146" spans="11:11" x14ac:dyDescent="0.25">
      <c r="K146" s="274"/>
    </row>
    <row r="147" spans="11:11" x14ac:dyDescent="0.25">
      <c r="K147" s="274"/>
    </row>
    <row r="148" spans="11:11" x14ac:dyDescent="0.25">
      <c r="K148" s="274"/>
    </row>
    <row r="149" spans="11:11" x14ac:dyDescent="0.25">
      <c r="K149" s="274"/>
    </row>
    <row r="150" spans="11:11" x14ac:dyDescent="0.25">
      <c r="K150" s="274"/>
    </row>
    <row r="151" spans="11:11" x14ac:dyDescent="0.25">
      <c r="K151" s="274"/>
    </row>
    <row r="152" spans="11:11" x14ac:dyDescent="0.25">
      <c r="K152" s="274"/>
    </row>
    <row r="153" spans="11:11" x14ac:dyDescent="0.25">
      <c r="K153" s="274"/>
    </row>
    <row r="154" spans="11:11" x14ac:dyDescent="0.25">
      <c r="K154" s="274"/>
    </row>
    <row r="155" spans="11:11" x14ac:dyDescent="0.25">
      <c r="K155" s="274"/>
    </row>
    <row r="156" spans="11:11" x14ac:dyDescent="0.25">
      <c r="K156" s="274"/>
    </row>
    <row r="157" spans="11:11" x14ac:dyDescent="0.25">
      <c r="K157" s="274"/>
    </row>
    <row r="158" spans="11:11" x14ac:dyDescent="0.25">
      <c r="K158" s="274"/>
    </row>
    <row r="159" spans="11:11" x14ac:dyDescent="0.25">
      <c r="K159" s="274"/>
    </row>
    <row r="160" spans="11:11" x14ac:dyDescent="0.25">
      <c r="K160" s="274"/>
    </row>
    <row r="161" spans="11:11" x14ac:dyDescent="0.25">
      <c r="K161" s="274"/>
    </row>
    <row r="162" spans="11:11" x14ac:dyDescent="0.25">
      <c r="K162" s="274"/>
    </row>
    <row r="163" spans="11:11" x14ac:dyDescent="0.25">
      <c r="K163" s="274"/>
    </row>
    <row r="164" spans="11:11" x14ac:dyDescent="0.25">
      <c r="K164" s="274"/>
    </row>
    <row r="165" spans="11:11" x14ac:dyDescent="0.25">
      <c r="K165" s="274"/>
    </row>
    <row r="166" spans="11:11" x14ac:dyDescent="0.25">
      <c r="K166" s="274"/>
    </row>
    <row r="167" spans="11:11" x14ac:dyDescent="0.25">
      <c r="K167" s="274"/>
    </row>
    <row r="168" spans="11:11" x14ac:dyDescent="0.25">
      <c r="K168" s="274"/>
    </row>
    <row r="169" spans="11:11" x14ac:dyDescent="0.25">
      <c r="K169" s="274"/>
    </row>
  </sheetData>
  <mergeCells count="2">
    <mergeCell ref="I1:N3"/>
    <mergeCell ref="A1:H3"/>
  </mergeCells>
  <phoneticPr fontId="26"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27" activePane="bottomLeft" state="frozen"/>
      <selection activeCell="H28" sqref="H28"/>
      <selection pane="bottomLeft" activeCell="I30" sqref="I30"/>
    </sheetView>
  </sheetViews>
  <sheetFormatPr defaultColWidth="9.140625" defaultRowHeight="18" customHeight="1" x14ac:dyDescent="0.25"/>
  <cols>
    <col min="1" max="1" width="17.28515625" style="74" bestFit="1" customWidth="1"/>
    <col min="2" max="2" width="5.28515625" style="75" customWidth="1"/>
    <col min="3" max="3" width="18.5703125" style="76" bestFit="1" customWidth="1"/>
    <col min="4" max="4" width="21.140625" style="74" customWidth="1"/>
    <col min="5" max="5" width="69.140625" style="25" customWidth="1"/>
    <col min="6" max="6" width="5.5703125" style="35" customWidth="1"/>
    <col min="7" max="7" width="9.140625" style="308" bestFit="1" customWidth="1"/>
    <col min="8" max="8" width="10.140625" style="308" bestFit="1" customWidth="1"/>
    <col min="9" max="9" width="5.5703125" style="35" customWidth="1"/>
    <col min="10" max="10" width="6.28515625" style="35" customWidth="1"/>
    <col min="11" max="11" width="13" style="35" customWidth="1"/>
    <col min="12" max="12" width="5.28515625" style="35" customWidth="1"/>
    <col min="13" max="13" width="9.42578125" style="308" customWidth="1"/>
    <col min="14" max="14" width="9" style="308" customWidth="1"/>
    <col min="15" max="15" width="21.42578125" style="35" customWidth="1"/>
    <col min="16" max="26" width="2.7109375" style="35" customWidth="1"/>
    <col min="27" max="28" width="6" style="35" bestFit="1" customWidth="1"/>
    <col min="29" max="38" width="2.7109375" style="35" customWidth="1"/>
    <col min="39" max="99" width="2.7109375" customWidth="1"/>
    <col min="100" max="121" width="3.5703125" customWidth="1"/>
    <col min="122" max="125" width="2" bestFit="1" customWidth="1"/>
  </cols>
  <sheetData>
    <row r="1" spans="1:125" ht="21.75" thickBot="1" x14ac:dyDescent="0.4">
      <c r="A1" s="171"/>
      <c r="B1" s="172"/>
      <c r="C1" s="173"/>
      <c r="D1" s="174"/>
      <c r="E1" s="175"/>
      <c r="F1" s="176"/>
      <c r="G1" s="176"/>
      <c r="H1" s="176"/>
      <c r="I1" s="176"/>
      <c r="J1" s="623" t="s">
        <v>727</v>
      </c>
      <c r="K1" s="623"/>
      <c r="L1" s="176"/>
      <c r="M1" s="619" t="s">
        <v>728</v>
      </c>
      <c r="N1" s="620"/>
      <c r="O1" s="290" t="s">
        <v>729</v>
      </c>
    </row>
    <row r="2" spans="1:125" ht="30" customHeight="1" thickBot="1" x14ac:dyDescent="0.35">
      <c r="A2" s="652" t="s">
        <v>730</v>
      </c>
      <c r="B2" s="653"/>
      <c r="C2" s="650" t="str">
        <f>Profit!E1&amp; " Your Home"</f>
        <v>Heritage Mangement Your Home</v>
      </c>
      <c r="D2" s="651"/>
      <c r="E2" s="185" t="s">
        <v>731</v>
      </c>
      <c r="F2" s="648">
        <f>+MIN(ProposalToGnatt[Start Date])</f>
        <v>45363</v>
      </c>
      <c r="G2" s="649"/>
      <c r="H2" s="626" t="s">
        <v>732</v>
      </c>
      <c r="I2" s="627"/>
      <c r="J2" s="637">
        <f>+SUM(H8:H20)</f>
        <v>8896.2566906474822</v>
      </c>
      <c r="K2" s="641"/>
      <c r="L2" s="177"/>
      <c r="M2" s="637">
        <f>+SUM(N8:N20)-SUM(M8:M20)</f>
        <v>0</v>
      </c>
      <c r="N2" s="633"/>
      <c r="O2" s="291">
        <f>+SUM(H8:H20)-SUM(M8:M20)</f>
        <v>8896.2566906474822</v>
      </c>
      <c r="R2" s="59"/>
      <c r="S2" s="59"/>
      <c r="T2" s="59"/>
      <c r="U2" s="59"/>
      <c r="V2" s="59"/>
      <c r="W2" s="59"/>
      <c r="X2" s="59"/>
      <c r="Y2" s="59"/>
      <c r="Z2" s="59"/>
      <c r="AA2" s="59"/>
      <c r="AB2" s="59"/>
      <c r="AC2" s="59"/>
      <c r="AD2" s="59"/>
      <c r="AE2" s="59"/>
      <c r="AF2" s="59"/>
      <c r="AG2" s="59"/>
      <c r="AH2" s="59"/>
      <c r="AI2" s="59"/>
      <c r="AJ2" s="60"/>
      <c r="AK2" s="60"/>
      <c r="AP2" s="15"/>
      <c r="AQ2" s="15"/>
      <c r="AR2" s="15"/>
    </row>
    <row r="3" spans="1:125" ht="30" customHeight="1" x14ac:dyDescent="0.3">
      <c r="A3" s="638"/>
      <c r="B3" s="639"/>
      <c r="C3" s="639"/>
      <c r="D3" s="639"/>
      <c r="E3" s="186"/>
      <c r="G3" s="35"/>
      <c r="H3" s="628" t="s">
        <v>733</v>
      </c>
      <c r="I3" s="629"/>
      <c r="J3" s="636">
        <f>SUM(H22:H25)</f>
        <v>0</v>
      </c>
      <c r="K3" s="644"/>
      <c r="L3" s="178"/>
      <c r="M3" s="636">
        <f>+J3-SUM(M22:M25)</f>
        <v>0</v>
      </c>
      <c r="N3" s="633"/>
      <c r="O3" s="292">
        <f>+SUM(H22:H25)-SUM(M22:M25)</f>
        <v>0</v>
      </c>
      <c r="AP3" s="15"/>
      <c r="AQ3" s="15"/>
      <c r="AR3" s="15"/>
    </row>
    <row r="4" spans="1:125" ht="30" customHeight="1" x14ac:dyDescent="0.3">
      <c r="A4" s="638" t="str">
        <f>+Profit!B2</f>
        <v>7001 Outrigger Dr</v>
      </c>
      <c r="B4" s="639" t="str">
        <f>+Profit!B2</f>
        <v>7001 Outrigger Dr</v>
      </c>
      <c r="C4" s="639"/>
      <c r="D4" s="639"/>
      <c r="E4" s="624" t="s">
        <v>734</v>
      </c>
      <c r="F4" s="625"/>
      <c r="G4" s="77">
        <v>1</v>
      </c>
      <c r="H4" s="630" t="str">
        <f>+A2 &amp; "Total:"</f>
        <v>Tim Flemming Total:</v>
      </c>
      <c r="I4" s="631"/>
      <c r="J4" s="632">
        <f>SUM(ProposalToGnatt[Price])</f>
        <v>7969.7799999999988</v>
      </c>
      <c r="K4" s="645"/>
      <c r="L4" s="179"/>
      <c r="M4" s="632" cm="1">
        <f t="array" ref="M4">+SUM(ProposalToGnatt[Due]-ProposalToGnatt[Paid])</f>
        <v>0</v>
      </c>
      <c r="N4" s="633"/>
      <c r="O4" s="293">
        <f>+SUM(ProposalToGnatt[Price])-SUM(ProposalToGnatt[Paid])</f>
        <v>124.30000000000018</v>
      </c>
      <c r="AP4" s="15"/>
      <c r="AQ4" s="15"/>
      <c r="AR4" s="15"/>
    </row>
    <row r="5" spans="1:125" ht="18" customHeight="1" thickBot="1" x14ac:dyDescent="0.3">
      <c r="A5" s="180"/>
      <c r="B5" s="181" t="s">
        <v>735</v>
      </c>
      <c r="C5" s="182"/>
      <c r="D5" s="183"/>
      <c r="E5" s="642" t="s">
        <v>736</v>
      </c>
      <c r="F5" s="643"/>
      <c r="G5" s="184">
        <v>2</v>
      </c>
      <c r="H5" s="640" t="s">
        <v>737</v>
      </c>
      <c r="I5" s="640"/>
      <c r="J5" s="646">
        <f>+SUM(J2:K4)</f>
        <v>16866.036690647481</v>
      </c>
      <c r="K5" s="647"/>
      <c r="L5" s="24"/>
      <c r="M5" s="634">
        <f>+SUM(M2:M4)</f>
        <v>0</v>
      </c>
      <c r="N5" s="635"/>
      <c r="O5" s="296">
        <f>+SUM(O2:Q4)</f>
        <v>9020.5566906474814</v>
      </c>
      <c r="BB5" s="15"/>
      <c r="BC5" s="15"/>
      <c r="BD5" s="15"/>
    </row>
    <row r="6" spans="1:125" s="22" customFormat="1" ht="30.75" customHeight="1" thickBot="1" x14ac:dyDescent="0.4">
      <c r="A6" s="78"/>
      <c r="B6" s="79"/>
      <c r="C6" s="80"/>
      <c r="D6" s="78"/>
      <c r="E6" s="81" t="str">
        <f>Profit!E1&amp;" Your Home Supplied Materials"</f>
        <v>Heritage Mangement Your Home Supplied Materials</v>
      </c>
      <c r="F6" s="78"/>
      <c r="G6" s="82"/>
      <c r="H6" s="82"/>
      <c r="I6" s="78"/>
      <c r="J6" s="78"/>
      <c r="K6" s="83"/>
      <c r="L6" s="78"/>
      <c r="M6" s="78"/>
      <c r="N6" s="78"/>
      <c r="O6" s="78"/>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1" customFormat="1" ht="32.25" customHeight="1" x14ac:dyDescent="0.25">
      <c r="A7" s="78" t="s">
        <v>738</v>
      </c>
      <c r="B7" s="79" t="s">
        <v>739</v>
      </c>
      <c r="C7" s="80" t="s">
        <v>718</v>
      </c>
      <c r="D7" s="78" t="s">
        <v>719</v>
      </c>
      <c r="E7" s="78" t="s">
        <v>720</v>
      </c>
      <c r="F7" s="78" t="s">
        <v>688</v>
      </c>
      <c r="G7" s="82" t="s">
        <v>689</v>
      </c>
      <c r="H7" s="82" t="s">
        <v>721</v>
      </c>
      <c r="I7" s="78" t="s">
        <v>722</v>
      </c>
      <c r="J7" s="78" t="s">
        <v>723</v>
      </c>
      <c r="K7" s="83" t="s">
        <v>102</v>
      </c>
      <c r="L7" s="78" t="s">
        <v>724</v>
      </c>
      <c r="M7" s="78" t="s">
        <v>725</v>
      </c>
      <c r="N7" s="78" t="s">
        <v>728</v>
      </c>
      <c r="O7" s="78" t="s">
        <v>497</v>
      </c>
      <c r="P7" s="61">
        <f t="shared" ref="P7:BR7" ca="1" si="1">+P27</f>
        <v>45363</v>
      </c>
      <c r="Q7" s="61">
        <f t="shared" ca="1" si="1"/>
        <v>45364</v>
      </c>
      <c r="R7" s="61">
        <f t="shared" ca="1" si="1"/>
        <v>45365</v>
      </c>
      <c r="S7" s="61">
        <f t="shared" ca="1" si="1"/>
        <v>45366</v>
      </c>
      <c r="T7" s="61">
        <f t="shared" ca="1" si="1"/>
        <v>45367</v>
      </c>
      <c r="U7" s="61">
        <f t="shared" ca="1" si="1"/>
        <v>45368</v>
      </c>
      <c r="V7" s="61">
        <f t="shared" ca="1" si="1"/>
        <v>45369</v>
      </c>
      <c r="W7" s="61">
        <f t="shared" ca="1" si="1"/>
        <v>45370</v>
      </c>
      <c r="X7" s="61">
        <f t="shared" ca="1" si="1"/>
        <v>45371</v>
      </c>
      <c r="Y7" s="61">
        <f t="shared" ca="1" si="1"/>
        <v>45372</v>
      </c>
      <c r="Z7" s="61">
        <f t="shared" ca="1" si="1"/>
        <v>45373</v>
      </c>
      <c r="AA7" s="61">
        <f t="shared" ca="1" si="1"/>
        <v>45374</v>
      </c>
      <c r="AB7" s="61">
        <f t="shared" ca="1" si="1"/>
        <v>45375</v>
      </c>
      <c r="AC7" s="61">
        <f t="shared" ca="1" si="1"/>
        <v>45376</v>
      </c>
      <c r="AD7" s="61">
        <f t="shared" ca="1" si="1"/>
        <v>45377</v>
      </c>
      <c r="AE7" s="61">
        <f t="shared" ca="1" si="1"/>
        <v>45378</v>
      </c>
      <c r="AF7" s="61">
        <f t="shared" ca="1" si="1"/>
        <v>45379</v>
      </c>
      <c r="AG7" s="61">
        <f t="shared" ca="1" si="1"/>
        <v>45380</v>
      </c>
      <c r="AH7" s="61">
        <f t="shared" ca="1" si="1"/>
        <v>45381</v>
      </c>
      <c r="AI7" s="61">
        <f t="shared" ca="1" si="1"/>
        <v>45382</v>
      </c>
      <c r="AJ7" s="61">
        <f t="shared" ca="1" si="1"/>
        <v>45383</v>
      </c>
      <c r="AK7" s="61">
        <f t="shared" ca="1" si="1"/>
        <v>45384</v>
      </c>
      <c r="AL7" s="61">
        <f t="shared" ca="1" si="1"/>
        <v>45385</v>
      </c>
      <c r="AM7" s="61">
        <f t="shared" ca="1" si="1"/>
        <v>45386</v>
      </c>
      <c r="AN7" s="61">
        <f t="shared" ca="1" si="1"/>
        <v>45387</v>
      </c>
      <c r="AO7" s="61">
        <f t="shared" ca="1" si="1"/>
        <v>45388</v>
      </c>
      <c r="AP7" s="61">
        <f t="shared" ca="1" si="1"/>
        <v>45389</v>
      </c>
      <c r="AQ7" s="61">
        <f t="shared" ca="1" si="1"/>
        <v>45390</v>
      </c>
      <c r="AR7" s="61">
        <f t="shared" ca="1" si="1"/>
        <v>45391</v>
      </c>
      <c r="AS7" s="61">
        <f t="shared" ca="1" si="1"/>
        <v>45392</v>
      </c>
      <c r="AT7" s="61">
        <f t="shared" ca="1" si="1"/>
        <v>45393</v>
      </c>
      <c r="AU7" s="61">
        <f t="shared" ca="1" si="1"/>
        <v>45394</v>
      </c>
      <c r="AV7" s="61">
        <f t="shared" ca="1" si="1"/>
        <v>45395</v>
      </c>
      <c r="AW7" s="61">
        <f t="shared" ca="1" si="1"/>
        <v>45396</v>
      </c>
      <c r="AX7" s="61">
        <f t="shared" ca="1" si="1"/>
        <v>45397</v>
      </c>
      <c r="AY7" s="61">
        <f t="shared" ca="1" si="1"/>
        <v>45398</v>
      </c>
      <c r="AZ7" s="61">
        <f t="shared" ca="1" si="1"/>
        <v>45399</v>
      </c>
      <c r="BA7" s="61">
        <f t="shared" ca="1" si="1"/>
        <v>45400</v>
      </c>
      <c r="BB7" s="61">
        <f t="shared" ca="1" si="1"/>
        <v>45401</v>
      </c>
      <c r="BC7" s="61">
        <f t="shared" ca="1" si="1"/>
        <v>45402</v>
      </c>
      <c r="BD7" s="61">
        <f t="shared" ca="1" si="1"/>
        <v>45403</v>
      </c>
      <c r="BE7" s="61">
        <f t="shared" ca="1" si="1"/>
        <v>45404</v>
      </c>
      <c r="BF7" s="61">
        <f t="shared" ca="1" si="1"/>
        <v>45405</v>
      </c>
      <c r="BG7" s="61">
        <f t="shared" ca="1" si="1"/>
        <v>45406</v>
      </c>
      <c r="BH7" s="61">
        <f t="shared" ca="1" si="1"/>
        <v>45407</v>
      </c>
      <c r="BI7" s="61">
        <f t="shared" ca="1" si="1"/>
        <v>45408</v>
      </c>
      <c r="BJ7" s="61">
        <f t="shared" ca="1" si="1"/>
        <v>45409</v>
      </c>
      <c r="BK7" s="61">
        <f t="shared" ca="1" si="1"/>
        <v>45410</v>
      </c>
      <c r="BL7" s="61">
        <f t="shared" ca="1" si="1"/>
        <v>45411</v>
      </c>
      <c r="BM7" s="61">
        <f t="shared" ca="1" si="1"/>
        <v>45412</v>
      </c>
      <c r="BN7" s="61">
        <f t="shared" ca="1" si="1"/>
        <v>45413</v>
      </c>
      <c r="BO7" s="61">
        <f t="shared" ca="1" si="1"/>
        <v>45414</v>
      </c>
      <c r="BP7" s="61">
        <f t="shared" ca="1" si="1"/>
        <v>45415</v>
      </c>
      <c r="BQ7" s="61">
        <f t="shared" ca="1" si="1"/>
        <v>45416</v>
      </c>
      <c r="BR7" s="61">
        <f t="shared" ca="1" si="1"/>
        <v>45417</v>
      </c>
      <c r="BS7" s="36"/>
      <c r="BT7" s="36"/>
      <c r="BU7" s="36"/>
      <c r="BV7" s="36"/>
      <c r="BW7" s="36"/>
      <c r="BX7" s="36"/>
      <c r="BY7" s="36"/>
      <c r="BZ7" s="36"/>
      <c r="CA7" s="36"/>
      <c r="CB7" s="36"/>
      <c r="CC7" s="36"/>
      <c r="CD7" s="36"/>
      <c r="CE7" s="36"/>
      <c r="CF7" s="36"/>
      <c r="CG7" s="36"/>
      <c r="CH7" s="36"/>
      <c r="CI7" s="36"/>
      <c r="CJ7" s="36"/>
      <c r="CK7" s="36"/>
      <c r="CL7" s="36"/>
      <c r="CM7" s="36"/>
      <c r="CN7" s="36"/>
      <c r="CO7" s="36"/>
      <c r="CP7" s="36"/>
      <c r="CQ7" s="36"/>
      <c r="CR7" s="36"/>
      <c r="CS7" s="36"/>
      <c r="CT7" s="36"/>
      <c r="CU7" s="36"/>
      <c r="CV7" s="36"/>
      <c r="CW7" s="36"/>
      <c r="CX7" s="36"/>
      <c r="CY7" s="36"/>
      <c r="CZ7" s="36"/>
      <c r="DA7" s="36"/>
      <c r="DB7" s="36"/>
      <c r="DC7" s="36"/>
      <c r="DD7" s="36"/>
      <c r="DE7" s="36"/>
      <c r="DF7" s="36"/>
      <c r="DG7" s="36"/>
      <c r="DH7" s="36"/>
      <c r="DI7" s="36"/>
      <c r="DJ7" s="36"/>
      <c r="DK7" s="36"/>
      <c r="DL7" s="36"/>
      <c r="DM7" s="36"/>
      <c r="DN7" s="36"/>
      <c r="DO7" s="36"/>
      <c r="DP7" s="36"/>
      <c r="DQ7" s="36"/>
      <c r="DR7" s="36"/>
      <c r="DS7" s="36"/>
      <c r="DT7" s="36"/>
    </row>
    <row r="8" spans="1:125" s="41" customFormat="1" ht="20.100000000000001" customHeight="1" x14ac:dyDescent="0.25">
      <c r="A8" s="84" t="str">
        <f>Profit!$E$1&amp;" Your Home"</f>
        <v>Heritage Mangement Your Home</v>
      </c>
      <c r="B8" s="85">
        <v>1</v>
      </c>
      <c r="C8" s="86"/>
      <c r="D8" s="84"/>
      <c r="E8" s="84" t="s">
        <v>740</v>
      </c>
      <c r="F8" s="85">
        <v>0</v>
      </c>
      <c r="G8" s="87">
        <f>+'Demo &amp; Trash Haul'!G24</f>
        <v>6561.72</v>
      </c>
      <c r="H8" s="87">
        <f t="shared" ref="H8:H20" si="2">+F8*G8</f>
        <v>0</v>
      </c>
      <c r="I8" s="88"/>
      <c r="J8" s="87"/>
      <c r="K8" s="89"/>
      <c r="L8" s="87"/>
      <c r="M8" s="87"/>
      <c r="N8" s="87">
        <f t="shared" ref="N8:N19" si="3">IF(I8="Yes",H8,0)</f>
        <v>0</v>
      </c>
      <c r="O8" s="88"/>
      <c r="R8" s="35"/>
      <c r="S8" s="35"/>
      <c r="T8" s="35"/>
      <c r="U8" s="35"/>
      <c r="V8" s="35"/>
      <c r="W8" s="35"/>
      <c r="X8" s="35"/>
      <c r="Y8" s="35"/>
      <c r="Z8" s="35"/>
      <c r="AA8" s="35"/>
      <c r="AB8" s="35"/>
      <c r="AC8" s="35"/>
      <c r="AD8" s="35"/>
      <c r="AE8" s="35"/>
      <c r="AF8" s="35"/>
      <c r="AG8" s="35"/>
      <c r="AH8" s="35"/>
      <c r="AI8" s="35"/>
      <c r="AP8" s="34"/>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c r="BT8" s="36"/>
      <c r="BU8" s="36"/>
      <c r="BV8" s="36"/>
      <c r="BW8" s="36"/>
      <c r="BX8" s="36"/>
      <c r="BY8" s="36"/>
      <c r="BZ8" s="36"/>
      <c r="CA8" s="36"/>
      <c r="CB8" s="36"/>
      <c r="CC8" s="36"/>
      <c r="CD8" s="36"/>
      <c r="CE8" s="36"/>
      <c r="CF8" s="36"/>
      <c r="CG8" s="36"/>
      <c r="CH8" s="36"/>
      <c r="CI8" s="36"/>
      <c r="CJ8" s="36"/>
      <c r="CK8" s="36"/>
      <c r="CL8" s="36"/>
      <c r="CM8" s="36"/>
      <c r="CN8" s="36"/>
      <c r="CO8" s="36"/>
      <c r="CP8" s="36"/>
      <c r="CQ8" s="36"/>
      <c r="CR8" s="36"/>
      <c r="CS8" s="36"/>
      <c r="CT8" s="36"/>
      <c r="CU8" s="36"/>
      <c r="CV8" s="36"/>
      <c r="CW8" s="36"/>
      <c r="CX8" s="36"/>
      <c r="CY8" s="36"/>
      <c r="CZ8" s="36"/>
      <c r="DA8" s="36"/>
      <c r="DB8" s="36"/>
      <c r="DC8" s="36"/>
      <c r="DD8" s="36"/>
      <c r="DE8" s="36"/>
      <c r="DF8" s="36"/>
      <c r="DG8" s="36"/>
      <c r="DH8" s="36"/>
      <c r="DI8" s="36"/>
      <c r="DJ8" s="36"/>
      <c r="DK8" s="36"/>
      <c r="DL8" s="36"/>
      <c r="DM8" s="36"/>
      <c r="DN8" s="36"/>
      <c r="DO8" s="36"/>
      <c r="DP8" s="36"/>
      <c r="DQ8" s="36"/>
      <c r="DR8" s="36"/>
      <c r="DS8" s="36"/>
      <c r="DT8" s="36"/>
      <c r="DU8" s="36"/>
    </row>
    <row r="9" spans="1:125" s="41" customFormat="1" ht="20.100000000000001" customHeight="1" x14ac:dyDescent="0.25">
      <c r="A9" s="84" t="str">
        <f>Profit!$E$1&amp;" Your Home"</f>
        <v>Heritage Mangement Your Home</v>
      </c>
      <c r="B9" s="85">
        <f>+B8+1</f>
        <v>2</v>
      </c>
      <c r="C9" s="86"/>
      <c r="D9" s="84"/>
      <c r="E9" s="84" t="s">
        <v>741</v>
      </c>
      <c r="F9" s="85">
        <v>0</v>
      </c>
      <c r="G9" s="87">
        <f>+Appliances!I31</f>
        <v>937.5</v>
      </c>
      <c r="H9" s="87">
        <f t="shared" si="2"/>
        <v>0</v>
      </c>
      <c r="I9" s="88"/>
      <c r="J9" s="87"/>
      <c r="K9" s="89"/>
      <c r="L9" s="87"/>
      <c r="M9" s="87"/>
      <c r="N9" s="87">
        <f t="shared" si="3"/>
        <v>0</v>
      </c>
      <c r="O9" s="88"/>
      <c r="R9" s="35"/>
      <c r="S9" s="35"/>
      <c r="T9" s="35"/>
      <c r="U9" s="35"/>
      <c r="V9" s="35"/>
      <c r="W9" s="35"/>
      <c r="X9" s="35"/>
      <c r="Y9" s="35"/>
      <c r="Z9" s="35"/>
      <c r="AA9" s="35"/>
      <c r="AB9" s="35"/>
      <c r="AC9" s="35"/>
      <c r="AD9" s="35"/>
      <c r="AE9" s="35"/>
      <c r="AF9" s="35"/>
      <c r="AG9" s="35"/>
      <c r="AH9" s="35"/>
      <c r="AI9" s="35"/>
      <c r="AP9" s="34"/>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c r="BT9" s="36"/>
      <c r="BU9" s="36"/>
      <c r="BV9" s="36"/>
      <c r="BW9" s="36"/>
      <c r="BX9" s="36"/>
      <c r="BY9" s="36"/>
      <c r="BZ9" s="36"/>
      <c r="CA9" s="36"/>
      <c r="CB9" s="36"/>
      <c r="CC9" s="36"/>
      <c r="CD9" s="36"/>
      <c r="CE9" s="36"/>
      <c r="CF9" s="36"/>
      <c r="CG9" s="36"/>
      <c r="CH9" s="36"/>
      <c r="CI9" s="36"/>
      <c r="CJ9" s="36"/>
      <c r="CK9" s="36"/>
      <c r="CL9" s="36"/>
      <c r="CM9" s="36"/>
      <c r="CN9" s="36"/>
      <c r="CO9" s="36"/>
      <c r="CP9" s="36"/>
      <c r="CQ9" s="36"/>
      <c r="CR9" s="36"/>
      <c r="CS9" s="36"/>
      <c r="CT9" s="36"/>
      <c r="CU9" s="36"/>
      <c r="CV9" s="36"/>
      <c r="CW9" s="36"/>
      <c r="CX9" s="36"/>
      <c r="CY9" s="36"/>
      <c r="CZ9" s="36"/>
      <c r="DA9" s="36"/>
      <c r="DB9" s="36"/>
      <c r="DC9" s="36"/>
      <c r="DD9" s="36"/>
      <c r="DE9" s="36"/>
      <c r="DF9" s="36"/>
      <c r="DG9" s="36"/>
      <c r="DH9" s="36"/>
      <c r="DI9" s="36"/>
      <c r="DJ9" s="36"/>
      <c r="DK9" s="36"/>
      <c r="DL9" s="36"/>
      <c r="DM9" s="36"/>
      <c r="DN9" s="36"/>
      <c r="DO9" s="36"/>
      <c r="DP9" s="36"/>
      <c r="DQ9" s="36"/>
      <c r="DR9" s="36"/>
      <c r="DS9" s="36"/>
      <c r="DT9" s="36"/>
      <c r="DU9" s="36"/>
    </row>
    <row r="10" spans="1:125" s="41" customFormat="1" ht="20.100000000000001" customHeight="1" x14ac:dyDescent="0.25">
      <c r="A10" s="84" t="str">
        <f>Profit!$E$1&amp;" Your Home"</f>
        <v>Heritage Mangement Your Home</v>
      </c>
      <c r="B10" s="85">
        <f t="shared" ref="B10:B20" si="4">+B9+1</f>
        <v>3</v>
      </c>
      <c r="C10" s="86"/>
      <c r="D10" s="84"/>
      <c r="E10" s="84" t="s">
        <v>742</v>
      </c>
      <c r="F10" s="85">
        <v>0</v>
      </c>
      <c r="G10" s="87">
        <f>+'Plumbing Fixtures'!J31</f>
        <v>982.74497499999995</v>
      </c>
      <c r="H10" s="87">
        <f t="shared" si="2"/>
        <v>0</v>
      </c>
      <c r="I10" s="88"/>
      <c r="J10" s="87"/>
      <c r="K10" s="89"/>
      <c r="L10" s="87"/>
      <c r="M10" s="87"/>
      <c r="N10" s="87">
        <f t="shared" si="3"/>
        <v>0</v>
      </c>
      <c r="O10" s="88"/>
      <c r="R10" s="35"/>
      <c r="S10" s="35"/>
      <c r="T10" s="35"/>
      <c r="U10" s="35"/>
      <c r="V10" s="35"/>
      <c r="W10" s="35"/>
      <c r="X10" s="35"/>
      <c r="Y10" s="35"/>
      <c r="Z10" s="35"/>
      <c r="AA10" s="35"/>
      <c r="AB10" s="35"/>
      <c r="AC10" s="35"/>
      <c r="AD10" s="35"/>
      <c r="AE10" s="35"/>
      <c r="AF10" s="35"/>
      <c r="AG10" s="35"/>
      <c r="AH10" s="35"/>
      <c r="AI10" s="35"/>
      <c r="AP10" s="34"/>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c r="BT10" s="36"/>
      <c r="BU10" s="36"/>
      <c r="BV10" s="36"/>
      <c r="BW10" s="36"/>
      <c r="BX10" s="36"/>
      <c r="BY10" s="36"/>
      <c r="BZ10" s="36"/>
      <c r="CA10" s="36"/>
      <c r="CB10" s="36"/>
      <c r="CC10" s="36"/>
      <c r="CD10" s="36"/>
      <c r="CE10" s="36"/>
      <c r="CF10" s="36"/>
      <c r="CG10" s="36"/>
      <c r="CH10" s="36"/>
      <c r="CI10" s="36"/>
      <c r="CJ10" s="36"/>
      <c r="CK10" s="36"/>
      <c r="CL10" s="36"/>
      <c r="CM10" s="36"/>
      <c r="CN10" s="36"/>
      <c r="CO10" s="36"/>
      <c r="CP10" s="36"/>
      <c r="CQ10" s="36"/>
      <c r="CR10" s="36"/>
      <c r="CS10" s="36"/>
      <c r="CT10" s="36"/>
      <c r="CU10" s="36"/>
      <c r="CV10" s="36"/>
      <c r="CW10" s="36"/>
      <c r="CX10" s="36"/>
      <c r="CY10" s="36"/>
      <c r="CZ10" s="36"/>
      <c r="DA10" s="36"/>
      <c r="DB10" s="36"/>
      <c r="DC10" s="36"/>
      <c r="DD10" s="36"/>
      <c r="DE10" s="36"/>
      <c r="DF10" s="36"/>
      <c r="DG10" s="36"/>
      <c r="DH10" s="36"/>
      <c r="DI10" s="36"/>
      <c r="DJ10" s="36"/>
      <c r="DK10" s="36"/>
      <c r="DL10" s="36"/>
      <c r="DM10" s="36"/>
      <c r="DN10" s="36"/>
      <c r="DO10" s="36"/>
      <c r="DP10" s="36"/>
      <c r="DQ10" s="36"/>
      <c r="DR10" s="36"/>
      <c r="DS10" s="36"/>
      <c r="DT10" s="36"/>
      <c r="DU10" s="36"/>
    </row>
    <row r="11" spans="1:125" s="41" customFormat="1" ht="20.100000000000001" customHeight="1" x14ac:dyDescent="0.25">
      <c r="A11" s="84" t="str">
        <f>Profit!$E$1&amp;" Your Home"</f>
        <v>Heritage Mangement Your Home</v>
      </c>
      <c r="B11" s="85">
        <f t="shared" si="4"/>
        <v>4</v>
      </c>
      <c r="C11" s="86"/>
      <c r="D11" s="84"/>
      <c r="E11" s="84" t="s">
        <v>743</v>
      </c>
      <c r="F11" s="85">
        <v>0</v>
      </c>
      <c r="G11" s="87">
        <f>+'Windows &amp; Doors'!H38</f>
        <v>1028.450425</v>
      </c>
      <c r="H11" s="87">
        <f t="shared" si="2"/>
        <v>0</v>
      </c>
      <c r="I11" s="88"/>
      <c r="J11" s="87"/>
      <c r="K11" s="89"/>
      <c r="L11" s="87"/>
      <c r="M11" s="87"/>
      <c r="N11" s="87">
        <f t="shared" si="3"/>
        <v>0</v>
      </c>
      <c r="O11" s="88"/>
      <c r="R11" s="35"/>
      <c r="S11" s="35"/>
      <c r="T11" s="35"/>
      <c r="U11" s="35"/>
      <c r="V11" s="35"/>
      <c r="W11" s="35"/>
      <c r="X11" s="35"/>
      <c r="Y11" s="35"/>
      <c r="Z11" s="35"/>
      <c r="AA11" s="35"/>
      <c r="AB11" s="35"/>
      <c r="AC11" s="35"/>
      <c r="AD11" s="35"/>
      <c r="AE11" s="35"/>
      <c r="AF11" s="35"/>
      <c r="AG11" s="35"/>
      <c r="AH11" s="35"/>
      <c r="AI11" s="35"/>
      <c r="AP11" s="34"/>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c r="BT11" s="36"/>
      <c r="BU11" s="36"/>
      <c r="BV11" s="36"/>
      <c r="BW11" s="36"/>
      <c r="BX11" s="36"/>
      <c r="BY11" s="36"/>
      <c r="BZ11" s="36"/>
      <c r="CA11" s="36"/>
      <c r="CB11" s="36"/>
      <c r="CC11" s="36"/>
      <c r="CD11" s="36"/>
      <c r="CE11" s="36"/>
      <c r="CF11" s="36"/>
      <c r="CG11" s="36"/>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row>
    <row r="12" spans="1:125" ht="20.100000000000001" customHeight="1" x14ac:dyDescent="0.25">
      <c r="A12" s="84" t="str">
        <f>Profit!$E$1&amp;" Your Home"</f>
        <v>Heritage Mangement Your Home</v>
      </c>
      <c r="B12" s="85">
        <f t="shared" si="4"/>
        <v>5</v>
      </c>
      <c r="C12" s="86"/>
      <c r="D12" s="84"/>
      <c r="E12" s="84" t="s">
        <v>744</v>
      </c>
      <c r="F12" s="85">
        <v>0</v>
      </c>
      <c r="G12" s="87">
        <f>+Cabinets!I51</f>
        <v>1000</v>
      </c>
      <c r="H12" s="87">
        <f t="shared" si="2"/>
        <v>0</v>
      </c>
      <c r="I12" s="88"/>
      <c r="J12" s="87"/>
      <c r="K12" s="89"/>
      <c r="L12" s="87"/>
      <c r="M12" s="87"/>
      <c r="N12" s="87">
        <f t="shared" si="3"/>
        <v>0</v>
      </c>
      <c r="O12" s="88"/>
      <c r="AQ12" s="36"/>
    </row>
    <row r="13" spans="1:125" s="41" customFormat="1" ht="20.100000000000001" customHeight="1" x14ac:dyDescent="0.25">
      <c r="A13" s="84" t="str">
        <f>Profit!$E$1&amp;" Your Home"</f>
        <v>Heritage Mangement Your Home</v>
      </c>
      <c r="B13" s="85">
        <f t="shared" si="4"/>
        <v>6</v>
      </c>
      <c r="C13" s="86"/>
      <c r="D13" s="84"/>
      <c r="E13" s="84" t="s">
        <v>745</v>
      </c>
      <c r="F13" s="85">
        <v>0</v>
      </c>
      <c r="G13" s="87">
        <f>+Paint!L50</f>
        <v>901.75799999999992</v>
      </c>
      <c r="H13" s="87">
        <f t="shared" si="2"/>
        <v>0</v>
      </c>
      <c r="I13" s="88"/>
      <c r="J13" s="87"/>
      <c r="K13" s="89"/>
      <c r="L13" s="87"/>
      <c r="M13" s="87"/>
      <c r="N13" s="87">
        <f t="shared" si="3"/>
        <v>0</v>
      </c>
      <c r="O13" s="88"/>
      <c r="R13" s="35"/>
      <c r="S13" s="35"/>
      <c r="T13" s="35"/>
      <c r="U13" s="35"/>
      <c r="V13" s="35"/>
      <c r="W13" s="35"/>
      <c r="X13" s="35"/>
      <c r="Y13" s="35"/>
      <c r="Z13" s="35"/>
      <c r="AA13" s="35"/>
      <c r="AB13" s="35"/>
      <c r="AC13" s="35"/>
      <c r="AD13" s="35"/>
      <c r="AE13" s="35"/>
      <c r="AF13" s="35"/>
      <c r="AG13" s="35"/>
      <c r="AH13" s="35"/>
      <c r="AI13" s="35"/>
      <c r="AP13" s="34"/>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c r="BT13" s="36"/>
      <c r="BU13" s="36"/>
      <c r="BV13" s="36"/>
      <c r="BW13" s="36"/>
      <c r="BX13" s="36"/>
      <c r="BY13" s="36"/>
      <c r="BZ13" s="36"/>
      <c r="CA13" s="36"/>
      <c r="CB13" s="36"/>
      <c r="CC13" s="36"/>
      <c r="CD13" s="36"/>
      <c r="CE13" s="36"/>
      <c r="CF13" s="36"/>
      <c r="CG13" s="36"/>
      <c r="CH13" s="36"/>
      <c r="CI13" s="36"/>
      <c r="CJ13" s="36"/>
      <c r="CK13" s="36"/>
      <c r="CL13" s="36"/>
      <c r="CM13" s="36"/>
      <c r="CN13" s="36"/>
      <c r="CO13" s="36"/>
      <c r="CP13" s="36"/>
      <c r="CQ13" s="36"/>
      <c r="CR13" s="36"/>
      <c r="CS13" s="36"/>
      <c r="CT13" s="36"/>
      <c r="CU13" s="36"/>
      <c r="CV13" s="36"/>
      <c r="CW13" s="36"/>
      <c r="CX13" s="36"/>
      <c r="CY13" s="36"/>
      <c r="CZ13" s="36"/>
      <c r="DA13" s="36"/>
      <c r="DB13" s="36"/>
      <c r="DC13" s="36"/>
      <c r="DD13" s="36"/>
      <c r="DE13" s="36"/>
      <c r="DF13" s="36"/>
      <c r="DG13" s="36"/>
      <c r="DH13" s="36"/>
      <c r="DI13" s="36"/>
      <c r="DJ13" s="36"/>
      <c r="DK13" s="36"/>
      <c r="DL13" s="36"/>
      <c r="DM13" s="36"/>
      <c r="DN13" s="36"/>
      <c r="DO13" s="36"/>
      <c r="DP13" s="36"/>
      <c r="DQ13" s="36"/>
      <c r="DR13" s="36"/>
      <c r="DS13" s="36"/>
      <c r="DT13" s="36"/>
      <c r="DU13" s="36"/>
    </row>
    <row r="14" spans="1:125" s="41" customFormat="1" ht="20.100000000000001" customHeight="1" x14ac:dyDescent="0.25">
      <c r="A14" s="84" t="str">
        <f>Profit!$E$1&amp;" Your Home"</f>
        <v>Heritage Mangement Your Home</v>
      </c>
      <c r="B14" s="85">
        <f t="shared" si="4"/>
        <v>7</v>
      </c>
      <c r="C14" s="86"/>
      <c r="D14" s="84"/>
      <c r="E14" s="84" t="s">
        <v>746</v>
      </c>
      <c r="F14" s="85">
        <v>1</v>
      </c>
      <c r="G14" s="87">
        <f>+Flooring!I22</f>
        <v>8896.2566906474822</v>
      </c>
      <c r="H14" s="87">
        <f t="shared" si="2"/>
        <v>8896.2566906474822</v>
      </c>
      <c r="I14" s="88"/>
      <c r="J14" s="87"/>
      <c r="K14" s="89"/>
      <c r="L14" s="87"/>
      <c r="M14" s="87"/>
      <c r="N14" s="87">
        <f t="shared" si="3"/>
        <v>0</v>
      </c>
      <c r="O14" s="88"/>
      <c r="R14" s="35"/>
      <c r="S14" s="35"/>
      <c r="T14" s="35"/>
      <c r="U14" s="35"/>
      <c r="V14" s="35"/>
      <c r="W14" s="35"/>
      <c r="X14" s="35"/>
      <c r="Y14" s="35"/>
      <c r="Z14" s="35"/>
      <c r="AA14" s="35"/>
      <c r="AB14" s="35"/>
      <c r="AC14" s="35"/>
      <c r="AD14" s="35"/>
      <c r="AE14" s="35"/>
      <c r="AF14" s="35"/>
      <c r="AG14" s="35"/>
      <c r="AH14" s="35"/>
      <c r="AI14" s="35"/>
      <c r="AP14" s="36" t="str">
        <f>IFERROR(IF(LEN(#REF!)=0,"",IF(P$27=#REF!,Milestone_Marker_Old,"")),"")</f>
        <v/>
      </c>
      <c r="AQ14" s="36" t="str">
        <f>IFERROR(IF(LEN(#REF!)=0,"",IF(Q$27=#REF!,Milestone_Marker_Old,"")),"")</f>
        <v/>
      </c>
      <c r="AR14" s="36" t="str">
        <f>IFERROR(IF(LEN(#REF!)=0,"",IF(R$27=#REF!,Milestone_Marker_Old,"")),"")</f>
        <v/>
      </c>
      <c r="AS14" s="36" t="str">
        <f>IFERROR(IF(LEN(#REF!)=0,"",IF(S$27=#REF!,Milestone_Marker_Old,"")),"")</f>
        <v/>
      </c>
      <c r="AT14" s="36" t="str">
        <f>IFERROR(IF(LEN(#REF!)=0,"",IF(T$27=#REF!,Milestone_Marker_Old,"")),"")</f>
        <v/>
      </c>
      <c r="AU14" s="36" t="str">
        <f>IFERROR(IF(LEN(#REF!)=0,"",IF(U$27=#REF!,Milestone_Marker_Old,"")),"")</f>
        <v/>
      </c>
      <c r="AV14" s="36" t="str">
        <f>IFERROR(IF(LEN(#REF!)=0,"",IF(V$27=#REF!,Milestone_Marker_Old,"")),"")</f>
        <v/>
      </c>
      <c r="AW14" s="36" t="str">
        <f>IFERROR(IF(LEN(#REF!)=0,"",IF(W$27=#REF!,Milestone_Marker_Old,"")),"")</f>
        <v/>
      </c>
      <c r="AX14" s="36" t="str">
        <f>IFERROR(IF(LEN(#REF!)=0,"",IF(X$27=#REF!,Milestone_Marker_Old,"")),"")</f>
        <v/>
      </c>
      <c r="AY14" s="36" t="str">
        <f>IFERROR(IF(LEN(#REF!)=0,"",IF(Y$27=#REF!,Milestone_Marker_Old,"")),"")</f>
        <v/>
      </c>
      <c r="AZ14" s="36" t="str">
        <f>IFERROR(IF(LEN(#REF!)=0,"",IF(Z$27=#REF!,Milestone_Marker_Old,"")),"")</f>
        <v/>
      </c>
      <c r="BA14" s="36" t="str">
        <f>IFERROR(IF(LEN(#REF!)=0,"",IF(AA$27=#REF!,Milestone_Marker_Old,"")),"")</f>
        <v/>
      </c>
      <c r="BB14" s="36" t="str">
        <f>IFERROR(IF(LEN(#REF!)=0,"",IF(AB$27=#REF!,Milestone_Marker_Old,"")),"")</f>
        <v/>
      </c>
      <c r="BC14" s="36" t="str">
        <f>IFERROR(IF(LEN(#REF!)=0,"",IF(AC$27=#REF!,Milestone_Marker_Old,"")),"")</f>
        <v/>
      </c>
      <c r="BD14" s="36" t="str">
        <f>IFERROR(IF(LEN(#REF!)=0,"",IF(AD$27=#REF!,Milestone_Marker_Old,"")),"")</f>
        <v/>
      </c>
      <c r="BE14" s="36" t="str">
        <f>IFERROR(IF(LEN(#REF!)=0,"",IF(AE$27=#REF!,Milestone_Marker_Old,"")),"")</f>
        <v/>
      </c>
      <c r="BF14" s="36" t="str">
        <f>IFERROR(IF(LEN(#REF!)=0,"",IF(AF$27=#REF!,Milestone_Marker_Old,"")),"")</f>
        <v/>
      </c>
      <c r="BG14" s="36" t="str">
        <f>IFERROR(IF(LEN(#REF!)=0,"",IF(AG$27=#REF!,Milestone_Marker_Old,"")),"")</f>
        <v/>
      </c>
      <c r="BH14" s="36" t="str">
        <f>IFERROR(IF(LEN(#REF!)=0,"",IF(AH$27=#REF!,Milestone_Marker_Old,"")),"")</f>
        <v/>
      </c>
      <c r="BI14" s="36" t="str">
        <f>IFERROR(IF(LEN(#REF!)=0,"",IF(AI$27=#REF!,Milestone_Marker_Old,"")),"")</f>
        <v/>
      </c>
      <c r="BJ14" s="36" t="str">
        <f>IFERROR(IF(LEN(#REF!)=0,"",IF(AJ$27=#REF!,Milestone_Marker_Old,"")),"")</f>
        <v/>
      </c>
      <c r="BK14" s="36" t="str">
        <f>IFERROR(IF(LEN(#REF!)=0,"",IF(AK$27=#REF!,Milestone_Marker_Old,"")),"")</f>
        <v/>
      </c>
      <c r="BL14" s="36" t="str">
        <f>IFERROR(IF(LEN(#REF!)=0,"",IF(AL$27=#REF!,Milestone_Marker_Old,"")),"")</f>
        <v/>
      </c>
      <c r="BM14" s="36" t="str">
        <f>IFERROR(IF(LEN(#REF!)=0,"",IF(AM$27=#REF!,Milestone_Marker_Old,"")),"")</f>
        <v/>
      </c>
      <c r="BN14" s="36" t="str">
        <f>IFERROR(IF(LEN(#REF!)=0,"",IF(AN$27=#REF!,Milestone_Marker_Old,"")),"")</f>
        <v/>
      </c>
      <c r="BO14" s="36" t="str">
        <f>IFERROR(IF(LEN(#REF!)=0,"",IF(AO$27=#REF!,Milestone_Marker_Old,"")),"")</f>
        <v/>
      </c>
      <c r="BP14" s="36" t="str">
        <f>IFERROR(IF(LEN(#REF!)=0,"",IF(AP$27=#REF!,Milestone_Marker_Old,"")),"")</f>
        <v/>
      </c>
      <c r="BQ14" s="36" t="str">
        <f>IFERROR(IF(LEN(#REF!)=0,"",IF(AQ$27=#REF!,Milestone_Marker_Old,"")),"")</f>
        <v/>
      </c>
      <c r="BR14" s="36" t="str">
        <f>IFERROR(IF(LEN(#REF!)=0,"",IF(AR$27=#REF!,Milestone_Marker_Old,"")),"")</f>
        <v/>
      </c>
      <c r="BS14" s="36" t="str">
        <f>IFERROR(IF(LEN(#REF!)=0,"",IF(AS$27=#REF!,Milestone_Marker_Old,"")),"")</f>
        <v/>
      </c>
      <c r="BT14" s="36" t="str">
        <f>IFERROR(IF(LEN(#REF!)=0,"",IF(AT$27=#REF!,Milestone_Marker_Old,"")),"")</f>
        <v/>
      </c>
      <c r="BU14" s="36" t="str">
        <f>IFERROR(IF(LEN(#REF!)=0,"",IF(AU$27=#REF!,Milestone_Marker_Old,"")),"")</f>
        <v/>
      </c>
      <c r="BV14" s="36" t="str">
        <f>IFERROR(IF(LEN(#REF!)=0,"",IF(AV$27=#REF!,Milestone_Marker_Old,"")),"")</f>
        <v/>
      </c>
      <c r="BW14" s="36" t="str">
        <f>IFERROR(IF(LEN(#REF!)=0,"",IF(AW$27=#REF!,Milestone_Marker_Old,"")),"")</f>
        <v/>
      </c>
      <c r="BX14" s="36" t="str">
        <f>IFERROR(IF(LEN(#REF!)=0,"",IF(AX$27=#REF!,Milestone_Marker_Old,"")),"")</f>
        <v/>
      </c>
      <c r="BY14" s="36" t="str">
        <f>IFERROR(IF(LEN(#REF!)=0,"",IF(AY$27=#REF!,Milestone_Marker_Old,"")),"")</f>
        <v/>
      </c>
      <c r="BZ14" s="36" t="str">
        <f>IFERROR(IF(LEN(#REF!)=0,"",IF(AZ$27=#REF!,Milestone_Marker_Old,"")),"")</f>
        <v/>
      </c>
      <c r="CA14" s="36" t="str">
        <f>IFERROR(IF(LEN(#REF!)=0,"",IF(BA$27=#REF!,Milestone_Marker_Old,"")),"")</f>
        <v/>
      </c>
      <c r="CB14" s="36" t="str">
        <f>IFERROR(IF(LEN(#REF!)=0,"",IF(BB$27=#REF!,Milestone_Marker_Old,"")),"")</f>
        <v/>
      </c>
      <c r="CC14" s="36" t="str">
        <f>IFERROR(IF(LEN(#REF!)=0,"",IF(BC$27=#REF!,Milestone_Marker_Old,"")),"")</f>
        <v/>
      </c>
      <c r="CD14" s="36" t="str">
        <f>IFERROR(IF(LEN(#REF!)=0,"",IF(BD$27=#REF!,Milestone_Marker_Old,"")),"")</f>
        <v/>
      </c>
      <c r="CE14" s="36" t="str">
        <f>IFERROR(IF(LEN(#REF!)=0,"",IF(BE$27=#REF!,Milestone_Marker_Old,"")),"")</f>
        <v/>
      </c>
      <c r="CF14" s="36" t="str">
        <f>IFERROR(IF(LEN(#REF!)=0,"",IF(BF$27=#REF!,Milestone_Marker_Old,"")),"")</f>
        <v/>
      </c>
      <c r="CG14" s="36" t="str">
        <f>IFERROR(IF(LEN(#REF!)=0,"",IF(BG$27=#REF!,Milestone_Marker_Old,"")),"")</f>
        <v/>
      </c>
      <c r="CH14" s="36" t="str">
        <f>IFERROR(IF(LEN(#REF!)=0,"",IF(BH$27=#REF!,Milestone_Marker_Old,"")),"")</f>
        <v/>
      </c>
      <c r="CI14" s="36" t="str">
        <f>IFERROR(IF(LEN(#REF!)=0,"",IF(BI$27=#REF!,Milestone_Marker_Old,"")),"")</f>
        <v/>
      </c>
      <c r="CJ14" s="36" t="str">
        <f>IFERROR(IF(LEN(#REF!)=0,"",IF(BJ$27=#REF!,Milestone_Marker_Old,"")),"")</f>
        <v/>
      </c>
      <c r="CK14" s="36" t="str">
        <f>IFERROR(IF(LEN(#REF!)=0,"",IF(BK$27=#REF!,Milestone_Marker_Old,"")),"")</f>
        <v/>
      </c>
      <c r="CL14" s="36" t="str">
        <f>IFERROR(IF(LEN(#REF!)=0,"",IF(BL$27=#REF!,Milestone_Marker_Old,"")),"")</f>
        <v/>
      </c>
      <c r="CM14" s="36" t="str">
        <f>IFERROR(IF(LEN(#REF!)=0,"",IF(BM$27=#REF!,Milestone_Marker_Old,"")),"")</f>
        <v/>
      </c>
      <c r="CN14" s="36" t="str">
        <f>IFERROR(IF(LEN(#REF!)=0,"",IF(BN$27=#REF!,Milestone_Marker_Old,"")),"")</f>
        <v/>
      </c>
      <c r="CO14" s="36" t="str">
        <f>IFERROR(IF(LEN(#REF!)=0,"",IF(BO$27=#REF!,Milestone_Marker_Old,"")),"")</f>
        <v/>
      </c>
      <c r="CP14" s="36" t="str">
        <f>IFERROR(IF(LEN(#REF!)=0,"",IF(BP$27=#REF!,Milestone_Marker_Old,"")),"")</f>
        <v/>
      </c>
      <c r="CQ14" s="36" t="str">
        <f>IFERROR(IF(LEN(#REF!)=0,"",IF(BQ$27=#REF!,Milestone_Marker_Old,"")),"")</f>
        <v/>
      </c>
      <c r="CR14" s="36" t="str">
        <f>IFERROR(IF(LEN(#REF!)=0,"",IF(BR$27=#REF!,Milestone_Marker_Old,"")),"")</f>
        <v/>
      </c>
      <c r="CS14" s="36" t="str">
        <f>IFERROR(IF(LEN(#REF!)=0,"",IF(BS$27=#REF!,Milestone_Marker_Old,"")),"")</f>
        <v/>
      </c>
      <c r="CT14" s="36" t="str">
        <f>IFERROR(IF(LEN(#REF!)=0,"",IF(BT$27=#REF!,Milestone_Marker_Old,"")),"")</f>
        <v/>
      </c>
      <c r="CU14" s="36" t="str">
        <f>IFERROR(IF(LEN(#REF!)=0,"",IF(BU$27=#REF!,Milestone_Marker_Old,"")),"")</f>
        <v/>
      </c>
      <c r="CV14" s="36" t="str">
        <f>IFERROR(IF(LEN(#REF!)=0,"",IF(BV$27=#REF!,Milestone_Marker_Old,"")),"")</f>
        <v/>
      </c>
      <c r="CW14" s="36" t="str">
        <f>IFERROR(IF(LEN(#REF!)=0,"",IF(BW$27=#REF!,Milestone_Marker_Old,"")),"")</f>
        <v/>
      </c>
      <c r="CX14" s="36" t="str">
        <f>IFERROR(IF(LEN(#REF!)=0,"",IF(BX$27=#REF!,Milestone_Marker_Old,"")),"")</f>
        <v/>
      </c>
      <c r="CY14" s="36" t="str">
        <f>IFERROR(IF(LEN(#REF!)=0,"",IF(BY$27=#REF!,Milestone_Marker_Old,"")),"")</f>
        <v/>
      </c>
      <c r="CZ14" s="36" t="str">
        <f>IFERROR(IF(LEN(#REF!)=0,"",IF(BZ$27=#REF!,Milestone_Marker_Old,"")),"")</f>
        <v/>
      </c>
      <c r="DA14" s="36" t="str">
        <f>IFERROR(IF(LEN(#REF!)=0,"",IF(CA$27=#REF!,Milestone_Marker_Old,"")),"")</f>
        <v/>
      </c>
      <c r="DB14" s="36" t="str">
        <f>IFERROR(IF(LEN(#REF!)=0,"",IF(CB$27=#REF!,Milestone_Marker_Old,"")),"")</f>
        <v/>
      </c>
      <c r="DC14" s="36" t="str">
        <f>IFERROR(IF(LEN(#REF!)=0,"",IF(CC$27=#REF!,Milestone_Marker_Old,"")),"")</f>
        <v/>
      </c>
      <c r="DD14" s="36" t="str">
        <f>IFERROR(IF(LEN(#REF!)=0,"",IF(CD$27=#REF!,Milestone_Marker_Old,"")),"")</f>
        <v/>
      </c>
      <c r="DE14" s="36" t="str">
        <f>IFERROR(IF(LEN(#REF!)=0,"",IF(CE$27=#REF!,Milestone_Marker_Old,"")),"")</f>
        <v/>
      </c>
      <c r="DF14" s="36" t="str">
        <f>IFERROR(IF(LEN(#REF!)=0,"",IF(CF$27=#REF!,Milestone_Marker_Old,"")),"")</f>
        <v/>
      </c>
      <c r="DG14" s="36" t="str">
        <f>IFERROR(IF(LEN(#REF!)=0,"",IF(CG$27=#REF!,Milestone_Marker_Old,"")),"")</f>
        <v/>
      </c>
      <c r="DH14" s="36" t="str">
        <f>IFERROR(IF(LEN(#REF!)=0,"",IF(CH$27=#REF!,Milestone_Marker_Old,"")),"")</f>
        <v/>
      </c>
      <c r="DI14" s="36" t="str">
        <f>IFERROR(IF(LEN(#REF!)=0,"",IF(CI$27=#REF!,Milestone_Marker_Old,"")),"")</f>
        <v/>
      </c>
      <c r="DJ14" s="36" t="str">
        <f>IFERROR(IF(LEN(#REF!)=0,"",IF(CJ$27=#REF!,Milestone_Marker_Old,"")),"")</f>
        <v/>
      </c>
      <c r="DK14" s="36" t="str">
        <f>IFERROR(IF(LEN(#REF!)=0,"",IF(CK$27=#REF!,Milestone_Marker_Old,"")),"")</f>
        <v/>
      </c>
      <c r="DL14" s="36" t="str">
        <f>IFERROR(IF(LEN(#REF!)=0,"",IF(CL$27=#REF!,Milestone_Marker_Old,"")),"")</f>
        <v/>
      </c>
      <c r="DM14" s="36" t="str">
        <f>IFERROR(IF(LEN(#REF!)=0,"",IF(CM$27=#REF!,Milestone_Marker_Old,"")),"")</f>
        <v/>
      </c>
      <c r="DN14" s="36" t="str">
        <f>IFERROR(IF(LEN(#REF!)=0,"",IF(CN$27=#REF!,Milestone_Marker_Old,"")),"")</f>
        <v/>
      </c>
      <c r="DO14" s="36" t="str">
        <f>IFERROR(IF(LEN(#REF!)=0,"",IF(CO$27=#REF!,Milestone_Marker_Old,"")),"")</f>
        <v/>
      </c>
      <c r="DP14" s="36" t="str">
        <f>IFERROR(IF(LEN(#REF!)=0,"",IF(CP$27=#REF!,Milestone_Marker_Old,"")),"")</f>
        <v/>
      </c>
      <c r="DQ14" s="36" t="str">
        <f>IFERROR(IF(LEN(#REF!)=0,"",IF(CQ$27=#REF!,Milestone_Marker_Old,"")),"")</f>
        <v/>
      </c>
      <c r="DR14" s="36" t="str">
        <f>IFERROR(IF(LEN(#REF!)=0,"",IF(CR$27=#REF!,Milestone_Marker_Old,"")),"")</f>
        <v/>
      </c>
      <c r="DS14" s="36" t="str">
        <f>IFERROR(IF(LEN(#REF!)=0,"",IF(CS$27=#REF!,Milestone_Marker_Old,"")),"")</f>
        <v/>
      </c>
      <c r="DT14" s="36" t="str">
        <f>IFERROR(IF(LEN(#REF!)=0,"",IF(CT$27=#REF!,Milestone_Marker_Old,"")),"")</f>
        <v/>
      </c>
      <c r="DU14" s="36" t="str">
        <f>IFERROR(IF(LEN(#REF!)=0,"",IF(CU$27=#REF!,Milestone_Marker_Old,"")),"")</f>
        <v/>
      </c>
    </row>
    <row r="15" spans="1:125" s="41" customFormat="1" ht="20.100000000000001" customHeight="1" x14ac:dyDescent="0.25">
      <c r="A15" s="84" t="str">
        <f>Profit!$E$1&amp;" Your Home"</f>
        <v>Heritage Mangement Your Home</v>
      </c>
      <c r="B15" s="85">
        <f t="shared" si="4"/>
        <v>8</v>
      </c>
      <c r="C15" s="86"/>
      <c r="D15" s="84"/>
      <c r="E15" s="84" t="s">
        <v>747</v>
      </c>
      <c r="F15" s="85">
        <v>0</v>
      </c>
      <c r="G15" s="87">
        <f>+'Electrical Fixtures'!H36</f>
        <v>0</v>
      </c>
      <c r="H15" s="87">
        <f t="shared" si="2"/>
        <v>0</v>
      </c>
      <c r="I15" s="88"/>
      <c r="J15" s="87"/>
      <c r="K15" s="89"/>
      <c r="L15" s="87"/>
      <c r="M15" s="87"/>
      <c r="N15" s="87">
        <f t="shared" si="3"/>
        <v>0</v>
      </c>
      <c r="O15" s="88"/>
      <c r="R15" s="35"/>
      <c r="S15" s="35"/>
      <c r="T15" s="35"/>
      <c r="U15" s="35"/>
      <c r="V15" s="35"/>
      <c r="W15" s="35"/>
      <c r="X15" s="35"/>
      <c r="Y15" s="35"/>
      <c r="Z15" s="35"/>
      <c r="AA15" s="35"/>
      <c r="AB15" s="35"/>
      <c r="AC15" s="35"/>
      <c r="AD15" s="35"/>
      <c r="AE15" s="35"/>
      <c r="AF15" s="35"/>
      <c r="AG15" s="35"/>
      <c r="AH15" s="35"/>
      <c r="AI15" s="35"/>
      <c r="AP15" s="36" t="str">
        <f>IFERROR(IF(LEN(#REF!)=0,"",IF(P$27=#REF!,Milestone_Marker_Old,"")),"")</f>
        <v/>
      </c>
      <c r="AQ15" s="36" t="str">
        <f>IFERROR(IF(LEN(#REF!)=0,"",IF(Q$27=#REF!,Milestone_Marker_Old,"")),"")</f>
        <v/>
      </c>
      <c r="AR15" s="36" t="str">
        <f>IFERROR(IF(LEN(#REF!)=0,"",IF(R$27=#REF!,Milestone_Marker_Old,"")),"")</f>
        <v/>
      </c>
      <c r="AS15" s="36" t="str">
        <f>IFERROR(IF(LEN(#REF!)=0,"",IF(S$27=#REF!,Milestone_Marker_Old,"")),"")</f>
        <v/>
      </c>
      <c r="AT15" s="36" t="str">
        <f>IFERROR(IF(LEN(#REF!)=0,"",IF(T$27=#REF!,Milestone_Marker_Old,"")),"")</f>
        <v/>
      </c>
      <c r="AU15" s="36" t="str">
        <f>IFERROR(IF(LEN(#REF!)=0,"",IF(U$27=#REF!,Milestone_Marker_Old,"")),"")</f>
        <v/>
      </c>
      <c r="AV15" s="36" t="str">
        <f>IFERROR(IF(LEN(#REF!)=0,"",IF(V$27=#REF!,Milestone_Marker_Old,"")),"")</f>
        <v/>
      </c>
      <c r="AW15" s="36" t="str">
        <f>IFERROR(IF(LEN(#REF!)=0,"",IF(W$27=#REF!,Milestone_Marker_Old,"")),"")</f>
        <v/>
      </c>
      <c r="AX15" s="36" t="str">
        <f>IFERROR(IF(LEN(#REF!)=0,"",IF(X$27=#REF!,Milestone_Marker_Old,"")),"")</f>
        <v/>
      </c>
      <c r="AY15" s="36" t="str">
        <f>IFERROR(IF(LEN(#REF!)=0,"",IF(Y$27=#REF!,Milestone_Marker_Old,"")),"")</f>
        <v/>
      </c>
      <c r="AZ15" s="36" t="str">
        <f>IFERROR(IF(LEN(#REF!)=0,"",IF(Z$27=#REF!,Milestone_Marker_Old,"")),"")</f>
        <v/>
      </c>
      <c r="BA15" s="36" t="str">
        <f>IFERROR(IF(LEN(#REF!)=0,"",IF(AA$27=#REF!,Milestone_Marker_Old,"")),"")</f>
        <v/>
      </c>
      <c r="BB15" s="36" t="str">
        <f>IFERROR(IF(LEN(#REF!)=0,"",IF(AB$27=#REF!,Milestone_Marker_Old,"")),"")</f>
        <v/>
      </c>
      <c r="BC15" s="36" t="str">
        <f>IFERROR(IF(LEN(#REF!)=0,"",IF(AC$27=#REF!,Milestone_Marker_Old,"")),"")</f>
        <v/>
      </c>
      <c r="BD15" s="36" t="str">
        <f>IFERROR(IF(LEN(#REF!)=0,"",IF(AD$27=#REF!,Milestone_Marker_Old,"")),"")</f>
        <v/>
      </c>
      <c r="BE15" s="36" t="str">
        <f>IFERROR(IF(LEN(#REF!)=0,"",IF(AE$27=#REF!,Milestone_Marker_Old,"")),"")</f>
        <v/>
      </c>
      <c r="BF15" s="36" t="str">
        <f>IFERROR(IF(LEN(#REF!)=0,"",IF(AF$27=#REF!,Milestone_Marker_Old,"")),"")</f>
        <v/>
      </c>
      <c r="BG15" s="36" t="str">
        <f>IFERROR(IF(LEN(#REF!)=0,"",IF(AG$27=#REF!,Milestone_Marker_Old,"")),"")</f>
        <v/>
      </c>
      <c r="BH15" s="36" t="str">
        <f>IFERROR(IF(LEN(#REF!)=0,"",IF(AH$27=#REF!,Milestone_Marker_Old,"")),"")</f>
        <v/>
      </c>
      <c r="BI15" s="36" t="str">
        <f>IFERROR(IF(LEN(#REF!)=0,"",IF(AI$27=#REF!,Milestone_Marker_Old,"")),"")</f>
        <v/>
      </c>
      <c r="BJ15" s="36" t="str">
        <f>IFERROR(IF(LEN(#REF!)=0,"",IF(AJ$27=#REF!,Milestone_Marker_Old,"")),"")</f>
        <v/>
      </c>
      <c r="BK15" s="36" t="str">
        <f>IFERROR(IF(LEN(#REF!)=0,"",IF(AK$27=#REF!,Milestone_Marker_Old,"")),"")</f>
        <v/>
      </c>
      <c r="BL15" s="36" t="str">
        <f>IFERROR(IF(LEN(#REF!)=0,"",IF(AL$27=#REF!,Milestone_Marker_Old,"")),"")</f>
        <v/>
      </c>
      <c r="BM15" s="36" t="str">
        <f>IFERROR(IF(LEN(#REF!)=0,"",IF(AM$27=#REF!,Milestone_Marker_Old,"")),"")</f>
        <v/>
      </c>
      <c r="BN15" s="36" t="str">
        <f>IFERROR(IF(LEN(#REF!)=0,"",IF(AN$27=#REF!,Milestone_Marker_Old,"")),"")</f>
        <v/>
      </c>
      <c r="BO15" s="36" t="str">
        <f>IFERROR(IF(LEN(#REF!)=0,"",IF(AO$27=#REF!,Milestone_Marker_Old,"")),"")</f>
        <v/>
      </c>
      <c r="BP15" s="36" t="str">
        <f>IFERROR(IF(LEN(#REF!)=0,"",IF(AP$27=#REF!,Milestone_Marker_Old,"")),"")</f>
        <v/>
      </c>
      <c r="BQ15" s="36" t="str">
        <f>IFERROR(IF(LEN(#REF!)=0,"",IF(AQ$27=#REF!,Milestone_Marker_Old,"")),"")</f>
        <v/>
      </c>
      <c r="BR15" s="36" t="str">
        <f>IFERROR(IF(LEN(#REF!)=0,"",IF(AR$27=#REF!,Milestone_Marker_Old,"")),"")</f>
        <v/>
      </c>
      <c r="BS15" s="36" t="str">
        <f>IFERROR(IF(LEN(#REF!)=0,"",IF(AS$27=#REF!,Milestone_Marker_Old,"")),"")</f>
        <v/>
      </c>
      <c r="BT15" s="36" t="str">
        <f>IFERROR(IF(LEN(#REF!)=0,"",IF(AT$27=#REF!,Milestone_Marker_Old,"")),"")</f>
        <v/>
      </c>
      <c r="BU15" s="36" t="str">
        <f>IFERROR(IF(LEN(#REF!)=0,"",IF(AU$27=#REF!,Milestone_Marker_Old,"")),"")</f>
        <v/>
      </c>
      <c r="BV15" s="36" t="str">
        <f>IFERROR(IF(LEN(#REF!)=0,"",IF(AV$27=#REF!,Milestone_Marker_Old,"")),"")</f>
        <v/>
      </c>
      <c r="BW15" s="36" t="str">
        <f>IFERROR(IF(LEN(#REF!)=0,"",IF(AW$27=#REF!,Milestone_Marker_Old,"")),"")</f>
        <v/>
      </c>
      <c r="BX15" s="36" t="str">
        <f>IFERROR(IF(LEN(#REF!)=0,"",IF(AX$27=#REF!,Milestone_Marker_Old,"")),"")</f>
        <v/>
      </c>
      <c r="BY15" s="36" t="str">
        <f>IFERROR(IF(LEN(#REF!)=0,"",IF(AY$27=#REF!,Milestone_Marker_Old,"")),"")</f>
        <v/>
      </c>
      <c r="BZ15" s="36" t="str">
        <f>IFERROR(IF(LEN(#REF!)=0,"",IF(AZ$27=#REF!,Milestone_Marker_Old,"")),"")</f>
        <v/>
      </c>
      <c r="CA15" s="36" t="str">
        <f>IFERROR(IF(LEN(#REF!)=0,"",IF(BA$27=#REF!,Milestone_Marker_Old,"")),"")</f>
        <v/>
      </c>
      <c r="CB15" s="36" t="str">
        <f>IFERROR(IF(LEN(#REF!)=0,"",IF(BB$27=#REF!,Milestone_Marker_Old,"")),"")</f>
        <v/>
      </c>
      <c r="CC15" s="36" t="str">
        <f>IFERROR(IF(LEN(#REF!)=0,"",IF(BC$27=#REF!,Milestone_Marker_Old,"")),"")</f>
        <v/>
      </c>
      <c r="CD15" s="36" t="str">
        <f>IFERROR(IF(LEN(#REF!)=0,"",IF(BD$27=#REF!,Milestone_Marker_Old,"")),"")</f>
        <v/>
      </c>
      <c r="CE15" s="36" t="str">
        <f>IFERROR(IF(LEN(#REF!)=0,"",IF(BE$27=#REF!,Milestone_Marker_Old,"")),"")</f>
        <v/>
      </c>
      <c r="CF15" s="36" t="str">
        <f>IFERROR(IF(LEN(#REF!)=0,"",IF(BF$27=#REF!,Milestone_Marker_Old,"")),"")</f>
        <v/>
      </c>
      <c r="CG15" s="36" t="str">
        <f>IFERROR(IF(LEN(#REF!)=0,"",IF(BG$27=#REF!,Milestone_Marker_Old,"")),"")</f>
        <v/>
      </c>
      <c r="CH15" s="36" t="str">
        <f>IFERROR(IF(LEN(#REF!)=0,"",IF(BH$27=#REF!,Milestone_Marker_Old,"")),"")</f>
        <v/>
      </c>
      <c r="CI15" s="36" t="str">
        <f>IFERROR(IF(LEN(#REF!)=0,"",IF(BI$27=#REF!,Milestone_Marker_Old,"")),"")</f>
        <v/>
      </c>
      <c r="CJ15" s="36" t="str">
        <f>IFERROR(IF(LEN(#REF!)=0,"",IF(BJ$27=#REF!,Milestone_Marker_Old,"")),"")</f>
        <v/>
      </c>
      <c r="CK15" s="36" t="str">
        <f>IFERROR(IF(LEN(#REF!)=0,"",IF(BK$27=#REF!,Milestone_Marker_Old,"")),"")</f>
        <v/>
      </c>
      <c r="CL15" s="36" t="str">
        <f>IFERROR(IF(LEN(#REF!)=0,"",IF(BL$27=#REF!,Milestone_Marker_Old,"")),"")</f>
        <v/>
      </c>
      <c r="CM15" s="36" t="str">
        <f>IFERROR(IF(LEN(#REF!)=0,"",IF(BM$27=#REF!,Milestone_Marker_Old,"")),"")</f>
        <v/>
      </c>
      <c r="CN15" s="36" t="str">
        <f>IFERROR(IF(LEN(#REF!)=0,"",IF(BN$27=#REF!,Milestone_Marker_Old,"")),"")</f>
        <v/>
      </c>
      <c r="CO15" s="36" t="str">
        <f>IFERROR(IF(LEN(#REF!)=0,"",IF(BO$27=#REF!,Milestone_Marker_Old,"")),"")</f>
        <v/>
      </c>
      <c r="CP15" s="36" t="str">
        <f>IFERROR(IF(LEN(#REF!)=0,"",IF(BP$27=#REF!,Milestone_Marker_Old,"")),"")</f>
        <v/>
      </c>
      <c r="CQ15" s="36" t="str">
        <f>IFERROR(IF(LEN(#REF!)=0,"",IF(BQ$27=#REF!,Milestone_Marker_Old,"")),"")</f>
        <v/>
      </c>
      <c r="CR15" s="36" t="str">
        <f>IFERROR(IF(LEN(#REF!)=0,"",IF(BR$27=#REF!,Milestone_Marker_Old,"")),"")</f>
        <v/>
      </c>
      <c r="CS15" s="36" t="str">
        <f>IFERROR(IF(LEN(#REF!)=0,"",IF(BS$27=#REF!,Milestone_Marker_Old,"")),"")</f>
        <v/>
      </c>
      <c r="CT15" s="36" t="str">
        <f>IFERROR(IF(LEN(#REF!)=0,"",IF(BT$27=#REF!,Milestone_Marker_Old,"")),"")</f>
        <v/>
      </c>
      <c r="CU15" s="36" t="str">
        <f>IFERROR(IF(LEN(#REF!)=0,"",IF(BU$27=#REF!,Milestone_Marker_Old,"")),"")</f>
        <v/>
      </c>
      <c r="CV15" s="36" t="str">
        <f>IFERROR(IF(LEN(#REF!)=0,"",IF(BV$27=#REF!,Milestone_Marker_Old,"")),"")</f>
        <v/>
      </c>
      <c r="CW15" s="36" t="str">
        <f>IFERROR(IF(LEN(#REF!)=0,"",IF(BW$27=#REF!,Milestone_Marker_Old,"")),"")</f>
        <v/>
      </c>
      <c r="CX15" s="36" t="str">
        <f>IFERROR(IF(LEN(#REF!)=0,"",IF(BX$27=#REF!,Milestone_Marker_Old,"")),"")</f>
        <v/>
      </c>
      <c r="CY15" s="36" t="str">
        <f>IFERROR(IF(LEN(#REF!)=0,"",IF(BY$27=#REF!,Milestone_Marker_Old,"")),"")</f>
        <v/>
      </c>
      <c r="CZ15" s="36" t="str">
        <f>IFERROR(IF(LEN(#REF!)=0,"",IF(BZ$27=#REF!,Milestone_Marker_Old,"")),"")</f>
        <v/>
      </c>
      <c r="DA15" s="36" t="str">
        <f>IFERROR(IF(LEN(#REF!)=0,"",IF(CA$27=#REF!,Milestone_Marker_Old,"")),"")</f>
        <v/>
      </c>
      <c r="DB15" s="36" t="str">
        <f>IFERROR(IF(LEN(#REF!)=0,"",IF(CB$27=#REF!,Milestone_Marker_Old,"")),"")</f>
        <v/>
      </c>
      <c r="DC15" s="36" t="str">
        <f>IFERROR(IF(LEN(#REF!)=0,"",IF(CC$27=#REF!,Milestone_Marker_Old,"")),"")</f>
        <v/>
      </c>
      <c r="DD15" s="36" t="str">
        <f>IFERROR(IF(LEN(#REF!)=0,"",IF(CD$27=#REF!,Milestone_Marker_Old,"")),"")</f>
        <v/>
      </c>
      <c r="DE15" s="36" t="str">
        <f>IFERROR(IF(LEN(#REF!)=0,"",IF(CE$27=#REF!,Milestone_Marker_Old,"")),"")</f>
        <v/>
      </c>
      <c r="DF15" s="36" t="str">
        <f>IFERROR(IF(LEN(#REF!)=0,"",IF(CF$27=#REF!,Milestone_Marker_Old,"")),"")</f>
        <v/>
      </c>
      <c r="DG15" s="36" t="str">
        <f>IFERROR(IF(LEN(#REF!)=0,"",IF(CG$27=#REF!,Milestone_Marker_Old,"")),"")</f>
        <v/>
      </c>
      <c r="DH15" s="36" t="str">
        <f>IFERROR(IF(LEN(#REF!)=0,"",IF(CH$27=#REF!,Milestone_Marker_Old,"")),"")</f>
        <v/>
      </c>
      <c r="DI15" s="36" t="str">
        <f>IFERROR(IF(LEN(#REF!)=0,"",IF(CI$27=#REF!,Milestone_Marker_Old,"")),"")</f>
        <v/>
      </c>
      <c r="DJ15" s="36" t="str">
        <f>IFERROR(IF(LEN(#REF!)=0,"",IF(CJ$27=#REF!,Milestone_Marker_Old,"")),"")</f>
        <v/>
      </c>
      <c r="DK15" s="36" t="str">
        <f>IFERROR(IF(LEN(#REF!)=0,"",IF(CK$27=#REF!,Milestone_Marker_Old,"")),"")</f>
        <v/>
      </c>
      <c r="DL15" s="36" t="str">
        <f>IFERROR(IF(LEN(#REF!)=0,"",IF(CL$27=#REF!,Milestone_Marker_Old,"")),"")</f>
        <v/>
      </c>
      <c r="DM15" s="36" t="str">
        <f>IFERROR(IF(LEN(#REF!)=0,"",IF(CM$27=#REF!,Milestone_Marker_Old,"")),"")</f>
        <v/>
      </c>
      <c r="DN15" s="36" t="str">
        <f>IFERROR(IF(LEN(#REF!)=0,"",IF(CN$27=#REF!,Milestone_Marker_Old,"")),"")</f>
        <v/>
      </c>
      <c r="DO15" s="36" t="str">
        <f>IFERROR(IF(LEN(#REF!)=0,"",IF(CO$27=#REF!,Milestone_Marker_Old,"")),"")</f>
        <v/>
      </c>
      <c r="DP15" s="36" t="str">
        <f>IFERROR(IF(LEN(#REF!)=0,"",IF(CP$27=#REF!,Milestone_Marker_Old,"")),"")</f>
        <v/>
      </c>
      <c r="DQ15" s="36" t="str">
        <f>IFERROR(IF(LEN(#REF!)=0,"",IF(CQ$27=#REF!,Milestone_Marker_Old,"")),"")</f>
        <v/>
      </c>
      <c r="DR15" s="36" t="str">
        <f>IFERROR(IF(LEN(#REF!)=0,"",IF(CR$27=#REF!,Milestone_Marker_Old,"")),"")</f>
        <v/>
      </c>
      <c r="DS15" s="36" t="str">
        <f>IFERROR(IF(LEN(#REF!)=0,"",IF(CS$27=#REF!,Milestone_Marker_Old,"")),"")</f>
        <v/>
      </c>
      <c r="DT15" s="36" t="str">
        <f>IFERROR(IF(LEN(#REF!)=0,"",IF(CT$27=#REF!,Milestone_Marker_Old,"")),"")</f>
        <v/>
      </c>
      <c r="DU15" s="36" t="str">
        <f>IFERROR(IF(LEN(#REF!)=0,"",IF(CU$27=#REF!,Milestone_Marker_Old,"")),"")</f>
        <v/>
      </c>
    </row>
    <row r="16" spans="1:125" s="41" customFormat="1" ht="20.100000000000001" customHeight="1" x14ac:dyDescent="0.25">
      <c r="A16" s="84" t="str">
        <f>Profit!$E$1&amp;" Your Home"</f>
        <v>Heritage Mangement Your Home</v>
      </c>
      <c r="B16" s="85">
        <f t="shared" si="4"/>
        <v>9</v>
      </c>
      <c r="C16" s="86"/>
      <c r="D16" s="84"/>
      <c r="E16" s="84" t="s">
        <v>748</v>
      </c>
      <c r="F16" s="85">
        <v>0</v>
      </c>
      <c r="G16" s="87">
        <f>+Legal!G24</f>
        <v>0</v>
      </c>
      <c r="H16" s="87">
        <f>+F16*G16</f>
        <v>0</v>
      </c>
      <c r="I16" s="88"/>
      <c r="J16" s="87"/>
      <c r="K16" s="89"/>
      <c r="L16" s="87"/>
      <c r="M16" s="87"/>
      <c r="N16" s="87">
        <f>IF(I16="Yes",H16,0)</f>
        <v>0</v>
      </c>
      <c r="O16" s="88"/>
      <c r="R16" s="35"/>
      <c r="S16" s="35"/>
      <c r="T16" s="35"/>
      <c r="U16" s="35"/>
      <c r="V16" s="35"/>
      <c r="W16" s="35"/>
      <c r="X16" s="35"/>
      <c r="Y16" s="35"/>
      <c r="Z16" s="35"/>
      <c r="AA16" s="35"/>
      <c r="AB16" s="35"/>
      <c r="AC16" s="35"/>
      <c r="AD16" s="35"/>
      <c r="AE16" s="35"/>
      <c r="AF16" s="35"/>
      <c r="AG16" s="35"/>
      <c r="AH16" s="35"/>
      <c r="AI16" s="35"/>
      <c r="AP16" s="36" t="str">
        <f>IFERROR(IF(LEN(#REF!)=0,"",IF(P$27=#REF!,Milestone_Marker_Old,"")),"")</f>
        <v/>
      </c>
      <c r="AQ16" s="36" t="str">
        <f>IFERROR(IF(LEN(#REF!)=0,"",IF(Q$27=#REF!,Milestone_Marker_Old,"")),"")</f>
        <v/>
      </c>
      <c r="AR16" s="36" t="str">
        <f>IFERROR(IF(LEN(#REF!)=0,"",IF(R$27=#REF!,Milestone_Marker_Old,"")),"")</f>
        <v/>
      </c>
      <c r="AS16" s="36" t="str">
        <f>IFERROR(IF(LEN(#REF!)=0,"",IF(S$27=#REF!,Milestone_Marker_Old,"")),"")</f>
        <v/>
      </c>
      <c r="AT16" s="36" t="str">
        <f>IFERROR(IF(LEN(#REF!)=0,"",IF(T$27=#REF!,Milestone_Marker_Old,"")),"")</f>
        <v/>
      </c>
      <c r="AU16" s="36" t="str">
        <f>IFERROR(IF(LEN(#REF!)=0,"",IF(U$27=#REF!,Milestone_Marker_Old,"")),"")</f>
        <v/>
      </c>
      <c r="AV16" s="36" t="str">
        <f>IFERROR(IF(LEN(#REF!)=0,"",IF(V$27=#REF!,Milestone_Marker_Old,"")),"")</f>
        <v/>
      </c>
      <c r="AW16" s="36" t="str">
        <f>IFERROR(IF(LEN(#REF!)=0,"",IF(W$27=#REF!,Milestone_Marker_Old,"")),"")</f>
        <v/>
      </c>
      <c r="AX16" s="36" t="str">
        <f>IFERROR(IF(LEN(#REF!)=0,"",IF(X$27=#REF!,Milestone_Marker_Old,"")),"")</f>
        <v/>
      </c>
      <c r="AY16" s="36" t="str">
        <f>IFERROR(IF(LEN(#REF!)=0,"",IF(Y$27=#REF!,Milestone_Marker_Old,"")),"")</f>
        <v/>
      </c>
      <c r="AZ16" s="36" t="str">
        <f>IFERROR(IF(LEN(#REF!)=0,"",IF(Z$27=#REF!,Milestone_Marker_Old,"")),"")</f>
        <v/>
      </c>
      <c r="BA16" s="36" t="str">
        <f>IFERROR(IF(LEN(#REF!)=0,"",IF(AA$27=#REF!,Milestone_Marker_Old,"")),"")</f>
        <v/>
      </c>
      <c r="BB16" s="36" t="str">
        <f>IFERROR(IF(LEN(#REF!)=0,"",IF(AB$27=#REF!,Milestone_Marker_Old,"")),"")</f>
        <v/>
      </c>
      <c r="BC16" s="36" t="str">
        <f>IFERROR(IF(LEN(#REF!)=0,"",IF(AC$27=#REF!,Milestone_Marker_Old,"")),"")</f>
        <v/>
      </c>
      <c r="BD16" s="36" t="str">
        <f>IFERROR(IF(LEN(#REF!)=0,"",IF(AD$27=#REF!,Milestone_Marker_Old,"")),"")</f>
        <v/>
      </c>
      <c r="BE16" s="36" t="str">
        <f>IFERROR(IF(LEN(#REF!)=0,"",IF(AE$27=#REF!,Milestone_Marker_Old,"")),"")</f>
        <v/>
      </c>
      <c r="BF16" s="36" t="str">
        <f>IFERROR(IF(LEN(#REF!)=0,"",IF(AF$27=#REF!,Milestone_Marker_Old,"")),"")</f>
        <v/>
      </c>
      <c r="BG16" s="36" t="str">
        <f>IFERROR(IF(LEN(#REF!)=0,"",IF(AG$27=#REF!,Milestone_Marker_Old,"")),"")</f>
        <v/>
      </c>
      <c r="BH16" s="36" t="str">
        <f>IFERROR(IF(LEN(#REF!)=0,"",IF(AH$27=#REF!,Milestone_Marker_Old,"")),"")</f>
        <v/>
      </c>
      <c r="BI16" s="36" t="str">
        <f>IFERROR(IF(LEN(#REF!)=0,"",IF(AI$27=#REF!,Milestone_Marker_Old,"")),"")</f>
        <v/>
      </c>
      <c r="BJ16" s="36" t="str">
        <f>IFERROR(IF(LEN(#REF!)=0,"",IF(AJ$27=#REF!,Milestone_Marker_Old,"")),"")</f>
        <v/>
      </c>
      <c r="BK16" s="36" t="str">
        <f>IFERROR(IF(LEN(#REF!)=0,"",IF(AK$27=#REF!,Milestone_Marker_Old,"")),"")</f>
        <v/>
      </c>
      <c r="BL16" s="36" t="str">
        <f>IFERROR(IF(LEN(#REF!)=0,"",IF(AL$27=#REF!,Milestone_Marker_Old,"")),"")</f>
        <v/>
      </c>
      <c r="BM16" s="36" t="str">
        <f>IFERROR(IF(LEN(#REF!)=0,"",IF(AM$27=#REF!,Milestone_Marker_Old,"")),"")</f>
        <v/>
      </c>
      <c r="BN16" s="36" t="str">
        <f>IFERROR(IF(LEN(#REF!)=0,"",IF(AN$27=#REF!,Milestone_Marker_Old,"")),"")</f>
        <v/>
      </c>
      <c r="BO16" s="36" t="str">
        <f>IFERROR(IF(LEN(#REF!)=0,"",IF(AO$27=#REF!,Milestone_Marker_Old,"")),"")</f>
        <v/>
      </c>
      <c r="BP16" s="36" t="str">
        <f>IFERROR(IF(LEN(#REF!)=0,"",IF(AP$27=#REF!,Milestone_Marker_Old,"")),"")</f>
        <v/>
      </c>
      <c r="BQ16" s="36" t="str">
        <f>IFERROR(IF(LEN(#REF!)=0,"",IF(AQ$27=#REF!,Milestone_Marker_Old,"")),"")</f>
        <v/>
      </c>
      <c r="BR16" s="36" t="str">
        <f>IFERROR(IF(LEN(#REF!)=0,"",IF(AR$27=#REF!,Milestone_Marker_Old,"")),"")</f>
        <v/>
      </c>
      <c r="BS16" s="36" t="str">
        <f>IFERROR(IF(LEN(#REF!)=0,"",IF(AS$27=#REF!,Milestone_Marker_Old,"")),"")</f>
        <v/>
      </c>
      <c r="BT16" s="36" t="str">
        <f>IFERROR(IF(LEN(#REF!)=0,"",IF(AT$27=#REF!,Milestone_Marker_Old,"")),"")</f>
        <v/>
      </c>
      <c r="BU16" s="36" t="str">
        <f>IFERROR(IF(LEN(#REF!)=0,"",IF(AU$27=#REF!,Milestone_Marker_Old,"")),"")</f>
        <v/>
      </c>
      <c r="BV16" s="36" t="str">
        <f>IFERROR(IF(LEN(#REF!)=0,"",IF(AV$27=#REF!,Milestone_Marker_Old,"")),"")</f>
        <v/>
      </c>
      <c r="BW16" s="36" t="str">
        <f>IFERROR(IF(LEN(#REF!)=0,"",IF(AW$27=#REF!,Milestone_Marker_Old,"")),"")</f>
        <v/>
      </c>
      <c r="BX16" s="36" t="str">
        <f>IFERROR(IF(LEN(#REF!)=0,"",IF(AX$27=#REF!,Milestone_Marker_Old,"")),"")</f>
        <v/>
      </c>
      <c r="BY16" s="36" t="str">
        <f>IFERROR(IF(LEN(#REF!)=0,"",IF(AY$27=#REF!,Milestone_Marker_Old,"")),"")</f>
        <v/>
      </c>
      <c r="BZ16" s="36" t="str">
        <f>IFERROR(IF(LEN(#REF!)=0,"",IF(AZ$27=#REF!,Milestone_Marker_Old,"")),"")</f>
        <v/>
      </c>
      <c r="CA16" s="36" t="str">
        <f>IFERROR(IF(LEN(#REF!)=0,"",IF(BA$27=#REF!,Milestone_Marker_Old,"")),"")</f>
        <v/>
      </c>
      <c r="CB16" s="36" t="str">
        <f>IFERROR(IF(LEN(#REF!)=0,"",IF(BB$27=#REF!,Milestone_Marker_Old,"")),"")</f>
        <v/>
      </c>
      <c r="CC16" s="36" t="str">
        <f>IFERROR(IF(LEN(#REF!)=0,"",IF(BC$27=#REF!,Milestone_Marker_Old,"")),"")</f>
        <v/>
      </c>
      <c r="CD16" s="36" t="str">
        <f>IFERROR(IF(LEN(#REF!)=0,"",IF(BD$27=#REF!,Milestone_Marker_Old,"")),"")</f>
        <v/>
      </c>
      <c r="CE16" s="36" t="str">
        <f>IFERROR(IF(LEN(#REF!)=0,"",IF(BE$27=#REF!,Milestone_Marker_Old,"")),"")</f>
        <v/>
      </c>
      <c r="CF16" s="36" t="str">
        <f>IFERROR(IF(LEN(#REF!)=0,"",IF(BF$27=#REF!,Milestone_Marker_Old,"")),"")</f>
        <v/>
      </c>
      <c r="CG16" s="36" t="str">
        <f>IFERROR(IF(LEN(#REF!)=0,"",IF(BG$27=#REF!,Milestone_Marker_Old,"")),"")</f>
        <v/>
      </c>
      <c r="CH16" s="36" t="str">
        <f>IFERROR(IF(LEN(#REF!)=0,"",IF(BH$27=#REF!,Milestone_Marker_Old,"")),"")</f>
        <v/>
      </c>
      <c r="CI16" s="36" t="str">
        <f>IFERROR(IF(LEN(#REF!)=0,"",IF(BI$27=#REF!,Milestone_Marker_Old,"")),"")</f>
        <v/>
      </c>
      <c r="CJ16" s="36" t="str">
        <f>IFERROR(IF(LEN(#REF!)=0,"",IF(BJ$27=#REF!,Milestone_Marker_Old,"")),"")</f>
        <v/>
      </c>
      <c r="CK16" s="36" t="str">
        <f>IFERROR(IF(LEN(#REF!)=0,"",IF(BK$27=#REF!,Milestone_Marker_Old,"")),"")</f>
        <v/>
      </c>
      <c r="CL16" s="36" t="str">
        <f>IFERROR(IF(LEN(#REF!)=0,"",IF(BL$27=#REF!,Milestone_Marker_Old,"")),"")</f>
        <v/>
      </c>
      <c r="CM16" s="36" t="str">
        <f>IFERROR(IF(LEN(#REF!)=0,"",IF(BM$27=#REF!,Milestone_Marker_Old,"")),"")</f>
        <v/>
      </c>
      <c r="CN16" s="36" t="str">
        <f>IFERROR(IF(LEN(#REF!)=0,"",IF(BN$27=#REF!,Milestone_Marker_Old,"")),"")</f>
        <v/>
      </c>
      <c r="CO16" s="36" t="str">
        <f>IFERROR(IF(LEN(#REF!)=0,"",IF(BO$27=#REF!,Milestone_Marker_Old,"")),"")</f>
        <v/>
      </c>
      <c r="CP16" s="36" t="str">
        <f>IFERROR(IF(LEN(#REF!)=0,"",IF(BP$27=#REF!,Milestone_Marker_Old,"")),"")</f>
        <v/>
      </c>
      <c r="CQ16" s="36" t="str">
        <f>IFERROR(IF(LEN(#REF!)=0,"",IF(BQ$27=#REF!,Milestone_Marker_Old,"")),"")</f>
        <v/>
      </c>
      <c r="CR16" s="36" t="str">
        <f>IFERROR(IF(LEN(#REF!)=0,"",IF(BR$27=#REF!,Milestone_Marker_Old,"")),"")</f>
        <v/>
      </c>
      <c r="CS16" s="36" t="str">
        <f>IFERROR(IF(LEN(#REF!)=0,"",IF(BS$27=#REF!,Milestone_Marker_Old,"")),"")</f>
        <v/>
      </c>
      <c r="CT16" s="36" t="str">
        <f>IFERROR(IF(LEN(#REF!)=0,"",IF(BT$27=#REF!,Milestone_Marker_Old,"")),"")</f>
        <v/>
      </c>
      <c r="CU16" s="36" t="str">
        <f>IFERROR(IF(LEN(#REF!)=0,"",IF(BU$27=#REF!,Milestone_Marker_Old,"")),"")</f>
        <v/>
      </c>
      <c r="CV16" s="36" t="str">
        <f>IFERROR(IF(LEN(#REF!)=0,"",IF(BV$27=#REF!,Milestone_Marker_Old,"")),"")</f>
        <v/>
      </c>
      <c r="CW16" s="36" t="str">
        <f>IFERROR(IF(LEN(#REF!)=0,"",IF(BW$27=#REF!,Milestone_Marker_Old,"")),"")</f>
        <v/>
      </c>
      <c r="CX16" s="36" t="str">
        <f>IFERROR(IF(LEN(#REF!)=0,"",IF(BX$27=#REF!,Milestone_Marker_Old,"")),"")</f>
        <v/>
      </c>
      <c r="CY16" s="36" t="str">
        <f>IFERROR(IF(LEN(#REF!)=0,"",IF(BY$27=#REF!,Milestone_Marker_Old,"")),"")</f>
        <v/>
      </c>
      <c r="CZ16" s="36" t="str">
        <f>IFERROR(IF(LEN(#REF!)=0,"",IF(BZ$27=#REF!,Milestone_Marker_Old,"")),"")</f>
        <v/>
      </c>
      <c r="DA16" s="36" t="str">
        <f>IFERROR(IF(LEN(#REF!)=0,"",IF(CA$27=#REF!,Milestone_Marker_Old,"")),"")</f>
        <v/>
      </c>
      <c r="DB16" s="36" t="str">
        <f>IFERROR(IF(LEN(#REF!)=0,"",IF(CB$27=#REF!,Milestone_Marker_Old,"")),"")</f>
        <v/>
      </c>
      <c r="DC16" s="36" t="str">
        <f>IFERROR(IF(LEN(#REF!)=0,"",IF(CC$27=#REF!,Milestone_Marker_Old,"")),"")</f>
        <v/>
      </c>
      <c r="DD16" s="36" t="str">
        <f>IFERROR(IF(LEN(#REF!)=0,"",IF(CD$27=#REF!,Milestone_Marker_Old,"")),"")</f>
        <v/>
      </c>
      <c r="DE16" s="36" t="str">
        <f>IFERROR(IF(LEN(#REF!)=0,"",IF(CE$27=#REF!,Milestone_Marker_Old,"")),"")</f>
        <v/>
      </c>
      <c r="DF16" s="36" t="str">
        <f>IFERROR(IF(LEN(#REF!)=0,"",IF(CF$27=#REF!,Milestone_Marker_Old,"")),"")</f>
        <v/>
      </c>
      <c r="DG16" s="36" t="str">
        <f>IFERROR(IF(LEN(#REF!)=0,"",IF(CG$27=#REF!,Milestone_Marker_Old,"")),"")</f>
        <v/>
      </c>
      <c r="DH16" s="36" t="str">
        <f>IFERROR(IF(LEN(#REF!)=0,"",IF(CH$27=#REF!,Milestone_Marker_Old,"")),"")</f>
        <v/>
      </c>
      <c r="DI16" s="36" t="str">
        <f>IFERROR(IF(LEN(#REF!)=0,"",IF(CI$27=#REF!,Milestone_Marker_Old,"")),"")</f>
        <v/>
      </c>
      <c r="DJ16" s="36" t="str">
        <f>IFERROR(IF(LEN(#REF!)=0,"",IF(CJ$27=#REF!,Milestone_Marker_Old,"")),"")</f>
        <v/>
      </c>
      <c r="DK16" s="36" t="str">
        <f>IFERROR(IF(LEN(#REF!)=0,"",IF(CK$27=#REF!,Milestone_Marker_Old,"")),"")</f>
        <v/>
      </c>
      <c r="DL16" s="36" t="str">
        <f>IFERROR(IF(LEN(#REF!)=0,"",IF(CL$27=#REF!,Milestone_Marker_Old,"")),"")</f>
        <v/>
      </c>
      <c r="DM16" s="36" t="str">
        <f>IFERROR(IF(LEN(#REF!)=0,"",IF(CM$27=#REF!,Milestone_Marker_Old,"")),"")</f>
        <v/>
      </c>
      <c r="DN16" s="36" t="str">
        <f>IFERROR(IF(LEN(#REF!)=0,"",IF(CN$27=#REF!,Milestone_Marker_Old,"")),"")</f>
        <v/>
      </c>
      <c r="DO16" s="36" t="str">
        <f>IFERROR(IF(LEN(#REF!)=0,"",IF(CO$27=#REF!,Milestone_Marker_Old,"")),"")</f>
        <v/>
      </c>
      <c r="DP16" s="36" t="str">
        <f>IFERROR(IF(LEN(#REF!)=0,"",IF(CP$27=#REF!,Milestone_Marker_Old,"")),"")</f>
        <v/>
      </c>
      <c r="DQ16" s="36" t="str">
        <f>IFERROR(IF(LEN(#REF!)=0,"",IF(CQ$27=#REF!,Milestone_Marker_Old,"")),"")</f>
        <v/>
      </c>
      <c r="DR16" s="36" t="str">
        <f>IFERROR(IF(LEN(#REF!)=0,"",IF(CR$27=#REF!,Milestone_Marker_Old,"")),"")</f>
        <v/>
      </c>
      <c r="DS16" s="36" t="str">
        <f>IFERROR(IF(LEN(#REF!)=0,"",IF(CS$27=#REF!,Milestone_Marker_Old,"")),"")</f>
        <v/>
      </c>
      <c r="DT16" s="36" t="str">
        <f>IFERROR(IF(LEN(#REF!)=0,"",IF(CT$27=#REF!,Milestone_Marker_Old,"")),"")</f>
        <v/>
      </c>
      <c r="DU16" s="36" t="str">
        <f>IFERROR(IF(LEN(#REF!)=0,"",IF(CU$27=#REF!,Milestone_Marker_Old,"")),"")</f>
        <v/>
      </c>
    </row>
    <row r="17" spans="1:125" s="41" customFormat="1" ht="20.100000000000001" customHeight="1" x14ac:dyDescent="0.25">
      <c r="A17" s="84" t="str">
        <f>Profit!$E$1&amp;" Your Home"</f>
        <v>Heritage Mangement Your Home</v>
      </c>
      <c r="B17" s="85">
        <f>+B15+1</f>
        <v>9</v>
      </c>
      <c r="C17" s="86"/>
      <c r="D17" s="84"/>
      <c r="E17" s="84" t="s">
        <v>749</v>
      </c>
      <c r="F17" s="85">
        <v>0</v>
      </c>
      <c r="G17" s="87">
        <f>+Exterior!G22</f>
        <v>3232.04</v>
      </c>
      <c r="H17" s="87">
        <f t="shared" si="2"/>
        <v>0</v>
      </c>
      <c r="I17" s="88"/>
      <c r="J17" s="87"/>
      <c r="K17" s="89"/>
      <c r="L17" s="87"/>
      <c r="M17" s="87"/>
      <c r="N17" s="87">
        <f t="shared" si="3"/>
        <v>0</v>
      </c>
      <c r="O17" s="88"/>
      <c r="R17" s="35"/>
      <c r="S17" s="35"/>
      <c r="T17" s="35"/>
      <c r="U17" s="35"/>
      <c r="V17" s="35"/>
      <c r="W17" s="35"/>
      <c r="X17" s="35"/>
      <c r="Y17" s="35"/>
      <c r="Z17" s="35"/>
      <c r="AA17" s="35"/>
      <c r="AB17" s="35"/>
      <c r="AC17" s="35"/>
      <c r="AD17" s="35"/>
      <c r="AE17" s="35"/>
      <c r="AF17" s="35"/>
      <c r="AG17" s="35"/>
      <c r="AH17" s="35"/>
      <c r="AI17" s="35"/>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row>
    <row r="18" spans="1:125" s="41" customFormat="1" ht="20.100000000000001" customHeight="1" x14ac:dyDescent="0.25">
      <c r="A18" s="84" t="str">
        <f>Profit!$E$1&amp;" Your Home"</f>
        <v>Heritage Mangement Your Home</v>
      </c>
      <c r="B18" s="85">
        <f t="shared" si="4"/>
        <v>10</v>
      </c>
      <c r="C18" s="86"/>
      <c r="D18" s="84"/>
      <c r="E18" s="84" t="s">
        <v>750</v>
      </c>
      <c r="F18" s="85">
        <v>0</v>
      </c>
      <c r="G18" s="87">
        <f>+Landscape!G17</f>
        <v>1246.9100000000001</v>
      </c>
      <c r="H18" s="87">
        <f>+F18*G18</f>
        <v>0</v>
      </c>
      <c r="I18" s="88"/>
      <c r="J18" s="87"/>
      <c r="K18" s="89"/>
      <c r="L18" s="87"/>
      <c r="M18" s="87"/>
      <c r="N18" s="87">
        <f t="shared" si="3"/>
        <v>0</v>
      </c>
      <c r="O18" s="88"/>
      <c r="R18" s="35"/>
      <c r="S18" s="35"/>
      <c r="T18" s="35"/>
      <c r="U18" s="35"/>
      <c r="V18" s="35"/>
      <c r="W18" s="35"/>
      <c r="X18" s="35"/>
      <c r="Y18" s="35"/>
      <c r="Z18" s="35"/>
      <c r="AA18" s="35"/>
      <c r="AB18" s="35"/>
      <c r="AC18" s="35"/>
      <c r="AD18" s="35"/>
      <c r="AE18" s="35"/>
      <c r="AF18" s="35"/>
      <c r="AG18" s="35"/>
      <c r="AH18" s="35"/>
      <c r="AI18" s="35"/>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row>
    <row r="19" spans="1:125" s="41" customFormat="1" ht="20.100000000000001" customHeight="1" x14ac:dyDescent="0.25">
      <c r="A19" s="84" t="str">
        <f>Profit!$E$1&amp;" Your Home"</f>
        <v>Heritage Mangement Your Home</v>
      </c>
      <c r="B19" s="85">
        <f t="shared" si="4"/>
        <v>11</v>
      </c>
      <c r="C19" s="86"/>
      <c r="D19" s="84"/>
      <c r="E19" s="84" t="s">
        <v>751</v>
      </c>
      <c r="F19" s="85">
        <v>0</v>
      </c>
      <c r="G19" s="87">
        <f>+HVAC!I18</f>
        <v>152.30000000000001</v>
      </c>
      <c r="H19" s="87">
        <f t="shared" si="2"/>
        <v>0</v>
      </c>
      <c r="I19" s="88"/>
      <c r="J19" s="87"/>
      <c r="K19" s="89"/>
      <c r="L19" s="87"/>
      <c r="M19" s="87"/>
      <c r="N19" s="87">
        <f t="shared" si="3"/>
        <v>0</v>
      </c>
      <c r="O19" s="88"/>
      <c r="R19" s="35"/>
      <c r="S19" s="35"/>
      <c r="T19" s="35"/>
      <c r="U19" s="35"/>
      <c r="V19" s="35"/>
      <c r="W19" s="35"/>
      <c r="X19" s="35"/>
      <c r="Y19" s="35"/>
      <c r="Z19" s="35"/>
      <c r="AA19" s="35"/>
      <c r="AB19" s="35"/>
      <c r="AC19" s="35"/>
      <c r="AD19" s="35"/>
      <c r="AE19" s="35"/>
      <c r="AF19" s="35"/>
      <c r="AG19" s="35"/>
      <c r="AH19" s="35"/>
      <c r="AI19" s="35"/>
      <c r="AP19" s="36" t="str">
        <f>IFERROR(IF(LEN(#REF!)=0,"",IF(P$27=#REF!,Milestone_Marker_Old,"")),"")</f>
        <v/>
      </c>
      <c r="AQ19" s="36" t="str">
        <f>IFERROR(IF(LEN(#REF!)=0,"",IF(Q$27=#REF!,Milestone_Marker_Old,"")),"")</f>
        <v/>
      </c>
      <c r="AR19" s="36" t="str">
        <f>IFERROR(IF(LEN(#REF!)=0,"",IF(R$27=#REF!,Milestone_Marker_Old,"")),"")</f>
        <v/>
      </c>
      <c r="AS19" s="36" t="str">
        <f>IFERROR(IF(LEN(#REF!)=0,"",IF(S$27=#REF!,Milestone_Marker_Old,"")),"")</f>
        <v/>
      </c>
      <c r="AT19" s="36" t="str">
        <f>IFERROR(IF(LEN(#REF!)=0,"",IF(T$27=#REF!,Milestone_Marker_Old,"")),"")</f>
        <v/>
      </c>
      <c r="AU19" s="36" t="str">
        <f>IFERROR(IF(LEN(#REF!)=0,"",IF(U$27=#REF!,Milestone_Marker_Old,"")),"")</f>
        <v/>
      </c>
      <c r="AV19" s="36" t="str">
        <f>IFERROR(IF(LEN(#REF!)=0,"",IF(V$27=#REF!,Milestone_Marker_Old,"")),"")</f>
        <v/>
      </c>
      <c r="AW19" s="36" t="str">
        <f>IFERROR(IF(LEN(#REF!)=0,"",IF(W$27=#REF!,Milestone_Marker_Old,"")),"")</f>
        <v/>
      </c>
      <c r="AX19" s="36" t="str">
        <f>IFERROR(IF(LEN(#REF!)=0,"",IF(X$27=#REF!,Milestone_Marker_Old,"")),"")</f>
        <v/>
      </c>
      <c r="AY19" s="36" t="str">
        <f>IFERROR(IF(LEN(#REF!)=0,"",IF(Y$27=#REF!,Milestone_Marker_Old,"")),"")</f>
        <v/>
      </c>
      <c r="AZ19" s="36" t="str">
        <f>IFERROR(IF(LEN(#REF!)=0,"",IF(Z$27=#REF!,Milestone_Marker_Old,"")),"")</f>
        <v/>
      </c>
      <c r="BA19" s="36" t="str">
        <f>IFERROR(IF(LEN(#REF!)=0,"",IF(AA$27=#REF!,Milestone_Marker_Old,"")),"")</f>
        <v/>
      </c>
      <c r="BB19" s="36" t="str">
        <f>IFERROR(IF(LEN(#REF!)=0,"",IF(AB$27=#REF!,Milestone_Marker_Old,"")),"")</f>
        <v/>
      </c>
      <c r="BC19" s="36" t="str">
        <f>IFERROR(IF(LEN(#REF!)=0,"",IF(AC$27=#REF!,Milestone_Marker_Old,"")),"")</f>
        <v/>
      </c>
      <c r="BD19" s="36" t="str">
        <f>IFERROR(IF(LEN(#REF!)=0,"",IF(AD$27=#REF!,Milestone_Marker_Old,"")),"")</f>
        <v/>
      </c>
      <c r="BE19" s="36" t="str">
        <f>IFERROR(IF(LEN(#REF!)=0,"",IF(AE$27=#REF!,Milestone_Marker_Old,"")),"")</f>
        <v/>
      </c>
      <c r="BF19" s="36" t="str">
        <f>IFERROR(IF(LEN(#REF!)=0,"",IF(AF$27=#REF!,Milestone_Marker_Old,"")),"")</f>
        <v/>
      </c>
      <c r="BG19" s="36" t="str">
        <f>IFERROR(IF(LEN(#REF!)=0,"",IF(AG$27=#REF!,Milestone_Marker_Old,"")),"")</f>
        <v/>
      </c>
      <c r="BH19" s="36" t="str">
        <f>IFERROR(IF(LEN(#REF!)=0,"",IF(AH$27=#REF!,Milestone_Marker_Old,"")),"")</f>
        <v/>
      </c>
      <c r="BI19" s="36" t="str">
        <f>IFERROR(IF(LEN(#REF!)=0,"",IF(AI$27=#REF!,Milestone_Marker_Old,"")),"")</f>
        <v/>
      </c>
      <c r="BJ19" s="36" t="str">
        <f>IFERROR(IF(LEN(#REF!)=0,"",IF(AJ$27=#REF!,Milestone_Marker_Old,"")),"")</f>
        <v/>
      </c>
      <c r="BK19" s="36" t="str">
        <f>IFERROR(IF(LEN(#REF!)=0,"",IF(AK$27=#REF!,Milestone_Marker_Old,"")),"")</f>
        <v/>
      </c>
      <c r="BL19" s="36" t="str">
        <f>IFERROR(IF(LEN(#REF!)=0,"",IF(AL$27=#REF!,Milestone_Marker_Old,"")),"")</f>
        <v/>
      </c>
      <c r="BM19" s="36" t="str">
        <f>IFERROR(IF(LEN(#REF!)=0,"",IF(AM$27=#REF!,Milestone_Marker_Old,"")),"")</f>
        <v/>
      </c>
      <c r="BN19" s="36" t="str">
        <f>IFERROR(IF(LEN(#REF!)=0,"",IF(AN$27=#REF!,Milestone_Marker_Old,"")),"")</f>
        <v/>
      </c>
      <c r="BO19" s="36" t="str">
        <f>IFERROR(IF(LEN(#REF!)=0,"",IF(AO$27=#REF!,Milestone_Marker_Old,"")),"")</f>
        <v/>
      </c>
      <c r="BP19" s="36" t="str">
        <f>IFERROR(IF(LEN(#REF!)=0,"",IF(AP$27=#REF!,Milestone_Marker_Old,"")),"")</f>
        <v/>
      </c>
      <c r="BQ19" s="36" t="str">
        <f>IFERROR(IF(LEN(#REF!)=0,"",IF(AQ$27=#REF!,Milestone_Marker_Old,"")),"")</f>
        <v/>
      </c>
      <c r="BR19" s="36" t="str">
        <f>IFERROR(IF(LEN(#REF!)=0,"",IF(AR$27=#REF!,Milestone_Marker_Old,"")),"")</f>
        <v/>
      </c>
      <c r="BS19" s="36" t="str">
        <f>IFERROR(IF(LEN(#REF!)=0,"",IF(AS$27=#REF!,Milestone_Marker_Old,"")),"")</f>
        <v/>
      </c>
      <c r="BT19" s="36" t="str">
        <f>IFERROR(IF(LEN(#REF!)=0,"",IF(AT$27=#REF!,Milestone_Marker_Old,"")),"")</f>
        <v/>
      </c>
      <c r="BU19" s="36" t="str">
        <f>IFERROR(IF(LEN(#REF!)=0,"",IF(AU$27=#REF!,Milestone_Marker_Old,"")),"")</f>
        <v/>
      </c>
      <c r="BV19" s="36" t="str">
        <f>IFERROR(IF(LEN(#REF!)=0,"",IF(AV$27=#REF!,Milestone_Marker_Old,"")),"")</f>
        <v/>
      </c>
      <c r="BW19" s="36" t="str">
        <f>IFERROR(IF(LEN(#REF!)=0,"",IF(AW$27=#REF!,Milestone_Marker_Old,"")),"")</f>
        <v/>
      </c>
      <c r="BX19" s="36" t="str">
        <f>IFERROR(IF(LEN(#REF!)=0,"",IF(AX$27=#REF!,Milestone_Marker_Old,"")),"")</f>
        <v/>
      </c>
      <c r="BY19" s="36" t="str">
        <f>IFERROR(IF(LEN(#REF!)=0,"",IF(AY$27=#REF!,Milestone_Marker_Old,"")),"")</f>
        <v/>
      </c>
      <c r="BZ19" s="36" t="str">
        <f>IFERROR(IF(LEN(#REF!)=0,"",IF(AZ$27=#REF!,Milestone_Marker_Old,"")),"")</f>
        <v/>
      </c>
      <c r="CA19" s="36" t="str">
        <f>IFERROR(IF(LEN(#REF!)=0,"",IF(BA$27=#REF!,Milestone_Marker_Old,"")),"")</f>
        <v/>
      </c>
      <c r="CB19" s="36" t="str">
        <f>IFERROR(IF(LEN(#REF!)=0,"",IF(BB$27=#REF!,Milestone_Marker_Old,"")),"")</f>
        <v/>
      </c>
      <c r="CC19" s="36" t="str">
        <f>IFERROR(IF(LEN(#REF!)=0,"",IF(BC$27=#REF!,Milestone_Marker_Old,"")),"")</f>
        <v/>
      </c>
      <c r="CD19" s="36" t="str">
        <f>IFERROR(IF(LEN(#REF!)=0,"",IF(BD$27=#REF!,Milestone_Marker_Old,"")),"")</f>
        <v/>
      </c>
      <c r="CE19" s="36" t="str">
        <f>IFERROR(IF(LEN(#REF!)=0,"",IF(BE$27=#REF!,Milestone_Marker_Old,"")),"")</f>
        <v/>
      </c>
      <c r="CF19" s="36" t="str">
        <f>IFERROR(IF(LEN(#REF!)=0,"",IF(BF$27=#REF!,Milestone_Marker_Old,"")),"")</f>
        <v/>
      </c>
      <c r="CG19" s="36" t="str">
        <f>IFERROR(IF(LEN(#REF!)=0,"",IF(BG$27=#REF!,Milestone_Marker_Old,"")),"")</f>
        <v/>
      </c>
      <c r="CH19" s="36" t="str">
        <f>IFERROR(IF(LEN(#REF!)=0,"",IF(BH$27=#REF!,Milestone_Marker_Old,"")),"")</f>
        <v/>
      </c>
      <c r="CI19" s="36" t="str">
        <f>IFERROR(IF(LEN(#REF!)=0,"",IF(BI$27=#REF!,Milestone_Marker_Old,"")),"")</f>
        <v/>
      </c>
      <c r="CJ19" s="36" t="str">
        <f>IFERROR(IF(LEN(#REF!)=0,"",IF(BJ$27=#REF!,Milestone_Marker_Old,"")),"")</f>
        <v/>
      </c>
      <c r="CK19" s="36" t="str">
        <f>IFERROR(IF(LEN(#REF!)=0,"",IF(BK$27=#REF!,Milestone_Marker_Old,"")),"")</f>
        <v/>
      </c>
      <c r="CL19" s="36" t="str">
        <f>IFERROR(IF(LEN(#REF!)=0,"",IF(BL$27=#REF!,Milestone_Marker_Old,"")),"")</f>
        <v/>
      </c>
      <c r="CM19" s="36" t="str">
        <f>IFERROR(IF(LEN(#REF!)=0,"",IF(BM$27=#REF!,Milestone_Marker_Old,"")),"")</f>
        <v/>
      </c>
      <c r="CN19" s="36" t="str">
        <f>IFERROR(IF(LEN(#REF!)=0,"",IF(BN$27=#REF!,Milestone_Marker_Old,"")),"")</f>
        <v/>
      </c>
      <c r="CO19" s="36" t="str">
        <f>IFERROR(IF(LEN(#REF!)=0,"",IF(BO$27=#REF!,Milestone_Marker_Old,"")),"")</f>
        <v/>
      </c>
      <c r="CP19" s="36" t="str">
        <f>IFERROR(IF(LEN(#REF!)=0,"",IF(BP$27=#REF!,Milestone_Marker_Old,"")),"")</f>
        <v/>
      </c>
      <c r="CQ19" s="36" t="str">
        <f>IFERROR(IF(LEN(#REF!)=0,"",IF(BQ$27=#REF!,Milestone_Marker_Old,"")),"")</f>
        <v/>
      </c>
      <c r="CR19" s="36" t="str">
        <f>IFERROR(IF(LEN(#REF!)=0,"",IF(BR$27=#REF!,Milestone_Marker_Old,"")),"")</f>
        <v/>
      </c>
      <c r="CS19" s="36" t="str">
        <f>IFERROR(IF(LEN(#REF!)=0,"",IF(BS$27=#REF!,Milestone_Marker_Old,"")),"")</f>
        <v/>
      </c>
      <c r="CT19" s="36" t="str">
        <f>IFERROR(IF(LEN(#REF!)=0,"",IF(BT$27=#REF!,Milestone_Marker_Old,"")),"")</f>
        <v/>
      </c>
      <c r="CU19" s="36" t="str">
        <f>IFERROR(IF(LEN(#REF!)=0,"",IF(BU$27=#REF!,Milestone_Marker_Old,"")),"")</f>
        <v/>
      </c>
      <c r="CV19" s="36" t="str">
        <f>IFERROR(IF(LEN(#REF!)=0,"",IF(BV$27=#REF!,Milestone_Marker_Old,"")),"")</f>
        <v/>
      </c>
      <c r="CW19" s="36" t="str">
        <f>IFERROR(IF(LEN(#REF!)=0,"",IF(BW$27=#REF!,Milestone_Marker_Old,"")),"")</f>
        <v/>
      </c>
      <c r="CX19" s="36" t="str">
        <f>IFERROR(IF(LEN(#REF!)=0,"",IF(BX$27=#REF!,Milestone_Marker_Old,"")),"")</f>
        <v/>
      </c>
      <c r="CY19" s="36" t="str">
        <f>IFERROR(IF(LEN(#REF!)=0,"",IF(BY$27=#REF!,Milestone_Marker_Old,"")),"")</f>
        <v/>
      </c>
      <c r="CZ19" s="36" t="str">
        <f>IFERROR(IF(LEN(#REF!)=0,"",IF(BZ$27=#REF!,Milestone_Marker_Old,"")),"")</f>
        <v/>
      </c>
      <c r="DA19" s="36" t="str">
        <f>IFERROR(IF(LEN(#REF!)=0,"",IF(CA$27=#REF!,Milestone_Marker_Old,"")),"")</f>
        <v/>
      </c>
      <c r="DB19" s="36" t="str">
        <f>IFERROR(IF(LEN(#REF!)=0,"",IF(CB$27=#REF!,Milestone_Marker_Old,"")),"")</f>
        <v/>
      </c>
      <c r="DC19" s="36" t="str">
        <f>IFERROR(IF(LEN(#REF!)=0,"",IF(CC$27=#REF!,Milestone_Marker_Old,"")),"")</f>
        <v/>
      </c>
      <c r="DD19" s="36" t="str">
        <f>IFERROR(IF(LEN(#REF!)=0,"",IF(CD$27=#REF!,Milestone_Marker_Old,"")),"")</f>
        <v/>
      </c>
      <c r="DE19" s="36" t="str">
        <f>IFERROR(IF(LEN(#REF!)=0,"",IF(CE$27=#REF!,Milestone_Marker_Old,"")),"")</f>
        <v/>
      </c>
      <c r="DF19" s="36" t="str">
        <f>IFERROR(IF(LEN(#REF!)=0,"",IF(CF$27=#REF!,Milestone_Marker_Old,"")),"")</f>
        <v/>
      </c>
      <c r="DG19" s="36" t="str">
        <f>IFERROR(IF(LEN(#REF!)=0,"",IF(CG$27=#REF!,Milestone_Marker_Old,"")),"")</f>
        <v/>
      </c>
      <c r="DH19" s="36" t="str">
        <f>IFERROR(IF(LEN(#REF!)=0,"",IF(CH$27=#REF!,Milestone_Marker_Old,"")),"")</f>
        <v/>
      </c>
      <c r="DI19" s="36" t="str">
        <f>IFERROR(IF(LEN(#REF!)=0,"",IF(CI$27=#REF!,Milestone_Marker_Old,"")),"")</f>
        <v/>
      </c>
      <c r="DJ19" s="36" t="str">
        <f>IFERROR(IF(LEN(#REF!)=0,"",IF(CJ$27=#REF!,Milestone_Marker_Old,"")),"")</f>
        <v/>
      </c>
      <c r="DK19" s="36" t="str">
        <f>IFERROR(IF(LEN(#REF!)=0,"",IF(CK$27=#REF!,Milestone_Marker_Old,"")),"")</f>
        <v/>
      </c>
      <c r="DL19" s="36" t="str">
        <f>IFERROR(IF(LEN(#REF!)=0,"",IF(CL$27=#REF!,Milestone_Marker_Old,"")),"")</f>
        <v/>
      </c>
      <c r="DM19" s="36" t="str">
        <f>IFERROR(IF(LEN(#REF!)=0,"",IF(CM$27=#REF!,Milestone_Marker_Old,"")),"")</f>
        <v/>
      </c>
      <c r="DN19" s="36" t="str">
        <f>IFERROR(IF(LEN(#REF!)=0,"",IF(CN$27=#REF!,Milestone_Marker_Old,"")),"")</f>
        <v/>
      </c>
      <c r="DO19" s="36" t="str">
        <f>IFERROR(IF(LEN(#REF!)=0,"",IF(CO$27=#REF!,Milestone_Marker_Old,"")),"")</f>
        <v/>
      </c>
      <c r="DP19" s="36" t="str">
        <f>IFERROR(IF(LEN(#REF!)=0,"",IF(CP$27=#REF!,Milestone_Marker_Old,"")),"")</f>
        <v/>
      </c>
      <c r="DQ19" s="36" t="str">
        <f>IFERROR(IF(LEN(#REF!)=0,"",IF(CQ$27=#REF!,Milestone_Marker_Old,"")),"")</f>
        <v/>
      </c>
      <c r="DR19" s="36" t="str">
        <f>IFERROR(IF(LEN(#REF!)=0,"",IF(CR$27=#REF!,Milestone_Marker_Old,"")),"")</f>
        <v/>
      </c>
      <c r="DS19" s="36" t="str">
        <f>IFERROR(IF(LEN(#REF!)=0,"",IF(CS$27=#REF!,Milestone_Marker_Old,"")),"")</f>
        <v/>
      </c>
      <c r="DT19" s="36" t="str">
        <f>IFERROR(IF(LEN(#REF!)=0,"",IF(CT$27=#REF!,Milestone_Marker_Old,"")),"")</f>
        <v/>
      </c>
      <c r="DU19" s="36" t="str">
        <f>IFERROR(IF(LEN(#REF!)=0,"",IF(CU$27=#REF!,Milestone_Marker_Old,"")),"")</f>
        <v/>
      </c>
    </row>
    <row r="20" spans="1:125" ht="20.100000000000001" customHeight="1" x14ac:dyDescent="0.25">
      <c r="A20" s="84" t="str">
        <f>Profit!$E$1&amp;" Your Home"</f>
        <v>Heritage Mangement Your Home</v>
      </c>
      <c r="B20" s="85">
        <f t="shared" si="4"/>
        <v>12</v>
      </c>
      <c r="C20" s="86"/>
      <c r="D20" s="84"/>
      <c r="E20" s="84" t="s">
        <v>752</v>
      </c>
      <c r="F20" s="85">
        <v>0</v>
      </c>
      <c r="G20" s="87">
        <f>+Furnishing!G18</f>
        <v>0</v>
      </c>
      <c r="H20" s="87">
        <f t="shared" si="2"/>
        <v>0</v>
      </c>
      <c r="I20" s="88"/>
      <c r="J20" s="87"/>
      <c r="K20" s="89"/>
      <c r="L20" s="87"/>
      <c r="M20" s="87"/>
      <c r="N20" s="87"/>
      <c r="O20" s="88"/>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row>
    <row r="21" spans="1:125" s="41" customFormat="1" ht="21" x14ac:dyDescent="0.25">
      <c r="A21" s="90"/>
      <c r="B21" s="91"/>
      <c r="C21" s="92"/>
      <c r="D21" s="92"/>
      <c r="E21" s="93" t="str">
        <f>Profit!E1&amp;" Your Home's Paid Contractors"</f>
        <v>Heritage Mangement Your Home's Paid Contractors</v>
      </c>
      <c r="F21" s="94"/>
      <c r="G21" s="92"/>
      <c r="H21" s="92"/>
      <c r="I21" s="92"/>
      <c r="J21" s="92"/>
      <c r="K21" s="95"/>
      <c r="L21" s="92"/>
      <c r="M21" s="92"/>
      <c r="N21" s="92"/>
      <c r="O21" s="92"/>
      <c r="R21" s="42"/>
      <c r="S21" s="42"/>
      <c r="T21" s="42"/>
      <c r="U21" s="42"/>
      <c r="V21" s="42"/>
      <c r="W21" s="42"/>
      <c r="X21" s="42"/>
      <c r="Y21" s="42"/>
      <c r="Z21" s="42"/>
      <c r="AA21" s="42"/>
      <c r="AB21" s="42"/>
      <c r="AC21" s="42"/>
      <c r="AD21" s="42"/>
      <c r="AE21" s="42"/>
      <c r="AF21" s="42"/>
      <c r="AG21" s="42"/>
      <c r="AH21" s="42"/>
      <c r="AI21" s="42"/>
      <c r="AJ21" s="42"/>
      <c r="AK21" s="42"/>
      <c r="AL21" s="42"/>
      <c r="AM21" s="42"/>
      <c r="AN21" s="42"/>
      <c r="AO21" s="42"/>
      <c r="AP21" s="36" t="str">
        <f>IFERROR(IF(LEN(#REF!)=0,"",IF(P$27=#REF!,Milestone_Marker_Old,"")),"")</f>
        <v/>
      </c>
      <c r="AQ21" s="36" t="str">
        <f>IFERROR(IF(LEN(#REF!)=0,"",IF(Q$27=#REF!,Milestone_Marker_Old,"")),"")</f>
        <v/>
      </c>
      <c r="AR21" s="36" t="str">
        <f>IFERROR(IF(LEN(#REF!)=0,"",IF(R$27=#REF!,Milestone_Marker_Old,"")),"")</f>
        <v/>
      </c>
      <c r="AS21" s="36" t="str">
        <f>IFERROR(IF(LEN(#REF!)=0,"",IF(S$27=#REF!,Milestone_Marker_Old,"")),"")</f>
        <v/>
      </c>
      <c r="AT21" s="36" t="str">
        <f>IFERROR(IF(LEN(#REF!)=0,"",IF(T$27=#REF!,Milestone_Marker_Old,"")),"")</f>
        <v/>
      </c>
      <c r="AU21" s="36" t="str">
        <f>IFERROR(IF(LEN(#REF!)=0,"",IF(U$27=#REF!,Milestone_Marker_Old,"")),"")</f>
        <v/>
      </c>
      <c r="AV21" s="36" t="str">
        <f>IFERROR(IF(LEN(#REF!)=0,"",IF(V$27=#REF!,Milestone_Marker_Old,"")),"")</f>
        <v/>
      </c>
      <c r="AW21" s="36" t="str">
        <f>IFERROR(IF(LEN(#REF!)=0,"",IF(W$27=#REF!,Milestone_Marker_Old,"")),"")</f>
        <v/>
      </c>
      <c r="AX21" s="36" t="str">
        <f>IFERROR(IF(LEN(#REF!)=0,"",IF(X$27=#REF!,Milestone_Marker_Old,"")),"")</f>
        <v/>
      </c>
      <c r="AY21" s="36" t="str">
        <f>IFERROR(IF(LEN(#REF!)=0,"",IF(Y$27=#REF!,Milestone_Marker_Old,"")),"")</f>
        <v/>
      </c>
      <c r="AZ21" s="36" t="str">
        <f>IFERROR(IF(LEN(#REF!)=0,"",IF(Z$27=#REF!,Milestone_Marker_Old,"")),"")</f>
        <v/>
      </c>
      <c r="BA21" s="36" t="str">
        <f>IFERROR(IF(LEN(#REF!)=0,"",IF(AA$27=#REF!,Milestone_Marker_Old,"")),"")</f>
        <v/>
      </c>
      <c r="BB21" s="36" t="str">
        <f>IFERROR(IF(LEN(#REF!)=0,"",IF(AB$27=#REF!,Milestone_Marker_Old,"")),"")</f>
        <v/>
      </c>
      <c r="BC21" s="36" t="str">
        <f>IFERROR(IF(LEN(#REF!)=0,"",IF(AC$27=#REF!,Milestone_Marker_Old,"")),"")</f>
        <v/>
      </c>
      <c r="BD21" s="36" t="str">
        <f>IFERROR(IF(LEN(#REF!)=0,"",IF(AD$27=#REF!,Milestone_Marker_Old,"")),"")</f>
        <v/>
      </c>
      <c r="BE21" s="36" t="str">
        <f>IFERROR(IF(LEN(#REF!)=0,"",IF(AE$27=#REF!,Milestone_Marker_Old,"")),"")</f>
        <v/>
      </c>
      <c r="BF21" s="36" t="str">
        <f>IFERROR(IF(LEN(#REF!)=0,"",IF(AF$27=#REF!,Milestone_Marker_Old,"")),"")</f>
        <v/>
      </c>
      <c r="BG21" s="36" t="str">
        <f>IFERROR(IF(LEN(#REF!)=0,"",IF(AG$27=#REF!,Milestone_Marker_Old,"")),"")</f>
        <v/>
      </c>
      <c r="BH21" s="36" t="str">
        <f>IFERROR(IF(LEN(#REF!)=0,"",IF(AH$27=#REF!,Milestone_Marker_Old,"")),"")</f>
        <v/>
      </c>
      <c r="BI21" s="36" t="str">
        <f>IFERROR(IF(LEN(#REF!)=0,"",IF(AI$27=#REF!,Milestone_Marker_Old,"")),"")</f>
        <v/>
      </c>
      <c r="BJ21" s="36" t="str">
        <f>IFERROR(IF(LEN(#REF!)=0,"",IF(AJ$27=#REF!,Milestone_Marker_Old,"")),"")</f>
        <v/>
      </c>
      <c r="BK21" s="36" t="str">
        <f>IFERROR(IF(LEN(#REF!)=0,"",IF(AK$27=#REF!,Milestone_Marker_Old,"")),"")</f>
        <v/>
      </c>
      <c r="BL21" s="36" t="str">
        <f>IFERROR(IF(LEN(#REF!)=0,"",IF(AL$27=#REF!,Milestone_Marker_Old,"")),"")</f>
        <v/>
      </c>
      <c r="BM21" s="36" t="str">
        <f>IFERROR(IF(LEN(#REF!)=0,"",IF(AM$27=#REF!,Milestone_Marker_Old,"")),"")</f>
        <v/>
      </c>
      <c r="BN21" s="36" t="str">
        <f>IFERROR(IF(LEN(#REF!)=0,"",IF(AN$27=#REF!,Milestone_Marker_Old,"")),"")</f>
        <v/>
      </c>
      <c r="BO21" s="36" t="str">
        <f>IFERROR(IF(LEN(#REF!)=0,"",IF(AO$27=#REF!,Milestone_Marker_Old,"")),"")</f>
        <v/>
      </c>
      <c r="BP21" s="36" t="str">
        <f>IFERROR(IF(LEN(#REF!)=0,"",IF(AP$27=#REF!,Milestone_Marker_Old,"")),"")</f>
        <v/>
      </c>
      <c r="BQ21" s="36" t="str">
        <f>IFERROR(IF(LEN(#REF!)=0,"",IF(AQ$27=#REF!,Milestone_Marker_Old,"")),"")</f>
        <v/>
      </c>
      <c r="BR21" s="36" t="str">
        <f>IFERROR(IF(LEN(#REF!)=0,"",IF(AR$27=#REF!,Milestone_Marker_Old,"")),"")</f>
        <v/>
      </c>
      <c r="BS21" s="36" t="str">
        <f>IFERROR(IF(LEN(#REF!)=0,"",IF(AS$27=#REF!,Milestone_Marker_Old,"")),"")</f>
        <v/>
      </c>
      <c r="BT21" s="36" t="str">
        <f>IFERROR(IF(LEN(#REF!)=0,"",IF(AT$27=#REF!,Milestone_Marker_Old,"")),"")</f>
        <v/>
      </c>
      <c r="BU21" s="36" t="str">
        <f>IFERROR(IF(LEN(#REF!)=0,"",IF(AU$27=#REF!,Milestone_Marker_Old,"")),"")</f>
        <v/>
      </c>
      <c r="BV21" s="36" t="str">
        <f>IFERROR(IF(LEN(#REF!)=0,"",IF(AV$27=#REF!,Milestone_Marker_Old,"")),"")</f>
        <v/>
      </c>
      <c r="BW21" s="36" t="str">
        <f>IFERROR(IF(LEN(#REF!)=0,"",IF(AW$27=#REF!,Milestone_Marker_Old,"")),"")</f>
        <v/>
      </c>
      <c r="BX21" s="36" t="str">
        <f>IFERROR(IF(LEN(#REF!)=0,"",IF(AX$27=#REF!,Milestone_Marker_Old,"")),"")</f>
        <v/>
      </c>
      <c r="BY21" s="36" t="str">
        <f>IFERROR(IF(LEN(#REF!)=0,"",IF(AY$27=#REF!,Milestone_Marker_Old,"")),"")</f>
        <v/>
      </c>
      <c r="BZ21" s="36" t="str">
        <f>IFERROR(IF(LEN(#REF!)=0,"",IF(AZ$27=#REF!,Milestone_Marker_Old,"")),"")</f>
        <v/>
      </c>
      <c r="CA21" s="36" t="str">
        <f>IFERROR(IF(LEN(#REF!)=0,"",IF(BA$27=#REF!,Milestone_Marker_Old,"")),"")</f>
        <v/>
      </c>
      <c r="CB21" s="36" t="str">
        <f>IFERROR(IF(LEN(#REF!)=0,"",IF(BB$27=#REF!,Milestone_Marker_Old,"")),"")</f>
        <v/>
      </c>
      <c r="CC21" s="36" t="str">
        <f>IFERROR(IF(LEN(#REF!)=0,"",IF(BC$27=#REF!,Milestone_Marker_Old,"")),"")</f>
        <v/>
      </c>
      <c r="CD21" s="36" t="str">
        <f>IFERROR(IF(LEN(#REF!)=0,"",IF(BD$27=#REF!,Milestone_Marker_Old,"")),"")</f>
        <v/>
      </c>
      <c r="CE21" s="36" t="str">
        <f>IFERROR(IF(LEN(#REF!)=0,"",IF(BE$27=#REF!,Milestone_Marker_Old,"")),"")</f>
        <v/>
      </c>
      <c r="CF21" s="36" t="str">
        <f>IFERROR(IF(LEN(#REF!)=0,"",IF(BF$27=#REF!,Milestone_Marker_Old,"")),"")</f>
        <v/>
      </c>
      <c r="CG21" s="36" t="str">
        <f>IFERROR(IF(LEN(#REF!)=0,"",IF(BG$27=#REF!,Milestone_Marker_Old,"")),"")</f>
        <v/>
      </c>
      <c r="CH21" s="36" t="str">
        <f>IFERROR(IF(LEN(#REF!)=0,"",IF(BH$27=#REF!,Milestone_Marker_Old,"")),"")</f>
        <v/>
      </c>
      <c r="CI21" s="36" t="str">
        <f>IFERROR(IF(LEN(#REF!)=0,"",IF(BI$27=#REF!,Milestone_Marker_Old,"")),"")</f>
        <v/>
      </c>
      <c r="CJ21" s="36" t="str">
        <f>IFERROR(IF(LEN(#REF!)=0,"",IF(BJ$27=#REF!,Milestone_Marker_Old,"")),"")</f>
        <v/>
      </c>
      <c r="CK21" s="36" t="str">
        <f>IFERROR(IF(LEN(#REF!)=0,"",IF(BK$27=#REF!,Milestone_Marker_Old,"")),"")</f>
        <v/>
      </c>
      <c r="CL21" s="36" t="str">
        <f>IFERROR(IF(LEN(#REF!)=0,"",IF(BL$27=#REF!,Milestone_Marker_Old,"")),"")</f>
        <v/>
      </c>
      <c r="CM21" s="36" t="str">
        <f>IFERROR(IF(LEN(#REF!)=0,"",IF(BM$27=#REF!,Milestone_Marker_Old,"")),"")</f>
        <v/>
      </c>
      <c r="CN21" s="36" t="str">
        <f>IFERROR(IF(LEN(#REF!)=0,"",IF(BN$27=#REF!,Milestone_Marker_Old,"")),"")</f>
        <v/>
      </c>
      <c r="CO21" s="36" t="str">
        <f>IFERROR(IF(LEN(#REF!)=0,"",IF(BO$27=#REF!,Milestone_Marker_Old,"")),"")</f>
        <v/>
      </c>
      <c r="CP21" s="36" t="str">
        <f>IFERROR(IF(LEN(#REF!)=0,"",IF(BP$27=#REF!,Milestone_Marker_Old,"")),"")</f>
        <v/>
      </c>
      <c r="CQ21" s="36" t="str">
        <f>IFERROR(IF(LEN(#REF!)=0,"",IF(BQ$27=#REF!,Milestone_Marker_Old,"")),"")</f>
        <v/>
      </c>
      <c r="CR21" s="36" t="str">
        <f>IFERROR(IF(LEN(#REF!)=0,"",IF(BR$27=#REF!,Milestone_Marker_Old,"")),"")</f>
        <v/>
      </c>
      <c r="CS21" s="36" t="str">
        <f>IFERROR(IF(LEN(#REF!)=0,"",IF(BS$27=#REF!,Milestone_Marker_Old,"")),"")</f>
        <v/>
      </c>
      <c r="CT21" s="36" t="str">
        <f>IFERROR(IF(LEN(#REF!)=0,"",IF(BT$27=#REF!,Milestone_Marker_Old,"")),"")</f>
        <v/>
      </c>
      <c r="CU21" s="36" t="str">
        <f>IFERROR(IF(LEN(#REF!)=0,"",IF(BU$27=#REF!,Milestone_Marker_Old,"")),"")</f>
        <v/>
      </c>
      <c r="CV21" s="36" t="str">
        <f>IFERROR(IF(LEN(#REF!)=0,"",IF(BV$27=#REF!,Milestone_Marker_Old,"")),"")</f>
        <v/>
      </c>
      <c r="CW21" s="36" t="str">
        <f>IFERROR(IF(LEN(#REF!)=0,"",IF(BW$27=#REF!,Milestone_Marker_Old,"")),"")</f>
        <v/>
      </c>
      <c r="CX21" s="36" t="str">
        <f>IFERROR(IF(LEN(#REF!)=0,"",IF(BX$27=#REF!,Milestone_Marker_Old,"")),"")</f>
        <v/>
      </c>
      <c r="CY21" s="36" t="str">
        <f>IFERROR(IF(LEN(#REF!)=0,"",IF(BY$27=#REF!,Milestone_Marker_Old,"")),"")</f>
        <v/>
      </c>
      <c r="CZ21" s="36" t="str">
        <f>IFERROR(IF(LEN(#REF!)=0,"",IF(BZ$27=#REF!,Milestone_Marker_Old,"")),"")</f>
        <v/>
      </c>
      <c r="DA21" s="36" t="str">
        <f>IFERROR(IF(LEN(#REF!)=0,"",IF(CA$27=#REF!,Milestone_Marker_Old,"")),"")</f>
        <v/>
      </c>
      <c r="DB21" s="36" t="str">
        <f>IFERROR(IF(LEN(#REF!)=0,"",IF(CB$27=#REF!,Milestone_Marker_Old,"")),"")</f>
        <v/>
      </c>
      <c r="DC21" s="36" t="str">
        <f>IFERROR(IF(LEN(#REF!)=0,"",IF(CC$27=#REF!,Milestone_Marker_Old,"")),"")</f>
        <v/>
      </c>
      <c r="DD21" s="36" t="str">
        <f>IFERROR(IF(LEN(#REF!)=0,"",IF(CD$27=#REF!,Milestone_Marker_Old,"")),"")</f>
        <v/>
      </c>
      <c r="DE21" s="36" t="str">
        <f>IFERROR(IF(LEN(#REF!)=0,"",IF(CE$27=#REF!,Milestone_Marker_Old,"")),"")</f>
        <v/>
      </c>
      <c r="DF21" s="36" t="str">
        <f>IFERROR(IF(LEN(#REF!)=0,"",IF(CF$27=#REF!,Milestone_Marker_Old,"")),"")</f>
        <v/>
      </c>
      <c r="DG21" s="36" t="str">
        <f>IFERROR(IF(LEN(#REF!)=0,"",IF(CG$27=#REF!,Milestone_Marker_Old,"")),"")</f>
        <v/>
      </c>
      <c r="DH21" s="36" t="str">
        <f>IFERROR(IF(LEN(#REF!)=0,"",IF(CH$27=#REF!,Milestone_Marker_Old,"")),"")</f>
        <v/>
      </c>
      <c r="DI21" s="36" t="str">
        <f>IFERROR(IF(LEN(#REF!)=0,"",IF(CI$27=#REF!,Milestone_Marker_Old,"")),"")</f>
        <v/>
      </c>
      <c r="DJ21" s="36" t="str">
        <f>IFERROR(IF(LEN(#REF!)=0,"",IF(CJ$27=#REF!,Milestone_Marker_Old,"")),"")</f>
        <v/>
      </c>
      <c r="DK21" s="36" t="str">
        <f>IFERROR(IF(LEN(#REF!)=0,"",IF(CK$27=#REF!,Milestone_Marker_Old,"")),"")</f>
        <v/>
      </c>
      <c r="DL21" s="36" t="str">
        <f>IFERROR(IF(LEN(#REF!)=0,"",IF(CL$27=#REF!,Milestone_Marker_Old,"")),"")</f>
        <v/>
      </c>
      <c r="DM21" s="36" t="str">
        <f>IFERROR(IF(LEN(#REF!)=0,"",IF(CM$27=#REF!,Milestone_Marker_Old,"")),"")</f>
        <v/>
      </c>
      <c r="DN21" s="36" t="str">
        <f>IFERROR(IF(LEN(#REF!)=0,"",IF(CN$27=#REF!,Milestone_Marker_Old,"")),"")</f>
        <v/>
      </c>
      <c r="DO21" s="36" t="str">
        <f>IFERROR(IF(LEN(#REF!)=0,"",IF(CO$27=#REF!,Milestone_Marker_Old,"")),"")</f>
        <v/>
      </c>
      <c r="DP21" s="36" t="str">
        <f>IFERROR(IF(LEN(#REF!)=0,"",IF(CP$27=#REF!,Milestone_Marker_Old,"")),"")</f>
        <v/>
      </c>
      <c r="DQ21" s="36" t="str">
        <f>IFERROR(IF(LEN(#REF!)=0,"",IF(CQ$27=#REF!,Milestone_Marker_Old,"")),"")</f>
        <v/>
      </c>
      <c r="DR21" s="36" t="str">
        <f>IFERROR(IF(LEN(#REF!)=0,"",IF(CR$27=#REF!,Milestone_Marker_Old,"")),"")</f>
        <v/>
      </c>
      <c r="DS21" s="36" t="str">
        <f>IFERROR(IF(LEN(#REF!)=0,"",IF(CS$27=#REF!,Milestone_Marker_Old,"")),"")</f>
        <v/>
      </c>
      <c r="DT21" s="36" t="str">
        <f>IFERROR(IF(LEN(#REF!)=0,"",IF(CT$27=#REF!,Milestone_Marker_Old,"")),"")</f>
        <v/>
      </c>
      <c r="DU21" s="36" t="str">
        <f>IFERROR(IF(LEN(#REF!)=0,"",IF(CU$27=#REF!,Milestone_Marker_Old,"")),"")</f>
        <v/>
      </c>
    </row>
    <row r="22" spans="1:125" s="41" customFormat="1" ht="20.100000000000001" customHeight="1" thickBot="1" x14ac:dyDescent="0.3">
      <c r="A22" s="96" t="s">
        <v>753</v>
      </c>
      <c r="B22" s="97">
        <f>+B20+1</f>
        <v>13</v>
      </c>
      <c r="C22" s="98"/>
      <c r="D22" s="99"/>
      <c r="E22" s="100" t="s">
        <v>754</v>
      </c>
      <c r="F22" s="101">
        <v>0</v>
      </c>
      <c r="G22" s="102">
        <v>5000</v>
      </c>
      <c r="H22" s="102">
        <f>+F22*G22</f>
        <v>0</v>
      </c>
      <c r="I22" s="103"/>
      <c r="J22" s="103"/>
      <c r="K22" s="104"/>
      <c r="L22" s="103"/>
      <c r="M22" s="103"/>
      <c r="N22" s="103">
        <f>IF(I22="Yes",H22,0)</f>
        <v>0</v>
      </c>
      <c r="O22" s="103"/>
      <c r="R22" s="43"/>
      <c r="S22" s="43"/>
      <c r="T22" s="43"/>
      <c r="U22" s="43"/>
      <c r="V22" s="43"/>
      <c r="W22" s="43"/>
      <c r="X22" s="43"/>
      <c r="Y22" s="43"/>
      <c r="Z22" s="43"/>
      <c r="AA22" s="621" t="s">
        <v>755</v>
      </c>
      <c r="AB22" s="622"/>
      <c r="AC22" s="622"/>
      <c r="AD22" s="622"/>
      <c r="AE22" s="622"/>
      <c r="AF22" s="622"/>
      <c r="AG22" s="622"/>
      <c r="AH22" s="622"/>
      <c r="AI22" s="42"/>
      <c r="AJ22" s="42"/>
      <c r="AK22" s="42"/>
      <c r="AL22" s="42"/>
      <c r="AM22" s="42"/>
      <c r="AN22" s="42"/>
      <c r="AO22" s="42"/>
      <c r="AP22" s="42" t="str">
        <f>IFERROR(IF(LEN(#REF!)=0,"",IF(P$27=#REF!,Milestone_Marker_Old,"")),"")</f>
        <v/>
      </c>
      <c r="AQ22" s="36" t="str">
        <f>IFERROR(IF(LEN(#REF!)=0,"",IF(Q$27=#REF!,Milestone_Marker_Old,"")),"")</f>
        <v/>
      </c>
      <c r="AR22" s="36" t="str">
        <f>IFERROR(IF(LEN(#REF!)=0,"",IF(R$27=#REF!,Milestone_Marker_Old,"")),"")</f>
        <v/>
      </c>
      <c r="AS22" s="36" t="str">
        <f>IFERROR(IF(LEN(#REF!)=0,"",IF(S$27=#REF!,Milestone_Marker_Old,"")),"")</f>
        <v/>
      </c>
      <c r="AT22" s="36" t="str">
        <f>IFERROR(IF(LEN(#REF!)=0,"",IF(T$27=#REF!,Milestone_Marker_Old,"")),"")</f>
        <v/>
      </c>
      <c r="AU22" s="36" t="str">
        <f>IFERROR(IF(LEN(#REF!)=0,"",IF(U$27=#REF!,Milestone_Marker_Old,"")),"")</f>
        <v/>
      </c>
      <c r="AV22" s="36" t="str">
        <f>IFERROR(IF(LEN(#REF!)=0,"",IF(V$27=#REF!,Milestone_Marker_Old,"")),"")</f>
        <v/>
      </c>
      <c r="AW22" s="36" t="str">
        <f>IFERROR(IF(LEN(#REF!)=0,"",IF(W$27=#REF!,Milestone_Marker_Old,"")),"")</f>
        <v/>
      </c>
      <c r="AX22" s="36" t="str">
        <f>IFERROR(IF(LEN(#REF!)=0,"",IF(X$27=#REF!,Milestone_Marker_Old,"")),"")</f>
        <v/>
      </c>
      <c r="AY22" s="36" t="str">
        <f>IFERROR(IF(LEN(#REF!)=0,"",IF(Y$27=#REF!,Milestone_Marker_Old,"")),"")</f>
        <v/>
      </c>
      <c r="AZ22" s="36" t="str">
        <f>IFERROR(IF(LEN(#REF!)=0,"",IF(Z$27=#REF!,Milestone_Marker_Old,"")),"")</f>
        <v/>
      </c>
      <c r="BA22" s="36" t="str">
        <f>IFERROR(IF(LEN(#REF!)=0,"",IF(AA$27=#REF!,Milestone_Marker_Old,"")),"")</f>
        <v/>
      </c>
      <c r="BB22" s="36" t="str">
        <f>IFERROR(IF(LEN(#REF!)=0,"",IF(AB$27=#REF!,Milestone_Marker_Old,"")),"")</f>
        <v/>
      </c>
      <c r="BC22" s="36" t="str">
        <f>IFERROR(IF(LEN(#REF!)=0,"",IF(AC$27=#REF!,Milestone_Marker_Old,"")),"")</f>
        <v/>
      </c>
      <c r="BD22" s="36" t="str">
        <f>IFERROR(IF(LEN(#REF!)=0,"",IF(AD$27=#REF!,Milestone_Marker_Old,"")),"")</f>
        <v/>
      </c>
      <c r="BE22" s="36" t="str">
        <f>IFERROR(IF(LEN(#REF!)=0,"",IF(AE$27=#REF!,Milestone_Marker_Old,"")),"")</f>
        <v/>
      </c>
      <c r="BF22" s="36" t="str">
        <f>IFERROR(IF(LEN(#REF!)=0,"",IF(AF$27=#REF!,Milestone_Marker_Old,"")),"")</f>
        <v/>
      </c>
      <c r="BG22" s="36" t="str">
        <f>IFERROR(IF(LEN(#REF!)=0,"",IF(AG$27=#REF!,Milestone_Marker_Old,"")),"")</f>
        <v/>
      </c>
      <c r="BH22" s="36" t="str">
        <f>IFERROR(IF(LEN(#REF!)=0,"",IF(AH$27=#REF!,Milestone_Marker_Old,"")),"")</f>
        <v/>
      </c>
      <c r="BI22" s="36" t="str">
        <f>IFERROR(IF(LEN(#REF!)=0,"",IF(AI$27=#REF!,Milestone_Marker_Old,"")),"")</f>
        <v/>
      </c>
      <c r="BJ22" s="36" t="str">
        <f>IFERROR(IF(LEN(#REF!)=0,"",IF(AJ$27=#REF!,Milestone_Marker_Old,"")),"")</f>
        <v/>
      </c>
      <c r="BK22" s="36" t="str">
        <f>IFERROR(IF(LEN(#REF!)=0,"",IF(AK$27=#REF!,Milestone_Marker_Old,"")),"")</f>
        <v/>
      </c>
      <c r="BL22" s="36" t="str">
        <f>IFERROR(IF(LEN(#REF!)=0,"",IF(AL$27=#REF!,Milestone_Marker_Old,"")),"")</f>
        <v/>
      </c>
      <c r="BM22" s="36" t="str">
        <f>IFERROR(IF(LEN(#REF!)=0,"",IF(AM$27=#REF!,Milestone_Marker_Old,"")),"")</f>
        <v/>
      </c>
      <c r="BN22" s="36" t="str">
        <f>IFERROR(IF(LEN(#REF!)=0,"",IF(AN$27=#REF!,Milestone_Marker_Old,"")),"")</f>
        <v/>
      </c>
      <c r="BO22" s="36" t="str">
        <f>IFERROR(IF(LEN(#REF!)=0,"",IF(AO$27=#REF!,Milestone_Marker_Old,"")),"")</f>
        <v/>
      </c>
      <c r="BP22" s="36" t="str">
        <f>IFERROR(IF(LEN(#REF!)=0,"",IF(AP$27=#REF!,Milestone_Marker_Old,"")),"")</f>
        <v/>
      </c>
      <c r="BQ22" s="36" t="str">
        <f>IFERROR(IF(LEN(#REF!)=0,"",IF(AQ$27=#REF!,Milestone_Marker_Old,"")),"")</f>
        <v/>
      </c>
      <c r="BR22" s="36" t="str">
        <f>IFERROR(IF(LEN(#REF!)=0,"",IF(AR$27=#REF!,Milestone_Marker_Old,"")),"")</f>
        <v/>
      </c>
      <c r="BS22" s="36" t="str">
        <f>IFERROR(IF(LEN(#REF!)=0,"",IF(AS$27=#REF!,Milestone_Marker_Old,"")),"")</f>
        <v/>
      </c>
      <c r="BT22" s="36" t="str">
        <f>IFERROR(IF(LEN(#REF!)=0,"",IF(AT$27=#REF!,Milestone_Marker_Old,"")),"")</f>
        <v/>
      </c>
      <c r="BU22" s="36" t="str">
        <f>IFERROR(IF(LEN(#REF!)=0,"",IF(AU$27=#REF!,Milestone_Marker_Old,"")),"")</f>
        <v/>
      </c>
      <c r="BV22" s="36" t="str">
        <f>IFERROR(IF(LEN(#REF!)=0,"",IF(AV$27=#REF!,Milestone_Marker_Old,"")),"")</f>
        <v/>
      </c>
      <c r="BW22" s="36" t="str">
        <f>IFERROR(IF(LEN(#REF!)=0,"",IF(AW$27=#REF!,Milestone_Marker_Old,"")),"")</f>
        <v/>
      </c>
      <c r="BX22" s="36" t="str">
        <f>IFERROR(IF(LEN(#REF!)=0,"",IF(AX$27=#REF!,Milestone_Marker_Old,"")),"")</f>
        <v/>
      </c>
      <c r="BY22" s="36" t="str">
        <f>IFERROR(IF(LEN(#REF!)=0,"",IF(AY$27=#REF!,Milestone_Marker_Old,"")),"")</f>
        <v/>
      </c>
      <c r="BZ22" s="36" t="str">
        <f>IFERROR(IF(LEN(#REF!)=0,"",IF(AZ$27=#REF!,Milestone_Marker_Old,"")),"")</f>
        <v/>
      </c>
      <c r="CA22" s="36" t="str">
        <f>IFERROR(IF(LEN(#REF!)=0,"",IF(BA$27=#REF!,Milestone_Marker_Old,"")),"")</f>
        <v/>
      </c>
      <c r="CB22" s="36" t="str">
        <f>IFERROR(IF(LEN(#REF!)=0,"",IF(BB$27=#REF!,Milestone_Marker_Old,"")),"")</f>
        <v/>
      </c>
      <c r="CC22" s="36" t="str">
        <f>IFERROR(IF(LEN(#REF!)=0,"",IF(BC$27=#REF!,Milestone_Marker_Old,"")),"")</f>
        <v/>
      </c>
      <c r="CD22" s="36" t="str">
        <f>IFERROR(IF(LEN(#REF!)=0,"",IF(BD$27=#REF!,Milestone_Marker_Old,"")),"")</f>
        <v/>
      </c>
      <c r="CE22" s="36" t="str">
        <f>IFERROR(IF(LEN(#REF!)=0,"",IF(BE$27=#REF!,Milestone_Marker_Old,"")),"")</f>
        <v/>
      </c>
      <c r="CF22" s="36" t="str">
        <f>IFERROR(IF(LEN(#REF!)=0,"",IF(BF$27=#REF!,Milestone_Marker_Old,"")),"")</f>
        <v/>
      </c>
      <c r="CG22" s="36" t="str">
        <f>IFERROR(IF(LEN(#REF!)=0,"",IF(BG$27=#REF!,Milestone_Marker_Old,"")),"")</f>
        <v/>
      </c>
      <c r="CH22" s="36" t="str">
        <f>IFERROR(IF(LEN(#REF!)=0,"",IF(BH$27=#REF!,Milestone_Marker_Old,"")),"")</f>
        <v/>
      </c>
      <c r="CI22" s="36" t="str">
        <f>IFERROR(IF(LEN(#REF!)=0,"",IF(BI$27=#REF!,Milestone_Marker_Old,"")),"")</f>
        <v/>
      </c>
      <c r="CJ22" s="36" t="str">
        <f>IFERROR(IF(LEN(#REF!)=0,"",IF(BJ$27=#REF!,Milestone_Marker_Old,"")),"")</f>
        <v/>
      </c>
      <c r="CK22" s="36" t="str">
        <f>IFERROR(IF(LEN(#REF!)=0,"",IF(BK$27=#REF!,Milestone_Marker_Old,"")),"")</f>
        <v/>
      </c>
      <c r="CL22" s="36" t="str">
        <f>IFERROR(IF(LEN(#REF!)=0,"",IF(BL$27=#REF!,Milestone_Marker_Old,"")),"")</f>
        <v/>
      </c>
      <c r="CM22" s="36" t="str">
        <f>IFERROR(IF(LEN(#REF!)=0,"",IF(BM$27=#REF!,Milestone_Marker_Old,"")),"")</f>
        <v/>
      </c>
      <c r="CN22" s="36" t="str">
        <f>IFERROR(IF(LEN(#REF!)=0,"",IF(BN$27=#REF!,Milestone_Marker_Old,"")),"")</f>
        <v/>
      </c>
      <c r="CO22" s="36" t="str">
        <f>IFERROR(IF(LEN(#REF!)=0,"",IF(BO$27=#REF!,Milestone_Marker_Old,"")),"")</f>
        <v/>
      </c>
      <c r="CP22" s="36" t="str">
        <f>IFERROR(IF(LEN(#REF!)=0,"",IF(BP$27=#REF!,Milestone_Marker_Old,"")),"")</f>
        <v/>
      </c>
      <c r="CQ22" s="36" t="str">
        <f>IFERROR(IF(LEN(#REF!)=0,"",IF(BQ$27=#REF!,Milestone_Marker_Old,"")),"")</f>
        <v/>
      </c>
      <c r="CR22" s="36" t="str">
        <f>IFERROR(IF(LEN(#REF!)=0,"",IF(BR$27=#REF!,Milestone_Marker_Old,"")),"")</f>
        <v/>
      </c>
      <c r="CS22" s="36" t="str">
        <f>IFERROR(IF(LEN(#REF!)=0,"",IF(BS$27=#REF!,Milestone_Marker_Old,"")),"")</f>
        <v/>
      </c>
      <c r="CT22" s="36" t="str">
        <f>IFERROR(IF(LEN(#REF!)=0,"",IF(BT$27=#REF!,Milestone_Marker_Old,"")),"")</f>
        <v/>
      </c>
      <c r="CU22" s="36" t="str">
        <f>IFERROR(IF(LEN(#REF!)=0,"",IF(BU$27=#REF!,Milestone_Marker_Old,"")),"")</f>
        <v/>
      </c>
      <c r="CV22" s="36" t="str">
        <f>IFERROR(IF(LEN(#REF!)=0,"",IF(BV$27=#REF!,Milestone_Marker_Old,"")),"")</f>
        <v/>
      </c>
      <c r="CW22" s="36" t="str">
        <f>IFERROR(IF(LEN(#REF!)=0,"",IF(BW$27=#REF!,Milestone_Marker_Old,"")),"")</f>
        <v/>
      </c>
      <c r="CX22" s="36" t="str">
        <f>IFERROR(IF(LEN(#REF!)=0,"",IF(BX$27=#REF!,Milestone_Marker_Old,"")),"")</f>
        <v/>
      </c>
      <c r="CY22" s="36" t="str">
        <f>IFERROR(IF(LEN(#REF!)=0,"",IF(BY$27=#REF!,Milestone_Marker_Old,"")),"")</f>
        <v/>
      </c>
      <c r="CZ22" s="36" t="str">
        <f>IFERROR(IF(LEN(#REF!)=0,"",IF(BZ$27=#REF!,Milestone_Marker_Old,"")),"")</f>
        <v/>
      </c>
      <c r="DA22" s="36" t="str">
        <f>IFERROR(IF(LEN(#REF!)=0,"",IF(CA$27=#REF!,Milestone_Marker_Old,"")),"")</f>
        <v/>
      </c>
      <c r="DB22" s="36" t="str">
        <f>IFERROR(IF(LEN(#REF!)=0,"",IF(CB$27=#REF!,Milestone_Marker_Old,"")),"")</f>
        <v/>
      </c>
      <c r="DC22" s="36" t="str">
        <f>IFERROR(IF(LEN(#REF!)=0,"",IF(CC$27=#REF!,Milestone_Marker_Old,"")),"")</f>
        <v/>
      </c>
      <c r="DD22" s="36" t="str">
        <f>IFERROR(IF(LEN(#REF!)=0,"",IF(CD$27=#REF!,Milestone_Marker_Old,"")),"")</f>
        <v/>
      </c>
      <c r="DE22" s="36" t="str">
        <f>IFERROR(IF(LEN(#REF!)=0,"",IF(CE$27=#REF!,Milestone_Marker_Old,"")),"")</f>
        <v/>
      </c>
      <c r="DF22" s="36" t="str">
        <f>IFERROR(IF(LEN(#REF!)=0,"",IF(CF$27=#REF!,Milestone_Marker_Old,"")),"")</f>
        <v/>
      </c>
      <c r="DG22" s="36" t="str">
        <f>IFERROR(IF(LEN(#REF!)=0,"",IF(CG$27=#REF!,Milestone_Marker_Old,"")),"")</f>
        <v/>
      </c>
      <c r="DH22" s="36" t="str">
        <f>IFERROR(IF(LEN(#REF!)=0,"",IF(CH$27=#REF!,Milestone_Marker_Old,"")),"")</f>
        <v/>
      </c>
      <c r="DI22" s="36" t="str">
        <f>IFERROR(IF(LEN(#REF!)=0,"",IF(CI$27=#REF!,Milestone_Marker_Old,"")),"")</f>
        <v/>
      </c>
      <c r="DJ22" s="36" t="str">
        <f>IFERROR(IF(LEN(#REF!)=0,"",IF(CJ$27=#REF!,Milestone_Marker_Old,"")),"")</f>
        <v/>
      </c>
      <c r="DK22" s="36" t="str">
        <f>IFERROR(IF(LEN(#REF!)=0,"",IF(CK$27=#REF!,Milestone_Marker_Old,"")),"")</f>
        <v/>
      </c>
      <c r="DL22" s="36" t="str">
        <f>IFERROR(IF(LEN(#REF!)=0,"",IF(CL$27=#REF!,Milestone_Marker_Old,"")),"")</f>
        <v/>
      </c>
      <c r="DM22" s="36" t="str">
        <f>IFERROR(IF(LEN(#REF!)=0,"",IF(CM$27=#REF!,Milestone_Marker_Old,"")),"")</f>
        <v/>
      </c>
      <c r="DN22" s="36" t="str">
        <f>IFERROR(IF(LEN(#REF!)=0,"",IF(CN$27=#REF!,Milestone_Marker_Old,"")),"")</f>
        <v/>
      </c>
      <c r="DO22" s="36" t="str">
        <f>IFERROR(IF(LEN(#REF!)=0,"",IF(CO$27=#REF!,Milestone_Marker_Old,"")),"")</f>
        <v/>
      </c>
      <c r="DP22" s="36" t="str">
        <f>IFERROR(IF(LEN(#REF!)=0,"",IF(CP$27=#REF!,Milestone_Marker_Old,"")),"")</f>
        <v/>
      </c>
      <c r="DQ22" s="36" t="str">
        <f>IFERROR(IF(LEN(#REF!)=0,"",IF(CQ$27=#REF!,Milestone_Marker_Old,"")),"")</f>
        <v/>
      </c>
      <c r="DR22" s="36" t="str">
        <f>IFERROR(IF(LEN(#REF!)=0,"",IF(CR$27=#REF!,Milestone_Marker_Old,"")),"")</f>
        <v/>
      </c>
      <c r="DS22" s="36" t="str">
        <f>IFERROR(IF(LEN(#REF!)=0,"",IF(CS$27=#REF!,Milestone_Marker_Old,"")),"")</f>
        <v/>
      </c>
      <c r="DT22" s="36" t="str">
        <f>IFERROR(IF(LEN(#REF!)=0,"",IF(CT$27=#REF!,Milestone_Marker_Old,"")),"")</f>
        <v/>
      </c>
      <c r="DU22" s="36" t="str">
        <f>IFERROR(IF(LEN(#REF!)=0,"",IF(CU$27=#REF!,Milestone_Marker_Old,"")),"")</f>
        <v/>
      </c>
    </row>
    <row r="23" spans="1:125" s="41" customFormat="1" ht="20.100000000000001" customHeight="1" x14ac:dyDescent="0.25">
      <c r="A23" s="96" t="s">
        <v>753</v>
      </c>
      <c r="B23" s="97">
        <f>+B22+1</f>
        <v>14</v>
      </c>
      <c r="C23" s="98"/>
      <c r="D23" s="99"/>
      <c r="E23" s="100" t="s">
        <v>754</v>
      </c>
      <c r="F23" s="101">
        <v>0</v>
      </c>
      <c r="G23" s="102">
        <v>400</v>
      </c>
      <c r="H23" s="102">
        <f>+F23*G23</f>
        <v>0</v>
      </c>
      <c r="I23" s="103"/>
      <c r="J23" s="103"/>
      <c r="K23" s="104"/>
      <c r="L23" s="103"/>
      <c r="M23" s="103"/>
      <c r="N23" s="103">
        <f>IF(I23="Yes",H23,0)</f>
        <v>0</v>
      </c>
      <c r="O23" s="103"/>
      <c r="R23" s="43"/>
      <c r="S23" s="43"/>
      <c r="T23" s="43"/>
      <c r="U23" s="43"/>
      <c r="V23" s="43"/>
      <c r="W23" s="43"/>
      <c r="X23" s="43"/>
      <c r="Y23" s="43"/>
      <c r="Z23" s="43"/>
      <c r="AA23" s="622"/>
      <c r="AB23" s="622"/>
      <c r="AC23" s="622"/>
      <c r="AD23" s="622"/>
      <c r="AE23" s="622"/>
      <c r="AF23" s="622"/>
      <c r="AG23" s="622"/>
      <c r="AH23" s="622"/>
      <c r="AI23" s="42"/>
      <c r="AJ23" s="42"/>
      <c r="AK23" s="42"/>
      <c r="AL23" s="42"/>
      <c r="AM23" s="42"/>
      <c r="AN23" s="42"/>
      <c r="AO23" s="42"/>
      <c r="AP23" s="42" t="str">
        <f>IFERROR(IF(LEN(#REF!)=0,"",IF(P$27=#REF!,Milestone_Marker_Old,"")),"")</f>
        <v/>
      </c>
      <c r="AQ23" s="36" t="str">
        <f>IFERROR(IF(LEN(#REF!)=0,"",IF(Q$27=#REF!,Milestone_Marker_Old,"")),"")</f>
        <v/>
      </c>
      <c r="AR23" s="36" t="str">
        <f>IFERROR(IF(LEN(#REF!)=0,"",IF(R$27=#REF!,Milestone_Marker_Old,"")),"")</f>
        <v/>
      </c>
      <c r="AS23" s="36" t="str">
        <f>IFERROR(IF(LEN(#REF!)=0,"",IF(S$27=#REF!,Milestone_Marker_Old,"")),"")</f>
        <v/>
      </c>
      <c r="AT23" s="36" t="str">
        <f>IFERROR(IF(LEN(#REF!)=0,"",IF(T$27=#REF!,Milestone_Marker_Old,"")),"")</f>
        <v/>
      </c>
      <c r="AU23" s="36" t="str">
        <f>IFERROR(IF(LEN(#REF!)=0,"",IF(U$27=#REF!,Milestone_Marker_Old,"")),"")</f>
        <v/>
      </c>
      <c r="AV23" s="36" t="str">
        <f>IFERROR(IF(LEN(#REF!)=0,"",IF(V$27=#REF!,Milestone_Marker_Old,"")),"")</f>
        <v/>
      </c>
      <c r="AW23" s="36" t="str">
        <f>IFERROR(IF(LEN(#REF!)=0,"",IF(W$27=#REF!,Milestone_Marker_Old,"")),"")</f>
        <v/>
      </c>
      <c r="AX23" s="36" t="str">
        <f>IFERROR(IF(LEN(#REF!)=0,"",IF(X$27=#REF!,Milestone_Marker_Old,"")),"")</f>
        <v/>
      </c>
      <c r="AY23" s="36" t="str">
        <f>IFERROR(IF(LEN(#REF!)=0,"",IF(Y$27=#REF!,Milestone_Marker_Old,"")),"")</f>
        <v/>
      </c>
      <c r="AZ23" s="36" t="str">
        <f>IFERROR(IF(LEN(#REF!)=0,"",IF(Z$27=#REF!,Milestone_Marker_Old,"")),"")</f>
        <v/>
      </c>
      <c r="BA23" s="36" t="str">
        <f>IFERROR(IF(LEN(#REF!)=0,"",IF(AA$27=#REF!,Milestone_Marker_Old,"")),"")</f>
        <v/>
      </c>
      <c r="BB23" s="36" t="str">
        <f>IFERROR(IF(LEN(#REF!)=0,"",IF(AB$27=#REF!,Milestone_Marker_Old,"")),"")</f>
        <v/>
      </c>
      <c r="BC23" s="36" t="str">
        <f>IFERROR(IF(LEN(#REF!)=0,"",IF(AC$27=#REF!,Milestone_Marker_Old,"")),"")</f>
        <v/>
      </c>
      <c r="BD23" s="36" t="str">
        <f>IFERROR(IF(LEN(#REF!)=0,"",IF(AD$27=#REF!,Milestone_Marker_Old,"")),"")</f>
        <v/>
      </c>
      <c r="BE23" s="36" t="str">
        <f>IFERROR(IF(LEN(#REF!)=0,"",IF(AE$27=#REF!,Milestone_Marker_Old,"")),"")</f>
        <v/>
      </c>
      <c r="BF23" s="36" t="str">
        <f>IFERROR(IF(LEN(#REF!)=0,"",IF(AF$27=#REF!,Milestone_Marker_Old,"")),"")</f>
        <v/>
      </c>
      <c r="BG23" s="36" t="str">
        <f>IFERROR(IF(LEN(#REF!)=0,"",IF(AG$27=#REF!,Milestone_Marker_Old,"")),"")</f>
        <v/>
      </c>
      <c r="BH23" s="36" t="str">
        <f>IFERROR(IF(LEN(#REF!)=0,"",IF(AH$27=#REF!,Milestone_Marker_Old,"")),"")</f>
        <v/>
      </c>
      <c r="BI23" s="36" t="str">
        <f>IFERROR(IF(LEN(#REF!)=0,"",IF(AI$27=#REF!,Milestone_Marker_Old,"")),"")</f>
        <v/>
      </c>
      <c r="BJ23" s="36" t="str">
        <f>IFERROR(IF(LEN(#REF!)=0,"",IF(AJ$27=#REF!,Milestone_Marker_Old,"")),"")</f>
        <v/>
      </c>
      <c r="BK23" s="36" t="str">
        <f>IFERROR(IF(LEN(#REF!)=0,"",IF(AK$27=#REF!,Milestone_Marker_Old,"")),"")</f>
        <v/>
      </c>
      <c r="BL23" s="36" t="str">
        <f>IFERROR(IF(LEN(#REF!)=0,"",IF(AL$27=#REF!,Milestone_Marker_Old,"")),"")</f>
        <v/>
      </c>
      <c r="BM23" s="36" t="str">
        <f>IFERROR(IF(LEN(#REF!)=0,"",IF(AM$27=#REF!,Milestone_Marker_Old,"")),"")</f>
        <v/>
      </c>
      <c r="BN23" s="36" t="str">
        <f>IFERROR(IF(LEN(#REF!)=0,"",IF(AN$27=#REF!,Milestone_Marker_Old,"")),"")</f>
        <v/>
      </c>
      <c r="BO23" s="36" t="str">
        <f>IFERROR(IF(LEN(#REF!)=0,"",IF(AO$27=#REF!,Milestone_Marker_Old,"")),"")</f>
        <v/>
      </c>
      <c r="BP23" s="36" t="str">
        <f>IFERROR(IF(LEN(#REF!)=0,"",IF(AP$27=#REF!,Milestone_Marker_Old,"")),"")</f>
        <v/>
      </c>
      <c r="BQ23" s="36" t="str">
        <f>IFERROR(IF(LEN(#REF!)=0,"",IF(AQ$27=#REF!,Milestone_Marker_Old,"")),"")</f>
        <v/>
      </c>
      <c r="BR23" s="36" t="str">
        <f>IFERROR(IF(LEN(#REF!)=0,"",IF(AR$27=#REF!,Milestone_Marker_Old,"")),"")</f>
        <v/>
      </c>
      <c r="BS23" s="36" t="str">
        <f>IFERROR(IF(LEN(#REF!)=0,"",IF(AS$27=#REF!,Milestone_Marker_Old,"")),"")</f>
        <v/>
      </c>
      <c r="BT23" s="36" t="str">
        <f>IFERROR(IF(LEN(#REF!)=0,"",IF(AT$27=#REF!,Milestone_Marker_Old,"")),"")</f>
        <v/>
      </c>
      <c r="BU23" s="36" t="str">
        <f>IFERROR(IF(LEN(#REF!)=0,"",IF(AU$27=#REF!,Milestone_Marker_Old,"")),"")</f>
        <v/>
      </c>
      <c r="BV23" s="36" t="str">
        <f>IFERROR(IF(LEN(#REF!)=0,"",IF(AV$27=#REF!,Milestone_Marker_Old,"")),"")</f>
        <v/>
      </c>
      <c r="BW23" s="36" t="str">
        <f>IFERROR(IF(LEN(#REF!)=0,"",IF(AW$27=#REF!,Milestone_Marker_Old,"")),"")</f>
        <v/>
      </c>
      <c r="BX23" s="36" t="str">
        <f>IFERROR(IF(LEN(#REF!)=0,"",IF(AX$27=#REF!,Milestone_Marker_Old,"")),"")</f>
        <v/>
      </c>
      <c r="BY23" s="36" t="str">
        <f>IFERROR(IF(LEN(#REF!)=0,"",IF(AY$27=#REF!,Milestone_Marker_Old,"")),"")</f>
        <v/>
      </c>
      <c r="BZ23" s="36" t="str">
        <f>IFERROR(IF(LEN(#REF!)=0,"",IF(AZ$27=#REF!,Milestone_Marker_Old,"")),"")</f>
        <v/>
      </c>
      <c r="CA23" s="36" t="str">
        <f>IFERROR(IF(LEN(#REF!)=0,"",IF(BA$27=#REF!,Milestone_Marker_Old,"")),"")</f>
        <v/>
      </c>
      <c r="CB23" s="36" t="str">
        <f>IFERROR(IF(LEN(#REF!)=0,"",IF(BB$27=#REF!,Milestone_Marker_Old,"")),"")</f>
        <v/>
      </c>
      <c r="CC23" s="36" t="str">
        <f>IFERROR(IF(LEN(#REF!)=0,"",IF(BC$27=#REF!,Milestone_Marker_Old,"")),"")</f>
        <v/>
      </c>
      <c r="CD23" s="36" t="str">
        <f>IFERROR(IF(LEN(#REF!)=0,"",IF(BD$27=#REF!,Milestone_Marker_Old,"")),"")</f>
        <v/>
      </c>
      <c r="CE23" s="36" t="str">
        <f>IFERROR(IF(LEN(#REF!)=0,"",IF(BE$27=#REF!,Milestone_Marker_Old,"")),"")</f>
        <v/>
      </c>
      <c r="CF23" s="36" t="str">
        <f>IFERROR(IF(LEN(#REF!)=0,"",IF(BF$27=#REF!,Milestone_Marker_Old,"")),"")</f>
        <v/>
      </c>
      <c r="CG23" s="36" t="str">
        <f>IFERROR(IF(LEN(#REF!)=0,"",IF(BG$27=#REF!,Milestone_Marker_Old,"")),"")</f>
        <v/>
      </c>
      <c r="CH23" s="36" t="str">
        <f>IFERROR(IF(LEN(#REF!)=0,"",IF(BH$27=#REF!,Milestone_Marker_Old,"")),"")</f>
        <v/>
      </c>
      <c r="CI23" s="36" t="str">
        <f>IFERROR(IF(LEN(#REF!)=0,"",IF(BI$27=#REF!,Milestone_Marker_Old,"")),"")</f>
        <v/>
      </c>
      <c r="CJ23" s="36" t="str">
        <f>IFERROR(IF(LEN(#REF!)=0,"",IF(BJ$27=#REF!,Milestone_Marker_Old,"")),"")</f>
        <v/>
      </c>
      <c r="CK23" s="36" t="str">
        <f>IFERROR(IF(LEN(#REF!)=0,"",IF(BK$27=#REF!,Milestone_Marker_Old,"")),"")</f>
        <v/>
      </c>
      <c r="CL23" s="36" t="str">
        <f>IFERROR(IF(LEN(#REF!)=0,"",IF(BL$27=#REF!,Milestone_Marker_Old,"")),"")</f>
        <v/>
      </c>
      <c r="CM23" s="36" t="str">
        <f>IFERROR(IF(LEN(#REF!)=0,"",IF(BM$27=#REF!,Milestone_Marker_Old,"")),"")</f>
        <v/>
      </c>
      <c r="CN23" s="36" t="str">
        <f>IFERROR(IF(LEN(#REF!)=0,"",IF(BN$27=#REF!,Milestone_Marker_Old,"")),"")</f>
        <v/>
      </c>
      <c r="CO23" s="36" t="str">
        <f>IFERROR(IF(LEN(#REF!)=0,"",IF(BO$27=#REF!,Milestone_Marker_Old,"")),"")</f>
        <v/>
      </c>
      <c r="CP23" s="36" t="str">
        <f>IFERROR(IF(LEN(#REF!)=0,"",IF(BP$27=#REF!,Milestone_Marker_Old,"")),"")</f>
        <v/>
      </c>
      <c r="CQ23" s="36" t="str">
        <f>IFERROR(IF(LEN(#REF!)=0,"",IF(BQ$27=#REF!,Milestone_Marker_Old,"")),"")</f>
        <v/>
      </c>
      <c r="CR23" s="36" t="str">
        <f>IFERROR(IF(LEN(#REF!)=0,"",IF(BR$27=#REF!,Milestone_Marker_Old,"")),"")</f>
        <v/>
      </c>
      <c r="CS23" s="36" t="str">
        <f>IFERROR(IF(LEN(#REF!)=0,"",IF(BS$27=#REF!,Milestone_Marker_Old,"")),"")</f>
        <v/>
      </c>
      <c r="CT23" s="36" t="str">
        <f>IFERROR(IF(LEN(#REF!)=0,"",IF(BT$27=#REF!,Milestone_Marker_Old,"")),"")</f>
        <v/>
      </c>
      <c r="CU23" s="36" t="str">
        <f>IFERROR(IF(LEN(#REF!)=0,"",IF(BU$27=#REF!,Milestone_Marker_Old,"")),"")</f>
        <v/>
      </c>
      <c r="CV23" s="36" t="str">
        <f>IFERROR(IF(LEN(#REF!)=0,"",IF(BV$27=#REF!,Milestone_Marker_Old,"")),"")</f>
        <v/>
      </c>
      <c r="CW23" s="36" t="str">
        <f>IFERROR(IF(LEN(#REF!)=0,"",IF(BW$27=#REF!,Milestone_Marker_Old,"")),"")</f>
        <v/>
      </c>
      <c r="CX23" s="36" t="str">
        <f>IFERROR(IF(LEN(#REF!)=0,"",IF(BX$27=#REF!,Milestone_Marker_Old,"")),"")</f>
        <v/>
      </c>
      <c r="CY23" s="36" t="str">
        <f>IFERROR(IF(LEN(#REF!)=0,"",IF(BY$27=#REF!,Milestone_Marker_Old,"")),"")</f>
        <v/>
      </c>
      <c r="CZ23" s="36" t="str">
        <f>IFERROR(IF(LEN(#REF!)=0,"",IF(BZ$27=#REF!,Milestone_Marker_Old,"")),"")</f>
        <v/>
      </c>
      <c r="DA23" s="36" t="str">
        <f>IFERROR(IF(LEN(#REF!)=0,"",IF(CA$27=#REF!,Milestone_Marker_Old,"")),"")</f>
        <v/>
      </c>
      <c r="DB23" s="36" t="str">
        <f>IFERROR(IF(LEN(#REF!)=0,"",IF(CB$27=#REF!,Milestone_Marker_Old,"")),"")</f>
        <v/>
      </c>
      <c r="DC23" s="36" t="str">
        <f>IFERROR(IF(LEN(#REF!)=0,"",IF(CC$27=#REF!,Milestone_Marker_Old,"")),"")</f>
        <v/>
      </c>
      <c r="DD23" s="36" t="str">
        <f>IFERROR(IF(LEN(#REF!)=0,"",IF(CD$27=#REF!,Milestone_Marker_Old,"")),"")</f>
        <v/>
      </c>
      <c r="DE23" s="36" t="str">
        <f>IFERROR(IF(LEN(#REF!)=0,"",IF(CE$27=#REF!,Milestone_Marker_Old,"")),"")</f>
        <v/>
      </c>
      <c r="DF23" s="36" t="str">
        <f>IFERROR(IF(LEN(#REF!)=0,"",IF(CF$27=#REF!,Milestone_Marker_Old,"")),"")</f>
        <v/>
      </c>
      <c r="DG23" s="36" t="str">
        <f>IFERROR(IF(LEN(#REF!)=0,"",IF(CG$27=#REF!,Milestone_Marker_Old,"")),"")</f>
        <v/>
      </c>
      <c r="DH23" s="36" t="str">
        <f>IFERROR(IF(LEN(#REF!)=0,"",IF(CH$27=#REF!,Milestone_Marker_Old,"")),"")</f>
        <v/>
      </c>
      <c r="DI23" s="36" t="str">
        <f>IFERROR(IF(LEN(#REF!)=0,"",IF(CI$27=#REF!,Milestone_Marker_Old,"")),"")</f>
        <v/>
      </c>
      <c r="DJ23" s="36" t="str">
        <f>IFERROR(IF(LEN(#REF!)=0,"",IF(CJ$27=#REF!,Milestone_Marker_Old,"")),"")</f>
        <v/>
      </c>
      <c r="DK23" s="36" t="str">
        <f>IFERROR(IF(LEN(#REF!)=0,"",IF(CK$27=#REF!,Milestone_Marker_Old,"")),"")</f>
        <v/>
      </c>
      <c r="DL23" s="36" t="str">
        <f>IFERROR(IF(LEN(#REF!)=0,"",IF(CL$27=#REF!,Milestone_Marker_Old,"")),"")</f>
        <v/>
      </c>
      <c r="DM23" s="36" t="str">
        <f>IFERROR(IF(LEN(#REF!)=0,"",IF(CM$27=#REF!,Milestone_Marker_Old,"")),"")</f>
        <v/>
      </c>
      <c r="DN23" s="36" t="str">
        <f>IFERROR(IF(LEN(#REF!)=0,"",IF(CN$27=#REF!,Milestone_Marker_Old,"")),"")</f>
        <v/>
      </c>
      <c r="DO23" s="36" t="str">
        <f>IFERROR(IF(LEN(#REF!)=0,"",IF(CO$27=#REF!,Milestone_Marker_Old,"")),"")</f>
        <v/>
      </c>
      <c r="DP23" s="36" t="str">
        <f>IFERROR(IF(LEN(#REF!)=0,"",IF(CP$27=#REF!,Milestone_Marker_Old,"")),"")</f>
        <v/>
      </c>
      <c r="DQ23" s="36" t="str">
        <f>IFERROR(IF(LEN(#REF!)=0,"",IF(CQ$27=#REF!,Milestone_Marker_Old,"")),"")</f>
        <v/>
      </c>
      <c r="DR23" s="36" t="str">
        <f>IFERROR(IF(LEN(#REF!)=0,"",IF(CR$27=#REF!,Milestone_Marker_Old,"")),"")</f>
        <v/>
      </c>
      <c r="DS23" s="36" t="str">
        <f>IFERROR(IF(LEN(#REF!)=0,"",IF(CS$27=#REF!,Milestone_Marker_Old,"")),"")</f>
        <v/>
      </c>
      <c r="DT23" s="36" t="str">
        <f>IFERROR(IF(LEN(#REF!)=0,"",IF(CT$27=#REF!,Milestone_Marker_Old,"")),"")</f>
        <v/>
      </c>
      <c r="DU23" s="36" t="str">
        <f>IFERROR(IF(LEN(#REF!)=0,"",IF(CU$27=#REF!,Milestone_Marker_Old,"")),"")</f>
        <v/>
      </c>
    </row>
    <row r="24" spans="1:125" s="41" customFormat="1" ht="20.100000000000001" customHeight="1" x14ac:dyDescent="0.25">
      <c r="A24" s="96" t="s">
        <v>756</v>
      </c>
      <c r="B24" s="97">
        <f>+B23+1</f>
        <v>15</v>
      </c>
      <c r="C24" s="98"/>
      <c r="D24" s="99"/>
      <c r="E24" s="100" t="s">
        <v>757</v>
      </c>
      <c r="F24" s="101">
        <v>0</v>
      </c>
      <c r="G24" s="102">
        <f>+HVAC!I18</f>
        <v>152.30000000000001</v>
      </c>
      <c r="H24" s="102">
        <f>+F24*G24</f>
        <v>0</v>
      </c>
      <c r="I24" s="103"/>
      <c r="J24" s="103"/>
      <c r="K24" s="104"/>
      <c r="L24" s="103"/>
      <c r="M24" s="103"/>
      <c r="N24" s="103">
        <f>IF(I24="Yes",H24,0)</f>
        <v>0</v>
      </c>
      <c r="O24" s="103"/>
      <c r="R24" s="43"/>
      <c r="S24" s="43"/>
      <c r="T24" s="43"/>
      <c r="U24" s="43"/>
      <c r="V24" s="43"/>
      <c r="W24" s="43"/>
      <c r="X24" s="43"/>
      <c r="Y24" s="43"/>
      <c r="Z24" s="43"/>
      <c r="AB24" s="67">
        <v>0</v>
      </c>
      <c r="AC24" s="42"/>
      <c r="AD24" s="42"/>
      <c r="AE24" s="42"/>
      <c r="AF24" s="42"/>
      <c r="AG24" s="42"/>
      <c r="AH24" s="42"/>
      <c r="AI24" s="42"/>
      <c r="AJ24" s="42"/>
      <c r="AK24" s="42"/>
      <c r="AL24" s="42"/>
      <c r="AM24" s="42"/>
      <c r="AN24" s="42"/>
      <c r="AO24" s="42"/>
      <c r="AP24" s="42"/>
    </row>
    <row r="25" spans="1:125" s="41" customFormat="1" ht="20.100000000000001" customHeight="1" x14ac:dyDescent="0.25">
      <c r="A25" s="96" t="s">
        <v>756</v>
      </c>
      <c r="B25" s="97">
        <f>+B24+1</f>
        <v>16</v>
      </c>
      <c r="C25" s="98"/>
      <c r="D25" s="99"/>
      <c r="E25" s="100" t="s">
        <v>758</v>
      </c>
      <c r="F25" s="101">
        <v>0</v>
      </c>
      <c r="G25" s="102">
        <v>4598</v>
      </c>
      <c r="H25" s="102">
        <f>+F25*G25</f>
        <v>0</v>
      </c>
      <c r="I25" s="103"/>
      <c r="J25" s="103"/>
      <c r="K25" s="104"/>
      <c r="L25" s="103"/>
      <c r="M25" s="103"/>
      <c r="N25" s="103">
        <f>IF(I25="Yes",H25,0)</f>
        <v>0</v>
      </c>
      <c r="O25" s="103"/>
      <c r="R25" s="43"/>
      <c r="S25" s="43"/>
      <c r="T25" s="43"/>
      <c r="U25" s="43"/>
      <c r="V25" s="43"/>
      <c r="W25" s="43"/>
      <c r="X25" s="43"/>
      <c r="Y25" s="43"/>
      <c r="Z25" s="43"/>
    </row>
    <row r="26" spans="1:125" s="41" customFormat="1" ht="21.75" thickBot="1" x14ac:dyDescent="0.25">
      <c r="A26" s="105"/>
      <c r="B26" s="106"/>
      <c r="C26" s="105"/>
      <c r="D26" s="105"/>
      <c r="E26" s="93" t="str">
        <f>+A2 &amp; "Items (all items should be updated from Proposal or ProposalUpdate tab)"</f>
        <v>Tim Flemming Items (all items should be updated from Proposal or ProposalUpdate tab)</v>
      </c>
      <c r="F26" s="105"/>
      <c r="G26" s="105"/>
      <c r="H26" s="105"/>
      <c r="I26" s="105"/>
      <c r="J26" s="105"/>
      <c r="K26" s="107"/>
      <c r="L26" s="105"/>
      <c r="M26" s="105"/>
      <c r="N26" s="105"/>
      <c r="O26" s="105"/>
      <c r="P26" s="58" t="str">
        <f ca="1">IF(TEXT(Project_Start,"mmmm")=TEXT(P27,"mmmm"),"",TEXT(P27,"mmmm"))</f>
        <v/>
      </c>
      <c r="Q26" s="58" t="str">
        <f t="shared" ref="Q26:AV26" ca="1" si="5">IF(TEXT(P27,"mmmm")=TEXT(Q27,"mmmm"),"",TEXT(Q27,"mmmm"))</f>
        <v/>
      </c>
      <c r="R26" s="58" t="str">
        <f t="shared" ca="1" si="5"/>
        <v/>
      </c>
      <c r="S26" s="58" t="str">
        <f t="shared" ca="1" si="5"/>
        <v/>
      </c>
      <c r="T26" s="58" t="str">
        <f t="shared" ca="1" si="5"/>
        <v/>
      </c>
      <c r="U26" s="58" t="str">
        <f t="shared" ca="1" si="5"/>
        <v/>
      </c>
      <c r="V26" s="58" t="str">
        <f t="shared" ca="1" si="5"/>
        <v/>
      </c>
      <c r="W26" s="58" t="str">
        <f t="shared" ca="1" si="5"/>
        <v/>
      </c>
      <c r="X26" s="58" t="str">
        <f t="shared" ca="1" si="5"/>
        <v/>
      </c>
      <c r="Y26" s="58" t="str">
        <f t="shared" ca="1" si="5"/>
        <v/>
      </c>
      <c r="Z26" s="58" t="str">
        <f t="shared" ca="1" si="5"/>
        <v/>
      </c>
      <c r="AA26" s="58" t="str">
        <f t="shared" ca="1" si="5"/>
        <v/>
      </c>
      <c r="AB26" s="58" t="str">
        <f t="shared" ca="1" si="5"/>
        <v/>
      </c>
      <c r="AC26" s="58" t="str">
        <f t="shared" ca="1" si="5"/>
        <v/>
      </c>
      <c r="AD26" s="58" t="str">
        <f t="shared" ca="1" si="5"/>
        <v/>
      </c>
      <c r="AE26" s="58" t="str">
        <f t="shared" ca="1" si="5"/>
        <v/>
      </c>
      <c r="AF26" s="58" t="str">
        <f t="shared" ca="1" si="5"/>
        <v/>
      </c>
      <c r="AG26" s="58" t="str">
        <f t="shared" ca="1" si="5"/>
        <v/>
      </c>
      <c r="AH26" s="58" t="str">
        <f t="shared" ca="1" si="5"/>
        <v/>
      </c>
      <c r="AI26" s="58" t="str">
        <f t="shared" ca="1" si="5"/>
        <v/>
      </c>
      <c r="AJ26" s="58" t="str">
        <f t="shared" ca="1" si="5"/>
        <v>April</v>
      </c>
      <c r="AK26" s="58" t="str">
        <f t="shared" ca="1" si="5"/>
        <v/>
      </c>
      <c r="AL26" s="58" t="str">
        <f t="shared" ca="1" si="5"/>
        <v/>
      </c>
      <c r="AM26" s="58" t="str">
        <f t="shared" ca="1" si="5"/>
        <v/>
      </c>
      <c r="AN26" s="58" t="str">
        <f t="shared" ca="1" si="5"/>
        <v/>
      </c>
      <c r="AO26" s="58" t="str">
        <f t="shared" ca="1" si="5"/>
        <v/>
      </c>
      <c r="AP26" s="58" t="str">
        <f t="shared" ca="1" si="5"/>
        <v/>
      </c>
      <c r="AQ26" s="58" t="str">
        <f t="shared" ca="1" si="5"/>
        <v/>
      </c>
      <c r="AR26" s="58" t="str">
        <f t="shared" ca="1" si="5"/>
        <v/>
      </c>
      <c r="AS26" s="58" t="str">
        <f t="shared" ca="1" si="5"/>
        <v/>
      </c>
      <c r="AT26" s="58" t="str">
        <f t="shared" ca="1" si="5"/>
        <v/>
      </c>
      <c r="AU26" s="58" t="str">
        <f t="shared" ca="1" si="5"/>
        <v/>
      </c>
      <c r="AV26" s="58" t="str">
        <f t="shared" ca="1" si="5"/>
        <v/>
      </c>
      <c r="AW26" s="58" t="str">
        <f t="shared" ref="AW26:CB26" ca="1" si="6">IF(TEXT(AV27,"mmmm")=TEXT(AW27,"mmmm"),"",TEXT(AW27,"mmmm"))</f>
        <v/>
      </c>
      <c r="AX26" s="58" t="str">
        <f t="shared" ca="1" si="6"/>
        <v/>
      </c>
      <c r="AY26" s="58" t="str">
        <f t="shared" ca="1" si="6"/>
        <v/>
      </c>
      <c r="AZ26" s="58" t="str">
        <f t="shared" ca="1" si="6"/>
        <v/>
      </c>
      <c r="BA26" s="58" t="str">
        <f t="shared" ca="1" si="6"/>
        <v/>
      </c>
      <c r="BB26" s="58" t="str">
        <f t="shared" ca="1" si="6"/>
        <v/>
      </c>
      <c r="BC26" s="58" t="str">
        <f t="shared" ca="1" si="6"/>
        <v/>
      </c>
      <c r="BD26" s="58" t="str">
        <f t="shared" ca="1" si="6"/>
        <v/>
      </c>
      <c r="BE26" s="58" t="str">
        <f t="shared" ca="1" si="6"/>
        <v/>
      </c>
      <c r="BF26" s="58" t="str">
        <f t="shared" ca="1" si="6"/>
        <v/>
      </c>
      <c r="BG26" s="58" t="str">
        <f t="shared" ca="1" si="6"/>
        <v/>
      </c>
      <c r="BH26" s="58" t="str">
        <f t="shared" ca="1" si="6"/>
        <v/>
      </c>
      <c r="BI26" s="58" t="str">
        <f t="shared" ca="1" si="6"/>
        <v/>
      </c>
      <c r="BJ26" s="58" t="str">
        <f t="shared" ca="1" si="6"/>
        <v/>
      </c>
      <c r="BK26" s="58" t="str">
        <f t="shared" ca="1" si="6"/>
        <v/>
      </c>
      <c r="BL26" s="58" t="str">
        <f t="shared" ca="1" si="6"/>
        <v/>
      </c>
      <c r="BM26" s="58" t="str">
        <f t="shared" ca="1" si="6"/>
        <v/>
      </c>
      <c r="BN26" s="58" t="str">
        <f t="shared" ca="1" si="6"/>
        <v>May</v>
      </c>
      <c r="BO26" s="58" t="str">
        <f t="shared" ca="1" si="6"/>
        <v/>
      </c>
      <c r="BP26" s="58" t="str">
        <f t="shared" ca="1" si="6"/>
        <v/>
      </c>
      <c r="BQ26" s="58" t="str">
        <f t="shared" ca="1" si="6"/>
        <v/>
      </c>
      <c r="BR26" s="58" t="str">
        <f t="shared" ca="1" si="6"/>
        <v/>
      </c>
      <c r="BS26" s="58" t="str">
        <f t="shared" ca="1" si="6"/>
        <v/>
      </c>
      <c r="BT26" s="58" t="str">
        <f t="shared" ca="1" si="6"/>
        <v/>
      </c>
      <c r="BU26" s="58" t="str">
        <f t="shared" ca="1" si="6"/>
        <v/>
      </c>
      <c r="BV26" s="58" t="str">
        <f t="shared" ca="1" si="6"/>
        <v/>
      </c>
      <c r="BW26" s="58" t="str">
        <f t="shared" ca="1" si="6"/>
        <v/>
      </c>
      <c r="BX26" s="58" t="str">
        <f t="shared" ca="1" si="6"/>
        <v/>
      </c>
      <c r="BY26" s="58" t="str">
        <f t="shared" ca="1" si="6"/>
        <v/>
      </c>
      <c r="BZ26" s="58" t="str">
        <f t="shared" ca="1" si="6"/>
        <v/>
      </c>
      <c r="CA26" s="58" t="str">
        <f t="shared" ca="1" si="6"/>
        <v/>
      </c>
      <c r="CB26" s="58" t="str">
        <f t="shared" ca="1" si="6"/>
        <v/>
      </c>
      <c r="CC26" s="58" t="str">
        <f t="shared" ref="CC26:CU26" ca="1" si="7">IF(TEXT(CB27,"mmmm")=TEXT(CC27,"mmmm"),"",TEXT(CC27,"mmmm"))</f>
        <v/>
      </c>
      <c r="CD26" s="58" t="str">
        <f t="shared" ca="1" si="7"/>
        <v/>
      </c>
      <c r="CE26" s="58" t="str">
        <f t="shared" ca="1" si="7"/>
        <v/>
      </c>
      <c r="CF26" s="58" t="str">
        <f t="shared" ca="1" si="7"/>
        <v/>
      </c>
      <c r="CG26" s="58" t="str">
        <f t="shared" ca="1" si="7"/>
        <v/>
      </c>
      <c r="CH26" s="58" t="str">
        <f t="shared" ca="1" si="7"/>
        <v/>
      </c>
      <c r="CI26" s="58" t="str">
        <f t="shared" ca="1" si="7"/>
        <v/>
      </c>
      <c r="CJ26" s="58" t="str">
        <f t="shared" ca="1" si="7"/>
        <v/>
      </c>
      <c r="CK26" s="58" t="str">
        <f t="shared" ca="1" si="7"/>
        <v/>
      </c>
      <c r="CL26" s="58" t="str">
        <f t="shared" ca="1" si="7"/>
        <v/>
      </c>
      <c r="CM26" s="58" t="str">
        <f t="shared" ca="1" si="7"/>
        <v/>
      </c>
      <c r="CN26" s="58" t="str">
        <f t="shared" ca="1" si="7"/>
        <v/>
      </c>
      <c r="CO26" s="58" t="str">
        <f t="shared" ca="1" si="7"/>
        <v/>
      </c>
      <c r="CP26" s="58" t="str">
        <f t="shared" ca="1" si="7"/>
        <v/>
      </c>
      <c r="CQ26" s="58" t="str">
        <f t="shared" ca="1" si="7"/>
        <v/>
      </c>
      <c r="CR26" s="58" t="str">
        <f t="shared" ca="1" si="7"/>
        <v/>
      </c>
      <c r="CS26" s="58" t="str">
        <f t="shared" ca="1" si="7"/>
        <v>June</v>
      </c>
      <c r="CT26" s="58" t="str">
        <f t="shared" ca="1" si="7"/>
        <v/>
      </c>
      <c r="CU26" s="58" t="str">
        <f t="shared" ca="1" si="7"/>
        <v/>
      </c>
    </row>
    <row r="27" spans="1:125" s="55" customFormat="1" ht="34.5" customHeight="1" thickTop="1" x14ac:dyDescent="0.25">
      <c r="A27" s="275" t="s">
        <v>716</v>
      </c>
      <c r="B27" s="275" t="s">
        <v>717</v>
      </c>
      <c r="C27" s="275" t="s">
        <v>718</v>
      </c>
      <c r="D27" s="275" t="s">
        <v>719</v>
      </c>
      <c r="E27" s="275" t="s">
        <v>720</v>
      </c>
      <c r="F27" s="275" t="s">
        <v>688</v>
      </c>
      <c r="G27" s="294" t="s">
        <v>689</v>
      </c>
      <c r="H27" s="294" t="s">
        <v>721</v>
      </c>
      <c r="I27" s="275" t="s">
        <v>722</v>
      </c>
      <c r="J27" s="275" t="s">
        <v>723</v>
      </c>
      <c r="K27" s="295" t="s">
        <v>102</v>
      </c>
      <c r="L27" s="275" t="s">
        <v>724</v>
      </c>
      <c r="M27" s="275" t="s">
        <v>725</v>
      </c>
      <c r="N27" s="22" t="s">
        <v>728</v>
      </c>
      <c r="O27" s="22" t="s">
        <v>497</v>
      </c>
      <c r="P27" s="61">
        <f ca="1">IFERROR(Project_Start+Scrolling_Increment,TODAY())</f>
        <v>45363</v>
      </c>
      <c r="Q27" s="61">
        <f t="shared" ref="Q27:AV27" ca="1" si="8">+P27+1</f>
        <v>45364</v>
      </c>
      <c r="R27" s="61">
        <f t="shared" ca="1" si="8"/>
        <v>45365</v>
      </c>
      <c r="S27" s="61">
        <f t="shared" ca="1" si="8"/>
        <v>45366</v>
      </c>
      <c r="T27" s="61">
        <f t="shared" ca="1" si="8"/>
        <v>45367</v>
      </c>
      <c r="U27" s="61">
        <f t="shared" ca="1" si="8"/>
        <v>45368</v>
      </c>
      <c r="V27" s="61">
        <f t="shared" ca="1" si="8"/>
        <v>45369</v>
      </c>
      <c r="W27" s="61">
        <f t="shared" ca="1" si="8"/>
        <v>45370</v>
      </c>
      <c r="X27" s="61">
        <f t="shared" ca="1" si="8"/>
        <v>45371</v>
      </c>
      <c r="Y27" s="61">
        <f t="shared" ca="1" si="8"/>
        <v>45372</v>
      </c>
      <c r="Z27" s="61">
        <f t="shared" ca="1" si="8"/>
        <v>45373</v>
      </c>
      <c r="AA27" s="61">
        <f t="shared" ca="1" si="8"/>
        <v>45374</v>
      </c>
      <c r="AB27" s="61">
        <f t="shared" ca="1" si="8"/>
        <v>45375</v>
      </c>
      <c r="AC27" s="61">
        <f t="shared" ca="1" si="8"/>
        <v>45376</v>
      </c>
      <c r="AD27" s="61">
        <f t="shared" ca="1" si="8"/>
        <v>45377</v>
      </c>
      <c r="AE27" s="61">
        <f t="shared" ca="1" si="8"/>
        <v>45378</v>
      </c>
      <c r="AF27" s="61">
        <f t="shared" ca="1" si="8"/>
        <v>45379</v>
      </c>
      <c r="AG27" s="61">
        <f t="shared" ca="1" si="8"/>
        <v>45380</v>
      </c>
      <c r="AH27" s="61">
        <f t="shared" ca="1" si="8"/>
        <v>45381</v>
      </c>
      <c r="AI27" s="61">
        <f t="shared" ca="1" si="8"/>
        <v>45382</v>
      </c>
      <c r="AJ27" s="61">
        <f t="shared" ca="1" si="8"/>
        <v>45383</v>
      </c>
      <c r="AK27" s="61">
        <f t="shared" ca="1" si="8"/>
        <v>45384</v>
      </c>
      <c r="AL27" s="61">
        <f t="shared" ca="1" si="8"/>
        <v>45385</v>
      </c>
      <c r="AM27" s="61">
        <f t="shared" ca="1" si="8"/>
        <v>45386</v>
      </c>
      <c r="AN27" s="61">
        <f t="shared" ca="1" si="8"/>
        <v>45387</v>
      </c>
      <c r="AO27" s="61">
        <f t="shared" ca="1" si="8"/>
        <v>45388</v>
      </c>
      <c r="AP27" s="61">
        <f t="shared" ca="1" si="8"/>
        <v>45389</v>
      </c>
      <c r="AQ27" s="61">
        <f t="shared" ca="1" si="8"/>
        <v>45390</v>
      </c>
      <c r="AR27" s="61">
        <f t="shared" ca="1" si="8"/>
        <v>45391</v>
      </c>
      <c r="AS27" s="61">
        <f t="shared" ca="1" si="8"/>
        <v>45392</v>
      </c>
      <c r="AT27" s="61">
        <f t="shared" ca="1" si="8"/>
        <v>45393</v>
      </c>
      <c r="AU27" s="61">
        <f t="shared" ca="1" si="8"/>
        <v>45394</v>
      </c>
      <c r="AV27" s="61">
        <f t="shared" ca="1" si="8"/>
        <v>45395</v>
      </c>
      <c r="AW27" s="61">
        <f t="shared" ref="AW27:CB27" ca="1" si="9">+AV27+1</f>
        <v>45396</v>
      </c>
      <c r="AX27" s="61">
        <f t="shared" ca="1" si="9"/>
        <v>45397</v>
      </c>
      <c r="AY27" s="61">
        <f t="shared" ca="1" si="9"/>
        <v>45398</v>
      </c>
      <c r="AZ27" s="61">
        <f t="shared" ca="1" si="9"/>
        <v>45399</v>
      </c>
      <c r="BA27" s="61">
        <f t="shared" ca="1" si="9"/>
        <v>45400</v>
      </c>
      <c r="BB27" s="61">
        <f t="shared" ca="1" si="9"/>
        <v>45401</v>
      </c>
      <c r="BC27" s="61">
        <f t="shared" ca="1" si="9"/>
        <v>45402</v>
      </c>
      <c r="BD27" s="61">
        <f t="shared" ca="1" si="9"/>
        <v>45403</v>
      </c>
      <c r="BE27" s="61">
        <f t="shared" ca="1" si="9"/>
        <v>45404</v>
      </c>
      <c r="BF27" s="61">
        <f t="shared" ca="1" si="9"/>
        <v>45405</v>
      </c>
      <c r="BG27" s="61">
        <f t="shared" ca="1" si="9"/>
        <v>45406</v>
      </c>
      <c r="BH27" s="61">
        <f t="shared" ca="1" si="9"/>
        <v>45407</v>
      </c>
      <c r="BI27" s="61">
        <f t="shared" ca="1" si="9"/>
        <v>45408</v>
      </c>
      <c r="BJ27" s="61">
        <f t="shared" ca="1" si="9"/>
        <v>45409</v>
      </c>
      <c r="BK27" s="61">
        <f t="shared" ca="1" si="9"/>
        <v>45410</v>
      </c>
      <c r="BL27" s="61">
        <f t="shared" ca="1" si="9"/>
        <v>45411</v>
      </c>
      <c r="BM27" s="61">
        <f t="shared" ca="1" si="9"/>
        <v>45412</v>
      </c>
      <c r="BN27" s="61">
        <f t="shared" ca="1" si="9"/>
        <v>45413</v>
      </c>
      <c r="BO27" s="61">
        <f t="shared" ca="1" si="9"/>
        <v>45414</v>
      </c>
      <c r="BP27" s="61">
        <f t="shared" ca="1" si="9"/>
        <v>45415</v>
      </c>
      <c r="BQ27" s="61">
        <f t="shared" ca="1" si="9"/>
        <v>45416</v>
      </c>
      <c r="BR27" s="61">
        <f t="shared" ca="1" si="9"/>
        <v>45417</v>
      </c>
      <c r="BS27" s="61">
        <f t="shared" ca="1" si="9"/>
        <v>45418</v>
      </c>
      <c r="BT27" s="61">
        <f t="shared" ca="1" si="9"/>
        <v>45419</v>
      </c>
      <c r="BU27" s="61">
        <f t="shared" ca="1" si="9"/>
        <v>45420</v>
      </c>
      <c r="BV27" s="61">
        <f t="shared" ca="1" si="9"/>
        <v>45421</v>
      </c>
      <c r="BW27" s="61">
        <f t="shared" ca="1" si="9"/>
        <v>45422</v>
      </c>
      <c r="BX27" s="61">
        <f t="shared" ca="1" si="9"/>
        <v>45423</v>
      </c>
      <c r="BY27" s="61">
        <f t="shared" ca="1" si="9"/>
        <v>45424</v>
      </c>
      <c r="BZ27" s="61">
        <f t="shared" ca="1" si="9"/>
        <v>45425</v>
      </c>
      <c r="CA27" s="61">
        <f t="shared" ca="1" si="9"/>
        <v>45426</v>
      </c>
      <c r="CB27" s="61">
        <f t="shared" ca="1" si="9"/>
        <v>45427</v>
      </c>
      <c r="CC27" s="61">
        <f t="shared" ref="CC27:CU27" ca="1" si="10">+CB27+1</f>
        <v>45428</v>
      </c>
      <c r="CD27" s="61">
        <f t="shared" ca="1" si="10"/>
        <v>45429</v>
      </c>
      <c r="CE27" s="61">
        <f t="shared" ca="1" si="10"/>
        <v>45430</v>
      </c>
      <c r="CF27" s="61">
        <f t="shared" ca="1" si="10"/>
        <v>45431</v>
      </c>
      <c r="CG27" s="61">
        <f t="shared" ca="1" si="10"/>
        <v>45432</v>
      </c>
      <c r="CH27" s="61">
        <f t="shared" ca="1" si="10"/>
        <v>45433</v>
      </c>
      <c r="CI27" s="61">
        <f t="shared" ca="1" si="10"/>
        <v>45434</v>
      </c>
      <c r="CJ27" s="61">
        <f t="shared" ca="1" si="10"/>
        <v>45435</v>
      </c>
      <c r="CK27" s="61">
        <f t="shared" ca="1" si="10"/>
        <v>45436</v>
      </c>
      <c r="CL27" s="61">
        <f t="shared" ca="1" si="10"/>
        <v>45437</v>
      </c>
      <c r="CM27" s="61">
        <f t="shared" ca="1" si="10"/>
        <v>45438</v>
      </c>
      <c r="CN27" s="61">
        <f t="shared" ca="1" si="10"/>
        <v>45439</v>
      </c>
      <c r="CO27" s="61">
        <f t="shared" ca="1" si="10"/>
        <v>45440</v>
      </c>
      <c r="CP27" s="61">
        <f t="shared" ca="1" si="10"/>
        <v>45441</v>
      </c>
      <c r="CQ27" s="61">
        <f t="shared" ca="1" si="10"/>
        <v>45442</v>
      </c>
      <c r="CR27" s="61">
        <f t="shared" ca="1" si="10"/>
        <v>45443</v>
      </c>
      <c r="CS27" s="61">
        <f t="shared" ca="1" si="10"/>
        <v>45444</v>
      </c>
      <c r="CT27" s="61">
        <f t="shared" ca="1" si="10"/>
        <v>45445</v>
      </c>
      <c r="CU27" s="61">
        <f t="shared" ca="1" si="10"/>
        <v>45446</v>
      </c>
    </row>
    <row r="28" spans="1:125" s="41" customFormat="1" ht="20.100000000000001" customHeight="1" x14ac:dyDescent="0.25">
      <c r="A28" t="s">
        <v>730</v>
      </c>
      <c r="B28">
        <v>1</v>
      </c>
      <c r="C28" t="s">
        <v>690</v>
      </c>
      <c r="D28" t="s">
        <v>690</v>
      </c>
      <c r="E28" t="s">
        <v>691</v>
      </c>
      <c r="F28">
        <v>0</v>
      </c>
      <c r="G28" s="14"/>
      <c r="H28" s="14"/>
      <c r="I28" t="s">
        <v>516</v>
      </c>
      <c r="J28">
        <v>4</v>
      </c>
      <c r="K28" s="261">
        <v>45363</v>
      </c>
      <c r="L28"/>
      <c r="M28" s="14"/>
      <c r="N28" s="309"/>
      <c r="O28" s="297"/>
      <c r="P28" s="36">
        <f ca="1">IFERROR(+IF(P$27=ProposalToGnatt[[#This Row],[Start Date]],Milestone_Marker,IF(AND(P$27&gt;ProposalToGnatt[[#This Row],[Start Date]],P$27&lt;ProposalToGnatt[[#This Row],[Start Date]]+ProposalToGnatt[[#This Row],[Days]]),$G$5,"")),"")</f>
        <v>1</v>
      </c>
      <c r="Q28" s="36" t="str">
        <f ca="1">IFERROR(+IF(Q$27=ProposalToGnatt[[#This Row],[Start Date]],Milestone_Marker,IF(AND(Q$27&gt;ProposalToGnatt[[#This Row],[Start Date]],Q$27&lt;ProposalToGnatt[[#This Row],[Start Date]]+ProposalToGnatt[[#This Row],[Days]]),$G$5,"")),"")</f>
        <v/>
      </c>
      <c r="R28" s="36" t="str">
        <f ca="1">IFERROR(+IF(R$27=ProposalToGnatt[[#This Row],[Start Date]],Milestone_Marker,IF(AND(R$27&gt;ProposalToGnatt[[#This Row],[Start Date]],R$27&lt;ProposalToGnatt[[#This Row],[Start Date]]+ProposalToGnatt[[#This Row],[Days]]),$G$5,"")),"")</f>
        <v/>
      </c>
      <c r="S28" s="36" t="str">
        <f ca="1">IFERROR(+IF(S$27=ProposalToGnatt[[#This Row],[Start Date]],Milestone_Marker,IF(AND(S$27&gt;ProposalToGnatt[[#This Row],[Start Date]],S$27&lt;ProposalToGnatt[[#This Row],[Start Date]]+ProposalToGnatt[[#This Row],[Days]]),$G$5,"")),"")</f>
        <v/>
      </c>
      <c r="T28" s="36" t="str">
        <f ca="1">IFERROR(+IF(T$27=ProposalToGnatt[[#This Row],[Start Date]],Milestone_Marker,IF(AND(T$27&gt;ProposalToGnatt[[#This Row],[Start Date]],T$27&lt;ProposalToGnatt[[#This Row],[Start Date]]+ProposalToGnatt[[#This Row],[Days]]),$G$5,"")),"")</f>
        <v/>
      </c>
      <c r="U28" s="36" t="str">
        <f ca="1">IFERROR(+IF(U$27=ProposalToGnatt[[#This Row],[Start Date]],Milestone_Marker,IF(AND(U$27&gt;ProposalToGnatt[[#This Row],[Start Date]],U$27&lt;ProposalToGnatt[[#This Row],[Start Date]]+ProposalToGnatt[[#This Row],[Days]]),$G$5,"")),"")</f>
        <v/>
      </c>
      <c r="V28" s="36" t="str">
        <f ca="1">IFERROR(+IF(V$27=ProposalToGnatt[[#This Row],[Start Date]],Milestone_Marker,IF(AND(V$27&gt;ProposalToGnatt[[#This Row],[Start Date]],V$27&lt;ProposalToGnatt[[#This Row],[Start Date]]+ProposalToGnatt[[#This Row],[Days]]),$G$5,"")),"")</f>
        <v/>
      </c>
      <c r="W28" s="36" t="str">
        <f ca="1">IFERROR(+IF(W$27=ProposalToGnatt[[#This Row],[Start Date]],Milestone_Marker,IF(AND(W$27&gt;ProposalToGnatt[[#This Row],[Start Date]],W$27&lt;ProposalToGnatt[[#This Row],[Start Date]]+ProposalToGnatt[[#This Row],[Days]]),$G$5,"")),"")</f>
        <v/>
      </c>
      <c r="X28" s="36" t="str">
        <f ca="1">IFERROR(+IF(X$27=ProposalToGnatt[[#This Row],[Start Date]],Milestone_Marker,IF(AND(X$27&gt;ProposalToGnatt[[#This Row],[Start Date]],X$27&lt;ProposalToGnatt[[#This Row],[Start Date]]+ProposalToGnatt[[#This Row],[Days]]),$G$5,"")),"")</f>
        <v/>
      </c>
      <c r="Y28" s="36" t="str">
        <f ca="1">IFERROR(+IF(Y$27=ProposalToGnatt[[#This Row],[Start Date]],Milestone_Marker,IF(AND(Y$27&gt;ProposalToGnatt[[#This Row],[Start Date]],Y$27&lt;ProposalToGnatt[[#This Row],[Start Date]]+ProposalToGnatt[[#This Row],[Days]]),$G$5,"")),"")</f>
        <v/>
      </c>
      <c r="Z28" s="36" t="str">
        <f ca="1">IFERROR(+IF(Z$27=ProposalToGnatt[[#This Row],[Start Date]],Milestone_Marker,IF(AND(Z$27&gt;ProposalToGnatt[[#This Row],[Start Date]],Z$27&lt;ProposalToGnatt[[#This Row],[Start Date]]+ProposalToGnatt[[#This Row],[Days]]),$G$5,"")),"")</f>
        <v/>
      </c>
      <c r="AA28" s="36" t="str">
        <f ca="1">IFERROR(+IF(AA$27=ProposalToGnatt[[#This Row],[Start Date]],Milestone_Marker,IF(AND(AA$27&gt;ProposalToGnatt[[#This Row],[Start Date]],AA$27&lt;ProposalToGnatt[[#This Row],[Start Date]]+ProposalToGnatt[[#This Row],[Days]]),$G$5,"")),"")</f>
        <v/>
      </c>
      <c r="AB28" s="36" t="str">
        <f ca="1">IFERROR(+IF(AB$27=ProposalToGnatt[[#This Row],[Start Date]],Milestone_Marker,IF(AND(AB$27&gt;ProposalToGnatt[[#This Row],[Start Date]],AB$27&lt;ProposalToGnatt[[#This Row],[Start Date]]+ProposalToGnatt[[#This Row],[Days]]),$G$5,"")),"")</f>
        <v/>
      </c>
      <c r="AC28" s="36" t="str">
        <f ca="1">IFERROR(+IF(AC$27=ProposalToGnatt[[#This Row],[Start Date]],Milestone_Marker,IF(AND(AC$27&gt;ProposalToGnatt[[#This Row],[Start Date]],AC$27&lt;ProposalToGnatt[[#This Row],[Start Date]]+ProposalToGnatt[[#This Row],[Days]]),$G$5,"")),"")</f>
        <v/>
      </c>
      <c r="AD28" s="36" t="str">
        <f ca="1">IFERROR(+IF(AD$27=ProposalToGnatt[[#This Row],[Start Date]],Milestone_Marker,IF(AND(AD$27&gt;ProposalToGnatt[[#This Row],[Start Date]],AD$27&lt;ProposalToGnatt[[#This Row],[Start Date]]+ProposalToGnatt[[#This Row],[Days]]),$G$5,"")),"")</f>
        <v/>
      </c>
      <c r="AE28" s="36" t="str">
        <f ca="1">IFERROR(+IF(AE$27=ProposalToGnatt[[#This Row],[Start Date]],Milestone_Marker,IF(AND(AE$27&gt;ProposalToGnatt[[#This Row],[Start Date]],AE$27&lt;ProposalToGnatt[[#This Row],[Start Date]]+ProposalToGnatt[[#This Row],[Days]]),$G$5,"")),"")</f>
        <v/>
      </c>
      <c r="AF28" s="36" t="str">
        <f ca="1">IFERROR(+IF(AF$27=ProposalToGnatt[[#This Row],[Start Date]],Milestone_Marker,IF(AND(AF$27&gt;ProposalToGnatt[[#This Row],[Start Date]],AF$27&lt;ProposalToGnatt[[#This Row],[Start Date]]+ProposalToGnatt[[#This Row],[Days]]),$G$5,"")),"")</f>
        <v/>
      </c>
      <c r="AG28" s="36" t="str">
        <f ca="1">IFERROR(+IF(AG$27=ProposalToGnatt[[#This Row],[Start Date]],Milestone_Marker,IF(AND(AG$27&gt;ProposalToGnatt[[#This Row],[Start Date]],AG$27&lt;ProposalToGnatt[[#This Row],[Start Date]]+ProposalToGnatt[[#This Row],[Days]]),$G$5,"")),"")</f>
        <v/>
      </c>
      <c r="AH28" s="36" t="str">
        <f ca="1">IFERROR(+IF(AH$27=ProposalToGnatt[[#This Row],[Start Date]],Milestone_Marker,IF(AND(AH$27&gt;ProposalToGnatt[[#This Row],[Start Date]],AH$27&lt;ProposalToGnatt[[#This Row],[Start Date]]+ProposalToGnatt[[#This Row],[Days]]),$G$5,"")),"")</f>
        <v/>
      </c>
      <c r="AI28" s="36" t="str">
        <f ca="1">IFERROR(+IF(AI$27=ProposalToGnatt[[#This Row],[Start Date]],Milestone_Marker,IF(AND(AI$27&gt;ProposalToGnatt[[#This Row],[Start Date]],AI$27&lt;ProposalToGnatt[[#This Row],[Start Date]]+ProposalToGnatt[[#This Row],[Days]]),$G$5,"")),"")</f>
        <v/>
      </c>
      <c r="AJ28" s="36" t="str">
        <f ca="1">IFERROR(+IF(AJ$27=ProposalToGnatt[[#This Row],[Start Date]],Milestone_Marker,IF(AND(AJ$27&gt;ProposalToGnatt[[#This Row],[Start Date]],AJ$27&lt;ProposalToGnatt[[#This Row],[Start Date]]+ProposalToGnatt[[#This Row],[Days]]),$G$5,"")),"")</f>
        <v/>
      </c>
      <c r="AK28" s="36" t="str">
        <f ca="1">IFERROR(+IF(AK$27=ProposalToGnatt[[#This Row],[Start Date]],Milestone_Marker,IF(AND(AK$27&gt;ProposalToGnatt[[#This Row],[Start Date]],AK$27&lt;ProposalToGnatt[[#This Row],[Start Date]]+ProposalToGnatt[[#This Row],[Days]]),$G$5,"")),"")</f>
        <v/>
      </c>
      <c r="AL28" s="36" t="str">
        <f ca="1">IFERROR(+IF(AL$27=ProposalToGnatt[[#This Row],[Start Date]],Milestone_Marker,IF(AND(AL$27&gt;ProposalToGnatt[[#This Row],[Start Date]],AL$27&lt;ProposalToGnatt[[#This Row],[Start Date]]+ProposalToGnatt[[#This Row],[Days]]),$G$5,"")),"")</f>
        <v/>
      </c>
      <c r="AM28" s="36" t="str">
        <f ca="1">IFERROR(+IF(AM$27=ProposalToGnatt[[#This Row],[Start Date]],Milestone_Marker,IF(AND(AM$27&gt;ProposalToGnatt[[#This Row],[Start Date]],AM$27&lt;ProposalToGnatt[[#This Row],[Start Date]]+ProposalToGnatt[[#This Row],[Days]]),$G$5,"")),"")</f>
        <v/>
      </c>
      <c r="AN28" s="36" t="str">
        <f ca="1">IFERROR(+IF(AN$27=ProposalToGnatt[[#This Row],[Start Date]],Milestone_Marker,IF(AND(AN$27&gt;ProposalToGnatt[[#This Row],[Start Date]],AN$27&lt;ProposalToGnatt[[#This Row],[Start Date]]+ProposalToGnatt[[#This Row],[Days]]),$G$5,"")),"")</f>
        <v/>
      </c>
      <c r="AO28" s="36" t="str">
        <f ca="1">IFERROR(+IF(AO$27=ProposalToGnatt[[#This Row],[Start Date]],Milestone_Marker,IF(AND(AO$27&gt;ProposalToGnatt[[#This Row],[Start Date]],AO$27&lt;ProposalToGnatt[[#This Row],[Start Date]]+ProposalToGnatt[[#This Row],[Days]]),$G$5,"")),"")</f>
        <v/>
      </c>
      <c r="AP28" s="36" t="str">
        <f ca="1">IFERROR(+IF(AP$27=ProposalToGnatt[[#This Row],[Start Date]],Milestone_Marker,IF(AND(AP$27&gt;ProposalToGnatt[[#This Row],[Start Date]],AP$27&lt;ProposalToGnatt[[#This Row],[Start Date]]+ProposalToGnatt[[#This Row],[Days]]),$G$5,"")),"")</f>
        <v/>
      </c>
      <c r="AQ28" s="36" t="str">
        <f ca="1">IFERROR(+IF(AQ$27=ProposalToGnatt[[#This Row],[Start Date]],Milestone_Marker,IF(AND(AQ$27&gt;ProposalToGnatt[[#This Row],[Start Date]],AQ$27&lt;ProposalToGnatt[[#This Row],[Start Date]]+ProposalToGnatt[[#This Row],[Days]]),$G$5,"")),"")</f>
        <v/>
      </c>
      <c r="AR28" s="36" t="str">
        <f ca="1">IFERROR(+IF(AR$27=ProposalToGnatt[[#This Row],[Start Date]],Milestone_Marker,IF(AND(AR$27&gt;ProposalToGnatt[[#This Row],[Start Date]],AR$27&lt;ProposalToGnatt[[#This Row],[Start Date]]+ProposalToGnatt[[#This Row],[Days]]),$G$5,"")),"")</f>
        <v/>
      </c>
      <c r="AS28" s="36" t="str">
        <f ca="1">IFERROR(+IF(AS$27=ProposalToGnatt[[#This Row],[Start Date]],Milestone_Marker,IF(AND(AS$27&gt;ProposalToGnatt[[#This Row],[Start Date]],AS$27&lt;ProposalToGnatt[[#This Row],[Start Date]]+ProposalToGnatt[[#This Row],[Days]]),$G$5,"")),"")</f>
        <v/>
      </c>
      <c r="AT28" s="36" t="str">
        <f ca="1">IFERROR(+IF(AT$27=ProposalToGnatt[[#This Row],[Start Date]],Milestone_Marker,IF(AND(AT$27&gt;ProposalToGnatt[[#This Row],[Start Date]],AT$27&lt;ProposalToGnatt[[#This Row],[Start Date]]+ProposalToGnatt[[#This Row],[Days]]),$G$5,"")),"")</f>
        <v/>
      </c>
      <c r="AU28" s="36" t="str">
        <f ca="1">IFERROR(+IF(AU$27=ProposalToGnatt[[#This Row],[Start Date]],Milestone_Marker,IF(AND(AU$27&gt;ProposalToGnatt[[#This Row],[Start Date]],AU$27&lt;ProposalToGnatt[[#This Row],[Start Date]]+ProposalToGnatt[[#This Row],[Days]]),$G$5,"")),"")</f>
        <v/>
      </c>
      <c r="AV28" s="36" t="str">
        <f ca="1">IFERROR(+IF(AV$27=ProposalToGnatt[[#This Row],[Start Date]],Milestone_Marker,IF(AND(AV$27&gt;ProposalToGnatt[[#This Row],[Start Date]],AV$27&lt;ProposalToGnatt[[#This Row],[Start Date]]+ProposalToGnatt[[#This Row],[Days]]),$G$5,"")),"")</f>
        <v/>
      </c>
      <c r="AW28" s="36" t="str">
        <f ca="1">IFERROR(+IF(AW$27=ProposalToGnatt[[#This Row],[Start Date]],Milestone_Marker,IF(AND(AW$27&gt;ProposalToGnatt[[#This Row],[Start Date]],AW$27&lt;ProposalToGnatt[[#This Row],[Start Date]]+ProposalToGnatt[[#This Row],[Days]]),$G$5,"")),"")</f>
        <v/>
      </c>
      <c r="AX28" s="36" t="str">
        <f ca="1">IFERROR(+IF(AX$27=ProposalToGnatt[[#This Row],[Start Date]],Milestone_Marker,IF(AND(AX$27&gt;ProposalToGnatt[[#This Row],[Start Date]],AX$27&lt;ProposalToGnatt[[#This Row],[Start Date]]+ProposalToGnatt[[#This Row],[Days]]),$G$5,"")),"")</f>
        <v/>
      </c>
      <c r="AY28" s="36" t="str">
        <f ca="1">IFERROR(+IF(AY$27=ProposalToGnatt[[#This Row],[Start Date]],Milestone_Marker,IF(AND(AY$27&gt;ProposalToGnatt[[#This Row],[Start Date]],AY$27&lt;ProposalToGnatt[[#This Row],[Start Date]]+ProposalToGnatt[[#This Row],[Days]]),$G$5,"")),"")</f>
        <v/>
      </c>
      <c r="AZ28" s="36" t="str">
        <f ca="1">IFERROR(+IF(AZ$27=ProposalToGnatt[[#This Row],[Start Date]],Milestone_Marker,IF(AND(AZ$27&gt;ProposalToGnatt[[#This Row],[Start Date]],AZ$27&lt;ProposalToGnatt[[#This Row],[Start Date]]+ProposalToGnatt[[#This Row],[Days]]),$G$5,"")),"")</f>
        <v/>
      </c>
      <c r="BA28" s="36" t="str">
        <f ca="1">IFERROR(+IF(BA$27=ProposalToGnatt[[#This Row],[Start Date]],Milestone_Marker,IF(AND(BA$27&gt;ProposalToGnatt[[#This Row],[Start Date]],BA$27&lt;ProposalToGnatt[[#This Row],[Start Date]]+ProposalToGnatt[[#This Row],[Days]]),$G$5,"")),"")</f>
        <v/>
      </c>
      <c r="BB28" s="36" t="str">
        <f ca="1">IFERROR(+IF(BB$27=ProposalToGnatt[[#This Row],[Start Date]],Milestone_Marker,IF(AND(BB$27&gt;ProposalToGnatt[[#This Row],[Start Date]],BB$27&lt;ProposalToGnatt[[#This Row],[Start Date]]+ProposalToGnatt[[#This Row],[Days]]),$G$5,"")),"")</f>
        <v/>
      </c>
      <c r="BC28" s="36" t="str">
        <f ca="1">IFERROR(+IF(BC$27=ProposalToGnatt[[#This Row],[Start Date]],Milestone_Marker,IF(AND(BC$27&gt;ProposalToGnatt[[#This Row],[Start Date]],BC$27&lt;ProposalToGnatt[[#This Row],[Start Date]]+ProposalToGnatt[[#This Row],[Days]]),$G$5,"")),"")</f>
        <v/>
      </c>
      <c r="BD28" s="36" t="str">
        <f ca="1">IFERROR(+IF(BD$27=ProposalToGnatt[[#This Row],[Start Date]],Milestone_Marker,IF(AND(BD$27&gt;ProposalToGnatt[[#This Row],[Start Date]],BD$27&lt;ProposalToGnatt[[#This Row],[Start Date]]+ProposalToGnatt[[#This Row],[Days]]),$G$5,"")),"")</f>
        <v/>
      </c>
      <c r="BE28" s="36" t="str">
        <f ca="1">IFERROR(+IF(BE$27=ProposalToGnatt[[#This Row],[Start Date]],Milestone_Marker,IF(AND(BE$27&gt;ProposalToGnatt[[#This Row],[Start Date]],BE$27&lt;ProposalToGnatt[[#This Row],[Start Date]]+ProposalToGnatt[[#This Row],[Days]]),$G$5,"")),"")</f>
        <v/>
      </c>
      <c r="BF28" s="36" t="str">
        <f ca="1">IFERROR(+IF(BF$27=ProposalToGnatt[[#This Row],[Start Date]],Milestone_Marker,IF(AND(BF$27&gt;ProposalToGnatt[[#This Row],[Start Date]],BF$27&lt;ProposalToGnatt[[#This Row],[Start Date]]+ProposalToGnatt[[#This Row],[Days]]),$G$5,"")),"")</f>
        <v/>
      </c>
      <c r="BG28" s="36" t="str">
        <f ca="1">IFERROR(+IF(BG$27=ProposalToGnatt[[#This Row],[Start Date]],Milestone_Marker,IF(AND(BG$27&gt;ProposalToGnatt[[#This Row],[Start Date]],BG$27&lt;ProposalToGnatt[[#This Row],[Start Date]]+ProposalToGnatt[[#This Row],[Days]]),$G$5,"")),"")</f>
        <v/>
      </c>
      <c r="BH28" s="36" t="str">
        <f ca="1">IFERROR(+IF(BH$27=ProposalToGnatt[[#This Row],[Start Date]],Milestone_Marker,IF(AND(BH$27&gt;ProposalToGnatt[[#This Row],[Start Date]],BH$27&lt;ProposalToGnatt[[#This Row],[Start Date]]+ProposalToGnatt[[#This Row],[Days]]),$G$5,"")),"")</f>
        <v/>
      </c>
      <c r="BI28" s="36" t="str">
        <f ca="1">IFERROR(+IF(BI$27=ProposalToGnatt[[#This Row],[Start Date]],Milestone_Marker,IF(AND(BI$27&gt;ProposalToGnatt[[#This Row],[Start Date]],BI$27&lt;ProposalToGnatt[[#This Row],[Start Date]]+ProposalToGnatt[[#This Row],[Days]]),$G$5,"")),"")</f>
        <v/>
      </c>
      <c r="BJ28" s="36" t="str">
        <f ca="1">IFERROR(+IF(BJ$27=ProposalToGnatt[[#This Row],[Start Date]],Milestone_Marker,IF(AND(BJ$27&gt;ProposalToGnatt[[#This Row],[Start Date]],BJ$27&lt;ProposalToGnatt[[#This Row],[Start Date]]+ProposalToGnatt[[#This Row],[Days]]),$G$5,"")),"")</f>
        <v/>
      </c>
      <c r="BK28" s="36" t="str">
        <f ca="1">IFERROR(+IF(BK$27=ProposalToGnatt[[#This Row],[Start Date]],Milestone_Marker,IF(AND(BK$27&gt;ProposalToGnatt[[#This Row],[Start Date]],BK$27&lt;ProposalToGnatt[[#This Row],[Start Date]]+ProposalToGnatt[[#This Row],[Days]]),$G$5,"")),"")</f>
        <v/>
      </c>
      <c r="BL28" s="36" t="str">
        <f ca="1">IFERROR(+IF(BL$27=ProposalToGnatt[[#This Row],[Start Date]],Milestone_Marker,IF(AND(BL$27&gt;ProposalToGnatt[[#This Row],[Start Date]],BL$27&lt;ProposalToGnatt[[#This Row],[Start Date]]+ProposalToGnatt[[#This Row],[Days]]),$G$5,"")),"")</f>
        <v/>
      </c>
      <c r="BM28" s="36" t="str">
        <f ca="1">IFERROR(+IF(BM$27=ProposalToGnatt[[#This Row],[Start Date]],Milestone_Marker,IF(AND(BM$27&gt;ProposalToGnatt[[#This Row],[Start Date]],BM$27&lt;ProposalToGnatt[[#This Row],[Start Date]]+ProposalToGnatt[[#This Row],[Days]]),$G$5,"")),"")</f>
        <v/>
      </c>
      <c r="BN28" s="36" t="str">
        <f ca="1">IFERROR(+IF(BN$27=ProposalToGnatt[[#This Row],[Start Date]],Milestone_Marker,IF(AND(BN$27&gt;ProposalToGnatt[[#This Row],[Start Date]],BN$27&lt;ProposalToGnatt[[#This Row],[Start Date]]+ProposalToGnatt[[#This Row],[Days]]),$G$5,"")),"")</f>
        <v/>
      </c>
      <c r="BO28" s="36" t="str">
        <f ca="1">IFERROR(+IF(BO$27=ProposalToGnatt[[#This Row],[Start Date]],Milestone_Marker,IF(AND(BO$27&gt;ProposalToGnatt[[#This Row],[Start Date]],BO$27&lt;ProposalToGnatt[[#This Row],[Start Date]]+ProposalToGnatt[[#This Row],[Days]]),$G$5,"")),"")</f>
        <v/>
      </c>
      <c r="BP28" s="36" t="str">
        <f ca="1">IFERROR(+IF(BP$27=ProposalToGnatt[[#This Row],[Start Date]],Milestone_Marker,IF(AND(BP$27&gt;ProposalToGnatt[[#This Row],[Start Date]],BP$27&lt;ProposalToGnatt[[#This Row],[Start Date]]+ProposalToGnatt[[#This Row],[Days]]),$G$5,"")),"")</f>
        <v/>
      </c>
      <c r="BQ28" s="36" t="str">
        <f ca="1">IFERROR(+IF(BQ$27=ProposalToGnatt[[#This Row],[Start Date]],Milestone_Marker,IF(AND(BQ$27&gt;ProposalToGnatt[[#This Row],[Start Date]],BQ$27&lt;ProposalToGnatt[[#This Row],[Start Date]]+ProposalToGnatt[[#This Row],[Days]]),$G$5,"")),"")</f>
        <v/>
      </c>
      <c r="BR28" s="36" t="str">
        <f ca="1">IFERROR(+IF(BR$27=ProposalToGnatt[[#This Row],[Start Date]],Milestone_Marker,IF(AND(BR$27&gt;ProposalToGnatt[[#This Row],[Start Date]],BR$27&lt;ProposalToGnatt[[#This Row],[Start Date]]+ProposalToGnatt[[#This Row],[Days]]),$G$5,"")),"")</f>
        <v/>
      </c>
      <c r="BS28" s="36" t="str">
        <f ca="1">IFERROR(+IF(BS$27=ProposalToGnatt[[#This Row],[Start Date]],Milestone_Marker,IF(AND(BS$27&gt;ProposalToGnatt[[#This Row],[Start Date]],BS$27&lt;ProposalToGnatt[[#This Row],[Start Date]]+ProposalToGnatt[[#This Row],[Days]]),$G$5,"")),"")</f>
        <v/>
      </c>
      <c r="BT28" s="36" t="str">
        <f ca="1">IFERROR(+IF(BT$27=ProposalToGnatt[[#This Row],[Start Date]],Milestone_Marker,IF(AND(BT$27&gt;ProposalToGnatt[[#This Row],[Start Date]],BT$27&lt;ProposalToGnatt[[#This Row],[Start Date]]+ProposalToGnatt[[#This Row],[Days]]),$G$5,"")),"")</f>
        <v/>
      </c>
      <c r="BU28" s="36" t="str">
        <f ca="1">IFERROR(+IF(BU$27=ProposalToGnatt[[#This Row],[Start Date]],Milestone_Marker,IF(AND(BU$27&gt;ProposalToGnatt[[#This Row],[Start Date]],BU$27&lt;ProposalToGnatt[[#This Row],[Start Date]]+ProposalToGnatt[[#This Row],[Days]]),$G$5,"")),"")</f>
        <v/>
      </c>
      <c r="BV28" s="36" t="str">
        <f ca="1">IFERROR(+IF(BV$27=ProposalToGnatt[[#This Row],[Start Date]],Milestone_Marker,IF(AND(BV$27&gt;ProposalToGnatt[[#This Row],[Start Date]],BV$27&lt;ProposalToGnatt[[#This Row],[Start Date]]+ProposalToGnatt[[#This Row],[Days]]),$G$5,"")),"")</f>
        <v/>
      </c>
      <c r="BW28" s="36" t="str">
        <f ca="1">IFERROR(+IF(BW$27=ProposalToGnatt[[#This Row],[Start Date]],Milestone_Marker,IF(AND(BW$27&gt;ProposalToGnatt[[#This Row],[Start Date]],BW$27&lt;ProposalToGnatt[[#This Row],[Start Date]]+ProposalToGnatt[[#This Row],[Days]]),$G$5,"")),"")</f>
        <v/>
      </c>
      <c r="BX28" s="36" t="str">
        <f ca="1">IFERROR(+IF(BX$27=ProposalToGnatt[[#This Row],[Start Date]],Milestone_Marker,IF(AND(BX$27&gt;ProposalToGnatt[[#This Row],[Start Date]],BX$27&lt;ProposalToGnatt[[#This Row],[Start Date]]+ProposalToGnatt[[#This Row],[Days]]),$G$5,"")),"")</f>
        <v/>
      </c>
      <c r="BY28" s="36" t="str">
        <f ca="1">IFERROR(+IF(BY$27=ProposalToGnatt[[#This Row],[Start Date]],Milestone_Marker,IF(AND(BY$27&gt;ProposalToGnatt[[#This Row],[Start Date]],BY$27&lt;ProposalToGnatt[[#This Row],[Start Date]]+ProposalToGnatt[[#This Row],[Days]]),$G$5,"")),"")</f>
        <v/>
      </c>
      <c r="BZ28" s="36" t="str">
        <f ca="1">IFERROR(+IF(BZ$27=ProposalToGnatt[[#This Row],[Start Date]],Milestone_Marker,IF(AND(BZ$27&gt;ProposalToGnatt[[#This Row],[Start Date]],BZ$27&lt;ProposalToGnatt[[#This Row],[Start Date]]+ProposalToGnatt[[#This Row],[Days]]),$G$5,"")),"")</f>
        <v/>
      </c>
      <c r="CA28" s="36" t="str">
        <f ca="1">IFERROR(+IF(CA$27=ProposalToGnatt[[#This Row],[Start Date]],Milestone_Marker,IF(AND(CA$27&gt;ProposalToGnatt[[#This Row],[Start Date]],CA$27&lt;ProposalToGnatt[[#This Row],[Start Date]]+ProposalToGnatt[[#This Row],[Days]]),$G$5,"")),"")</f>
        <v/>
      </c>
      <c r="CB28" s="36" t="str">
        <f ca="1">IFERROR(+IF(CB$27=ProposalToGnatt[[#This Row],[Start Date]],Milestone_Marker,IF(AND(CB$27&gt;ProposalToGnatt[[#This Row],[Start Date]],CB$27&lt;ProposalToGnatt[[#This Row],[Start Date]]+ProposalToGnatt[[#This Row],[Days]]),$G$5,"")),"")</f>
        <v/>
      </c>
      <c r="CC28" s="36" t="str">
        <f ca="1">IFERROR(+IF(CC$27=ProposalToGnatt[[#This Row],[Start Date]],Milestone_Marker,IF(AND(CC$27&gt;ProposalToGnatt[[#This Row],[Start Date]],CC$27&lt;ProposalToGnatt[[#This Row],[Start Date]]+ProposalToGnatt[[#This Row],[Days]]),$G$5,"")),"")</f>
        <v/>
      </c>
      <c r="CD28" s="36" t="str">
        <f ca="1">IFERROR(+IF(CD$27=ProposalToGnatt[[#This Row],[Start Date]],Milestone_Marker,IF(AND(CD$27&gt;ProposalToGnatt[[#This Row],[Start Date]],CD$27&lt;ProposalToGnatt[[#This Row],[Start Date]]+ProposalToGnatt[[#This Row],[Days]]),$G$5,"")),"")</f>
        <v/>
      </c>
      <c r="CE28" s="36" t="str">
        <f ca="1">IFERROR(+IF(CE$27=ProposalToGnatt[[#This Row],[Start Date]],Milestone_Marker,IF(AND(CE$27&gt;ProposalToGnatt[[#This Row],[Start Date]],CE$27&lt;ProposalToGnatt[[#This Row],[Start Date]]+ProposalToGnatt[[#This Row],[Days]]),$G$5,"")),"")</f>
        <v/>
      </c>
      <c r="CF28" s="36" t="str">
        <f ca="1">IFERROR(+IF(CF$27=ProposalToGnatt[[#This Row],[Start Date]],Milestone_Marker,IF(AND(CF$27&gt;ProposalToGnatt[[#This Row],[Start Date]],CF$27&lt;ProposalToGnatt[[#This Row],[Start Date]]+ProposalToGnatt[[#This Row],[Days]]),$G$5,"")),"")</f>
        <v/>
      </c>
      <c r="CG28" s="36" t="str">
        <f ca="1">IFERROR(+IF(CG$27=ProposalToGnatt[[#This Row],[Start Date]],Milestone_Marker,IF(AND(CG$27&gt;ProposalToGnatt[[#This Row],[Start Date]],CG$27&lt;ProposalToGnatt[[#This Row],[Start Date]]+ProposalToGnatt[[#This Row],[Days]]),$G$5,"")),"")</f>
        <v/>
      </c>
      <c r="CH28" s="36" t="str">
        <f ca="1">IFERROR(+IF(CH$27=ProposalToGnatt[[#This Row],[Start Date]],Milestone_Marker,IF(AND(CH$27&gt;ProposalToGnatt[[#This Row],[Start Date]],CH$27&lt;ProposalToGnatt[[#This Row],[Start Date]]+ProposalToGnatt[[#This Row],[Days]]),$G$5,"")),"")</f>
        <v/>
      </c>
      <c r="CI28" s="36" t="str">
        <f ca="1">IFERROR(+IF(CI$27=ProposalToGnatt[[#This Row],[Start Date]],Milestone_Marker,IF(AND(CI$27&gt;ProposalToGnatt[[#This Row],[Start Date]],CI$27&lt;ProposalToGnatt[[#This Row],[Start Date]]+ProposalToGnatt[[#This Row],[Days]]),$G$5,"")),"")</f>
        <v/>
      </c>
      <c r="CJ28" s="36" t="str">
        <f ca="1">IFERROR(+IF(CJ$27=ProposalToGnatt[[#This Row],[Start Date]],Milestone_Marker,IF(AND(CJ$27&gt;ProposalToGnatt[[#This Row],[Start Date]],CJ$27&lt;ProposalToGnatt[[#This Row],[Start Date]]+ProposalToGnatt[[#This Row],[Days]]),$G$5,"")),"")</f>
        <v/>
      </c>
      <c r="CK28" s="36" t="str">
        <f ca="1">IFERROR(+IF(CK$27=ProposalToGnatt[[#This Row],[Start Date]],Milestone_Marker,IF(AND(CK$27&gt;ProposalToGnatt[[#This Row],[Start Date]],CK$27&lt;ProposalToGnatt[[#This Row],[Start Date]]+ProposalToGnatt[[#This Row],[Days]]),$G$5,"")),"")</f>
        <v/>
      </c>
      <c r="CL28" s="36" t="str">
        <f ca="1">IFERROR(+IF(CL$27=ProposalToGnatt[[#This Row],[Start Date]],Milestone_Marker,IF(AND(CL$27&gt;ProposalToGnatt[[#This Row],[Start Date]],CL$27&lt;ProposalToGnatt[[#This Row],[Start Date]]+ProposalToGnatt[[#This Row],[Days]]),$G$5,"")),"")</f>
        <v/>
      </c>
      <c r="CM28" s="36" t="str">
        <f ca="1">IFERROR(+IF(CM$27=ProposalToGnatt[[#This Row],[Start Date]],Milestone_Marker,IF(AND(CM$27&gt;ProposalToGnatt[[#This Row],[Start Date]],CM$27&lt;ProposalToGnatt[[#This Row],[Start Date]]+ProposalToGnatt[[#This Row],[Days]]),$G$5,"")),"")</f>
        <v/>
      </c>
      <c r="CN28" s="36" t="str">
        <f ca="1">IFERROR(+IF(CN$27=ProposalToGnatt[[#This Row],[Start Date]],Milestone_Marker,IF(AND(CN$27&gt;ProposalToGnatt[[#This Row],[Start Date]],CN$27&lt;ProposalToGnatt[[#This Row],[Start Date]]+ProposalToGnatt[[#This Row],[Days]]),$G$5,"")),"")</f>
        <v/>
      </c>
      <c r="CO28" s="36" t="str">
        <f ca="1">IFERROR(+IF(CO$27=ProposalToGnatt[[#This Row],[Start Date]],Milestone_Marker,IF(AND(CO$27&gt;ProposalToGnatt[[#This Row],[Start Date]],CO$27&lt;ProposalToGnatt[[#This Row],[Start Date]]+ProposalToGnatt[[#This Row],[Days]]),$G$5,"")),"")</f>
        <v/>
      </c>
      <c r="CP28" s="36" t="str">
        <f ca="1">IFERROR(+IF(CP$27=ProposalToGnatt[[#This Row],[Start Date]],Milestone_Marker,IF(AND(CP$27&gt;ProposalToGnatt[[#This Row],[Start Date]],CP$27&lt;ProposalToGnatt[[#This Row],[Start Date]]+ProposalToGnatt[[#This Row],[Days]]),$G$5,"")),"")</f>
        <v/>
      </c>
      <c r="CQ28" s="36" t="str">
        <f ca="1">IFERROR(+IF(CQ$27=ProposalToGnatt[[#This Row],[Start Date]],Milestone_Marker,IF(AND(CQ$27&gt;ProposalToGnatt[[#This Row],[Start Date]],CQ$27&lt;ProposalToGnatt[[#This Row],[Start Date]]+ProposalToGnatt[[#This Row],[Days]]),$G$5,"")),"")</f>
        <v/>
      </c>
      <c r="CR28" s="36" t="str">
        <f ca="1">IFERROR(+IF(CR$27=ProposalToGnatt[[#This Row],[Start Date]],Milestone_Marker,IF(AND(CR$27&gt;ProposalToGnatt[[#This Row],[Start Date]],CR$27&lt;ProposalToGnatt[[#This Row],[Start Date]]+ProposalToGnatt[[#This Row],[Days]]),$G$5,"")),"")</f>
        <v/>
      </c>
      <c r="CS28" s="36" t="str">
        <f ca="1">IFERROR(+IF(CS$27=ProposalToGnatt[[#This Row],[Start Date]],Milestone_Marker,IF(AND(CS$27&gt;ProposalToGnatt[[#This Row],[Start Date]],CS$27&lt;ProposalToGnatt[[#This Row],[Start Date]]+ProposalToGnatt[[#This Row],[Days]]),$G$5,"")),"")</f>
        <v/>
      </c>
      <c r="CT28" s="36" t="str">
        <f ca="1">IFERROR(+IF(CT$27=ProposalToGnatt[[#This Row],[Start Date]],Milestone_Marker,IF(AND(CT$27&gt;ProposalToGnatt[[#This Row],[Start Date]],CT$27&lt;ProposalToGnatt[[#This Row],[Start Date]]+ProposalToGnatt[[#This Row],[Days]]),$G$5,"")),"")</f>
        <v/>
      </c>
      <c r="CU28" s="36" t="str">
        <f ca="1">IFERROR(+IF(CU$27=ProposalToGnatt[[#This Row],[Start Date]],Milestone_Marker,IF(AND(CU$27&gt;ProposalToGnatt[[#This Row],[Start Date]],CU$27&lt;ProposalToGnatt[[#This Row],[Start Date]]+ProposalToGnatt[[#This Row],[Days]]),$G$5,"")),"")</f>
        <v/>
      </c>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row>
    <row r="29" spans="1:125" s="41" customFormat="1" ht="20.100000000000001" customHeight="1" x14ac:dyDescent="0.25">
      <c r="A29" t="s">
        <v>730</v>
      </c>
      <c r="B29">
        <v>2</v>
      </c>
      <c r="C29" t="s">
        <v>174</v>
      </c>
      <c r="D29" t="s">
        <v>692</v>
      </c>
      <c r="E29" t="s">
        <v>693</v>
      </c>
      <c r="F29">
        <v>3</v>
      </c>
      <c r="G29" s="14">
        <v>62.5</v>
      </c>
      <c r="H29" s="14">
        <v>187.5</v>
      </c>
      <c r="I29" t="s">
        <v>516</v>
      </c>
      <c r="J29">
        <v>4</v>
      </c>
      <c r="K29" s="261">
        <v>46034</v>
      </c>
      <c r="L29"/>
      <c r="M29" s="14">
        <v>187.5</v>
      </c>
      <c r="N29" s="309">
        <v>187.5</v>
      </c>
      <c r="O29" s="297"/>
      <c r="P29" s="36" t="str">
        <f ca="1">IFERROR(+IF(P$27=ProposalToGnatt[[#This Row],[Start Date]],Milestone_Marker,IF(AND(P$27&gt;ProposalToGnatt[[#This Row],[Start Date]],P$27&lt;ProposalToGnatt[[#This Row],[Start Date]]+ProposalToGnatt[[#This Row],[Days]]),$G$5,"")),"")</f>
        <v/>
      </c>
      <c r="Q29" s="36" t="str">
        <f ca="1">IFERROR(+IF(Q$27=ProposalToGnatt[[#This Row],[Start Date]],Milestone_Marker,IF(AND(Q$27&gt;ProposalToGnatt[[#This Row],[Start Date]],Q$27&lt;ProposalToGnatt[[#This Row],[Start Date]]+ProposalToGnatt[[#This Row],[Days]]),$G$5,"")),"")</f>
        <v/>
      </c>
      <c r="R29" s="36" t="str">
        <f ca="1">IFERROR(+IF(R$27=ProposalToGnatt[[#This Row],[Start Date]],Milestone_Marker,IF(AND(R$27&gt;ProposalToGnatt[[#This Row],[Start Date]],R$27&lt;ProposalToGnatt[[#This Row],[Start Date]]+ProposalToGnatt[[#This Row],[Days]]),$G$5,"")),"")</f>
        <v/>
      </c>
      <c r="S29" s="36" t="str">
        <f ca="1">IFERROR(+IF(S$27=ProposalToGnatt[[#This Row],[Start Date]],Milestone_Marker,IF(AND(S$27&gt;ProposalToGnatt[[#This Row],[Start Date]],S$27&lt;ProposalToGnatt[[#This Row],[Start Date]]+ProposalToGnatt[[#This Row],[Days]]),$G$5,"")),"")</f>
        <v/>
      </c>
      <c r="T29" s="36" t="str">
        <f ca="1">IFERROR(+IF(T$27=ProposalToGnatt[[#This Row],[Start Date]],Milestone_Marker,IF(AND(T$27&gt;ProposalToGnatt[[#This Row],[Start Date]],T$27&lt;ProposalToGnatt[[#This Row],[Start Date]]+ProposalToGnatt[[#This Row],[Days]]),$G$5,"")),"")</f>
        <v/>
      </c>
      <c r="U29" s="36" t="str">
        <f ca="1">IFERROR(+IF(U$27=ProposalToGnatt[[#This Row],[Start Date]],Milestone_Marker,IF(AND(U$27&gt;ProposalToGnatt[[#This Row],[Start Date]],U$27&lt;ProposalToGnatt[[#This Row],[Start Date]]+ProposalToGnatt[[#This Row],[Days]]),$G$5,"")),"")</f>
        <v/>
      </c>
      <c r="V29" s="36" t="str">
        <f ca="1">IFERROR(+IF(V$27=ProposalToGnatt[[#This Row],[Start Date]],Milestone_Marker,IF(AND(V$27&gt;ProposalToGnatt[[#This Row],[Start Date]],V$27&lt;ProposalToGnatt[[#This Row],[Start Date]]+ProposalToGnatt[[#This Row],[Days]]),$G$5,"")),"")</f>
        <v/>
      </c>
      <c r="W29" s="36" t="str">
        <f ca="1">IFERROR(+IF(W$27=ProposalToGnatt[[#This Row],[Start Date]],Milestone_Marker,IF(AND(W$27&gt;ProposalToGnatt[[#This Row],[Start Date]],W$27&lt;ProposalToGnatt[[#This Row],[Start Date]]+ProposalToGnatt[[#This Row],[Days]]),$G$5,"")),"")</f>
        <v/>
      </c>
      <c r="X29" s="36" t="str">
        <f ca="1">IFERROR(+IF(X$27=ProposalToGnatt[[#This Row],[Start Date]],Milestone_Marker,IF(AND(X$27&gt;ProposalToGnatt[[#This Row],[Start Date]],X$27&lt;ProposalToGnatt[[#This Row],[Start Date]]+ProposalToGnatt[[#This Row],[Days]]),$G$5,"")),"")</f>
        <v/>
      </c>
      <c r="Y29" s="36" t="str">
        <f ca="1">IFERROR(+IF(Y$27=ProposalToGnatt[[#This Row],[Start Date]],Milestone_Marker,IF(AND(Y$27&gt;ProposalToGnatt[[#This Row],[Start Date]],Y$27&lt;ProposalToGnatt[[#This Row],[Start Date]]+ProposalToGnatt[[#This Row],[Days]]),$G$5,"")),"")</f>
        <v/>
      </c>
      <c r="Z29" s="36" t="str">
        <f ca="1">IFERROR(+IF(Z$27=ProposalToGnatt[[#This Row],[Start Date]],Milestone_Marker,IF(AND(Z$27&gt;ProposalToGnatt[[#This Row],[Start Date]],Z$27&lt;ProposalToGnatt[[#This Row],[Start Date]]+ProposalToGnatt[[#This Row],[Days]]),$G$5,"")),"")</f>
        <v/>
      </c>
      <c r="AA29" s="36" t="str">
        <f ca="1">IFERROR(+IF(AA$27=ProposalToGnatt[[#This Row],[Start Date]],Milestone_Marker,IF(AND(AA$27&gt;ProposalToGnatt[[#This Row],[Start Date]],AA$27&lt;ProposalToGnatt[[#This Row],[Start Date]]+ProposalToGnatt[[#This Row],[Days]]),$G$5,"")),"")</f>
        <v/>
      </c>
      <c r="AB29" s="36" t="str">
        <f ca="1">IFERROR(+IF(AB$27=ProposalToGnatt[[#This Row],[Start Date]],Milestone_Marker,IF(AND(AB$27&gt;ProposalToGnatt[[#This Row],[Start Date]],AB$27&lt;ProposalToGnatt[[#This Row],[Start Date]]+ProposalToGnatt[[#This Row],[Days]]),$G$5,"")),"")</f>
        <v/>
      </c>
      <c r="AC29" s="36" t="str">
        <f ca="1">IFERROR(+IF(AC$27=ProposalToGnatt[[#This Row],[Start Date]],Milestone_Marker,IF(AND(AC$27&gt;ProposalToGnatt[[#This Row],[Start Date]],AC$27&lt;ProposalToGnatt[[#This Row],[Start Date]]+ProposalToGnatt[[#This Row],[Days]]),$G$5,"")),"")</f>
        <v/>
      </c>
      <c r="AD29" s="36" t="str">
        <f ca="1">IFERROR(+IF(AD$27=ProposalToGnatt[[#This Row],[Start Date]],Milestone_Marker,IF(AND(AD$27&gt;ProposalToGnatt[[#This Row],[Start Date]],AD$27&lt;ProposalToGnatt[[#This Row],[Start Date]]+ProposalToGnatt[[#This Row],[Days]]),$G$5,"")),"")</f>
        <v/>
      </c>
      <c r="AE29" s="36" t="str">
        <f ca="1">IFERROR(+IF(AE$27=ProposalToGnatt[[#This Row],[Start Date]],Milestone_Marker,IF(AND(AE$27&gt;ProposalToGnatt[[#This Row],[Start Date]],AE$27&lt;ProposalToGnatt[[#This Row],[Start Date]]+ProposalToGnatt[[#This Row],[Days]]),$G$5,"")),"")</f>
        <v/>
      </c>
      <c r="AF29" s="36" t="str">
        <f ca="1">IFERROR(+IF(AF$27=ProposalToGnatt[[#This Row],[Start Date]],Milestone_Marker,IF(AND(AF$27&gt;ProposalToGnatt[[#This Row],[Start Date]],AF$27&lt;ProposalToGnatt[[#This Row],[Start Date]]+ProposalToGnatt[[#This Row],[Days]]),$G$5,"")),"")</f>
        <v/>
      </c>
      <c r="AG29" s="36" t="str">
        <f ca="1">IFERROR(+IF(AG$27=ProposalToGnatt[[#This Row],[Start Date]],Milestone_Marker,IF(AND(AG$27&gt;ProposalToGnatt[[#This Row],[Start Date]],AG$27&lt;ProposalToGnatt[[#This Row],[Start Date]]+ProposalToGnatt[[#This Row],[Days]]),$G$5,"")),"")</f>
        <v/>
      </c>
      <c r="AH29" s="36" t="str">
        <f ca="1">IFERROR(+IF(AH$27=ProposalToGnatt[[#This Row],[Start Date]],Milestone_Marker,IF(AND(AH$27&gt;ProposalToGnatt[[#This Row],[Start Date]],AH$27&lt;ProposalToGnatt[[#This Row],[Start Date]]+ProposalToGnatt[[#This Row],[Days]]),$G$5,"")),"")</f>
        <v/>
      </c>
      <c r="AI29" s="36" t="str">
        <f ca="1">IFERROR(+IF(AI$27=ProposalToGnatt[[#This Row],[Start Date]],Milestone_Marker,IF(AND(AI$27&gt;ProposalToGnatt[[#This Row],[Start Date]],AI$27&lt;ProposalToGnatt[[#This Row],[Start Date]]+ProposalToGnatt[[#This Row],[Days]]),$G$5,"")),"")</f>
        <v/>
      </c>
      <c r="AJ29" s="36" t="str">
        <f ca="1">IFERROR(+IF(AJ$27=ProposalToGnatt[[#This Row],[Start Date]],Milestone_Marker,IF(AND(AJ$27&gt;ProposalToGnatt[[#This Row],[Start Date]],AJ$27&lt;ProposalToGnatt[[#This Row],[Start Date]]+ProposalToGnatt[[#This Row],[Days]]),$G$5,"")),"")</f>
        <v/>
      </c>
      <c r="AK29" s="36" t="str">
        <f ca="1">IFERROR(+IF(AK$27=ProposalToGnatt[[#This Row],[Start Date]],Milestone_Marker,IF(AND(AK$27&gt;ProposalToGnatt[[#This Row],[Start Date]],AK$27&lt;ProposalToGnatt[[#This Row],[Start Date]]+ProposalToGnatt[[#This Row],[Days]]),$G$5,"")),"")</f>
        <v/>
      </c>
      <c r="AL29" s="36" t="str">
        <f ca="1">IFERROR(+IF(AL$27=ProposalToGnatt[[#This Row],[Start Date]],Milestone_Marker,IF(AND(AL$27&gt;ProposalToGnatt[[#This Row],[Start Date]],AL$27&lt;ProposalToGnatt[[#This Row],[Start Date]]+ProposalToGnatt[[#This Row],[Days]]),$G$5,"")),"")</f>
        <v/>
      </c>
      <c r="AM29" s="36" t="str">
        <f ca="1">IFERROR(+IF(AM$27=ProposalToGnatt[[#This Row],[Start Date]],Milestone_Marker,IF(AND(AM$27&gt;ProposalToGnatt[[#This Row],[Start Date]],AM$27&lt;ProposalToGnatt[[#This Row],[Start Date]]+ProposalToGnatt[[#This Row],[Days]]),$G$5,"")),"")</f>
        <v/>
      </c>
      <c r="AN29" s="36" t="str">
        <f ca="1">IFERROR(+IF(AN$27=ProposalToGnatt[[#This Row],[Start Date]],Milestone_Marker,IF(AND(AN$27&gt;ProposalToGnatt[[#This Row],[Start Date]],AN$27&lt;ProposalToGnatt[[#This Row],[Start Date]]+ProposalToGnatt[[#This Row],[Days]]),$G$5,"")),"")</f>
        <v/>
      </c>
      <c r="AO29" s="36" t="str">
        <f ca="1">IFERROR(+IF(AO$27=ProposalToGnatt[[#This Row],[Start Date]],Milestone_Marker,IF(AND(AO$27&gt;ProposalToGnatt[[#This Row],[Start Date]],AO$27&lt;ProposalToGnatt[[#This Row],[Start Date]]+ProposalToGnatt[[#This Row],[Days]]),$G$5,"")),"")</f>
        <v/>
      </c>
      <c r="AP29" s="36" t="str">
        <f ca="1">IFERROR(+IF(AP$27=ProposalToGnatt[[#This Row],[Start Date]],Milestone_Marker,IF(AND(AP$27&gt;ProposalToGnatt[[#This Row],[Start Date]],AP$27&lt;ProposalToGnatt[[#This Row],[Start Date]]+ProposalToGnatt[[#This Row],[Days]]),$G$5,"")),"")</f>
        <v/>
      </c>
      <c r="AQ29" s="36" t="str">
        <f ca="1">IFERROR(+IF(AQ$27=ProposalToGnatt[[#This Row],[Start Date]],Milestone_Marker,IF(AND(AQ$27&gt;ProposalToGnatt[[#This Row],[Start Date]],AQ$27&lt;ProposalToGnatt[[#This Row],[Start Date]]+ProposalToGnatt[[#This Row],[Days]]),$G$5,"")),"")</f>
        <v/>
      </c>
      <c r="AR29" s="36" t="str">
        <f ca="1">IFERROR(+IF(AR$27=ProposalToGnatt[[#This Row],[Start Date]],Milestone_Marker,IF(AND(AR$27&gt;ProposalToGnatt[[#This Row],[Start Date]],AR$27&lt;ProposalToGnatt[[#This Row],[Start Date]]+ProposalToGnatt[[#This Row],[Days]]),$G$5,"")),"")</f>
        <v/>
      </c>
      <c r="AS29" s="36" t="str">
        <f ca="1">IFERROR(+IF(AS$27=ProposalToGnatt[[#This Row],[Start Date]],Milestone_Marker,IF(AND(AS$27&gt;ProposalToGnatt[[#This Row],[Start Date]],AS$27&lt;ProposalToGnatt[[#This Row],[Start Date]]+ProposalToGnatt[[#This Row],[Days]]),$G$5,"")),"")</f>
        <v/>
      </c>
      <c r="AT29" s="36" t="str">
        <f ca="1">IFERROR(+IF(AT$27=ProposalToGnatt[[#This Row],[Start Date]],Milestone_Marker,IF(AND(AT$27&gt;ProposalToGnatt[[#This Row],[Start Date]],AT$27&lt;ProposalToGnatt[[#This Row],[Start Date]]+ProposalToGnatt[[#This Row],[Days]]),$G$5,"")),"")</f>
        <v/>
      </c>
      <c r="AU29" s="36" t="str">
        <f ca="1">IFERROR(+IF(AU$27=ProposalToGnatt[[#This Row],[Start Date]],Milestone_Marker,IF(AND(AU$27&gt;ProposalToGnatt[[#This Row],[Start Date]],AU$27&lt;ProposalToGnatt[[#This Row],[Start Date]]+ProposalToGnatt[[#This Row],[Days]]),$G$5,"")),"")</f>
        <v/>
      </c>
      <c r="AV29" s="36" t="str">
        <f ca="1">IFERROR(+IF(AV$27=ProposalToGnatt[[#This Row],[Start Date]],Milestone_Marker,IF(AND(AV$27&gt;ProposalToGnatt[[#This Row],[Start Date]],AV$27&lt;ProposalToGnatt[[#This Row],[Start Date]]+ProposalToGnatt[[#This Row],[Days]]),$G$5,"")),"")</f>
        <v/>
      </c>
      <c r="AW29" s="36" t="str">
        <f ca="1">IFERROR(+IF(AW$27=ProposalToGnatt[[#This Row],[Start Date]],Milestone_Marker,IF(AND(AW$27&gt;ProposalToGnatt[[#This Row],[Start Date]],AW$27&lt;ProposalToGnatt[[#This Row],[Start Date]]+ProposalToGnatt[[#This Row],[Days]]),$G$5,"")),"")</f>
        <v/>
      </c>
      <c r="AX29" s="36" t="str">
        <f ca="1">IFERROR(+IF(AX$27=ProposalToGnatt[[#This Row],[Start Date]],Milestone_Marker,IF(AND(AX$27&gt;ProposalToGnatt[[#This Row],[Start Date]],AX$27&lt;ProposalToGnatt[[#This Row],[Start Date]]+ProposalToGnatt[[#This Row],[Days]]),$G$5,"")),"")</f>
        <v/>
      </c>
      <c r="AY29" s="36" t="str">
        <f ca="1">IFERROR(+IF(AY$27=ProposalToGnatt[[#This Row],[Start Date]],Milestone_Marker,IF(AND(AY$27&gt;ProposalToGnatt[[#This Row],[Start Date]],AY$27&lt;ProposalToGnatt[[#This Row],[Start Date]]+ProposalToGnatt[[#This Row],[Days]]),$G$5,"")),"")</f>
        <v/>
      </c>
      <c r="AZ29" s="36" t="str">
        <f ca="1">IFERROR(+IF(AZ$27=ProposalToGnatt[[#This Row],[Start Date]],Milestone_Marker,IF(AND(AZ$27&gt;ProposalToGnatt[[#This Row],[Start Date]],AZ$27&lt;ProposalToGnatt[[#This Row],[Start Date]]+ProposalToGnatt[[#This Row],[Days]]),$G$5,"")),"")</f>
        <v/>
      </c>
      <c r="BA29" s="36" t="str">
        <f ca="1">IFERROR(+IF(BA$27=ProposalToGnatt[[#This Row],[Start Date]],Milestone_Marker,IF(AND(BA$27&gt;ProposalToGnatt[[#This Row],[Start Date]],BA$27&lt;ProposalToGnatt[[#This Row],[Start Date]]+ProposalToGnatt[[#This Row],[Days]]),$G$5,"")),"")</f>
        <v/>
      </c>
      <c r="BB29" s="36" t="str">
        <f ca="1">IFERROR(+IF(BB$27=ProposalToGnatt[[#This Row],[Start Date]],Milestone_Marker,IF(AND(BB$27&gt;ProposalToGnatt[[#This Row],[Start Date]],BB$27&lt;ProposalToGnatt[[#This Row],[Start Date]]+ProposalToGnatt[[#This Row],[Days]]),$G$5,"")),"")</f>
        <v/>
      </c>
      <c r="BC29" s="36" t="str">
        <f ca="1">IFERROR(+IF(BC$27=ProposalToGnatt[[#This Row],[Start Date]],Milestone_Marker,IF(AND(BC$27&gt;ProposalToGnatt[[#This Row],[Start Date]],BC$27&lt;ProposalToGnatt[[#This Row],[Start Date]]+ProposalToGnatt[[#This Row],[Days]]),$G$5,"")),"")</f>
        <v/>
      </c>
      <c r="BD29" s="36" t="str">
        <f ca="1">IFERROR(+IF(BD$27=ProposalToGnatt[[#This Row],[Start Date]],Milestone_Marker,IF(AND(BD$27&gt;ProposalToGnatt[[#This Row],[Start Date]],BD$27&lt;ProposalToGnatt[[#This Row],[Start Date]]+ProposalToGnatt[[#This Row],[Days]]),$G$5,"")),"")</f>
        <v/>
      </c>
      <c r="BE29" s="36" t="str">
        <f ca="1">IFERROR(+IF(BE$27=ProposalToGnatt[[#This Row],[Start Date]],Milestone_Marker,IF(AND(BE$27&gt;ProposalToGnatt[[#This Row],[Start Date]],BE$27&lt;ProposalToGnatt[[#This Row],[Start Date]]+ProposalToGnatt[[#This Row],[Days]]),$G$5,"")),"")</f>
        <v/>
      </c>
      <c r="BF29" s="36" t="str">
        <f ca="1">IFERROR(+IF(BF$27=ProposalToGnatt[[#This Row],[Start Date]],Milestone_Marker,IF(AND(BF$27&gt;ProposalToGnatt[[#This Row],[Start Date]],BF$27&lt;ProposalToGnatt[[#This Row],[Start Date]]+ProposalToGnatt[[#This Row],[Days]]),$G$5,"")),"")</f>
        <v/>
      </c>
      <c r="BG29" s="36" t="str">
        <f ca="1">IFERROR(+IF(BG$27=ProposalToGnatt[[#This Row],[Start Date]],Milestone_Marker,IF(AND(BG$27&gt;ProposalToGnatt[[#This Row],[Start Date]],BG$27&lt;ProposalToGnatt[[#This Row],[Start Date]]+ProposalToGnatt[[#This Row],[Days]]),$G$5,"")),"")</f>
        <v/>
      </c>
      <c r="BH29" s="36" t="str">
        <f ca="1">IFERROR(+IF(BH$27=ProposalToGnatt[[#This Row],[Start Date]],Milestone_Marker,IF(AND(BH$27&gt;ProposalToGnatt[[#This Row],[Start Date]],BH$27&lt;ProposalToGnatt[[#This Row],[Start Date]]+ProposalToGnatt[[#This Row],[Days]]),$G$5,"")),"")</f>
        <v/>
      </c>
      <c r="BI29" s="36" t="str">
        <f ca="1">IFERROR(+IF(BI$27=ProposalToGnatt[[#This Row],[Start Date]],Milestone_Marker,IF(AND(BI$27&gt;ProposalToGnatt[[#This Row],[Start Date]],BI$27&lt;ProposalToGnatt[[#This Row],[Start Date]]+ProposalToGnatt[[#This Row],[Days]]),$G$5,"")),"")</f>
        <v/>
      </c>
      <c r="BJ29" s="36" t="str">
        <f ca="1">IFERROR(+IF(BJ$27=ProposalToGnatt[[#This Row],[Start Date]],Milestone_Marker,IF(AND(BJ$27&gt;ProposalToGnatt[[#This Row],[Start Date]],BJ$27&lt;ProposalToGnatt[[#This Row],[Start Date]]+ProposalToGnatt[[#This Row],[Days]]),$G$5,"")),"")</f>
        <v/>
      </c>
      <c r="BK29" s="36" t="str">
        <f ca="1">IFERROR(+IF(BK$27=ProposalToGnatt[[#This Row],[Start Date]],Milestone_Marker,IF(AND(BK$27&gt;ProposalToGnatt[[#This Row],[Start Date]],BK$27&lt;ProposalToGnatt[[#This Row],[Start Date]]+ProposalToGnatt[[#This Row],[Days]]),$G$5,"")),"")</f>
        <v/>
      </c>
      <c r="BL29" s="36" t="str">
        <f ca="1">IFERROR(+IF(BL$27=ProposalToGnatt[[#This Row],[Start Date]],Milestone_Marker,IF(AND(BL$27&gt;ProposalToGnatt[[#This Row],[Start Date]],BL$27&lt;ProposalToGnatt[[#This Row],[Start Date]]+ProposalToGnatt[[#This Row],[Days]]),$G$5,"")),"")</f>
        <v/>
      </c>
      <c r="BM29" s="36" t="str">
        <f ca="1">IFERROR(+IF(BM$27=ProposalToGnatt[[#This Row],[Start Date]],Milestone_Marker,IF(AND(BM$27&gt;ProposalToGnatt[[#This Row],[Start Date]],BM$27&lt;ProposalToGnatt[[#This Row],[Start Date]]+ProposalToGnatt[[#This Row],[Days]]),$G$5,"")),"")</f>
        <v/>
      </c>
      <c r="BN29" s="36" t="str">
        <f ca="1">IFERROR(+IF(BN$27=ProposalToGnatt[[#This Row],[Start Date]],Milestone_Marker,IF(AND(BN$27&gt;ProposalToGnatt[[#This Row],[Start Date]],BN$27&lt;ProposalToGnatt[[#This Row],[Start Date]]+ProposalToGnatt[[#This Row],[Days]]),$G$5,"")),"")</f>
        <v/>
      </c>
      <c r="BO29" s="36" t="str">
        <f ca="1">IFERROR(+IF(BO$27=ProposalToGnatt[[#This Row],[Start Date]],Milestone_Marker,IF(AND(BO$27&gt;ProposalToGnatt[[#This Row],[Start Date]],BO$27&lt;ProposalToGnatt[[#This Row],[Start Date]]+ProposalToGnatt[[#This Row],[Days]]),$G$5,"")),"")</f>
        <v/>
      </c>
      <c r="BP29" s="36" t="str">
        <f ca="1">IFERROR(+IF(BP$27=ProposalToGnatt[[#This Row],[Start Date]],Milestone_Marker,IF(AND(BP$27&gt;ProposalToGnatt[[#This Row],[Start Date]],BP$27&lt;ProposalToGnatt[[#This Row],[Start Date]]+ProposalToGnatt[[#This Row],[Days]]),$G$5,"")),"")</f>
        <v/>
      </c>
      <c r="BQ29" s="36" t="str">
        <f ca="1">IFERROR(+IF(BQ$27=ProposalToGnatt[[#This Row],[Start Date]],Milestone_Marker,IF(AND(BQ$27&gt;ProposalToGnatt[[#This Row],[Start Date]],BQ$27&lt;ProposalToGnatt[[#This Row],[Start Date]]+ProposalToGnatt[[#This Row],[Days]]),$G$5,"")),"")</f>
        <v/>
      </c>
      <c r="BR29" s="36" t="str">
        <f ca="1">IFERROR(+IF(BR$27=ProposalToGnatt[[#This Row],[Start Date]],Milestone_Marker,IF(AND(BR$27&gt;ProposalToGnatt[[#This Row],[Start Date]],BR$27&lt;ProposalToGnatt[[#This Row],[Start Date]]+ProposalToGnatt[[#This Row],[Days]]),$G$5,"")),"")</f>
        <v/>
      </c>
      <c r="BS29" s="36" t="str">
        <f ca="1">IFERROR(+IF(BS$27=ProposalToGnatt[[#This Row],[Start Date]],Milestone_Marker,IF(AND(BS$27&gt;ProposalToGnatt[[#This Row],[Start Date]],BS$27&lt;ProposalToGnatt[[#This Row],[Start Date]]+ProposalToGnatt[[#This Row],[Days]]),$G$5,"")),"")</f>
        <v/>
      </c>
      <c r="BT29" s="36" t="str">
        <f ca="1">IFERROR(+IF(BT$27=ProposalToGnatt[[#This Row],[Start Date]],Milestone_Marker,IF(AND(BT$27&gt;ProposalToGnatt[[#This Row],[Start Date]],BT$27&lt;ProposalToGnatt[[#This Row],[Start Date]]+ProposalToGnatt[[#This Row],[Days]]),$G$5,"")),"")</f>
        <v/>
      </c>
      <c r="BU29" s="36" t="str">
        <f ca="1">IFERROR(+IF(BU$27=ProposalToGnatt[[#This Row],[Start Date]],Milestone_Marker,IF(AND(BU$27&gt;ProposalToGnatt[[#This Row],[Start Date]],BU$27&lt;ProposalToGnatt[[#This Row],[Start Date]]+ProposalToGnatt[[#This Row],[Days]]),$G$5,"")),"")</f>
        <v/>
      </c>
      <c r="BV29" s="36" t="str">
        <f ca="1">IFERROR(+IF(BV$27=ProposalToGnatt[[#This Row],[Start Date]],Milestone_Marker,IF(AND(BV$27&gt;ProposalToGnatt[[#This Row],[Start Date]],BV$27&lt;ProposalToGnatt[[#This Row],[Start Date]]+ProposalToGnatt[[#This Row],[Days]]),$G$5,"")),"")</f>
        <v/>
      </c>
      <c r="BW29" s="36" t="str">
        <f ca="1">IFERROR(+IF(BW$27=ProposalToGnatt[[#This Row],[Start Date]],Milestone_Marker,IF(AND(BW$27&gt;ProposalToGnatt[[#This Row],[Start Date]],BW$27&lt;ProposalToGnatt[[#This Row],[Start Date]]+ProposalToGnatt[[#This Row],[Days]]),$G$5,"")),"")</f>
        <v/>
      </c>
      <c r="BX29" s="36" t="str">
        <f ca="1">IFERROR(+IF(BX$27=ProposalToGnatt[[#This Row],[Start Date]],Milestone_Marker,IF(AND(BX$27&gt;ProposalToGnatt[[#This Row],[Start Date]],BX$27&lt;ProposalToGnatt[[#This Row],[Start Date]]+ProposalToGnatt[[#This Row],[Days]]),$G$5,"")),"")</f>
        <v/>
      </c>
      <c r="BY29" s="36" t="str">
        <f ca="1">IFERROR(+IF(BY$27=ProposalToGnatt[[#This Row],[Start Date]],Milestone_Marker,IF(AND(BY$27&gt;ProposalToGnatt[[#This Row],[Start Date]],BY$27&lt;ProposalToGnatt[[#This Row],[Start Date]]+ProposalToGnatt[[#This Row],[Days]]),$G$5,"")),"")</f>
        <v/>
      </c>
      <c r="BZ29" s="36" t="str">
        <f ca="1">IFERROR(+IF(BZ$27=ProposalToGnatt[[#This Row],[Start Date]],Milestone_Marker,IF(AND(BZ$27&gt;ProposalToGnatt[[#This Row],[Start Date]],BZ$27&lt;ProposalToGnatt[[#This Row],[Start Date]]+ProposalToGnatt[[#This Row],[Days]]),$G$5,"")),"")</f>
        <v/>
      </c>
      <c r="CA29" s="36" t="str">
        <f ca="1">IFERROR(+IF(CA$27=ProposalToGnatt[[#This Row],[Start Date]],Milestone_Marker,IF(AND(CA$27&gt;ProposalToGnatt[[#This Row],[Start Date]],CA$27&lt;ProposalToGnatt[[#This Row],[Start Date]]+ProposalToGnatt[[#This Row],[Days]]),$G$5,"")),"")</f>
        <v/>
      </c>
      <c r="CB29" s="36" t="str">
        <f ca="1">IFERROR(+IF(CB$27=ProposalToGnatt[[#This Row],[Start Date]],Milestone_Marker,IF(AND(CB$27&gt;ProposalToGnatt[[#This Row],[Start Date]],CB$27&lt;ProposalToGnatt[[#This Row],[Start Date]]+ProposalToGnatt[[#This Row],[Days]]),$G$5,"")),"")</f>
        <v/>
      </c>
      <c r="CC29" s="36" t="str">
        <f ca="1">IFERROR(+IF(CC$27=ProposalToGnatt[[#This Row],[Start Date]],Milestone_Marker,IF(AND(CC$27&gt;ProposalToGnatt[[#This Row],[Start Date]],CC$27&lt;ProposalToGnatt[[#This Row],[Start Date]]+ProposalToGnatt[[#This Row],[Days]]),$G$5,"")),"")</f>
        <v/>
      </c>
      <c r="CD29" s="36" t="str">
        <f ca="1">IFERROR(+IF(CD$27=ProposalToGnatt[[#This Row],[Start Date]],Milestone_Marker,IF(AND(CD$27&gt;ProposalToGnatt[[#This Row],[Start Date]],CD$27&lt;ProposalToGnatt[[#This Row],[Start Date]]+ProposalToGnatt[[#This Row],[Days]]),$G$5,"")),"")</f>
        <v/>
      </c>
      <c r="CE29" s="36" t="str">
        <f ca="1">IFERROR(+IF(CE$27=ProposalToGnatt[[#This Row],[Start Date]],Milestone_Marker,IF(AND(CE$27&gt;ProposalToGnatt[[#This Row],[Start Date]],CE$27&lt;ProposalToGnatt[[#This Row],[Start Date]]+ProposalToGnatt[[#This Row],[Days]]),$G$5,"")),"")</f>
        <v/>
      </c>
      <c r="CF29" s="36" t="str">
        <f ca="1">IFERROR(+IF(CF$27=ProposalToGnatt[[#This Row],[Start Date]],Milestone_Marker,IF(AND(CF$27&gt;ProposalToGnatt[[#This Row],[Start Date]],CF$27&lt;ProposalToGnatt[[#This Row],[Start Date]]+ProposalToGnatt[[#This Row],[Days]]),$G$5,"")),"")</f>
        <v/>
      </c>
      <c r="CG29" s="36" t="str">
        <f ca="1">IFERROR(+IF(CG$27=ProposalToGnatt[[#This Row],[Start Date]],Milestone_Marker,IF(AND(CG$27&gt;ProposalToGnatt[[#This Row],[Start Date]],CG$27&lt;ProposalToGnatt[[#This Row],[Start Date]]+ProposalToGnatt[[#This Row],[Days]]),$G$5,"")),"")</f>
        <v/>
      </c>
      <c r="CH29" s="36" t="str">
        <f ca="1">IFERROR(+IF(CH$27=ProposalToGnatt[[#This Row],[Start Date]],Milestone_Marker,IF(AND(CH$27&gt;ProposalToGnatt[[#This Row],[Start Date]],CH$27&lt;ProposalToGnatt[[#This Row],[Start Date]]+ProposalToGnatt[[#This Row],[Days]]),$G$5,"")),"")</f>
        <v/>
      </c>
      <c r="CI29" s="36" t="str">
        <f ca="1">IFERROR(+IF(CI$27=ProposalToGnatt[[#This Row],[Start Date]],Milestone_Marker,IF(AND(CI$27&gt;ProposalToGnatt[[#This Row],[Start Date]],CI$27&lt;ProposalToGnatt[[#This Row],[Start Date]]+ProposalToGnatt[[#This Row],[Days]]),$G$5,"")),"")</f>
        <v/>
      </c>
      <c r="CJ29" s="36" t="str">
        <f ca="1">IFERROR(+IF(CJ$27=ProposalToGnatt[[#This Row],[Start Date]],Milestone_Marker,IF(AND(CJ$27&gt;ProposalToGnatt[[#This Row],[Start Date]],CJ$27&lt;ProposalToGnatt[[#This Row],[Start Date]]+ProposalToGnatt[[#This Row],[Days]]),$G$5,"")),"")</f>
        <v/>
      </c>
      <c r="CK29" s="36" t="str">
        <f ca="1">IFERROR(+IF(CK$27=ProposalToGnatt[[#This Row],[Start Date]],Milestone_Marker,IF(AND(CK$27&gt;ProposalToGnatt[[#This Row],[Start Date]],CK$27&lt;ProposalToGnatt[[#This Row],[Start Date]]+ProposalToGnatt[[#This Row],[Days]]),$G$5,"")),"")</f>
        <v/>
      </c>
      <c r="CL29" s="36" t="str">
        <f ca="1">IFERROR(+IF(CL$27=ProposalToGnatt[[#This Row],[Start Date]],Milestone_Marker,IF(AND(CL$27&gt;ProposalToGnatt[[#This Row],[Start Date]],CL$27&lt;ProposalToGnatt[[#This Row],[Start Date]]+ProposalToGnatt[[#This Row],[Days]]),$G$5,"")),"")</f>
        <v/>
      </c>
      <c r="CM29" s="36" t="str">
        <f ca="1">IFERROR(+IF(CM$27=ProposalToGnatt[[#This Row],[Start Date]],Milestone_Marker,IF(AND(CM$27&gt;ProposalToGnatt[[#This Row],[Start Date]],CM$27&lt;ProposalToGnatt[[#This Row],[Start Date]]+ProposalToGnatt[[#This Row],[Days]]),$G$5,"")),"")</f>
        <v/>
      </c>
      <c r="CN29" s="36" t="str">
        <f ca="1">IFERROR(+IF(CN$27=ProposalToGnatt[[#This Row],[Start Date]],Milestone_Marker,IF(AND(CN$27&gt;ProposalToGnatt[[#This Row],[Start Date]],CN$27&lt;ProposalToGnatt[[#This Row],[Start Date]]+ProposalToGnatt[[#This Row],[Days]]),$G$5,"")),"")</f>
        <v/>
      </c>
      <c r="CO29" s="36" t="str">
        <f ca="1">IFERROR(+IF(CO$27=ProposalToGnatt[[#This Row],[Start Date]],Milestone_Marker,IF(AND(CO$27&gt;ProposalToGnatt[[#This Row],[Start Date]],CO$27&lt;ProposalToGnatt[[#This Row],[Start Date]]+ProposalToGnatt[[#This Row],[Days]]),$G$5,"")),"")</f>
        <v/>
      </c>
      <c r="CP29" s="36" t="str">
        <f ca="1">IFERROR(+IF(CP$27=ProposalToGnatt[[#This Row],[Start Date]],Milestone_Marker,IF(AND(CP$27&gt;ProposalToGnatt[[#This Row],[Start Date]],CP$27&lt;ProposalToGnatt[[#This Row],[Start Date]]+ProposalToGnatt[[#This Row],[Days]]),$G$5,"")),"")</f>
        <v/>
      </c>
      <c r="CQ29" s="36" t="str">
        <f ca="1">IFERROR(+IF(CQ$27=ProposalToGnatt[[#This Row],[Start Date]],Milestone_Marker,IF(AND(CQ$27&gt;ProposalToGnatt[[#This Row],[Start Date]],CQ$27&lt;ProposalToGnatt[[#This Row],[Start Date]]+ProposalToGnatt[[#This Row],[Days]]),$G$5,"")),"")</f>
        <v/>
      </c>
      <c r="CR29" s="36" t="str">
        <f ca="1">IFERROR(+IF(CR$27=ProposalToGnatt[[#This Row],[Start Date]],Milestone_Marker,IF(AND(CR$27&gt;ProposalToGnatt[[#This Row],[Start Date]],CR$27&lt;ProposalToGnatt[[#This Row],[Start Date]]+ProposalToGnatt[[#This Row],[Days]]),$G$5,"")),"")</f>
        <v/>
      </c>
      <c r="CS29" s="36" t="str">
        <f ca="1">IFERROR(+IF(CS$27=ProposalToGnatt[[#This Row],[Start Date]],Milestone_Marker,IF(AND(CS$27&gt;ProposalToGnatt[[#This Row],[Start Date]],CS$27&lt;ProposalToGnatt[[#This Row],[Start Date]]+ProposalToGnatt[[#This Row],[Days]]),$G$5,"")),"")</f>
        <v/>
      </c>
      <c r="CT29" s="36" t="str">
        <f ca="1">IFERROR(+IF(CT$27=ProposalToGnatt[[#This Row],[Start Date]],Milestone_Marker,IF(AND(CT$27&gt;ProposalToGnatt[[#This Row],[Start Date]],CT$27&lt;ProposalToGnatt[[#This Row],[Start Date]]+ProposalToGnatt[[#This Row],[Days]]),$G$5,"")),"")</f>
        <v/>
      </c>
      <c r="CU29" s="36" t="str">
        <f ca="1">IFERROR(+IF(CU$27=ProposalToGnatt[[#This Row],[Start Date]],Milestone_Marker,IF(AND(CU$27&gt;ProposalToGnatt[[#This Row],[Start Date]],CU$27&lt;ProposalToGnatt[[#This Row],[Start Date]]+ProposalToGnatt[[#This Row],[Days]]),$G$5,"")),"")</f>
        <v/>
      </c>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row>
    <row r="30" spans="1:125" s="41" customFormat="1" ht="20.100000000000001" customHeight="1" x14ac:dyDescent="0.25">
      <c r="A30" t="s">
        <v>730</v>
      </c>
      <c r="B30">
        <v>5</v>
      </c>
      <c r="C30" t="s">
        <v>174</v>
      </c>
      <c r="D30" t="s">
        <v>692</v>
      </c>
      <c r="E30" t="s">
        <v>698</v>
      </c>
      <c r="F30">
        <v>1</v>
      </c>
      <c r="G30" s="14">
        <v>500</v>
      </c>
      <c r="H30" s="14">
        <v>500</v>
      </c>
      <c r="I30" t="s">
        <v>516</v>
      </c>
      <c r="J30">
        <v>4</v>
      </c>
      <c r="K30" s="261">
        <v>46034</v>
      </c>
      <c r="L30"/>
      <c r="M30" s="14">
        <v>500</v>
      </c>
      <c r="N30" s="309">
        <v>500</v>
      </c>
      <c r="O30" s="297"/>
      <c r="P30" s="36" t="str">
        <f ca="1">IFERROR(+IF(P$27=ProposalToGnatt[[#This Row],[Start Date]],Milestone_Marker,IF(AND(P$27&gt;ProposalToGnatt[[#This Row],[Start Date]],P$27&lt;ProposalToGnatt[[#This Row],[Start Date]]+ProposalToGnatt[[#This Row],[Days]]),$G$5,"")),"")</f>
        <v/>
      </c>
      <c r="Q30" s="36" t="str">
        <f ca="1">IFERROR(+IF(Q$27=ProposalToGnatt[[#This Row],[Start Date]],Milestone_Marker,IF(AND(Q$27&gt;ProposalToGnatt[[#This Row],[Start Date]],Q$27&lt;ProposalToGnatt[[#This Row],[Start Date]]+ProposalToGnatt[[#This Row],[Days]]),$G$5,"")),"")</f>
        <v/>
      </c>
      <c r="R30" s="36" t="str">
        <f ca="1">IFERROR(+IF(R$27=ProposalToGnatt[[#This Row],[Start Date]],Milestone_Marker,IF(AND(R$27&gt;ProposalToGnatt[[#This Row],[Start Date]],R$27&lt;ProposalToGnatt[[#This Row],[Start Date]]+ProposalToGnatt[[#This Row],[Days]]),$G$5,"")),"")</f>
        <v/>
      </c>
      <c r="S30" s="36" t="str">
        <f ca="1">IFERROR(+IF(S$27=ProposalToGnatt[[#This Row],[Start Date]],Milestone_Marker,IF(AND(S$27&gt;ProposalToGnatt[[#This Row],[Start Date]],S$27&lt;ProposalToGnatt[[#This Row],[Start Date]]+ProposalToGnatt[[#This Row],[Days]]),$G$5,"")),"")</f>
        <v/>
      </c>
      <c r="T30" s="36" t="str">
        <f ca="1">IFERROR(+IF(T$27=ProposalToGnatt[[#This Row],[Start Date]],Milestone_Marker,IF(AND(T$27&gt;ProposalToGnatt[[#This Row],[Start Date]],T$27&lt;ProposalToGnatt[[#This Row],[Start Date]]+ProposalToGnatt[[#This Row],[Days]]),$G$5,"")),"")</f>
        <v/>
      </c>
      <c r="U30" s="36" t="str">
        <f ca="1">IFERROR(+IF(U$27=ProposalToGnatt[[#This Row],[Start Date]],Milestone_Marker,IF(AND(U$27&gt;ProposalToGnatt[[#This Row],[Start Date]],U$27&lt;ProposalToGnatt[[#This Row],[Start Date]]+ProposalToGnatt[[#This Row],[Days]]),$G$5,"")),"")</f>
        <v/>
      </c>
      <c r="V30" s="36" t="str">
        <f ca="1">IFERROR(+IF(V$27=ProposalToGnatt[[#This Row],[Start Date]],Milestone_Marker,IF(AND(V$27&gt;ProposalToGnatt[[#This Row],[Start Date]],V$27&lt;ProposalToGnatt[[#This Row],[Start Date]]+ProposalToGnatt[[#This Row],[Days]]),$G$5,"")),"")</f>
        <v/>
      </c>
      <c r="W30" s="36" t="str">
        <f ca="1">IFERROR(+IF(W$27=ProposalToGnatt[[#This Row],[Start Date]],Milestone_Marker,IF(AND(W$27&gt;ProposalToGnatt[[#This Row],[Start Date]],W$27&lt;ProposalToGnatt[[#This Row],[Start Date]]+ProposalToGnatt[[#This Row],[Days]]),$G$5,"")),"")</f>
        <v/>
      </c>
      <c r="X30" s="36" t="str">
        <f ca="1">IFERROR(+IF(X$27=ProposalToGnatt[[#This Row],[Start Date]],Milestone_Marker,IF(AND(X$27&gt;ProposalToGnatt[[#This Row],[Start Date]],X$27&lt;ProposalToGnatt[[#This Row],[Start Date]]+ProposalToGnatt[[#This Row],[Days]]),$G$5,"")),"")</f>
        <v/>
      </c>
      <c r="Y30" s="36" t="str">
        <f ca="1">IFERROR(+IF(Y$27=ProposalToGnatt[[#This Row],[Start Date]],Milestone_Marker,IF(AND(Y$27&gt;ProposalToGnatt[[#This Row],[Start Date]],Y$27&lt;ProposalToGnatt[[#This Row],[Start Date]]+ProposalToGnatt[[#This Row],[Days]]),$G$5,"")),"")</f>
        <v/>
      </c>
      <c r="Z30" s="36" t="str">
        <f ca="1">IFERROR(+IF(Z$27=ProposalToGnatt[[#This Row],[Start Date]],Milestone_Marker,IF(AND(Z$27&gt;ProposalToGnatt[[#This Row],[Start Date]],Z$27&lt;ProposalToGnatt[[#This Row],[Start Date]]+ProposalToGnatt[[#This Row],[Days]]),$G$5,"")),"")</f>
        <v/>
      </c>
      <c r="AA30" s="36" t="str">
        <f ca="1">IFERROR(+IF(AA$27=ProposalToGnatt[[#This Row],[Start Date]],Milestone_Marker,IF(AND(AA$27&gt;ProposalToGnatt[[#This Row],[Start Date]],AA$27&lt;ProposalToGnatt[[#This Row],[Start Date]]+ProposalToGnatt[[#This Row],[Days]]),$G$5,"")),"")</f>
        <v/>
      </c>
      <c r="AB30" s="36" t="str">
        <f ca="1">IFERROR(+IF(AB$27=ProposalToGnatt[[#This Row],[Start Date]],Milestone_Marker,IF(AND(AB$27&gt;ProposalToGnatt[[#This Row],[Start Date]],AB$27&lt;ProposalToGnatt[[#This Row],[Start Date]]+ProposalToGnatt[[#This Row],[Days]]),$G$5,"")),"")</f>
        <v/>
      </c>
      <c r="AC30" s="36" t="str">
        <f ca="1">IFERROR(+IF(AC$27=ProposalToGnatt[[#This Row],[Start Date]],Milestone_Marker,IF(AND(AC$27&gt;ProposalToGnatt[[#This Row],[Start Date]],AC$27&lt;ProposalToGnatt[[#This Row],[Start Date]]+ProposalToGnatt[[#This Row],[Days]]),$G$5,"")),"")</f>
        <v/>
      </c>
      <c r="AD30" s="36" t="str">
        <f ca="1">IFERROR(+IF(AD$27=ProposalToGnatt[[#This Row],[Start Date]],Milestone_Marker,IF(AND(AD$27&gt;ProposalToGnatt[[#This Row],[Start Date]],AD$27&lt;ProposalToGnatt[[#This Row],[Start Date]]+ProposalToGnatt[[#This Row],[Days]]),$G$5,"")),"")</f>
        <v/>
      </c>
      <c r="AE30" s="36" t="str">
        <f ca="1">IFERROR(+IF(AE$27=ProposalToGnatt[[#This Row],[Start Date]],Milestone_Marker,IF(AND(AE$27&gt;ProposalToGnatt[[#This Row],[Start Date]],AE$27&lt;ProposalToGnatt[[#This Row],[Start Date]]+ProposalToGnatt[[#This Row],[Days]]),$G$5,"")),"")</f>
        <v/>
      </c>
      <c r="AF30" s="36" t="str">
        <f ca="1">IFERROR(+IF(AF$27=ProposalToGnatt[[#This Row],[Start Date]],Milestone_Marker,IF(AND(AF$27&gt;ProposalToGnatt[[#This Row],[Start Date]],AF$27&lt;ProposalToGnatt[[#This Row],[Start Date]]+ProposalToGnatt[[#This Row],[Days]]),$G$5,"")),"")</f>
        <v/>
      </c>
      <c r="AG30" s="36" t="str">
        <f ca="1">IFERROR(+IF(AG$27=ProposalToGnatt[[#This Row],[Start Date]],Milestone_Marker,IF(AND(AG$27&gt;ProposalToGnatt[[#This Row],[Start Date]],AG$27&lt;ProposalToGnatt[[#This Row],[Start Date]]+ProposalToGnatt[[#This Row],[Days]]),$G$5,"")),"")</f>
        <v/>
      </c>
      <c r="AH30" s="36" t="str">
        <f ca="1">IFERROR(+IF(AH$27=ProposalToGnatt[[#This Row],[Start Date]],Milestone_Marker,IF(AND(AH$27&gt;ProposalToGnatt[[#This Row],[Start Date]],AH$27&lt;ProposalToGnatt[[#This Row],[Start Date]]+ProposalToGnatt[[#This Row],[Days]]),$G$5,"")),"")</f>
        <v/>
      </c>
      <c r="AI30" s="36" t="str">
        <f ca="1">IFERROR(+IF(AI$27=ProposalToGnatt[[#This Row],[Start Date]],Milestone_Marker,IF(AND(AI$27&gt;ProposalToGnatt[[#This Row],[Start Date]],AI$27&lt;ProposalToGnatt[[#This Row],[Start Date]]+ProposalToGnatt[[#This Row],[Days]]),$G$5,"")),"")</f>
        <v/>
      </c>
      <c r="AJ30" s="36" t="str">
        <f ca="1">IFERROR(+IF(AJ$27=ProposalToGnatt[[#This Row],[Start Date]],Milestone_Marker,IF(AND(AJ$27&gt;ProposalToGnatt[[#This Row],[Start Date]],AJ$27&lt;ProposalToGnatt[[#This Row],[Start Date]]+ProposalToGnatt[[#This Row],[Days]]),$G$5,"")),"")</f>
        <v/>
      </c>
      <c r="AK30" s="36" t="str">
        <f ca="1">IFERROR(+IF(AK$27=ProposalToGnatt[[#This Row],[Start Date]],Milestone_Marker,IF(AND(AK$27&gt;ProposalToGnatt[[#This Row],[Start Date]],AK$27&lt;ProposalToGnatt[[#This Row],[Start Date]]+ProposalToGnatt[[#This Row],[Days]]),$G$5,"")),"")</f>
        <v/>
      </c>
      <c r="AL30" s="36" t="str">
        <f ca="1">IFERROR(+IF(AL$27=ProposalToGnatt[[#This Row],[Start Date]],Milestone_Marker,IF(AND(AL$27&gt;ProposalToGnatt[[#This Row],[Start Date]],AL$27&lt;ProposalToGnatt[[#This Row],[Start Date]]+ProposalToGnatt[[#This Row],[Days]]),$G$5,"")),"")</f>
        <v/>
      </c>
      <c r="AM30" s="36" t="str">
        <f ca="1">IFERROR(+IF(AM$27=ProposalToGnatt[[#This Row],[Start Date]],Milestone_Marker,IF(AND(AM$27&gt;ProposalToGnatt[[#This Row],[Start Date]],AM$27&lt;ProposalToGnatt[[#This Row],[Start Date]]+ProposalToGnatt[[#This Row],[Days]]),$G$5,"")),"")</f>
        <v/>
      </c>
      <c r="AN30" s="36" t="str">
        <f ca="1">IFERROR(+IF(AN$27=ProposalToGnatt[[#This Row],[Start Date]],Milestone_Marker,IF(AND(AN$27&gt;ProposalToGnatt[[#This Row],[Start Date]],AN$27&lt;ProposalToGnatt[[#This Row],[Start Date]]+ProposalToGnatt[[#This Row],[Days]]),$G$5,"")),"")</f>
        <v/>
      </c>
      <c r="AO30" s="36" t="str">
        <f ca="1">IFERROR(+IF(AO$27=ProposalToGnatt[[#This Row],[Start Date]],Milestone_Marker,IF(AND(AO$27&gt;ProposalToGnatt[[#This Row],[Start Date]],AO$27&lt;ProposalToGnatt[[#This Row],[Start Date]]+ProposalToGnatt[[#This Row],[Days]]),$G$5,"")),"")</f>
        <v/>
      </c>
      <c r="AP30" s="36" t="str">
        <f ca="1">IFERROR(+IF(AP$27=ProposalToGnatt[[#This Row],[Start Date]],Milestone_Marker,IF(AND(AP$27&gt;ProposalToGnatt[[#This Row],[Start Date]],AP$27&lt;ProposalToGnatt[[#This Row],[Start Date]]+ProposalToGnatt[[#This Row],[Days]]),$G$5,"")),"")</f>
        <v/>
      </c>
      <c r="AQ30" s="36" t="str">
        <f ca="1">IFERROR(+IF(AQ$27=ProposalToGnatt[[#This Row],[Start Date]],Milestone_Marker,IF(AND(AQ$27&gt;ProposalToGnatt[[#This Row],[Start Date]],AQ$27&lt;ProposalToGnatt[[#This Row],[Start Date]]+ProposalToGnatt[[#This Row],[Days]]),$G$5,"")),"")</f>
        <v/>
      </c>
      <c r="AR30" s="36" t="str">
        <f ca="1">IFERROR(+IF(AR$27=ProposalToGnatt[[#This Row],[Start Date]],Milestone_Marker,IF(AND(AR$27&gt;ProposalToGnatt[[#This Row],[Start Date]],AR$27&lt;ProposalToGnatt[[#This Row],[Start Date]]+ProposalToGnatt[[#This Row],[Days]]),$G$5,"")),"")</f>
        <v/>
      </c>
      <c r="AS30" s="36" t="str">
        <f ca="1">IFERROR(+IF(AS$27=ProposalToGnatt[[#This Row],[Start Date]],Milestone_Marker,IF(AND(AS$27&gt;ProposalToGnatt[[#This Row],[Start Date]],AS$27&lt;ProposalToGnatt[[#This Row],[Start Date]]+ProposalToGnatt[[#This Row],[Days]]),$G$5,"")),"")</f>
        <v/>
      </c>
      <c r="AT30" s="36" t="str">
        <f ca="1">IFERROR(+IF(AT$27=ProposalToGnatt[[#This Row],[Start Date]],Milestone_Marker,IF(AND(AT$27&gt;ProposalToGnatt[[#This Row],[Start Date]],AT$27&lt;ProposalToGnatt[[#This Row],[Start Date]]+ProposalToGnatt[[#This Row],[Days]]),$G$5,"")),"")</f>
        <v/>
      </c>
      <c r="AU30" s="36" t="str">
        <f ca="1">IFERROR(+IF(AU$27=ProposalToGnatt[[#This Row],[Start Date]],Milestone_Marker,IF(AND(AU$27&gt;ProposalToGnatt[[#This Row],[Start Date]],AU$27&lt;ProposalToGnatt[[#This Row],[Start Date]]+ProposalToGnatt[[#This Row],[Days]]),$G$5,"")),"")</f>
        <v/>
      </c>
      <c r="AV30" s="36" t="str">
        <f ca="1">IFERROR(+IF(AV$27=ProposalToGnatt[[#This Row],[Start Date]],Milestone_Marker,IF(AND(AV$27&gt;ProposalToGnatt[[#This Row],[Start Date]],AV$27&lt;ProposalToGnatt[[#This Row],[Start Date]]+ProposalToGnatt[[#This Row],[Days]]),$G$5,"")),"")</f>
        <v/>
      </c>
      <c r="AW30" s="36" t="str">
        <f ca="1">IFERROR(+IF(AW$27=ProposalToGnatt[[#This Row],[Start Date]],Milestone_Marker,IF(AND(AW$27&gt;ProposalToGnatt[[#This Row],[Start Date]],AW$27&lt;ProposalToGnatt[[#This Row],[Start Date]]+ProposalToGnatt[[#This Row],[Days]]),$G$5,"")),"")</f>
        <v/>
      </c>
      <c r="AX30" s="36" t="str">
        <f ca="1">IFERROR(+IF(AX$27=ProposalToGnatt[[#This Row],[Start Date]],Milestone_Marker,IF(AND(AX$27&gt;ProposalToGnatt[[#This Row],[Start Date]],AX$27&lt;ProposalToGnatt[[#This Row],[Start Date]]+ProposalToGnatt[[#This Row],[Days]]),$G$5,"")),"")</f>
        <v/>
      </c>
      <c r="AY30" s="36" t="str">
        <f ca="1">IFERROR(+IF(AY$27=ProposalToGnatt[[#This Row],[Start Date]],Milestone_Marker,IF(AND(AY$27&gt;ProposalToGnatt[[#This Row],[Start Date]],AY$27&lt;ProposalToGnatt[[#This Row],[Start Date]]+ProposalToGnatt[[#This Row],[Days]]),$G$5,"")),"")</f>
        <v/>
      </c>
      <c r="AZ30" s="36" t="str">
        <f ca="1">IFERROR(+IF(AZ$27=ProposalToGnatt[[#This Row],[Start Date]],Milestone_Marker,IF(AND(AZ$27&gt;ProposalToGnatt[[#This Row],[Start Date]],AZ$27&lt;ProposalToGnatt[[#This Row],[Start Date]]+ProposalToGnatt[[#This Row],[Days]]),$G$5,"")),"")</f>
        <v/>
      </c>
      <c r="BA30" s="36" t="str">
        <f ca="1">IFERROR(+IF(BA$27=ProposalToGnatt[[#This Row],[Start Date]],Milestone_Marker,IF(AND(BA$27&gt;ProposalToGnatt[[#This Row],[Start Date]],BA$27&lt;ProposalToGnatt[[#This Row],[Start Date]]+ProposalToGnatt[[#This Row],[Days]]),$G$5,"")),"")</f>
        <v/>
      </c>
      <c r="BB30" s="36" t="str">
        <f ca="1">IFERROR(+IF(BB$27=ProposalToGnatt[[#This Row],[Start Date]],Milestone_Marker,IF(AND(BB$27&gt;ProposalToGnatt[[#This Row],[Start Date]],BB$27&lt;ProposalToGnatt[[#This Row],[Start Date]]+ProposalToGnatt[[#This Row],[Days]]),$G$5,"")),"")</f>
        <v/>
      </c>
      <c r="BC30" s="36" t="str">
        <f ca="1">IFERROR(+IF(BC$27=ProposalToGnatt[[#This Row],[Start Date]],Milestone_Marker,IF(AND(BC$27&gt;ProposalToGnatt[[#This Row],[Start Date]],BC$27&lt;ProposalToGnatt[[#This Row],[Start Date]]+ProposalToGnatt[[#This Row],[Days]]),$G$5,"")),"")</f>
        <v/>
      </c>
      <c r="BD30" s="36" t="str">
        <f ca="1">IFERROR(+IF(BD$27=ProposalToGnatt[[#This Row],[Start Date]],Milestone_Marker,IF(AND(BD$27&gt;ProposalToGnatt[[#This Row],[Start Date]],BD$27&lt;ProposalToGnatt[[#This Row],[Start Date]]+ProposalToGnatt[[#This Row],[Days]]),$G$5,"")),"")</f>
        <v/>
      </c>
      <c r="BE30" s="36" t="str">
        <f ca="1">IFERROR(+IF(BE$27=ProposalToGnatt[[#This Row],[Start Date]],Milestone_Marker,IF(AND(BE$27&gt;ProposalToGnatt[[#This Row],[Start Date]],BE$27&lt;ProposalToGnatt[[#This Row],[Start Date]]+ProposalToGnatt[[#This Row],[Days]]),$G$5,"")),"")</f>
        <v/>
      </c>
      <c r="BF30" s="36" t="str">
        <f ca="1">IFERROR(+IF(BF$27=ProposalToGnatt[[#This Row],[Start Date]],Milestone_Marker,IF(AND(BF$27&gt;ProposalToGnatt[[#This Row],[Start Date]],BF$27&lt;ProposalToGnatt[[#This Row],[Start Date]]+ProposalToGnatt[[#This Row],[Days]]),$G$5,"")),"")</f>
        <v/>
      </c>
      <c r="BG30" s="36" t="str">
        <f ca="1">IFERROR(+IF(BG$27=ProposalToGnatt[[#This Row],[Start Date]],Milestone_Marker,IF(AND(BG$27&gt;ProposalToGnatt[[#This Row],[Start Date]],BG$27&lt;ProposalToGnatt[[#This Row],[Start Date]]+ProposalToGnatt[[#This Row],[Days]]),$G$5,"")),"")</f>
        <v/>
      </c>
      <c r="BH30" s="36" t="str">
        <f ca="1">IFERROR(+IF(BH$27=ProposalToGnatt[[#This Row],[Start Date]],Milestone_Marker,IF(AND(BH$27&gt;ProposalToGnatt[[#This Row],[Start Date]],BH$27&lt;ProposalToGnatt[[#This Row],[Start Date]]+ProposalToGnatt[[#This Row],[Days]]),$G$5,"")),"")</f>
        <v/>
      </c>
      <c r="BI30" s="36" t="str">
        <f ca="1">IFERROR(+IF(BI$27=ProposalToGnatt[[#This Row],[Start Date]],Milestone_Marker,IF(AND(BI$27&gt;ProposalToGnatt[[#This Row],[Start Date]],BI$27&lt;ProposalToGnatt[[#This Row],[Start Date]]+ProposalToGnatt[[#This Row],[Days]]),$G$5,"")),"")</f>
        <v/>
      </c>
      <c r="BJ30" s="36" t="str">
        <f ca="1">IFERROR(+IF(BJ$27=ProposalToGnatt[[#This Row],[Start Date]],Milestone_Marker,IF(AND(BJ$27&gt;ProposalToGnatt[[#This Row],[Start Date]],BJ$27&lt;ProposalToGnatt[[#This Row],[Start Date]]+ProposalToGnatt[[#This Row],[Days]]),$G$5,"")),"")</f>
        <v/>
      </c>
      <c r="BK30" s="36" t="str">
        <f ca="1">IFERROR(+IF(BK$27=ProposalToGnatt[[#This Row],[Start Date]],Milestone_Marker,IF(AND(BK$27&gt;ProposalToGnatt[[#This Row],[Start Date]],BK$27&lt;ProposalToGnatt[[#This Row],[Start Date]]+ProposalToGnatt[[#This Row],[Days]]),$G$5,"")),"")</f>
        <v/>
      </c>
      <c r="BL30" s="36" t="str">
        <f ca="1">IFERROR(+IF(BL$27=ProposalToGnatt[[#This Row],[Start Date]],Milestone_Marker,IF(AND(BL$27&gt;ProposalToGnatt[[#This Row],[Start Date]],BL$27&lt;ProposalToGnatt[[#This Row],[Start Date]]+ProposalToGnatt[[#This Row],[Days]]),$G$5,"")),"")</f>
        <v/>
      </c>
      <c r="BM30" s="36" t="str">
        <f ca="1">IFERROR(+IF(BM$27=ProposalToGnatt[[#This Row],[Start Date]],Milestone_Marker,IF(AND(BM$27&gt;ProposalToGnatt[[#This Row],[Start Date]],BM$27&lt;ProposalToGnatt[[#This Row],[Start Date]]+ProposalToGnatt[[#This Row],[Days]]),$G$5,"")),"")</f>
        <v/>
      </c>
      <c r="BN30" s="36" t="str">
        <f ca="1">IFERROR(+IF(BN$27=ProposalToGnatt[[#This Row],[Start Date]],Milestone_Marker,IF(AND(BN$27&gt;ProposalToGnatt[[#This Row],[Start Date]],BN$27&lt;ProposalToGnatt[[#This Row],[Start Date]]+ProposalToGnatt[[#This Row],[Days]]),$G$5,"")),"")</f>
        <v/>
      </c>
      <c r="BO30" s="36" t="str">
        <f ca="1">IFERROR(+IF(BO$27=ProposalToGnatt[[#This Row],[Start Date]],Milestone_Marker,IF(AND(BO$27&gt;ProposalToGnatt[[#This Row],[Start Date]],BO$27&lt;ProposalToGnatt[[#This Row],[Start Date]]+ProposalToGnatt[[#This Row],[Days]]),$G$5,"")),"")</f>
        <v/>
      </c>
      <c r="BP30" s="36" t="str">
        <f ca="1">IFERROR(+IF(BP$27=ProposalToGnatt[[#This Row],[Start Date]],Milestone_Marker,IF(AND(BP$27&gt;ProposalToGnatt[[#This Row],[Start Date]],BP$27&lt;ProposalToGnatt[[#This Row],[Start Date]]+ProposalToGnatt[[#This Row],[Days]]),$G$5,"")),"")</f>
        <v/>
      </c>
      <c r="BQ30" s="36" t="str">
        <f ca="1">IFERROR(+IF(BQ$27=ProposalToGnatt[[#This Row],[Start Date]],Milestone_Marker,IF(AND(BQ$27&gt;ProposalToGnatt[[#This Row],[Start Date]],BQ$27&lt;ProposalToGnatt[[#This Row],[Start Date]]+ProposalToGnatt[[#This Row],[Days]]),$G$5,"")),"")</f>
        <v/>
      </c>
      <c r="BR30" s="36" t="str">
        <f ca="1">IFERROR(+IF(BR$27=ProposalToGnatt[[#This Row],[Start Date]],Milestone_Marker,IF(AND(BR$27&gt;ProposalToGnatt[[#This Row],[Start Date]],BR$27&lt;ProposalToGnatt[[#This Row],[Start Date]]+ProposalToGnatt[[#This Row],[Days]]),$G$5,"")),"")</f>
        <v/>
      </c>
      <c r="BS30" s="36" t="str">
        <f ca="1">IFERROR(+IF(BS$27=ProposalToGnatt[[#This Row],[Start Date]],Milestone_Marker,IF(AND(BS$27&gt;ProposalToGnatt[[#This Row],[Start Date]],BS$27&lt;ProposalToGnatt[[#This Row],[Start Date]]+ProposalToGnatt[[#This Row],[Days]]),$G$5,"")),"")</f>
        <v/>
      </c>
      <c r="BT30" s="36" t="str">
        <f ca="1">IFERROR(+IF(BT$27=ProposalToGnatt[[#This Row],[Start Date]],Milestone_Marker,IF(AND(BT$27&gt;ProposalToGnatt[[#This Row],[Start Date]],BT$27&lt;ProposalToGnatt[[#This Row],[Start Date]]+ProposalToGnatt[[#This Row],[Days]]),$G$5,"")),"")</f>
        <v/>
      </c>
      <c r="BU30" s="36" t="str">
        <f ca="1">IFERROR(+IF(BU$27=ProposalToGnatt[[#This Row],[Start Date]],Milestone_Marker,IF(AND(BU$27&gt;ProposalToGnatt[[#This Row],[Start Date]],BU$27&lt;ProposalToGnatt[[#This Row],[Start Date]]+ProposalToGnatt[[#This Row],[Days]]),$G$5,"")),"")</f>
        <v/>
      </c>
      <c r="BV30" s="36" t="str">
        <f ca="1">IFERROR(+IF(BV$27=ProposalToGnatt[[#This Row],[Start Date]],Milestone_Marker,IF(AND(BV$27&gt;ProposalToGnatt[[#This Row],[Start Date]],BV$27&lt;ProposalToGnatt[[#This Row],[Start Date]]+ProposalToGnatt[[#This Row],[Days]]),$G$5,"")),"")</f>
        <v/>
      </c>
      <c r="BW30" s="36" t="str">
        <f ca="1">IFERROR(+IF(BW$27=ProposalToGnatt[[#This Row],[Start Date]],Milestone_Marker,IF(AND(BW$27&gt;ProposalToGnatt[[#This Row],[Start Date]],BW$27&lt;ProposalToGnatt[[#This Row],[Start Date]]+ProposalToGnatt[[#This Row],[Days]]),$G$5,"")),"")</f>
        <v/>
      </c>
      <c r="BX30" s="36" t="str">
        <f ca="1">IFERROR(+IF(BX$27=ProposalToGnatt[[#This Row],[Start Date]],Milestone_Marker,IF(AND(BX$27&gt;ProposalToGnatt[[#This Row],[Start Date]],BX$27&lt;ProposalToGnatt[[#This Row],[Start Date]]+ProposalToGnatt[[#This Row],[Days]]),$G$5,"")),"")</f>
        <v/>
      </c>
      <c r="BY30" s="36" t="str">
        <f ca="1">IFERROR(+IF(BY$27=ProposalToGnatt[[#This Row],[Start Date]],Milestone_Marker,IF(AND(BY$27&gt;ProposalToGnatt[[#This Row],[Start Date]],BY$27&lt;ProposalToGnatt[[#This Row],[Start Date]]+ProposalToGnatt[[#This Row],[Days]]),$G$5,"")),"")</f>
        <v/>
      </c>
      <c r="BZ30" s="36" t="str">
        <f ca="1">IFERROR(+IF(BZ$27=ProposalToGnatt[[#This Row],[Start Date]],Milestone_Marker,IF(AND(BZ$27&gt;ProposalToGnatt[[#This Row],[Start Date]],BZ$27&lt;ProposalToGnatt[[#This Row],[Start Date]]+ProposalToGnatt[[#This Row],[Days]]),$G$5,"")),"")</f>
        <v/>
      </c>
      <c r="CA30" s="36" t="str">
        <f ca="1">IFERROR(+IF(CA$27=ProposalToGnatt[[#This Row],[Start Date]],Milestone_Marker,IF(AND(CA$27&gt;ProposalToGnatt[[#This Row],[Start Date]],CA$27&lt;ProposalToGnatt[[#This Row],[Start Date]]+ProposalToGnatt[[#This Row],[Days]]),$G$5,"")),"")</f>
        <v/>
      </c>
      <c r="CB30" s="36" t="str">
        <f ca="1">IFERROR(+IF(CB$27=ProposalToGnatt[[#This Row],[Start Date]],Milestone_Marker,IF(AND(CB$27&gt;ProposalToGnatt[[#This Row],[Start Date]],CB$27&lt;ProposalToGnatt[[#This Row],[Start Date]]+ProposalToGnatt[[#This Row],[Days]]),$G$5,"")),"")</f>
        <v/>
      </c>
      <c r="CC30" s="36" t="str">
        <f ca="1">IFERROR(+IF(CC$27=ProposalToGnatt[[#This Row],[Start Date]],Milestone_Marker,IF(AND(CC$27&gt;ProposalToGnatt[[#This Row],[Start Date]],CC$27&lt;ProposalToGnatt[[#This Row],[Start Date]]+ProposalToGnatt[[#This Row],[Days]]),$G$5,"")),"")</f>
        <v/>
      </c>
      <c r="CD30" s="36" t="str">
        <f ca="1">IFERROR(+IF(CD$27=ProposalToGnatt[[#This Row],[Start Date]],Milestone_Marker,IF(AND(CD$27&gt;ProposalToGnatt[[#This Row],[Start Date]],CD$27&lt;ProposalToGnatt[[#This Row],[Start Date]]+ProposalToGnatt[[#This Row],[Days]]),$G$5,"")),"")</f>
        <v/>
      </c>
      <c r="CE30" s="36" t="str">
        <f ca="1">IFERROR(+IF(CE$27=ProposalToGnatt[[#This Row],[Start Date]],Milestone_Marker,IF(AND(CE$27&gt;ProposalToGnatt[[#This Row],[Start Date]],CE$27&lt;ProposalToGnatt[[#This Row],[Start Date]]+ProposalToGnatt[[#This Row],[Days]]),$G$5,"")),"")</f>
        <v/>
      </c>
      <c r="CF30" s="36" t="str">
        <f ca="1">IFERROR(+IF(CF$27=ProposalToGnatt[[#This Row],[Start Date]],Milestone_Marker,IF(AND(CF$27&gt;ProposalToGnatt[[#This Row],[Start Date]],CF$27&lt;ProposalToGnatt[[#This Row],[Start Date]]+ProposalToGnatt[[#This Row],[Days]]),$G$5,"")),"")</f>
        <v/>
      </c>
      <c r="CG30" s="36" t="str">
        <f ca="1">IFERROR(+IF(CG$27=ProposalToGnatt[[#This Row],[Start Date]],Milestone_Marker,IF(AND(CG$27&gt;ProposalToGnatt[[#This Row],[Start Date]],CG$27&lt;ProposalToGnatt[[#This Row],[Start Date]]+ProposalToGnatt[[#This Row],[Days]]),$G$5,"")),"")</f>
        <v/>
      </c>
      <c r="CH30" s="36" t="str">
        <f ca="1">IFERROR(+IF(CH$27=ProposalToGnatt[[#This Row],[Start Date]],Milestone_Marker,IF(AND(CH$27&gt;ProposalToGnatt[[#This Row],[Start Date]],CH$27&lt;ProposalToGnatt[[#This Row],[Start Date]]+ProposalToGnatt[[#This Row],[Days]]),$G$5,"")),"")</f>
        <v/>
      </c>
      <c r="CI30" s="36" t="str">
        <f ca="1">IFERROR(+IF(CI$27=ProposalToGnatt[[#This Row],[Start Date]],Milestone_Marker,IF(AND(CI$27&gt;ProposalToGnatt[[#This Row],[Start Date]],CI$27&lt;ProposalToGnatt[[#This Row],[Start Date]]+ProposalToGnatt[[#This Row],[Days]]),$G$5,"")),"")</f>
        <v/>
      </c>
      <c r="CJ30" s="36" t="str">
        <f ca="1">IFERROR(+IF(CJ$27=ProposalToGnatt[[#This Row],[Start Date]],Milestone_Marker,IF(AND(CJ$27&gt;ProposalToGnatt[[#This Row],[Start Date]],CJ$27&lt;ProposalToGnatt[[#This Row],[Start Date]]+ProposalToGnatt[[#This Row],[Days]]),$G$5,"")),"")</f>
        <v/>
      </c>
      <c r="CK30" s="36" t="str">
        <f ca="1">IFERROR(+IF(CK$27=ProposalToGnatt[[#This Row],[Start Date]],Milestone_Marker,IF(AND(CK$27&gt;ProposalToGnatt[[#This Row],[Start Date]],CK$27&lt;ProposalToGnatt[[#This Row],[Start Date]]+ProposalToGnatt[[#This Row],[Days]]),$G$5,"")),"")</f>
        <v/>
      </c>
      <c r="CL30" s="36" t="str">
        <f ca="1">IFERROR(+IF(CL$27=ProposalToGnatt[[#This Row],[Start Date]],Milestone_Marker,IF(AND(CL$27&gt;ProposalToGnatt[[#This Row],[Start Date]],CL$27&lt;ProposalToGnatt[[#This Row],[Start Date]]+ProposalToGnatt[[#This Row],[Days]]),$G$5,"")),"")</f>
        <v/>
      </c>
      <c r="CM30" s="36" t="str">
        <f ca="1">IFERROR(+IF(CM$27=ProposalToGnatt[[#This Row],[Start Date]],Milestone_Marker,IF(AND(CM$27&gt;ProposalToGnatt[[#This Row],[Start Date]],CM$27&lt;ProposalToGnatt[[#This Row],[Start Date]]+ProposalToGnatt[[#This Row],[Days]]),$G$5,"")),"")</f>
        <v/>
      </c>
      <c r="CN30" s="36" t="str">
        <f ca="1">IFERROR(+IF(CN$27=ProposalToGnatt[[#This Row],[Start Date]],Milestone_Marker,IF(AND(CN$27&gt;ProposalToGnatt[[#This Row],[Start Date]],CN$27&lt;ProposalToGnatt[[#This Row],[Start Date]]+ProposalToGnatt[[#This Row],[Days]]),$G$5,"")),"")</f>
        <v/>
      </c>
      <c r="CO30" s="36" t="str">
        <f ca="1">IFERROR(+IF(CO$27=ProposalToGnatt[[#This Row],[Start Date]],Milestone_Marker,IF(AND(CO$27&gt;ProposalToGnatt[[#This Row],[Start Date]],CO$27&lt;ProposalToGnatt[[#This Row],[Start Date]]+ProposalToGnatt[[#This Row],[Days]]),$G$5,"")),"")</f>
        <v/>
      </c>
      <c r="CP30" s="36" t="str">
        <f ca="1">IFERROR(+IF(CP$27=ProposalToGnatt[[#This Row],[Start Date]],Milestone_Marker,IF(AND(CP$27&gt;ProposalToGnatt[[#This Row],[Start Date]],CP$27&lt;ProposalToGnatt[[#This Row],[Start Date]]+ProposalToGnatt[[#This Row],[Days]]),$G$5,"")),"")</f>
        <v/>
      </c>
      <c r="CQ30" s="36" t="str">
        <f ca="1">IFERROR(+IF(CQ$27=ProposalToGnatt[[#This Row],[Start Date]],Milestone_Marker,IF(AND(CQ$27&gt;ProposalToGnatt[[#This Row],[Start Date]],CQ$27&lt;ProposalToGnatt[[#This Row],[Start Date]]+ProposalToGnatt[[#This Row],[Days]]),$G$5,"")),"")</f>
        <v/>
      </c>
      <c r="CR30" s="36" t="str">
        <f ca="1">IFERROR(+IF(CR$27=ProposalToGnatt[[#This Row],[Start Date]],Milestone_Marker,IF(AND(CR$27&gt;ProposalToGnatt[[#This Row],[Start Date]],CR$27&lt;ProposalToGnatt[[#This Row],[Start Date]]+ProposalToGnatt[[#This Row],[Days]]),$G$5,"")),"")</f>
        <v/>
      </c>
      <c r="CS30" s="36" t="str">
        <f ca="1">IFERROR(+IF(CS$27=ProposalToGnatt[[#This Row],[Start Date]],Milestone_Marker,IF(AND(CS$27&gt;ProposalToGnatt[[#This Row],[Start Date]],CS$27&lt;ProposalToGnatt[[#This Row],[Start Date]]+ProposalToGnatt[[#This Row],[Days]]),$G$5,"")),"")</f>
        <v/>
      </c>
      <c r="CT30" s="36" t="str">
        <f ca="1">IFERROR(+IF(CT$27=ProposalToGnatt[[#This Row],[Start Date]],Milestone_Marker,IF(AND(CT$27&gt;ProposalToGnatt[[#This Row],[Start Date]],CT$27&lt;ProposalToGnatt[[#This Row],[Start Date]]+ProposalToGnatt[[#This Row],[Days]]),$G$5,"")),"")</f>
        <v/>
      </c>
      <c r="CU30" s="36" t="str">
        <f ca="1">IFERROR(+IF(CU$27=ProposalToGnatt[[#This Row],[Start Date]],Milestone_Marker,IF(AND(CU$27&gt;ProposalToGnatt[[#This Row],[Start Date]],CU$27&lt;ProposalToGnatt[[#This Row],[Start Date]]+ProposalToGnatt[[#This Row],[Days]]),$G$5,"")),"")</f>
        <v/>
      </c>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row>
    <row r="31" spans="1:125" s="41" customFormat="1" ht="20.100000000000001" customHeight="1" x14ac:dyDescent="0.25">
      <c r="A31" t="s">
        <v>730</v>
      </c>
      <c r="B31">
        <v>3</v>
      </c>
      <c r="C31" t="s">
        <v>694</v>
      </c>
      <c r="D31" t="s">
        <v>692</v>
      </c>
      <c r="E31" t="s">
        <v>695</v>
      </c>
      <c r="F31">
        <v>1</v>
      </c>
      <c r="G31" s="14">
        <v>350</v>
      </c>
      <c r="H31" s="14">
        <v>350</v>
      </c>
      <c r="I31" t="s">
        <v>516</v>
      </c>
      <c r="J31">
        <v>4</v>
      </c>
      <c r="K31" s="261">
        <v>46052</v>
      </c>
      <c r="L31"/>
      <c r="M31" s="14">
        <v>350</v>
      </c>
      <c r="N31" s="309">
        <v>350</v>
      </c>
      <c r="O31" s="297"/>
      <c r="P31" s="36" t="str">
        <f ca="1">IFERROR(+IF(P$27=ProposalToGnatt[[#This Row],[Start Date]],Milestone_Marker,IF(AND(P$27&gt;ProposalToGnatt[[#This Row],[Start Date]],P$27&lt;ProposalToGnatt[[#This Row],[Start Date]]+ProposalToGnatt[[#This Row],[Days]]),$G$5,"")),"")</f>
        <v/>
      </c>
      <c r="Q31" s="36" t="str">
        <f ca="1">IFERROR(+IF(Q$27=ProposalToGnatt[[#This Row],[Start Date]],Milestone_Marker,IF(AND(Q$27&gt;ProposalToGnatt[[#This Row],[Start Date]],Q$27&lt;ProposalToGnatt[[#This Row],[Start Date]]+ProposalToGnatt[[#This Row],[Days]]),$G$5,"")),"")</f>
        <v/>
      </c>
      <c r="R31" s="36" t="str">
        <f ca="1">IFERROR(+IF(R$27=ProposalToGnatt[[#This Row],[Start Date]],Milestone_Marker,IF(AND(R$27&gt;ProposalToGnatt[[#This Row],[Start Date]],R$27&lt;ProposalToGnatt[[#This Row],[Start Date]]+ProposalToGnatt[[#This Row],[Days]]),$G$5,"")),"")</f>
        <v/>
      </c>
      <c r="S31" s="36" t="str">
        <f ca="1">IFERROR(+IF(S$27=ProposalToGnatt[[#This Row],[Start Date]],Milestone_Marker,IF(AND(S$27&gt;ProposalToGnatt[[#This Row],[Start Date]],S$27&lt;ProposalToGnatt[[#This Row],[Start Date]]+ProposalToGnatt[[#This Row],[Days]]),$G$5,"")),"")</f>
        <v/>
      </c>
      <c r="T31" s="36" t="str">
        <f ca="1">IFERROR(+IF(T$27=ProposalToGnatt[[#This Row],[Start Date]],Milestone_Marker,IF(AND(T$27&gt;ProposalToGnatt[[#This Row],[Start Date]],T$27&lt;ProposalToGnatt[[#This Row],[Start Date]]+ProposalToGnatt[[#This Row],[Days]]),$G$5,"")),"")</f>
        <v/>
      </c>
      <c r="U31" s="36" t="str">
        <f ca="1">IFERROR(+IF(U$27=ProposalToGnatt[[#This Row],[Start Date]],Milestone_Marker,IF(AND(U$27&gt;ProposalToGnatt[[#This Row],[Start Date]],U$27&lt;ProposalToGnatt[[#This Row],[Start Date]]+ProposalToGnatt[[#This Row],[Days]]),$G$5,"")),"")</f>
        <v/>
      </c>
      <c r="V31" s="36" t="str">
        <f ca="1">IFERROR(+IF(V$27=ProposalToGnatt[[#This Row],[Start Date]],Milestone_Marker,IF(AND(V$27&gt;ProposalToGnatt[[#This Row],[Start Date]],V$27&lt;ProposalToGnatt[[#This Row],[Start Date]]+ProposalToGnatt[[#This Row],[Days]]),$G$5,"")),"")</f>
        <v/>
      </c>
      <c r="W31" s="36" t="str">
        <f ca="1">IFERROR(+IF(W$27=ProposalToGnatt[[#This Row],[Start Date]],Milestone_Marker,IF(AND(W$27&gt;ProposalToGnatt[[#This Row],[Start Date]],W$27&lt;ProposalToGnatt[[#This Row],[Start Date]]+ProposalToGnatt[[#This Row],[Days]]),$G$5,"")),"")</f>
        <v/>
      </c>
      <c r="X31" s="36" t="str">
        <f ca="1">IFERROR(+IF(X$27=ProposalToGnatt[[#This Row],[Start Date]],Milestone_Marker,IF(AND(X$27&gt;ProposalToGnatt[[#This Row],[Start Date]],X$27&lt;ProposalToGnatt[[#This Row],[Start Date]]+ProposalToGnatt[[#This Row],[Days]]),$G$5,"")),"")</f>
        <v/>
      </c>
      <c r="Y31" s="36" t="str">
        <f ca="1">IFERROR(+IF(Y$27=ProposalToGnatt[[#This Row],[Start Date]],Milestone_Marker,IF(AND(Y$27&gt;ProposalToGnatt[[#This Row],[Start Date]],Y$27&lt;ProposalToGnatt[[#This Row],[Start Date]]+ProposalToGnatt[[#This Row],[Days]]),$G$5,"")),"")</f>
        <v/>
      </c>
      <c r="Z31" s="36" t="str">
        <f ca="1">IFERROR(+IF(Z$27=ProposalToGnatt[[#This Row],[Start Date]],Milestone_Marker,IF(AND(Z$27&gt;ProposalToGnatt[[#This Row],[Start Date]],Z$27&lt;ProposalToGnatt[[#This Row],[Start Date]]+ProposalToGnatt[[#This Row],[Days]]),$G$5,"")),"")</f>
        <v/>
      </c>
      <c r="AA31" s="36" t="str">
        <f ca="1">IFERROR(+IF(AA$27=ProposalToGnatt[[#This Row],[Start Date]],Milestone_Marker,IF(AND(AA$27&gt;ProposalToGnatt[[#This Row],[Start Date]],AA$27&lt;ProposalToGnatt[[#This Row],[Start Date]]+ProposalToGnatt[[#This Row],[Days]]),$G$5,"")),"")</f>
        <v/>
      </c>
      <c r="AB31" s="36" t="str">
        <f ca="1">IFERROR(+IF(AB$27=ProposalToGnatt[[#This Row],[Start Date]],Milestone_Marker,IF(AND(AB$27&gt;ProposalToGnatt[[#This Row],[Start Date]],AB$27&lt;ProposalToGnatt[[#This Row],[Start Date]]+ProposalToGnatt[[#This Row],[Days]]),$G$5,"")),"")</f>
        <v/>
      </c>
      <c r="AC31" s="36" t="str">
        <f ca="1">IFERROR(+IF(AC$27=ProposalToGnatt[[#This Row],[Start Date]],Milestone_Marker,IF(AND(AC$27&gt;ProposalToGnatt[[#This Row],[Start Date]],AC$27&lt;ProposalToGnatt[[#This Row],[Start Date]]+ProposalToGnatt[[#This Row],[Days]]),$G$5,"")),"")</f>
        <v/>
      </c>
      <c r="AD31" s="36" t="str">
        <f ca="1">IFERROR(+IF(AD$27=ProposalToGnatt[[#This Row],[Start Date]],Milestone_Marker,IF(AND(AD$27&gt;ProposalToGnatt[[#This Row],[Start Date]],AD$27&lt;ProposalToGnatt[[#This Row],[Start Date]]+ProposalToGnatt[[#This Row],[Days]]),$G$5,"")),"")</f>
        <v/>
      </c>
      <c r="AE31" s="36" t="str">
        <f ca="1">IFERROR(+IF(AE$27=ProposalToGnatt[[#This Row],[Start Date]],Milestone_Marker,IF(AND(AE$27&gt;ProposalToGnatt[[#This Row],[Start Date]],AE$27&lt;ProposalToGnatt[[#This Row],[Start Date]]+ProposalToGnatt[[#This Row],[Days]]),$G$5,"")),"")</f>
        <v/>
      </c>
      <c r="AF31" s="36" t="str">
        <f ca="1">IFERROR(+IF(AF$27=ProposalToGnatt[[#This Row],[Start Date]],Milestone_Marker,IF(AND(AF$27&gt;ProposalToGnatt[[#This Row],[Start Date]],AF$27&lt;ProposalToGnatt[[#This Row],[Start Date]]+ProposalToGnatt[[#This Row],[Days]]),$G$5,"")),"")</f>
        <v/>
      </c>
      <c r="AG31" s="36" t="str">
        <f ca="1">IFERROR(+IF(AG$27=ProposalToGnatt[[#This Row],[Start Date]],Milestone_Marker,IF(AND(AG$27&gt;ProposalToGnatt[[#This Row],[Start Date]],AG$27&lt;ProposalToGnatt[[#This Row],[Start Date]]+ProposalToGnatt[[#This Row],[Days]]),$G$5,"")),"")</f>
        <v/>
      </c>
      <c r="AH31" s="36" t="str">
        <f ca="1">IFERROR(+IF(AH$27=ProposalToGnatt[[#This Row],[Start Date]],Milestone_Marker,IF(AND(AH$27&gt;ProposalToGnatt[[#This Row],[Start Date]],AH$27&lt;ProposalToGnatt[[#This Row],[Start Date]]+ProposalToGnatt[[#This Row],[Days]]),$G$5,"")),"")</f>
        <v/>
      </c>
      <c r="AI31" s="36" t="str">
        <f ca="1">IFERROR(+IF(AI$27=ProposalToGnatt[[#This Row],[Start Date]],Milestone_Marker,IF(AND(AI$27&gt;ProposalToGnatt[[#This Row],[Start Date]],AI$27&lt;ProposalToGnatt[[#This Row],[Start Date]]+ProposalToGnatt[[#This Row],[Days]]),$G$5,"")),"")</f>
        <v/>
      </c>
      <c r="AJ31" s="36" t="str">
        <f ca="1">IFERROR(+IF(AJ$27=ProposalToGnatt[[#This Row],[Start Date]],Milestone_Marker,IF(AND(AJ$27&gt;ProposalToGnatt[[#This Row],[Start Date]],AJ$27&lt;ProposalToGnatt[[#This Row],[Start Date]]+ProposalToGnatt[[#This Row],[Days]]),$G$5,"")),"")</f>
        <v/>
      </c>
      <c r="AK31" s="36" t="str">
        <f ca="1">IFERROR(+IF(AK$27=ProposalToGnatt[[#This Row],[Start Date]],Milestone_Marker,IF(AND(AK$27&gt;ProposalToGnatt[[#This Row],[Start Date]],AK$27&lt;ProposalToGnatt[[#This Row],[Start Date]]+ProposalToGnatt[[#This Row],[Days]]),$G$5,"")),"")</f>
        <v/>
      </c>
      <c r="AL31" s="36" t="str">
        <f ca="1">IFERROR(+IF(AL$27=ProposalToGnatt[[#This Row],[Start Date]],Milestone_Marker,IF(AND(AL$27&gt;ProposalToGnatt[[#This Row],[Start Date]],AL$27&lt;ProposalToGnatt[[#This Row],[Start Date]]+ProposalToGnatt[[#This Row],[Days]]),$G$5,"")),"")</f>
        <v/>
      </c>
      <c r="AM31" s="36" t="str">
        <f ca="1">IFERROR(+IF(AM$27=ProposalToGnatt[[#This Row],[Start Date]],Milestone_Marker,IF(AND(AM$27&gt;ProposalToGnatt[[#This Row],[Start Date]],AM$27&lt;ProposalToGnatt[[#This Row],[Start Date]]+ProposalToGnatt[[#This Row],[Days]]),$G$5,"")),"")</f>
        <v/>
      </c>
      <c r="AN31" s="36" t="str">
        <f ca="1">IFERROR(+IF(AN$27=ProposalToGnatt[[#This Row],[Start Date]],Milestone_Marker,IF(AND(AN$27&gt;ProposalToGnatt[[#This Row],[Start Date]],AN$27&lt;ProposalToGnatt[[#This Row],[Start Date]]+ProposalToGnatt[[#This Row],[Days]]),$G$5,"")),"")</f>
        <v/>
      </c>
      <c r="AO31" s="36" t="str">
        <f ca="1">IFERROR(+IF(AO$27=ProposalToGnatt[[#This Row],[Start Date]],Milestone_Marker,IF(AND(AO$27&gt;ProposalToGnatt[[#This Row],[Start Date]],AO$27&lt;ProposalToGnatt[[#This Row],[Start Date]]+ProposalToGnatt[[#This Row],[Days]]),$G$5,"")),"")</f>
        <v/>
      </c>
      <c r="AP31" s="36" t="str">
        <f ca="1">IFERROR(+IF(AP$27=ProposalToGnatt[[#This Row],[Start Date]],Milestone_Marker,IF(AND(AP$27&gt;ProposalToGnatt[[#This Row],[Start Date]],AP$27&lt;ProposalToGnatt[[#This Row],[Start Date]]+ProposalToGnatt[[#This Row],[Days]]),$G$5,"")),"")</f>
        <v/>
      </c>
      <c r="AQ31" s="36" t="str">
        <f ca="1">IFERROR(+IF(AQ$27=ProposalToGnatt[[#This Row],[Start Date]],Milestone_Marker,IF(AND(AQ$27&gt;ProposalToGnatt[[#This Row],[Start Date]],AQ$27&lt;ProposalToGnatt[[#This Row],[Start Date]]+ProposalToGnatt[[#This Row],[Days]]),$G$5,"")),"")</f>
        <v/>
      </c>
      <c r="AR31" s="36" t="str">
        <f ca="1">IFERROR(+IF(AR$27=ProposalToGnatt[[#This Row],[Start Date]],Milestone_Marker,IF(AND(AR$27&gt;ProposalToGnatt[[#This Row],[Start Date]],AR$27&lt;ProposalToGnatt[[#This Row],[Start Date]]+ProposalToGnatt[[#This Row],[Days]]),$G$5,"")),"")</f>
        <v/>
      </c>
      <c r="AS31" s="36" t="str">
        <f ca="1">IFERROR(+IF(AS$27=ProposalToGnatt[[#This Row],[Start Date]],Milestone_Marker,IF(AND(AS$27&gt;ProposalToGnatt[[#This Row],[Start Date]],AS$27&lt;ProposalToGnatt[[#This Row],[Start Date]]+ProposalToGnatt[[#This Row],[Days]]),$G$5,"")),"")</f>
        <v/>
      </c>
      <c r="AT31" s="36" t="str">
        <f ca="1">IFERROR(+IF(AT$27=ProposalToGnatt[[#This Row],[Start Date]],Milestone_Marker,IF(AND(AT$27&gt;ProposalToGnatt[[#This Row],[Start Date]],AT$27&lt;ProposalToGnatt[[#This Row],[Start Date]]+ProposalToGnatt[[#This Row],[Days]]),$G$5,"")),"")</f>
        <v/>
      </c>
      <c r="AU31" s="36" t="str">
        <f ca="1">IFERROR(+IF(AU$27=ProposalToGnatt[[#This Row],[Start Date]],Milestone_Marker,IF(AND(AU$27&gt;ProposalToGnatt[[#This Row],[Start Date]],AU$27&lt;ProposalToGnatt[[#This Row],[Start Date]]+ProposalToGnatt[[#This Row],[Days]]),$G$5,"")),"")</f>
        <v/>
      </c>
      <c r="AV31" s="36" t="str">
        <f ca="1">IFERROR(+IF(AV$27=ProposalToGnatt[[#This Row],[Start Date]],Milestone_Marker,IF(AND(AV$27&gt;ProposalToGnatt[[#This Row],[Start Date]],AV$27&lt;ProposalToGnatt[[#This Row],[Start Date]]+ProposalToGnatt[[#This Row],[Days]]),$G$5,"")),"")</f>
        <v/>
      </c>
      <c r="AW31" s="36" t="str">
        <f ca="1">IFERROR(+IF(AW$27=ProposalToGnatt[[#This Row],[Start Date]],Milestone_Marker,IF(AND(AW$27&gt;ProposalToGnatt[[#This Row],[Start Date]],AW$27&lt;ProposalToGnatt[[#This Row],[Start Date]]+ProposalToGnatt[[#This Row],[Days]]),$G$5,"")),"")</f>
        <v/>
      </c>
      <c r="AX31" s="36" t="str">
        <f ca="1">IFERROR(+IF(AX$27=ProposalToGnatt[[#This Row],[Start Date]],Milestone_Marker,IF(AND(AX$27&gt;ProposalToGnatt[[#This Row],[Start Date]],AX$27&lt;ProposalToGnatt[[#This Row],[Start Date]]+ProposalToGnatt[[#This Row],[Days]]),$G$5,"")),"")</f>
        <v/>
      </c>
      <c r="AY31" s="36" t="str">
        <f ca="1">IFERROR(+IF(AY$27=ProposalToGnatt[[#This Row],[Start Date]],Milestone_Marker,IF(AND(AY$27&gt;ProposalToGnatt[[#This Row],[Start Date]],AY$27&lt;ProposalToGnatt[[#This Row],[Start Date]]+ProposalToGnatt[[#This Row],[Days]]),$G$5,"")),"")</f>
        <v/>
      </c>
      <c r="AZ31" s="36" t="str">
        <f ca="1">IFERROR(+IF(AZ$27=ProposalToGnatt[[#This Row],[Start Date]],Milestone_Marker,IF(AND(AZ$27&gt;ProposalToGnatt[[#This Row],[Start Date]],AZ$27&lt;ProposalToGnatt[[#This Row],[Start Date]]+ProposalToGnatt[[#This Row],[Days]]),$G$5,"")),"")</f>
        <v/>
      </c>
      <c r="BA31" s="36" t="str">
        <f ca="1">IFERROR(+IF(BA$27=ProposalToGnatt[[#This Row],[Start Date]],Milestone_Marker,IF(AND(BA$27&gt;ProposalToGnatt[[#This Row],[Start Date]],BA$27&lt;ProposalToGnatt[[#This Row],[Start Date]]+ProposalToGnatt[[#This Row],[Days]]),$G$5,"")),"")</f>
        <v/>
      </c>
      <c r="BB31" s="36" t="str">
        <f ca="1">IFERROR(+IF(BB$27=ProposalToGnatt[[#This Row],[Start Date]],Milestone_Marker,IF(AND(BB$27&gt;ProposalToGnatt[[#This Row],[Start Date]],BB$27&lt;ProposalToGnatt[[#This Row],[Start Date]]+ProposalToGnatt[[#This Row],[Days]]),$G$5,"")),"")</f>
        <v/>
      </c>
      <c r="BC31" s="36" t="str">
        <f ca="1">IFERROR(+IF(BC$27=ProposalToGnatt[[#This Row],[Start Date]],Milestone_Marker,IF(AND(BC$27&gt;ProposalToGnatt[[#This Row],[Start Date]],BC$27&lt;ProposalToGnatt[[#This Row],[Start Date]]+ProposalToGnatt[[#This Row],[Days]]),$G$5,"")),"")</f>
        <v/>
      </c>
      <c r="BD31" s="36" t="str">
        <f ca="1">IFERROR(+IF(BD$27=ProposalToGnatt[[#This Row],[Start Date]],Milestone_Marker,IF(AND(BD$27&gt;ProposalToGnatt[[#This Row],[Start Date]],BD$27&lt;ProposalToGnatt[[#This Row],[Start Date]]+ProposalToGnatt[[#This Row],[Days]]),$G$5,"")),"")</f>
        <v/>
      </c>
      <c r="BE31" s="36" t="str">
        <f ca="1">IFERROR(+IF(BE$27=ProposalToGnatt[[#This Row],[Start Date]],Milestone_Marker,IF(AND(BE$27&gt;ProposalToGnatt[[#This Row],[Start Date]],BE$27&lt;ProposalToGnatt[[#This Row],[Start Date]]+ProposalToGnatt[[#This Row],[Days]]),$G$5,"")),"")</f>
        <v/>
      </c>
      <c r="BF31" s="36" t="str">
        <f ca="1">IFERROR(+IF(BF$27=ProposalToGnatt[[#This Row],[Start Date]],Milestone_Marker,IF(AND(BF$27&gt;ProposalToGnatt[[#This Row],[Start Date]],BF$27&lt;ProposalToGnatt[[#This Row],[Start Date]]+ProposalToGnatt[[#This Row],[Days]]),$G$5,"")),"")</f>
        <v/>
      </c>
      <c r="BG31" s="36" t="str">
        <f ca="1">IFERROR(+IF(BG$27=ProposalToGnatt[[#This Row],[Start Date]],Milestone_Marker,IF(AND(BG$27&gt;ProposalToGnatt[[#This Row],[Start Date]],BG$27&lt;ProposalToGnatt[[#This Row],[Start Date]]+ProposalToGnatt[[#This Row],[Days]]),$G$5,"")),"")</f>
        <v/>
      </c>
      <c r="BH31" s="36" t="str">
        <f ca="1">IFERROR(+IF(BH$27=ProposalToGnatt[[#This Row],[Start Date]],Milestone_Marker,IF(AND(BH$27&gt;ProposalToGnatt[[#This Row],[Start Date]],BH$27&lt;ProposalToGnatt[[#This Row],[Start Date]]+ProposalToGnatt[[#This Row],[Days]]),$G$5,"")),"")</f>
        <v/>
      </c>
      <c r="BI31" s="36" t="str">
        <f ca="1">IFERROR(+IF(BI$27=ProposalToGnatt[[#This Row],[Start Date]],Milestone_Marker,IF(AND(BI$27&gt;ProposalToGnatt[[#This Row],[Start Date]],BI$27&lt;ProposalToGnatt[[#This Row],[Start Date]]+ProposalToGnatt[[#This Row],[Days]]),$G$5,"")),"")</f>
        <v/>
      </c>
      <c r="BJ31" s="36" t="str">
        <f ca="1">IFERROR(+IF(BJ$27=ProposalToGnatt[[#This Row],[Start Date]],Milestone_Marker,IF(AND(BJ$27&gt;ProposalToGnatt[[#This Row],[Start Date]],BJ$27&lt;ProposalToGnatt[[#This Row],[Start Date]]+ProposalToGnatt[[#This Row],[Days]]),$G$5,"")),"")</f>
        <v/>
      </c>
      <c r="BK31" s="36" t="str">
        <f ca="1">IFERROR(+IF(BK$27=ProposalToGnatt[[#This Row],[Start Date]],Milestone_Marker,IF(AND(BK$27&gt;ProposalToGnatt[[#This Row],[Start Date]],BK$27&lt;ProposalToGnatt[[#This Row],[Start Date]]+ProposalToGnatt[[#This Row],[Days]]),$G$5,"")),"")</f>
        <v/>
      </c>
      <c r="BL31" s="36" t="str">
        <f ca="1">IFERROR(+IF(BL$27=ProposalToGnatt[[#This Row],[Start Date]],Milestone_Marker,IF(AND(BL$27&gt;ProposalToGnatt[[#This Row],[Start Date]],BL$27&lt;ProposalToGnatt[[#This Row],[Start Date]]+ProposalToGnatt[[#This Row],[Days]]),$G$5,"")),"")</f>
        <v/>
      </c>
      <c r="BM31" s="36" t="str">
        <f ca="1">IFERROR(+IF(BM$27=ProposalToGnatt[[#This Row],[Start Date]],Milestone_Marker,IF(AND(BM$27&gt;ProposalToGnatt[[#This Row],[Start Date]],BM$27&lt;ProposalToGnatt[[#This Row],[Start Date]]+ProposalToGnatt[[#This Row],[Days]]),$G$5,"")),"")</f>
        <v/>
      </c>
      <c r="BN31" s="36" t="str">
        <f ca="1">IFERROR(+IF(BN$27=ProposalToGnatt[[#This Row],[Start Date]],Milestone_Marker,IF(AND(BN$27&gt;ProposalToGnatt[[#This Row],[Start Date]],BN$27&lt;ProposalToGnatt[[#This Row],[Start Date]]+ProposalToGnatt[[#This Row],[Days]]),$G$5,"")),"")</f>
        <v/>
      </c>
      <c r="BO31" s="36" t="str">
        <f ca="1">IFERROR(+IF(BO$27=ProposalToGnatt[[#This Row],[Start Date]],Milestone_Marker,IF(AND(BO$27&gt;ProposalToGnatt[[#This Row],[Start Date]],BO$27&lt;ProposalToGnatt[[#This Row],[Start Date]]+ProposalToGnatt[[#This Row],[Days]]),$G$5,"")),"")</f>
        <v/>
      </c>
      <c r="BP31" s="36" t="str">
        <f ca="1">IFERROR(+IF(BP$27=ProposalToGnatt[[#This Row],[Start Date]],Milestone_Marker,IF(AND(BP$27&gt;ProposalToGnatt[[#This Row],[Start Date]],BP$27&lt;ProposalToGnatt[[#This Row],[Start Date]]+ProposalToGnatt[[#This Row],[Days]]),$G$5,"")),"")</f>
        <v/>
      </c>
      <c r="BQ31" s="36" t="str">
        <f ca="1">IFERROR(+IF(BQ$27=ProposalToGnatt[[#This Row],[Start Date]],Milestone_Marker,IF(AND(BQ$27&gt;ProposalToGnatt[[#This Row],[Start Date]],BQ$27&lt;ProposalToGnatt[[#This Row],[Start Date]]+ProposalToGnatt[[#This Row],[Days]]),$G$5,"")),"")</f>
        <v/>
      </c>
      <c r="BR31" s="36" t="str">
        <f ca="1">IFERROR(+IF(BR$27=ProposalToGnatt[[#This Row],[Start Date]],Milestone_Marker,IF(AND(BR$27&gt;ProposalToGnatt[[#This Row],[Start Date]],BR$27&lt;ProposalToGnatt[[#This Row],[Start Date]]+ProposalToGnatt[[#This Row],[Days]]),$G$5,"")),"")</f>
        <v/>
      </c>
      <c r="BS31" s="36" t="str">
        <f ca="1">IFERROR(+IF(BS$27=ProposalToGnatt[[#This Row],[Start Date]],Milestone_Marker,IF(AND(BS$27&gt;ProposalToGnatt[[#This Row],[Start Date]],BS$27&lt;ProposalToGnatt[[#This Row],[Start Date]]+ProposalToGnatt[[#This Row],[Days]]),$G$5,"")),"")</f>
        <v/>
      </c>
      <c r="BT31" s="36" t="str">
        <f ca="1">IFERROR(+IF(BT$27=ProposalToGnatt[[#This Row],[Start Date]],Milestone_Marker,IF(AND(BT$27&gt;ProposalToGnatt[[#This Row],[Start Date]],BT$27&lt;ProposalToGnatt[[#This Row],[Start Date]]+ProposalToGnatt[[#This Row],[Days]]),$G$5,"")),"")</f>
        <v/>
      </c>
      <c r="BU31" s="36" t="str">
        <f ca="1">IFERROR(+IF(BU$27=ProposalToGnatt[[#This Row],[Start Date]],Milestone_Marker,IF(AND(BU$27&gt;ProposalToGnatt[[#This Row],[Start Date]],BU$27&lt;ProposalToGnatt[[#This Row],[Start Date]]+ProposalToGnatt[[#This Row],[Days]]),$G$5,"")),"")</f>
        <v/>
      </c>
      <c r="BV31" s="36" t="str">
        <f ca="1">IFERROR(+IF(BV$27=ProposalToGnatt[[#This Row],[Start Date]],Milestone_Marker,IF(AND(BV$27&gt;ProposalToGnatt[[#This Row],[Start Date]],BV$27&lt;ProposalToGnatt[[#This Row],[Start Date]]+ProposalToGnatt[[#This Row],[Days]]),$G$5,"")),"")</f>
        <v/>
      </c>
      <c r="BW31" s="36" t="str">
        <f ca="1">IFERROR(+IF(BW$27=ProposalToGnatt[[#This Row],[Start Date]],Milestone_Marker,IF(AND(BW$27&gt;ProposalToGnatt[[#This Row],[Start Date]],BW$27&lt;ProposalToGnatt[[#This Row],[Start Date]]+ProposalToGnatt[[#This Row],[Days]]),$G$5,"")),"")</f>
        <v/>
      </c>
      <c r="BX31" s="36" t="str">
        <f ca="1">IFERROR(+IF(BX$27=ProposalToGnatt[[#This Row],[Start Date]],Milestone_Marker,IF(AND(BX$27&gt;ProposalToGnatt[[#This Row],[Start Date]],BX$27&lt;ProposalToGnatt[[#This Row],[Start Date]]+ProposalToGnatt[[#This Row],[Days]]),$G$5,"")),"")</f>
        <v/>
      </c>
      <c r="BY31" s="36" t="str">
        <f ca="1">IFERROR(+IF(BY$27=ProposalToGnatt[[#This Row],[Start Date]],Milestone_Marker,IF(AND(BY$27&gt;ProposalToGnatt[[#This Row],[Start Date]],BY$27&lt;ProposalToGnatt[[#This Row],[Start Date]]+ProposalToGnatt[[#This Row],[Days]]),$G$5,"")),"")</f>
        <v/>
      </c>
      <c r="BZ31" s="36" t="str">
        <f ca="1">IFERROR(+IF(BZ$27=ProposalToGnatt[[#This Row],[Start Date]],Milestone_Marker,IF(AND(BZ$27&gt;ProposalToGnatt[[#This Row],[Start Date]],BZ$27&lt;ProposalToGnatt[[#This Row],[Start Date]]+ProposalToGnatt[[#This Row],[Days]]),$G$5,"")),"")</f>
        <v/>
      </c>
      <c r="CA31" s="36" t="str">
        <f ca="1">IFERROR(+IF(CA$27=ProposalToGnatt[[#This Row],[Start Date]],Milestone_Marker,IF(AND(CA$27&gt;ProposalToGnatt[[#This Row],[Start Date]],CA$27&lt;ProposalToGnatt[[#This Row],[Start Date]]+ProposalToGnatt[[#This Row],[Days]]),$G$5,"")),"")</f>
        <v/>
      </c>
      <c r="CB31" s="36" t="str">
        <f ca="1">IFERROR(+IF(CB$27=ProposalToGnatt[[#This Row],[Start Date]],Milestone_Marker,IF(AND(CB$27&gt;ProposalToGnatt[[#This Row],[Start Date]],CB$27&lt;ProposalToGnatt[[#This Row],[Start Date]]+ProposalToGnatt[[#This Row],[Days]]),$G$5,"")),"")</f>
        <v/>
      </c>
      <c r="CC31" s="36" t="str">
        <f ca="1">IFERROR(+IF(CC$27=ProposalToGnatt[[#This Row],[Start Date]],Milestone_Marker,IF(AND(CC$27&gt;ProposalToGnatt[[#This Row],[Start Date]],CC$27&lt;ProposalToGnatt[[#This Row],[Start Date]]+ProposalToGnatt[[#This Row],[Days]]),$G$5,"")),"")</f>
        <v/>
      </c>
      <c r="CD31" s="36" t="str">
        <f ca="1">IFERROR(+IF(CD$27=ProposalToGnatt[[#This Row],[Start Date]],Milestone_Marker,IF(AND(CD$27&gt;ProposalToGnatt[[#This Row],[Start Date]],CD$27&lt;ProposalToGnatt[[#This Row],[Start Date]]+ProposalToGnatt[[#This Row],[Days]]),$G$5,"")),"")</f>
        <v/>
      </c>
      <c r="CE31" s="36" t="str">
        <f ca="1">IFERROR(+IF(CE$27=ProposalToGnatt[[#This Row],[Start Date]],Milestone_Marker,IF(AND(CE$27&gt;ProposalToGnatt[[#This Row],[Start Date]],CE$27&lt;ProposalToGnatt[[#This Row],[Start Date]]+ProposalToGnatt[[#This Row],[Days]]),$G$5,"")),"")</f>
        <v/>
      </c>
      <c r="CF31" s="36" t="str">
        <f ca="1">IFERROR(+IF(CF$27=ProposalToGnatt[[#This Row],[Start Date]],Milestone_Marker,IF(AND(CF$27&gt;ProposalToGnatt[[#This Row],[Start Date]],CF$27&lt;ProposalToGnatt[[#This Row],[Start Date]]+ProposalToGnatt[[#This Row],[Days]]),$G$5,"")),"")</f>
        <v/>
      </c>
      <c r="CG31" s="36" t="str">
        <f ca="1">IFERROR(+IF(CG$27=ProposalToGnatt[[#This Row],[Start Date]],Milestone_Marker,IF(AND(CG$27&gt;ProposalToGnatt[[#This Row],[Start Date]],CG$27&lt;ProposalToGnatt[[#This Row],[Start Date]]+ProposalToGnatt[[#This Row],[Days]]),$G$5,"")),"")</f>
        <v/>
      </c>
      <c r="CH31" s="36" t="str">
        <f ca="1">IFERROR(+IF(CH$27=ProposalToGnatt[[#This Row],[Start Date]],Milestone_Marker,IF(AND(CH$27&gt;ProposalToGnatt[[#This Row],[Start Date]],CH$27&lt;ProposalToGnatt[[#This Row],[Start Date]]+ProposalToGnatt[[#This Row],[Days]]),$G$5,"")),"")</f>
        <v/>
      </c>
      <c r="CI31" s="36" t="str">
        <f ca="1">IFERROR(+IF(CI$27=ProposalToGnatt[[#This Row],[Start Date]],Milestone_Marker,IF(AND(CI$27&gt;ProposalToGnatt[[#This Row],[Start Date]],CI$27&lt;ProposalToGnatt[[#This Row],[Start Date]]+ProposalToGnatt[[#This Row],[Days]]),$G$5,"")),"")</f>
        <v/>
      </c>
      <c r="CJ31" s="36" t="str">
        <f ca="1">IFERROR(+IF(CJ$27=ProposalToGnatt[[#This Row],[Start Date]],Milestone_Marker,IF(AND(CJ$27&gt;ProposalToGnatt[[#This Row],[Start Date]],CJ$27&lt;ProposalToGnatt[[#This Row],[Start Date]]+ProposalToGnatt[[#This Row],[Days]]),$G$5,"")),"")</f>
        <v/>
      </c>
      <c r="CK31" s="36" t="str">
        <f ca="1">IFERROR(+IF(CK$27=ProposalToGnatt[[#This Row],[Start Date]],Milestone_Marker,IF(AND(CK$27&gt;ProposalToGnatt[[#This Row],[Start Date]],CK$27&lt;ProposalToGnatt[[#This Row],[Start Date]]+ProposalToGnatt[[#This Row],[Days]]),$G$5,"")),"")</f>
        <v/>
      </c>
      <c r="CL31" s="36" t="str">
        <f ca="1">IFERROR(+IF(CL$27=ProposalToGnatt[[#This Row],[Start Date]],Milestone_Marker,IF(AND(CL$27&gt;ProposalToGnatt[[#This Row],[Start Date]],CL$27&lt;ProposalToGnatt[[#This Row],[Start Date]]+ProposalToGnatt[[#This Row],[Days]]),$G$5,"")),"")</f>
        <v/>
      </c>
      <c r="CM31" s="36" t="str">
        <f ca="1">IFERROR(+IF(CM$27=ProposalToGnatt[[#This Row],[Start Date]],Milestone_Marker,IF(AND(CM$27&gt;ProposalToGnatt[[#This Row],[Start Date]],CM$27&lt;ProposalToGnatt[[#This Row],[Start Date]]+ProposalToGnatt[[#This Row],[Days]]),$G$5,"")),"")</f>
        <v/>
      </c>
      <c r="CN31" s="36" t="str">
        <f ca="1">IFERROR(+IF(CN$27=ProposalToGnatt[[#This Row],[Start Date]],Milestone_Marker,IF(AND(CN$27&gt;ProposalToGnatt[[#This Row],[Start Date]],CN$27&lt;ProposalToGnatt[[#This Row],[Start Date]]+ProposalToGnatt[[#This Row],[Days]]),$G$5,"")),"")</f>
        <v/>
      </c>
      <c r="CO31" s="36" t="str">
        <f ca="1">IFERROR(+IF(CO$27=ProposalToGnatt[[#This Row],[Start Date]],Milestone_Marker,IF(AND(CO$27&gt;ProposalToGnatt[[#This Row],[Start Date]],CO$27&lt;ProposalToGnatt[[#This Row],[Start Date]]+ProposalToGnatt[[#This Row],[Days]]),$G$5,"")),"")</f>
        <v/>
      </c>
      <c r="CP31" s="36" t="str">
        <f ca="1">IFERROR(+IF(CP$27=ProposalToGnatt[[#This Row],[Start Date]],Milestone_Marker,IF(AND(CP$27&gt;ProposalToGnatt[[#This Row],[Start Date]],CP$27&lt;ProposalToGnatt[[#This Row],[Start Date]]+ProposalToGnatt[[#This Row],[Days]]),$G$5,"")),"")</f>
        <v/>
      </c>
      <c r="CQ31" s="36" t="str">
        <f ca="1">IFERROR(+IF(CQ$27=ProposalToGnatt[[#This Row],[Start Date]],Milestone_Marker,IF(AND(CQ$27&gt;ProposalToGnatt[[#This Row],[Start Date]],CQ$27&lt;ProposalToGnatt[[#This Row],[Start Date]]+ProposalToGnatt[[#This Row],[Days]]),$G$5,"")),"")</f>
        <v/>
      </c>
      <c r="CR31" s="36" t="str">
        <f ca="1">IFERROR(+IF(CR$27=ProposalToGnatt[[#This Row],[Start Date]],Milestone_Marker,IF(AND(CR$27&gt;ProposalToGnatt[[#This Row],[Start Date]],CR$27&lt;ProposalToGnatt[[#This Row],[Start Date]]+ProposalToGnatt[[#This Row],[Days]]),$G$5,"")),"")</f>
        <v/>
      </c>
      <c r="CS31" s="36" t="str">
        <f ca="1">IFERROR(+IF(CS$27=ProposalToGnatt[[#This Row],[Start Date]],Milestone_Marker,IF(AND(CS$27&gt;ProposalToGnatt[[#This Row],[Start Date]],CS$27&lt;ProposalToGnatt[[#This Row],[Start Date]]+ProposalToGnatt[[#This Row],[Days]]),$G$5,"")),"")</f>
        <v/>
      </c>
      <c r="CT31" s="36" t="str">
        <f ca="1">IFERROR(+IF(CT$27=ProposalToGnatt[[#This Row],[Start Date]],Milestone_Marker,IF(AND(CT$27&gt;ProposalToGnatt[[#This Row],[Start Date]],CT$27&lt;ProposalToGnatt[[#This Row],[Start Date]]+ProposalToGnatt[[#This Row],[Days]]),$G$5,"")),"")</f>
        <v/>
      </c>
      <c r="CU31" s="36" t="str">
        <f ca="1">IFERROR(+IF(CU$27=ProposalToGnatt[[#This Row],[Start Date]],Milestone_Marker,IF(AND(CU$27&gt;ProposalToGnatt[[#This Row],[Start Date]],CU$27&lt;ProposalToGnatt[[#This Row],[Start Date]]+ProposalToGnatt[[#This Row],[Days]]),$G$5,"")),"")</f>
        <v/>
      </c>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row>
    <row r="32" spans="1:125" s="41" customFormat="1" ht="20.100000000000001" customHeight="1" x14ac:dyDescent="0.25">
      <c r="A32" t="s">
        <v>730</v>
      </c>
      <c r="B32">
        <v>10</v>
      </c>
      <c r="C32" t="s">
        <v>174</v>
      </c>
      <c r="D32" t="s">
        <v>692</v>
      </c>
      <c r="E32" t="s">
        <v>704</v>
      </c>
      <c r="F32">
        <v>30</v>
      </c>
      <c r="G32" s="14">
        <v>62.5</v>
      </c>
      <c r="H32" s="14">
        <v>1875</v>
      </c>
      <c r="I32" t="s">
        <v>516</v>
      </c>
      <c r="J32">
        <v>4</v>
      </c>
      <c r="K32" s="261">
        <v>46075</v>
      </c>
      <c r="L32"/>
      <c r="M32" s="14">
        <v>1875</v>
      </c>
      <c r="N32" s="309">
        <v>1875</v>
      </c>
      <c r="O32" s="297"/>
      <c r="P32" s="36" t="str">
        <f ca="1">IFERROR(+IF(P$27=ProposalToGnatt[[#This Row],[Start Date]],Milestone_Marker,IF(AND(P$27&gt;ProposalToGnatt[[#This Row],[Start Date]],P$27&lt;ProposalToGnatt[[#This Row],[Start Date]]+ProposalToGnatt[[#This Row],[Days]]),$G$5,"")),"")</f>
        <v/>
      </c>
      <c r="Q32" s="36" t="str">
        <f ca="1">IFERROR(+IF(Q$27=ProposalToGnatt[[#This Row],[Start Date]],Milestone_Marker,IF(AND(Q$27&gt;ProposalToGnatt[[#This Row],[Start Date]],Q$27&lt;ProposalToGnatt[[#This Row],[Start Date]]+ProposalToGnatt[[#This Row],[Days]]),$G$5,"")),"")</f>
        <v/>
      </c>
      <c r="R32" s="36" t="str">
        <f ca="1">IFERROR(+IF(R$27=ProposalToGnatt[[#This Row],[Start Date]],Milestone_Marker,IF(AND(R$27&gt;ProposalToGnatt[[#This Row],[Start Date]],R$27&lt;ProposalToGnatt[[#This Row],[Start Date]]+ProposalToGnatt[[#This Row],[Days]]),$G$5,"")),"")</f>
        <v/>
      </c>
      <c r="S32" s="36" t="str">
        <f ca="1">IFERROR(+IF(S$27=ProposalToGnatt[[#This Row],[Start Date]],Milestone_Marker,IF(AND(S$27&gt;ProposalToGnatt[[#This Row],[Start Date]],S$27&lt;ProposalToGnatt[[#This Row],[Start Date]]+ProposalToGnatt[[#This Row],[Days]]),$G$5,"")),"")</f>
        <v/>
      </c>
      <c r="T32" s="36" t="str">
        <f ca="1">IFERROR(+IF(T$27=ProposalToGnatt[[#This Row],[Start Date]],Milestone_Marker,IF(AND(T$27&gt;ProposalToGnatt[[#This Row],[Start Date]],T$27&lt;ProposalToGnatt[[#This Row],[Start Date]]+ProposalToGnatt[[#This Row],[Days]]),$G$5,"")),"")</f>
        <v/>
      </c>
      <c r="U32" s="36" t="str">
        <f ca="1">IFERROR(+IF(U$27=ProposalToGnatt[[#This Row],[Start Date]],Milestone_Marker,IF(AND(U$27&gt;ProposalToGnatt[[#This Row],[Start Date]],U$27&lt;ProposalToGnatt[[#This Row],[Start Date]]+ProposalToGnatt[[#This Row],[Days]]),$G$5,"")),"")</f>
        <v/>
      </c>
      <c r="V32" s="36" t="str">
        <f ca="1">IFERROR(+IF(V$27=ProposalToGnatt[[#This Row],[Start Date]],Milestone_Marker,IF(AND(V$27&gt;ProposalToGnatt[[#This Row],[Start Date]],V$27&lt;ProposalToGnatt[[#This Row],[Start Date]]+ProposalToGnatt[[#This Row],[Days]]),$G$5,"")),"")</f>
        <v/>
      </c>
      <c r="W32" s="36" t="str">
        <f ca="1">IFERROR(+IF(W$27=ProposalToGnatt[[#This Row],[Start Date]],Milestone_Marker,IF(AND(W$27&gt;ProposalToGnatt[[#This Row],[Start Date]],W$27&lt;ProposalToGnatt[[#This Row],[Start Date]]+ProposalToGnatt[[#This Row],[Days]]),$G$5,"")),"")</f>
        <v/>
      </c>
      <c r="X32" s="36" t="str">
        <f ca="1">IFERROR(+IF(X$27=ProposalToGnatt[[#This Row],[Start Date]],Milestone_Marker,IF(AND(X$27&gt;ProposalToGnatt[[#This Row],[Start Date]],X$27&lt;ProposalToGnatt[[#This Row],[Start Date]]+ProposalToGnatt[[#This Row],[Days]]),$G$5,"")),"")</f>
        <v/>
      </c>
      <c r="Y32" s="36" t="str">
        <f ca="1">IFERROR(+IF(Y$27=ProposalToGnatt[[#This Row],[Start Date]],Milestone_Marker,IF(AND(Y$27&gt;ProposalToGnatt[[#This Row],[Start Date]],Y$27&lt;ProposalToGnatt[[#This Row],[Start Date]]+ProposalToGnatt[[#This Row],[Days]]),$G$5,"")),"")</f>
        <v/>
      </c>
      <c r="Z32" s="36" t="str">
        <f ca="1">IFERROR(+IF(Z$27=ProposalToGnatt[[#This Row],[Start Date]],Milestone_Marker,IF(AND(Z$27&gt;ProposalToGnatt[[#This Row],[Start Date]],Z$27&lt;ProposalToGnatt[[#This Row],[Start Date]]+ProposalToGnatt[[#This Row],[Days]]),$G$5,"")),"")</f>
        <v/>
      </c>
      <c r="AA32" s="36" t="str">
        <f ca="1">IFERROR(+IF(AA$27=ProposalToGnatt[[#This Row],[Start Date]],Milestone_Marker,IF(AND(AA$27&gt;ProposalToGnatt[[#This Row],[Start Date]],AA$27&lt;ProposalToGnatt[[#This Row],[Start Date]]+ProposalToGnatt[[#This Row],[Days]]),$G$5,"")),"")</f>
        <v/>
      </c>
      <c r="AB32" s="36" t="str">
        <f ca="1">IFERROR(+IF(AB$27=ProposalToGnatt[[#This Row],[Start Date]],Milestone_Marker,IF(AND(AB$27&gt;ProposalToGnatt[[#This Row],[Start Date]],AB$27&lt;ProposalToGnatt[[#This Row],[Start Date]]+ProposalToGnatt[[#This Row],[Days]]),$G$5,"")),"")</f>
        <v/>
      </c>
      <c r="AC32" s="36" t="str">
        <f ca="1">IFERROR(+IF(AC$27=ProposalToGnatt[[#This Row],[Start Date]],Milestone_Marker,IF(AND(AC$27&gt;ProposalToGnatt[[#This Row],[Start Date]],AC$27&lt;ProposalToGnatt[[#This Row],[Start Date]]+ProposalToGnatt[[#This Row],[Days]]),$G$5,"")),"")</f>
        <v/>
      </c>
      <c r="AD32" s="36" t="str">
        <f ca="1">IFERROR(+IF(AD$27=ProposalToGnatt[[#This Row],[Start Date]],Milestone_Marker,IF(AND(AD$27&gt;ProposalToGnatt[[#This Row],[Start Date]],AD$27&lt;ProposalToGnatt[[#This Row],[Start Date]]+ProposalToGnatt[[#This Row],[Days]]),$G$5,"")),"")</f>
        <v/>
      </c>
      <c r="AE32" s="36" t="str">
        <f ca="1">IFERROR(+IF(AE$27=ProposalToGnatt[[#This Row],[Start Date]],Milestone_Marker,IF(AND(AE$27&gt;ProposalToGnatt[[#This Row],[Start Date]],AE$27&lt;ProposalToGnatt[[#This Row],[Start Date]]+ProposalToGnatt[[#This Row],[Days]]),$G$5,"")),"")</f>
        <v/>
      </c>
      <c r="AF32" s="36" t="str">
        <f ca="1">IFERROR(+IF(AF$27=ProposalToGnatt[[#This Row],[Start Date]],Milestone_Marker,IF(AND(AF$27&gt;ProposalToGnatt[[#This Row],[Start Date]],AF$27&lt;ProposalToGnatt[[#This Row],[Start Date]]+ProposalToGnatt[[#This Row],[Days]]),$G$5,"")),"")</f>
        <v/>
      </c>
      <c r="AG32" s="36" t="str">
        <f ca="1">IFERROR(+IF(AG$27=ProposalToGnatt[[#This Row],[Start Date]],Milestone_Marker,IF(AND(AG$27&gt;ProposalToGnatt[[#This Row],[Start Date]],AG$27&lt;ProposalToGnatt[[#This Row],[Start Date]]+ProposalToGnatt[[#This Row],[Days]]),$G$5,"")),"")</f>
        <v/>
      </c>
      <c r="AH32" s="36" t="str">
        <f ca="1">IFERROR(+IF(AH$27=ProposalToGnatt[[#This Row],[Start Date]],Milestone_Marker,IF(AND(AH$27&gt;ProposalToGnatt[[#This Row],[Start Date]],AH$27&lt;ProposalToGnatt[[#This Row],[Start Date]]+ProposalToGnatt[[#This Row],[Days]]),$G$5,"")),"")</f>
        <v/>
      </c>
      <c r="AI32" s="36" t="str">
        <f ca="1">IFERROR(+IF(AI$27=ProposalToGnatt[[#This Row],[Start Date]],Milestone_Marker,IF(AND(AI$27&gt;ProposalToGnatt[[#This Row],[Start Date]],AI$27&lt;ProposalToGnatt[[#This Row],[Start Date]]+ProposalToGnatt[[#This Row],[Days]]),$G$5,"")),"")</f>
        <v/>
      </c>
      <c r="AJ32" s="36" t="str">
        <f ca="1">IFERROR(+IF(AJ$27=ProposalToGnatt[[#This Row],[Start Date]],Milestone_Marker,IF(AND(AJ$27&gt;ProposalToGnatt[[#This Row],[Start Date]],AJ$27&lt;ProposalToGnatt[[#This Row],[Start Date]]+ProposalToGnatt[[#This Row],[Days]]),$G$5,"")),"")</f>
        <v/>
      </c>
      <c r="AK32" s="36" t="str">
        <f ca="1">IFERROR(+IF(AK$27=ProposalToGnatt[[#This Row],[Start Date]],Milestone_Marker,IF(AND(AK$27&gt;ProposalToGnatt[[#This Row],[Start Date]],AK$27&lt;ProposalToGnatt[[#This Row],[Start Date]]+ProposalToGnatt[[#This Row],[Days]]),$G$5,"")),"")</f>
        <v/>
      </c>
      <c r="AL32" s="36" t="str">
        <f ca="1">IFERROR(+IF(AL$27=ProposalToGnatt[[#This Row],[Start Date]],Milestone_Marker,IF(AND(AL$27&gt;ProposalToGnatt[[#This Row],[Start Date]],AL$27&lt;ProposalToGnatt[[#This Row],[Start Date]]+ProposalToGnatt[[#This Row],[Days]]),$G$5,"")),"")</f>
        <v/>
      </c>
      <c r="AM32" s="36" t="str">
        <f ca="1">IFERROR(+IF(AM$27=ProposalToGnatt[[#This Row],[Start Date]],Milestone_Marker,IF(AND(AM$27&gt;ProposalToGnatt[[#This Row],[Start Date]],AM$27&lt;ProposalToGnatt[[#This Row],[Start Date]]+ProposalToGnatt[[#This Row],[Days]]),$G$5,"")),"")</f>
        <v/>
      </c>
      <c r="AN32" s="36" t="str">
        <f ca="1">IFERROR(+IF(AN$27=ProposalToGnatt[[#This Row],[Start Date]],Milestone_Marker,IF(AND(AN$27&gt;ProposalToGnatt[[#This Row],[Start Date]],AN$27&lt;ProposalToGnatt[[#This Row],[Start Date]]+ProposalToGnatt[[#This Row],[Days]]),$G$5,"")),"")</f>
        <v/>
      </c>
      <c r="AO32" s="36" t="str">
        <f ca="1">IFERROR(+IF(AO$27=ProposalToGnatt[[#This Row],[Start Date]],Milestone_Marker,IF(AND(AO$27&gt;ProposalToGnatt[[#This Row],[Start Date]],AO$27&lt;ProposalToGnatt[[#This Row],[Start Date]]+ProposalToGnatt[[#This Row],[Days]]),$G$5,"")),"")</f>
        <v/>
      </c>
      <c r="AP32" s="36" t="str">
        <f ca="1">IFERROR(+IF(AP$27=ProposalToGnatt[[#This Row],[Start Date]],Milestone_Marker,IF(AND(AP$27&gt;ProposalToGnatt[[#This Row],[Start Date]],AP$27&lt;ProposalToGnatt[[#This Row],[Start Date]]+ProposalToGnatt[[#This Row],[Days]]),$G$5,"")),"")</f>
        <v/>
      </c>
      <c r="AQ32" s="36" t="str">
        <f ca="1">IFERROR(+IF(AQ$27=ProposalToGnatt[[#This Row],[Start Date]],Milestone_Marker,IF(AND(AQ$27&gt;ProposalToGnatt[[#This Row],[Start Date]],AQ$27&lt;ProposalToGnatt[[#This Row],[Start Date]]+ProposalToGnatt[[#This Row],[Days]]),$G$5,"")),"")</f>
        <v/>
      </c>
      <c r="AR32" s="36" t="str">
        <f ca="1">IFERROR(+IF(AR$27=ProposalToGnatt[[#This Row],[Start Date]],Milestone_Marker,IF(AND(AR$27&gt;ProposalToGnatt[[#This Row],[Start Date]],AR$27&lt;ProposalToGnatt[[#This Row],[Start Date]]+ProposalToGnatt[[#This Row],[Days]]),$G$5,"")),"")</f>
        <v/>
      </c>
      <c r="AS32" s="36" t="str">
        <f ca="1">IFERROR(+IF(AS$27=ProposalToGnatt[[#This Row],[Start Date]],Milestone_Marker,IF(AND(AS$27&gt;ProposalToGnatt[[#This Row],[Start Date]],AS$27&lt;ProposalToGnatt[[#This Row],[Start Date]]+ProposalToGnatt[[#This Row],[Days]]),$G$5,"")),"")</f>
        <v/>
      </c>
      <c r="AT32" s="36" t="str">
        <f ca="1">IFERROR(+IF(AT$27=ProposalToGnatt[[#This Row],[Start Date]],Milestone_Marker,IF(AND(AT$27&gt;ProposalToGnatt[[#This Row],[Start Date]],AT$27&lt;ProposalToGnatt[[#This Row],[Start Date]]+ProposalToGnatt[[#This Row],[Days]]),$G$5,"")),"")</f>
        <v/>
      </c>
      <c r="AU32" s="36" t="str">
        <f ca="1">IFERROR(+IF(AU$27=ProposalToGnatt[[#This Row],[Start Date]],Milestone_Marker,IF(AND(AU$27&gt;ProposalToGnatt[[#This Row],[Start Date]],AU$27&lt;ProposalToGnatt[[#This Row],[Start Date]]+ProposalToGnatt[[#This Row],[Days]]),$G$5,"")),"")</f>
        <v/>
      </c>
      <c r="AV32" s="36" t="str">
        <f ca="1">IFERROR(+IF(AV$27=ProposalToGnatt[[#This Row],[Start Date]],Milestone_Marker,IF(AND(AV$27&gt;ProposalToGnatt[[#This Row],[Start Date]],AV$27&lt;ProposalToGnatt[[#This Row],[Start Date]]+ProposalToGnatt[[#This Row],[Days]]),$G$5,"")),"")</f>
        <v/>
      </c>
      <c r="AW32" s="36" t="str">
        <f ca="1">IFERROR(+IF(AW$27=ProposalToGnatt[[#This Row],[Start Date]],Milestone_Marker,IF(AND(AW$27&gt;ProposalToGnatt[[#This Row],[Start Date]],AW$27&lt;ProposalToGnatt[[#This Row],[Start Date]]+ProposalToGnatt[[#This Row],[Days]]),$G$5,"")),"")</f>
        <v/>
      </c>
      <c r="AX32" s="36" t="str">
        <f ca="1">IFERROR(+IF(AX$27=ProposalToGnatt[[#This Row],[Start Date]],Milestone_Marker,IF(AND(AX$27&gt;ProposalToGnatt[[#This Row],[Start Date]],AX$27&lt;ProposalToGnatt[[#This Row],[Start Date]]+ProposalToGnatt[[#This Row],[Days]]),$G$5,"")),"")</f>
        <v/>
      </c>
      <c r="AY32" s="36" t="str">
        <f ca="1">IFERROR(+IF(AY$27=ProposalToGnatt[[#This Row],[Start Date]],Milestone_Marker,IF(AND(AY$27&gt;ProposalToGnatt[[#This Row],[Start Date]],AY$27&lt;ProposalToGnatt[[#This Row],[Start Date]]+ProposalToGnatt[[#This Row],[Days]]),$G$5,"")),"")</f>
        <v/>
      </c>
      <c r="AZ32" s="36" t="str">
        <f ca="1">IFERROR(+IF(AZ$27=ProposalToGnatt[[#This Row],[Start Date]],Milestone_Marker,IF(AND(AZ$27&gt;ProposalToGnatt[[#This Row],[Start Date]],AZ$27&lt;ProposalToGnatt[[#This Row],[Start Date]]+ProposalToGnatt[[#This Row],[Days]]),$G$5,"")),"")</f>
        <v/>
      </c>
      <c r="BA32" s="36" t="str">
        <f ca="1">IFERROR(+IF(BA$27=ProposalToGnatt[[#This Row],[Start Date]],Milestone_Marker,IF(AND(BA$27&gt;ProposalToGnatt[[#This Row],[Start Date]],BA$27&lt;ProposalToGnatt[[#This Row],[Start Date]]+ProposalToGnatt[[#This Row],[Days]]),$G$5,"")),"")</f>
        <v/>
      </c>
      <c r="BB32" s="36" t="str">
        <f ca="1">IFERROR(+IF(BB$27=ProposalToGnatt[[#This Row],[Start Date]],Milestone_Marker,IF(AND(BB$27&gt;ProposalToGnatt[[#This Row],[Start Date]],BB$27&lt;ProposalToGnatt[[#This Row],[Start Date]]+ProposalToGnatt[[#This Row],[Days]]),$G$5,"")),"")</f>
        <v/>
      </c>
      <c r="BC32" s="36" t="str">
        <f ca="1">IFERROR(+IF(BC$27=ProposalToGnatt[[#This Row],[Start Date]],Milestone_Marker,IF(AND(BC$27&gt;ProposalToGnatt[[#This Row],[Start Date]],BC$27&lt;ProposalToGnatt[[#This Row],[Start Date]]+ProposalToGnatt[[#This Row],[Days]]),$G$5,"")),"")</f>
        <v/>
      </c>
      <c r="BD32" s="36" t="str">
        <f ca="1">IFERROR(+IF(BD$27=ProposalToGnatt[[#This Row],[Start Date]],Milestone_Marker,IF(AND(BD$27&gt;ProposalToGnatt[[#This Row],[Start Date]],BD$27&lt;ProposalToGnatt[[#This Row],[Start Date]]+ProposalToGnatt[[#This Row],[Days]]),$G$5,"")),"")</f>
        <v/>
      </c>
      <c r="BE32" s="36" t="str">
        <f ca="1">IFERROR(+IF(BE$27=ProposalToGnatt[[#This Row],[Start Date]],Milestone_Marker,IF(AND(BE$27&gt;ProposalToGnatt[[#This Row],[Start Date]],BE$27&lt;ProposalToGnatt[[#This Row],[Start Date]]+ProposalToGnatt[[#This Row],[Days]]),$G$5,"")),"")</f>
        <v/>
      </c>
      <c r="BF32" s="36" t="str">
        <f ca="1">IFERROR(+IF(BF$27=ProposalToGnatt[[#This Row],[Start Date]],Milestone_Marker,IF(AND(BF$27&gt;ProposalToGnatt[[#This Row],[Start Date]],BF$27&lt;ProposalToGnatt[[#This Row],[Start Date]]+ProposalToGnatt[[#This Row],[Days]]),$G$5,"")),"")</f>
        <v/>
      </c>
      <c r="BG32" s="36" t="str">
        <f ca="1">IFERROR(+IF(BG$27=ProposalToGnatt[[#This Row],[Start Date]],Milestone_Marker,IF(AND(BG$27&gt;ProposalToGnatt[[#This Row],[Start Date]],BG$27&lt;ProposalToGnatt[[#This Row],[Start Date]]+ProposalToGnatt[[#This Row],[Days]]),$G$5,"")),"")</f>
        <v/>
      </c>
      <c r="BH32" s="36" t="str">
        <f ca="1">IFERROR(+IF(BH$27=ProposalToGnatt[[#This Row],[Start Date]],Milestone_Marker,IF(AND(BH$27&gt;ProposalToGnatt[[#This Row],[Start Date]],BH$27&lt;ProposalToGnatt[[#This Row],[Start Date]]+ProposalToGnatt[[#This Row],[Days]]),$G$5,"")),"")</f>
        <v/>
      </c>
      <c r="BI32" s="36" t="str">
        <f ca="1">IFERROR(+IF(BI$27=ProposalToGnatt[[#This Row],[Start Date]],Milestone_Marker,IF(AND(BI$27&gt;ProposalToGnatt[[#This Row],[Start Date]],BI$27&lt;ProposalToGnatt[[#This Row],[Start Date]]+ProposalToGnatt[[#This Row],[Days]]),$G$5,"")),"")</f>
        <v/>
      </c>
      <c r="BJ32" s="36" t="str">
        <f ca="1">IFERROR(+IF(BJ$27=ProposalToGnatt[[#This Row],[Start Date]],Milestone_Marker,IF(AND(BJ$27&gt;ProposalToGnatt[[#This Row],[Start Date]],BJ$27&lt;ProposalToGnatt[[#This Row],[Start Date]]+ProposalToGnatt[[#This Row],[Days]]),$G$5,"")),"")</f>
        <v/>
      </c>
      <c r="BK32" s="36" t="str">
        <f ca="1">IFERROR(+IF(BK$27=ProposalToGnatt[[#This Row],[Start Date]],Milestone_Marker,IF(AND(BK$27&gt;ProposalToGnatt[[#This Row],[Start Date]],BK$27&lt;ProposalToGnatt[[#This Row],[Start Date]]+ProposalToGnatt[[#This Row],[Days]]),$G$5,"")),"")</f>
        <v/>
      </c>
      <c r="BL32" s="36" t="str">
        <f ca="1">IFERROR(+IF(BL$27=ProposalToGnatt[[#This Row],[Start Date]],Milestone_Marker,IF(AND(BL$27&gt;ProposalToGnatt[[#This Row],[Start Date]],BL$27&lt;ProposalToGnatt[[#This Row],[Start Date]]+ProposalToGnatt[[#This Row],[Days]]),$G$5,"")),"")</f>
        <v/>
      </c>
      <c r="BM32" s="36" t="str">
        <f ca="1">IFERROR(+IF(BM$27=ProposalToGnatt[[#This Row],[Start Date]],Milestone_Marker,IF(AND(BM$27&gt;ProposalToGnatt[[#This Row],[Start Date]],BM$27&lt;ProposalToGnatt[[#This Row],[Start Date]]+ProposalToGnatt[[#This Row],[Days]]),$G$5,"")),"")</f>
        <v/>
      </c>
      <c r="BN32" s="36" t="str">
        <f ca="1">IFERROR(+IF(BN$27=ProposalToGnatt[[#This Row],[Start Date]],Milestone_Marker,IF(AND(BN$27&gt;ProposalToGnatt[[#This Row],[Start Date]],BN$27&lt;ProposalToGnatt[[#This Row],[Start Date]]+ProposalToGnatt[[#This Row],[Days]]),$G$5,"")),"")</f>
        <v/>
      </c>
      <c r="BO32" s="36" t="str">
        <f ca="1">IFERROR(+IF(BO$27=ProposalToGnatt[[#This Row],[Start Date]],Milestone_Marker,IF(AND(BO$27&gt;ProposalToGnatt[[#This Row],[Start Date]],BO$27&lt;ProposalToGnatt[[#This Row],[Start Date]]+ProposalToGnatt[[#This Row],[Days]]),$G$5,"")),"")</f>
        <v/>
      </c>
      <c r="BP32" s="36" t="str">
        <f ca="1">IFERROR(+IF(BP$27=ProposalToGnatt[[#This Row],[Start Date]],Milestone_Marker,IF(AND(BP$27&gt;ProposalToGnatt[[#This Row],[Start Date]],BP$27&lt;ProposalToGnatt[[#This Row],[Start Date]]+ProposalToGnatt[[#This Row],[Days]]),$G$5,"")),"")</f>
        <v/>
      </c>
      <c r="BQ32" s="36" t="str">
        <f ca="1">IFERROR(+IF(BQ$27=ProposalToGnatt[[#This Row],[Start Date]],Milestone_Marker,IF(AND(BQ$27&gt;ProposalToGnatt[[#This Row],[Start Date]],BQ$27&lt;ProposalToGnatt[[#This Row],[Start Date]]+ProposalToGnatt[[#This Row],[Days]]),$G$5,"")),"")</f>
        <v/>
      </c>
      <c r="BR32" s="36" t="str">
        <f ca="1">IFERROR(+IF(BR$27=ProposalToGnatt[[#This Row],[Start Date]],Milestone_Marker,IF(AND(BR$27&gt;ProposalToGnatt[[#This Row],[Start Date]],BR$27&lt;ProposalToGnatt[[#This Row],[Start Date]]+ProposalToGnatt[[#This Row],[Days]]),$G$5,"")),"")</f>
        <v/>
      </c>
      <c r="BS32" s="36" t="str">
        <f ca="1">IFERROR(+IF(BS$27=ProposalToGnatt[[#This Row],[Start Date]],Milestone_Marker,IF(AND(BS$27&gt;ProposalToGnatt[[#This Row],[Start Date]],BS$27&lt;ProposalToGnatt[[#This Row],[Start Date]]+ProposalToGnatt[[#This Row],[Days]]),$G$5,"")),"")</f>
        <v/>
      </c>
      <c r="BT32" s="36" t="str">
        <f ca="1">IFERROR(+IF(BT$27=ProposalToGnatt[[#This Row],[Start Date]],Milestone_Marker,IF(AND(BT$27&gt;ProposalToGnatt[[#This Row],[Start Date]],BT$27&lt;ProposalToGnatt[[#This Row],[Start Date]]+ProposalToGnatt[[#This Row],[Days]]),$G$5,"")),"")</f>
        <v/>
      </c>
      <c r="BU32" s="36" t="str">
        <f ca="1">IFERROR(+IF(BU$27=ProposalToGnatt[[#This Row],[Start Date]],Milestone_Marker,IF(AND(BU$27&gt;ProposalToGnatt[[#This Row],[Start Date]],BU$27&lt;ProposalToGnatt[[#This Row],[Start Date]]+ProposalToGnatt[[#This Row],[Days]]),$G$5,"")),"")</f>
        <v/>
      </c>
      <c r="BV32" s="36" t="str">
        <f ca="1">IFERROR(+IF(BV$27=ProposalToGnatt[[#This Row],[Start Date]],Milestone_Marker,IF(AND(BV$27&gt;ProposalToGnatt[[#This Row],[Start Date]],BV$27&lt;ProposalToGnatt[[#This Row],[Start Date]]+ProposalToGnatt[[#This Row],[Days]]),$G$5,"")),"")</f>
        <v/>
      </c>
      <c r="BW32" s="36" t="str">
        <f ca="1">IFERROR(+IF(BW$27=ProposalToGnatt[[#This Row],[Start Date]],Milestone_Marker,IF(AND(BW$27&gt;ProposalToGnatt[[#This Row],[Start Date]],BW$27&lt;ProposalToGnatt[[#This Row],[Start Date]]+ProposalToGnatt[[#This Row],[Days]]),$G$5,"")),"")</f>
        <v/>
      </c>
      <c r="BX32" s="36" t="str">
        <f ca="1">IFERROR(+IF(BX$27=ProposalToGnatt[[#This Row],[Start Date]],Milestone_Marker,IF(AND(BX$27&gt;ProposalToGnatt[[#This Row],[Start Date]],BX$27&lt;ProposalToGnatt[[#This Row],[Start Date]]+ProposalToGnatt[[#This Row],[Days]]),$G$5,"")),"")</f>
        <v/>
      </c>
      <c r="BY32" s="36" t="str">
        <f ca="1">IFERROR(+IF(BY$27=ProposalToGnatt[[#This Row],[Start Date]],Milestone_Marker,IF(AND(BY$27&gt;ProposalToGnatt[[#This Row],[Start Date]],BY$27&lt;ProposalToGnatt[[#This Row],[Start Date]]+ProposalToGnatt[[#This Row],[Days]]),$G$5,"")),"")</f>
        <v/>
      </c>
      <c r="BZ32" s="36" t="str">
        <f ca="1">IFERROR(+IF(BZ$27=ProposalToGnatt[[#This Row],[Start Date]],Milestone_Marker,IF(AND(BZ$27&gt;ProposalToGnatt[[#This Row],[Start Date]],BZ$27&lt;ProposalToGnatt[[#This Row],[Start Date]]+ProposalToGnatt[[#This Row],[Days]]),$G$5,"")),"")</f>
        <v/>
      </c>
      <c r="CA32" s="36" t="str">
        <f ca="1">IFERROR(+IF(CA$27=ProposalToGnatt[[#This Row],[Start Date]],Milestone_Marker,IF(AND(CA$27&gt;ProposalToGnatt[[#This Row],[Start Date]],CA$27&lt;ProposalToGnatt[[#This Row],[Start Date]]+ProposalToGnatt[[#This Row],[Days]]),$G$5,"")),"")</f>
        <v/>
      </c>
      <c r="CB32" s="36" t="str">
        <f ca="1">IFERROR(+IF(CB$27=ProposalToGnatt[[#This Row],[Start Date]],Milestone_Marker,IF(AND(CB$27&gt;ProposalToGnatt[[#This Row],[Start Date]],CB$27&lt;ProposalToGnatt[[#This Row],[Start Date]]+ProposalToGnatt[[#This Row],[Days]]),$G$5,"")),"")</f>
        <v/>
      </c>
      <c r="CC32" s="36" t="str">
        <f ca="1">IFERROR(+IF(CC$27=ProposalToGnatt[[#This Row],[Start Date]],Milestone_Marker,IF(AND(CC$27&gt;ProposalToGnatt[[#This Row],[Start Date]],CC$27&lt;ProposalToGnatt[[#This Row],[Start Date]]+ProposalToGnatt[[#This Row],[Days]]),$G$5,"")),"")</f>
        <v/>
      </c>
      <c r="CD32" s="36" t="str">
        <f ca="1">IFERROR(+IF(CD$27=ProposalToGnatt[[#This Row],[Start Date]],Milestone_Marker,IF(AND(CD$27&gt;ProposalToGnatt[[#This Row],[Start Date]],CD$27&lt;ProposalToGnatt[[#This Row],[Start Date]]+ProposalToGnatt[[#This Row],[Days]]),$G$5,"")),"")</f>
        <v/>
      </c>
      <c r="CE32" s="36" t="str">
        <f ca="1">IFERROR(+IF(CE$27=ProposalToGnatt[[#This Row],[Start Date]],Milestone_Marker,IF(AND(CE$27&gt;ProposalToGnatt[[#This Row],[Start Date]],CE$27&lt;ProposalToGnatt[[#This Row],[Start Date]]+ProposalToGnatt[[#This Row],[Days]]),$G$5,"")),"")</f>
        <v/>
      </c>
      <c r="CF32" s="36" t="str">
        <f ca="1">IFERROR(+IF(CF$27=ProposalToGnatt[[#This Row],[Start Date]],Milestone_Marker,IF(AND(CF$27&gt;ProposalToGnatt[[#This Row],[Start Date]],CF$27&lt;ProposalToGnatt[[#This Row],[Start Date]]+ProposalToGnatt[[#This Row],[Days]]),$G$5,"")),"")</f>
        <v/>
      </c>
      <c r="CG32" s="36" t="str">
        <f ca="1">IFERROR(+IF(CG$27=ProposalToGnatt[[#This Row],[Start Date]],Milestone_Marker,IF(AND(CG$27&gt;ProposalToGnatt[[#This Row],[Start Date]],CG$27&lt;ProposalToGnatt[[#This Row],[Start Date]]+ProposalToGnatt[[#This Row],[Days]]),$G$5,"")),"")</f>
        <v/>
      </c>
      <c r="CH32" s="36" t="str">
        <f ca="1">IFERROR(+IF(CH$27=ProposalToGnatt[[#This Row],[Start Date]],Milestone_Marker,IF(AND(CH$27&gt;ProposalToGnatt[[#This Row],[Start Date]],CH$27&lt;ProposalToGnatt[[#This Row],[Start Date]]+ProposalToGnatt[[#This Row],[Days]]),$G$5,"")),"")</f>
        <v/>
      </c>
      <c r="CI32" s="36" t="str">
        <f ca="1">IFERROR(+IF(CI$27=ProposalToGnatt[[#This Row],[Start Date]],Milestone_Marker,IF(AND(CI$27&gt;ProposalToGnatt[[#This Row],[Start Date]],CI$27&lt;ProposalToGnatt[[#This Row],[Start Date]]+ProposalToGnatt[[#This Row],[Days]]),$G$5,"")),"")</f>
        <v/>
      </c>
      <c r="CJ32" s="36" t="str">
        <f ca="1">IFERROR(+IF(CJ$27=ProposalToGnatt[[#This Row],[Start Date]],Milestone_Marker,IF(AND(CJ$27&gt;ProposalToGnatt[[#This Row],[Start Date]],CJ$27&lt;ProposalToGnatt[[#This Row],[Start Date]]+ProposalToGnatt[[#This Row],[Days]]),$G$5,"")),"")</f>
        <v/>
      </c>
      <c r="CK32" s="36" t="str">
        <f ca="1">IFERROR(+IF(CK$27=ProposalToGnatt[[#This Row],[Start Date]],Milestone_Marker,IF(AND(CK$27&gt;ProposalToGnatt[[#This Row],[Start Date]],CK$27&lt;ProposalToGnatt[[#This Row],[Start Date]]+ProposalToGnatt[[#This Row],[Days]]),$G$5,"")),"")</f>
        <v/>
      </c>
      <c r="CL32" s="36" t="str">
        <f ca="1">IFERROR(+IF(CL$27=ProposalToGnatt[[#This Row],[Start Date]],Milestone_Marker,IF(AND(CL$27&gt;ProposalToGnatt[[#This Row],[Start Date]],CL$27&lt;ProposalToGnatt[[#This Row],[Start Date]]+ProposalToGnatt[[#This Row],[Days]]),$G$5,"")),"")</f>
        <v/>
      </c>
      <c r="CM32" s="36" t="str">
        <f ca="1">IFERROR(+IF(CM$27=ProposalToGnatt[[#This Row],[Start Date]],Milestone_Marker,IF(AND(CM$27&gt;ProposalToGnatt[[#This Row],[Start Date]],CM$27&lt;ProposalToGnatt[[#This Row],[Start Date]]+ProposalToGnatt[[#This Row],[Days]]),$G$5,"")),"")</f>
        <v/>
      </c>
      <c r="CN32" s="36" t="str">
        <f ca="1">IFERROR(+IF(CN$27=ProposalToGnatt[[#This Row],[Start Date]],Milestone_Marker,IF(AND(CN$27&gt;ProposalToGnatt[[#This Row],[Start Date]],CN$27&lt;ProposalToGnatt[[#This Row],[Start Date]]+ProposalToGnatt[[#This Row],[Days]]),$G$5,"")),"")</f>
        <v/>
      </c>
      <c r="CO32" s="36" t="str">
        <f ca="1">IFERROR(+IF(CO$27=ProposalToGnatt[[#This Row],[Start Date]],Milestone_Marker,IF(AND(CO$27&gt;ProposalToGnatt[[#This Row],[Start Date]],CO$27&lt;ProposalToGnatt[[#This Row],[Start Date]]+ProposalToGnatt[[#This Row],[Days]]),$G$5,"")),"")</f>
        <v/>
      </c>
      <c r="CP32" s="36" t="str">
        <f ca="1">IFERROR(+IF(CP$27=ProposalToGnatt[[#This Row],[Start Date]],Milestone_Marker,IF(AND(CP$27&gt;ProposalToGnatt[[#This Row],[Start Date]],CP$27&lt;ProposalToGnatt[[#This Row],[Start Date]]+ProposalToGnatt[[#This Row],[Days]]),$G$5,"")),"")</f>
        <v/>
      </c>
      <c r="CQ32" s="36" t="str">
        <f ca="1">IFERROR(+IF(CQ$27=ProposalToGnatt[[#This Row],[Start Date]],Milestone_Marker,IF(AND(CQ$27&gt;ProposalToGnatt[[#This Row],[Start Date]],CQ$27&lt;ProposalToGnatt[[#This Row],[Start Date]]+ProposalToGnatt[[#This Row],[Days]]),$G$5,"")),"")</f>
        <v/>
      </c>
      <c r="CR32" s="36" t="str">
        <f ca="1">IFERROR(+IF(CR$27=ProposalToGnatt[[#This Row],[Start Date]],Milestone_Marker,IF(AND(CR$27&gt;ProposalToGnatt[[#This Row],[Start Date]],CR$27&lt;ProposalToGnatt[[#This Row],[Start Date]]+ProposalToGnatt[[#This Row],[Days]]),$G$5,"")),"")</f>
        <v/>
      </c>
      <c r="CS32" s="36" t="str">
        <f ca="1">IFERROR(+IF(CS$27=ProposalToGnatt[[#This Row],[Start Date]],Milestone_Marker,IF(AND(CS$27&gt;ProposalToGnatt[[#This Row],[Start Date]],CS$27&lt;ProposalToGnatt[[#This Row],[Start Date]]+ProposalToGnatt[[#This Row],[Days]]),$G$5,"")),"")</f>
        <v/>
      </c>
      <c r="CT32" s="36" t="str">
        <f ca="1">IFERROR(+IF(CT$27=ProposalToGnatt[[#This Row],[Start Date]],Milestone_Marker,IF(AND(CT$27&gt;ProposalToGnatt[[#This Row],[Start Date]],CT$27&lt;ProposalToGnatt[[#This Row],[Start Date]]+ProposalToGnatt[[#This Row],[Days]]),$G$5,"")),"")</f>
        <v/>
      </c>
      <c r="CU32" s="36" t="str">
        <f ca="1">IFERROR(+IF(CU$27=ProposalToGnatt[[#This Row],[Start Date]],Milestone_Marker,IF(AND(CU$27&gt;ProposalToGnatt[[#This Row],[Start Date]],CU$27&lt;ProposalToGnatt[[#This Row],[Start Date]]+ProposalToGnatt[[#This Row],[Days]]),$G$5,"")),"")</f>
        <v/>
      </c>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row>
    <row r="33" spans="1:125" s="41" customFormat="1" ht="20.100000000000001" customHeight="1" x14ac:dyDescent="0.25">
      <c r="A33" t="s">
        <v>730</v>
      </c>
      <c r="B33">
        <v>11</v>
      </c>
      <c r="C33" t="s">
        <v>174</v>
      </c>
      <c r="D33" t="s">
        <v>705</v>
      </c>
      <c r="E33" t="s">
        <v>706</v>
      </c>
      <c r="F33">
        <v>1</v>
      </c>
      <c r="G33" s="14">
        <v>138.13999999999999</v>
      </c>
      <c r="H33" s="14">
        <v>138.13999999999999</v>
      </c>
      <c r="I33" t="s">
        <v>516</v>
      </c>
      <c r="J33">
        <v>4</v>
      </c>
      <c r="K33" s="261">
        <v>46075</v>
      </c>
      <c r="L33"/>
      <c r="M33" s="14">
        <v>138.13999999999999</v>
      </c>
      <c r="N33" s="309">
        <v>138.13999999999999</v>
      </c>
      <c r="O33" s="297"/>
      <c r="P33" s="36" t="str">
        <f ca="1">IFERROR(+IF(P$27=ProposalToGnatt[[#This Row],[Start Date]],Milestone_Marker,IF(AND(P$27&gt;ProposalToGnatt[[#This Row],[Start Date]],P$27&lt;ProposalToGnatt[[#This Row],[Start Date]]+ProposalToGnatt[[#This Row],[Days]]),$G$5,"")),"")</f>
        <v/>
      </c>
      <c r="Q33" s="36" t="str">
        <f ca="1">IFERROR(+IF(Q$27=ProposalToGnatt[[#This Row],[Start Date]],Milestone_Marker,IF(AND(Q$27&gt;ProposalToGnatt[[#This Row],[Start Date]],Q$27&lt;ProposalToGnatt[[#This Row],[Start Date]]+ProposalToGnatt[[#This Row],[Days]]),$G$5,"")),"")</f>
        <v/>
      </c>
      <c r="R33" s="36" t="str">
        <f ca="1">IFERROR(+IF(R$27=ProposalToGnatt[[#This Row],[Start Date]],Milestone_Marker,IF(AND(R$27&gt;ProposalToGnatt[[#This Row],[Start Date]],R$27&lt;ProposalToGnatt[[#This Row],[Start Date]]+ProposalToGnatt[[#This Row],[Days]]),$G$5,"")),"")</f>
        <v/>
      </c>
      <c r="S33" s="36" t="str">
        <f ca="1">IFERROR(+IF(S$27=ProposalToGnatt[[#This Row],[Start Date]],Milestone_Marker,IF(AND(S$27&gt;ProposalToGnatt[[#This Row],[Start Date]],S$27&lt;ProposalToGnatt[[#This Row],[Start Date]]+ProposalToGnatt[[#This Row],[Days]]),$G$5,"")),"")</f>
        <v/>
      </c>
      <c r="T33" s="36" t="str">
        <f ca="1">IFERROR(+IF(T$27=ProposalToGnatt[[#This Row],[Start Date]],Milestone_Marker,IF(AND(T$27&gt;ProposalToGnatt[[#This Row],[Start Date]],T$27&lt;ProposalToGnatt[[#This Row],[Start Date]]+ProposalToGnatt[[#This Row],[Days]]),$G$5,"")),"")</f>
        <v/>
      </c>
      <c r="U33" s="36" t="str">
        <f ca="1">IFERROR(+IF(U$27=ProposalToGnatt[[#This Row],[Start Date]],Milestone_Marker,IF(AND(U$27&gt;ProposalToGnatt[[#This Row],[Start Date]],U$27&lt;ProposalToGnatt[[#This Row],[Start Date]]+ProposalToGnatt[[#This Row],[Days]]),$G$5,"")),"")</f>
        <v/>
      </c>
      <c r="V33" s="36" t="str">
        <f ca="1">IFERROR(+IF(V$27=ProposalToGnatt[[#This Row],[Start Date]],Milestone_Marker,IF(AND(V$27&gt;ProposalToGnatt[[#This Row],[Start Date]],V$27&lt;ProposalToGnatt[[#This Row],[Start Date]]+ProposalToGnatt[[#This Row],[Days]]),$G$5,"")),"")</f>
        <v/>
      </c>
      <c r="W33" s="36" t="str">
        <f ca="1">IFERROR(+IF(W$27=ProposalToGnatt[[#This Row],[Start Date]],Milestone_Marker,IF(AND(W$27&gt;ProposalToGnatt[[#This Row],[Start Date]],W$27&lt;ProposalToGnatt[[#This Row],[Start Date]]+ProposalToGnatt[[#This Row],[Days]]),$G$5,"")),"")</f>
        <v/>
      </c>
      <c r="X33" s="36" t="str">
        <f ca="1">IFERROR(+IF(X$27=ProposalToGnatt[[#This Row],[Start Date]],Milestone_Marker,IF(AND(X$27&gt;ProposalToGnatt[[#This Row],[Start Date]],X$27&lt;ProposalToGnatt[[#This Row],[Start Date]]+ProposalToGnatt[[#This Row],[Days]]),$G$5,"")),"")</f>
        <v/>
      </c>
      <c r="Y33" s="36" t="str">
        <f ca="1">IFERROR(+IF(Y$27=ProposalToGnatt[[#This Row],[Start Date]],Milestone_Marker,IF(AND(Y$27&gt;ProposalToGnatt[[#This Row],[Start Date]],Y$27&lt;ProposalToGnatt[[#This Row],[Start Date]]+ProposalToGnatt[[#This Row],[Days]]),$G$5,"")),"")</f>
        <v/>
      </c>
      <c r="Z33" s="36" t="str">
        <f ca="1">IFERROR(+IF(Z$27=ProposalToGnatt[[#This Row],[Start Date]],Milestone_Marker,IF(AND(Z$27&gt;ProposalToGnatt[[#This Row],[Start Date]],Z$27&lt;ProposalToGnatt[[#This Row],[Start Date]]+ProposalToGnatt[[#This Row],[Days]]),$G$5,"")),"")</f>
        <v/>
      </c>
      <c r="AA33" s="36" t="str">
        <f ca="1">IFERROR(+IF(AA$27=ProposalToGnatt[[#This Row],[Start Date]],Milestone_Marker,IF(AND(AA$27&gt;ProposalToGnatt[[#This Row],[Start Date]],AA$27&lt;ProposalToGnatt[[#This Row],[Start Date]]+ProposalToGnatt[[#This Row],[Days]]),$G$5,"")),"")</f>
        <v/>
      </c>
      <c r="AB33" s="36" t="str">
        <f ca="1">IFERROR(+IF(AB$27=ProposalToGnatt[[#This Row],[Start Date]],Milestone_Marker,IF(AND(AB$27&gt;ProposalToGnatt[[#This Row],[Start Date]],AB$27&lt;ProposalToGnatt[[#This Row],[Start Date]]+ProposalToGnatt[[#This Row],[Days]]),$G$5,"")),"")</f>
        <v/>
      </c>
      <c r="AC33" s="36" t="str">
        <f ca="1">IFERROR(+IF(AC$27=ProposalToGnatt[[#This Row],[Start Date]],Milestone_Marker,IF(AND(AC$27&gt;ProposalToGnatt[[#This Row],[Start Date]],AC$27&lt;ProposalToGnatt[[#This Row],[Start Date]]+ProposalToGnatt[[#This Row],[Days]]),$G$5,"")),"")</f>
        <v/>
      </c>
      <c r="AD33" s="36" t="str">
        <f ca="1">IFERROR(+IF(AD$27=ProposalToGnatt[[#This Row],[Start Date]],Milestone_Marker,IF(AND(AD$27&gt;ProposalToGnatt[[#This Row],[Start Date]],AD$27&lt;ProposalToGnatt[[#This Row],[Start Date]]+ProposalToGnatt[[#This Row],[Days]]),$G$5,"")),"")</f>
        <v/>
      </c>
      <c r="AE33" s="36" t="str">
        <f ca="1">IFERROR(+IF(AE$27=ProposalToGnatt[[#This Row],[Start Date]],Milestone_Marker,IF(AND(AE$27&gt;ProposalToGnatt[[#This Row],[Start Date]],AE$27&lt;ProposalToGnatt[[#This Row],[Start Date]]+ProposalToGnatt[[#This Row],[Days]]),$G$5,"")),"")</f>
        <v/>
      </c>
      <c r="AF33" s="36" t="str">
        <f ca="1">IFERROR(+IF(AF$27=ProposalToGnatt[[#This Row],[Start Date]],Milestone_Marker,IF(AND(AF$27&gt;ProposalToGnatt[[#This Row],[Start Date]],AF$27&lt;ProposalToGnatt[[#This Row],[Start Date]]+ProposalToGnatt[[#This Row],[Days]]),$G$5,"")),"")</f>
        <v/>
      </c>
      <c r="AG33" s="36" t="str">
        <f ca="1">IFERROR(+IF(AG$27=ProposalToGnatt[[#This Row],[Start Date]],Milestone_Marker,IF(AND(AG$27&gt;ProposalToGnatt[[#This Row],[Start Date]],AG$27&lt;ProposalToGnatt[[#This Row],[Start Date]]+ProposalToGnatt[[#This Row],[Days]]),$G$5,"")),"")</f>
        <v/>
      </c>
      <c r="AH33" s="36" t="str">
        <f ca="1">IFERROR(+IF(AH$27=ProposalToGnatt[[#This Row],[Start Date]],Milestone_Marker,IF(AND(AH$27&gt;ProposalToGnatt[[#This Row],[Start Date]],AH$27&lt;ProposalToGnatt[[#This Row],[Start Date]]+ProposalToGnatt[[#This Row],[Days]]),$G$5,"")),"")</f>
        <v/>
      </c>
      <c r="AI33" s="36" t="str">
        <f ca="1">IFERROR(+IF(AI$27=ProposalToGnatt[[#This Row],[Start Date]],Milestone_Marker,IF(AND(AI$27&gt;ProposalToGnatt[[#This Row],[Start Date]],AI$27&lt;ProposalToGnatt[[#This Row],[Start Date]]+ProposalToGnatt[[#This Row],[Days]]),$G$5,"")),"")</f>
        <v/>
      </c>
      <c r="AJ33" s="36" t="str">
        <f ca="1">IFERROR(+IF(AJ$27=ProposalToGnatt[[#This Row],[Start Date]],Milestone_Marker,IF(AND(AJ$27&gt;ProposalToGnatt[[#This Row],[Start Date]],AJ$27&lt;ProposalToGnatt[[#This Row],[Start Date]]+ProposalToGnatt[[#This Row],[Days]]),$G$5,"")),"")</f>
        <v/>
      </c>
      <c r="AK33" s="36" t="str">
        <f ca="1">IFERROR(+IF(AK$27=ProposalToGnatt[[#This Row],[Start Date]],Milestone_Marker,IF(AND(AK$27&gt;ProposalToGnatt[[#This Row],[Start Date]],AK$27&lt;ProposalToGnatt[[#This Row],[Start Date]]+ProposalToGnatt[[#This Row],[Days]]),$G$5,"")),"")</f>
        <v/>
      </c>
      <c r="AL33" s="36" t="str">
        <f ca="1">IFERROR(+IF(AL$27=ProposalToGnatt[[#This Row],[Start Date]],Milestone_Marker,IF(AND(AL$27&gt;ProposalToGnatt[[#This Row],[Start Date]],AL$27&lt;ProposalToGnatt[[#This Row],[Start Date]]+ProposalToGnatt[[#This Row],[Days]]),$G$5,"")),"")</f>
        <v/>
      </c>
      <c r="AM33" s="36" t="str">
        <f ca="1">IFERROR(+IF(AM$27=ProposalToGnatt[[#This Row],[Start Date]],Milestone_Marker,IF(AND(AM$27&gt;ProposalToGnatt[[#This Row],[Start Date]],AM$27&lt;ProposalToGnatt[[#This Row],[Start Date]]+ProposalToGnatt[[#This Row],[Days]]),$G$5,"")),"")</f>
        <v/>
      </c>
      <c r="AN33" s="36" t="str">
        <f ca="1">IFERROR(+IF(AN$27=ProposalToGnatt[[#This Row],[Start Date]],Milestone_Marker,IF(AND(AN$27&gt;ProposalToGnatt[[#This Row],[Start Date]],AN$27&lt;ProposalToGnatt[[#This Row],[Start Date]]+ProposalToGnatt[[#This Row],[Days]]),$G$5,"")),"")</f>
        <v/>
      </c>
      <c r="AO33" s="36" t="str">
        <f ca="1">IFERROR(+IF(AO$27=ProposalToGnatt[[#This Row],[Start Date]],Milestone_Marker,IF(AND(AO$27&gt;ProposalToGnatt[[#This Row],[Start Date]],AO$27&lt;ProposalToGnatt[[#This Row],[Start Date]]+ProposalToGnatt[[#This Row],[Days]]),$G$5,"")),"")</f>
        <v/>
      </c>
      <c r="AP33" s="36" t="str">
        <f ca="1">IFERROR(+IF(AP$27=ProposalToGnatt[[#This Row],[Start Date]],Milestone_Marker,IF(AND(AP$27&gt;ProposalToGnatt[[#This Row],[Start Date]],AP$27&lt;ProposalToGnatt[[#This Row],[Start Date]]+ProposalToGnatt[[#This Row],[Days]]),$G$5,"")),"")</f>
        <v/>
      </c>
      <c r="AQ33" s="36" t="str">
        <f ca="1">IFERROR(+IF(AQ$27=ProposalToGnatt[[#This Row],[Start Date]],Milestone_Marker,IF(AND(AQ$27&gt;ProposalToGnatt[[#This Row],[Start Date]],AQ$27&lt;ProposalToGnatt[[#This Row],[Start Date]]+ProposalToGnatt[[#This Row],[Days]]),$G$5,"")),"")</f>
        <v/>
      </c>
      <c r="AR33" s="36" t="str">
        <f ca="1">IFERROR(+IF(AR$27=ProposalToGnatt[[#This Row],[Start Date]],Milestone_Marker,IF(AND(AR$27&gt;ProposalToGnatt[[#This Row],[Start Date]],AR$27&lt;ProposalToGnatt[[#This Row],[Start Date]]+ProposalToGnatt[[#This Row],[Days]]),$G$5,"")),"")</f>
        <v/>
      </c>
      <c r="AS33" s="36" t="str">
        <f ca="1">IFERROR(+IF(AS$27=ProposalToGnatt[[#This Row],[Start Date]],Milestone_Marker,IF(AND(AS$27&gt;ProposalToGnatt[[#This Row],[Start Date]],AS$27&lt;ProposalToGnatt[[#This Row],[Start Date]]+ProposalToGnatt[[#This Row],[Days]]),$G$5,"")),"")</f>
        <v/>
      </c>
      <c r="AT33" s="36" t="str">
        <f ca="1">IFERROR(+IF(AT$27=ProposalToGnatt[[#This Row],[Start Date]],Milestone_Marker,IF(AND(AT$27&gt;ProposalToGnatt[[#This Row],[Start Date]],AT$27&lt;ProposalToGnatt[[#This Row],[Start Date]]+ProposalToGnatt[[#This Row],[Days]]),$G$5,"")),"")</f>
        <v/>
      </c>
      <c r="AU33" s="36" t="str">
        <f ca="1">IFERROR(+IF(AU$27=ProposalToGnatt[[#This Row],[Start Date]],Milestone_Marker,IF(AND(AU$27&gt;ProposalToGnatt[[#This Row],[Start Date]],AU$27&lt;ProposalToGnatt[[#This Row],[Start Date]]+ProposalToGnatt[[#This Row],[Days]]),$G$5,"")),"")</f>
        <v/>
      </c>
      <c r="AV33" s="36" t="str">
        <f ca="1">IFERROR(+IF(AV$27=ProposalToGnatt[[#This Row],[Start Date]],Milestone_Marker,IF(AND(AV$27&gt;ProposalToGnatt[[#This Row],[Start Date]],AV$27&lt;ProposalToGnatt[[#This Row],[Start Date]]+ProposalToGnatt[[#This Row],[Days]]),$G$5,"")),"")</f>
        <v/>
      </c>
      <c r="AW33" s="36" t="str">
        <f ca="1">IFERROR(+IF(AW$27=ProposalToGnatt[[#This Row],[Start Date]],Milestone_Marker,IF(AND(AW$27&gt;ProposalToGnatt[[#This Row],[Start Date]],AW$27&lt;ProposalToGnatt[[#This Row],[Start Date]]+ProposalToGnatt[[#This Row],[Days]]),$G$5,"")),"")</f>
        <v/>
      </c>
      <c r="AX33" s="36" t="str">
        <f ca="1">IFERROR(+IF(AX$27=ProposalToGnatt[[#This Row],[Start Date]],Milestone_Marker,IF(AND(AX$27&gt;ProposalToGnatt[[#This Row],[Start Date]],AX$27&lt;ProposalToGnatt[[#This Row],[Start Date]]+ProposalToGnatt[[#This Row],[Days]]),$G$5,"")),"")</f>
        <v/>
      </c>
      <c r="AY33" s="36" t="str">
        <f ca="1">IFERROR(+IF(AY$27=ProposalToGnatt[[#This Row],[Start Date]],Milestone_Marker,IF(AND(AY$27&gt;ProposalToGnatt[[#This Row],[Start Date]],AY$27&lt;ProposalToGnatt[[#This Row],[Start Date]]+ProposalToGnatt[[#This Row],[Days]]),$G$5,"")),"")</f>
        <v/>
      </c>
      <c r="AZ33" s="36" t="str">
        <f ca="1">IFERROR(+IF(AZ$27=ProposalToGnatt[[#This Row],[Start Date]],Milestone_Marker,IF(AND(AZ$27&gt;ProposalToGnatt[[#This Row],[Start Date]],AZ$27&lt;ProposalToGnatt[[#This Row],[Start Date]]+ProposalToGnatt[[#This Row],[Days]]),$G$5,"")),"")</f>
        <v/>
      </c>
      <c r="BA33" s="36" t="str">
        <f ca="1">IFERROR(+IF(BA$27=ProposalToGnatt[[#This Row],[Start Date]],Milestone_Marker,IF(AND(BA$27&gt;ProposalToGnatt[[#This Row],[Start Date]],BA$27&lt;ProposalToGnatt[[#This Row],[Start Date]]+ProposalToGnatt[[#This Row],[Days]]),$G$5,"")),"")</f>
        <v/>
      </c>
      <c r="BB33" s="36" t="str">
        <f ca="1">IFERROR(+IF(BB$27=ProposalToGnatt[[#This Row],[Start Date]],Milestone_Marker,IF(AND(BB$27&gt;ProposalToGnatt[[#This Row],[Start Date]],BB$27&lt;ProposalToGnatt[[#This Row],[Start Date]]+ProposalToGnatt[[#This Row],[Days]]),$G$5,"")),"")</f>
        <v/>
      </c>
      <c r="BC33" s="36" t="str">
        <f ca="1">IFERROR(+IF(BC$27=ProposalToGnatt[[#This Row],[Start Date]],Milestone_Marker,IF(AND(BC$27&gt;ProposalToGnatt[[#This Row],[Start Date]],BC$27&lt;ProposalToGnatt[[#This Row],[Start Date]]+ProposalToGnatt[[#This Row],[Days]]),$G$5,"")),"")</f>
        <v/>
      </c>
      <c r="BD33" s="36" t="str">
        <f ca="1">IFERROR(+IF(BD$27=ProposalToGnatt[[#This Row],[Start Date]],Milestone_Marker,IF(AND(BD$27&gt;ProposalToGnatt[[#This Row],[Start Date]],BD$27&lt;ProposalToGnatt[[#This Row],[Start Date]]+ProposalToGnatt[[#This Row],[Days]]),$G$5,"")),"")</f>
        <v/>
      </c>
      <c r="BE33" s="36" t="str">
        <f ca="1">IFERROR(+IF(BE$27=ProposalToGnatt[[#This Row],[Start Date]],Milestone_Marker,IF(AND(BE$27&gt;ProposalToGnatt[[#This Row],[Start Date]],BE$27&lt;ProposalToGnatt[[#This Row],[Start Date]]+ProposalToGnatt[[#This Row],[Days]]),$G$5,"")),"")</f>
        <v/>
      </c>
      <c r="BF33" s="36" t="str">
        <f ca="1">IFERROR(+IF(BF$27=ProposalToGnatt[[#This Row],[Start Date]],Milestone_Marker,IF(AND(BF$27&gt;ProposalToGnatt[[#This Row],[Start Date]],BF$27&lt;ProposalToGnatt[[#This Row],[Start Date]]+ProposalToGnatt[[#This Row],[Days]]),$G$5,"")),"")</f>
        <v/>
      </c>
      <c r="BG33" s="36" t="str">
        <f ca="1">IFERROR(+IF(BG$27=ProposalToGnatt[[#This Row],[Start Date]],Milestone_Marker,IF(AND(BG$27&gt;ProposalToGnatt[[#This Row],[Start Date]],BG$27&lt;ProposalToGnatt[[#This Row],[Start Date]]+ProposalToGnatt[[#This Row],[Days]]),$G$5,"")),"")</f>
        <v/>
      </c>
      <c r="BH33" s="36" t="str">
        <f ca="1">IFERROR(+IF(BH$27=ProposalToGnatt[[#This Row],[Start Date]],Milestone_Marker,IF(AND(BH$27&gt;ProposalToGnatt[[#This Row],[Start Date]],BH$27&lt;ProposalToGnatt[[#This Row],[Start Date]]+ProposalToGnatt[[#This Row],[Days]]),$G$5,"")),"")</f>
        <v/>
      </c>
      <c r="BI33" s="36" t="str">
        <f ca="1">IFERROR(+IF(BI$27=ProposalToGnatt[[#This Row],[Start Date]],Milestone_Marker,IF(AND(BI$27&gt;ProposalToGnatt[[#This Row],[Start Date]],BI$27&lt;ProposalToGnatt[[#This Row],[Start Date]]+ProposalToGnatt[[#This Row],[Days]]),$G$5,"")),"")</f>
        <v/>
      </c>
      <c r="BJ33" s="36" t="str">
        <f ca="1">IFERROR(+IF(BJ$27=ProposalToGnatt[[#This Row],[Start Date]],Milestone_Marker,IF(AND(BJ$27&gt;ProposalToGnatt[[#This Row],[Start Date]],BJ$27&lt;ProposalToGnatt[[#This Row],[Start Date]]+ProposalToGnatt[[#This Row],[Days]]),$G$5,"")),"")</f>
        <v/>
      </c>
      <c r="BK33" s="36" t="str">
        <f ca="1">IFERROR(+IF(BK$27=ProposalToGnatt[[#This Row],[Start Date]],Milestone_Marker,IF(AND(BK$27&gt;ProposalToGnatt[[#This Row],[Start Date]],BK$27&lt;ProposalToGnatt[[#This Row],[Start Date]]+ProposalToGnatt[[#This Row],[Days]]),$G$5,"")),"")</f>
        <v/>
      </c>
      <c r="BL33" s="36" t="str">
        <f ca="1">IFERROR(+IF(BL$27=ProposalToGnatt[[#This Row],[Start Date]],Milestone_Marker,IF(AND(BL$27&gt;ProposalToGnatt[[#This Row],[Start Date]],BL$27&lt;ProposalToGnatt[[#This Row],[Start Date]]+ProposalToGnatt[[#This Row],[Days]]),$G$5,"")),"")</f>
        <v/>
      </c>
      <c r="BM33" s="36" t="str">
        <f ca="1">IFERROR(+IF(BM$27=ProposalToGnatt[[#This Row],[Start Date]],Milestone_Marker,IF(AND(BM$27&gt;ProposalToGnatt[[#This Row],[Start Date]],BM$27&lt;ProposalToGnatt[[#This Row],[Start Date]]+ProposalToGnatt[[#This Row],[Days]]),$G$5,"")),"")</f>
        <v/>
      </c>
      <c r="BN33" s="36" t="str">
        <f ca="1">IFERROR(+IF(BN$27=ProposalToGnatt[[#This Row],[Start Date]],Milestone_Marker,IF(AND(BN$27&gt;ProposalToGnatt[[#This Row],[Start Date]],BN$27&lt;ProposalToGnatt[[#This Row],[Start Date]]+ProposalToGnatt[[#This Row],[Days]]),$G$5,"")),"")</f>
        <v/>
      </c>
      <c r="BO33" s="36" t="str">
        <f ca="1">IFERROR(+IF(BO$27=ProposalToGnatt[[#This Row],[Start Date]],Milestone_Marker,IF(AND(BO$27&gt;ProposalToGnatt[[#This Row],[Start Date]],BO$27&lt;ProposalToGnatt[[#This Row],[Start Date]]+ProposalToGnatt[[#This Row],[Days]]),$G$5,"")),"")</f>
        <v/>
      </c>
      <c r="BP33" s="36" t="str">
        <f ca="1">IFERROR(+IF(BP$27=ProposalToGnatt[[#This Row],[Start Date]],Milestone_Marker,IF(AND(BP$27&gt;ProposalToGnatt[[#This Row],[Start Date]],BP$27&lt;ProposalToGnatt[[#This Row],[Start Date]]+ProposalToGnatt[[#This Row],[Days]]),$G$5,"")),"")</f>
        <v/>
      </c>
      <c r="BQ33" s="36" t="str">
        <f ca="1">IFERROR(+IF(BQ$27=ProposalToGnatt[[#This Row],[Start Date]],Milestone_Marker,IF(AND(BQ$27&gt;ProposalToGnatt[[#This Row],[Start Date]],BQ$27&lt;ProposalToGnatt[[#This Row],[Start Date]]+ProposalToGnatt[[#This Row],[Days]]),$G$5,"")),"")</f>
        <v/>
      </c>
      <c r="BR33" s="36" t="str">
        <f ca="1">IFERROR(+IF(BR$27=ProposalToGnatt[[#This Row],[Start Date]],Milestone_Marker,IF(AND(BR$27&gt;ProposalToGnatt[[#This Row],[Start Date]],BR$27&lt;ProposalToGnatt[[#This Row],[Start Date]]+ProposalToGnatt[[#This Row],[Days]]),$G$5,"")),"")</f>
        <v/>
      </c>
      <c r="BS33" s="36" t="str">
        <f ca="1">IFERROR(+IF(BS$27=ProposalToGnatt[[#This Row],[Start Date]],Milestone_Marker,IF(AND(BS$27&gt;ProposalToGnatt[[#This Row],[Start Date]],BS$27&lt;ProposalToGnatt[[#This Row],[Start Date]]+ProposalToGnatt[[#This Row],[Days]]),$G$5,"")),"")</f>
        <v/>
      </c>
      <c r="BT33" s="36" t="str">
        <f ca="1">IFERROR(+IF(BT$27=ProposalToGnatt[[#This Row],[Start Date]],Milestone_Marker,IF(AND(BT$27&gt;ProposalToGnatt[[#This Row],[Start Date]],BT$27&lt;ProposalToGnatt[[#This Row],[Start Date]]+ProposalToGnatt[[#This Row],[Days]]),$G$5,"")),"")</f>
        <v/>
      </c>
      <c r="BU33" s="36" t="str">
        <f ca="1">IFERROR(+IF(BU$27=ProposalToGnatt[[#This Row],[Start Date]],Milestone_Marker,IF(AND(BU$27&gt;ProposalToGnatt[[#This Row],[Start Date]],BU$27&lt;ProposalToGnatt[[#This Row],[Start Date]]+ProposalToGnatt[[#This Row],[Days]]),$G$5,"")),"")</f>
        <v/>
      </c>
      <c r="BV33" s="36" t="str">
        <f ca="1">IFERROR(+IF(BV$27=ProposalToGnatt[[#This Row],[Start Date]],Milestone_Marker,IF(AND(BV$27&gt;ProposalToGnatt[[#This Row],[Start Date]],BV$27&lt;ProposalToGnatt[[#This Row],[Start Date]]+ProposalToGnatt[[#This Row],[Days]]),$G$5,"")),"")</f>
        <v/>
      </c>
      <c r="BW33" s="36" t="str">
        <f ca="1">IFERROR(+IF(BW$27=ProposalToGnatt[[#This Row],[Start Date]],Milestone_Marker,IF(AND(BW$27&gt;ProposalToGnatt[[#This Row],[Start Date]],BW$27&lt;ProposalToGnatt[[#This Row],[Start Date]]+ProposalToGnatt[[#This Row],[Days]]),$G$5,"")),"")</f>
        <v/>
      </c>
      <c r="BX33" s="36" t="str">
        <f ca="1">IFERROR(+IF(BX$27=ProposalToGnatt[[#This Row],[Start Date]],Milestone_Marker,IF(AND(BX$27&gt;ProposalToGnatt[[#This Row],[Start Date]],BX$27&lt;ProposalToGnatt[[#This Row],[Start Date]]+ProposalToGnatt[[#This Row],[Days]]),$G$5,"")),"")</f>
        <v/>
      </c>
      <c r="BY33" s="36" t="str">
        <f ca="1">IFERROR(+IF(BY$27=ProposalToGnatt[[#This Row],[Start Date]],Milestone_Marker,IF(AND(BY$27&gt;ProposalToGnatt[[#This Row],[Start Date]],BY$27&lt;ProposalToGnatt[[#This Row],[Start Date]]+ProposalToGnatt[[#This Row],[Days]]),$G$5,"")),"")</f>
        <v/>
      </c>
      <c r="BZ33" s="36" t="str">
        <f ca="1">IFERROR(+IF(BZ$27=ProposalToGnatt[[#This Row],[Start Date]],Milestone_Marker,IF(AND(BZ$27&gt;ProposalToGnatt[[#This Row],[Start Date]],BZ$27&lt;ProposalToGnatt[[#This Row],[Start Date]]+ProposalToGnatt[[#This Row],[Days]]),$G$5,"")),"")</f>
        <v/>
      </c>
      <c r="CA33" s="36" t="str">
        <f ca="1">IFERROR(+IF(CA$27=ProposalToGnatt[[#This Row],[Start Date]],Milestone_Marker,IF(AND(CA$27&gt;ProposalToGnatt[[#This Row],[Start Date]],CA$27&lt;ProposalToGnatt[[#This Row],[Start Date]]+ProposalToGnatt[[#This Row],[Days]]),$G$5,"")),"")</f>
        <v/>
      </c>
      <c r="CB33" s="36" t="str">
        <f ca="1">IFERROR(+IF(CB$27=ProposalToGnatt[[#This Row],[Start Date]],Milestone_Marker,IF(AND(CB$27&gt;ProposalToGnatt[[#This Row],[Start Date]],CB$27&lt;ProposalToGnatt[[#This Row],[Start Date]]+ProposalToGnatt[[#This Row],[Days]]),$G$5,"")),"")</f>
        <v/>
      </c>
      <c r="CC33" s="36" t="str">
        <f ca="1">IFERROR(+IF(CC$27=ProposalToGnatt[[#This Row],[Start Date]],Milestone_Marker,IF(AND(CC$27&gt;ProposalToGnatt[[#This Row],[Start Date]],CC$27&lt;ProposalToGnatt[[#This Row],[Start Date]]+ProposalToGnatt[[#This Row],[Days]]),$G$5,"")),"")</f>
        <v/>
      </c>
      <c r="CD33" s="36" t="str">
        <f ca="1">IFERROR(+IF(CD$27=ProposalToGnatt[[#This Row],[Start Date]],Milestone_Marker,IF(AND(CD$27&gt;ProposalToGnatt[[#This Row],[Start Date]],CD$27&lt;ProposalToGnatt[[#This Row],[Start Date]]+ProposalToGnatt[[#This Row],[Days]]),$G$5,"")),"")</f>
        <v/>
      </c>
      <c r="CE33" s="36" t="str">
        <f ca="1">IFERROR(+IF(CE$27=ProposalToGnatt[[#This Row],[Start Date]],Milestone_Marker,IF(AND(CE$27&gt;ProposalToGnatt[[#This Row],[Start Date]],CE$27&lt;ProposalToGnatt[[#This Row],[Start Date]]+ProposalToGnatt[[#This Row],[Days]]),$G$5,"")),"")</f>
        <v/>
      </c>
      <c r="CF33" s="36" t="str">
        <f ca="1">IFERROR(+IF(CF$27=ProposalToGnatt[[#This Row],[Start Date]],Milestone_Marker,IF(AND(CF$27&gt;ProposalToGnatt[[#This Row],[Start Date]],CF$27&lt;ProposalToGnatt[[#This Row],[Start Date]]+ProposalToGnatt[[#This Row],[Days]]),$G$5,"")),"")</f>
        <v/>
      </c>
      <c r="CG33" s="36" t="str">
        <f ca="1">IFERROR(+IF(CG$27=ProposalToGnatt[[#This Row],[Start Date]],Milestone_Marker,IF(AND(CG$27&gt;ProposalToGnatt[[#This Row],[Start Date]],CG$27&lt;ProposalToGnatt[[#This Row],[Start Date]]+ProposalToGnatt[[#This Row],[Days]]),$G$5,"")),"")</f>
        <v/>
      </c>
      <c r="CH33" s="36" t="str">
        <f ca="1">IFERROR(+IF(CH$27=ProposalToGnatt[[#This Row],[Start Date]],Milestone_Marker,IF(AND(CH$27&gt;ProposalToGnatt[[#This Row],[Start Date]],CH$27&lt;ProposalToGnatt[[#This Row],[Start Date]]+ProposalToGnatt[[#This Row],[Days]]),$G$5,"")),"")</f>
        <v/>
      </c>
      <c r="CI33" s="36" t="str">
        <f ca="1">IFERROR(+IF(CI$27=ProposalToGnatt[[#This Row],[Start Date]],Milestone_Marker,IF(AND(CI$27&gt;ProposalToGnatt[[#This Row],[Start Date]],CI$27&lt;ProposalToGnatt[[#This Row],[Start Date]]+ProposalToGnatt[[#This Row],[Days]]),$G$5,"")),"")</f>
        <v/>
      </c>
      <c r="CJ33" s="36" t="str">
        <f ca="1">IFERROR(+IF(CJ$27=ProposalToGnatt[[#This Row],[Start Date]],Milestone_Marker,IF(AND(CJ$27&gt;ProposalToGnatt[[#This Row],[Start Date]],CJ$27&lt;ProposalToGnatt[[#This Row],[Start Date]]+ProposalToGnatt[[#This Row],[Days]]),$G$5,"")),"")</f>
        <v/>
      </c>
      <c r="CK33" s="36" t="str">
        <f ca="1">IFERROR(+IF(CK$27=ProposalToGnatt[[#This Row],[Start Date]],Milestone_Marker,IF(AND(CK$27&gt;ProposalToGnatt[[#This Row],[Start Date]],CK$27&lt;ProposalToGnatt[[#This Row],[Start Date]]+ProposalToGnatt[[#This Row],[Days]]),$G$5,"")),"")</f>
        <v/>
      </c>
      <c r="CL33" s="36" t="str">
        <f ca="1">IFERROR(+IF(CL$27=ProposalToGnatt[[#This Row],[Start Date]],Milestone_Marker,IF(AND(CL$27&gt;ProposalToGnatt[[#This Row],[Start Date]],CL$27&lt;ProposalToGnatt[[#This Row],[Start Date]]+ProposalToGnatt[[#This Row],[Days]]),$G$5,"")),"")</f>
        <v/>
      </c>
      <c r="CM33" s="36" t="str">
        <f ca="1">IFERROR(+IF(CM$27=ProposalToGnatt[[#This Row],[Start Date]],Milestone_Marker,IF(AND(CM$27&gt;ProposalToGnatt[[#This Row],[Start Date]],CM$27&lt;ProposalToGnatt[[#This Row],[Start Date]]+ProposalToGnatt[[#This Row],[Days]]),$G$5,"")),"")</f>
        <v/>
      </c>
      <c r="CN33" s="36" t="str">
        <f ca="1">IFERROR(+IF(CN$27=ProposalToGnatt[[#This Row],[Start Date]],Milestone_Marker,IF(AND(CN$27&gt;ProposalToGnatt[[#This Row],[Start Date]],CN$27&lt;ProposalToGnatt[[#This Row],[Start Date]]+ProposalToGnatt[[#This Row],[Days]]),$G$5,"")),"")</f>
        <v/>
      </c>
      <c r="CO33" s="36" t="str">
        <f ca="1">IFERROR(+IF(CO$27=ProposalToGnatt[[#This Row],[Start Date]],Milestone_Marker,IF(AND(CO$27&gt;ProposalToGnatt[[#This Row],[Start Date]],CO$27&lt;ProposalToGnatt[[#This Row],[Start Date]]+ProposalToGnatt[[#This Row],[Days]]),$G$5,"")),"")</f>
        <v/>
      </c>
      <c r="CP33" s="36" t="str">
        <f ca="1">IFERROR(+IF(CP$27=ProposalToGnatt[[#This Row],[Start Date]],Milestone_Marker,IF(AND(CP$27&gt;ProposalToGnatt[[#This Row],[Start Date]],CP$27&lt;ProposalToGnatt[[#This Row],[Start Date]]+ProposalToGnatt[[#This Row],[Days]]),$G$5,"")),"")</f>
        <v/>
      </c>
      <c r="CQ33" s="36" t="str">
        <f ca="1">IFERROR(+IF(CQ$27=ProposalToGnatt[[#This Row],[Start Date]],Milestone_Marker,IF(AND(CQ$27&gt;ProposalToGnatt[[#This Row],[Start Date]],CQ$27&lt;ProposalToGnatt[[#This Row],[Start Date]]+ProposalToGnatt[[#This Row],[Days]]),$G$5,"")),"")</f>
        <v/>
      </c>
      <c r="CR33" s="36" t="str">
        <f ca="1">IFERROR(+IF(CR$27=ProposalToGnatt[[#This Row],[Start Date]],Milestone_Marker,IF(AND(CR$27&gt;ProposalToGnatt[[#This Row],[Start Date]],CR$27&lt;ProposalToGnatt[[#This Row],[Start Date]]+ProposalToGnatt[[#This Row],[Days]]),$G$5,"")),"")</f>
        <v/>
      </c>
      <c r="CS33" s="36" t="str">
        <f ca="1">IFERROR(+IF(CS$27=ProposalToGnatt[[#This Row],[Start Date]],Milestone_Marker,IF(AND(CS$27&gt;ProposalToGnatt[[#This Row],[Start Date]],CS$27&lt;ProposalToGnatt[[#This Row],[Start Date]]+ProposalToGnatt[[#This Row],[Days]]),$G$5,"")),"")</f>
        <v/>
      </c>
      <c r="CT33" s="36" t="str">
        <f ca="1">IFERROR(+IF(CT$27=ProposalToGnatt[[#This Row],[Start Date]],Milestone_Marker,IF(AND(CT$27&gt;ProposalToGnatt[[#This Row],[Start Date]],CT$27&lt;ProposalToGnatt[[#This Row],[Start Date]]+ProposalToGnatt[[#This Row],[Days]]),$G$5,"")),"")</f>
        <v/>
      </c>
      <c r="CU33" s="36" t="str">
        <f ca="1">IFERROR(+IF(CU$27=ProposalToGnatt[[#This Row],[Start Date]],Milestone_Marker,IF(AND(CU$27&gt;ProposalToGnatt[[#This Row],[Start Date]],CU$27&lt;ProposalToGnatt[[#This Row],[Start Date]]+ProposalToGnatt[[#This Row],[Days]]),$G$5,"")),"")</f>
        <v/>
      </c>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row>
    <row r="34" spans="1:125" s="41" customFormat="1" ht="20.100000000000001" customHeight="1" x14ac:dyDescent="0.25">
      <c r="A34" t="s">
        <v>730</v>
      </c>
      <c r="B34">
        <v>12</v>
      </c>
      <c r="C34" t="s">
        <v>174</v>
      </c>
      <c r="D34" t="s">
        <v>692</v>
      </c>
      <c r="E34" t="s">
        <v>707</v>
      </c>
      <c r="F34">
        <v>21</v>
      </c>
      <c r="G34" s="14">
        <v>62.5</v>
      </c>
      <c r="H34" s="14">
        <v>1312.5</v>
      </c>
      <c r="I34" t="s">
        <v>516</v>
      </c>
      <c r="J34">
        <v>4</v>
      </c>
      <c r="K34" s="261">
        <v>46090</v>
      </c>
      <c r="L34"/>
      <c r="M34" s="14">
        <v>1312.5</v>
      </c>
      <c r="N34" s="309">
        <v>1312.5</v>
      </c>
      <c r="O34" s="297"/>
      <c r="P34" s="36" t="str">
        <f ca="1">IFERROR(+IF(P$27=ProposalToGnatt[[#This Row],[Start Date]],Milestone_Marker,IF(AND(P$27&gt;ProposalToGnatt[[#This Row],[Start Date]],P$27&lt;ProposalToGnatt[[#This Row],[Start Date]]+ProposalToGnatt[[#This Row],[Days]]),$G$5,"")),"")</f>
        <v/>
      </c>
      <c r="Q34" s="36" t="str">
        <f ca="1">IFERROR(+IF(Q$27=ProposalToGnatt[[#This Row],[Start Date]],Milestone_Marker,IF(AND(Q$27&gt;ProposalToGnatt[[#This Row],[Start Date]],Q$27&lt;ProposalToGnatt[[#This Row],[Start Date]]+ProposalToGnatt[[#This Row],[Days]]),$G$5,"")),"")</f>
        <v/>
      </c>
      <c r="R34" s="36" t="str">
        <f ca="1">IFERROR(+IF(R$27=ProposalToGnatt[[#This Row],[Start Date]],Milestone_Marker,IF(AND(R$27&gt;ProposalToGnatt[[#This Row],[Start Date]],R$27&lt;ProposalToGnatt[[#This Row],[Start Date]]+ProposalToGnatt[[#This Row],[Days]]),$G$5,"")),"")</f>
        <v/>
      </c>
      <c r="S34" s="36" t="str">
        <f ca="1">IFERROR(+IF(S$27=ProposalToGnatt[[#This Row],[Start Date]],Milestone_Marker,IF(AND(S$27&gt;ProposalToGnatt[[#This Row],[Start Date]],S$27&lt;ProposalToGnatt[[#This Row],[Start Date]]+ProposalToGnatt[[#This Row],[Days]]),$G$5,"")),"")</f>
        <v/>
      </c>
      <c r="T34" s="36" t="str">
        <f ca="1">IFERROR(+IF(T$27=ProposalToGnatt[[#This Row],[Start Date]],Milestone_Marker,IF(AND(T$27&gt;ProposalToGnatt[[#This Row],[Start Date]],T$27&lt;ProposalToGnatt[[#This Row],[Start Date]]+ProposalToGnatt[[#This Row],[Days]]),$G$5,"")),"")</f>
        <v/>
      </c>
      <c r="U34" s="36" t="str">
        <f ca="1">IFERROR(+IF(U$27=ProposalToGnatt[[#This Row],[Start Date]],Milestone_Marker,IF(AND(U$27&gt;ProposalToGnatt[[#This Row],[Start Date]],U$27&lt;ProposalToGnatt[[#This Row],[Start Date]]+ProposalToGnatt[[#This Row],[Days]]),$G$5,"")),"")</f>
        <v/>
      </c>
      <c r="V34" s="36" t="str">
        <f ca="1">IFERROR(+IF(V$27=ProposalToGnatt[[#This Row],[Start Date]],Milestone_Marker,IF(AND(V$27&gt;ProposalToGnatt[[#This Row],[Start Date]],V$27&lt;ProposalToGnatt[[#This Row],[Start Date]]+ProposalToGnatt[[#This Row],[Days]]),$G$5,"")),"")</f>
        <v/>
      </c>
      <c r="W34" s="36" t="str">
        <f ca="1">IFERROR(+IF(W$27=ProposalToGnatt[[#This Row],[Start Date]],Milestone_Marker,IF(AND(W$27&gt;ProposalToGnatt[[#This Row],[Start Date]],W$27&lt;ProposalToGnatt[[#This Row],[Start Date]]+ProposalToGnatt[[#This Row],[Days]]),$G$5,"")),"")</f>
        <v/>
      </c>
      <c r="X34" s="36" t="str">
        <f ca="1">IFERROR(+IF(X$27=ProposalToGnatt[[#This Row],[Start Date]],Milestone_Marker,IF(AND(X$27&gt;ProposalToGnatt[[#This Row],[Start Date]],X$27&lt;ProposalToGnatt[[#This Row],[Start Date]]+ProposalToGnatt[[#This Row],[Days]]),$G$5,"")),"")</f>
        <v/>
      </c>
      <c r="Y34" s="36" t="str">
        <f ca="1">IFERROR(+IF(Y$27=ProposalToGnatt[[#This Row],[Start Date]],Milestone_Marker,IF(AND(Y$27&gt;ProposalToGnatt[[#This Row],[Start Date]],Y$27&lt;ProposalToGnatt[[#This Row],[Start Date]]+ProposalToGnatt[[#This Row],[Days]]),$G$5,"")),"")</f>
        <v/>
      </c>
      <c r="Z34" s="36" t="str">
        <f ca="1">IFERROR(+IF(Z$27=ProposalToGnatt[[#This Row],[Start Date]],Milestone_Marker,IF(AND(Z$27&gt;ProposalToGnatt[[#This Row],[Start Date]],Z$27&lt;ProposalToGnatt[[#This Row],[Start Date]]+ProposalToGnatt[[#This Row],[Days]]),$G$5,"")),"")</f>
        <v/>
      </c>
      <c r="AA34" s="36" t="str">
        <f ca="1">IFERROR(+IF(AA$27=ProposalToGnatt[[#This Row],[Start Date]],Milestone_Marker,IF(AND(AA$27&gt;ProposalToGnatt[[#This Row],[Start Date]],AA$27&lt;ProposalToGnatt[[#This Row],[Start Date]]+ProposalToGnatt[[#This Row],[Days]]),$G$5,"")),"")</f>
        <v/>
      </c>
      <c r="AB34" s="36" t="str">
        <f ca="1">IFERROR(+IF(AB$27=ProposalToGnatt[[#This Row],[Start Date]],Milestone_Marker,IF(AND(AB$27&gt;ProposalToGnatt[[#This Row],[Start Date]],AB$27&lt;ProposalToGnatt[[#This Row],[Start Date]]+ProposalToGnatt[[#This Row],[Days]]),$G$5,"")),"")</f>
        <v/>
      </c>
      <c r="AC34" s="36" t="str">
        <f ca="1">IFERROR(+IF(AC$27=ProposalToGnatt[[#This Row],[Start Date]],Milestone_Marker,IF(AND(AC$27&gt;ProposalToGnatt[[#This Row],[Start Date]],AC$27&lt;ProposalToGnatt[[#This Row],[Start Date]]+ProposalToGnatt[[#This Row],[Days]]),$G$5,"")),"")</f>
        <v/>
      </c>
      <c r="AD34" s="36" t="str">
        <f ca="1">IFERROR(+IF(AD$27=ProposalToGnatt[[#This Row],[Start Date]],Milestone_Marker,IF(AND(AD$27&gt;ProposalToGnatt[[#This Row],[Start Date]],AD$27&lt;ProposalToGnatt[[#This Row],[Start Date]]+ProposalToGnatt[[#This Row],[Days]]),$G$5,"")),"")</f>
        <v/>
      </c>
      <c r="AE34" s="36" t="str">
        <f ca="1">IFERROR(+IF(AE$27=ProposalToGnatt[[#This Row],[Start Date]],Milestone_Marker,IF(AND(AE$27&gt;ProposalToGnatt[[#This Row],[Start Date]],AE$27&lt;ProposalToGnatt[[#This Row],[Start Date]]+ProposalToGnatt[[#This Row],[Days]]),$G$5,"")),"")</f>
        <v/>
      </c>
      <c r="AF34" s="36" t="str">
        <f ca="1">IFERROR(+IF(AF$27=ProposalToGnatt[[#This Row],[Start Date]],Milestone_Marker,IF(AND(AF$27&gt;ProposalToGnatt[[#This Row],[Start Date]],AF$27&lt;ProposalToGnatt[[#This Row],[Start Date]]+ProposalToGnatt[[#This Row],[Days]]),$G$5,"")),"")</f>
        <v/>
      </c>
      <c r="AG34" s="36" t="str">
        <f ca="1">IFERROR(+IF(AG$27=ProposalToGnatt[[#This Row],[Start Date]],Milestone_Marker,IF(AND(AG$27&gt;ProposalToGnatt[[#This Row],[Start Date]],AG$27&lt;ProposalToGnatt[[#This Row],[Start Date]]+ProposalToGnatt[[#This Row],[Days]]),$G$5,"")),"")</f>
        <v/>
      </c>
      <c r="AH34" s="36" t="str">
        <f ca="1">IFERROR(+IF(AH$27=ProposalToGnatt[[#This Row],[Start Date]],Milestone_Marker,IF(AND(AH$27&gt;ProposalToGnatt[[#This Row],[Start Date]],AH$27&lt;ProposalToGnatt[[#This Row],[Start Date]]+ProposalToGnatt[[#This Row],[Days]]),$G$5,"")),"")</f>
        <v/>
      </c>
      <c r="AI34" s="36" t="str">
        <f ca="1">IFERROR(+IF(AI$27=ProposalToGnatt[[#This Row],[Start Date]],Milestone_Marker,IF(AND(AI$27&gt;ProposalToGnatt[[#This Row],[Start Date]],AI$27&lt;ProposalToGnatt[[#This Row],[Start Date]]+ProposalToGnatt[[#This Row],[Days]]),$G$5,"")),"")</f>
        <v/>
      </c>
      <c r="AJ34" s="36" t="str">
        <f ca="1">IFERROR(+IF(AJ$27=ProposalToGnatt[[#This Row],[Start Date]],Milestone_Marker,IF(AND(AJ$27&gt;ProposalToGnatt[[#This Row],[Start Date]],AJ$27&lt;ProposalToGnatt[[#This Row],[Start Date]]+ProposalToGnatt[[#This Row],[Days]]),$G$5,"")),"")</f>
        <v/>
      </c>
      <c r="AK34" s="36" t="str">
        <f ca="1">IFERROR(+IF(AK$27=ProposalToGnatt[[#This Row],[Start Date]],Milestone_Marker,IF(AND(AK$27&gt;ProposalToGnatt[[#This Row],[Start Date]],AK$27&lt;ProposalToGnatt[[#This Row],[Start Date]]+ProposalToGnatt[[#This Row],[Days]]),$G$5,"")),"")</f>
        <v/>
      </c>
      <c r="AL34" s="36" t="str">
        <f ca="1">IFERROR(+IF(AL$27=ProposalToGnatt[[#This Row],[Start Date]],Milestone_Marker,IF(AND(AL$27&gt;ProposalToGnatt[[#This Row],[Start Date]],AL$27&lt;ProposalToGnatt[[#This Row],[Start Date]]+ProposalToGnatt[[#This Row],[Days]]),$G$5,"")),"")</f>
        <v/>
      </c>
      <c r="AM34" s="36" t="str">
        <f ca="1">IFERROR(+IF(AM$27=ProposalToGnatt[[#This Row],[Start Date]],Milestone_Marker,IF(AND(AM$27&gt;ProposalToGnatt[[#This Row],[Start Date]],AM$27&lt;ProposalToGnatt[[#This Row],[Start Date]]+ProposalToGnatt[[#This Row],[Days]]),$G$5,"")),"")</f>
        <v/>
      </c>
      <c r="AN34" s="36" t="str">
        <f ca="1">IFERROR(+IF(AN$27=ProposalToGnatt[[#This Row],[Start Date]],Milestone_Marker,IF(AND(AN$27&gt;ProposalToGnatt[[#This Row],[Start Date]],AN$27&lt;ProposalToGnatt[[#This Row],[Start Date]]+ProposalToGnatt[[#This Row],[Days]]),$G$5,"")),"")</f>
        <v/>
      </c>
      <c r="AO34" s="36" t="str">
        <f ca="1">IFERROR(+IF(AO$27=ProposalToGnatt[[#This Row],[Start Date]],Milestone_Marker,IF(AND(AO$27&gt;ProposalToGnatt[[#This Row],[Start Date]],AO$27&lt;ProposalToGnatt[[#This Row],[Start Date]]+ProposalToGnatt[[#This Row],[Days]]),$G$5,"")),"")</f>
        <v/>
      </c>
      <c r="AP34" s="36" t="str">
        <f ca="1">IFERROR(+IF(AP$27=ProposalToGnatt[[#This Row],[Start Date]],Milestone_Marker,IF(AND(AP$27&gt;ProposalToGnatt[[#This Row],[Start Date]],AP$27&lt;ProposalToGnatt[[#This Row],[Start Date]]+ProposalToGnatt[[#This Row],[Days]]),$G$5,"")),"")</f>
        <v/>
      </c>
      <c r="AQ34" s="36" t="str">
        <f ca="1">IFERROR(+IF(AQ$27=ProposalToGnatt[[#This Row],[Start Date]],Milestone_Marker,IF(AND(AQ$27&gt;ProposalToGnatt[[#This Row],[Start Date]],AQ$27&lt;ProposalToGnatt[[#This Row],[Start Date]]+ProposalToGnatt[[#This Row],[Days]]),$G$5,"")),"")</f>
        <v/>
      </c>
      <c r="AR34" s="36" t="str">
        <f ca="1">IFERROR(+IF(AR$27=ProposalToGnatt[[#This Row],[Start Date]],Milestone_Marker,IF(AND(AR$27&gt;ProposalToGnatt[[#This Row],[Start Date]],AR$27&lt;ProposalToGnatt[[#This Row],[Start Date]]+ProposalToGnatt[[#This Row],[Days]]),$G$5,"")),"")</f>
        <v/>
      </c>
      <c r="AS34" s="36" t="str">
        <f ca="1">IFERROR(+IF(AS$27=ProposalToGnatt[[#This Row],[Start Date]],Milestone_Marker,IF(AND(AS$27&gt;ProposalToGnatt[[#This Row],[Start Date]],AS$27&lt;ProposalToGnatt[[#This Row],[Start Date]]+ProposalToGnatt[[#This Row],[Days]]),$G$5,"")),"")</f>
        <v/>
      </c>
      <c r="AT34" s="36" t="str">
        <f ca="1">IFERROR(+IF(AT$27=ProposalToGnatt[[#This Row],[Start Date]],Milestone_Marker,IF(AND(AT$27&gt;ProposalToGnatt[[#This Row],[Start Date]],AT$27&lt;ProposalToGnatt[[#This Row],[Start Date]]+ProposalToGnatt[[#This Row],[Days]]),$G$5,"")),"")</f>
        <v/>
      </c>
      <c r="AU34" s="36" t="str">
        <f ca="1">IFERROR(+IF(AU$27=ProposalToGnatt[[#This Row],[Start Date]],Milestone_Marker,IF(AND(AU$27&gt;ProposalToGnatt[[#This Row],[Start Date]],AU$27&lt;ProposalToGnatt[[#This Row],[Start Date]]+ProposalToGnatt[[#This Row],[Days]]),$G$5,"")),"")</f>
        <v/>
      </c>
      <c r="AV34" s="36" t="str">
        <f ca="1">IFERROR(+IF(AV$27=ProposalToGnatt[[#This Row],[Start Date]],Milestone_Marker,IF(AND(AV$27&gt;ProposalToGnatt[[#This Row],[Start Date]],AV$27&lt;ProposalToGnatt[[#This Row],[Start Date]]+ProposalToGnatt[[#This Row],[Days]]),$G$5,"")),"")</f>
        <v/>
      </c>
      <c r="AW34" s="36" t="str">
        <f ca="1">IFERROR(+IF(AW$27=ProposalToGnatt[[#This Row],[Start Date]],Milestone_Marker,IF(AND(AW$27&gt;ProposalToGnatt[[#This Row],[Start Date]],AW$27&lt;ProposalToGnatt[[#This Row],[Start Date]]+ProposalToGnatt[[#This Row],[Days]]),$G$5,"")),"")</f>
        <v/>
      </c>
      <c r="AX34" s="36" t="str">
        <f ca="1">IFERROR(+IF(AX$27=ProposalToGnatt[[#This Row],[Start Date]],Milestone_Marker,IF(AND(AX$27&gt;ProposalToGnatt[[#This Row],[Start Date]],AX$27&lt;ProposalToGnatt[[#This Row],[Start Date]]+ProposalToGnatt[[#This Row],[Days]]),$G$5,"")),"")</f>
        <v/>
      </c>
      <c r="AY34" s="36" t="str">
        <f ca="1">IFERROR(+IF(AY$27=ProposalToGnatt[[#This Row],[Start Date]],Milestone_Marker,IF(AND(AY$27&gt;ProposalToGnatt[[#This Row],[Start Date]],AY$27&lt;ProposalToGnatt[[#This Row],[Start Date]]+ProposalToGnatt[[#This Row],[Days]]),$G$5,"")),"")</f>
        <v/>
      </c>
      <c r="AZ34" s="36" t="str">
        <f ca="1">IFERROR(+IF(AZ$27=ProposalToGnatt[[#This Row],[Start Date]],Milestone_Marker,IF(AND(AZ$27&gt;ProposalToGnatt[[#This Row],[Start Date]],AZ$27&lt;ProposalToGnatt[[#This Row],[Start Date]]+ProposalToGnatt[[#This Row],[Days]]),$G$5,"")),"")</f>
        <v/>
      </c>
      <c r="BA34" s="36" t="str">
        <f ca="1">IFERROR(+IF(BA$27=ProposalToGnatt[[#This Row],[Start Date]],Milestone_Marker,IF(AND(BA$27&gt;ProposalToGnatt[[#This Row],[Start Date]],BA$27&lt;ProposalToGnatt[[#This Row],[Start Date]]+ProposalToGnatt[[#This Row],[Days]]),$G$5,"")),"")</f>
        <v/>
      </c>
      <c r="BB34" s="36" t="str">
        <f ca="1">IFERROR(+IF(BB$27=ProposalToGnatt[[#This Row],[Start Date]],Milestone_Marker,IF(AND(BB$27&gt;ProposalToGnatt[[#This Row],[Start Date]],BB$27&lt;ProposalToGnatt[[#This Row],[Start Date]]+ProposalToGnatt[[#This Row],[Days]]),$G$5,"")),"")</f>
        <v/>
      </c>
      <c r="BC34" s="36" t="str">
        <f ca="1">IFERROR(+IF(BC$27=ProposalToGnatt[[#This Row],[Start Date]],Milestone_Marker,IF(AND(BC$27&gt;ProposalToGnatt[[#This Row],[Start Date]],BC$27&lt;ProposalToGnatt[[#This Row],[Start Date]]+ProposalToGnatt[[#This Row],[Days]]),$G$5,"")),"")</f>
        <v/>
      </c>
      <c r="BD34" s="36" t="str">
        <f ca="1">IFERROR(+IF(BD$27=ProposalToGnatt[[#This Row],[Start Date]],Milestone_Marker,IF(AND(BD$27&gt;ProposalToGnatt[[#This Row],[Start Date]],BD$27&lt;ProposalToGnatt[[#This Row],[Start Date]]+ProposalToGnatt[[#This Row],[Days]]),$G$5,"")),"")</f>
        <v/>
      </c>
      <c r="BE34" s="36" t="str">
        <f ca="1">IFERROR(+IF(BE$27=ProposalToGnatt[[#This Row],[Start Date]],Milestone_Marker,IF(AND(BE$27&gt;ProposalToGnatt[[#This Row],[Start Date]],BE$27&lt;ProposalToGnatt[[#This Row],[Start Date]]+ProposalToGnatt[[#This Row],[Days]]),$G$5,"")),"")</f>
        <v/>
      </c>
      <c r="BF34" s="36" t="str">
        <f ca="1">IFERROR(+IF(BF$27=ProposalToGnatt[[#This Row],[Start Date]],Milestone_Marker,IF(AND(BF$27&gt;ProposalToGnatt[[#This Row],[Start Date]],BF$27&lt;ProposalToGnatt[[#This Row],[Start Date]]+ProposalToGnatt[[#This Row],[Days]]),$G$5,"")),"")</f>
        <v/>
      </c>
      <c r="BG34" s="36" t="str">
        <f ca="1">IFERROR(+IF(BG$27=ProposalToGnatt[[#This Row],[Start Date]],Milestone_Marker,IF(AND(BG$27&gt;ProposalToGnatt[[#This Row],[Start Date]],BG$27&lt;ProposalToGnatt[[#This Row],[Start Date]]+ProposalToGnatt[[#This Row],[Days]]),$G$5,"")),"")</f>
        <v/>
      </c>
      <c r="BH34" s="36" t="str">
        <f ca="1">IFERROR(+IF(BH$27=ProposalToGnatt[[#This Row],[Start Date]],Milestone_Marker,IF(AND(BH$27&gt;ProposalToGnatt[[#This Row],[Start Date]],BH$27&lt;ProposalToGnatt[[#This Row],[Start Date]]+ProposalToGnatt[[#This Row],[Days]]),$G$5,"")),"")</f>
        <v/>
      </c>
      <c r="BI34" s="36" t="str">
        <f ca="1">IFERROR(+IF(BI$27=ProposalToGnatt[[#This Row],[Start Date]],Milestone_Marker,IF(AND(BI$27&gt;ProposalToGnatt[[#This Row],[Start Date]],BI$27&lt;ProposalToGnatt[[#This Row],[Start Date]]+ProposalToGnatt[[#This Row],[Days]]),$G$5,"")),"")</f>
        <v/>
      </c>
      <c r="BJ34" s="36" t="str">
        <f ca="1">IFERROR(+IF(BJ$27=ProposalToGnatt[[#This Row],[Start Date]],Milestone_Marker,IF(AND(BJ$27&gt;ProposalToGnatt[[#This Row],[Start Date]],BJ$27&lt;ProposalToGnatt[[#This Row],[Start Date]]+ProposalToGnatt[[#This Row],[Days]]),$G$5,"")),"")</f>
        <v/>
      </c>
      <c r="BK34" s="36" t="str">
        <f ca="1">IFERROR(+IF(BK$27=ProposalToGnatt[[#This Row],[Start Date]],Milestone_Marker,IF(AND(BK$27&gt;ProposalToGnatt[[#This Row],[Start Date]],BK$27&lt;ProposalToGnatt[[#This Row],[Start Date]]+ProposalToGnatt[[#This Row],[Days]]),$G$5,"")),"")</f>
        <v/>
      </c>
      <c r="BL34" s="36" t="str">
        <f ca="1">IFERROR(+IF(BL$27=ProposalToGnatt[[#This Row],[Start Date]],Milestone_Marker,IF(AND(BL$27&gt;ProposalToGnatt[[#This Row],[Start Date]],BL$27&lt;ProposalToGnatt[[#This Row],[Start Date]]+ProposalToGnatt[[#This Row],[Days]]),$G$5,"")),"")</f>
        <v/>
      </c>
      <c r="BM34" s="36" t="str">
        <f ca="1">IFERROR(+IF(BM$27=ProposalToGnatt[[#This Row],[Start Date]],Milestone_Marker,IF(AND(BM$27&gt;ProposalToGnatt[[#This Row],[Start Date]],BM$27&lt;ProposalToGnatt[[#This Row],[Start Date]]+ProposalToGnatt[[#This Row],[Days]]),$G$5,"")),"")</f>
        <v/>
      </c>
      <c r="BN34" s="36" t="str">
        <f ca="1">IFERROR(+IF(BN$27=ProposalToGnatt[[#This Row],[Start Date]],Milestone_Marker,IF(AND(BN$27&gt;ProposalToGnatt[[#This Row],[Start Date]],BN$27&lt;ProposalToGnatt[[#This Row],[Start Date]]+ProposalToGnatt[[#This Row],[Days]]),$G$5,"")),"")</f>
        <v/>
      </c>
      <c r="BO34" s="36" t="str">
        <f ca="1">IFERROR(+IF(BO$27=ProposalToGnatt[[#This Row],[Start Date]],Milestone_Marker,IF(AND(BO$27&gt;ProposalToGnatt[[#This Row],[Start Date]],BO$27&lt;ProposalToGnatt[[#This Row],[Start Date]]+ProposalToGnatt[[#This Row],[Days]]),$G$5,"")),"")</f>
        <v/>
      </c>
      <c r="BP34" s="36" t="str">
        <f ca="1">IFERROR(+IF(BP$27=ProposalToGnatt[[#This Row],[Start Date]],Milestone_Marker,IF(AND(BP$27&gt;ProposalToGnatt[[#This Row],[Start Date]],BP$27&lt;ProposalToGnatt[[#This Row],[Start Date]]+ProposalToGnatt[[#This Row],[Days]]),$G$5,"")),"")</f>
        <v/>
      </c>
      <c r="BQ34" s="36" t="str">
        <f ca="1">IFERROR(+IF(BQ$27=ProposalToGnatt[[#This Row],[Start Date]],Milestone_Marker,IF(AND(BQ$27&gt;ProposalToGnatt[[#This Row],[Start Date]],BQ$27&lt;ProposalToGnatt[[#This Row],[Start Date]]+ProposalToGnatt[[#This Row],[Days]]),$G$5,"")),"")</f>
        <v/>
      </c>
      <c r="BR34" s="36" t="str">
        <f ca="1">IFERROR(+IF(BR$27=ProposalToGnatt[[#This Row],[Start Date]],Milestone_Marker,IF(AND(BR$27&gt;ProposalToGnatt[[#This Row],[Start Date]],BR$27&lt;ProposalToGnatt[[#This Row],[Start Date]]+ProposalToGnatt[[#This Row],[Days]]),$G$5,"")),"")</f>
        <v/>
      </c>
      <c r="BS34" s="36" t="str">
        <f ca="1">IFERROR(+IF(BS$27=ProposalToGnatt[[#This Row],[Start Date]],Milestone_Marker,IF(AND(BS$27&gt;ProposalToGnatt[[#This Row],[Start Date]],BS$27&lt;ProposalToGnatt[[#This Row],[Start Date]]+ProposalToGnatt[[#This Row],[Days]]),$G$5,"")),"")</f>
        <v/>
      </c>
      <c r="BT34" s="36" t="str">
        <f ca="1">IFERROR(+IF(BT$27=ProposalToGnatt[[#This Row],[Start Date]],Milestone_Marker,IF(AND(BT$27&gt;ProposalToGnatt[[#This Row],[Start Date]],BT$27&lt;ProposalToGnatt[[#This Row],[Start Date]]+ProposalToGnatt[[#This Row],[Days]]),$G$5,"")),"")</f>
        <v/>
      </c>
      <c r="BU34" s="36" t="str">
        <f ca="1">IFERROR(+IF(BU$27=ProposalToGnatt[[#This Row],[Start Date]],Milestone_Marker,IF(AND(BU$27&gt;ProposalToGnatt[[#This Row],[Start Date]],BU$27&lt;ProposalToGnatt[[#This Row],[Start Date]]+ProposalToGnatt[[#This Row],[Days]]),$G$5,"")),"")</f>
        <v/>
      </c>
      <c r="BV34" s="36" t="str">
        <f ca="1">IFERROR(+IF(BV$27=ProposalToGnatt[[#This Row],[Start Date]],Milestone_Marker,IF(AND(BV$27&gt;ProposalToGnatt[[#This Row],[Start Date]],BV$27&lt;ProposalToGnatt[[#This Row],[Start Date]]+ProposalToGnatt[[#This Row],[Days]]),$G$5,"")),"")</f>
        <v/>
      </c>
      <c r="BW34" s="36" t="str">
        <f ca="1">IFERROR(+IF(BW$27=ProposalToGnatt[[#This Row],[Start Date]],Milestone_Marker,IF(AND(BW$27&gt;ProposalToGnatt[[#This Row],[Start Date]],BW$27&lt;ProposalToGnatt[[#This Row],[Start Date]]+ProposalToGnatt[[#This Row],[Days]]),$G$5,"")),"")</f>
        <v/>
      </c>
      <c r="BX34" s="36" t="str">
        <f ca="1">IFERROR(+IF(BX$27=ProposalToGnatt[[#This Row],[Start Date]],Milestone_Marker,IF(AND(BX$27&gt;ProposalToGnatt[[#This Row],[Start Date]],BX$27&lt;ProposalToGnatt[[#This Row],[Start Date]]+ProposalToGnatt[[#This Row],[Days]]),$G$5,"")),"")</f>
        <v/>
      </c>
      <c r="BY34" s="36" t="str">
        <f ca="1">IFERROR(+IF(BY$27=ProposalToGnatt[[#This Row],[Start Date]],Milestone_Marker,IF(AND(BY$27&gt;ProposalToGnatt[[#This Row],[Start Date]],BY$27&lt;ProposalToGnatt[[#This Row],[Start Date]]+ProposalToGnatt[[#This Row],[Days]]),$G$5,"")),"")</f>
        <v/>
      </c>
      <c r="BZ34" s="36" t="str">
        <f ca="1">IFERROR(+IF(BZ$27=ProposalToGnatt[[#This Row],[Start Date]],Milestone_Marker,IF(AND(BZ$27&gt;ProposalToGnatt[[#This Row],[Start Date]],BZ$27&lt;ProposalToGnatt[[#This Row],[Start Date]]+ProposalToGnatt[[#This Row],[Days]]),$G$5,"")),"")</f>
        <v/>
      </c>
      <c r="CA34" s="36" t="str">
        <f ca="1">IFERROR(+IF(CA$27=ProposalToGnatt[[#This Row],[Start Date]],Milestone_Marker,IF(AND(CA$27&gt;ProposalToGnatt[[#This Row],[Start Date]],CA$27&lt;ProposalToGnatt[[#This Row],[Start Date]]+ProposalToGnatt[[#This Row],[Days]]),$G$5,"")),"")</f>
        <v/>
      </c>
      <c r="CB34" s="36" t="str">
        <f ca="1">IFERROR(+IF(CB$27=ProposalToGnatt[[#This Row],[Start Date]],Milestone_Marker,IF(AND(CB$27&gt;ProposalToGnatt[[#This Row],[Start Date]],CB$27&lt;ProposalToGnatt[[#This Row],[Start Date]]+ProposalToGnatt[[#This Row],[Days]]),$G$5,"")),"")</f>
        <v/>
      </c>
      <c r="CC34" s="36" t="str">
        <f ca="1">IFERROR(+IF(CC$27=ProposalToGnatt[[#This Row],[Start Date]],Milestone_Marker,IF(AND(CC$27&gt;ProposalToGnatt[[#This Row],[Start Date]],CC$27&lt;ProposalToGnatt[[#This Row],[Start Date]]+ProposalToGnatt[[#This Row],[Days]]),$G$5,"")),"")</f>
        <v/>
      </c>
      <c r="CD34" s="36" t="str">
        <f ca="1">IFERROR(+IF(CD$27=ProposalToGnatt[[#This Row],[Start Date]],Milestone_Marker,IF(AND(CD$27&gt;ProposalToGnatt[[#This Row],[Start Date]],CD$27&lt;ProposalToGnatt[[#This Row],[Start Date]]+ProposalToGnatt[[#This Row],[Days]]),$G$5,"")),"")</f>
        <v/>
      </c>
      <c r="CE34" s="36" t="str">
        <f ca="1">IFERROR(+IF(CE$27=ProposalToGnatt[[#This Row],[Start Date]],Milestone_Marker,IF(AND(CE$27&gt;ProposalToGnatt[[#This Row],[Start Date]],CE$27&lt;ProposalToGnatt[[#This Row],[Start Date]]+ProposalToGnatt[[#This Row],[Days]]),$G$5,"")),"")</f>
        <v/>
      </c>
      <c r="CF34" s="36" t="str">
        <f ca="1">IFERROR(+IF(CF$27=ProposalToGnatt[[#This Row],[Start Date]],Milestone_Marker,IF(AND(CF$27&gt;ProposalToGnatt[[#This Row],[Start Date]],CF$27&lt;ProposalToGnatt[[#This Row],[Start Date]]+ProposalToGnatt[[#This Row],[Days]]),$G$5,"")),"")</f>
        <v/>
      </c>
      <c r="CG34" s="36" t="str">
        <f ca="1">IFERROR(+IF(CG$27=ProposalToGnatt[[#This Row],[Start Date]],Milestone_Marker,IF(AND(CG$27&gt;ProposalToGnatt[[#This Row],[Start Date]],CG$27&lt;ProposalToGnatt[[#This Row],[Start Date]]+ProposalToGnatt[[#This Row],[Days]]),$G$5,"")),"")</f>
        <v/>
      </c>
      <c r="CH34" s="36" t="str">
        <f ca="1">IFERROR(+IF(CH$27=ProposalToGnatt[[#This Row],[Start Date]],Milestone_Marker,IF(AND(CH$27&gt;ProposalToGnatt[[#This Row],[Start Date]],CH$27&lt;ProposalToGnatt[[#This Row],[Start Date]]+ProposalToGnatt[[#This Row],[Days]]),$G$5,"")),"")</f>
        <v/>
      </c>
      <c r="CI34" s="36" t="str">
        <f ca="1">IFERROR(+IF(CI$27=ProposalToGnatt[[#This Row],[Start Date]],Milestone_Marker,IF(AND(CI$27&gt;ProposalToGnatt[[#This Row],[Start Date]],CI$27&lt;ProposalToGnatt[[#This Row],[Start Date]]+ProposalToGnatt[[#This Row],[Days]]),$G$5,"")),"")</f>
        <v/>
      </c>
      <c r="CJ34" s="36" t="str">
        <f ca="1">IFERROR(+IF(CJ$27=ProposalToGnatt[[#This Row],[Start Date]],Milestone_Marker,IF(AND(CJ$27&gt;ProposalToGnatt[[#This Row],[Start Date]],CJ$27&lt;ProposalToGnatt[[#This Row],[Start Date]]+ProposalToGnatt[[#This Row],[Days]]),$G$5,"")),"")</f>
        <v/>
      </c>
      <c r="CK34" s="36" t="str">
        <f ca="1">IFERROR(+IF(CK$27=ProposalToGnatt[[#This Row],[Start Date]],Milestone_Marker,IF(AND(CK$27&gt;ProposalToGnatt[[#This Row],[Start Date]],CK$27&lt;ProposalToGnatt[[#This Row],[Start Date]]+ProposalToGnatt[[#This Row],[Days]]),$G$5,"")),"")</f>
        <v/>
      </c>
      <c r="CL34" s="36" t="str">
        <f ca="1">IFERROR(+IF(CL$27=ProposalToGnatt[[#This Row],[Start Date]],Milestone_Marker,IF(AND(CL$27&gt;ProposalToGnatt[[#This Row],[Start Date]],CL$27&lt;ProposalToGnatt[[#This Row],[Start Date]]+ProposalToGnatt[[#This Row],[Days]]),$G$5,"")),"")</f>
        <v/>
      </c>
      <c r="CM34" s="36" t="str">
        <f ca="1">IFERROR(+IF(CM$27=ProposalToGnatt[[#This Row],[Start Date]],Milestone_Marker,IF(AND(CM$27&gt;ProposalToGnatt[[#This Row],[Start Date]],CM$27&lt;ProposalToGnatt[[#This Row],[Start Date]]+ProposalToGnatt[[#This Row],[Days]]),$G$5,"")),"")</f>
        <v/>
      </c>
      <c r="CN34" s="36" t="str">
        <f ca="1">IFERROR(+IF(CN$27=ProposalToGnatt[[#This Row],[Start Date]],Milestone_Marker,IF(AND(CN$27&gt;ProposalToGnatt[[#This Row],[Start Date]],CN$27&lt;ProposalToGnatt[[#This Row],[Start Date]]+ProposalToGnatt[[#This Row],[Days]]),$G$5,"")),"")</f>
        <v/>
      </c>
      <c r="CO34" s="36" t="str">
        <f ca="1">IFERROR(+IF(CO$27=ProposalToGnatt[[#This Row],[Start Date]],Milestone_Marker,IF(AND(CO$27&gt;ProposalToGnatt[[#This Row],[Start Date]],CO$27&lt;ProposalToGnatt[[#This Row],[Start Date]]+ProposalToGnatt[[#This Row],[Days]]),$G$5,"")),"")</f>
        <v/>
      </c>
      <c r="CP34" s="36" t="str">
        <f ca="1">IFERROR(+IF(CP$27=ProposalToGnatt[[#This Row],[Start Date]],Milestone_Marker,IF(AND(CP$27&gt;ProposalToGnatt[[#This Row],[Start Date]],CP$27&lt;ProposalToGnatt[[#This Row],[Start Date]]+ProposalToGnatt[[#This Row],[Days]]),$G$5,"")),"")</f>
        <v/>
      </c>
      <c r="CQ34" s="36" t="str">
        <f ca="1">IFERROR(+IF(CQ$27=ProposalToGnatt[[#This Row],[Start Date]],Milestone_Marker,IF(AND(CQ$27&gt;ProposalToGnatt[[#This Row],[Start Date]],CQ$27&lt;ProposalToGnatt[[#This Row],[Start Date]]+ProposalToGnatt[[#This Row],[Days]]),$G$5,"")),"")</f>
        <v/>
      </c>
      <c r="CR34" s="36" t="str">
        <f ca="1">IFERROR(+IF(CR$27=ProposalToGnatt[[#This Row],[Start Date]],Milestone_Marker,IF(AND(CR$27&gt;ProposalToGnatt[[#This Row],[Start Date]],CR$27&lt;ProposalToGnatt[[#This Row],[Start Date]]+ProposalToGnatt[[#This Row],[Days]]),$G$5,"")),"")</f>
        <v/>
      </c>
      <c r="CS34" s="36" t="str">
        <f ca="1">IFERROR(+IF(CS$27=ProposalToGnatt[[#This Row],[Start Date]],Milestone_Marker,IF(AND(CS$27&gt;ProposalToGnatt[[#This Row],[Start Date]],CS$27&lt;ProposalToGnatt[[#This Row],[Start Date]]+ProposalToGnatt[[#This Row],[Days]]),$G$5,"")),"")</f>
        <v/>
      </c>
      <c r="CT34" s="36" t="str">
        <f ca="1">IFERROR(+IF(CT$27=ProposalToGnatt[[#This Row],[Start Date]],Milestone_Marker,IF(AND(CT$27&gt;ProposalToGnatt[[#This Row],[Start Date]],CT$27&lt;ProposalToGnatt[[#This Row],[Start Date]]+ProposalToGnatt[[#This Row],[Days]]),$G$5,"")),"")</f>
        <v/>
      </c>
      <c r="CU34" s="36" t="str">
        <f ca="1">IFERROR(+IF(CU$27=ProposalToGnatt[[#This Row],[Start Date]],Milestone_Marker,IF(AND(CU$27&gt;ProposalToGnatt[[#This Row],[Start Date]],CU$27&lt;ProposalToGnatt[[#This Row],[Start Date]]+ProposalToGnatt[[#This Row],[Days]]),$G$5,"")),"")</f>
        <v/>
      </c>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row>
    <row r="35" spans="1:125" s="41" customFormat="1" ht="20.100000000000001" customHeight="1" x14ac:dyDescent="0.25">
      <c r="A35" t="s">
        <v>730</v>
      </c>
      <c r="B35">
        <v>13</v>
      </c>
      <c r="C35" t="s">
        <v>174</v>
      </c>
      <c r="D35" t="s">
        <v>705</v>
      </c>
      <c r="E35" t="s">
        <v>708</v>
      </c>
      <c r="F35">
        <v>1</v>
      </c>
      <c r="G35" s="14">
        <v>97.45</v>
      </c>
      <c r="H35" s="14">
        <v>97.45</v>
      </c>
      <c r="I35" t="s">
        <v>516</v>
      </c>
      <c r="J35">
        <v>4</v>
      </c>
      <c r="K35" s="261">
        <v>46090</v>
      </c>
      <c r="L35"/>
      <c r="M35" s="14">
        <v>97.45</v>
      </c>
      <c r="N35" s="309">
        <v>97.45</v>
      </c>
      <c r="O35" s="297"/>
      <c r="P35" s="36" t="str">
        <f ca="1">IFERROR(+IF(P$27=ProposalToGnatt[[#This Row],[Start Date]],Milestone_Marker,IF(AND(P$27&gt;ProposalToGnatt[[#This Row],[Start Date]],P$27&lt;ProposalToGnatt[[#This Row],[Start Date]]+ProposalToGnatt[[#This Row],[Days]]),$G$5,"")),"")</f>
        <v/>
      </c>
      <c r="Q35" s="36" t="str">
        <f ca="1">IFERROR(+IF(Q$27=ProposalToGnatt[[#This Row],[Start Date]],Milestone_Marker,IF(AND(Q$27&gt;ProposalToGnatt[[#This Row],[Start Date]],Q$27&lt;ProposalToGnatt[[#This Row],[Start Date]]+ProposalToGnatt[[#This Row],[Days]]),$G$5,"")),"")</f>
        <v/>
      </c>
      <c r="R35" s="36" t="str">
        <f ca="1">IFERROR(+IF(R$27=ProposalToGnatt[[#This Row],[Start Date]],Milestone_Marker,IF(AND(R$27&gt;ProposalToGnatt[[#This Row],[Start Date]],R$27&lt;ProposalToGnatt[[#This Row],[Start Date]]+ProposalToGnatt[[#This Row],[Days]]),$G$5,"")),"")</f>
        <v/>
      </c>
      <c r="S35" s="36" t="str">
        <f ca="1">IFERROR(+IF(S$27=ProposalToGnatt[[#This Row],[Start Date]],Milestone_Marker,IF(AND(S$27&gt;ProposalToGnatt[[#This Row],[Start Date]],S$27&lt;ProposalToGnatt[[#This Row],[Start Date]]+ProposalToGnatt[[#This Row],[Days]]),$G$5,"")),"")</f>
        <v/>
      </c>
      <c r="T35" s="36" t="str">
        <f ca="1">IFERROR(+IF(T$27=ProposalToGnatt[[#This Row],[Start Date]],Milestone_Marker,IF(AND(T$27&gt;ProposalToGnatt[[#This Row],[Start Date]],T$27&lt;ProposalToGnatt[[#This Row],[Start Date]]+ProposalToGnatt[[#This Row],[Days]]),$G$5,"")),"")</f>
        <v/>
      </c>
      <c r="U35" s="36" t="str">
        <f ca="1">IFERROR(+IF(U$27=ProposalToGnatt[[#This Row],[Start Date]],Milestone_Marker,IF(AND(U$27&gt;ProposalToGnatt[[#This Row],[Start Date]],U$27&lt;ProposalToGnatt[[#This Row],[Start Date]]+ProposalToGnatt[[#This Row],[Days]]),$G$5,"")),"")</f>
        <v/>
      </c>
      <c r="V35" s="36" t="str">
        <f ca="1">IFERROR(+IF(V$27=ProposalToGnatt[[#This Row],[Start Date]],Milestone_Marker,IF(AND(V$27&gt;ProposalToGnatt[[#This Row],[Start Date]],V$27&lt;ProposalToGnatt[[#This Row],[Start Date]]+ProposalToGnatt[[#This Row],[Days]]),$G$5,"")),"")</f>
        <v/>
      </c>
      <c r="W35" s="36" t="str">
        <f ca="1">IFERROR(+IF(W$27=ProposalToGnatt[[#This Row],[Start Date]],Milestone_Marker,IF(AND(W$27&gt;ProposalToGnatt[[#This Row],[Start Date]],W$27&lt;ProposalToGnatt[[#This Row],[Start Date]]+ProposalToGnatt[[#This Row],[Days]]),$G$5,"")),"")</f>
        <v/>
      </c>
      <c r="X35" s="36" t="str">
        <f ca="1">IFERROR(+IF(X$27=ProposalToGnatt[[#This Row],[Start Date]],Milestone_Marker,IF(AND(X$27&gt;ProposalToGnatt[[#This Row],[Start Date]],X$27&lt;ProposalToGnatt[[#This Row],[Start Date]]+ProposalToGnatt[[#This Row],[Days]]),$G$5,"")),"")</f>
        <v/>
      </c>
      <c r="Y35" s="36" t="str">
        <f ca="1">IFERROR(+IF(Y$27=ProposalToGnatt[[#This Row],[Start Date]],Milestone_Marker,IF(AND(Y$27&gt;ProposalToGnatt[[#This Row],[Start Date]],Y$27&lt;ProposalToGnatt[[#This Row],[Start Date]]+ProposalToGnatt[[#This Row],[Days]]),$G$5,"")),"")</f>
        <v/>
      </c>
      <c r="Z35" s="36" t="str">
        <f ca="1">IFERROR(+IF(Z$27=ProposalToGnatt[[#This Row],[Start Date]],Milestone_Marker,IF(AND(Z$27&gt;ProposalToGnatt[[#This Row],[Start Date]],Z$27&lt;ProposalToGnatt[[#This Row],[Start Date]]+ProposalToGnatt[[#This Row],[Days]]),$G$5,"")),"")</f>
        <v/>
      </c>
      <c r="AA35" s="36" t="str">
        <f ca="1">IFERROR(+IF(AA$27=ProposalToGnatt[[#This Row],[Start Date]],Milestone_Marker,IF(AND(AA$27&gt;ProposalToGnatt[[#This Row],[Start Date]],AA$27&lt;ProposalToGnatt[[#This Row],[Start Date]]+ProposalToGnatt[[#This Row],[Days]]),$G$5,"")),"")</f>
        <v/>
      </c>
      <c r="AB35" s="36" t="str">
        <f ca="1">IFERROR(+IF(AB$27=ProposalToGnatt[[#This Row],[Start Date]],Milestone_Marker,IF(AND(AB$27&gt;ProposalToGnatt[[#This Row],[Start Date]],AB$27&lt;ProposalToGnatt[[#This Row],[Start Date]]+ProposalToGnatt[[#This Row],[Days]]),$G$5,"")),"")</f>
        <v/>
      </c>
      <c r="AC35" s="36" t="str">
        <f ca="1">IFERROR(+IF(AC$27=ProposalToGnatt[[#This Row],[Start Date]],Milestone_Marker,IF(AND(AC$27&gt;ProposalToGnatt[[#This Row],[Start Date]],AC$27&lt;ProposalToGnatt[[#This Row],[Start Date]]+ProposalToGnatt[[#This Row],[Days]]),$G$5,"")),"")</f>
        <v/>
      </c>
      <c r="AD35" s="36" t="str">
        <f ca="1">IFERROR(+IF(AD$27=ProposalToGnatt[[#This Row],[Start Date]],Milestone_Marker,IF(AND(AD$27&gt;ProposalToGnatt[[#This Row],[Start Date]],AD$27&lt;ProposalToGnatt[[#This Row],[Start Date]]+ProposalToGnatt[[#This Row],[Days]]),$G$5,"")),"")</f>
        <v/>
      </c>
      <c r="AE35" s="36" t="str">
        <f ca="1">IFERROR(+IF(AE$27=ProposalToGnatt[[#This Row],[Start Date]],Milestone_Marker,IF(AND(AE$27&gt;ProposalToGnatt[[#This Row],[Start Date]],AE$27&lt;ProposalToGnatt[[#This Row],[Start Date]]+ProposalToGnatt[[#This Row],[Days]]),$G$5,"")),"")</f>
        <v/>
      </c>
      <c r="AF35" s="36" t="str">
        <f ca="1">IFERROR(+IF(AF$27=ProposalToGnatt[[#This Row],[Start Date]],Milestone_Marker,IF(AND(AF$27&gt;ProposalToGnatt[[#This Row],[Start Date]],AF$27&lt;ProposalToGnatt[[#This Row],[Start Date]]+ProposalToGnatt[[#This Row],[Days]]),$G$5,"")),"")</f>
        <v/>
      </c>
      <c r="AG35" s="36" t="str">
        <f ca="1">IFERROR(+IF(AG$27=ProposalToGnatt[[#This Row],[Start Date]],Milestone_Marker,IF(AND(AG$27&gt;ProposalToGnatt[[#This Row],[Start Date]],AG$27&lt;ProposalToGnatt[[#This Row],[Start Date]]+ProposalToGnatt[[#This Row],[Days]]),$G$5,"")),"")</f>
        <v/>
      </c>
      <c r="AH35" s="36" t="str">
        <f ca="1">IFERROR(+IF(AH$27=ProposalToGnatt[[#This Row],[Start Date]],Milestone_Marker,IF(AND(AH$27&gt;ProposalToGnatt[[#This Row],[Start Date]],AH$27&lt;ProposalToGnatt[[#This Row],[Start Date]]+ProposalToGnatt[[#This Row],[Days]]),$G$5,"")),"")</f>
        <v/>
      </c>
      <c r="AI35" s="36" t="str">
        <f ca="1">IFERROR(+IF(AI$27=ProposalToGnatt[[#This Row],[Start Date]],Milestone_Marker,IF(AND(AI$27&gt;ProposalToGnatt[[#This Row],[Start Date]],AI$27&lt;ProposalToGnatt[[#This Row],[Start Date]]+ProposalToGnatt[[#This Row],[Days]]),$G$5,"")),"")</f>
        <v/>
      </c>
      <c r="AJ35" s="36" t="str">
        <f ca="1">IFERROR(+IF(AJ$27=ProposalToGnatt[[#This Row],[Start Date]],Milestone_Marker,IF(AND(AJ$27&gt;ProposalToGnatt[[#This Row],[Start Date]],AJ$27&lt;ProposalToGnatt[[#This Row],[Start Date]]+ProposalToGnatt[[#This Row],[Days]]),$G$5,"")),"")</f>
        <v/>
      </c>
      <c r="AK35" s="36" t="str">
        <f ca="1">IFERROR(+IF(AK$27=ProposalToGnatt[[#This Row],[Start Date]],Milestone_Marker,IF(AND(AK$27&gt;ProposalToGnatt[[#This Row],[Start Date]],AK$27&lt;ProposalToGnatt[[#This Row],[Start Date]]+ProposalToGnatt[[#This Row],[Days]]),$G$5,"")),"")</f>
        <v/>
      </c>
      <c r="AL35" s="36" t="str">
        <f ca="1">IFERROR(+IF(AL$27=ProposalToGnatt[[#This Row],[Start Date]],Milestone_Marker,IF(AND(AL$27&gt;ProposalToGnatt[[#This Row],[Start Date]],AL$27&lt;ProposalToGnatt[[#This Row],[Start Date]]+ProposalToGnatt[[#This Row],[Days]]),$G$5,"")),"")</f>
        <v/>
      </c>
      <c r="AM35" s="36" t="str">
        <f ca="1">IFERROR(+IF(AM$27=ProposalToGnatt[[#This Row],[Start Date]],Milestone_Marker,IF(AND(AM$27&gt;ProposalToGnatt[[#This Row],[Start Date]],AM$27&lt;ProposalToGnatt[[#This Row],[Start Date]]+ProposalToGnatt[[#This Row],[Days]]),$G$5,"")),"")</f>
        <v/>
      </c>
      <c r="AN35" s="36" t="str">
        <f ca="1">IFERROR(+IF(AN$27=ProposalToGnatt[[#This Row],[Start Date]],Milestone_Marker,IF(AND(AN$27&gt;ProposalToGnatt[[#This Row],[Start Date]],AN$27&lt;ProposalToGnatt[[#This Row],[Start Date]]+ProposalToGnatt[[#This Row],[Days]]),$G$5,"")),"")</f>
        <v/>
      </c>
      <c r="AO35" s="36" t="str">
        <f ca="1">IFERROR(+IF(AO$27=ProposalToGnatt[[#This Row],[Start Date]],Milestone_Marker,IF(AND(AO$27&gt;ProposalToGnatt[[#This Row],[Start Date]],AO$27&lt;ProposalToGnatt[[#This Row],[Start Date]]+ProposalToGnatt[[#This Row],[Days]]),$G$5,"")),"")</f>
        <v/>
      </c>
      <c r="AP35" s="36" t="str">
        <f ca="1">IFERROR(+IF(AP$27=ProposalToGnatt[[#This Row],[Start Date]],Milestone_Marker,IF(AND(AP$27&gt;ProposalToGnatt[[#This Row],[Start Date]],AP$27&lt;ProposalToGnatt[[#This Row],[Start Date]]+ProposalToGnatt[[#This Row],[Days]]),$G$5,"")),"")</f>
        <v/>
      </c>
      <c r="AQ35" s="36" t="str">
        <f ca="1">IFERROR(+IF(AQ$27=ProposalToGnatt[[#This Row],[Start Date]],Milestone_Marker,IF(AND(AQ$27&gt;ProposalToGnatt[[#This Row],[Start Date]],AQ$27&lt;ProposalToGnatt[[#This Row],[Start Date]]+ProposalToGnatt[[#This Row],[Days]]),$G$5,"")),"")</f>
        <v/>
      </c>
      <c r="AR35" s="36" t="str">
        <f ca="1">IFERROR(+IF(AR$27=ProposalToGnatt[[#This Row],[Start Date]],Milestone_Marker,IF(AND(AR$27&gt;ProposalToGnatt[[#This Row],[Start Date]],AR$27&lt;ProposalToGnatt[[#This Row],[Start Date]]+ProposalToGnatt[[#This Row],[Days]]),$G$5,"")),"")</f>
        <v/>
      </c>
      <c r="AS35" s="36" t="str">
        <f ca="1">IFERROR(+IF(AS$27=ProposalToGnatt[[#This Row],[Start Date]],Milestone_Marker,IF(AND(AS$27&gt;ProposalToGnatt[[#This Row],[Start Date]],AS$27&lt;ProposalToGnatt[[#This Row],[Start Date]]+ProposalToGnatt[[#This Row],[Days]]),$G$5,"")),"")</f>
        <v/>
      </c>
      <c r="AT35" s="36" t="str">
        <f ca="1">IFERROR(+IF(AT$27=ProposalToGnatt[[#This Row],[Start Date]],Milestone_Marker,IF(AND(AT$27&gt;ProposalToGnatt[[#This Row],[Start Date]],AT$27&lt;ProposalToGnatt[[#This Row],[Start Date]]+ProposalToGnatt[[#This Row],[Days]]),$G$5,"")),"")</f>
        <v/>
      </c>
      <c r="AU35" s="36" t="str">
        <f ca="1">IFERROR(+IF(AU$27=ProposalToGnatt[[#This Row],[Start Date]],Milestone_Marker,IF(AND(AU$27&gt;ProposalToGnatt[[#This Row],[Start Date]],AU$27&lt;ProposalToGnatt[[#This Row],[Start Date]]+ProposalToGnatt[[#This Row],[Days]]),$G$5,"")),"")</f>
        <v/>
      </c>
      <c r="AV35" s="36" t="str">
        <f ca="1">IFERROR(+IF(AV$27=ProposalToGnatt[[#This Row],[Start Date]],Milestone_Marker,IF(AND(AV$27&gt;ProposalToGnatt[[#This Row],[Start Date]],AV$27&lt;ProposalToGnatt[[#This Row],[Start Date]]+ProposalToGnatt[[#This Row],[Days]]),$G$5,"")),"")</f>
        <v/>
      </c>
      <c r="AW35" s="36" t="str">
        <f ca="1">IFERROR(+IF(AW$27=ProposalToGnatt[[#This Row],[Start Date]],Milestone_Marker,IF(AND(AW$27&gt;ProposalToGnatt[[#This Row],[Start Date]],AW$27&lt;ProposalToGnatt[[#This Row],[Start Date]]+ProposalToGnatt[[#This Row],[Days]]),$G$5,"")),"")</f>
        <v/>
      </c>
      <c r="AX35" s="36" t="str">
        <f ca="1">IFERROR(+IF(AX$27=ProposalToGnatt[[#This Row],[Start Date]],Milestone_Marker,IF(AND(AX$27&gt;ProposalToGnatt[[#This Row],[Start Date]],AX$27&lt;ProposalToGnatt[[#This Row],[Start Date]]+ProposalToGnatt[[#This Row],[Days]]),$G$5,"")),"")</f>
        <v/>
      </c>
      <c r="AY35" s="36" t="str">
        <f ca="1">IFERROR(+IF(AY$27=ProposalToGnatt[[#This Row],[Start Date]],Milestone_Marker,IF(AND(AY$27&gt;ProposalToGnatt[[#This Row],[Start Date]],AY$27&lt;ProposalToGnatt[[#This Row],[Start Date]]+ProposalToGnatt[[#This Row],[Days]]),$G$5,"")),"")</f>
        <v/>
      </c>
      <c r="AZ35" s="36" t="str">
        <f ca="1">IFERROR(+IF(AZ$27=ProposalToGnatt[[#This Row],[Start Date]],Milestone_Marker,IF(AND(AZ$27&gt;ProposalToGnatt[[#This Row],[Start Date]],AZ$27&lt;ProposalToGnatt[[#This Row],[Start Date]]+ProposalToGnatt[[#This Row],[Days]]),$G$5,"")),"")</f>
        <v/>
      </c>
      <c r="BA35" s="36" t="str">
        <f ca="1">IFERROR(+IF(BA$27=ProposalToGnatt[[#This Row],[Start Date]],Milestone_Marker,IF(AND(BA$27&gt;ProposalToGnatt[[#This Row],[Start Date]],BA$27&lt;ProposalToGnatt[[#This Row],[Start Date]]+ProposalToGnatt[[#This Row],[Days]]),$G$5,"")),"")</f>
        <v/>
      </c>
      <c r="BB35" s="36" t="str">
        <f ca="1">IFERROR(+IF(BB$27=ProposalToGnatt[[#This Row],[Start Date]],Milestone_Marker,IF(AND(BB$27&gt;ProposalToGnatt[[#This Row],[Start Date]],BB$27&lt;ProposalToGnatt[[#This Row],[Start Date]]+ProposalToGnatt[[#This Row],[Days]]),$G$5,"")),"")</f>
        <v/>
      </c>
      <c r="BC35" s="36" t="str">
        <f ca="1">IFERROR(+IF(BC$27=ProposalToGnatt[[#This Row],[Start Date]],Milestone_Marker,IF(AND(BC$27&gt;ProposalToGnatt[[#This Row],[Start Date]],BC$27&lt;ProposalToGnatt[[#This Row],[Start Date]]+ProposalToGnatt[[#This Row],[Days]]),$G$5,"")),"")</f>
        <v/>
      </c>
      <c r="BD35" s="36" t="str">
        <f ca="1">IFERROR(+IF(BD$27=ProposalToGnatt[[#This Row],[Start Date]],Milestone_Marker,IF(AND(BD$27&gt;ProposalToGnatt[[#This Row],[Start Date]],BD$27&lt;ProposalToGnatt[[#This Row],[Start Date]]+ProposalToGnatt[[#This Row],[Days]]),$G$5,"")),"")</f>
        <v/>
      </c>
      <c r="BE35" s="36" t="str">
        <f ca="1">IFERROR(+IF(BE$27=ProposalToGnatt[[#This Row],[Start Date]],Milestone_Marker,IF(AND(BE$27&gt;ProposalToGnatt[[#This Row],[Start Date]],BE$27&lt;ProposalToGnatt[[#This Row],[Start Date]]+ProposalToGnatt[[#This Row],[Days]]),$G$5,"")),"")</f>
        <v/>
      </c>
      <c r="BF35" s="36" t="str">
        <f ca="1">IFERROR(+IF(BF$27=ProposalToGnatt[[#This Row],[Start Date]],Milestone_Marker,IF(AND(BF$27&gt;ProposalToGnatt[[#This Row],[Start Date]],BF$27&lt;ProposalToGnatt[[#This Row],[Start Date]]+ProposalToGnatt[[#This Row],[Days]]),$G$5,"")),"")</f>
        <v/>
      </c>
      <c r="BG35" s="36" t="str">
        <f ca="1">IFERROR(+IF(BG$27=ProposalToGnatt[[#This Row],[Start Date]],Milestone_Marker,IF(AND(BG$27&gt;ProposalToGnatt[[#This Row],[Start Date]],BG$27&lt;ProposalToGnatt[[#This Row],[Start Date]]+ProposalToGnatt[[#This Row],[Days]]),$G$5,"")),"")</f>
        <v/>
      </c>
      <c r="BH35" s="36" t="str">
        <f ca="1">IFERROR(+IF(BH$27=ProposalToGnatt[[#This Row],[Start Date]],Milestone_Marker,IF(AND(BH$27&gt;ProposalToGnatt[[#This Row],[Start Date]],BH$27&lt;ProposalToGnatt[[#This Row],[Start Date]]+ProposalToGnatt[[#This Row],[Days]]),$G$5,"")),"")</f>
        <v/>
      </c>
      <c r="BI35" s="36" t="str">
        <f ca="1">IFERROR(+IF(BI$27=ProposalToGnatt[[#This Row],[Start Date]],Milestone_Marker,IF(AND(BI$27&gt;ProposalToGnatt[[#This Row],[Start Date]],BI$27&lt;ProposalToGnatt[[#This Row],[Start Date]]+ProposalToGnatt[[#This Row],[Days]]),$G$5,"")),"")</f>
        <v/>
      </c>
      <c r="BJ35" s="36" t="str">
        <f ca="1">IFERROR(+IF(BJ$27=ProposalToGnatt[[#This Row],[Start Date]],Milestone_Marker,IF(AND(BJ$27&gt;ProposalToGnatt[[#This Row],[Start Date]],BJ$27&lt;ProposalToGnatt[[#This Row],[Start Date]]+ProposalToGnatt[[#This Row],[Days]]),$G$5,"")),"")</f>
        <v/>
      </c>
      <c r="BK35" s="36" t="str">
        <f ca="1">IFERROR(+IF(BK$27=ProposalToGnatt[[#This Row],[Start Date]],Milestone_Marker,IF(AND(BK$27&gt;ProposalToGnatt[[#This Row],[Start Date]],BK$27&lt;ProposalToGnatt[[#This Row],[Start Date]]+ProposalToGnatt[[#This Row],[Days]]),$G$5,"")),"")</f>
        <v/>
      </c>
      <c r="BL35" s="36" t="str">
        <f ca="1">IFERROR(+IF(BL$27=ProposalToGnatt[[#This Row],[Start Date]],Milestone_Marker,IF(AND(BL$27&gt;ProposalToGnatt[[#This Row],[Start Date]],BL$27&lt;ProposalToGnatt[[#This Row],[Start Date]]+ProposalToGnatt[[#This Row],[Days]]),$G$5,"")),"")</f>
        <v/>
      </c>
      <c r="BM35" s="36" t="str">
        <f ca="1">IFERROR(+IF(BM$27=ProposalToGnatt[[#This Row],[Start Date]],Milestone_Marker,IF(AND(BM$27&gt;ProposalToGnatt[[#This Row],[Start Date]],BM$27&lt;ProposalToGnatt[[#This Row],[Start Date]]+ProposalToGnatt[[#This Row],[Days]]),$G$5,"")),"")</f>
        <v/>
      </c>
      <c r="BN35" s="36" t="str">
        <f ca="1">IFERROR(+IF(BN$27=ProposalToGnatt[[#This Row],[Start Date]],Milestone_Marker,IF(AND(BN$27&gt;ProposalToGnatt[[#This Row],[Start Date]],BN$27&lt;ProposalToGnatt[[#This Row],[Start Date]]+ProposalToGnatt[[#This Row],[Days]]),$G$5,"")),"")</f>
        <v/>
      </c>
      <c r="BO35" s="36" t="str">
        <f ca="1">IFERROR(+IF(BO$27=ProposalToGnatt[[#This Row],[Start Date]],Milestone_Marker,IF(AND(BO$27&gt;ProposalToGnatt[[#This Row],[Start Date]],BO$27&lt;ProposalToGnatt[[#This Row],[Start Date]]+ProposalToGnatt[[#This Row],[Days]]),$G$5,"")),"")</f>
        <v/>
      </c>
      <c r="BP35" s="36" t="str">
        <f ca="1">IFERROR(+IF(BP$27=ProposalToGnatt[[#This Row],[Start Date]],Milestone_Marker,IF(AND(BP$27&gt;ProposalToGnatt[[#This Row],[Start Date]],BP$27&lt;ProposalToGnatt[[#This Row],[Start Date]]+ProposalToGnatt[[#This Row],[Days]]),$G$5,"")),"")</f>
        <v/>
      </c>
      <c r="BQ35" s="36" t="str">
        <f ca="1">IFERROR(+IF(BQ$27=ProposalToGnatt[[#This Row],[Start Date]],Milestone_Marker,IF(AND(BQ$27&gt;ProposalToGnatt[[#This Row],[Start Date]],BQ$27&lt;ProposalToGnatt[[#This Row],[Start Date]]+ProposalToGnatt[[#This Row],[Days]]),$G$5,"")),"")</f>
        <v/>
      </c>
      <c r="BR35" s="36" t="str">
        <f ca="1">IFERROR(+IF(BR$27=ProposalToGnatt[[#This Row],[Start Date]],Milestone_Marker,IF(AND(BR$27&gt;ProposalToGnatt[[#This Row],[Start Date]],BR$27&lt;ProposalToGnatt[[#This Row],[Start Date]]+ProposalToGnatt[[#This Row],[Days]]),$G$5,"")),"")</f>
        <v/>
      </c>
      <c r="BS35" s="36" t="str">
        <f ca="1">IFERROR(+IF(BS$27=ProposalToGnatt[[#This Row],[Start Date]],Milestone_Marker,IF(AND(BS$27&gt;ProposalToGnatt[[#This Row],[Start Date]],BS$27&lt;ProposalToGnatt[[#This Row],[Start Date]]+ProposalToGnatt[[#This Row],[Days]]),$G$5,"")),"")</f>
        <v/>
      </c>
      <c r="BT35" s="36" t="str">
        <f ca="1">IFERROR(+IF(BT$27=ProposalToGnatt[[#This Row],[Start Date]],Milestone_Marker,IF(AND(BT$27&gt;ProposalToGnatt[[#This Row],[Start Date]],BT$27&lt;ProposalToGnatt[[#This Row],[Start Date]]+ProposalToGnatt[[#This Row],[Days]]),$G$5,"")),"")</f>
        <v/>
      </c>
      <c r="BU35" s="36" t="str">
        <f ca="1">IFERROR(+IF(BU$27=ProposalToGnatt[[#This Row],[Start Date]],Milestone_Marker,IF(AND(BU$27&gt;ProposalToGnatt[[#This Row],[Start Date]],BU$27&lt;ProposalToGnatt[[#This Row],[Start Date]]+ProposalToGnatt[[#This Row],[Days]]),$G$5,"")),"")</f>
        <v/>
      </c>
      <c r="BV35" s="36" t="str">
        <f ca="1">IFERROR(+IF(BV$27=ProposalToGnatt[[#This Row],[Start Date]],Milestone_Marker,IF(AND(BV$27&gt;ProposalToGnatt[[#This Row],[Start Date]],BV$27&lt;ProposalToGnatt[[#This Row],[Start Date]]+ProposalToGnatt[[#This Row],[Days]]),$G$5,"")),"")</f>
        <v/>
      </c>
      <c r="BW35" s="36" t="str">
        <f ca="1">IFERROR(+IF(BW$27=ProposalToGnatt[[#This Row],[Start Date]],Milestone_Marker,IF(AND(BW$27&gt;ProposalToGnatt[[#This Row],[Start Date]],BW$27&lt;ProposalToGnatt[[#This Row],[Start Date]]+ProposalToGnatt[[#This Row],[Days]]),$G$5,"")),"")</f>
        <v/>
      </c>
      <c r="BX35" s="36" t="str">
        <f ca="1">IFERROR(+IF(BX$27=ProposalToGnatt[[#This Row],[Start Date]],Milestone_Marker,IF(AND(BX$27&gt;ProposalToGnatt[[#This Row],[Start Date]],BX$27&lt;ProposalToGnatt[[#This Row],[Start Date]]+ProposalToGnatt[[#This Row],[Days]]),$G$5,"")),"")</f>
        <v/>
      </c>
      <c r="BY35" s="36" t="str">
        <f ca="1">IFERROR(+IF(BY$27=ProposalToGnatt[[#This Row],[Start Date]],Milestone_Marker,IF(AND(BY$27&gt;ProposalToGnatt[[#This Row],[Start Date]],BY$27&lt;ProposalToGnatt[[#This Row],[Start Date]]+ProposalToGnatt[[#This Row],[Days]]),$G$5,"")),"")</f>
        <v/>
      </c>
      <c r="BZ35" s="36" t="str">
        <f ca="1">IFERROR(+IF(BZ$27=ProposalToGnatt[[#This Row],[Start Date]],Milestone_Marker,IF(AND(BZ$27&gt;ProposalToGnatt[[#This Row],[Start Date]],BZ$27&lt;ProposalToGnatt[[#This Row],[Start Date]]+ProposalToGnatt[[#This Row],[Days]]),$G$5,"")),"")</f>
        <v/>
      </c>
      <c r="CA35" s="36" t="str">
        <f ca="1">IFERROR(+IF(CA$27=ProposalToGnatt[[#This Row],[Start Date]],Milestone_Marker,IF(AND(CA$27&gt;ProposalToGnatt[[#This Row],[Start Date]],CA$27&lt;ProposalToGnatt[[#This Row],[Start Date]]+ProposalToGnatt[[#This Row],[Days]]),$G$5,"")),"")</f>
        <v/>
      </c>
      <c r="CB35" s="36" t="str">
        <f ca="1">IFERROR(+IF(CB$27=ProposalToGnatt[[#This Row],[Start Date]],Milestone_Marker,IF(AND(CB$27&gt;ProposalToGnatt[[#This Row],[Start Date]],CB$27&lt;ProposalToGnatt[[#This Row],[Start Date]]+ProposalToGnatt[[#This Row],[Days]]),$G$5,"")),"")</f>
        <v/>
      </c>
      <c r="CC35" s="36" t="str">
        <f ca="1">IFERROR(+IF(CC$27=ProposalToGnatt[[#This Row],[Start Date]],Milestone_Marker,IF(AND(CC$27&gt;ProposalToGnatt[[#This Row],[Start Date]],CC$27&lt;ProposalToGnatt[[#This Row],[Start Date]]+ProposalToGnatt[[#This Row],[Days]]),$G$5,"")),"")</f>
        <v/>
      </c>
      <c r="CD35" s="36" t="str">
        <f ca="1">IFERROR(+IF(CD$27=ProposalToGnatt[[#This Row],[Start Date]],Milestone_Marker,IF(AND(CD$27&gt;ProposalToGnatt[[#This Row],[Start Date]],CD$27&lt;ProposalToGnatt[[#This Row],[Start Date]]+ProposalToGnatt[[#This Row],[Days]]),$G$5,"")),"")</f>
        <v/>
      </c>
      <c r="CE35" s="36" t="str">
        <f ca="1">IFERROR(+IF(CE$27=ProposalToGnatt[[#This Row],[Start Date]],Milestone_Marker,IF(AND(CE$27&gt;ProposalToGnatt[[#This Row],[Start Date]],CE$27&lt;ProposalToGnatt[[#This Row],[Start Date]]+ProposalToGnatt[[#This Row],[Days]]),$G$5,"")),"")</f>
        <v/>
      </c>
      <c r="CF35" s="36" t="str">
        <f ca="1">IFERROR(+IF(CF$27=ProposalToGnatt[[#This Row],[Start Date]],Milestone_Marker,IF(AND(CF$27&gt;ProposalToGnatt[[#This Row],[Start Date]],CF$27&lt;ProposalToGnatt[[#This Row],[Start Date]]+ProposalToGnatt[[#This Row],[Days]]),$G$5,"")),"")</f>
        <v/>
      </c>
      <c r="CG35" s="36" t="str">
        <f ca="1">IFERROR(+IF(CG$27=ProposalToGnatt[[#This Row],[Start Date]],Milestone_Marker,IF(AND(CG$27&gt;ProposalToGnatt[[#This Row],[Start Date]],CG$27&lt;ProposalToGnatt[[#This Row],[Start Date]]+ProposalToGnatt[[#This Row],[Days]]),$G$5,"")),"")</f>
        <v/>
      </c>
      <c r="CH35" s="36" t="str">
        <f ca="1">IFERROR(+IF(CH$27=ProposalToGnatt[[#This Row],[Start Date]],Milestone_Marker,IF(AND(CH$27&gt;ProposalToGnatt[[#This Row],[Start Date]],CH$27&lt;ProposalToGnatt[[#This Row],[Start Date]]+ProposalToGnatt[[#This Row],[Days]]),$G$5,"")),"")</f>
        <v/>
      </c>
      <c r="CI35" s="36" t="str">
        <f ca="1">IFERROR(+IF(CI$27=ProposalToGnatt[[#This Row],[Start Date]],Milestone_Marker,IF(AND(CI$27&gt;ProposalToGnatt[[#This Row],[Start Date]],CI$27&lt;ProposalToGnatt[[#This Row],[Start Date]]+ProposalToGnatt[[#This Row],[Days]]),$G$5,"")),"")</f>
        <v/>
      </c>
      <c r="CJ35" s="36" t="str">
        <f ca="1">IFERROR(+IF(CJ$27=ProposalToGnatt[[#This Row],[Start Date]],Milestone_Marker,IF(AND(CJ$27&gt;ProposalToGnatt[[#This Row],[Start Date]],CJ$27&lt;ProposalToGnatt[[#This Row],[Start Date]]+ProposalToGnatt[[#This Row],[Days]]),$G$5,"")),"")</f>
        <v/>
      </c>
      <c r="CK35" s="36" t="str">
        <f ca="1">IFERROR(+IF(CK$27=ProposalToGnatt[[#This Row],[Start Date]],Milestone_Marker,IF(AND(CK$27&gt;ProposalToGnatt[[#This Row],[Start Date]],CK$27&lt;ProposalToGnatt[[#This Row],[Start Date]]+ProposalToGnatt[[#This Row],[Days]]),$G$5,"")),"")</f>
        <v/>
      </c>
      <c r="CL35" s="36" t="str">
        <f ca="1">IFERROR(+IF(CL$27=ProposalToGnatt[[#This Row],[Start Date]],Milestone_Marker,IF(AND(CL$27&gt;ProposalToGnatt[[#This Row],[Start Date]],CL$27&lt;ProposalToGnatt[[#This Row],[Start Date]]+ProposalToGnatt[[#This Row],[Days]]),$G$5,"")),"")</f>
        <v/>
      </c>
      <c r="CM35" s="36" t="str">
        <f ca="1">IFERROR(+IF(CM$27=ProposalToGnatt[[#This Row],[Start Date]],Milestone_Marker,IF(AND(CM$27&gt;ProposalToGnatt[[#This Row],[Start Date]],CM$27&lt;ProposalToGnatt[[#This Row],[Start Date]]+ProposalToGnatt[[#This Row],[Days]]),$G$5,"")),"")</f>
        <v/>
      </c>
      <c r="CN35" s="36" t="str">
        <f ca="1">IFERROR(+IF(CN$27=ProposalToGnatt[[#This Row],[Start Date]],Milestone_Marker,IF(AND(CN$27&gt;ProposalToGnatt[[#This Row],[Start Date]],CN$27&lt;ProposalToGnatt[[#This Row],[Start Date]]+ProposalToGnatt[[#This Row],[Days]]),$G$5,"")),"")</f>
        <v/>
      </c>
      <c r="CO35" s="36" t="str">
        <f ca="1">IFERROR(+IF(CO$27=ProposalToGnatt[[#This Row],[Start Date]],Milestone_Marker,IF(AND(CO$27&gt;ProposalToGnatt[[#This Row],[Start Date]],CO$27&lt;ProposalToGnatt[[#This Row],[Start Date]]+ProposalToGnatt[[#This Row],[Days]]),$G$5,"")),"")</f>
        <v/>
      </c>
      <c r="CP35" s="36" t="str">
        <f ca="1">IFERROR(+IF(CP$27=ProposalToGnatt[[#This Row],[Start Date]],Milestone_Marker,IF(AND(CP$27&gt;ProposalToGnatt[[#This Row],[Start Date]],CP$27&lt;ProposalToGnatt[[#This Row],[Start Date]]+ProposalToGnatt[[#This Row],[Days]]),$G$5,"")),"")</f>
        <v/>
      </c>
      <c r="CQ35" s="36" t="str">
        <f ca="1">IFERROR(+IF(CQ$27=ProposalToGnatt[[#This Row],[Start Date]],Milestone_Marker,IF(AND(CQ$27&gt;ProposalToGnatt[[#This Row],[Start Date]],CQ$27&lt;ProposalToGnatt[[#This Row],[Start Date]]+ProposalToGnatt[[#This Row],[Days]]),$G$5,"")),"")</f>
        <v/>
      </c>
      <c r="CR35" s="36" t="str">
        <f ca="1">IFERROR(+IF(CR$27=ProposalToGnatt[[#This Row],[Start Date]],Milestone_Marker,IF(AND(CR$27&gt;ProposalToGnatt[[#This Row],[Start Date]],CR$27&lt;ProposalToGnatt[[#This Row],[Start Date]]+ProposalToGnatt[[#This Row],[Days]]),$G$5,"")),"")</f>
        <v/>
      </c>
      <c r="CS35" s="36" t="str">
        <f ca="1">IFERROR(+IF(CS$27=ProposalToGnatt[[#This Row],[Start Date]],Milestone_Marker,IF(AND(CS$27&gt;ProposalToGnatt[[#This Row],[Start Date]],CS$27&lt;ProposalToGnatt[[#This Row],[Start Date]]+ProposalToGnatt[[#This Row],[Days]]),$G$5,"")),"")</f>
        <v/>
      </c>
      <c r="CT35" s="36" t="str">
        <f ca="1">IFERROR(+IF(CT$27=ProposalToGnatt[[#This Row],[Start Date]],Milestone_Marker,IF(AND(CT$27&gt;ProposalToGnatt[[#This Row],[Start Date]],CT$27&lt;ProposalToGnatt[[#This Row],[Start Date]]+ProposalToGnatt[[#This Row],[Days]]),$G$5,"")),"")</f>
        <v/>
      </c>
      <c r="CU35" s="36" t="str">
        <f ca="1">IFERROR(+IF(CU$27=ProposalToGnatt[[#This Row],[Start Date]],Milestone_Marker,IF(AND(CU$27&gt;ProposalToGnatt[[#This Row],[Start Date]],CU$27&lt;ProposalToGnatt[[#This Row],[Start Date]]+ProposalToGnatt[[#This Row],[Days]]),$G$5,"")),"")</f>
        <v/>
      </c>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row>
    <row r="36" spans="1:125" s="41" customFormat="1" ht="20.100000000000001" customHeight="1" x14ac:dyDescent="0.25">
      <c r="A36" t="s">
        <v>730</v>
      </c>
      <c r="B36">
        <v>6</v>
      </c>
      <c r="C36" t="s">
        <v>174</v>
      </c>
      <c r="D36" t="s">
        <v>692</v>
      </c>
      <c r="E36" t="s">
        <v>699</v>
      </c>
      <c r="F36">
        <v>25</v>
      </c>
      <c r="G36" s="14">
        <v>62.5</v>
      </c>
      <c r="H36" s="14">
        <v>1562.5</v>
      </c>
      <c r="I36" t="s">
        <v>516</v>
      </c>
      <c r="J36">
        <v>4</v>
      </c>
      <c r="K36" s="261">
        <v>46111</v>
      </c>
      <c r="L36"/>
      <c r="M36" s="14">
        <v>1562.5</v>
      </c>
      <c r="N36" s="309">
        <v>1562.5</v>
      </c>
      <c r="O36" s="297"/>
      <c r="P36" s="36" t="str">
        <f ca="1">IFERROR(+IF(P$27=ProposalToGnatt[[#This Row],[Start Date]],Milestone_Marker,IF(AND(P$27&gt;ProposalToGnatt[[#This Row],[Start Date]],P$27&lt;ProposalToGnatt[[#This Row],[Start Date]]+ProposalToGnatt[[#This Row],[Days]]),$G$5,"")),"")</f>
        <v/>
      </c>
      <c r="Q36" s="36" t="str">
        <f ca="1">IFERROR(+IF(Q$27=ProposalToGnatt[[#This Row],[Start Date]],Milestone_Marker,IF(AND(Q$27&gt;ProposalToGnatt[[#This Row],[Start Date]],Q$27&lt;ProposalToGnatt[[#This Row],[Start Date]]+ProposalToGnatt[[#This Row],[Days]]),$G$5,"")),"")</f>
        <v/>
      </c>
      <c r="R36" s="36" t="str">
        <f ca="1">IFERROR(+IF(R$27=ProposalToGnatt[[#This Row],[Start Date]],Milestone_Marker,IF(AND(R$27&gt;ProposalToGnatt[[#This Row],[Start Date]],R$27&lt;ProposalToGnatt[[#This Row],[Start Date]]+ProposalToGnatt[[#This Row],[Days]]),$G$5,"")),"")</f>
        <v/>
      </c>
      <c r="S36" s="36" t="str">
        <f ca="1">IFERROR(+IF(S$27=ProposalToGnatt[[#This Row],[Start Date]],Milestone_Marker,IF(AND(S$27&gt;ProposalToGnatt[[#This Row],[Start Date]],S$27&lt;ProposalToGnatt[[#This Row],[Start Date]]+ProposalToGnatt[[#This Row],[Days]]),$G$5,"")),"")</f>
        <v/>
      </c>
      <c r="T36" s="36" t="str">
        <f ca="1">IFERROR(+IF(T$27=ProposalToGnatt[[#This Row],[Start Date]],Milestone_Marker,IF(AND(T$27&gt;ProposalToGnatt[[#This Row],[Start Date]],T$27&lt;ProposalToGnatt[[#This Row],[Start Date]]+ProposalToGnatt[[#This Row],[Days]]),$G$5,"")),"")</f>
        <v/>
      </c>
      <c r="U36" s="36" t="str">
        <f ca="1">IFERROR(+IF(U$27=ProposalToGnatt[[#This Row],[Start Date]],Milestone_Marker,IF(AND(U$27&gt;ProposalToGnatt[[#This Row],[Start Date]],U$27&lt;ProposalToGnatt[[#This Row],[Start Date]]+ProposalToGnatt[[#This Row],[Days]]),$G$5,"")),"")</f>
        <v/>
      </c>
      <c r="V36" s="36" t="str">
        <f ca="1">IFERROR(+IF(V$27=ProposalToGnatt[[#This Row],[Start Date]],Milestone_Marker,IF(AND(V$27&gt;ProposalToGnatt[[#This Row],[Start Date]],V$27&lt;ProposalToGnatt[[#This Row],[Start Date]]+ProposalToGnatt[[#This Row],[Days]]),$G$5,"")),"")</f>
        <v/>
      </c>
      <c r="W36" s="36" t="str">
        <f ca="1">IFERROR(+IF(W$27=ProposalToGnatt[[#This Row],[Start Date]],Milestone_Marker,IF(AND(W$27&gt;ProposalToGnatt[[#This Row],[Start Date]],W$27&lt;ProposalToGnatt[[#This Row],[Start Date]]+ProposalToGnatt[[#This Row],[Days]]),$G$5,"")),"")</f>
        <v/>
      </c>
      <c r="X36" s="36" t="str">
        <f ca="1">IFERROR(+IF(X$27=ProposalToGnatt[[#This Row],[Start Date]],Milestone_Marker,IF(AND(X$27&gt;ProposalToGnatt[[#This Row],[Start Date]],X$27&lt;ProposalToGnatt[[#This Row],[Start Date]]+ProposalToGnatt[[#This Row],[Days]]),$G$5,"")),"")</f>
        <v/>
      </c>
      <c r="Y36" s="36" t="str">
        <f ca="1">IFERROR(+IF(Y$27=ProposalToGnatt[[#This Row],[Start Date]],Milestone_Marker,IF(AND(Y$27&gt;ProposalToGnatt[[#This Row],[Start Date]],Y$27&lt;ProposalToGnatt[[#This Row],[Start Date]]+ProposalToGnatt[[#This Row],[Days]]),$G$5,"")),"")</f>
        <v/>
      </c>
      <c r="Z36" s="36" t="str">
        <f ca="1">IFERROR(+IF(Z$27=ProposalToGnatt[[#This Row],[Start Date]],Milestone_Marker,IF(AND(Z$27&gt;ProposalToGnatt[[#This Row],[Start Date]],Z$27&lt;ProposalToGnatt[[#This Row],[Start Date]]+ProposalToGnatt[[#This Row],[Days]]),$G$5,"")),"")</f>
        <v/>
      </c>
      <c r="AA36" s="36" t="str">
        <f ca="1">IFERROR(+IF(AA$27=ProposalToGnatt[[#This Row],[Start Date]],Milestone_Marker,IF(AND(AA$27&gt;ProposalToGnatt[[#This Row],[Start Date]],AA$27&lt;ProposalToGnatt[[#This Row],[Start Date]]+ProposalToGnatt[[#This Row],[Days]]),$G$5,"")),"")</f>
        <v/>
      </c>
      <c r="AB36" s="36" t="str">
        <f ca="1">IFERROR(+IF(AB$27=ProposalToGnatt[[#This Row],[Start Date]],Milestone_Marker,IF(AND(AB$27&gt;ProposalToGnatt[[#This Row],[Start Date]],AB$27&lt;ProposalToGnatt[[#This Row],[Start Date]]+ProposalToGnatt[[#This Row],[Days]]),$G$5,"")),"")</f>
        <v/>
      </c>
      <c r="AC36" s="36" t="str">
        <f ca="1">IFERROR(+IF(AC$27=ProposalToGnatt[[#This Row],[Start Date]],Milestone_Marker,IF(AND(AC$27&gt;ProposalToGnatt[[#This Row],[Start Date]],AC$27&lt;ProposalToGnatt[[#This Row],[Start Date]]+ProposalToGnatt[[#This Row],[Days]]),$G$5,"")),"")</f>
        <v/>
      </c>
      <c r="AD36" s="36" t="str">
        <f ca="1">IFERROR(+IF(AD$27=ProposalToGnatt[[#This Row],[Start Date]],Milestone_Marker,IF(AND(AD$27&gt;ProposalToGnatt[[#This Row],[Start Date]],AD$27&lt;ProposalToGnatt[[#This Row],[Start Date]]+ProposalToGnatt[[#This Row],[Days]]),$G$5,"")),"")</f>
        <v/>
      </c>
      <c r="AE36" s="36" t="str">
        <f ca="1">IFERROR(+IF(AE$27=ProposalToGnatt[[#This Row],[Start Date]],Milestone_Marker,IF(AND(AE$27&gt;ProposalToGnatt[[#This Row],[Start Date]],AE$27&lt;ProposalToGnatt[[#This Row],[Start Date]]+ProposalToGnatt[[#This Row],[Days]]),$G$5,"")),"")</f>
        <v/>
      </c>
      <c r="AF36" s="36" t="str">
        <f ca="1">IFERROR(+IF(AF$27=ProposalToGnatt[[#This Row],[Start Date]],Milestone_Marker,IF(AND(AF$27&gt;ProposalToGnatt[[#This Row],[Start Date]],AF$27&lt;ProposalToGnatt[[#This Row],[Start Date]]+ProposalToGnatt[[#This Row],[Days]]),$G$5,"")),"")</f>
        <v/>
      </c>
      <c r="AG36" s="36" t="str">
        <f ca="1">IFERROR(+IF(AG$27=ProposalToGnatt[[#This Row],[Start Date]],Milestone_Marker,IF(AND(AG$27&gt;ProposalToGnatt[[#This Row],[Start Date]],AG$27&lt;ProposalToGnatt[[#This Row],[Start Date]]+ProposalToGnatt[[#This Row],[Days]]),$G$5,"")),"")</f>
        <v/>
      </c>
      <c r="AH36" s="36" t="str">
        <f ca="1">IFERROR(+IF(AH$27=ProposalToGnatt[[#This Row],[Start Date]],Milestone_Marker,IF(AND(AH$27&gt;ProposalToGnatt[[#This Row],[Start Date]],AH$27&lt;ProposalToGnatt[[#This Row],[Start Date]]+ProposalToGnatt[[#This Row],[Days]]),$G$5,"")),"")</f>
        <v/>
      </c>
      <c r="AI36" s="36" t="str">
        <f ca="1">IFERROR(+IF(AI$27=ProposalToGnatt[[#This Row],[Start Date]],Milestone_Marker,IF(AND(AI$27&gt;ProposalToGnatt[[#This Row],[Start Date]],AI$27&lt;ProposalToGnatt[[#This Row],[Start Date]]+ProposalToGnatt[[#This Row],[Days]]),$G$5,"")),"")</f>
        <v/>
      </c>
      <c r="AJ36" s="36" t="str">
        <f ca="1">IFERROR(+IF(AJ$27=ProposalToGnatt[[#This Row],[Start Date]],Milestone_Marker,IF(AND(AJ$27&gt;ProposalToGnatt[[#This Row],[Start Date]],AJ$27&lt;ProposalToGnatt[[#This Row],[Start Date]]+ProposalToGnatt[[#This Row],[Days]]),$G$5,"")),"")</f>
        <v/>
      </c>
      <c r="AK36" s="36" t="str">
        <f ca="1">IFERROR(+IF(AK$27=ProposalToGnatt[[#This Row],[Start Date]],Milestone_Marker,IF(AND(AK$27&gt;ProposalToGnatt[[#This Row],[Start Date]],AK$27&lt;ProposalToGnatt[[#This Row],[Start Date]]+ProposalToGnatt[[#This Row],[Days]]),$G$5,"")),"")</f>
        <v/>
      </c>
      <c r="AL36" s="36" t="str">
        <f ca="1">IFERROR(+IF(AL$27=ProposalToGnatt[[#This Row],[Start Date]],Milestone_Marker,IF(AND(AL$27&gt;ProposalToGnatt[[#This Row],[Start Date]],AL$27&lt;ProposalToGnatt[[#This Row],[Start Date]]+ProposalToGnatt[[#This Row],[Days]]),$G$5,"")),"")</f>
        <v/>
      </c>
      <c r="AM36" s="36" t="str">
        <f ca="1">IFERROR(+IF(AM$27=ProposalToGnatt[[#This Row],[Start Date]],Milestone_Marker,IF(AND(AM$27&gt;ProposalToGnatt[[#This Row],[Start Date]],AM$27&lt;ProposalToGnatt[[#This Row],[Start Date]]+ProposalToGnatt[[#This Row],[Days]]),$G$5,"")),"")</f>
        <v/>
      </c>
      <c r="AN36" s="36" t="str">
        <f ca="1">IFERROR(+IF(AN$27=ProposalToGnatt[[#This Row],[Start Date]],Milestone_Marker,IF(AND(AN$27&gt;ProposalToGnatt[[#This Row],[Start Date]],AN$27&lt;ProposalToGnatt[[#This Row],[Start Date]]+ProposalToGnatt[[#This Row],[Days]]),$G$5,"")),"")</f>
        <v/>
      </c>
      <c r="AO36" s="36" t="str">
        <f ca="1">IFERROR(+IF(AO$27=ProposalToGnatt[[#This Row],[Start Date]],Milestone_Marker,IF(AND(AO$27&gt;ProposalToGnatt[[#This Row],[Start Date]],AO$27&lt;ProposalToGnatt[[#This Row],[Start Date]]+ProposalToGnatt[[#This Row],[Days]]),$G$5,"")),"")</f>
        <v/>
      </c>
      <c r="AP36" s="36" t="str">
        <f ca="1">IFERROR(+IF(AP$27=ProposalToGnatt[[#This Row],[Start Date]],Milestone_Marker,IF(AND(AP$27&gt;ProposalToGnatt[[#This Row],[Start Date]],AP$27&lt;ProposalToGnatt[[#This Row],[Start Date]]+ProposalToGnatt[[#This Row],[Days]]),$G$5,"")),"")</f>
        <v/>
      </c>
      <c r="AQ36" s="36" t="str">
        <f ca="1">IFERROR(+IF(AQ$27=ProposalToGnatt[[#This Row],[Start Date]],Milestone_Marker,IF(AND(AQ$27&gt;ProposalToGnatt[[#This Row],[Start Date]],AQ$27&lt;ProposalToGnatt[[#This Row],[Start Date]]+ProposalToGnatt[[#This Row],[Days]]),$G$5,"")),"")</f>
        <v/>
      </c>
      <c r="AR36" s="36" t="str">
        <f ca="1">IFERROR(+IF(AR$27=ProposalToGnatt[[#This Row],[Start Date]],Milestone_Marker,IF(AND(AR$27&gt;ProposalToGnatt[[#This Row],[Start Date]],AR$27&lt;ProposalToGnatt[[#This Row],[Start Date]]+ProposalToGnatt[[#This Row],[Days]]),$G$5,"")),"")</f>
        <v/>
      </c>
      <c r="AS36" s="36" t="str">
        <f ca="1">IFERROR(+IF(AS$27=ProposalToGnatt[[#This Row],[Start Date]],Milestone_Marker,IF(AND(AS$27&gt;ProposalToGnatt[[#This Row],[Start Date]],AS$27&lt;ProposalToGnatt[[#This Row],[Start Date]]+ProposalToGnatt[[#This Row],[Days]]),$G$5,"")),"")</f>
        <v/>
      </c>
      <c r="AT36" s="36" t="str">
        <f ca="1">IFERROR(+IF(AT$27=ProposalToGnatt[[#This Row],[Start Date]],Milestone_Marker,IF(AND(AT$27&gt;ProposalToGnatt[[#This Row],[Start Date]],AT$27&lt;ProposalToGnatt[[#This Row],[Start Date]]+ProposalToGnatt[[#This Row],[Days]]),$G$5,"")),"")</f>
        <v/>
      </c>
      <c r="AU36" s="36" t="str">
        <f ca="1">IFERROR(+IF(AU$27=ProposalToGnatt[[#This Row],[Start Date]],Milestone_Marker,IF(AND(AU$27&gt;ProposalToGnatt[[#This Row],[Start Date]],AU$27&lt;ProposalToGnatt[[#This Row],[Start Date]]+ProposalToGnatt[[#This Row],[Days]]),$G$5,"")),"")</f>
        <v/>
      </c>
      <c r="AV36" s="36" t="str">
        <f ca="1">IFERROR(+IF(AV$27=ProposalToGnatt[[#This Row],[Start Date]],Milestone_Marker,IF(AND(AV$27&gt;ProposalToGnatt[[#This Row],[Start Date]],AV$27&lt;ProposalToGnatt[[#This Row],[Start Date]]+ProposalToGnatt[[#This Row],[Days]]),$G$5,"")),"")</f>
        <v/>
      </c>
      <c r="AW36" s="36" t="str">
        <f ca="1">IFERROR(+IF(AW$27=ProposalToGnatt[[#This Row],[Start Date]],Milestone_Marker,IF(AND(AW$27&gt;ProposalToGnatt[[#This Row],[Start Date]],AW$27&lt;ProposalToGnatt[[#This Row],[Start Date]]+ProposalToGnatt[[#This Row],[Days]]),$G$5,"")),"")</f>
        <v/>
      </c>
      <c r="AX36" s="36" t="str">
        <f ca="1">IFERROR(+IF(AX$27=ProposalToGnatt[[#This Row],[Start Date]],Milestone_Marker,IF(AND(AX$27&gt;ProposalToGnatt[[#This Row],[Start Date]],AX$27&lt;ProposalToGnatt[[#This Row],[Start Date]]+ProposalToGnatt[[#This Row],[Days]]),$G$5,"")),"")</f>
        <v/>
      </c>
      <c r="AY36" s="36" t="str">
        <f ca="1">IFERROR(+IF(AY$27=ProposalToGnatt[[#This Row],[Start Date]],Milestone_Marker,IF(AND(AY$27&gt;ProposalToGnatt[[#This Row],[Start Date]],AY$27&lt;ProposalToGnatt[[#This Row],[Start Date]]+ProposalToGnatt[[#This Row],[Days]]),$G$5,"")),"")</f>
        <v/>
      </c>
      <c r="AZ36" s="36" t="str">
        <f ca="1">IFERROR(+IF(AZ$27=ProposalToGnatt[[#This Row],[Start Date]],Milestone_Marker,IF(AND(AZ$27&gt;ProposalToGnatt[[#This Row],[Start Date]],AZ$27&lt;ProposalToGnatt[[#This Row],[Start Date]]+ProposalToGnatt[[#This Row],[Days]]),$G$5,"")),"")</f>
        <v/>
      </c>
      <c r="BA36" s="36" t="str">
        <f ca="1">IFERROR(+IF(BA$27=ProposalToGnatt[[#This Row],[Start Date]],Milestone_Marker,IF(AND(BA$27&gt;ProposalToGnatt[[#This Row],[Start Date]],BA$27&lt;ProposalToGnatt[[#This Row],[Start Date]]+ProposalToGnatt[[#This Row],[Days]]),$G$5,"")),"")</f>
        <v/>
      </c>
      <c r="BB36" s="36" t="str">
        <f ca="1">IFERROR(+IF(BB$27=ProposalToGnatt[[#This Row],[Start Date]],Milestone_Marker,IF(AND(BB$27&gt;ProposalToGnatt[[#This Row],[Start Date]],BB$27&lt;ProposalToGnatt[[#This Row],[Start Date]]+ProposalToGnatt[[#This Row],[Days]]),$G$5,"")),"")</f>
        <v/>
      </c>
      <c r="BC36" s="36" t="str">
        <f ca="1">IFERROR(+IF(BC$27=ProposalToGnatt[[#This Row],[Start Date]],Milestone_Marker,IF(AND(BC$27&gt;ProposalToGnatt[[#This Row],[Start Date]],BC$27&lt;ProposalToGnatt[[#This Row],[Start Date]]+ProposalToGnatt[[#This Row],[Days]]),$G$5,"")),"")</f>
        <v/>
      </c>
      <c r="BD36" s="36" t="str">
        <f ca="1">IFERROR(+IF(BD$27=ProposalToGnatt[[#This Row],[Start Date]],Milestone_Marker,IF(AND(BD$27&gt;ProposalToGnatt[[#This Row],[Start Date]],BD$27&lt;ProposalToGnatt[[#This Row],[Start Date]]+ProposalToGnatt[[#This Row],[Days]]),$G$5,"")),"")</f>
        <v/>
      </c>
      <c r="BE36" s="36" t="str">
        <f ca="1">IFERROR(+IF(BE$27=ProposalToGnatt[[#This Row],[Start Date]],Milestone_Marker,IF(AND(BE$27&gt;ProposalToGnatt[[#This Row],[Start Date]],BE$27&lt;ProposalToGnatt[[#This Row],[Start Date]]+ProposalToGnatt[[#This Row],[Days]]),$G$5,"")),"")</f>
        <v/>
      </c>
      <c r="BF36" s="36" t="str">
        <f ca="1">IFERROR(+IF(BF$27=ProposalToGnatt[[#This Row],[Start Date]],Milestone_Marker,IF(AND(BF$27&gt;ProposalToGnatt[[#This Row],[Start Date]],BF$27&lt;ProposalToGnatt[[#This Row],[Start Date]]+ProposalToGnatt[[#This Row],[Days]]),$G$5,"")),"")</f>
        <v/>
      </c>
      <c r="BG36" s="36" t="str">
        <f ca="1">IFERROR(+IF(BG$27=ProposalToGnatt[[#This Row],[Start Date]],Milestone_Marker,IF(AND(BG$27&gt;ProposalToGnatt[[#This Row],[Start Date]],BG$27&lt;ProposalToGnatt[[#This Row],[Start Date]]+ProposalToGnatt[[#This Row],[Days]]),$G$5,"")),"")</f>
        <v/>
      </c>
      <c r="BH36" s="36" t="str">
        <f ca="1">IFERROR(+IF(BH$27=ProposalToGnatt[[#This Row],[Start Date]],Milestone_Marker,IF(AND(BH$27&gt;ProposalToGnatt[[#This Row],[Start Date]],BH$27&lt;ProposalToGnatt[[#This Row],[Start Date]]+ProposalToGnatt[[#This Row],[Days]]),$G$5,"")),"")</f>
        <v/>
      </c>
      <c r="BI36" s="36" t="str">
        <f ca="1">IFERROR(+IF(BI$27=ProposalToGnatt[[#This Row],[Start Date]],Milestone_Marker,IF(AND(BI$27&gt;ProposalToGnatt[[#This Row],[Start Date]],BI$27&lt;ProposalToGnatt[[#This Row],[Start Date]]+ProposalToGnatt[[#This Row],[Days]]),$G$5,"")),"")</f>
        <v/>
      </c>
      <c r="BJ36" s="36" t="str">
        <f ca="1">IFERROR(+IF(BJ$27=ProposalToGnatt[[#This Row],[Start Date]],Milestone_Marker,IF(AND(BJ$27&gt;ProposalToGnatt[[#This Row],[Start Date]],BJ$27&lt;ProposalToGnatt[[#This Row],[Start Date]]+ProposalToGnatt[[#This Row],[Days]]),$G$5,"")),"")</f>
        <v/>
      </c>
      <c r="BK36" s="36" t="str">
        <f ca="1">IFERROR(+IF(BK$27=ProposalToGnatt[[#This Row],[Start Date]],Milestone_Marker,IF(AND(BK$27&gt;ProposalToGnatt[[#This Row],[Start Date]],BK$27&lt;ProposalToGnatt[[#This Row],[Start Date]]+ProposalToGnatt[[#This Row],[Days]]),$G$5,"")),"")</f>
        <v/>
      </c>
      <c r="BL36" s="36" t="str">
        <f ca="1">IFERROR(+IF(BL$27=ProposalToGnatt[[#This Row],[Start Date]],Milestone_Marker,IF(AND(BL$27&gt;ProposalToGnatt[[#This Row],[Start Date]],BL$27&lt;ProposalToGnatt[[#This Row],[Start Date]]+ProposalToGnatt[[#This Row],[Days]]),$G$5,"")),"")</f>
        <v/>
      </c>
      <c r="BM36" s="36" t="str">
        <f ca="1">IFERROR(+IF(BM$27=ProposalToGnatt[[#This Row],[Start Date]],Milestone_Marker,IF(AND(BM$27&gt;ProposalToGnatt[[#This Row],[Start Date]],BM$27&lt;ProposalToGnatt[[#This Row],[Start Date]]+ProposalToGnatt[[#This Row],[Days]]),$G$5,"")),"")</f>
        <v/>
      </c>
      <c r="BN36" s="36" t="str">
        <f ca="1">IFERROR(+IF(BN$27=ProposalToGnatt[[#This Row],[Start Date]],Milestone_Marker,IF(AND(BN$27&gt;ProposalToGnatt[[#This Row],[Start Date]],BN$27&lt;ProposalToGnatt[[#This Row],[Start Date]]+ProposalToGnatt[[#This Row],[Days]]),$G$5,"")),"")</f>
        <v/>
      </c>
      <c r="BO36" s="36" t="str">
        <f ca="1">IFERROR(+IF(BO$27=ProposalToGnatt[[#This Row],[Start Date]],Milestone_Marker,IF(AND(BO$27&gt;ProposalToGnatt[[#This Row],[Start Date]],BO$27&lt;ProposalToGnatt[[#This Row],[Start Date]]+ProposalToGnatt[[#This Row],[Days]]),$G$5,"")),"")</f>
        <v/>
      </c>
      <c r="BP36" s="36" t="str">
        <f ca="1">IFERROR(+IF(BP$27=ProposalToGnatt[[#This Row],[Start Date]],Milestone_Marker,IF(AND(BP$27&gt;ProposalToGnatt[[#This Row],[Start Date]],BP$27&lt;ProposalToGnatt[[#This Row],[Start Date]]+ProposalToGnatt[[#This Row],[Days]]),$G$5,"")),"")</f>
        <v/>
      </c>
      <c r="BQ36" s="36" t="str">
        <f ca="1">IFERROR(+IF(BQ$27=ProposalToGnatt[[#This Row],[Start Date]],Milestone_Marker,IF(AND(BQ$27&gt;ProposalToGnatt[[#This Row],[Start Date]],BQ$27&lt;ProposalToGnatt[[#This Row],[Start Date]]+ProposalToGnatt[[#This Row],[Days]]),$G$5,"")),"")</f>
        <v/>
      </c>
      <c r="BR36" s="36" t="str">
        <f ca="1">IFERROR(+IF(BR$27=ProposalToGnatt[[#This Row],[Start Date]],Milestone_Marker,IF(AND(BR$27&gt;ProposalToGnatt[[#This Row],[Start Date]],BR$27&lt;ProposalToGnatt[[#This Row],[Start Date]]+ProposalToGnatt[[#This Row],[Days]]),$G$5,"")),"")</f>
        <v/>
      </c>
      <c r="BS36" s="36" t="str">
        <f ca="1">IFERROR(+IF(BS$27=ProposalToGnatt[[#This Row],[Start Date]],Milestone_Marker,IF(AND(BS$27&gt;ProposalToGnatt[[#This Row],[Start Date]],BS$27&lt;ProposalToGnatt[[#This Row],[Start Date]]+ProposalToGnatt[[#This Row],[Days]]),$G$5,"")),"")</f>
        <v/>
      </c>
      <c r="BT36" s="36" t="str">
        <f ca="1">IFERROR(+IF(BT$27=ProposalToGnatt[[#This Row],[Start Date]],Milestone_Marker,IF(AND(BT$27&gt;ProposalToGnatt[[#This Row],[Start Date]],BT$27&lt;ProposalToGnatt[[#This Row],[Start Date]]+ProposalToGnatt[[#This Row],[Days]]),$G$5,"")),"")</f>
        <v/>
      </c>
      <c r="BU36" s="36" t="str">
        <f ca="1">IFERROR(+IF(BU$27=ProposalToGnatt[[#This Row],[Start Date]],Milestone_Marker,IF(AND(BU$27&gt;ProposalToGnatt[[#This Row],[Start Date]],BU$27&lt;ProposalToGnatt[[#This Row],[Start Date]]+ProposalToGnatt[[#This Row],[Days]]),$G$5,"")),"")</f>
        <v/>
      </c>
      <c r="BV36" s="36" t="str">
        <f ca="1">IFERROR(+IF(BV$27=ProposalToGnatt[[#This Row],[Start Date]],Milestone_Marker,IF(AND(BV$27&gt;ProposalToGnatt[[#This Row],[Start Date]],BV$27&lt;ProposalToGnatt[[#This Row],[Start Date]]+ProposalToGnatt[[#This Row],[Days]]),$G$5,"")),"")</f>
        <v/>
      </c>
      <c r="BW36" s="36" t="str">
        <f ca="1">IFERROR(+IF(BW$27=ProposalToGnatt[[#This Row],[Start Date]],Milestone_Marker,IF(AND(BW$27&gt;ProposalToGnatt[[#This Row],[Start Date]],BW$27&lt;ProposalToGnatt[[#This Row],[Start Date]]+ProposalToGnatt[[#This Row],[Days]]),$G$5,"")),"")</f>
        <v/>
      </c>
      <c r="BX36" s="36" t="str">
        <f ca="1">IFERROR(+IF(BX$27=ProposalToGnatt[[#This Row],[Start Date]],Milestone_Marker,IF(AND(BX$27&gt;ProposalToGnatt[[#This Row],[Start Date]],BX$27&lt;ProposalToGnatt[[#This Row],[Start Date]]+ProposalToGnatt[[#This Row],[Days]]),$G$5,"")),"")</f>
        <v/>
      </c>
      <c r="BY36" s="36" t="str">
        <f ca="1">IFERROR(+IF(BY$27=ProposalToGnatt[[#This Row],[Start Date]],Milestone_Marker,IF(AND(BY$27&gt;ProposalToGnatt[[#This Row],[Start Date]],BY$27&lt;ProposalToGnatt[[#This Row],[Start Date]]+ProposalToGnatt[[#This Row],[Days]]),$G$5,"")),"")</f>
        <v/>
      </c>
      <c r="BZ36" s="36" t="str">
        <f ca="1">IFERROR(+IF(BZ$27=ProposalToGnatt[[#This Row],[Start Date]],Milestone_Marker,IF(AND(BZ$27&gt;ProposalToGnatt[[#This Row],[Start Date]],BZ$27&lt;ProposalToGnatt[[#This Row],[Start Date]]+ProposalToGnatt[[#This Row],[Days]]),$G$5,"")),"")</f>
        <v/>
      </c>
      <c r="CA36" s="36" t="str">
        <f ca="1">IFERROR(+IF(CA$27=ProposalToGnatt[[#This Row],[Start Date]],Milestone_Marker,IF(AND(CA$27&gt;ProposalToGnatt[[#This Row],[Start Date]],CA$27&lt;ProposalToGnatt[[#This Row],[Start Date]]+ProposalToGnatt[[#This Row],[Days]]),$G$5,"")),"")</f>
        <v/>
      </c>
      <c r="CB36" s="36" t="str">
        <f ca="1">IFERROR(+IF(CB$27=ProposalToGnatt[[#This Row],[Start Date]],Milestone_Marker,IF(AND(CB$27&gt;ProposalToGnatt[[#This Row],[Start Date]],CB$27&lt;ProposalToGnatt[[#This Row],[Start Date]]+ProposalToGnatt[[#This Row],[Days]]),$G$5,"")),"")</f>
        <v/>
      </c>
      <c r="CC36" s="36" t="str">
        <f ca="1">IFERROR(+IF(CC$27=ProposalToGnatt[[#This Row],[Start Date]],Milestone_Marker,IF(AND(CC$27&gt;ProposalToGnatt[[#This Row],[Start Date]],CC$27&lt;ProposalToGnatt[[#This Row],[Start Date]]+ProposalToGnatt[[#This Row],[Days]]),$G$5,"")),"")</f>
        <v/>
      </c>
      <c r="CD36" s="36" t="str">
        <f ca="1">IFERROR(+IF(CD$27=ProposalToGnatt[[#This Row],[Start Date]],Milestone_Marker,IF(AND(CD$27&gt;ProposalToGnatt[[#This Row],[Start Date]],CD$27&lt;ProposalToGnatt[[#This Row],[Start Date]]+ProposalToGnatt[[#This Row],[Days]]),$G$5,"")),"")</f>
        <v/>
      </c>
      <c r="CE36" s="36" t="str">
        <f ca="1">IFERROR(+IF(CE$27=ProposalToGnatt[[#This Row],[Start Date]],Milestone_Marker,IF(AND(CE$27&gt;ProposalToGnatt[[#This Row],[Start Date]],CE$27&lt;ProposalToGnatt[[#This Row],[Start Date]]+ProposalToGnatt[[#This Row],[Days]]),$G$5,"")),"")</f>
        <v/>
      </c>
      <c r="CF36" s="36" t="str">
        <f ca="1">IFERROR(+IF(CF$27=ProposalToGnatt[[#This Row],[Start Date]],Milestone_Marker,IF(AND(CF$27&gt;ProposalToGnatt[[#This Row],[Start Date]],CF$27&lt;ProposalToGnatt[[#This Row],[Start Date]]+ProposalToGnatt[[#This Row],[Days]]),$G$5,"")),"")</f>
        <v/>
      </c>
      <c r="CG36" s="36" t="str">
        <f ca="1">IFERROR(+IF(CG$27=ProposalToGnatt[[#This Row],[Start Date]],Milestone_Marker,IF(AND(CG$27&gt;ProposalToGnatt[[#This Row],[Start Date]],CG$27&lt;ProposalToGnatt[[#This Row],[Start Date]]+ProposalToGnatt[[#This Row],[Days]]),$G$5,"")),"")</f>
        <v/>
      </c>
      <c r="CH36" s="36" t="str">
        <f ca="1">IFERROR(+IF(CH$27=ProposalToGnatt[[#This Row],[Start Date]],Milestone_Marker,IF(AND(CH$27&gt;ProposalToGnatt[[#This Row],[Start Date]],CH$27&lt;ProposalToGnatt[[#This Row],[Start Date]]+ProposalToGnatt[[#This Row],[Days]]),$G$5,"")),"")</f>
        <v/>
      </c>
      <c r="CI36" s="36" t="str">
        <f ca="1">IFERROR(+IF(CI$27=ProposalToGnatt[[#This Row],[Start Date]],Milestone_Marker,IF(AND(CI$27&gt;ProposalToGnatt[[#This Row],[Start Date]],CI$27&lt;ProposalToGnatt[[#This Row],[Start Date]]+ProposalToGnatt[[#This Row],[Days]]),$G$5,"")),"")</f>
        <v/>
      </c>
      <c r="CJ36" s="36" t="str">
        <f ca="1">IFERROR(+IF(CJ$27=ProposalToGnatt[[#This Row],[Start Date]],Milestone_Marker,IF(AND(CJ$27&gt;ProposalToGnatt[[#This Row],[Start Date]],CJ$27&lt;ProposalToGnatt[[#This Row],[Start Date]]+ProposalToGnatt[[#This Row],[Days]]),$G$5,"")),"")</f>
        <v/>
      </c>
      <c r="CK36" s="36" t="str">
        <f ca="1">IFERROR(+IF(CK$27=ProposalToGnatt[[#This Row],[Start Date]],Milestone_Marker,IF(AND(CK$27&gt;ProposalToGnatt[[#This Row],[Start Date]],CK$27&lt;ProposalToGnatt[[#This Row],[Start Date]]+ProposalToGnatt[[#This Row],[Days]]),$G$5,"")),"")</f>
        <v/>
      </c>
      <c r="CL36" s="36" t="str">
        <f ca="1">IFERROR(+IF(CL$27=ProposalToGnatt[[#This Row],[Start Date]],Milestone_Marker,IF(AND(CL$27&gt;ProposalToGnatt[[#This Row],[Start Date]],CL$27&lt;ProposalToGnatt[[#This Row],[Start Date]]+ProposalToGnatt[[#This Row],[Days]]),$G$5,"")),"")</f>
        <v/>
      </c>
      <c r="CM36" s="36" t="str">
        <f ca="1">IFERROR(+IF(CM$27=ProposalToGnatt[[#This Row],[Start Date]],Milestone_Marker,IF(AND(CM$27&gt;ProposalToGnatt[[#This Row],[Start Date]],CM$27&lt;ProposalToGnatt[[#This Row],[Start Date]]+ProposalToGnatt[[#This Row],[Days]]),$G$5,"")),"")</f>
        <v/>
      </c>
      <c r="CN36" s="36" t="str">
        <f ca="1">IFERROR(+IF(CN$27=ProposalToGnatt[[#This Row],[Start Date]],Milestone_Marker,IF(AND(CN$27&gt;ProposalToGnatt[[#This Row],[Start Date]],CN$27&lt;ProposalToGnatt[[#This Row],[Start Date]]+ProposalToGnatt[[#This Row],[Days]]),$G$5,"")),"")</f>
        <v/>
      </c>
      <c r="CO36" s="36" t="str">
        <f ca="1">IFERROR(+IF(CO$27=ProposalToGnatt[[#This Row],[Start Date]],Milestone_Marker,IF(AND(CO$27&gt;ProposalToGnatt[[#This Row],[Start Date]],CO$27&lt;ProposalToGnatt[[#This Row],[Start Date]]+ProposalToGnatt[[#This Row],[Days]]),$G$5,"")),"")</f>
        <v/>
      </c>
      <c r="CP36" s="36" t="str">
        <f ca="1">IFERROR(+IF(CP$27=ProposalToGnatt[[#This Row],[Start Date]],Milestone_Marker,IF(AND(CP$27&gt;ProposalToGnatt[[#This Row],[Start Date]],CP$27&lt;ProposalToGnatt[[#This Row],[Start Date]]+ProposalToGnatt[[#This Row],[Days]]),$G$5,"")),"")</f>
        <v/>
      </c>
      <c r="CQ36" s="36" t="str">
        <f ca="1">IFERROR(+IF(CQ$27=ProposalToGnatt[[#This Row],[Start Date]],Milestone_Marker,IF(AND(CQ$27&gt;ProposalToGnatt[[#This Row],[Start Date]],CQ$27&lt;ProposalToGnatt[[#This Row],[Start Date]]+ProposalToGnatt[[#This Row],[Days]]),$G$5,"")),"")</f>
        <v/>
      </c>
      <c r="CR36" s="36" t="str">
        <f ca="1">IFERROR(+IF(CR$27=ProposalToGnatt[[#This Row],[Start Date]],Milestone_Marker,IF(AND(CR$27&gt;ProposalToGnatt[[#This Row],[Start Date]],CR$27&lt;ProposalToGnatt[[#This Row],[Start Date]]+ProposalToGnatt[[#This Row],[Days]]),$G$5,"")),"")</f>
        <v/>
      </c>
      <c r="CS36" s="36" t="str">
        <f ca="1">IFERROR(+IF(CS$27=ProposalToGnatt[[#This Row],[Start Date]],Milestone_Marker,IF(AND(CS$27&gt;ProposalToGnatt[[#This Row],[Start Date]],CS$27&lt;ProposalToGnatt[[#This Row],[Start Date]]+ProposalToGnatt[[#This Row],[Days]]),$G$5,"")),"")</f>
        <v/>
      </c>
      <c r="CT36" s="36" t="str">
        <f ca="1">IFERROR(+IF(CT$27=ProposalToGnatt[[#This Row],[Start Date]],Milestone_Marker,IF(AND(CT$27&gt;ProposalToGnatt[[#This Row],[Start Date]],CT$27&lt;ProposalToGnatt[[#This Row],[Start Date]]+ProposalToGnatt[[#This Row],[Days]]),$G$5,"")),"")</f>
        <v/>
      </c>
      <c r="CU36" s="36" t="str">
        <f ca="1">IFERROR(+IF(CU$27=ProposalToGnatt[[#This Row],[Start Date]],Milestone_Marker,IF(AND(CU$27&gt;ProposalToGnatt[[#This Row],[Start Date]],CU$27&lt;ProposalToGnatt[[#This Row],[Start Date]]+ProposalToGnatt[[#This Row],[Days]]),$G$5,"")),"")</f>
        <v/>
      </c>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row>
    <row r="37" spans="1:125" s="41" customFormat="1" ht="20.100000000000001" customHeight="1" x14ac:dyDescent="0.25">
      <c r="A37" t="s">
        <v>730</v>
      </c>
      <c r="B37">
        <v>7</v>
      </c>
      <c r="C37" t="s">
        <v>174</v>
      </c>
      <c r="D37" t="s">
        <v>692</v>
      </c>
      <c r="E37" t="s">
        <v>700</v>
      </c>
      <c r="F37">
        <v>1</v>
      </c>
      <c r="G37" s="14">
        <v>256.11</v>
      </c>
      <c r="H37" s="14">
        <v>256.11</v>
      </c>
      <c r="I37" t="s">
        <v>516</v>
      </c>
      <c r="J37">
        <v>4</v>
      </c>
      <c r="K37" s="261">
        <v>46111</v>
      </c>
      <c r="L37"/>
      <c r="M37" s="14">
        <v>256.11</v>
      </c>
      <c r="N37" s="309">
        <v>256.11</v>
      </c>
      <c r="O37" s="297"/>
      <c r="P37" s="36" t="str">
        <f ca="1">IFERROR(+IF(P$27=ProposalToGnatt[[#This Row],[Start Date]],Milestone_Marker,IF(AND(P$27&gt;ProposalToGnatt[[#This Row],[Start Date]],P$27&lt;ProposalToGnatt[[#This Row],[Start Date]]+ProposalToGnatt[[#This Row],[Days]]),$G$5,"")),"")</f>
        <v/>
      </c>
      <c r="Q37" s="36" t="str">
        <f ca="1">IFERROR(+IF(Q$27=ProposalToGnatt[[#This Row],[Start Date]],Milestone_Marker,IF(AND(Q$27&gt;ProposalToGnatt[[#This Row],[Start Date]],Q$27&lt;ProposalToGnatt[[#This Row],[Start Date]]+ProposalToGnatt[[#This Row],[Days]]),$G$5,"")),"")</f>
        <v/>
      </c>
      <c r="R37" s="36" t="str">
        <f ca="1">IFERROR(+IF(R$27=ProposalToGnatt[[#This Row],[Start Date]],Milestone_Marker,IF(AND(R$27&gt;ProposalToGnatt[[#This Row],[Start Date]],R$27&lt;ProposalToGnatt[[#This Row],[Start Date]]+ProposalToGnatt[[#This Row],[Days]]),$G$5,"")),"")</f>
        <v/>
      </c>
      <c r="S37" s="36" t="str">
        <f ca="1">IFERROR(+IF(S$27=ProposalToGnatt[[#This Row],[Start Date]],Milestone_Marker,IF(AND(S$27&gt;ProposalToGnatt[[#This Row],[Start Date]],S$27&lt;ProposalToGnatt[[#This Row],[Start Date]]+ProposalToGnatt[[#This Row],[Days]]),$G$5,"")),"")</f>
        <v/>
      </c>
      <c r="T37" s="36" t="str">
        <f ca="1">IFERROR(+IF(T$27=ProposalToGnatt[[#This Row],[Start Date]],Milestone_Marker,IF(AND(T$27&gt;ProposalToGnatt[[#This Row],[Start Date]],T$27&lt;ProposalToGnatt[[#This Row],[Start Date]]+ProposalToGnatt[[#This Row],[Days]]),$G$5,"")),"")</f>
        <v/>
      </c>
      <c r="U37" s="36" t="str">
        <f ca="1">IFERROR(+IF(U$27=ProposalToGnatt[[#This Row],[Start Date]],Milestone_Marker,IF(AND(U$27&gt;ProposalToGnatt[[#This Row],[Start Date]],U$27&lt;ProposalToGnatt[[#This Row],[Start Date]]+ProposalToGnatt[[#This Row],[Days]]),$G$5,"")),"")</f>
        <v/>
      </c>
      <c r="V37" s="36" t="str">
        <f ca="1">IFERROR(+IF(V$27=ProposalToGnatt[[#This Row],[Start Date]],Milestone_Marker,IF(AND(V$27&gt;ProposalToGnatt[[#This Row],[Start Date]],V$27&lt;ProposalToGnatt[[#This Row],[Start Date]]+ProposalToGnatt[[#This Row],[Days]]),$G$5,"")),"")</f>
        <v/>
      </c>
      <c r="W37" s="36" t="str">
        <f ca="1">IFERROR(+IF(W$27=ProposalToGnatt[[#This Row],[Start Date]],Milestone_Marker,IF(AND(W$27&gt;ProposalToGnatt[[#This Row],[Start Date]],W$27&lt;ProposalToGnatt[[#This Row],[Start Date]]+ProposalToGnatt[[#This Row],[Days]]),$G$5,"")),"")</f>
        <v/>
      </c>
      <c r="X37" s="36" t="str">
        <f ca="1">IFERROR(+IF(X$27=ProposalToGnatt[[#This Row],[Start Date]],Milestone_Marker,IF(AND(X$27&gt;ProposalToGnatt[[#This Row],[Start Date]],X$27&lt;ProposalToGnatt[[#This Row],[Start Date]]+ProposalToGnatt[[#This Row],[Days]]),$G$5,"")),"")</f>
        <v/>
      </c>
      <c r="Y37" s="36" t="str">
        <f ca="1">IFERROR(+IF(Y$27=ProposalToGnatt[[#This Row],[Start Date]],Milestone_Marker,IF(AND(Y$27&gt;ProposalToGnatt[[#This Row],[Start Date]],Y$27&lt;ProposalToGnatt[[#This Row],[Start Date]]+ProposalToGnatt[[#This Row],[Days]]),$G$5,"")),"")</f>
        <v/>
      </c>
      <c r="Z37" s="36" t="str">
        <f ca="1">IFERROR(+IF(Z$27=ProposalToGnatt[[#This Row],[Start Date]],Milestone_Marker,IF(AND(Z$27&gt;ProposalToGnatt[[#This Row],[Start Date]],Z$27&lt;ProposalToGnatt[[#This Row],[Start Date]]+ProposalToGnatt[[#This Row],[Days]]),$G$5,"")),"")</f>
        <v/>
      </c>
      <c r="AA37" s="36" t="str">
        <f ca="1">IFERROR(+IF(AA$27=ProposalToGnatt[[#This Row],[Start Date]],Milestone_Marker,IF(AND(AA$27&gt;ProposalToGnatt[[#This Row],[Start Date]],AA$27&lt;ProposalToGnatt[[#This Row],[Start Date]]+ProposalToGnatt[[#This Row],[Days]]),$G$5,"")),"")</f>
        <v/>
      </c>
      <c r="AB37" s="36" t="str">
        <f ca="1">IFERROR(+IF(AB$27=ProposalToGnatt[[#This Row],[Start Date]],Milestone_Marker,IF(AND(AB$27&gt;ProposalToGnatt[[#This Row],[Start Date]],AB$27&lt;ProposalToGnatt[[#This Row],[Start Date]]+ProposalToGnatt[[#This Row],[Days]]),$G$5,"")),"")</f>
        <v/>
      </c>
      <c r="AC37" s="36" t="str">
        <f ca="1">IFERROR(+IF(AC$27=ProposalToGnatt[[#This Row],[Start Date]],Milestone_Marker,IF(AND(AC$27&gt;ProposalToGnatt[[#This Row],[Start Date]],AC$27&lt;ProposalToGnatt[[#This Row],[Start Date]]+ProposalToGnatt[[#This Row],[Days]]),$G$5,"")),"")</f>
        <v/>
      </c>
      <c r="AD37" s="36" t="str">
        <f ca="1">IFERROR(+IF(AD$27=ProposalToGnatt[[#This Row],[Start Date]],Milestone_Marker,IF(AND(AD$27&gt;ProposalToGnatt[[#This Row],[Start Date]],AD$27&lt;ProposalToGnatt[[#This Row],[Start Date]]+ProposalToGnatt[[#This Row],[Days]]),$G$5,"")),"")</f>
        <v/>
      </c>
      <c r="AE37" s="36" t="str">
        <f ca="1">IFERROR(+IF(AE$27=ProposalToGnatt[[#This Row],[Start Date]],Milestone_Marker,IF(AND(AE$27&gt;ProposalToGnatt[[#This Row],[Start Date]],AE$27&lt;ProposalToGnatt[[#This Row],[Start Date]]+ProposalToGnatt[[#This Row],[Days]]),$G$5,"")),"")</f>
        <v/>
      </c>
      <c r="AF37" s="36" t="str">
        <f ca="1">IFERROR(+IF(AF$27=ProposalToGnatt[[#This Row],[Start Date]],Milestone_Marker,IF(AND(AF$27&gt;ProposalToGnatt[[#This Row],[Start Date]],AF$27&lt;ProposalToGnatt[[#This Row],[Start Date]]+ProposalToGnatt[[#This Row],[Days]]),$G$5,"")),"")</f>
        <v/>
      </c>
      <c r="AG37" s="36" t="str">
        <f ca="1">IFERROR(+IF(AG$27=ProposalToGnatt[[#This Row],[Start Date]],Milestone_Marker,IF(AND(AG$27&gt;ProposalToGnatt[[#This Row],[Start Date]],AG$27&lt;ProposalToGnatt[[#This Row],[Start Date]]+ProposalToGnatt[[#This Row],[Days]]),$G$5,"")),"")</f>
        <v/>
      </c>
      <c r="AH37" s="36" t="str">
        <f ca="1">IFERROR(+IF(AH$27=ProposalToGnatt[[#This Row],[Start Date]],Milestone_Marker,IF(AND(AH$27&gt;ProposalToGnatt[[#This Row],[Start Date]],AH$27&lt;ProposalToGnatt[[#This Row],[Start Date]]+ProposalToGnatt[[#This Row],[Days]]),$G$5,"")),"")</f>
        <v/>
      </c>
      <c r="AI37" s="36" t="str">
        <f ca="1">IFERROR(+IF(AI$27=ProposalToGnatt[[#This Row],[Start Date]],Milestone_Marker,IF(AND(AI$27&gt;ProposalToGnatt[[#This Row],[Start Date]],AI$27&lt;ProposalToGnatt[[#This Row],[Start Date]]+ProposalToGnatt[[#This Row],[Days]]),$G$5,"")),"")</f>
        <v/>
      </c>
      <c r="AJ37" s="36" t="str">
        <f ca="1">IFERROR(+IF(AJ$27=ProposalToGnatt[[#This Row],[Start Date]],Milestone_Marker,IF(AND(AJ$27&gt;ProposalToGnatt[[#This Row],[Start Date]],AJ$27&lt;ProposalToGnatt[[#This Row],[Start Date]]+ProposalToGnatt[[#This Row],[Days]]),$G$5,"")),"")</f>
        <v/>
      </c>
      <c r="AK37" s="36" t="str">
        <f ca="1">IFERROR(+IF(AK$27=ProposalToGnatt[[#This Row],[Start Date]],Milestone_Marker,IF(AND(AK$27&gt;ProposalToGnatt[[#This Row],[Start Date]],AK$27&lt;ProposalToGnatt[[#This Row],[Start Date]]+ProposalToGnatt[[#This Row],[Days]]),$G$5,"")),"")</f>
        <v/>
      </c>
      <c r="AL37" s="36" t="str">
        <f ca="1">IFERROR(+IF(AL$27=ProposalToGnatt[[#This Row],[Start Date]],Milestone_Marker,IF(AND(AL$27&gt;ProposalToGnatt[[#This Row],[Start Date]],AL$27&lt;ProposalToGnatt[[#This Row],[Start Date]]+ProposalToGnatt[[#This Row],[Days]]),$G$5,"")),"")</f>
        <v/>
      </c>
      <c r="AM37" s="36" t="str">
        <f ca="1">IFERROR(+IF(AM$27=ProposalToGnatt[[#This Row],[Start Date]],Milestone_Marker,IF(AND(AM$27&gt;ProposalToGnatt[[#This Row],[Start Date]],AM$27&lt;ProposalToGnatt[[#This Row],[Start Date]]+ProposalToGnatt[[#This Row],[Days]]),$G$5,"")),"")</f>
        <v/>
      </c>
      <c r="AN37" s="36" t="str">
        <f ca="1">IFERROR(+IF(AN$27=ProposalToGnatt[[#This Row],[Start Date]],Milestone_Marker,IF(AND(AN$27&gt;ProposalToGnatt[[#This Row],[Start Date]],AN$27&lt;ProposalToGnatt[[#This Row],[Start Date]]+ProposalToGnatt[[#This Row],[Days]]),$G$5,"")),"")</f>
        <v/>
      </c>
      <c r="AO37" s="36" t="str">
        <f ca="1">IFERROR(+IF(AO$27=ProposalToGnatt[[#This Row],[Start Date]],Milestone_Marker,IF(AND(AO$27&gt;ProposalToGnatt[[#This Row],[Start Date]],AO$27&lt;ProposalToGnatt[[#This Row],[Start Date]]+ProposalToGnatt[[#This Row],[Days]]),$G$5,"")),"")</f>
        <v/>
      </c>
      <c r="AP37" s="36" t="str">
        <f ca="1">IFERROR(+IF(AP$27=ProposalToGnatt[[#This Row],[Start Date]],Milestone_Marker,IF(AND(AP$27&gt;ProposalToGnatt[[#This Row],[Start Date]],AP$27&lt;ProposalToGnatt[[#This Row],[Start Date]]+ProposalToGnatt[[#This Row],[Days]]),$G$5,"")),"")</f>
        <v/>
      </c>
      <c r="AQ37" s="36" t="str">
        <f ca="1">IFERROR(+IF(AQ$27=ProposalToGnatt[[#This Row],[Start Date]],Milestone_Marker,IF(AND(AQ$27&gt;ProposalToGnatt[[#This Row],[Start Date]],AQ$27&lt;ProposalToGnatt[[#This Row],[Start Date]]+ProposalToGnatt[[#This Row],[Days]]),$G$5,"")),"")</f>
        <v/>
      </c>
      <c r="AR37" s="36" t="str">
        <f ca="1">IFERROR(+IF(AR$27=ProposalToGnatt[[#This Row],[Start Date]],Milestone_Marker,IF(AND(AR$27&gt;ProposalToGnatt[[#This Row],[Start Date]],AR$27&lt;ProposalToGnatt[[#This Row],[Start Date]]+ProposalToGnatt[[#This Row],[Days]]),$G$5,"")),"")</f>
        <v/>
      </c>
      <c r="AS37" s="36" t="str">
        <f ca="1">IFERROR(+IF(AS$27=ProposalToGnatt[[#This Row],[Start Date]],Milestone_Marker,IF(AND(AS$27&gt;ProposalToGnatt[[#This Row],[Start Date]],AS$27&lt;ProposalToGnatt[[#This Row],[Start Date]]+ProposalToGnatt[[#This Row],[Days]]),$G$5,"")),"")</f>
        <v/>
      </c>
      <c r="AT37" s="36" t="str">
        <f ca="1">IFERROR(+IF(AT$27=ProposalToGnatt[[#This Row],[Start Date]],Milestone_Marker,IF(AND(AT$27&gt;ProposalToGnatt[[#This Row],[Start Date]],AT$27&lt;ProposalToGnatt[[#This Row],[Start Date]]+ProposalToGnatt[[#This Row],[Days]]),$G$5,"")),"")</f>
        <v/>
      </c>
      <c r="AU37" s="36" t="str">
        <f ca="1">IFERROR(+IF(AU$27=ProposalToGnatt[[#This Row],[Start Date]],Milestone_Marker,IF(AND(AU$27&gt;ProposalToGnatt[[#This Row],[Start Date]],AU$27&lt;ProposalToGnatt[[#This Row],[Start Date]]+ProposalToGnatt[[#This Row],[Days]]),$G$5,"")),"")</f>
        <v/>
      </c>
      <c r="AV37" s="36" t="str">
        <f ca="1">IFERROR(+IF(AV$27=ProposalToGnatt[[#This Row],[Start Date]],Milestone_Marker,IF(AND(AV$27&gt;ProposalToGnatt[[#This Row],[Start Date]],AV$27&lt;ProposalToGnatt[[#This Row],[Start Date]]+ProposalToGnatt[[#This Row],[Days]]),$G$5,"")),"")</f>
        <v/>
      </c>
      <c r="AW37" s="36" t="str">
        <f ca="1">IFERROR(+IF(AW$27=ProposalToGnatt[[#This Row],[Start Date]],Milestone_Marker,IF(AND(AW$27&gt;ProposalToGnatt[[#This Row],[Start Date]],AW$27&lt;ProposalToGnatt[[#This Row],[Start Date]]+ProposalToGnatt[[#This Row],[Days]]),$G$5,"")),"")</f>
        <v/>
      </c>
      <c r="AX37" s="36" t="str">
        <f ca="1">IFERROR(+IF(AX$27=ProposalToGnatt[[#This Row],[Start Date]],Milestone_Marker,IF(AND(AX$27&gt;ProposalToGnatt[[#This Row],[Start Date]],AX$27&lt;ProposalToGnatt[[#This Row],[Start Date]]+ProposalToGnatt[[#This Row],[Days]]),$G$5,"")),"")</f>
        <v/>
      </c>
      <c r="AY37" s="36" t="str">
        <f ca="1">IFERROR(+IF(AY$27=ProposalToGnatt[[#This Row],[Start Date]],Milestone_Marker,IF(AND(AY$27&gt;ProposalToGnatt[[#This Row],[Start Date]],AY$27&lt;ProposalToGnatt[[#This Row],[Start Date]]+ProposalToGnatt[[#This Row],[Days]]),$G$5,"")),"")</f>
        <v/>
      </c>
      <c r="AZ37" s="36" t="str">
        <f ca="1">IFERROR(+IF(AZ$27=ProposalToGnatt[[#This Row],[Start Date]],Milestone_Marker,IF(AND(AZ$27&gt;ProposalToGnatt[[#This Row],[Start Date]],AZ$27&lt;ProposalToGnatt[[#This Row],[Start Date]]+ProposalToGnatt[[#This Row],[Days]]),$G$5,"")),"")</f>
        <v/>
      </c>
      <c r="BA37" s="36" t="str">
        <f ca="1">IFERROR(+IF(BA$27=ProposalToGnatt[[#This Row],[Start Date]],Milestone_Marker,IF(AND(BA$27&gt;ProposalToGnatt[[#This Row],[Start Date]],BA$27&lt;ProposalToGnatt[[#This Row],[Start Date]]+ProposalToGnatt[[#This Row],[Days]]),$G$5,"")),"")</f>
        <v/>
      </c>
      <c r="BB37" s="36" t="str">
        <f ca="1">IFERROR(+IF(BB$27=ProposalToGnatt[[#This Row],[Start Date]],Milestone_Marker,IF(AND(BB$27&gt;ProposalToGnatt[[#This Row],[Start Date]],BB$27&lt;ProposalToGnatt[[#This Row],[Start Date]]+ProposalToGnatt[[#This Row],[Days]]),$G$5,"")),"")</f>
        <v/>
      </c>
      <c r="BC37" s="36" t="str">
        <f ca="1">IFERROR(+IF(BC$27=ProposalToGnatt[[#This Row],[Start Date]],Milestone_Marker,IF(AND(BC$27&gt;ProposalToGnatt[[#This Row],[Start Date]],BC$27&lt;ProposalToGnatt[[#This Row],[Start Date]]+ProposalToGnatt[[#This Row],[Days]]),$G$5,"")),"")</f>
        <v/>
      </c>
      <c r="BD37" s="36" t="str">
        <f ca="1">IFERROR(+IF(BD$27=ProposalToGnatt[[#This Row],[Start Date]],Milestone_Marker,IF(AND(BD$27&gt;ProposalToGnatt[[#This Row],[Start Date]],BD$27&lt;ProposalToGnatt[[#This Row],[Start Date]]+ProposalToGnatt[[#This Row],[Days]]),$G$5,"")),"")</f>
        <v/>
      </c>
      <c r="BE37" s="36" t="str">
        <f ca="1">IFERROR(+IF(BE$27=ProposalToGnatt[[#This Row],[Start Date]],Milestone_Marker,IF(AND(BE$27&gt;ProposalToGnatt[[#This Row],[Start Date]],BE$27&lt;ProposalToGnatt[[#This Row],[Start Date]]+ProposalToGnatt[[#This Row],[Days]]),$G$5,"")),"")</f>
        <v/>
      </c>
      <c r="BF37" s="36" t="str">
        <f ca="1">IFERROR(+IF(BF$27=ProposalToGnatt[[#This Row],[Start Date]],Milestone_Marker,IF(AND(BF$27&gt;ProposalToGnatt[[#This Row],[Start Date]],BF$27&lt;ProposalToGnatt[[#This Row],[Start Date]]+ProposalToGnatt[[#This Row],[Days]]),$G$5,"")),"")</f>
        <v/>
      </c>
      <c r="BG37" s="36" t="str">
        <f ca="1">IFERROR(+IF(BG$27=ProposalToGnatt[[#This Row],[Start Date]],Milestone_Marker,IF(AND(BG$27&gt;ProposalToGnatt[[#This Row],[Start Date]],BG$27&lt;ProposalToGnatt[[#This Row],[Start Date]]+ProposalToGnatt[[#This Row],[Days]]),$G$5,"")),"")</f>
        <v/>
      </c>
      <c r="BH37" s="36" t="str">
        <f ca="1">IFERROR(+IF(BH$27=ProposalToGnatt[[#This Row],[Start Date]],Milestone_Marker,IF(AND(BH$27&gt;ProposalToGnatt[[#This Row],[Start Date]],BH$27&lt;ProposalToGnatt[[#This Row],[Start Date]]+ProposalToGnatt[[#This Row],[Days]]),$G$5,"")),"")</f>
        <v/>
      </c>
      <c r="BI37" s="36" t="str">
        <f ca="1">IFERROR(+IF(BI$27=ProposalToGnatt[[#This Row],[Start Date]],Milestone_Marker,IF(AND(BI$27&gt;ProposalToGnatt[[#This Row],[Start Date]],BI$27&lt;ProposalToGnatt[[#This Row],[Start Date]]+ProposalToGnatt[[#This Row],[Days]]),$G$5,"")),"")</f>
        <v/>
      </c>
      <c r="BJ37" s="36" t="str">
        <f ca="1">IFERROR(+IF(BJ$27=ProposalToGnatt[[#This Row],[Start Date]],Milestone_Marker,IF(AND(BJ$27&gt;ProposalToGnatt[[#This Row],[Start Date]],BJ$27&lt;ProposalToGnatt[[#This Row],[Start Date]]+ProposalToGnatt[[#This Row],[Days]]),$G$5,"")),"")</f>
        <v/>
      </c>
      <c r="BK37" s="36" t="str">
        <f ca="1">IFERROR(+IF(BK$27=ProposalToGnatt[[#This Row],[Start Date]],Milestone_Marker,IF(AND(BK$27&gt;ProposalToGnatt[[#This Row],[Start Date]],BK$27&lt;ProposalToGnatt[[#This Row],[Start Date]]+ProposalToGnatt[[#This Row],[Days]]),$G$5,"")),"")</f>
        <v/>
      </c>
      <c r="BL37" s="36" t="str">
        <f ca="1">IFERROR(+IF(BL$27=ProposalToGnatt[[#This Row],[Start Date]],Milestone_Marker,IF(AND(BL$27&gt;ProposalToGnatt[[#This Row],[Start Date]],BL$27&lt;ProposalToGnatt[[#This Row],[Start Date]]+ProposalToGnatt[[#This Row],[Days]]),$G$5,"")),"")</f>
        <v/>
      </c>
      <c r="BM37" s="36" t="str">
        <f ca="1">IFERROR(+IF(BM$27=ProposalToGnatt[[#This Row],[Start Date]],Milestone_Marker,IF(AND(BM$27&gt;ProposalToGnatt[[#This Row],[Start Date]],BM$27&lt;ProposalToGnatt[[#This Row],[Start Date]]+ProposalToGnatt[[#This Row],[Days]]),$G$5,"")),"")</f>
        <v/>
      </c>
      <c r="BN37" s="36" t="str">
        <f ca="1">IFERROR(+IF(BN$27=ProposalToGnatt[[#This Row],[Start Date]],Milestone_Marker,IF(AND(BN$27&gt;ProposalToGnatt[[#This Row],[Start Date]],BN$27&lt;ProposalToGnatt[[#This Row],[Start Date]]+ProposalToGnatt[[#This Row],[Days]]),$G$5,"")),"")</f>
        <v/>
      </c>
      <c r="BO37" s="36" t="str">
        <f ca="1">IFERROR(+IF(BO$27=ProposalToGnatt[[#This Row],[Start Date]],Milestone_Marker,IF(AND(BO$27&gt;ProposalToGnatt[[#This Row],[Start Date]],BO$27&lt;ProposalToGnatt[[#This Row],[Start Date]]+ProposalToGnatt[[#This Row],[Days]]),$G$5,"")),"")</f>
        <v/>
      </c>
      <c r="BP37" s="36" t="str">
        <f ca="1">IFERROR(+IF(BP$27=ProposalToGnatt[[#This Row],[Start Date]],Milestone_Marker,IF(AND(BP$27&gt;ProposalToGnatt[[#This Row],[Start Date]],BP$27&lt;ProposalToGnatt[[#This Row],[Start Date]]+ProposalToGnatt[[#This Row],[Days]]),$G$5,"")),"")</f>
        <v/>
      </c>
      <c r="BQ37" s="36" t="str">
        <f ca="1">IFERROR(+IF(BQ$27=ProposalToGnatt[[#This Row],[Start Date]],Milestone_Marker,IF(AND(BQ$27&gt;ProposalToGnatt[[#This Row],[Start Date]],BQ$27&lt;ProposalToGnatt[[#This Row],[Start Date]]+ProposalToGnatt[[#This Row],[Days]]),$G$5,"")),"")</f>
        <v/>
      </c>
      <c r="BR37" s="36" t="str">
        <f ca="1">IFERROR(+IF(BR$27=ProposalToGnatt[[#This Row],[Start Date]],Milestone_Marker,IF(AND(BR$27&gt;ProposalToGnatt[[#This Row],[Start Date]],BR$27&lt;ProposalToGnatt[[#This Row],[Start Date]]+ProposalToGnatt[[#This Row],[Days]]),$G$5,"")),"")</f>
        <v/>
      </c>
      <c r="BS37" s="36" t="str">
        <f ca="1">IFERROR(+IF(BS$27=ProposalToGnatt[[#This Row],[Start Date]],Milestone_Marker,IF(AND(BS$27&gt;ProposalToGnatt[[#This Row],[Start Date]],BS$27&lt;ProposalToGnatt[[#This Row],[Start Date]]+ProposalToGnatt[[#This Row],[Days]]),$G$5,"")),"")</f>
        <v/>
      </c>
      <c r="BT37" s="36" t="str">
        <f ca="1">IFERROR(+IF(BT$27=ProposalToGnatt[[#This Row],[Start Date]],Milestone_Marker,IF(AND(BT$27&gt;ProposalToGnatt[[#This Row],[Start Date]],BT$27&lt;ProposalToGnatt[[#This Row],[Start Date]]+ProposalToGnatt[[#This Row],[Days]]),$G$5,"")),"")</f>
        <v/>
      </c>
      <c r="BU37" s="36" t="str">
        <f ca="1">IFERROR(+IF(BU$27=ProposalToGnatt[[#This Row],[Start Date]],Milestone_Marker,IF(AND(BU$27&gt;ProposalToGnatt[[#This Row],[Start Date]],BU$27&lt;ProposalToGnatt[[#This Row],[Start Date]]+ProposalToGnatt[[#This Row],[Days]]),$G$5,"")),"")</f>
        <v/>
      </c>
      <c r="BV37" s="36" t="str">
        <f ca="1">IFERROR(+IF(BV$27=ProposalToGnatt[[#This Row],[Start Date]],Milestone_Marker,IF(AND(BV$27&gt;ProposalToGnatt[[#This Row],[Start Date]],BV$27&lt;ProposalToGnatt[[#This Row],[Start Date]]+ProposalToGnatt[[#This Row],[Days]]),$G$5,"")),"")</f>
        <v/>
      </c>
      <c r="BW37" s="36" t="str">
        <f ca="1">IFERROR(+IF(BW$27=ProposalToGnatt[[#This Row],[Start Date]],Milestone_Marker,IF(AND(BW$27&gt;ProposalToGnatt[[#This Row],[Start Date]],BW$27&lt;ProposalToGnatt[[#This Row],[Start Date]]+ProposalToGnatt[[#This Row],[Days]]),$G$5,"")),"")</f>
        <v/>
      </c>
      <c r="BX37" s="36" t="str">
        <f ca="1">IFERROR(+IF(BX$27=ProposalToGnatt[[#This Row],[Start Date]],Milestone_Marker,IF(AND(BX$27&gt;ProposalToGnatt[[#This Row],[Start Date]],BX$27&lt;ProposalToGnatt[[#This Row],[Start Date]]+ProposalToGnatt[[#This Row],[Days]]),$G$5,"")),"")</f>
        <v/>
      </c>
      <c r="BY37" s="36" t="str">
        <f ca="1">IFERROR(+IF(BY$27=ProposalToGnatt[[#This Row],[Start Date]],Milestone_Marker,IF(AND(BY$27&gt;ProposalToGnatt[[#This Row],[Start Date]],BY$27&lt;ProposalToGnatt[[#This Row],[Start Date]]+ProposalToGnatt[[#This Row],[Days]]),$G$5,"")),"")</f>
        <v/>
      </c>
      <c r="BZ37" s="36" t="str">
        <f ca="1">IFERROR(+IF(BZ$27=ProposalToGnatt[[#This Row],[Start Date]],Milestone_Marker,IF(AND(BZ$27&gt;ProposalToGnatt[[#This Row],[Start Date]],BZ$27&lt;ProposalToGnatt[[#This Row],[Start Date]]+ProposalToGnatt[[#This Row],[Days]]),$G$5,"")),"")</f>
        <v/>
      </c>
      <c r="CA37" s="36" t="str">
        <f ca="1">IFERROR(+IF(CA$27=ProposalToGnatt[[#This Row],[Start Date]],Milestone_Marker,IF(AND(CA$27&gt;ProposalToGnatt[[#This Row],[Start Date]],CA$27&lt;ProposalToGnatt[[#This Row],[Start Date]]+ProposalToGnatt[[#This Row],[Days]]),$G$5,"")),"")</f>
        <v/>
      </c>
      <c r="CB37" s="36" t="str">
        <f ca="1">IFERROR(+IF(CB$27=ProposalToGnatt[[#This Row],[Start Date]],Milestone_Marker,IF(AND(CB$27&gt;ProposalToGnatt[[#This Row],[Start Date]],CB$27&lt;ProposalToGnatt[[#This Row],[Start Date]]+ProposalToGnatt[[#This Row],[Days]]),$G$5,"")),"")</f>
        <v/>
      </c>
      <c r="CC37" s="36" t="str">
        <f ca="1">IFERROR(+IF(CC$27=ProposalToGnatt[[#This Row],[Start Date]],Milestone_Marker,IF(AND(CC$27&gt;ProposalToGnatt[[#This Row],[Start Date]],CC$27&lt;ProposalToGnatt[[#This Row],[Start Date]]+ProposalToGnatt[[#This Row],[Days]]),$G$5,"")),"")</f>
        <v/>
      </c>
      <c r="CD37" s="36" t="str">
        <f ca="1">IFERROR(+IF(CD$27=ProposalToGnatt[[#This Row],[Start Date]],Milestone_Marker,IF(AND(CD$27&gt;ProposalToGnatt[[#This Row],[Start Date]],CD$27&lt;ProposalToGnatt[[#This Row],[Start Date]]+ProposalToGnatt[[#This Row],[Days]]),$G$5,"")),"")</f>
        <v/>
      </c>
      <c r="CE37" s="36" t="str">
        <f ca="1">IFERROR(+IF(CE$27=ProposalToGnatt[[#This Row],[Start Date]],Milestone_Marker,IF(AND(CE$27&gt;ProposalToGnatt[[#This Row],[Start Date]],CE$27&lt;ProposalToGnatt[[#This Row],[Start Date]]+ProposalToGnatt[[#This Row],[Days]]),$G$5,"")),"")</f>
        <v/>
      </c>
      <c r="CF37" s="36" t="str">
        <f ca="1">IFERROR(+IF(CF$27=ProposalToGnatt[[#This Row],[Start Date]],Milestone_Marker,IF(AND(CF$27&gt;ProposalToGnatt[[#This Row],[Start Date]],CF$27&lt;ProposalToGnatt[[#This Row],[Start Date]]+ProposalToGnatt[[#This Row],[Days]]),$G$5,"")),"")</f>
        <v/>
      </c>
      <c r="CG37" s="36" t="str">
        <f ca="1">IFERROR(+IF(CG$27=ProposalToGnatt[[#This Row],[Start Date]],Milestone_Marker,IF(AND(CG$27&gt;ProposalToGnatt[[#This Row],[Start Date]],CG$27&lt;ProposalToGnatt[[#This Row],[Start Date]]+ProposalToGnatt[[#This Row],[Days]]),$G$5,"")),"")</f>
        <v/>
      </c>
      <c r="CH37" s="36" t="str">
        <f ca="1">IFERROR(+IF(CH$27=ProposalToGnatt[[#This Row],[Start Date]],Milestone_Marker,IF(AND(CH$27&gt;ProposalToGnatt[[#This Row],[Start Date]],CH$27&lt;ProposalToGnatt[[#This Row],[Start Date]]+ProposalToGnatt[[#This Row],[Days]]),$G$5,"")),"")</f>
        <v/>
      </c>
      <c r="CI37" s="36" t="str">
        <f ca="1">IFERROR(+IF(CI$27=ProposalToGnatt[[#This Row],[Start Date]],Milestone_Marker,IF(AND(CI$27&gt;ProposalToGnatt[[#This Row],[Start Date]],CI$27&lt;ProposalToGnatt[[#This Row],[Start Date]]+ProposalToGnatt[[#This Row],[Days]]),$G$5,"")),"")</f>
        <v/>
      </c>
      <c r="CJ37" s="36" t="str">
        <f ca="1">IFERROR(+IF(CJ$27=ProposalToGnatt[[#This Row],[Start Date]],Milestone_Marker,IF(AND(CJ$27&gt;ProposalToGnatt[[#This Row],[Start Date]],CJ$27&lt;ProposalToGnatt[[#This Row],[Start Date]]+ProposalToGnatt[[#This Row],[Days]]),$G$5,"")),"")</f>
        <v/>
      </c>
      <c r="CK37" s="36" t="str">
        <f ca="1">IFERROR(+IF(CK$27=ProposalToGnatt[[#This Row],[Start Date]],Milestone_Marker,IF(AND(CK$27&gt;ProposalToGnatt[[#This Row],[Start Date]],CK$27&lt;ProposalToGnatt[[#This Row],[Start Date]]+ProposalToGnatt[[#This Row],[Days]]),$G$5,"")),"")</f>
        <v/>
      </c>
      <c r="CL37" s="36" t="str">
        <f ca="1">IFERROR(+IF(CL$27=ProposalToGnatt[[#This Row],[Start Date]],Milestone_Marker,IF(AND(CL$27&gt;ProposalToGnatt[[#This Row],[Start Date]],CL$27&lt;ProposalToGnatt[[#This Row],[Start Date]]+ProposalToGnatt[[#This Row],[Days]]),$G$5,"")),"")</f>
        <v/>
      </c>
      <c r="CM37" s="36" t="str">
        <f ca="1">IFERROR(+IF(CM$27=ProposalToGnatt[[#This Row],[Start Date]],Milestone_Marker,IF(AND(CM$27&gt;ProposalToGnatt[[#This Row],[Start Date]],CM$27&lt;ProposalToGnatt[[#This Row],[Start Date]]+ProposalToGnatt[[#This Row],[Days]]),$G$5,"")),"")</f>
        <v/>
      </c>
      <c r="CN37" s="36" t="str">
        <f ca="1">IFERROR(+IF(CN$27=ProposalToGnatt[[#This Row],[Start Date]],Milestone_Marker,IF(AND(CN$27&gt;ProposalToGnatt[[#This Row],[Start Date]],CN$27&lt;ProposalToGnatt[[#This Row],[Start Date]]+ProposalToGnatt[[#This Row],[Days]]),$G$5,"")),"")</f>
        <v/>
      </c>
      <c r="CO37" s="36" t="str">
        <f ca="1">IFERROR(+IF(CO$27=ProposalToGnatt[[#This Row],[Start Date]],Milestone_Marker,IF(AND(CO$27&gt;ProposalToGnatt[[#This Row],[Start Date]],CO$27&lt;ProposalToGnatt[[#This Row],[Start Date]]+ProposalToGnatt[[#This Row],[Days]]),$G$5,"")),"")</f>
        <v/>
      </c>
      <c r="CP37" s="36" t="str">
        <f ca="1">IFERROR(+IF(CP$27=ProposalToGnatt[[#This Row],[Start Date]],Milestone_Marker,IF(AND(CP$27&gt;ProposalToGnatt[[#This Row],[Start Date]],CP$27&lt;ProposalToGnatt[[#This Row],[Start Date]]+ProposalToGnatt[[#This Row],[Days]]),$G$5,"")),"")</f>
        <v/>
      </c>
      <c r="CQ37" s="36" t="str">
        <f ca="1">IFERROR(+IF(CQ$27=ProposalToGnatt[[#This Row],[Start Date]],Milestone_Marker,IF(AND(CQ$27&gt;ProposalToGnatt[[#This Row],[Start Date]],CQ$27&lt;ProposalToGnatt[[#This Row],[Start Date]]+ProposalToGnatt[[#This Row],[Days]]),$G$5,"")),"")</f>
        <v/>
      </c>
      <c r="CR37" s="36" t="str">
        <f ca="1">IFERROR(+IF(CR$27=ProposalToGnatt[[#This Row],[Start Date]],Milestone_Marker,IF(AND(CR$27&gt;ProposalToGnatt[[#This Row],[Start Date]],CR$27&lt;ProposalToGnatt[[#This Row],[Start Date]]+ProposalToGnatt[[#This Row],[Days]]),$G$5,"")),"")</f>
        <v/>
      </c>
      <c r="CS37" s="36" t="str">
        <f ca="1">IFERROR(+IF(CS$27=ProposalToGnatt[[#This Row],[Start Date]],Milestone_Marker,IF(AND(CS$27&gt;ProposalToGnatt[[#This Row],[Start Date]],CS$27&lt;ProposalToGnatt[[#This Row],[Start Date]]+ProposalToGnatt[[#This Row],[Days]]),$G$5,"")),"")</f>
        <v/>
      </c>
      <c r="CT37" s="36" t="str">
        <f ca="1">IFERROR(+IF(CT$27=ProposalToGnatt[[#This Row],[Start Date]],Milestone_Marker,IF(AND(CT$27&gt;ProposalToGnatt[[#This Row],[Start Date]],CT$27&lt;ProposalToGnatt[[#This Row],[Start Date]]+ProposalToGnatt[[#This Row],[Days]]),$G$5,"")),"")</f>
        <v/>
      </c>
      <c r="CU37" s="36" t="str">
        <f ca="1">IFERROR(+IF(CU$27=ProposalToGnatt[[#This Row],[Start Date]],Milestone_Marker,IF(AND(CU$27&gt;ProposalToGnatt[[#This Row],[Start Date]],CU$27&lt;ProposalToGnatt[[#This Row],[Start Date]]+ProposalToGnatt[[#This Row],[Days]]),$G$5,"")),"")</f>
        <v/>
      </c>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row>
    <row r="38" spans="1:125" s="41" customFormat="1" ht="20.100000000000001" customHeight="1" x14ac:dyDescent="0.25">
      <c r="A38" t="s">
        <v>730</v>
      </c>
      <c r="B38">
        <v>14</v>
      </c>
      <c r="C38" t="s">
        <v>174</v>
      </c>
      <c r="D38" t="s">
        <v>692</v>
      </c>
      <c r="E38" t="s">
        <v>1145</v>
      </c>
      <c r="F38">
        <v>1</v>
      </c>
      <c r="G38" s="14">
        <v>150</v>
      </c>
      <c r="H38" s="14">
        <v>150</v>
      </c>
      <c r="I38" t="s">
        <v>516</v>
      </c>
      <c r="J38">
        <v>4</v>
      </c>
      <c r="K38" s="261">
        <v>46128</v>
      </c>
      <c r="L38"/>
      <c r="M38" s="14">
        <v>150</v>
      </c>
      <c r="N38" s="309">
        <v>150</v>
      </c>
      <c r="O38" s="297"/>
      <c r="P38" s="36" t="str">
        <f ca="1">IFERROR(+IF(P$27=ProposalToGnatt[[#This Row],[Start Date]],Milestone_Marker,IF(AND(P$27&gt;ProposalToGnatt[[#This Row],[Start Date]],P$27&lt;ProposalToGnatt[[#This Row],[Start Date]]+ProposalToGnatt[[#This Row],[Days]]),$G$5,"")),"")</f>
        <v/>
      </c>
      <c r="Q38" s="36" t="str">
        <f ca="1">IFERROR(+IF(Q$27=ProposalToGnatt[[#This Row],[Start Date]],Milestone_Marker,IF(AND(Q$27&gt;ProposalToGnatt[[#This Row],[Start Date]],Q$27&lt;ProposalToGnatt[[#This Row],[Start Date]]+ProposalToGnatt[[#This Row],[Days]]),$G$5,"")),"")</f>
        <v/>
      </c>
      <c r="R38" s="36" t="str">
        <f ca="1">IFERROR(+IF(R$27=ProposalToGnatt[[#This Row],[Start Date]],Milestone_Marker,IF(AND(R$27&gt;ProposalToGnatt[[#This Row],[Start Date]],R$27&lt;ProposalToGnatt[[#This Row],[Start Date]]+ProposalToGnatt[[#This Row],[Days]]),$G$5,"")),"")</f>
        <v/>
      </c>
      <c r="S38" s="36" t="str">
        <f ca="1">IFERROR(+IF(S$27=ProposalToGnatt[[#This Row],[Start Date]],Milestone_Marker,IF(AND(S$27&gt;ProposalToGnatt[[#This Row],[Start Date]],S$27&lt;ProposalToGnatt[[#This Row],[Start Date]]+ProposalToGnatt[[#This Row],[Days]]),$G$5,"")),"")</f>
        <v/>
      </c>
      <c r="T38" s="36" t="str">
        <f ca="1">IFERROR(+IF(T$27=ProposalToGnatt[[#This Row],[Start Date]],Milestone_Marker,IF(AND(T$27&gt;ProposalToGnatt[[#This Row],[Start Date]],T$27&lt;ProposalToGnatt[[#This Row],[Start Date]]+ProposalToGnatt[[#This Row],[Days]]),$G$5,"")),"")</f>
        <v/>
      </c>
      <c r="U38" s="36" t="str">
        <f ca="1">IFERROR(+IF(U$27=ProposalToGnatt[[#This Row],[Start Date]],Milestone_Marker,IF(AND(U$27&gt;ProposalToGnatt[[#This Row],[Start Date]],U$27&lt;ProposalToGnatt[[#This Row],[Start Date]]+ProposalToGnatt[[#This Row],[Days]]),$G$5,"")),"")</f>
        <v/>
      </c>
      <c r="V38" s="36" t="str">
        <f ca="1">IFERROR(+IF(V$27=ProposalToGnatt[[#This Row],[Start Date]],Milestone_Marker,IF(AND(V$27&gt;ProposalToGnatt[[#This Row],[Start Date]],V$27&lt;ProposalToGnatt[[#This Row],[Start Date]]+ProposalToGnatt[[#This Row],[Days]]),$G$5,"")),"")</f>
        <v/>
      </c>
      <c r="W38" s="36" t="str">
        <f ca="1">IFERROR(+IF(W$27=ProposalToGnatt[[#This Row],[Start Date]],Milestone_Marker,IF(AND(W$27&gt;ProposalToGnatt[[#This Row],[Start Date]],W$27&lt;ProposalToGnatt[[#This Row],[Start Date]]+ProposalToGnatt[[#This Row],[Days]]),$G$5,"")),"")</f>
        <v/>
      </c>
      <c r="X38" s="36" t="str">
        <f ca="1">IFERROR(+IF(X$27=ProposalToGnatt[[#This Row],[Start Date]],Milestone_Marker,IF(AND(X$27&gt;ProposalToGnatt[[#This Row],[Start Date]],X$27&lt;ProposalToGnatt[[#This Row],[Start Date]]+ProposalToGnatt[[#This Row],[Days]]),$G$5,"")),"")</f>
        <v/>
      </c>
      <c r="Y38" s="36" t="str">
        <f ca="1">IFERROR(+IF(Y$27=ProposalToGnatt[[#This Row],[Start Date]],Milestone_Marker,IF(AND(Y$27&gt;ProposalToGnatt[[#This Row],[Start Date]],Y$27&lt;ProposalToGnatt[[#This Row],[Start Date]]+ProposalToGnatt[[#This Row],[Days]]),$G$5,"")),"")</f>
        <v/>
      </c>
      <c r="Z38" s="36" t="str">
        <f ca="1">IFERROR(+IF(Z$27=ProposalToGnatt[[#This Row],[Start Date]],Milestone_Marker,IF(AND(Z$27&gt;ProposalToGnatt[[#This Row],[Start Date]],Z$27&lt;ProposalToGnatt[[#This Row],[Start Date]]+ProposalToGnatt[[#This Row],[Days]]),$G$5,"")),"")</f>
        <v/>
      </c>
      <c r="AA38" s="36" t="str">
        <f ca="1">IFERROR(+IF(AA$27=ProposalToGnatt[[#This Row],[Start Date]],Milestone_Marker,IF(AND(AA$27&gt;ProposalToGnatt[[#This Row],[Start Date]],AA$27&lt;ProposalToGnatt[[#This Row],[Start Date]]+ProposalToGnatt[[#This Row],[Days]]),$G$5,"")),"")</f>
        <v/>
      </c>
      <c r="AB38" s="36" t="str">
        <f ca="1">IFERROR(+IF(AB$27=ProposalToGnatt[[#This Row],[Start Date]],Milestone_Marker,IF(AND(AB$27&gt;ProposalToGnatt[[#This Row],[Start Date]],AB$27&lt;ProposalToGnatt[[#This Row],[Start Date]]+ProposalToGnatt[[#This Row],[Days]]),$G$5,"")),"")</f>
        <v/>
      </c>
      <c r="AC38" s="36" t="str">
        <f ca="1">IFERROR(+IF(AC$27=ProposalToGnatt[[#This Row],[Start Date]],Milestone_Marker,IF(AND(AC$27&gt;ProposalToGnatt[[#This Row],[Start Date]],AC$27&lt;ProposalToGnatt[[#This Row],[Start Date]]+ProposalToGnatt[[#This Row],[Days]]),$G$5,"")),"")</f>
        <v/>
      </c>
      <c r="AD38" s="36" t="str">
        <f ca="1">IFERROR(+IF(AD$27=ProposalToGnatt[[#This Row],[Start Date]],Milestone_Marker,IF(AND(AD$27&gt;ProposalToGnatt[[#This Row],[Start Date]],AD$27&lt;ProposalToGnatt[[#This Row],[Start Date]]+ProposalToGnatt[[#This Row],[Days]]),$G$5,"")),"")</f>
        <v/>
      </c>
      <c r="AE38" s="36" t="str">
        <f ca="1">IFERROR(+IF(AE$27=ProposalToGnatt[[#This Row],[Start Date]],Milestone_Marker,IF(AND(AE$27&gt;ProposalToGnatt[[#This Row],[Start Date]],AE$27&lt;ProposalToGnatt[[#This Row],[Start Date]]+ProposalToGnatt[[#This Row],[Days]]),$G$5,"")),"")</f>
        <v/>
      </c>
      <c r="AF38" s="36" t="str">
        <f ca="1">IFERROR(+IF(AF$27=ProposalToGnatt[[#This Row],[Start Date]],Milestone_Marker,IF(AND(AF$27&gt;ProposalToGnatt[[#This Row],[Start Date]],AF$27&lt;ProposalToGnatt[[#This Row],[Start Date]]+ProposalToGnatt[[#This Row],[Days]]),$G$5,"")),"")</f>
        <v/>
      </c>
      <c r="AG38" s="36" t="str">
        <f ca="1">IFERROR(+IF(AG$27=ProposalToGnatt[[#This Row],[Start Date]],Milestone_Marker,IF(AND(AG$27&gt;ProposalToGnatt[[#This Row],[Start Date]],AG$27&lt;ProposalToGnatt[[#This Row],[Start Date]]+ProposalToGnatt[[#This Row],[Days]]),$G$5,"")),"")</f>
        <v/>
      </c>
      <c r="AH38" s="36" t="str">
        <f ca="1">IFERROR(+IF(AH$27=ProposalToGnatt[[#This Row],[Start Date]],Milestone_Marker,IF(AND(AH$27&gt;ProposalToGnatt[[#This Row],[Start Date]],AH$27&lt;ProposalToGnatt[[#This Row],[Start Date]]+ProposalToGnatt[[#This Row],[Days]]),$G$5,"")),"")</f>
        <v/>
      </c>
      <c r="AI38" s="36" t="str">
        <f ca="1">IFERROR(+IF(AI$27=ProposalToGnatt[[#This Row],[Start Date]],Milestone_Marker,IF(AND(AI$27&gt;ProposalToGnatt[[#This Row],[Start Date]],AI$27&lt;ProposalToGnatt[[#This Row],[Start Date]]+ProposalToGnatt[[#This Row],[Days]]),$G$5,"")),"")</f>
        <v/>
      </c>
      <c r="AJ38" s="36" t="str">
        <f ca="1">IFERROR(+IF(AJ$27=ProposalToGnatt[[#This Row],[Start Date]],Milestone_Marker,IF(AND(AJ$27&gt;ProposalToGnatt[[#This Row],[Start Date]],AJ$27&lt;ProposalToGnatt[[#This Row],[Start Date]]+ProposalToGnatt[[#This Row],[Days]]),$G$5,"")),"")</f>
        <v/>
      </c>
      <c r="AK38" s="36" t="str">
        <f ca="1">IFERROR(+IF(AK$27=ProposalToGnatt[[#This Row],[Start Date]],Milestone_Marker,IF(AND(AK$27&gt;ProposalToGnatt[[#This Row],[Start Date]],AK$27&lt;ProposalToGnatt[[#This Row],[Start Date]]+ProposalToGnatt[[#This Row],[Days]]),$G$5,"")),"")</f>
        <v/>
      </c>
      <c r="AL38" s="36" t="str">
        <f ca="1">IFERROR(+IF(AL$27=ProposalToGnatt[[#This Row],[Start Date]],Milestone_Marker,IF(AND(AL$27&gt;ProposalToGnatt[[#This Row],[Start Date]],AL$27&lt;ProposalToGnatt[[#This Row],[Start Date]]+ProposalToGnatt[[#This Row],[Days]]),$G$5,"")),"")</f>
        <v/>
      </c>
      <c r="AM38" s="36" t="str">
        <f ca="1">IFERROR(+IF(AM$27=ProposalToGnatt[[#This Row],[Start Date]],Milestone_Marker,IF(AND(AM$27&gt;ProposalToGnatt[[#This Row],[Start Date]],AM$27&lt;ProposalToGnatt[[#This Row],[Start Date]]+ProposalToGnatt[[#This Row],[Days]]),$G$5,"")),"")</f>
        <v/>
      </c>
      <c r="AN38" s="36" t="str">
        <f ca="1">IFERROR(+IF(AN$27=ProposalToGnatt[[#This Row],[Start Date]],Milestone_Marker,IF(AND(AN$27&gt;ProposalToGnatt[[#This Row],[Start Date]],AN$27&lt;ProposalToGnatt[[#This Row],[Start Date]]+ProposalToGnatt[[#This Row],[Days]]),$G$5,"")),"")</f>
        <v/>
      </c>
      <c r="AO38" s="36" t="str">
        <f ca="1">IFERROR(+IF(AO$27=ProposalToGnatt[[#This Row],[Start Date]],Milestone_Marker,IF(AND(AO$27&gt;ProposalToGnatt[[#This Row],[Start Date]],AO$27&lt;ProposalToGnatt[[#This Row],[Start Date]]+ProposalToGnatt[[#This Row],[Days]]),$G$5,"")),"")</f>
        <v/>
      </c>
      <c r="AP38" s="36" t="str">
        <f ca="1">IFERROR(+IF(AP$27=ProposalToGnatt[[#This Row],[Start Date]],Milestone_Marker,IF(AND(AP$27&gt;ProposalToGnatt[[#This Row],[Start Date]],AP$27&lt;ProposalToGnatt[[#This Row],[Start Date]]+ProposalToGnatt[[#This Row],[Days]]),$G$5,"")),"")</f>
        <v/>
      </c>
      <c r="AQ38" s="36" t="str">
        <f ca="1">IFERROR(+IF(AQ$27=ProposalToGnatt[[#This Row],[Start Date]],Milestone_Marker,IF(AND(AQ$27&gt;ProposalToGnatt[[#This Row],[Start Date]],AQ$27&lt;ProposalToGnatt[[#This Row],[Start Date]]+ProposalToGnatt[[#This Row],[Days]]),$G$5,"")),"")</f>
        <v/>
      </c>
      <c r="AR38" s="36" t="str">
        <f ca="1">IFERROR(+IF(AR$27=ProposalToGnatt[[#This Row],[Start Date]],Milestone_Marker,IF(AND(AR$27&gt;ProposalToGnatt[[#This Row],[Start Date]],AR$27&lt;ProposalToGnatt[[#This Row],[Start Date]]+ProposalToGnatt[[#This Row],[Days]]),$G$5,"")),"")</f>
        <v/>
      </c>
      <c r="AS38" s="36" t="str">
        <f ca="1">IFERROR(+IF(AS$27=ProposalToGnatt[[#This Row],[Start Date]],Milestone_Marker,IF(AND(AS$27&gt;ProposalToGnatt[[#This Row],[Start Date]],AS$27&lt;ProposalToGnatt[[#This Row],[Start Date]]+ProposalToGnatt[[#This Row],[Days]]),$G$5,"")),"")</f>
        <v/>
      </c>
      <c r="AT38" s="36" t="str">
        <f ca="1">IFERROR(+IF(AT$27=ProposalToGnatt[[#This Row],[Start Date]],Milestone_Marker,IF(AND(AT$27&gt;ProposalToGnatt[[#This Row],[Start Date]],AT$27&lt;ProposalToGnatt[[#This Row],[Start Date]]+ProposalToGnatt[[#This Row],[Days]]),$G$5,"")),"")</f>
        <v/>
      </c>
      <c r="AU38" s="36" t="str">
        <f ca="1">IFERROR(+IF(AU$27=ProposalToGnatt[[#This Row],[Start Date]],Milestone_Marker,IF(AND(AU$27&gt;ProposalToGnatt[[#This Row],[Start Date]],AU$27&lt;ProposalToGnatt[[#This Row],[Start Date]]+ProposalToGnatt[[#This Row],[Days]]),$G$5,"")),"")</f>
        <v/>
      </c>
      <c r="AV38" s="36" t="str">
        <f ca="1">IFERROR(+IF(AV$27=ProposalToGnatt[[#This Row],[Start Date]],Milestone_Marker,IF(AND(AV$27&gt;ProposalToGnatt[[#This Row],[Start Date]],AV$27&lt;ProposalToGnatt[[#This Row],[Start Date]]+ProposalToGnatt[[#This Row],[Days]]),$G$5,"")),"")</f>
        <v/>
      </c>
      <c r="AW38" s="36" t="str">
        <f ca="1">IFERROR(+IF(AW$27=ProposalToGnatt[[#This Row],[Start Date]],Milestone_Marker,IF(AND(AW$27&gt;ProposalToGnatt[[#This Row],[Start Date]],AW$27&lt;ProposalToGnatt[[#This Row],[Start Date]]+ProposalToGnatt[[#This Row],[Days]]),$G$5,"")),"")</f>
        <v/>
      </c>
      <c r="AX38" s="36" t="str">
        <f ca="1">IFERROR(+IF(AX$27=ProposalToGnatt[[#This Row],[Start Date]],Milestone_Marker,IF(AND(AX$27&gt;ProposalToGnatt[[#This Row],[Start Date]],AX$27&lt;ProposalToGnatt[[#This Row],[Start Date]]+ProposalToGnatt[[#This Row],[Days]]),$G$5,"")),"")</f>
        <v/>
      </c>
      <c r="AY38" s="36" t="str">
        <f ca="1">IFERROR(+IF(AY$27=ProposalToGnatt[[#This Row],[Start Date]],Milestone_Marker,IF(AND(AY$27&gt;ProposalToGnatt[[#This Row],[Start Date]],AY$27&lt;ProposalToGnatt[[#This Row],[Start Date]]+ProposalToGnatt[[#This Row],[Days]]),$G$5,"")),"")</f>
        <v/>
      </c>
      <c r="AZ38" s="36" t="str">
        <f ca="1">IFERROR(+IF(AZ$27=ProposalToGnatt[[#This Row],[Start Date]],Milestone_Marker,IF(AND(AZ$27&gt;ProposalToGnatt[[#This Row],[Start Date]],AZ$27&lt;ProposalToGnatt[[#This Row],[Start Date]]+ProposalToGnatt[[#This Row],[Days]]),$G$5,"")),"")</f>
        <v/>
      </c>
      <c r="BA38" s="36" t="str">
        <f ca="1">IFERROR(+IF(BA$27=ProposalToGnatt[[#This Row],[Start Date]],Milestone_Marker,IF(AND(BA$27&gt;ProposalToGnatt[[#This Row],[Start Date]],BA$27&lt;ProposalToGnatt[[#This Row],[Start Date]]+ProposalToGnatt[[#This Row],[Days]]),$G$5,"")),"")</f>
        <v/>
      </c>
      <c r="BB38" s="36" t="str">
        <f ca="1">IFERROR(+IF(BB$27=ProposalToGnatt[[#This Row],[Start Date]],Milestone_Marker,IF(AND(BB$27&gt;ProposalToGnatt[[#This Row],[Start Date]],BB$27&lt;ProposalToGnatt[[#This Row],[Start Date]]+ProposalToGnatt[[#This Row],[Days]]),$G$5,"")),"")</f>
        <v/>
      </c>
      <c r="BC38" s="36" t="str">
        <f ca="1">IFERROR(+IF(BC$27=ProposalToGnatt[[#This Row],[Start Date]],Milestone_Marker,IF(AND(BC$27&gt;ProposalToGnatt[[#This Row],[Start Date]],BC$27&lt;ProposalToGnatt[[#This Row],[Start Date]]+ProposalToGnatt[[#This Row],[Days]]),$G$5,"")),"")</f>
        <v/>
      </c>
      <c r="BD38" s="36" t="str">
        <f ca="1">IFERROR(+IF(BD$27=ProposalToGnatt[[#This Row],[Start Date]],Milestone_Marker,IF(AND(BD$27&gt;ProposalToGnatt[[#This Row],[Start Date]],BD$27&lt;ProposalToGnatt[[#This Row],[Start Date]]+ProposalToGnatt[[#This Row],[Days]]),$G$5,"")),"")</f>
        <v/>
      </c>
      <c r="BE38" s="36" t="str">
        <f ca="1">IFERROR(+IF(BE$27=ProposalToGnatt[[#This Row],[Start Date]],Milestone_Marker,IF(AND(BE$27&gt;ProposalToGnatt[[#This Row],[Start Date]],BE$27&lt;ProposalToGnatt[[#This Row],[Start Date]]+ProposalToGnatt[[#This Row],[Days]]),$G$5,"")),"")</f>
        <v/>
      </c>
      <c r="BF38" s="36" t="str">
        <f ca="1">IFERROR(+IF(BF$27=ProposalToGnatt[[#This Row],[Start Date]],Milestone_Marker,IF(AND(BF$27&gt;ProposalToGnatt[[#This Row],[Start Date]],BF$27&lt;ProposalToGnatt[[#This Row],[Start Date]]+ProposalToGnatt[[#This Row],[Days]]),$G$5,"")),"")</f>
        <v/>
      </c>
      <c r="BG38" s="36" t="str">
        <f ca="1">IFERROR(+IF(BG$27=ProposalToGnatt[[#This Row],[Start Date]],Milestone_Marker,IF(AND(BG$27&gt;ProposalToGnatt[[#This Row],[Start Date]],BG$27&lt;ProposalToGnatt[[#This Row],[Start Date]]+ProposalToGnatt[[#This Row],[Days]]),$G$5,"")),"")</f>
        <v/>
      </c>
      <c r="BH38" s="36" t="str">
        <f ca="1">IFERROR(+IF(BH$27=ProposalToGnatt[[#This Row],[Start Date]],Milestone_Marker,IF(AND(BH$27&gt;ProposalToGnatt[[#This Row],[Start Date]],BH$27&lt;ProposalToGnatt[[#This Row],[Start Date]]+ProposalToGnatt[[#This Row],[Days]]),$G$5,"")),"")</f>
        <v/>
      </c>
      <c r="BI38" s="36" t="str">
        <f ca="1">IFERROR(+IF(BI$27=ProposalToGnatt[[#This Row],[Start Date]],Milestone_Marker,IF(AND(BI$27&gt;ProposalToGnatt[[#This Row],[Start Date]],BI$27&lt;ProposalToGnatt[[#This Row],[Start Date]]+ProposalToGnatt[[#This Row],[Days]]),$G$5,"")),"")</f>
        <v/>
      </c>
      <c r="BJ38" s="36" t="str">
        <f ca="1">IFERROR(+IF(BJ$27=ProposalToGnatt[[#This Row],[Start Date]],Milestone_Marker,IF(AND(BJ$27&gt;ProposalToGnatt[[#This Row],[Start Date]],BJ$27&lt;ProposalToGnatt[[#This Row],[Start Date]]+ProposalToGnatt[[#This Row],[Days]]),$G$5,"")),"")</f>
        <v/>
      </c>
      <c r="BK38" s="36" t="str">
        <f ca="1">IFERROR(+IF(BK$27=ProposalToGnatt[[#This Row],[Start Date]],Milestone_Marker,IF(AND(BK$27&gt;ProposalToGnatt[[#This Row],[Start Date]],BK$27&lt;ProposalToGnatt[[#This Row],[Start Date]]+ProposalToGnatt[[#This Row],[Days]]),$G$5,"")),"")</f>
        <v/>
      </c>
      <c r="BL38" s="36" t="str">
        <f ca="1">IFERROR(+IF(BL$27=ProposalToGnatt[[#This Row],[Start Date]],Milestone_Marker,IF(AND(BL$27&gt;ProposalToGnatt[[#This Row],[Start Date]],BL$27&lt;ProposalToGnatt[[#This Row],[Start Date]]+ProposalToGnatt[[#This Row],[Days]]),$G$5,"")),"")</f>
        <v/>
      </c>
      <c r="BM38" s="36" t="str">
        <f ca="1">IFERROR(+IF(BM$27=ProposalToGnatt[[#This Row],[Start Date]],Milestone_Marker,IF(AND(BM$27&gt;ProposalToGnatt[[#This Row],[Start Date]],BM$27&lt;ProposalToGnatt[[#This Row],[Start Date]]+ProposalToGnatt[[#This Row],[Days]]),$G$5,"")),"")</f>
        <v/>
      </c>
      <c r="BN38" s="36" t="str">
        <f ca="1">IFERROR(+IF(BN$27=ProposalToGnatt[[#This Row],[Start Date]],Milestone_Marker,IF(AND(BN$27&gt;ProposalToGnatt[[#This Row],[Start Date]],BN$27&lt;ProposalToGnatt[[#This Row],[Start Date]]+ProposalToGnatt[[#This Row],[Days]]),$G$5,"")),"")</f>
        <v/>
      </c>
      <c r="BO38" s="36" t="str">
        <f ca="1">IFERROR(+IF(BO$27=ProposalToGnatt[[#This Row],[Start Date]],Milestone_Marker,IF(AND(BO$27&gt;ProposalToGnatt[[#This Row],[Start Date]],BO$27&lt;ProposalToGnatt[[#This Row],[Start Date]]+ProposalToGnatt[[#This Row],[Days]]),$G$5,"")),"")</f>
        <v/>
      </c>
      <c r="BP38" s="36" t="str">
        <f ca="1">IFERROR(+IF(BP$27=ProposalToGnatt[[#This Row],[Start Date]],Milestone_Marker,IF(AND(BP$27&gt;ProposalToGnatt[[#This Row],[Start Date]],BP$27&lt;ProposalToGnatt[[#This Row],[Start Date]]+ProposalToGnatt[[#This Row],[Days]]),$G$5,"")),"")</f>
        <v/>
      </c>
      <c r="BQ38" s="36" t="str">
        <f ca="1">IFERROR(+IF(BQ$27=ProposalToGnatt[[#This Row],[Start Date]],Milestone_Marker,IF(AND(BQ$27&gt;ProposalToGnatt[[#This Row],[Start Date]],BQ$27&lt;ProposalToGnatt[[#This Row],[Start Date]]+ProposalToGnatt[[#This Row],[Days]]),$G$5,"")),"")</f>
        <v/>
      </c>
      <c r="BR38" s="36" t="str">
        <f ca="1">IFERROR(+IF(BR$27=ProposalToGnatt[[#This Row],[Start Date]],Milestone_Marker,IF(AND(BR$27&gt;ProposalToGnatt[[#This Row],[Start Date]],BR$27&lt;ProposalToGnatt[[#This Row],[Start Date]]+ProposalToGnatt[[#This Row],[Days]]),$G$5,"")),"")</f>
        <v/>
      </c>
      <c r="BS38" s="36" t="str">
        <f ca="1">IFERROR(+IF(BS$27=ProposalToGnatt[[#This Row],[Start Date]],Milestone_Marker,IF(AND(BS$27&gt;ProposalToGnatt[[#This Row],[Start Date]],BS$27&lt;ProposalToGnatt[[#This Row],[Start Date]]+ProposalToGnatt[[#This Row],[Days]]),$G$5,"")),"")</f>
        <v/>
      </c>
      <c r="BT38" s="36" t="str">
        <f ca="1">IFERROR(+IF(BT$27=ProposalToGnatt[[#This Row],[Start Date]],Milestone_Marker,IF(AND(BT$27&gt;ProposalToGnatt[[#This Row],[Start Date]],BT$27&lt;ProposalToGnatt[[#This Row],[Start Date]]+ProposalToGnatt[[#This Row],[Days]]),$G$5,"")),"")</f>
        <v/>
      </c>
      <c r="BU38" s="36" t="str">
        <f ca="1">IFERROR(+IF(BU$27=ProposalToGnatt[[#This Row],[Start Date]],Milestone_Marker,IF(AND(BU$27&gt;ProposalToGnatt[[#This Row],[Start Date]],BU$27&lt;ProposalToGnatt[[#This Row],[Start Date]]+ProposalToGnatt[[#This Row],[Days]]),$G$5,"")),"")</f>
        <v/>
      </c>
      <c r="BV38" s="36" t="str">
        <f ca="1">IFERROR(+IF(BV$27=ProposalToGnatt[[#This Row],[Start Date]],Milestone_Marker,IF(AND(BV$27&gt;ProposalToGnatt[[#This Row],[Start Date]],BV$27&lt;ProposalToGnatt[[#This Row],[Start Date]]+ProposalToGnatt[[#This Row],[Days]]),$G$5,"")),"")</f>
        <v/>
      </c>
      <c r="BW38" s="36" t="str">
        <f ca="1">IFERROR(+IF(BW$27=ProposalToGnatt[[#This Row],[Start Date]],Milestone_Marker,IF(AND(BW$27&gt;ProposalToGnatt[[#This Row],[Start Date]],BW$27&lt;ProposalToGnatt[[#This Row],[Start Date]]+ProposalToGnatt[[#This Row],[Days]]),$G$5,"")),"")</f>
        <v/>
      </c>
      <c r="BX38" s="36" t="str">
        <f ca="1">IFERROR(+IF(BX$27=ProposalToGnatt[[#This Row],[Start Date]],Milestone_Marker,IF(AND(BX$27&gt;ProposalToGnatt[[#This Row],[Start Date]],BX$27&lt;ProposalToGnatt[[#This Row],[Start Date]]+ProposalToGnatt[[#This Row],[Days]]),$G$5,"")),"")</f>
        <v/>
      </c>
      <c r="BY38" s="36" t="str">
        <f ca="1">IFERROR(+IF(BY$27=ProposalToGnatt[[#This Row],[Start Date]],Milestone_Marker,IF(AND(BY$27&gt;ProposalToGnatt[[#This Row],[Start Date]],BY$27&lt;ProposalToGnatt[[#This Row],[Start Date]]+ProposalToGnatt[[#This Row],[Days]]),$G$5,"")),"")</f>
        <v/>
      </c>
      <c r="BZ38" s="36" t="str">
        <f ca="1">IFERROR(+IF(BZ$27=ProposalToGnatt[[#This Row],[Start Date]],Milestone_Marker,IF(AND(BZ$27&gt;ProposalToGnatt[[#This Row],[Start Date]],BZ$27&lt;ProposalToGnatt[[#This Row],[Start Date]]+ProposalToGnatt[[#This Row],[Days]]),$G$5,"")),"")</f>
        <v/>
      </c>
      <c r="CA38" s="36" t="str">
        <f ca="1">IFERROR(+IF(CA$27=ProposalToGnatt[[#This Row],[Start Date]],Milestone_Marker,IF(AND(CA$27&gt;ProposalToGnatt[[#This Row],[Start Date]],CA$27&lt;ProposalToGnatt[[#This Row],[Start Date]]+ProposalToGnatt[[#This Row],[Days]]),$G$5,"")),"")</f>
        <v/>
      </c>
      <c r="CB38" s="36" t="str">
        <f ca="1">IFERROR(+IF(CB$27=ProposalToGnatt[[#This Row],[Start Date]],Milestone_Marker,IF(AND(CB$27&gt;ProposalToGnatt[[#This Row],[Start Date]],CB$27&lt;ProposalToGnatt[[#This Row],[Start Date]]+ProposalToGnatt[[#This Row],[Days]]),$G$5,"")),"")</f>
        <v/>
      </c>
      <c r="CC38" s="36" t="str">
        <f ca="1">IFERROR(+IF(CC$27=ProposalToGnatt[[#This Row],[Start Date]],Milestone_Marker,IF(AND(CC$27&gt;ProposalToGnatt[[#This Row],[Start Date]],CC$27&lt;ProposalToGnatt[[#This Row],[Start Date]]+ProposalToGnatt[[#This Row],[Days]]),$G$5,"")),"")</f>
        <v/>
      </c>
      <c r="CD38" s="36" t="str">
        <f ca="1">IFERROR(+IF(CD$27=ProposalToGnatt[[#This Row],[Start Date]],Milestone_Marker,IF(AND(CD$27&gt;ProposalToGnatt[[#This Row],[Start Date]],CD$27&lt;ProposalToGnatt[[#This Row],[Start Date]]+ProposalToGnatt[[#This Row],[Days]]),$G$5,"")),"")</f>
        <v/>
      </c>
      <c r="CE38" s="36" t="str">
        <f ca="1">IFERROR(+IF(CE$27=ProposalToGnatt[[#This Row],[Start Date]],Milestone_Marker,IF(AND(CE$27&gt;ProposalToGnatt[[#This Row],[Start Date]],CE$27&lt;ProposalToGnatt[[#This Row],[Start Date]]+ProposalToGnatt[[#This Row],[Days]]),$G$5,"")),"")</f>
        <v/>
      </c>
      <c r="CF38" s="36" t="str">
        <f ca="1">IFERROR(+IF(CF$27=ProposalToGnatt[[#This Row],[Start Date]],Milestone_Marker,IF(AND(CF$27&gt;ProposalToGnatt[[#This Row],[Start Date]],CF$27&lt;ProposalToGnatt[[#This Row],[Start Date]]+ProposalToGnatt[[#This Row],[Days]]),$G$5,"")),"")</f>
        <v/>
      </c>
      <c r="CG38" s="36" t="str">
        <f ca="1">IFERROR(+IF(CG$27=ProposalToGnatt[[#This Row],[Start Date]],Milestone_Marker,IF(AND(CG$27&gt;ProposalToGnatt[[#This Row],[Start Date]],CG$27&lt;ProposalToGnatt[[#This Row],[Start Date]]+ProposalToGnatt[[#This Row],[Days]]),$G$5,"")),"")</f>
        <v/>
      </c>
      <c r="CH38" s="36" t="str">
        <f ca="1">IFERROR(+IF(CH$27=ProposalToGnatt[[#This Row],[Start Date]],Milestone_Marker,IF(AND(CH$27&gt;ProposalToGnatt[[#This Row],[Start Date]],CH$27&lt;ProposalToGnatt[[#This Row],[Start Date]]+ProposalToGnatt[[#This Row],[Days]]),$G$5,"")),"")</f>
        <v/>
      </c>
      <c r="CI38" s="36" t="str">
        <f ca="1">IFERROR(+IF(CI$27=ProposalToGnatt[[#This Row],[Start Date]],Milestone_Marker,IF(AND(CI$27&gt;ProposalToGnatt[[#This Row],[Start Date]],CI$27&lt;ProposalToGnatt[[#This Row],[Start Date]]+ProposalToGnatt[[#This Row],[Days]]),$G$5,"")),"")</f>
        <v/>
      </c>
      <c r="CJ38" s="36" t="str">
        <f ca="1">IFERROR(+IF(CJ$27=ProposalToGnatt[[#This Row],[Start Date]],Milestone_Marker,IF(AND(CJ$27&gt;ProposalToGnatt[[#This Row],[Start Date]],CJ$27&lt;ProposalToGnatt[[#This Row],[Start Date]]+ProposalToGnatt[[#This Row],[Days]]),$G$5,"")),"")</f>
        <v/>
      </c>
      <c r="CK38" s="36" t="str">
        <f ca="1">IFERROR(+IF(CK$27=ProposalToGnatt[[#This Row],[Start Date]],Milestone_Marker,IF(AND(CK$27&gt;ProposalToGnatt[[#This Row],[Start Date]],CK$27&lt;ProposalToGnatt[[#This Row],[Start Date]]+ProposalToGnatt[[#This Row],[Days]]),$G$5,"")),"")</f>
        <v/>
      </c>
      <c r="CL38" s="36" t="str">
        <f ca="1">IFERROR(+IF(CL$27=ProposalToGnatt[[#This Row],[Start Date]],Milestone_Marker,IF(AND(CL$27&gt;ProposalToGnatt[[#This Row],[Start Date]],CL$27&lt;ProposalToGnatt[[#This Row],[Start Date]]+ProposalToGnatt[[#This Row],[Days]]),$G$5,"")),"")</f>
        <v/>
      </c>
      <c r="CM38" s="36" t="str">
        <f ca="1">IFERROR(+IF(CM$27=ProposalToGnatt[[#This Row],[Start Date]],Milestone_Marker,IF(AND(CM$27&gt;ProposalToGnatt[[#This Row],[Start Date]],CM$27&lt;ProposalToGnatt[[#This Row],[Start Date]]+ProposalToGnatt[[#This Row],[Days]]),$G$5,"")),"")</f>
        <v/>
      </c>
      <c r="CN38" s="36" t="str">
        <f ca="1">IFERROR(+IF(CN$27=ProposalToGnatt[[#This Row],[Start Date]],Milestone_Marker,IF(AND(CN$27&gt;ProposalToGnatt[[#This Row],[Start Date]],CN$27&lt;ProposalToGnatt[[#This Row],[Start Date]]+ProposalToGnatt[[#This Row],[Days]]),$G$5,"")),"")</f>
        <v/>
      </c>
      <c r="CO38" s="36" t="str">
        <f ca="1">IFERROR(+IF(CO$27=ProposalToGnatt[[#This Row],[Start Date]],Milestone_Marker,IF(AND(CO$27&gt;ProposalToGnatt[[#This Row],[Start Date]],CO$27&lt;ProposalToGnatt[[#This Row],[Start Date]]+ProposalToGnatt[[#This Row],[Days]]),$G$5,"")),"")</f>
        <v/>
      </c>
      <c r="CP38" s="36" t="str">
        <f ca="1">IFERROR(+IF(CP$27=ProposalToGnatt[[#This Row],[Start Date]],Milestone_Marker,IF(AND(CP$27&gt;ProposalToGnatt[[#This Row],[Start Date]],CP$27&lt;ProposalToGnatt[[#This Row],[Start Date]]+ProposalToGnatt[[#This Row],[Days]]),$G$5,"")),"")</f>
        <v/>
      </c>
      <c r="CQ38" s="36" t="str">
        <f ca="1">IFERROR(+IF(CQ$27=ProposalToGnatt[[#This Row],[Start Date]],Milestone_Marker,IF(AND(CQ$27&gt;ProposalToGnatt[[#This Row],[Start Date]],CQ$27&lt;ProposalToGnatt[[#This Row],[Start Date]]+ProposalToGnatt[[#This Row],[Days]]),$G$5,"")),"")</f>
        <v/>
      </c>
      <c r="CR38" s="36" t="str">
        <f ca="1">IFERROR(+IF(CR$27=ProposalToGnatt[[#This Row],[Start Date]],Milestone_Marker,IF(AND(CR$27&gt;ProposalToGnatt[[#This Row],[Start Date]],CR$27&lt;ProposalToGnatt[[#This Row],[Start Date]]+ProposalToGnatt[[#This Row],[Days]]),$G$5,"")),"")</f>
        <v/>
      </c>
      <c r="CS38" s="36" t="str">
        <f ca="1">IFERROR(+IF(CS$27=ProposalToGnatt[[#This Row],[Start Date]],Milestone_Marker,IF(AND(CS$27&gt;ProposalToGnatt[[#This Row],[Start Date]],CS$27&lt;ProposalToGnatt[[#This Row],[Start Date]]+ProposalToGnatt[[#This Row],[Days]]),$G$5,"")),"")</f>
        <v/>
      </c>
      <c r="CT38" s="36" t="str">
        <f ca="1">IFERROR(+IF(CT$27=ProposalToGnatt[[#This Row],[Start Date]],Milestone_Marker,IF(AND(CT$27&gt;ProposalToGnatt[[#This Row],[Start Date]],CT$27&lt;ProposalToGnatt[[#This Row],[Start Date]]+ProposalToGnatt[[#This Row],[Days]]),$G$5,"")),"")</f>
        <v/>
      </c>
      <c r="CU38" s="36" t="str">
        <f ca="1">IFERROR(+IF(CU$27=ProposalToGnatt[[#This Row],[Start Date]],Milestone_Marker,IF(AND(CU$27&gt;ProposalToGnatt[[#This Row],[Start Date]],CU$27&lt;ProposalToGnatt[[#This Row],[Start Date]]+ProposalToGnatt[[#This Row],[Days]]),$G$5,"")),"")</f>
        <v/>
      </c>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row>
    <row r="39" spans="1:125" s="41" customFormat="1" ht="20.100000000000001" customHeight="1" x14ac:dyDescent="0.25">
      <c r="A39" t="s">
        <v>730</v>
      </c>
      <c r="B39">
        <v>15</v>
      </c>
      <c r="C39" t="s">
        <v>174</v>
      </c>
      <c r="D39" t="s">
        <v>692</v>
      </c>
      <c r="E39" t="s">
        <v>1146</v>
      </c>
      <c r="F39">
        <v>1</v>
      </c>
      <c r="G39" s="14">
        <v>25</v>
      </c>
      <c r="H39" s="14">
        <v>25</v>
      </c>
      <c r="I39" t="s">
        <v>516</v>
      </c>
      <c r="J39">
        <v>4</v>
      </c>
      <c r="K39" s="261">
        <v>46128</v>
      </c>
      <c r="L39"/>
      <c r="M39" s="14">
        <v>25</v>
      </c>
      <c r="N39" s="309">
        <v>25</v>
      </c>
      <c r="O39" s="297"/>
      <c r="P39" s="36" t="str">
        <f ca="1">IFERROR(+IF(P$27=ProposalToGnatt[[#This Row],[Start Date]],Milestone_Marker,IF(AND(P$27&gt;ProposalToGnatt[[#This Row],[Start Date]],P$27&lt;ProposalToGnatt[[#This Row],[Start Date]]+ProposalToGnatt[[#This Row],[Days]]),$G$5,"")),"")</f>
        <v/>
      </c>
      <c r="Q39" s="36" t="str">
        <f ca="1">IFERROR(+IF(Q$27=ProposalToGnatt[[#This Row],[Start Date]],Milestone_Marker,IF(AND(Q$27&gt;ProposalToGnatt[[#This Row],[Start Date]],Q$27&lt;ProposalToGnatt[[#This Row],[Start Date]]+ProposalToGnatt[[#This Row],[Days]]),$G$5,"")),"")</f>
        <v/>
      </c>
      <c r="R39" s="36" t="str">
        <f ca="1">IFERROR(+IF(R$27=ProposalToGnatt[[#This Row],[Start Date]],Milestone_Marker,IF(AND(R$27&gt;ProposalToGnatt[[#This Row],[Start Date]],R$27&lt;ProposalToGnatt[[#This Row],[Start Date]]+ProposalToGnatt[[#This Row],[Days]]),$G$5,"")),"")</f>
        <v/>
      </c>
      <c r="S39" s="36" t="str">
        <f ca="1">IFERROR(+IF(S$27=ProposalToGnatt[[#This Row],[Start Date]],Milestone_Marker,IF(AND(S$27&gt;ProposalToGnatt[[#This Row],[Start Date]],S$27&lt;ProposalToGnatt[[#This Row],[Start Date]]+ProposalToGnatt[[#This Row],[Days]]),$G$5,"")),"")</f>
        <v/>
      </c>
      <c r="T39" s="36" t="str">
        <f ca="1">IFERROR(+IF(T$27=ProposalToGnatt[[#This Row],[Start Date]],Milestone_Marker,IF(AND(T$27&gt;ProposalToGnatt[[#This Row],[Start Date]],T$27&lt;ProposalToGnatt[[#This Row],[Start Date]]+ProposalToGnatt[[#This Row],[Days]]),$G$5,"")),"")</f>
        <v/>
      </c>
      <c r="U39" s="36" t="str">
        <f ca="1">IFERROR(+IF(U$27=ProposalToGnatt[[#This Row],[Start Date]],Milestone_Marker,IF(AND(U$27&gt;ProposalToGnatt[[#This Row],[Start Date]],U$27&lt;ProposalToGnatt[[#This Row],[Start Date]]+ProposalToGnatt[[#This Row],[Days]]),$G$5,"")),"")</f>
        <v/>
      </c>
      <c r="V39" s="36" t="str">
        <f ca="1">IFERROR(+IF(V$27=ProposalToGnatt[[#This Row],[Start Date]],Milestone_Marker,IF(AND(V$27&gt;ProposalToGnatt[[#This Row],[Start Date]],V$27&lt;ProposalToGnatt[[#This Row],[Start Date]]+ProposalToGnatt[[#This Row],[Days]]),$G$5,"")),"")</f>
        <v/>
      </c>
      <c r="W39" s="36" t="str">
        <f ca="1">IFERROR(+IF(W$27=ProposalToGnatt[[#This Row],[Start Date]],Milestone_Marker,IF(AND(W$27&gt;ProposalToGnatt[[#This Row],[Start Date]],W$27&lt;ProposalToGnatt[[#This Row],[Start Date]]+ProposalToGnatt[[#This Row],[Days]]),$G$5,"")),"")</f>
        <v/>
      </c>
      <c r="X39" s="36" t="str">
        <f ca="1">IFERROR(+IF(X$27=ProposalToGnatt[[#This Row],[Start Date]],Milestone_Marker,IF(AND(X$27&gt;ProposalToGnatt[[#This Row],[Start Date]],X$27&lt;ProposalToGnatt[[#This Row],[Start Date]]+ProposalToGnatt[[#This Row],[Days]]),$G$5,"")),"")</f>
        <v/>
      </c>
      <c r="Y39" s="36" t="str">
        <f ca="1">IFERROR(+IF(Y$27=ProposalToGnatt[[#This Row],[Start Date]],Milestone_Marker,IF(AND(Y$27&gt;ProposalToGnatt[[#This Row],[Start Date]],Y$27&lt;ProposalToGnatt[[#This Row],[Start Date]]+ProposalToGnatt[[#This Row],[Days]]),$G$5,"")),"")</f>
        <v/>
      </c>
      <c r="Z39" s="36" t="str">
        <f ca="1">IFERROR(+IF(Z$27=ProposalToGnatt[[#This Row],[Start Date]],Milestone_Marker,IF(AND(Z$27&gt;ProposalToGnatt[[#This Row],[Start Date]],Z$27&lt;ProposalToGnatt[[#This Row],[Start Date]]+ProposalToGnatt[[#This Row],[Days]]),$G$5,"")),"")</f>
        <v/>
      </c>
      <c r="AA39" s="36" t="str">
        <f ca="1">IFERROR(+IF(AA$27=ProposalToGnatt[[#This Row],[Start Date]],Milestone_Marker,IF(AND(AA$27&gt;ProposalToGnatt[[#This Row],[Start Date]],AA$27&lt;ProposalToGnatt[[#This Row],[Start Date]]+ProposalToGnatt[[#This Row],[Days]]),$G$5,"")),"")</f>
        <v/>
      </c>
      <c r="AB39" s="36" t="str">
        <f ca="1">IFERROR(+IF(AB$27=ProposalToGnatt[[#This Row],[Start Date]],Milestone_Marker,IF(AND(AB$27&gt;ProposalToGnatt[[#This Row],[Start Date]],AB$27&lt;ProposalToGnatt[[#This Row],[Start Date]]+ProposalToGnatt[[#This Row],[Days]]),$G$5,"")),"")</f>
        <v/>
      </c>
      <c r="AC39" s="36" t="str">
        <f ca="1">IFERROR(+IF(AC$27=ProposalToGnatt[[#This Row],[Start Date]],Milestone_Marker,IF(AND(AC$27&gt;ProposalToGnatt[[#This Row],[Start Date]],AC$27&lt;ProposalToGnatt[[#This Row],[Start Date]]+ProposalToGnatt[[#This Row],[Days]]),$G$5,"")),"")</f>
        <v/>
      </c>
      <c r="AD39" s="36" t="str">
        <f ca="1">IFERROR(+IF(AD$27=ProposalToGnatt[[#This Row],[Start Date]],Milestone_Marker,IF(AND(AD$27&gt;ProposalToGnatt[[#This Row],[Start Date]],AD$27&lt;ProposalToGnatt[[#This Row],[Start Date]]+ProposalToGnatt[[#This Row],[Days]]),$G$5,"")),"")</f>
        <v/>
      </c>
      <c r="AE39" s="36" t="str">
        <f ca="1">IFERROR(+IF(AE$27=ProposalToGnatt[[#This Row],[Start Date]],Milestone_Marker,IF(AND(AE$27&gt;ProposalToGnatt[[#This Row],[Start Date]],AE$27&lt;ProposalToGnatt[[#This Row],[Start Date]]+ProposalToGnatt[[#This Row],[Days]]),$G$5,"")),"")</f>
        <v/>
      </c>
      <c r="AF39" s="36" t="str">
        <f ca="1">IFERROR(+IF(AF$27=ProposalToGnatt[[#This Row],[Start Date]],Milestone_Marker,IF(AND(AF$27&gt;ProposalToGnatt[[#This Row],[Start Date]],AF$27&lt;ProposalToGnatt[[#This Row],[Start Date]]+ProposalToGnatt[[#This Row],[Days]]),$G$5,"")),"")</f>
        <v/>
      </c>
      <c r="AG39" s="36" t="str">
        <f ca="1">IFERROR(+IF(AG$27=ProposalToGnatt[[#This Row],[Start Date]],Milestone_Marker,IF(AND(AG$27&gt;ProposalToGnatt[[#This Row],[Start Date]],AG$27&lt;ProposalToGnatt[[#This Row],[Start Date]]+ProposalToGnatt[[#This Row],[Days]]),$G$5,"")),"")</f>
        <v/>
      </c>
      <c r="AH39" s="36" t="str">
        <f ca="1">IFERROR(+IF(AH$27=ProposalToGnatt[[#This Row],[Start Date]],Milestone_Marker,IF(AND(AH$27&gt;ProposalToGnatt[[#This Row],[Start Date]],AH$27&lt;ProposalToGnatt[[#This Row],[Start Date]]+ProposalToGnatt[[#This Row],[Days]]),$G$5,"")),"")</f>
        <v/>
      </c>
      <c r="AI39" s="36" t="str">
        <f ca="1">IFERROR(+IF(AI$27=ProposalToGnatt[[#This Row],[Start Date]],Milestone_Marker,IF(AND(AI$27&gt;ProposalToGnatt[[#This Row],[Start Date]],AI$27&lt;ProposalToGnatt[[#This Row],[Start Date]]+ProposalToGnatt[[#This Row],[Days]]),$G$5,"")),"")</f>
        <v/>
      </c>
      <c r="AJ39" s="36" t="str">
        <f ca="1">IFERROR(+IF(AJ$27=ProposalToGnatt[[#This Row],[Start Date]],Milestone_Marker,IF(AND(AJ$27&gt;ProposalToGnatt[[#This Row],[Start Date]],AJ$27&lt;ProposalToGnatt[[#This Row],[Start Date]]+ProposalToGnatt[[#This Row],[Days]]),$G$5,"")),"")</f>
        <v/>
      </c>
      <c r="AK39" s="36" t="str">
        <f ca="1">IFERROR(+IF(AK$27=ProposalToGnatt[[#This Row],[Start Date]],Milestone_Marker,IF(AND(AK$27&gt;ProposalToGnatt[[#This Row],[Start Date]],AK$27&lt;ProposalToGnatt[[#This Row],[Start Date]]+ProposalToGnatt[[#This Row],[Days]]),$G$5,"")),"")</f>
        <v/>
      </c>
      <c r="AL39" s="36" t="str">
        <f ca="1">IFERROR(+IF(AL$27=ProposalToGnatt[[#This Row],[Start Date]],Milestone_Marker,IF(AND(AL$27&gt;ProposalToGnatt[[#This Row],[Start Date]],AL$27&lt;ProposalToGnatt[[#This Row],[Start Date]]+ProposalToGnatt[[#This Row],[Days]]),$G$5,"")),"")</f>
        <v/>
      </c>
      <c r="AM39" s="36" t="str">
        <f ca="1">IFERROR(+IF(AM$27=ProposalToGnatt[[#This Row],[Start Date]],Milestone_Marker,IF(AND(AM$27&gt;ProposalToGnatt[[#This Row],[Start Date]],AM$27&lt;ProposalToGnatt[[#This Row],[Start Date]]+ProposalToGnatt[[#This Row],[Days]]),$G$5,"")),"")</f>
        <v/>
      </c>
      <c r="AN39" s="36" t="str">
        <f ca="1">IFERROR(+IF(AN$27=ProposalToGnatt[[#This Row],[Start Date]],Milestone_Marker,IF(AND(AN$27&gt;ProposalToGnatt[[#This Row],[Start Date]],AN$27&lt;ProposalToGnatt[[#This Row],[Start Date]]+ProposalToGnatt[[#This Row],[Days]]),$G$5,"")),"")</f>
        <v/>
      </c>
      <c r="AO39" s="36" t="str">
        <f ca="1">IFERROR(+IF(AO$27=ProposalToGnatt[[#This Row],[Start Date]],Milestone_Marker,IF(AND(AO$27&gt;ProposalToGnatt[[#This Row],[Start Date]],AO$27&lt;ProposalToGnatt[[#This Row],[Start Date]]+ProposalToGnatt[[#This Row],[Days]]),$G$5,"")),"")</f>
        <v/>
      </c>
      <c r="AP39" s="36" t="str">
        <f ca="1">IFERROR(+IF(AP$27=ProposalToGnatt[[#This Row],[Start Date]],Milestone_Marker,IF(AND(AP$27&gt;ProposalToGnatt[[#This Row],[Start Date]],AP$27&lt;ProposalToGnatt[[#This Row],[Start Date]]+ProposalToGnatt[[#This Row],[Days]]),$G$5,"")),"")</f>
        <v/>
      </c>
      <c r="AQ39" s="36" t="str">
        <f ca="1">IFERROR(+IF(AQ$27=ProposalToGnatt[[#This Row],[Start Date]],Milestone_Marker,IF(AND(AQ$27&gt;ProposalToGnatt[[#This Row],[Start Date]],AQ$27&lt;ProposalToGnatt[[#This Row],[Start Date]]+ProposalToGnatt[[#This Row],[Days]]),$G$5,"")),"")</f>
        <v/>
      </c>
      <c r="AR39" s="36" t="str">
        <f ca="1">IFERROR(+IF(AR$27=ProposalToGnatt[[#This Row],[Start Date]],Milestone_Marker,IF(AND(AR$27&gt;ProposalToGnatt[[#This Row],[Start Date]],AR$27&lt;ProposalToGnatt[[#This Row],[Start Date]]+ProposalToGnatt[[#This Row],[Days]]),$G$5,"")),"")</f>
        <v/>
      </c>
      <c r="AS39" s="36" t="str">
        <f ca="1">IFERROR(+IF(AS$27=ProposalToGnatt[[#This Row],[Start Date]],Milestone_Marker,IF(AND(AS$27&gt;ProposalToGnatt[[#This Row],[Start Date]],AS$27&lt;ProposalToGnatt[[#This Row],[Start Date]]+ProposalToGnatt[[#This Row],[Days]]),$G$5,"")),"")</f>
        <v/>
      </c>
      <c r="AT39" s="36" t="str">
        <f ca="1">IFERROR(+IF(AT$27=ProposalToGnatt[[#This Row],[Start Date]],Milestone_Marker,IF(AND(AT$27&gt;ProposalToGnatt[[#This Row],[Start Date]],AT$27&lt;ProposalToGnatt[[#This Row],[Start Date]]+ProposalToGnatt[[#This Row],[Days]]),$G$5,"")),"")</f>
        <v/>
      </c>
      <c r="AU39" s="36" t="str">
        <f ca="1">IFERROR(+IF(AU$27=ProposalToGnatt[[#This Row],[Start Date]],Milestone_Marker,IF(AND(AU$27&gt;ProposalToGnatt[[#This Row],[Start Date]],AU$27&lt;ProposalToGnatt[[#This Row],[Start Date]]+ProposalToGnatt[[#This Row],[Days]]),$G$5,"")),"")</f>
        <v/>
      </c>
      <c r="AV39" s="36" t="str">
        <f ca="1">IFERROR(+IF(AV$27=ProposalToGnatt[[#This Row],[Start Date]],Milestone_Marker,IF(AND(AV$27&gt;ProposalToGnatt[[#This Row],[Start Date]],AV$27&lt;ProposalToGnatt[[#This Row],[Start Date]]+ProposalToGnatt[[#This Row],[Days]]),$G$5,"")),"")</f>
        <v/>
      </c>
      <c r="AW39" s="36" t="str">
        <f ca="1">IFERROR(+IF(AW$27=ProposalToGnatt[[#This Row],[Start Date]],Milestone_Marker,IF(AND(AW$27&gt;ProposalToGnatt[[#This Row],[Start Date]],AW$27&lt;ProposalToGnatt[[#This Row],[Start Date]]+ProposalToGnatt[[#This Row],[Days]]),$G$5,"")),"")</f>
        <v/>
      </c>
      <c r="AX39" s="36" t="str">
        <f ca="1">IFERROR(+IF(AX$27=ProposalToGnatt[[#This Row],[Start Date]],Milestone_Marker,IF(AND(AX$27&gt;ProposalToGnatt[[#This Row],[Start Date]],AX$27&lt;ProposalToGnatt[[#This Row],[Start Date]]+ProposalToGnatt[[#This Row],[Days]]),$G$5,"")),"")</f>
        <v/>
      </c>
      <c r="AY39" s="36" t="str">
        <f ca="1">IFERROR(+IF(AY$27=ProposalToGnatt[[#This Row],[Start Date]],Milestone_Marker,IF(AND(AY$27&gt;ProposalToGnatt[[#This Row],[Start Date]],AY$27&lt;ProposalToGnatt[[#This Row],[Start Date]]+ProposalToGnatt[[#This Row],[Days]]),$G$5,"")),"")</f>
        <v/>
      </c>
      <c r="AZ39" s="36" t="str">
        <f ca="1">IFERROR(+IF(AZ$27=ProposalToGnatt[[#This Row],[Start Date]],Milestone_Marker,IF(AND(AZ$27&gt;ProposalToGnatt[[#This Row],[Start Date]],AZ$27&lt;ProposalToGnatt[[#This Row],[Start Date]]+ProposalToGnatt[[#This Row],[Days]]),$G$5,"")),"")</f>
        <v/>
      </c>
      <c r="BA39" s="36" t="str">
        <f ca="1">IFERROR(+IF(BA$27=ProposalToGnatt[[#This Row],[Start Date]],Milestone_Marker,IF(AND(BA$27&gt;ProposalToGnatt[[#This Row],[Start Date]],BA$27&lt;ProposalToGnatt[[#This Row],[Start Date]]+ProposalToGnatt[[#This Row],[Days]]),$G$5,"")),"")</f>
        <v/>
      </c>
      <c r="BB39" s="36" t="str">
        <f ca="1">IFERROR(+IF(BB$27=ProposalToGnatt[[#This Row],[Start Date]],Milestone_Marker,IF(AND(BB$27&gt;ProposalToGnatt[[#This Row],[Start Date]],BB$27&lt;ProposalToGnatt[[#This Row],[Start Date]]+ProposalToGnatt[[#This Row],[Days]]),$G$5,"")),"")</f>
        <v/>
      </c>
      <c r="BC39" s="36" t="str">
        <f ca="1">IFERROR(+IF(BC$27=ProposalToGnatt[[#This Row],[Start Date]],Milestone_Marker,IF(AND(BC$27&gt;ProposalToGnatt[[#This Row],[Start Date]],BC$27&lt;ProposalToGnatt[[#This Row],[Start Date]]+ProposalToGnatt[[#This Row],[Days]]),$G$5,"")),"")</f>
        <v/>
      </c>
      <c r="BD39" s="36" t="str">
        <f ca="1">IFERROR(+IF(BD$27=ProposalToGnatt[[#This Row],[Start Date]],Milestone_Marker,IF(AND(BD$27&gt;ProposalToGnatt[[#This Row],[Start Date]],BD$27&lt;ProposalToGnatt[[#This Row],[Start Date]]+ProposalToGnatt[[#This Row],[Days]]),$G$5,"")),"")</f>
        <v/>
      </c>
      <c r="BE39" s="36" t="str">
        <f ca="1">IFERROR(+IF(BE$27=ProposalToGnatt[[#This Row],[Start Date]],Milestone_Marker,IF(AND(BE$27&gt;ProposalToGnatt[[#This Row],[Start Date]],BE$27&lt;ProposalToGnatt[[#This Row],[Start Date]]+ProposalToGnatt[[#This Row],[Days]]),$G$5,"")),"")</f>
        <v/>
      </c>
      <c r="BF39" s="36" t="str">
        <f ca="1">IFERROR(+IF(BF$27=ProposalToGnatt[[#This Row],[Start Date]],Milestone_Marker,IF(AND(BF$27&gt;ProposalToGnatt[[#This Row],[Start Date]],BF$27&lt;ProposalToGnatt[[#This Row],[Start Date]]+ProposalToGnatt[[#This Row],[Days]]),$G$5,"")),"")</f>
        <v/>
      </c>
      <c r="BG39" s="36" t="str">
        <f ca="1">IFERROR(+IF(BG$27=ProposalToGnatt[[#This Row],[Start Date]],Milestone_Marker,IF(AND(BG$27&gt;ProposalToGnatt[[#This Row],[Start Date]],BG$27&lt;ProposalToGnatt[[#This Row],[Start Date]]+ProposalToGnatt[[#This Row],[Days]]),$G$5,"")),"")</f>
        <v/>
      </c>
      <c r="BH39" s="36" t="str">
        <f ca="1">IFERROR(+IF(BH$27=ProposalToGnatt[[#This Row],[Start Date]],Milestone_Marker,IF(AND(BH$27&gt;ProposalToGnatt[[#This Row],[Start Date]],BH$27&lt;ProposalToGnatt[[#This Row],[Start Date]]+ProposalToGnatt[[#This Row],[Days]]),$G$5,"")),"")</f>
        <v/>
      </c>
      <c r="BI39" s="36" t="str">
        <f ca="1">IFERROR(+IF(BI$27=ProposalToGnatt[[#This Row],[Start Date]],Milestone_Marker,IF(AND(BI$27&gt;ProposalToGnatt[[#This Row],[Start Date]],BI$27&lt;ProposalToGnatt[[#This Row],[Start Date]]+ProposalToGnatt[[#This Row],[Days]]),$G$5,"")),"")</f>
        <v/>
      </c>
      <c r="BJ39" s="36" t="str">
        <f ca="1">IFERROR(+IF(BJ$27=ProposalToGnatt[[#This Row],[Start Date]],Milestone_Marker,IF(AND(BJ$27&gt;ProposalToGnatt[[#This Row],[Start Date]],BJ$27&lt;ProposalToGnatt[[#This Row],[Start Date]]+ProposalToGnatt[[#This Row],[Days]]),$G$5,"")),"")</f>
        <v/>
      </c>
      <c r="BK39" s="36" t="str">
        <f ca="1">IFERROR(+IF(BK$27=ProposalToGnatt[[#This Row],[Start Date]],Milestone_Marker,IF(AND(BK$27&gt;ProposalToGnatt[[#This Row],[Start Date]],BK$27&lt;ProposalToGnatt[[#This Row],[Start Date]]+ProposalToGnatt[[#This Row],[Days]]),$G$5,"")),"")</f>
        <v/>
      </c>
      <c r="BL39" s="36" t="str">
        <f ca="1">IFERROR(+IF(BL$27=ProposalToGnatt[[#This Row],[Start Date]],Milestone_Marker,IF(AND(BL$27&gt;ProposalToGnatt[[#This Row],[Start Date]],BL$27&lt;ProposalToGnatt[[#This Row],[Start Date]]+ProposalToGnatt[[#This Row],[Days]]),$G$5,"")),"")</f>
        <v/>
      </c>
      <c r="BM39" s="36" t="str">
        <f ca="1">IFERROR(+IF(BM$27=ProposalToGnatt[[#This Row],[Start Date]],Milestone_Marker,IF(AND(BM$27&gt;ProposalToGnatt[[#This Row],[Start Date]],BM$27&lt;ProposalToGnatt[[#This Row],[Start Date]]+ProposalToGnatt[[#This Row],[Days]]),$G$5,"")),"")</f>
        <v/>
      </c>
      <c r="BN39" s="36" t="str">
        <f ca="1">IFERROR(+IF(BN$27=ProposalToGnatt[[#This Row],[Start Date]],Milestone_Marker,IF(AND(BN$27&gt;ProposalToGnatt[[#This Row],[Start Date]],BN$27&lt;ProposalToGnatt[[#This Row],[Start Date]]+ProposalToGnatt[[#This Row],[Days]]),$G$5,"")),"")</f>
        <v/>
      </c>
      <c r="BO39" s="36" t="str">
        <f ca="1">IFERROR(+IF(BO$27=ProposalToGnatt[[#This Row],[Start Date]],Milestone_Marker,IF(AND(BO$27&gt;ProposalToGnatt[[#This Row],[Start Date]],BO$27&lt;ProposalToGnatt[[#This Row],[Start Date]]+ProposalToGnatt[[#This Row],[Days]]),$G$5,"")),"")</f>
        <v/>
      </c>
      <c r="BP39" s="36" t="str">
        <f ca="1">IFERROR(+IF(BP$27=ProposalToGnatt[[#This Row],[Start Date]],Milestone_Marker,IF(AND(BP$27&gt;ProposalToGnatt[[#This Row],[Start Date]],BP$27&lt;ProposalToGnatt[[#This Row],[Start Date]]+ProposalToGnatt[[#This Row],[Days]]),$G$5,"")),"")</f>
        <v/>
      </c>
      <c r="BQ39" s="36" t="str">
        <f ca="1">IFERROR(+IF(BQ$27=ProposalToGnatt[[#This Row],[Start Date]],Milestone_Marker,IF(AND(BQ$27&gt;ProposalToGnatt[[#This Row],[Start Date]],BQ$27&lt;ProposalToGnatt[[#This Row],[Start Date]]+ProposalToGnatt[[#This Row],[Days]]),$G$5,"")),"")</f>
        <v/>
      </c>
      <c r="BR39" s="36" t="str">
        <f ca="1">IFERROR(+IF(BR$27=ProposalToGnatt[[#This Row],[Start Date]],Milestone_Marker,IF(AND(BR$27&gt;ProposalToGnatt[[#This Row],[Start Date]],BR$27&lt;ProposalToGnatt[[#This Row],[Start Date]]+ProposalToGnatt[[#This Row],[Days]]),$G$5,"")),"")</f>
        <v/>
      </c>
      <c r="BS39" s="36" t="str">
        <f ca="1">IFERROR(+IF(BS$27=ProposalToGnatt[[#This Row],[Start Date]],Milestone_Marker,IF(AND(BS$27&gt;ProposalToGnatt[[#This Row],[Start Date]],BS$27&lt;ProposalToGnatt[[#This Row],[Start Date]]+ProposalToGnatt[[#This Row],[Days]]),$G$5,"")),"")</f>
        <v/>
      </c>
      <c r="BT39" s="36" t="str">
        <f ca="1">IFERROR(+IF(BT$27=ProposalToGnatt[[#This Row],[Start Date]],Milestone_Marker,IF(AND(BT$27&gt;ProposalToGnatt[[#This Row],[Start Date]],BT$27&lt;ProposalToGnatt[[#This Row],[Start Date]]+ProposalToGnatt[[#This Row],[Days]]),$G$5,"")),"")</f>
        <v/>
      </c>
      <c r="BU39" s="36" t="str">
        <f ca="1">IFERROR(+IF(BU$27=ProposalToGnatt[[#This Row],[Start Date]],Milestone_Marker,IF(AND(BU$27&gt;ProposalToGnatt[[#This Row],[Start Date]],BU$27&lt;ProposalToGnatt[[#This Row],[Start Date]]+ProposalToGnatt[[#This Row],[Days]]),$G$5,"")),"")</f>
        <v/>
      </c>
      <c r="BV39" s="36" t="str">
        <f ca="1">IFERROR(+IF(BV$27=ProposalToGnatt[[#This Row],[Start Date]],Milestone_Marker,IF(AND(BV$27&gt;ProposalToGnatt[[#This Row],[Start Date]],BV$27&lt;ProposalToGnatt[[#This Row],[Start Date]]+ProposalToGnatt[[#This Row],[Days]]),$G$5,"")),"")</f>
        <v/>
      </c>
      <c r="BW39" s="36" t="str">
        <f ca="1">IFERROR(+IF(BW$27=ProposalToGnatt[[#This Row],[Start Date]],Milestone_Marker,IF(AND(BW$27&gt;ProposalToGnatt[[#This Row],[Start Date]],BW$27&lt;ProposalToGnatt[[#This Row],[Start Date]]+ProposalToGnatt[[#This Row],[Days]]),$G$5,"")),"")</f>
        <v/>
      </c>
      <c r="BX39" s="36" t="str">
        <f ca="1">IFERROR(+IF(BX$27=ProposalToGnatt[[#This Row],[Start Date]],Milestone_Marker,IF(AND(BX$27&gt;ProposalToGnatt[[#This Row],[Start Date]],BX$27&lt;ProposalToGnatt[[#This Row],[Start Date]]+ProposalToGnatt[[#This Row],[Days]]),$G$5,"")),"")</f>
        <v/>
      </c>
      <c r="BY39" s="36" t="str">
        <f ca="1">IFERROR(+IF(BY$27=ProposalToGnatt[[#This Row],[Start Date]],Milestone_Marker,IF(AND(BY$27&gt;ProposalToGnatt[[#This Row],[Start Date]],BY$27&lt;ProposalToGnatt[[#This Row],[Start Date]]+ProposalToGnatt[[#This Row],[Days]]),$G$5,"")),"")</f>
        <v/>
      </c>
      <c r="BZ39" s="36" t="str">
        <f ca="1">IFERROR(+IF(BZ$27=ProposalToGnatt[[#This Row],[Start Date]],Milestone_Marker,IF(AND(BZ$27&gt;ProposalToGnatt[[#This Row],[Start Date]],BZ$27&lt;ProposalToGnatt[[#This Row],[Start Date]]+ProposalToGnatt[[#This Row],[Days]]),$G$5,"")),"")</f>
        <v/>
      </c>
      <c r="CA39" s="36" t="str">
        <f ca="1">IFERROR(+IF(CA$27=ProposalToGnatt[[#This Row],[Start Date]],Milestone_Marker,IF(AND(CA$27&gt;ProposalToGnatt[[#This Row],[Start Date]],CA$27&lt;ProposalToGnatt[[#This Row],[Start Date]]+ProposalToGnatt[[#This Row],[Days]]),$G$5,"")),"")</f>
        <v/>
      </c>
      <c r="CB39" s="36" t="str">
        <f ca="1">IFERROR(+IF(CB$27=ProposalToGnatt[[#This Row],[Start Date]],Milestone_Marker,IF(AND(CB$27&gt;ProposalToGnatt[[#This Row],[Start Date]],CB$27&lt;ProposalToGnatt[[#This Row],[Start Date]]+ProposalToGnatt[[#This Row],[Days]]),$G$5,"")),"")</f>
        <v/>
      </c>
      <c r="CC39" s="36" t="str">
        <f ca="1">IFERROR(+IF(CC$27=ProposalToGnatt[[#This Row],[Start Date]],Milestone_Marker,IF(AND(CC$27&gt;ProposalToGnatt[[#This Row],[Start Date]],CC$27&lt;ProposalToGnatt[[#This Row],[Start Date]]+ProposalToGnatt[[#This Row],[Days]]),$G$5,"")),"")</f>
        <v/>
      </c>
      <c r="CD39" s="36" t="str">
        <f ca="1">IFERROR(+IF(CD$27=ProposalToGnatt[[#This Row],[Start Date]],Milestone_Marker,IF(AND(CD$27&gt;ProposalToGnatt[[#This Row],[Start Date]],CD$27&lt;ProposalToGnatt[[#This Row],[Start Date]]+ProposalToGnatt[[#This Row],[Days]]),$G$5,"")),"")</f>
        <v/>
      </c>
      <c r="CE39" s="36" t="str">
        <f ca="1">IFERROR(+IF(CE$27=ProposalToGnatt[[#This Row],[Start Date]],Milestone_Marker,IF(AND(CE$27&gt;ProposalToGnatt[[#This Row],[Start Date]],CE$27&lt;ProposalToGnatt[[#This Row],[Start Date]]+ProposalToGnatt[[#This Row],[Days]]),$G$5,"")),"")</f>
        <v/>
      </c>
      <c r="CF39" s="36" t="str">
        <f ca="1">IFERROR(+IF(CF$27=ProposalToGnatt[[#This Row],[Start Date]],Milestone_Marker,IF(AND(CF$27&gt;ProposalToGnatt[[#This Row],[Start Date]],CF$27&lt;ProposalToGnatt[[#This Row],[Start Date]]+ProposalToGnatt[[#This Row],[Days]]),$G$5,"")),"")</f>
        <v/>
      </c>
      <c r="CG39" s="36" t="str">
        <f ca="1">IFERROR(+IF(CG$27=ProposalToGnatt[[#This Row],[Start Date]],Milestone_Marker,IF(AND(CG$27&gt;ProposalToGnatt[[#This Row],[Start Date]],CG$27&lt;ProposalToGnatt[[#This Row],[Start Date]]+ProposalToGnatt[[#This Row],[Days]]),$G$5,"")),"")</f>
        <v/>
      </c>
      <c r="CH39" s="36" t="str">
        <f ca="1">IFERROR(+IF(CH$27=ProposalToGnatt[[#This Row],[Start Date]],Milestone_Marker,IF(AND(CH$27&gt;ProposalToGnatt[[#This Row],[Start Date]],CH$27&lt;ProposalToGnatt[[#This Row],[Start Date]]+ProposalToGnatt[[#This Row],[Days]]),$G$5,"")),"")</f>
        <v/>
      </c>
      <c r="CI39" s="36" t="str">
        <f ca="1">IFERROR(+IF(CI$27=ProposalToGnatt[[#This Row],[Start Date]],Milestone_Marker,IF(AND(CI$27&gt;ProposalToGnatt[[#This Row],[Start Date]],CI$27&lt;ProposalToGnatt[[#This Row],[Start Date]]+ProposalToGnatt[[#This Row],[Days]]),$G$5,"")),"")</f>
        <v/>
      </c>
      <c r="CJ39" s="36" t="str">
        <f ca="1">IFERROR(+IF(CJ$27=ProposalToGnatt[[#This Row],[Start Date]],Milestone_Marker,IF(AND(CJ$27&gt;ProposalToGnatt[[#This Row],[Start Date]],CJ$27&lt;ProposalToGnatt[[#This Row],[Start Date]]+ProposalToGnatt[[#This Row],[Days]]),$G$5,"")),"")</f>
        <v/>
      </c>
      <c r="CK39" s="36" t="str">
        <f ca="1">IFERROR(+IF(CK$27=ProposalToGnatt[[#This Row],[Start Date]],Milestone_Marker,IF(AND(CK$27&gt;ProposalToGnatt[[#This Row],[Start Date]],CK$27&lt;ProposalToGnatt[[#This Row],[Start Date]]+ProposalToGnatt[[#This Row],[Days]]),$G$5,"")),"")</f>
        <v/>
      </c>
      <c r="CL39" s="36" t="str">
        <f ca="1">IFERROR(+IF(CL$27=ProposalToGnatt[[#This Row],[Start Date]],Milestone_Marker,IF(AND(CL$27&gt;ProposalToGnatt[[#This Row],[Start Date]],CL$27&lt;ProposalToGnatt[[#This Row],[Start Date]]+ProposalToGnatt[[#This Row],[Days]]),$G$5,"")),"")</f>
        <v/>
      </c>
      <c r="CM39" s="36" t="str">
        <f ca="1">IFERROR(+IF(CM$27=ProposalToGnatt[[#This Row],[Start Date]],Milestone_Marker,IF(AND(CM$27&gt;ProposalToGnatt[[#This Row],[Start Date]],CM$27&lt;ProposalToGnatt[[#This Row],[Start Date]]+ProposalToGnatt[[#This Row],[Days]]),$G$5,"")),"")</f>
        <v/>
      </c>
      <c r="CN39" s="36" t="str">
        <f ca="1">IFERROR(+IF(CN$27=ProposalToGnatt[[#This Row],[Start Date]],Milestone_Marker,IF(AND(CN$27&gt;ProposalToGnatt[[#This Row],[Start Date]],CN$27&lt;ProposalToGnatt[[#This Row],[Start Date]]+ProposalToGnatt[[#This Row],[Days]]),$G$5,"")),"")</f>
        <v/>
      </c>
      <c r="CO39" s="36" t="str">
        <f ca="1">IFERROR(+IF(CO$27=ProposalToGnatt[[#This Row],[Start Date]],Milestone_Marker,IF(AND(CO$27&gt;ProposalToGnatt[[#This Row],[Start Date]],CO$27&lt;ProposalToGnatt[[#This Row],[Start Date]]+ProposalToGnatt[[#This Row],[Days]]),$G$5,"")),"")</f>
        <v/>
      </c>
      <c r="CP39" s="36" t="str">
        <f ca="1">IFERROR(+IF(CP$27=ProposalToGnatt[[#This Row],[Start Date]],Milestone_Marker,IF(AND(CP$27&gt;ProposalToGnatt[[#This Row],[Start Date]],CP$27&lt;ProposalToGnatt[[#This Row],[Start Date]]+ProposalToGnatt[[#This Row],[Days]]),$G$5,"")),"")</f>
        <v/>
      </c>
      <c r="CQ39" s="36" t="str">
        <f ca="1">IFERROR(+IF(CQ$27=ProposalToGnatt[[#This Row],[Start Date]],Milestone_Marker,IF(AND(CQ$27&gt;ProposalToGnatt[[#This Row],[Start Date]],CQ$27&lt;ProposalToGnatt[[#This Row],[Start Date]]+ProposalToGnatt[[#This Row],[Days]]),$G$5,"")),"")</f>
        <v/>
      </c>
      <c r="CR39" s="36" t="str">
        <f ca="1">IFERROR(+IF(CR$27=ProposalToGnatt[[#This Row],[Start Date]],Milestone_Marker,IF(AND(CR$27&gt;ProposalToGnatt[[#This Row],[Start Date]],CR$27&lt;ProposalToGnatt[[#This Row],[Start Date]]+ProposalToGnatt[[#This Row],[Days]]),$G$5,"")),"")</f>
        <v/>
      </c>
      <c r="CS39" s="36" t="str">
        <f ca="1">IFERROR(+IF(CS$27=ProposalToGnatt[[#This Row],[Start Date]],Milestone_Marker,IF(AND(CS$27&gt;ProposalToGnatt[[#This Row],[Start Date]],CS$27&lt;ProposalToGnatt[[#This Row],[Start Date]]+ProposalToGnatt[[#This Row],[Days]]),$G$5,"")),"")</f>
        <v/>
      </c>
      <c r="CT39" s="36" t="str">
        <f ca="1">IFERROR(+IF(CT$27=ProposalToGnatt[[#This Row],[Start Date]],Milestone_Marker,IF(AND(CT$27&gt;ProposalToGnatt[[#This Row],[Start Date]],CT$27&lt;ProposalToGnatt[[#This Row],[Start Date]]+ProposalToGnatt[[#This Row],[Days]]),$G$5,"")),"")</f>
        <v/>
      </c>
      <c r="CU39" s="36" t="str">
        <f ca="1">IFERROR(+IF(CU$27=ProposalToGnatt[[#This Row],[Start Date]],Milestone_Marker,IF(AND(CU$27&gt;ProposalToGnatt[[#This Row],[Start Date]],CU$27&lt;ProposalToGnatt[[#This Row],[Start Date]]+ProposalToGnatt[[#This Row],[Days]]),$G$5,"")),"")</f>
        <v/>
      </c>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row>
    <row r="40" spans="1:125" s="41" customFormat="1" ht="15" x14ac:dyDescent="0.25">
      <c r="A40" t="s">
        <v>730</v>
      </c>
      <c r="B40">
        <v>16</v>
      </c>
      <c r="C40" t="s">
        <v>174</v>
      </c>
      <c r="D40" t="s">
        <v>692</v>
      </c>
      <c r="E40" t="s">
        <v>1147</v>
      </c>
      <c r="F40">
        <v>1</v>
      </c>
      <c r="G40" s="14">
        <v>78.78</v>
      </c>
      <c r="H40" s="14">
        <v>78.78</v>
      </c>
      <c r="I40" t="s">
        <v>516</v>
      </c>
      <c r="J40">
        <v>4</v>
      </c>
      <c r="K40" s="261">
        <v>46128</v>
      </c>
      <c r="L40"/>
      <c r="M40" s="14">
        <v>78.78</v>
      </c>
      <c r="N40" s="309">
        <v>78.78</v>
      </c>
      <c r="O40" s="297"/>
      <c r="P40" s="36" t="str">
        <f ca="1">IFERROR(+IF(P$27=ProposalToGnatt[[#This Row],[Start Date]],Milestone_Marker,IF(AND(P$27&gt;ProposalToGnatt[[#This Row],[Start Date]],P$27&lt;ProposalToGnatt[[#This Row],[Start Date]]+ProposalToGnatt[[#This Row],[Days]]),$G$5,"")),"")</f>
        <v/>
      </c>
      <c r="Q40" s="36" t="str">
        <f ca="1">IFERROR(+IF(Q$27=ProposalToGnatt[[#This Row],[Start Date]],Milestone_Marker,IF(AND(Q$27&gt;ProposalToGnatt[[#This Row],[Start Date]],Q$27&lt;ProposalToGnatt[[#This Row],[Start Date]]+ProposalToGnatt[[#This Row],[Days]]),$G$5,"")),"")</f>
        <v/>
      </c>
      <c r="R40" s="36" t="str">
        <f ca="1">IFERROR(+IF(R$27=ProposalToGnatt[[#This Row],[Start Date]],Milestone_Marker,IF(AND(R$27&gt;ProposalToGnatt[[#This Row],[Start Date]],R$27&lt;ProposalToGnatt[[#This Row],[Start Date]]+ProposalToGnatt[[#This Row],[Days]]),$G$5,"")),"")</f>
        <v/>
      </c>
      <c r="S40" s="36" t="str">
        <f ca="1">IFERROR(+IF(S$27=ProposalToGnatt[[#This Row],[Start Date]],Milestone_Marker,IF(AND(S$27&gt;ProposalToGnatt[[#This Row],[Start Date]],S$27&lt;ProposalToGnatt[[#This Row],[Start Date]]+ProposalToGnatt[[#This Row],[Days]]),$G$5,"")),"")</f>
        <v/>
      </c>
      <c r="T40" s="36" t="str">
        <f ca="1">IFERROR(+IF(T$27=ProposalToGnatt[[#This Row],[Start Date]],Milestone_Marker,IF(AND(T$27&gt;ProposalToGnatt[[#This Row],[Start Date]],T$27&lt;ProposalToGnatt[[#This Row],[Start Date]]+ProposalToGnatt[[#This Row],[Days]]),$G$5,"")),"")</f>
        <v/>
      </c>
      <c r="U40" s="36" t="str">
        <f ca="1">IFERROR(+IF(U$27=ProposalToGnatt[[#This Row],[Start Date]],Milestone_Marker,IF(AND(U$27&gt;ProposalToGnatt[[#This Row],[Start Date]],U$27&lt;ProposalToGnatt[[#This Row],[Start Date]]+ProposalToGnatt[[#This Row],[Days]]),$G$5,"")),"")</f>
        <v/>
      </c>
      <c r="V40" s="36" t="str">
        <f ca="1">IFERROR(+IF(V$27=ProposalToGnatt[[#This Row],[Start Date]],Milestone_Marker,IF(AND(V$27&gt;ProposalToGnatt[[#This Row],[Start Date]],V$27&lt;ProposalToGnatt[[#This Row],[Start Date]]+ProposalToGnatt[[#This Row],[Days]]),$G$5,"")),"")</f>
        <v/>
      </c>
      <c r="W40" s="36" t="str">
        <f ca="1">IFERROR(+IF(W$27=ProposalToGnatt[[#This Row],[Start Date]],Milestone_Marker,IF(AND(W$27&gt;ProposalToGnatt[[#This Row],[Start Date]],W$27&lt;ProposalToGnatt[[#This Row],[Start Date]]+ProposalToGnatt[[#This Row],[Days]]),$G$5,"")),"")</f>
        <v/>
      </c>
      <c r="X40" s="36" t="str">
        <f ca="1">IFERROR(+IF(X$27=ProposalToGnatt[[#This Row],[Start Date]],Milestone_Marker,IF(AND(X$27&gt;ProposalToGnatt[[#This Row],[Start Date]],X$27&lt;ProposalToGnatt[[#This Row],[Start Date]]+ProposalToGnatt[[#This Row],[Days]]),$G$5,"")),"")</f>
        <v/>
      </c>
      <c r="Y40" s="36" t="str">
        <f ca="1">IFERROR(+IF(Y$27=ProposalToGnatt[[#This Row],[Start Date]],Milestone_Marker,IF(AND(Y$27&gt;ProposalToGnatt[[#This Row],[Start Date]],Y$27&lt;ProposalToGnatt[[#This Row],[Start Date]]+ProposalToGnatt[[#This Row],[Days]]),$G$5,"")),"")</f>
        <v/>
      </c>
      <c r="Z40" s="36" t="str">
        <f ca="1">IFERROR(+IF(Z$27=ProposalToGnatt[[#This Row],[Start Date]],Milestone_Marker,IF(AND(Z$27&gt;ProposalToGnatt[[#This Row],[Start Date]],Z$27&lt;ProposalToGnatt[[#This Row],[Start Date]]+ProposalToGnatt[[#This Row],[Days]]),$G$5,"")),"")</f>
        <v/>
      </c>
      <c r="AA40" s="36" t="str">
        <f ca="1">IFERROR(+IF(AA$27=ProposalToGnatt[[#This Row],[Start Date]],Milestone_Marker,IF(AND(AA$27&gt;ProposalToGnatt[[#This Row],[Start Date]],AA$27&lt;ProposalToGnatt[[#This Row],[Start Date]]+ProposalToGnatt[[#This Row],[Days]]),$G$5,"")),"")</f>
        <v/>
      </c>
      <c r="AB40" s="36" t="str">
        <f ca="1">IFERROR(+IF(AB$27=ProposalToGnatt[[#This Row],[Start Date]],Milestone_Marker,IF(AND(AB$27&gt;ProposalToGnatt[[#This Row],[Start Date]],AB$27&lt;ProposalToGnatt[[#This Row],[Start Date]]+ProposalToGnatt[[#This Row],[Days]]),$G$5,"")),"")</f>
        <v/>
      </c>
      <c r="AC40" s="36" t="str">
        <f ca="1">IFERROR(+IF(AC$27=ProposalToGnatt[[#This Row],[Start Date]],Milestone_Marker,IF(AND(AC$27&gt;ProposalToGnatt[[#This Row],[Start Date]],AC$27&lt;ProposalToGnatt[[#This Row],[Start Date]]+ProposalToGnatt[[#This Row],[Days]]),$G$5,"")),"")</f>
        <v/>
      </c>
      <c r="AD40" s="36" t="str">
        <f ca="1">IFERROR(+IF(AD$27=ProposalToGnatt[[#This Row],[Start Date]],Milestone_Marker,IF(AND(AD$27&gt;ProposalToGnatt[[#This Row],[Start Date]],AD$27&lt;ProposalToGnatt[[#This Row],[Start Date]]+ProposalToGnatt[[#This Row],[Days]]),$G$5,"")),"")</f>
        <v/>
      </c>
      <c r="AE40" s="36" t="str">
        <f ca="1">IFERROR(+IF(AE$27=ProposalToGnatt[[#This Row],[Start Date]],Milestone_Marker,IF(AND(AE$27&gt;ProposalToGnatt[[#This Row],[Start Date]],AE$27&lt;ProposalToGnatt[[#This Row],[Start Date]]+ProposalToGnatt[[#This Row],[Days]]),$G$5,"")),"")</f>
        <v/>
      </c>
      <c r="AF40" s="36" t="str">
        <f ca="1">IFERROR(+IF(AF$27=ProposalToGnatt[[#This Row],[Start Date]],Milestone_Marker,IF(AND(AF$27&gt;ProposalToGnatt[[#This Row],[Start Date]],AF$27&lt;ProposalToGnatt[[#This Row],[Start Date]]+ProposalToGnatt[[#This Row],[Days]]),$G$5,"")),"")</f>
        <v/>
      </c>
      <c r="AG40" s="36" t="str">
        <f ca="1">IFERROR(+IF(AG$27=ProposalToGnatt[[#This Row],[Start Date]],Milestone_Marker,IF(AND(AG$27&gt;ProposalToGnatt[[#This Row],[Start Date]],AG$27&lt;ProposalToGnatt[[#This Row],[Start Date]]+ProposalToGnatt[[#This Row],[Days]]),$G$5,"")),"")</f>
        <v/>
      </c>
      <c r="AH40" s="36" t="str">
        <f ca="1">IFERROR(+IF(AH$27=ProposalToGnatt[[#This Row],[Start Date]],Milestone_Marker,IF(AND(AH$27&gt;ProposalToGnatt[[#This Row],[Start Date]],AH$27&lt;ProposalToGnatt[[#This Row],[Start Date]]+ProposalToGnatt[[#This Row],[Days]]),$G$5,"")),"")</f>
        <v/>
      </c>
      <c r="AI40" s="36" t="str">
        <f ca="1">IFERROR(+IF(AI$27=ProposalToGnatt[[#This Row],[Start Date]],Milestone_Marker,IF(AND(AI$27&gt;ProposalToGnatt[[#This Row],[Start Date]],AI$27&lt;ProposalToGnatt[[#This Row],[Start Date]]+ProposalToGnatt[[#This Row],[Days]]),$G$5,"")),"")</f>
        <v/>
      </c>
      <c r="AJ40" s="36" t="str">
        <f ca="1">IFERROR(+IF(AJ$27=ProposalToGnatt[[#This Row],[Start Date]],Milestone_Marker,IF(AND(AJ$27&gt;ProposalToGnatt[[#This Row],[Start Date]],AJ$27&lt;ProposalToGnatt[[#This Row],[Start Date]]+ProposalToGnatt[[#This Row],[Days]]),$G$5,"")),"")</f>
        <v/>
      </c>
      <c r="AK40" s="36" t="str">
        <f ca="1">IFERROR(+IF(AK$27=ProposalToGnatt[[#This Row],[Start Date]],Milestone_Marker,IF(AND(AK$27&gt;ProposalToGnatt[[#This Row],[Start Date]],AK$27&lt;ProposalToGnatt[[#This Row],[Start Date]]+ProposalToGnatt[[#This Row],[Days]]),$G$5,"")),"")</f>
        <v/>
      </c>
      <c r="AL40" s="36" t="str">
        <f ca="1">IFERROR(+IF(AL$27=ProposalToGnatt[[#This Row],[Start Date]],Milestone_Marker,IF(AND(AL$27&gt;ProposalToGnatt[[#This Row],[Start Date]],AL$27&lt;ProposalToGnatt[[#This Row],[Start Date]]+ProposalToGnatt[[#This Row],[Days]]),$G$5,"")),"")</f>
        <v/>
      </c>
      <c r="AM40" s="36" t="str">
        <f ca="1">IFERROR(+IF(AM$27=ProposalToGnatt[[#This Row],[Start Date]],Milestone_Marker,IF(AND(AM$27&gt;ProposalToGnatt[[#This Row],[Start Date]],AM$27&lt;ProposalToGnatt[[#This Row],[Start Date]]+ProposalToGnatt[[#This Row],[Days]]),$G$5,"")),"")</f>
        <v/>
      </c>
      <c r="AN40" s="36" t="str">
        <f ca="1">IFERROR(+IF(AN$27=ProposalToGnatt[[#This Row],[Start Date]],Milestone_Marker,IF(AND(AN$27&gt;ProposalToGnatt[[#This Row],[Start Date]],AN$27&lt;ProposalToGnatt[[#This Row],[Start Date]]+ProposalToGnatt[[#This Row],[Days]]),$G$5,"")),"")</f>
        <v/>
      </c>
      <c r="AO40" s="36" t="str">
        <f ca="1">IFERROR(+IF(AO$27=ProposalToGnatt[[#This Row],[Start Date]],Milestone_Marker,IF(AND(AO$27&gt;ProposalToGnatt[[#This Row],[Start Date]],AO$27&lt;ProposalToGnatt[[#This Row],[Start Date]]+ProposalToGnatt[[#This Row],[Days]]),$G$5,"")),"")</f>
        <v/>
      </c>
      <c r="AP40" s="36" t="str">
        <f ca="1">IFERROR(+IF(AP$27=ProposalToGnatt[[#This Row],[Start Date]],Milestone_Marker,IF(AND(AP$27&gt;ProposalToGnatt[[#This Row],[Start Date]],AP$27&lt;ProposalToGnatt[[#This Row],[Start Date]]+ProposalToGnatt[[#This Row],[Days]]),$G$5,"")),"")</f>
        <v/>
      </c>
      <c r="AQ40" s="36" t="str">
        <f ca="1">IFERROR(+IF(AQ$27=ProposalToGnatt[[#This Row],[Start Date]],Milestone_Marker,IF(AND(AQ$27&gt;ProposalToGnatt[[#This Row],[Start Date]],AQ$27&lt;ProposalToGnatt[[#This Row],[Start Date]]+ProposalToGnatt[[#This Row],[Days]]),$G$5,"")),"")</f>
        <v/>
      </c>
      <c r="AR40" s="36" t="str">
        <f ca="1">IFERROR(+IF(AR$27=ProposalToGnatt[[#This Row],[Start Date]],Milestone_Marker,IF(AND(AR$27&gt;ProposalToGnatt[[#This Row],[Start Date]],AR$27&lt;ProposalToGnatt[[#This Row],[Start Date]]+ProposalToGnatt[[#This Row],[Days]]),$G$5,"")),"")</f>
        <v/>
      </c>
      <c r="AS40" s="36" t="str">
        <f ca="1">IFERROR(+IF(AS$27=ProposalToGnatt[[#This Row],[Start Date]],Milestone_Marker,IF(AND(AS$27&gt;ProposalToGnatt[[#This Row],[Start Date]],AS$27&lt;ProposalToGnatt[[#This Row],[Start Date]]+ProposalToGnatt[[#This Row],[Days]]),$G$5,"")),"")</f>
        <v/>
      </c>
      <c r="AT40" s="36" t="str">
        <f ca="1">IFERROR(+IF(AT$27=ProposalToGnatt[[#This Row],[Start Date]],Milestone_Marker,IF(AND(AT$27&gt;ProposalToGnatt[[#This Row],[Start Date]],AT$27&lt;ProposalToGnatt[[#This Row],[Start Date]]+ProposalToGnatt[[#This Row],[Days]]),$G$5,"")),"")</f>
        <v/>
      </c>
      <c r="AU40" s="36" t="str">
        <f ca="1">IFERROR(+IF(AU$27=ProposalToGnatt[[#This Row],[Start Date]],Milestone_Marker,IF(AND(AU$27&gt;ProposalToGnatt[[#This Row],[Start Date]],AU$27&lt;ProposalToGnatt[[#This Row],[Start Date]]+ProposalToGnatt[[#This Row],[Days]]),$G$5,"")),"")</f>
        <v/>
      </c>
      <c r="AV40" s="36" t="str">
        <f ca="1">IFERROR(+IF(AV$27=ProposalToGnatt[[#This Row],[Start Date]],Milestone_Marker,IF(AND(AV$27&gt;ProposalToGnatt[[#This Row],[Start Date]],AV$27&lt;ProposalToGnatt[[#This Row],[Start Date]]+ProposalToGnatt[[#This Row],[Days]]),$G$5,"")),"")</f>
        <v/>
      </c>
      <c r="AW40" s="36" t="str">
        <f ca="1">IFERROR(+IF(AW$27=ProposalToGnatt[[#This Row],[Start Date]],Milestone_Marker,IF(AND(AW$27&gt;ProposalToGnatt[[#This Row],[Start Date]],AW$27&lt;ProposalToGnatt[[#This Row],[Start Date]]+ProposalToGnatt[[#This Row],[Days]]),$G$5,"")),"")</f>
        <v/>
      </c>
      <c r="AX40" s="36" t="str">
        <f ca="1">IFERROR(+IF(AX$27=ProposalToGnatt[[#This Row],[Start Date]],Milestone_Marker,IF(AND(AX$27&gt;ProposalToGnatt[[#This Row],[Start Date]],AX$27&lt;ProposalToGnatt[[#This Row],[Start Date]]+ProposalToGnatt[[#This Row],[Days]]),$G$5,"")),"")</f>
        <v/>
      </c>
      <c r="AY40" s="36" t="str">
        <f ca="1">IFERROR(+IF(AY$27=ProposalToGnatt[[#This Row],[Start Date]],Milestone_Marker,IF(AND(AY$27&gt;ProposalToGnatt[[#This Row],[Start Date]],AY$27&lt;ProposalToGnatt[[#This Row],[Start Date]]+ProposalToGnatt[[#This Row],[Days]]),$G$5,"")),"")</f>
        <v/>
      </c>
      <c r="AZ40" s="36" t="str">
        <f ca="1">IFERROR(+IF(AZ$27=ProposalToGnatt[[#This Row],[Start Date]],Milestone_Marker,IF(AND(AZ$27&gt;ProposalToGnatt[[#This Row],[Start Date]],AZ$27&lt;ProposalToGnatt[[#This Row],[Start Date]]+ProposalToGnatt[[#This Row],[Days]]),$G$5,"")),"")</f>
        <v/>
      </c>
      <c r="BA40" s="36" t="str">
        <f ca="1">IFERROR(+IF(BA$27=ProposalToGnatt[[#This Row],[Start Date]],Milestone_Marker,IF(AND(BA$27&gt;ProposalToGnatt[[#This Row],[Start Date]],BA$27&lt;ProposalToGnatt[[#This Row],[Start Date]]+ProposalToGnatt[[#This Row],[Days]]),$G$5,"")),"")</f>
        <v/>
      </c>
      <c r="BB40" s="36" t="str">
        <f ca="1">IFERROR(+IF(BB$27=ProposalToGnatt[[#This Row],[Start Date]],Milestone_Marker,IF(AND(BB$27&gt;ProposalToGnatt[[#This Row],[Start Date]],BB$27&lt;ProposalToGnatt[[#This Row],[Start Date]]+ProposalToGnatt[[#This Row],[Days]]),$G$5,"")),"")</f>
        <v/>
      </c>
      <c r="BC40" s="36" t="str">
        <f ca="1">IFERROR(+IF(BC$27=ProposalToGnatt[[#This Row],[Start Date]],Milestone_Marker,IF(AND(BC$27&gt;ProposalToGnatt[[#This Row],[Start Date]],BC$27&lt;ProposalToGnatt[[#This Row],[Start Date]]+ProposalToGnatt[[#This Row],[Days]]),$G$5,"")),"")</f>
        <v/>
      </c>
      <c r="BD40" s="36" t="str">
        <f ca="1">IFERROR(+IF(BD$27=ProposalToGnatt[[#This Row],[Start Date]],Milestone_Marker,IF(AND(BD$27&gt;ProposalToGnatt[[#This Row],[Start Date]],BD$27&lt;ProposalToGnatt[[#This Row],[Start Date]]+ProposalToGnatt[[#This Row],[Days]]),$G$5,"")),"")</f>
        <v/>
      </c>
      <c r="BE40" s="36" t="str">
        <f ca="1">IFERROR(+IF(BE$27=ProposalToGnatt[[#This Row],[Start Date]],Milestone_Marker,IF(AND(BE$27&gt;ProposalToGnatt[[#This Row],[Start Date]],BE$27&lt;ProposalToGnatt[[#This Row],[Start Date]]+ProposalToGnatt[[#This Row],[Days]]),$G$5,"")),"")</f>
        <v/>
      </c>
      <c r="BF40" s="36" t="str">
        <f ca="1">IFERROR(+IF(BF$27=ProposalToGnatt[[#This Row],[Start Date]],Milestone_Marker,IF(AND(BF$27&gt;ProposalToGnatt[[#This Row],[Start Date]],BF$27&lt;ProposalToGnatt[[#This Row],[Start Date]]+ProposalToGnatt[[#This Row],[Days]]),$G$5,"")),"")</f>
        <v/>
      </c>
      <c r="BG40" s="36" t="str">
        <f ca="1">IFERROR(+IF(BG$27=ProposalToGnatt[[#This Row],[Start Date]],Milestone_Marker,IF(AND(BG$27&gt;ProposalToGnatt[[#This Row],[Start Date]],BG$27&lt;ProposalToGnatt[[#This Row],[Start Date]]+ProposalToGnatt[[#This Row],[Days]]),$G$5,"")),"")</f>
        <v/>
      </c>
      <c r="BH40" s="36" t="str">
        <f ca="1">IFERROR(+IF(BH$27=ProposalToGnatt[[#This Row],[Start Date]],Milestone_Marker,IF(AND(BH$27&gt;ProposalToGnatt[[#This Row],[Start Date]],BH$27&lt;ProposalToGnatt[[#This Row],[Start Date]]+ProposalToGnatt[[#This Row],[Days]]),$G$5,"")),"")</f>
        <v/>
      </c>
      <c r="BI40" s="36" t="str">
        <f ca="1">IFERROR(+IF(BI$27=ProposalToGnatt[[#This Row],[Start Date]],Milestone_Marker,IF(AND(BI$27&gt;ProposalToGnatt[[#This Row],[Start Date]],BI$27&lt;ProposalToGnatt[[#This Row],[Start Date]]+ProposalToGnatt[[#This Row],[Days]]),$G$5,"")),"")</f>
        <v/>
      </c>
      <c r="BJ40" s="36" t="str">
        <f ca="1">IFERROR(+IF(BJ$27=ProposalToGnatt[[#This Row],[Start Date]],Milestone_Marker,IF(AND(BJ$27&gt;ProposalToGnatt[[#This Row],[Start Date]],BJ$27&lt;ProposalToGnatt[[#This Row],[Start Date]]+ProposalToGnatt[[#This Row],[Days]]),$G$5,"")),"")</f>
        <v/>
      </c>
      <c r="BK40" s="36" t="str">
        <f ca="1">IFERROR(+IF(BK$27=ProposalToGnatt[[#This Row],[Start Date]],Milestone_Marker,IF(AND(BK$27&gt;ProposalToGnatt[[#This Row],[Start Date]],BK$27&lt;ProposalToGnatt[[#This Row],[Start Date]]+ProposalToGnatt[[#This Row],[Days]]),$G$5,"")),"")</f>
        <v/>
      </c>
      <c r="BL40" s="36" t="str">
        <f ca="1">IFERROR(+IF(BL$27=ProposalToGnatt[[#This Row],[Start Date]],Milestone_Marker,IF(AND(BL$27&gt;ProposalToGnatt[[#This Row],[Start Date]],BL$27&lt;ProposalToGnatt[[#This Row],[Start Date]]+ProposalToGnatt[[#This Row],[Days]]),$G$5,"")),"")</f>
        <v/>
      </c>
      <c r="BM40" s="36" t="str">
        <f ca="1">IFERROR(+IF(BM$27=ProposalToGnatt[[#This Row],[Start Date]],Milestone_Marker,IF(AND(BM$27&gt;ProposalToGnatt[[#This Row],[Start Date]],BM$27&lt;ProposalToGnatt[[#This Row],[Start Date]]+ProposalToGnatt[[#This Row],[Days]]),$G$5,"")),"")</f>
        <v/>
      </c>
      <c r="BN40" s="36" t="str">
        <f ca="1">IFERROR(+IF(BN$27=ProposalToGnatt[[#This Row],[Start Date]],Milestone_Marker,IF(AND(BN$27&gt;ProposalToGnatt[[#This Row],[Start Date]],BN$27&lt;ProposalToGnatt[[#This Row],[Start Date]]+ProposalToGnatt[[#This Row],[Days]]),$G$5,"")),"")</f>
        <v/>
      </c>
      <c r="BO40" s="36" t="str">
        <f ca="1">IFERROR(+IF(BO$27=ProposalToGnatt[[#This Row],[Start Date]],Milestone_Marker,IF(AND(BO$27&gt;ProposalToGnatt[[#This Row],[Start Date]],BO$27&lt;ProposalToGnatt[[#This Row],[Start Date]]+ProposalToGnatt[[#This Row],[Days]]),$G$5,"")),"")</f>
        <v/>
      </c>
      <c r="BP40" s="36" t="str">
        <f ca="1">IFERROR(+IF(BP$27=ProposalToGnatt[[#This Row],[Start Date]],Milestone_Marker,IF(AND(BP$27&gt;ProposalToGnatt[[#This Row],[Start Date]],BP$27&lt;ProposalToGnatt[[#This Row],[Start Date]]+ProposalToGnatt[[#This Row],[Days]]),$G$5,"")),"")</f>
        <v/>
      </c>
      <c r="BQ40" s="36" t="str">
        <f ca="1">IFERROR(+IF(BQ$27=ProposalToGnatt[[#This Row],[Start Date]],Milestone_Marker,IF(AND(BQ$27&gt;ProposalToGnatt[[#This Row],[Start Date]],BQ$27&lt;ProposalToGnatt[[#This Row],[Start Date]]+ProposalToGnatt[[#This Row],[Days]]),$G$5,"")),"")</f>
        <v/>
      </c>
      <c r="BR40" s="36" t="str">
        <f ca="1">IFERROR(+IF(BR$27=ProposalToGnatt[[#This Row],[Start Date]],Milestone_Marker,IF(AND(BR$27&gt;ProposalToGnatt[[#This Row],[Start Date]],BR$27&lt;ProposalToGnatt[[#This Row],[Start Date]]+ProposalToGnatt[[#This Row],[Days]]),$G$5,"")),"")</f>
        <v/>
      </c>
      <c r="BS40" s="36" t="str">
        <f ca="1">IFERROR(+IF(BS$27=ProposalToGnatt[[#This Row],[Start Date]],Milestone_Marker,IF(AND(BS$27&gt;ProposalToGnatt[[#This Row],[Start Date]],BS$27&lt;ProposalToGnatt[[#This Row],[Start Date]]+ProposalToGnatt[[#This Row],[Days]]),$G$5,"")),"")</f>
        <v/>
      </c>
      <c r="BT40" s="36" t="str">
        <f ca="1">IFERROR(+IF(BT$27=ProposalToGnatt[[#This Row],[Start Date]],Milestone_Marker,IF(AND(BT$27&gt;ProposalToGnatt[[#This Row],[Start Date]],BT$27&lt;ProposalToGnatt[[#This Row],[Start Date]]+ProposalToGnatt[[#This Row],[Days]]),$G$5,"")),"")</f>
        <v/>
      </c>
      <c r="BU40" s="36" t="str">
        <f ca="1">IFERROR(+IF(BU$27=ProposalToGnatt[[#This Row],[Start Date]],Milestone_Marker,IF(AND(BU$27&gt;ProposalToGnatt[[#This Row],[Start Date]],BU$27&lt;ProposalToGnatt[[#This Row],[Start Date]]+ProposalToGnatt[[#This Row],[Days]]),$G$5,"")),"")</f>
        <v/>
      </c>
      <c r="BV40" s="36" t="str">
        <f ca="1">IFERROR(+IF(BV$27=ProposalToGnatt[[#This Row],[Start Date]],Milestone_Marker,IF(AND(BV$27&gt;ProposalToGnatt[[#This Row],[Start Date]],BV$27&lt;ProposalToGnatt[[#This Row],[Start Date]]+ProposalToGnatt[[#This Row],[Days]]),$G$5,"")),"")</f>
        <v/>
      </c>
      <c r="BW40" s="36" t="str">
        <f ca="1">IFERROR(+IF(BW$27=ProposalToGnatt[[#This Row],[Start Date]],Milestone_Marker,IF(AND(BW$27&gt;ProposalToGnatt[[#This Row],[Start Date]],BW$27&lt;ProposalToGnatt[[#This Row],[Start Date]]+ProposalToGnatt[[#This Row],[Days]]),$G$5,"")),"")</f>
        <v/>
      </c>
      <c r="BX40" s="36" t="str">
        <f ca="1">IFERROR(+IF(BX$27=ProposalToGnatt[[#This Row],[Start Date]],Milestone_Marker,IF(AND(BX$27&gt;ProposalToGnatt[[#This Row],[Start Date]],BX$27&lt;ProposalToGnatt[[#This Row],[Start Date]]+ProposalToGnatt[[#This Row],[Days]]),$G$5,"")),"")</f>
        <v/>
      </c>
      <c r="BY40" s="36" t="str">
        <f ca="1">IFERROR(+IF(BY$27=ProposalToGnatt[[#This Row],[Start Date]],Milestone_Marker,IF(AND(BY$27&gt;ProposalToGnatt[[#This Row],[Start Date]],BY$27&lt;ProposalToGnatt[[#This Row],[Start Date]]+ProposalToGnatt[[#This Row],[Days]]),$G$5,"")),"")</f>
        <v/>
      </c>
      <c r="BZ40" s="36" t="str">
        <f ca="1">IFERROR(+IF(BZ$27=ProposalToGnatt[[#This Row],[Start Date]],Milestone_Marker,IF(AND(BZ$27&gt;ProposalToGnatt[[#This Row],[Start Date]],BZ$27&lt;ProposalToGnatt[[#This Row],[Start Date]]+ProposalToGnatt[[#This Row],[Days]]),$G$5,"")),"")</f>
        <v/>
      </c>
      <c r="CA40" s="36" t="str">
        <f ca="1">IFERROR(+IF(CA$27=ProposalToGnatt[[#This Row],[Start Date]],Milestone_Marker,IF(AND(CA$27&gt;ProposalToGnatt[[#This Row],[Start Date]],CA$27&lt;ProposalToGnatt[[#This Row],[Start Date]]+ProposalToGnatt[[#This Row],[Days]]),$G$5,"")),"")</f>
        <v/>
      </c>
      <c r="CB40" s="36" t="str">
        <f ca="1">IFERROR(+IF(CB$27=ProposalToGnatt[[#This Row],[Start Date]],Milestone_Marker,IF(AND(CB$27&gt;ProposalToGnatt[[#This Row],[Start Date]],CB$27&lt;ProposalToGnatt[[#This Row],[Start Date]]+ProposalToGnatt[[#This Row],[Days]]),$G$5,"")),"")</f>
        <v/>
      </c>
      <c r="CC40" s="36" t="str">
        <f ca="1">IFERROR(+IF(CC$27=ProposalToGnatt[[#This Row],[Start Date]],Milestone_Marker,IF(AND(CC$27&gt;ProposalToGnatt[[#This Row],[Start Date]],CC$27&lt;ProposalToGnatt[[#This Row],[Start Date]]+ProposalToGnatt[[#This Row],[Days]]),$G$5,"")),"")</f>
        <v/>
      </c>
      <c r="CD40" s="36" t="str">
        <f ca="1">IFERROR(+IF(CD$27=ProposalToGnatt[[#This Row],[Start Date]],Milestone_Marker,IF(AND(CD$27&gt;ProposalToGnatt[[#This Row],[Start Date]],CD$27&lt;ProposalToGnatt[[#This Row],[Start Date]]+ProposalToGnatt[[#This Row],[Days]]),$G$5,"")),"")</f>
        <v/>
      </c>
      <c r="CE40" s="36" t="str">
        <f ca="1">IFERROR(+IF(CE$27=ProposalToGnatt[[#This Row],[Start Date]],Milestone_Marker,IF(AND(CE$27&gt;ProposalToGnatt[[#This Row],[Start Date]],CE$27&lt;ProposalToGnatt[[#This Row],[Start Date]]+ProposalToGnatt[[#This Row],[Days]]),$G$5,"")),"")</f>
        <v/>
      </c>
      <c r="CF40" s="36" t="str">
        <f ca="1">IFERROR(+IF(CF$27=ProposalToGnatt[[#This Row],[Start Date]],Milestone_Marker,IF(AND(CF$27&gt;ProposalToGnatt[[#This Row],[Start Date]],CF$27&lt;ProposalToGnatt[[#This Row],[Start Date]]+ProposalToGnatt[[#This Row],[Days]]),$G$5,"")),"")</f>
        <v/>
      </c>
      <c r="CG40" s="36" t="str">
        <f ca="1">IFERROR(+IF(CG$27=ProposalToGnatt[[#This Row],[Start Date]],Milestone_Marker,IF(AND(CG$27&gt;ProposalToGnatt[[#This Row],[Start Date]],CG$27&lt;ProposalToGnatt[[#This Row],[Start Date]]+ProposalToGnatt[[#This Row],[Days]]),$G$5,"")),"")</f>
        <v/>
      </c>
      <c r="CH40" s="36" t="str">
        <f ca="1">IFERROR(+IF(CH$27=ProposalToGnatt[[#This Row],[Start Date]],Milestone_Marker,IF(AND(CH$27&gt;ProposalToGnatt[[#This Row],[Start Date]],CH$27&lt;ProposalToGnatt[[#This Row],[Start Date]]+ProposalToGnatt[[#This Row],[Days]]),$G$5,"")),"")</f>
        <v/>
      </c>
      <c r="CI40" s="36" t="str">
        <f ca="1">IFERROR(+IF(CI$27=ProposalToGnatt[[#This Row],[Start Date]],Milestone_Marker,IF(AND(CI$27&gt;ProposalToGnatt[[#This Row],[Start Date]],CI$27&lt;ProposalToGnatt[[#This Row],[Start Date]]+ProposalToGnatt[[#This Row],[Days]]),$G$5,"")),"")</f>
        <v/>
      </c>
      <c r="CJ40" s="36" t="str">
        <f ca="1">IFERROR(+IF(CJ$27=ProposalToGnatt[[#This Row],[Start Date]],Milestone_Marker,IF(AND(CJ$27&gt;ProposalToGnatt[[#This Row],[Start Date]],CJ$27&lt;ProposalToGnatt[[#This Row],[Start Date]]+ProposalToGnatt[[#This Row],[Days]]),$G$5,"")),"")</f>
        <v/>
      </c>
      <c r="CK40" s="36" t="str">
        <f ca="1">IFERROR(+IF(CK$27=ProposalToGnatt[[#This Row],[Start Date]],Milestone_Marker,IF(AND(CK$27&gt;ProposalToGnatt[[#This Row],[Start Date]],CK$27&lt;ProposalToGnatt[[#This Row],[Start Date]]+ProposalToGnatt[[#This Row],[Days]]),$G$5,"")),"")</f>
        <v/>
      </c>
      <c r="CL40" s="36" t="str">
        <f ca="1">IFERROR(+IF(CL$27=ProposalToGnatt[[#This Row],[Start Date]],Milestone_Marker,IF(AND(CL$27&gt;ProposalToGnatt[[#This Row],[Start Date]],CL$27&lt;ProposalToGnatt[[#This Row],[Start Date]]+ProposalToGnatt[[#This Row],[Days]]),$G$5,"")),"")</f>
        <v/>
      </c>
      <c r="CM40" s="36" t="str">
        <f ca="1">IFERROR(+IF(CM$27=ProposalToGnatt[[#This Row],[Start Date]],Milestone_Marker,IF(AND(CM$27&gt;ProposalToGnatt[[#This Row],[Start Date]],CM$27&lt;ProposalToGnatt[[#This Row],[Start Date]]+ProposalToGnatt[[#This Row],[Days]]),$G$5,"")),"")</f>
        <v/>
      </c>
      <c r="CN40" s="36" t="str">
        <f ca="1">IFERROR(+IF(CN$27=ProposalToGnatt[[#This Row],[Start Date]],Milestone_Marker,IF(AND(CN$27&gt;ProposalToGnatt[[#This Row],[Start Date]],CN$27&lt;ProposalToGnatt[[#This Row],[Start Date]]+ProposalToGnatt[[#This Row],[Days]]),$G$5,"")),"")</f>
        <v/>
      </c>
      <c r="CO40" s="36" t="str">
        <f ca="1">IFERROR(+IF(CO$27=ProposalToGnatt[[#This Row],[Start Date]],Milestone_Marker,IF(AND(CO$27&gt;ProposalToGnatt[[#This Row],[Start Date]],CO$27&lt;ProposalToGnatt[[#This Row],[Start Date]]+ProposalToGnatt[[#This Row],[Days]]),$G$5,"")),"")</f>
        <v/>
      </c>
      <c r="CP40" s="36" t="str">
        <f ca="1">IFERROR(+IF(CP$27=ProposalToGnatt[[#This Row],[Start Date]],Milestone_Marker,IF(AND(CP$27&gt;ProposalToGnatt[[#This Row],[Start Date]],CP$27&lt;ProposalToGnatt[[#This Row],[Start Date]]+ProposalToGnatt[[#This Row],[Days]]),$G$5,"")),"")</f>
        <v/>
      </c>
      <c r="CQ40" s="36" t="str">
        <f ca="1">IFERROR(+IF(CQ$27=ProposalToGnatt[[#This Row],[Start Date]],Milestone_Marker,IF(AND(CQ$27&gt;ProposalToGnatt[[#This Row],[Start Date]],CQ$27&lt;ProposalToGnatt[[#This Row],[Start Date]]+ProposalToGnatt[[#This Row],[Days]]),$G$5,"")),"")</f>
        <v/>
      </c>
      <c r="CR40" s="36" t="str">
        <f ca="1">IFERROR(+IF(CR$27=ProposalToGnatt[[#This Row],[Start Date]],Milestone_Marker,IF(AND(CR$27&gt;ProposalToGnatt[[#This Row],[Start Date]],CR$27&lt;ProposalToGnatt[[#This Row],[Start Date]]+ProposalToGnatt[[#This Row],[Days]]),$G$5,"")),"")</f>
        <v/>
      </c>
      <c r="CS40" s="36" t="str">
        <f ca="1">IFERROR(+IF(CS$27=ProposalToGnatt[[#This Row],[Start Date]],Milestone_Marker,IF(AND(CS$27&gt;ProposalToGnatt[[#This Row],[Start Date]],CS$27&lt;ProposalToGnatt[[#This Row],[Start Date]]+ProposalToGnatt[[#This Row],[Days]]),$G$5,"")),"")</f>
        <v/>
      </c>
      <c r="CT40" s="36" t="str">
        <f ca="1">IFERROR(+IF(CT$27=ProposalToGnatt[[#This Row],[Start Date]],Milestone_Marker,IF(AND(CT$27&gt;ProposalToGnatt[[#This Row],[Start Date]],CT$27&lt;ProposalToGnatt[[#This Row],[Start Date]]+ProposalToGnatt[[#This Row],[Days]]),$G$5,"")),"")</f>
        <v/>
      </c>
      <c r="CU40" s="36" t="str">
        <f ca="1">IFERROR(+IF(CU$27=ProposalToGnatt[[#This Row],[Start Date]],Milestone_Marker,IF(AND(CU$27&gt;ProposalToGnatt[[#This Row],[Start Date]],CU$27&lt;ProposalToGnatt[[#This Row],[Start Date]]+ProposalToGnatt[[#This Row],[Days]]),$G$5,"")),"")</f>
        <v/>
      </c>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row>
    <row r="41" spans="1:125" s="41" customFormat="1" ht="15" x14ac:dyDescent="0.25">
      <c r="A41" t="s">
        <v>759</v>
      </c>
      <c r="B41">
        <v>4</v>
      </c>
      <c r="C41"/>
      <c r="D41" t="s">
        <v>696</v>
      </c>
      <c r="E41" t="s">
        <v>697</v>
      </c>
      <c r="F41">
        <v>6</v>
      </c>
      <c r="G41" s="14"/>
      <c r="H41" s="14"/>
      <c r="I41"/>
      <c r="J41">
        <v>4</v>
      </c>
      <c r="K41" s="261"/>
      <c r="L41"/>
      <c r="M41" s="14"/>
      <c r="N41" s="309"/>
      <c r="O41" s="297"/>
      <c r="P41" s="36" t="str">
        <f ca="1">IFERROR(+IF(P$27=ProposalToGnatt[[#This Row],[Start Date]],Milestone_Marker,IF(AND(P$27&gt;ProposalToGnatt[[#This Row],[Start Date]],P$27&lt;ProposalToGnatt[[#This Row],[Start Date]]+ProposalToGnatt[[#This Row],[Days]]),$G$5,"")),"")</f>
        <v/>
      </c>
      <c r="Q41" s="36" t="str">
        <f ca="1">IFERROR(+IF(Q$27=ProposalToGnatt[[#This Row],[Start Date]],Milestone_Marker,IF(AND(Q$27&gt;ProposalToGnatt[[#This Row],[Start Date]],Q$27&lt;ProposalToGnatt[[#This Row],[Start Date]]+ProposalToGnatt[[#This Row],[Days]]),$G$5,"")),"")</f>
        <v/>
      </c>
      <c r="R41" s="36" t="str">
        <f ca="1">IFERROR(+IF(R$27=ProposalToGnatt[[#This Row],[Start Date]],Milestone_Marker,IF(AND(R$27&gt;ProposalToGnatt[[#This Row],[Start Date]],R$27&lt;ProposalToGnatt[[#This Row],[Start Date]]+ProposalToGnatt[[#This Row],[Days]]),$G$5,"")),"")</f>
        <v/>
      </c>
      <c r="S41" s="36" t="str">
        <f ca="1">IFERROR(+IF(S$27=ProposalToGnatt[[#This Row],[Start Date]],Milestone_Marker,IF(AND(S$27&gt;ProposalToGnatt[[#This Row],[Start Date]],S$27&lt;ProposalToGnatt[[#This Row],[Start Date]]+ProposalToGnatt[[#This Row],[Days]]),$G$5,"")),"")</f>
        <v/>
      </c>
      <c r="T41" s="36" t="str">
        <f ca="1">IFERROR(+IF(T$27=ProposalToGnatt[[#This Row],[Start Date]],Milestone_Marker,IF(AND(T$27&gt;ProposalToGnatt[[#This Row],[Start Date]],T$27&lt;ProposalToGnatt[[#This Row],[Start Date]]+ProposalToGnatt[[#This Row],[Days]]),$G$5,"")),"")</f>
        <v/>
      </c>
      <c r="U41" s="36" t="str">
        <f ca="1">IFERROR(+IF(U$27=ProposalToGnatt[[#This Row],[Start Date]],Milestone_Marker,IF(AND(U$27&gt;ProposalToGnatt[[#This Row],[Start Date]],U$27&lt;ProposalToGnatt[[#This Row],[Start Date]]+ProposalToGnatt[[#This Row],[Days]]),$G$5,"")),"")</f>
        <v/>
      </c>
      <c r="V41" s="36" t="str">
        <f ca="1">IFERROR(+IF(V$27=ProposalToGnatt[[#This Row],[Start Date]],Milestone_Marker,IF(AND(V$27&gt;ProposalToGnatt[[#This Row],[Start Date]],V$27&lt;ProposalToGnatt[[#This Row],[Start Date]]+ProposalToGnatt[[#This Row],[Days]]),$G$5,"")),"")</f>
        <v/>
      </c>
      <c r="W41" s="36" t="str">
        <f ca="1">IFERROR(+IF(W$27=ProposalToGnatt[[#This Row],[Start Date]],Milestone_Marker,IF(AND(W$27&gt;ProposalToGnatt[[#This Row],[Start Date]],W$27&lt;ProposalToGnatt[[#This Row],[Start Date]]+ProposalToGnatt[[#This Row],[Days]]),$G$5,"")),"")</f>
        <v/>
      </c>
      <c r="X41" s="36" t="str">
        <f ca="1">IFERROR(+IF(X$27=ProposalToGnatt[[#This Row],[Start Date]],Milestone_Marker,IF(AND(X$27&gt;ProposalToGnatt[[#This Row],[Start Date]],X$27&lt;ProposalToGnatt[[#This Row],[Start Date]]+ProposalToGnatt[[#This Row],[Days]]),$G$5,"")),"")</f>
        <v/>
      </c>
      <c r="Y41" s="36" t="str">
        <f ca="1">IFERROR(+IF(Y$27=ProposalToGnatt[[#This Row],[Start Date]],Milestone_Marker,IF(AND(Y$27&gt;ProposalToGnatt[[#This Row],[Start Date]],Y$27&lt;ProposalToGnatt[[#This Row],[Start Date]]+ProposalToGnatt[[#This Row],[Days]]),$G$5,"")),"")</f>
        <v/>
      </c>
      <c r="Z41" s="36" t="str">
        <f ca="1">IFERROR(+IF(Z$27=ProposalToGnatt[[#This Row],[Start Date]],Milestone_Marker,IF(AND(Z$27&gt;ProposalToGnatt[[#This Row],[Start Date]],Z$27&lt;ProposalToGnatt[[#This Row],[Start Date]]+ProposalToGnatt[[#This Row],[Days]]),$G$5,"")),"")</f>
        <v/>
      </c>
      <c r="AA41" s="36" t="str">
        <f ca="1">IFERROR(+IF(AA$27=ProposalToGnatt[[#This Row],[Start Date]],Milestone_Marker,IF(AND(AA$27&gt;ProposalToGnatt[[#This Row],[Start Date]],AA$27&lt;ProposalToGnatt[[#This Row],[Start Date]]+ProposalToGnatt[[#This Row],[Days]]),$G$5,"")),"")</f>
        <v/>
      </c>
      <c r="AB41" s="36" t="str">
        <f ca="1">IFERROR(+IF(AB$27=ProposalToGnatt[[#This Row],[Start Date]],Milestone_Marker,IF(AND(AB$27&gt;ProposalToGnatt[[#This Row],[Start Date]],AB$27&lt;ProposalToGnatt[[#This Row],[Start Date]]+ProposalToGnatt[[#This Row],[Days]]),$G$5,"")),"")</f>
        <v/>
      </c>
      <c r="AC41" s="36" t="str">
        <f ca="1">IFERROR(+IF(AC$27=ProposalToGnatt[[#This Row],[Start Date]],Milestone_Marker,IF(AND(AC$27&gt;ProposalToGnatt[[#This Row],[Start Date]],AC$27&lt;ProposalToGnatt[[#This Row],[Start Date]]+ProposalToGnatt[[#This Row],[Days]]),$G$5,"")),"")</f>
        <v/>
      </c>
      <c r="AD41" s="36" t="str">
        <f ca="1">IFERROR(+IF(AD$27=ProposalToGnatt[[#This Row],[Start Date]],Milestone_Marker,IF(AND(AD$27&gt;ProposalToGnatt[[#This Row],[Start Date]],AD$27&lt;ProposalToGnatt[[#This Row],[Start Date]]+ProposalToGnatt[[#This Row],[Days]]),$G$5,"")),"")</f>
        <v/>
      </c>
      <c r="AE41" s="36" t="str">
        <f ca="1">IFERROR(+IF(AE$27=ProposalToGnatt[[#This Row],[Start Date]],Milestone_Marker,IF(AND(AE$27&gt;ProposalToGnatt[[#This Row],[Start Date]],AE$27&lt;ProposalToGnatt[[#This Row],[Start Date]]+ProposalToGnatt[[#This Row],[Days]]),$G$5,"")),"")</f>
        <v/>
      </c>
      <c r="AF41" s="36" t="str">
        <f ca="1">IFERROR(+IF(AF$27=ProposalToGnatt[[#This Row],[Start Date]],Milestone_Marker,IF(AND(AF$27&gt;ProposalToGnatt[[#This Row],[Start Date]],AF$27&lt;ProposalToGnatt[[#This Row],[Start Date]]+ProposalToGnatt[[#This Row],[Days]]),$G$5,"")),"")</f>
        <v/>
      </c>
      <c r="AG41" s="36" t="str">
        <f ca="1">IFERROR(+IF(AG$27=ProposalToGnatt[[#This Row],[Start Date]],Milestone_Marker,IF(AND(AG$27&gt;ProposalToGnatt[[#This Row],[Start Date]],AG$27&lt;ProposalToGnatt[[#This Row],[Start Date]]+ProposalToGnatt[[#This Row],[Days]]),$G$5,"")),"")</f>
        <v/>
      </c>
      <c r="AH41" s="36" t="str">
        <f ca="1">IFERROR(+IF(AH$27=ProposalToGnatt[[#This Row],[Start Date]],Milestone_Marker,IF(AND(AH$27&gt;ProposalToGnatt[[#This Row],[Start Date]],AH$27&lt;ProposalToGnatt[[#This Row],[Start Date]]+ProposalToGnatt[[#This Row],[Days]]),$G$5,"")),"")</f>
        <v/>
      </c>
      <c r="AI41" s="36" t="str">
        <f ca="1">IFERROR(+IF(AI$27=ProposalToGnatt[[#This Row],[Start Date]],Milestone_Marker,IF(AND(AI$27&gt;ProposalToGnatt[[#This Row],[Start Date]],AI$27&lt;ProposalToGnatt[[#This Row],[Start Date]]+ProposalToGnatt[[#This Row],[Days]]),$G$5,"")),"")</f>
        <v/>
      </c>
      <c r="AJ41" s="36" t="str">
        <f ca="1">IFERROR(+IF(AJ$27=ProposalToGnatt[[#This Row],[Start Date]],Milestone_Marker,IF(AND(AJ$27&gt;ProposalToGnatt[[#This Row],[Start Date]],AJ$27&lt;ProposalToGnatt[[#This Row],[Start Date]]+ProposalToGnatt[[#This Row],[Days]]),$G$5,"")),"")</f>
        <v/>
      </c>
      <c r="AK41" s="36" t="str">
        <f ca="1">IFERROR(+IF(AK$27=ProposalToGnatt[[#This Row],[Start Date]],Milestone_Marker,IF(AND(AK$27&gt;ProposalToGnatt[[#This Row],[Start Date]],AK$27&lt;ProposalToGnatt[[#This Row],[Start Date]]+ProposalToGnatt[[#This Row],[Days]]),$G$5,"")),"")</f>
        <v/>
      </c>
      <c r="AL41" s="36" t="str">
        <f ca="1">IFERROR(+IF(AL$27=ProposalToGnatt[[#This Row],[Start Date]],Milestone_Marker,IF(AND(AL$27&gt;ProposalToGnatt[[#This Row],[Start Date]],AL$27&lt;ProposalToGnatt[[#This Row],[Start Date]]+ProposalToGnatt[[#This Row],[Days]]),$G$5,"")),"")</f>
        <v/>
      </c>
      <c r="AM41" s="36" t="str">
        <f ca="1">IFERROR(+IF(AM$27=ProposalToGnatt[[#This Row],[Start Date]],Milestone_Marker,IF(AND(AM$27&gt;ProposalToGnatt[[#This Row],[Start Date]],AM$27&lt;ProposalToGnatt[[#This Row],[Start Date]]+ProposalToGnatt[[#This Row],[Days]]),$G$5,"")),"")</f>
        <v/>
      </c>
      <c r="AN41" s="36" t="str">
        <f ca="1">IFERROR(+IF(AN$27=ProposalToGnatt[[#This Row],[Start Date]],Milestone_Marker,IF(AND(AN$27&gt;ProposalToGnatt[[#This Row],[Start Date]],AN$27&lt;ProposalToGnatt[[#This Row],[Start Date]]+ProposalToGnatt[[#This Row],[Days]]),$G$5,"")),"")</f>
        <v/>
      </c>
      <c r="AO41" s="36" t="str">
        <f ca="1">IFERROR(+IF(AO$27=ProposalToGnatt[[#This Row],[Start Date]],Milestone_Marker,IF(AND(AO$27&gt;ProposalToGnatt[[#This Row],[Start Date]],AO$27&lt;ProposalToGnatt[[#This Row],[Start Date]]+ProposalToGnatt[[#This Row],[Days]]),$G$5,"")),"")</f>
        <v/>
      </c>
      <c r="AP41" s="36" t="str">
        <f ca="1">IFERROR(+IF(AP$27=ProposalToGnatt[[#This Row],[Start Date]],Milestone_Marker,IF(AND(AP$27&gt;ProposalToGnatt[[#This Row],[Start Date]],AP$27&lt;ProposalToGnatt[[#This Row],[Start Date]]+ProposalToGnatt[[#This Row],[Days]]),$G$5,"")),"")</f>
        <v/>
      </c>
      <c r="AQ41" s="36" t="str">
        <f ca="1">IFERROR(+IF(AQ$27=ProposalToGnatt[[#This Row],[Start Date]],Milestone_Marker,IF(AND(AQ$27&gt;ProposalToGnatt[[#This Row],[Start Date]],AQ$27&lt;ProposalToGnatt[[#This Row],[Start Date]]+ProposalToGnatt[[#This Row],[Days]]),$G$5,"")),"")</f>
        <v/>
      </c>
      <c r="AR41" s="36" t="str">
        <f ca="1">IFERROR(+IF(AR$27=ProposalToGnatt[[#This Row],[Start Date]],Milestone_Marker,IF(AND(AR$27&gt;ProposalToGnatt[[#This Row],[Start Date]],AR$27&lt;ProposalToGnatt[[#This Row],[Start Date]]+ProposalToGnatt[[#This Row],[Days]]),$G$5,"")),"")</f>
        <v/>
      </c>
      <c r="AS41" s="36" t="str">
        <f ca="1">IFERROR(+IF(AS$27=ProposalToGnatt[[#This Row],[Start Date]],Milestone_Marker,IF(AND(AS$27&gt;ProposalToGnatt[[#This Row],[Start Date]],AS$27&lt;ProposalToGnatt[[#This Row],[Start Date]]+ProposalToGnatt[[#This Row],[Days]]),$G$5,"")),"")</f>
        <v/>
      </c>
      <c r="AT41" s="36" t="str">
        <f ca="1">IFERROR(+IF(AT$27=ProposalToGnatt[[#This Row],[Start Date]],Milestone_Marker,IF(AND(AT$27&gt;ProposalToGnatt[[#This Row],[Start Date]],AT$27&lt;ProposalToGnatt[[#This Row],[Start Date]]+ProposalToGnatt[[#This Row],[Days]]),$G$5,"")),"")</f>
        <v/>
      </c>
      <c r="AU41" s="36" t="str">
        <f ca="1">IFERROR(+IF(AU$27=ProposalToGnatt[[#This Row],[Start Date]],Milestone_Marker,IF(AND(AU$27&gt;ProposalToGnatt[[#This Row],[Start Date]],AU$27&lt;ProposalToGnatt[[#This Row],[Start Date]]+ProposalToGnatt[[#This Row],[Days]]),$G$5,"")),"")</f>
        <v/>
      </c>
      <c r="AV41" s="36" t="str">
        <f ca="1">IFERROR(+IF(AV$27=ProposalToGnatt[[#This Row],[Start Date]],Milestone_Marker,IF(AND(AV$27&gt;ProposalToGnatt[[#This Row],[Start Date]],AV$27&lt;ProposalToGnatt[[#This Row],[Start Date]]+ProposalToGnatt[[#This Row],[Days]]),$G$5,"")),"")</f>
        <v/>
      </c>
      <c r="AW41" s="36" t="str">
        <f ca="1">IFERROR(+IF(AW$27=ProposalToGnatt[[#This Row],[Start Date]],Milestone_Marker,IF(AND(AW$27&gt;ProposalToGnatt[[#This Row],[Start Date]],AW$27&lt;ProposalToGnatt[[#This Row],[Start Date]]+ProposalToGnatt[[#This Row],[Days]]),$G$5,"")),"")</f>
        <v/>
      </c>
      <c r="AX41" s="36" t="str">
        <f ca="1">IFERROR(+IF(AX$27=ProposalToGnatt[[#This Row],[Start Date]],Milestone_Marker,IF(AND(AX$27&gt;ProposalToGnatt[[#This Row],[Start Date]],AX$27&lt;ProposalToGnatt[[#This Row],[Start Date]]+ProposalToGnatt[[#This Row],[Days]]),$G$5,"")),"")</f>
        <v/>
      </c>
      <c r="AY41" s="36" t="str">
        <f ca="1">IFERROR(+IF(AY$27=ProposalToGnatt[[#This Row],[Start Date]],Milestone_Marker,IF(AND(AY$27&gt;ProposalToGnatt[[#This Row],[Start Date]],AY$27&lt;ProposalToGnatt[[#This Row],[Start Date]]+ProposalToGnatt[[#This Row],[Days]]),$G$5,"")),"")</f>
        <v/>
      </c>
      <c r="AZ41" s="36" t="str">
        <f ca="1">IFERROR(+IF(AZ$27=ProposalToGnatt[[#This Row],[Start Date]],Milestone_Marker,IF(AND(AZ$27&gt;ProposalToGnatt[[#This Row],[Start Date]],AZ$27&lt;ProposalToGnatt[[#This Row],[Start Date]]+ProposalToGnatt[[#This Row],[Days]]),$G$5,"")),"")</f>
        <v/>
      </c>
      <c r="BA41" s="36" t="str">
        <f ca="1">IFERROR(+IF(BA$27=ProposalToGnatt[[#This Row],[Start Date]],Milestone_Marker,IF(AND(BA$27&gt;ProposalToGnatt[[#This Row],[Start Date]],BA$27&lt;ProposalToGnatt[[#This Row],[Start Date]]+ProposalToGnatt[[#This Row],[Days]]),$G$5,"")),"")</f>
        <v/>
      </c>
      <c r="BB41" s="36" t="str">
        <f ca="1">IFERROR(+IF(BB$27=ProposalToGnatt[[#This Row],[Start Date]],Milestone_Marker,IF(AND(BB$27&gt;ProposalToGnatt[[#This Row],[Start Date]],BB$27&lt;ProposalToGnatt[[#This Row],[Start Date]]+ProposalToGnatt[[#This Row],[Days]]),$G$5,"")),"")</f>
        <v/>
      </c>
      <c r="BC41" s="36" t="str">
        <f ca="1">IFERROR(+IF(BC$27=ProposalToGnatt[[#This Row],[Start Date]],Milestone_Marker,IF(AND(BC$27&gt;ProposalToGnatt[[#This Row],[Start Date]],BC$27&lt;ProposalToGnatt[[#This Row],[Start Date]]+ProposalToGnatt[[#This Row],[Days]]),$G$5,"")),"")</f>
        <v/>
      </c>
      <c r="BD41" s="36" t="str">
        <f ca="1">IFERROR(+IF(BD$27=ProposalToGnatt[[#This Row],[Start Date]],Milestone_Marker,IF(AND(BD$27&gt;ProposalToGnatt[[#This Row],[Start Date]],BD$27&lt;ProposalToGnatt[[#This Row],[Start Date]]+ProposalToGnatt[[#This Row],[Days]]),$G$5,"")),"")</f>
        <v/>
      </c>
      <c r="BE41" s="36" t="str">
        <f ca="1">IFERROR(+IF(BE$27=ProposalToGnatt[[#This Row],[Start Date]],Milestone_Marker,IF(AND(BE$27&gt;ProposalToGnatt[[#This Row],[Start Date]],BE$27&lt;ProposalToGnatt[[#This Row],[Start Date]]+ProposalToGnatt[[#This Row],[Days]]),$G$5,"")),"")</f>
        <v/>
      </c>
      <c r="BF41" s="36" t="str">
        <f ca="1">IFERROR(+IF(BF$27=ProposalToGnatt[[#This Row],[Start Date]],Milestone_Marker,IF(AND(BF$27&gt;ProposalToGnatt[[#This Row],[Start Date]],BF$27&lt;ProposalToGnatt[[#This Row],[Start Date]]+ProposalToGnatt[[#This Row],[Days]]),$G$5,"")),"")</f>
        <v/>
      </c>
      <c r="BG41" s="36" t="str">
        <f ca="1">IFERROR(+IF(BG$27=ProposalToGnatt[[#This Row],[Start Date]],Milestone_Marker,IF(AND(BG$27&gt;ProposalToGnatt[[#This Row],[Start Date]],BG$27&lt;ProposalToGnatt[[#This Row],[Start Date]]+ProposalToGnatt[[#This Row],[Days]]),$G$5,"")),"")</f>
        <v/>
      </c>
      <c r="BH41" s="36" t="str">
        <f ca="1">IFERROR(+IF(BH$27=ProposalToGnatt[[#This Row],[Start Date]],Milestone_Marker,IF(AND(BH$27&gt;ProposalToGnatt[[#This Row],[Start Date]],BH$27&lt;ProposalToGnatt[[#This Row],[Start Date]]+ProposalToGnatt[[#This Row],[Days]]),$G$5,"")),"")</f>
        <v/>
      </c>
      <c r="BI41" s="36" t="str">
        <f ca="1">IFERROR(+IF(BI$27=ProposalToGnatt[[#This Row],[Start Date]],Milestone_Marker,IF(AND(BI$27&gt;ProposalToGnatt[[#This Row],[Start Date]],BI$27&lt;ProposalToGnatt[[#This Row],[Start Date]]+ProposalToGnatt[[#This Row],[Days]]),$G$5,"")),"")</f>
        <v/>
      </c>
      <c r="BJ41" s="36" t="str">
        <f ca="1">IFERROR(+IF(BJ$27=ProposalToGnatt[[#This Row],[Start Date]],Milestone_Marker,IF(AND(BJ$27&gt;ProposalToGnatt[[#This Row],[Start Date]],BJ$27&lt;ProposalToGnatt[[#This Row],[Start Date]]+ProposalToGnatt[[#This Row],[Days]]),$G$5,"")),"")</f>
        <v/>
      </c>
      <c r="BK41" s="36" t="str">
        <f ca="1">IFERROR(+IF(BK$27=ProposalToGnatt[[#This Row],[Start Date]],Milestone_Marker,IF(AND(BK$27&gt;ProposalToGnatt[[#This Row],[Start Date]],BK$27&lt;ProposalToGnatt[[#This Row],[Start Date]]+ProposalToGnatt[[#This Row],[Days]]),$G$5,"")),"")</f>
        <v/>
      </c>
      <c r="BL41" s="36" t="str">
        <f ca="1">IFERROR(+IF(BL$27=ProposalToGnatt[[#This Row],[Start Date]],Milestone_Marker,IF(AND(BL$27&gt;ProposalToGnatt[[#This Row],[Start Date]],BL$27&lt;ProposalToGnatt[[#This Row],[Start Date]]+ProposalToGnatt[[#This Row],[Days]]),$G$5,"")),"")</f>
        <v/>
      </c>
      <c r="BM41" s="36" t="str">
        <f ca="1">IFERROR(+IF(BM$27=ProposalToGnatt[[#This Row],[Start Date]],Milestone_Marker,IF(AND(BM$27&gt;ProposalToGnatt[[#This Row],[Start Date]],BM$27&lt;ProposalToGnatt[[#This Row],[Start Date]]+ProposalToGnatt[[#This Row],[Days]]),$G$5,"")),"")</f>
        <v/>
      </c>
      <c r="BN41" s="36" t="str">
        <f ca="1">IFERROR(+IF(BN$27=ProposalToGnatt[[#This Row],[Start Date]],Milestone_Marker,IF(AND(BN$27&gt;ProposalToGnatt[[#This Row],[Start Date]],BN$27&lt;ProposalToGnatt[[#This Row],[Start Date]]+ProposalToGnatt[[#This Row],[Days]]),$G$5,"")),"")</f>
        <v/>
      </c>
      <c r="BO41" s="36" t="str">
        <f ca="1">IFERROR(+IF(BO$27=ProposalToGnatt[[#This Row],[Start Date]],Milestone_Marker,IF(AND(BO$27&gt;ProposalToGnatt[[#This Row],[Start Date]],BO$27&lt;ProposalToGnatt[[#This Row],[Start Date]]+ProposalToGnatt[[#This Row],[Days]]),$G$5,"")),"")</f>
        <v/>
      </c>
      <c r="BP41" s="36" t="str">
        <f ca="1">IFERROR(+IF(BP$27=ProposalToGnatt[[#This Row],[Start Date]],Milestone_Marker,IF(AND(BP$27&gt;ProposalToGnatt[[#This Row],[Start Date]],BP$27&lt;ProposalToGnatt[[#This Row],[Start Date]]+ProposalToGnatt[[#This Row],[Days]]),$G$5,"")),"")</f>
        <v/>
      </c>
      <c r="BQ41" s="36" t="str">
        <f ca="1">IFERROR(+IF(BQ$27=ProposalToGnatt[[#This Row],[Start Date]],Milestone_Marker,IF(AND(BQ$27&gt;ProposalToGnatt[[#This Row],[Start Date]],BQ$27&lt;ProposalToGnatt[[#This Row],[Start Date]]+ProposalToGnatt[[#This Row],[Days]]),$G$5,"")),"")</f>
        <v/>
      </c>
      <c r="BR41" s="36" t="str">
        <f ca="1">IFERROR(+IF(BR$27=ProposalToGnatt[[#This Row],[Start Date]],Milestone_Marker,IF(AND(BR$27&gt;ProposalToGnatt[[#This Row],[Start Date]],BR$27&lt;ProposalToGnatt[[#This Row],[Start Date]]+ProposalToGnatt[[#This Row],[Days]]),$G$5,"")),"")</f>
        <v/>
      </c>
      <c r="BS41" s="36" t="str">
        <f ca="1">IFERROR(+IF(BS$27=ProposalToGnatt[[#This Row],[Start Date]],Milestone_Marker,IF(AND(BS$27&gt;ProposalToGnatt[[#This Row],[Start Date]],BS$27&lt;ProposalToGnatt[[#This Row],[Start Date]]+ProposalToGnatt[[#This Row],[Days]]),$G$5,"")),"")</f>
        <v/>
      </c>
      <c r="BT41" s="36" t="str">
        <f ca="1">IFERROR(+IF(BT$27=ProposalToGnatt[[#This Row],[Start Date]],Milestone_Marker,IF(AND(BT$27&gt;ProposalToGnatt[[#This Row],[Start Date]],BT$27&lt;ProposalToGnatt[[#This Row],[Start Date]]+ProposalToGnatt[[#This Row],[Days]]),$G$5,"")),"")</f>
        <v/>
      </c>
      <c r="BU41" s="36" t="str">
        <f ca="1">IFERROR(+IF(BU$27=ProposalToGnatt[[#This Row],[Start Date]],Milestone_Marker,IF(AND(BU$27&gt;ProposalToGnatt[[#This Row],[Start Date]],BU$27&lt;ProposalToGnatt[[#This Row],[Start Date]]+ProposalToGnatt[[#This Row],[Days]]),$G$5,"")),"")</f>
        <v/>
      </c>
      <c r="BV41" s="36" t="str">
        <f ca="1">IFERROR(+IF(BV$27=ProposalToGnatt[[#This Row],[Start Date]],Milestone_Marker,IF(AND(BV$27&gt;ProposalToGnatt[[#This Row],[Start Date]],BV$27&lt;ProposalToGnatt[[#This Row],[Start Date]]+ProposalToGnatt[[#This Row],[Days]]),$G$5,"")),"")</f>
        <v/>
      </c>
      <c r="BW41" s="36" t="str">
        <f ca="1">IFERROR(+IF(BW$27=ProposalToGnatt[[#This Row],[Start Date]],Milestone_Marker,IF(AND(BW$27&gt;ProposalToGnatt[[#This Row],[Start Date]],BW$27&lt;ProposalToGnatt[[#This Row],[Start Date]]+ProposalToGnatt[[#This Row],[Days]]),$G$5,"")),"")</f>
        <v/>
      </c>
      <c r="BX41" s="36" t="str">
        <f ca="1">IFERROR(+IF(BX$27=ProposalToGnatt[[#This Row],[Start Date]],Milestone_Marker,IF(AND(BX$27&gt;ProposalToGnatt[[#This Row],[Start Date]],BX$27&lt;ProposalToGnatt[[#This Row],[Start Date]]+ProposalToGnatt[[#This Row],[Days]]),$G$5,"")),"")</f>
        <v/>
      </c>
      <c r="BY41" s="36" t="str">
        <f ca="1">IFERROR(+IF(BY$27=ProposalToGnatt[[#This Row],[Start Date]],Milestone_Marker,IF(AND(BY$27&gt;ProposalToGnatt[[#This Row],[Start Date]],BY$27&lt;ProposalToGnatt[[#This Row],[Start Date]]+ProposalToGnatt[[#This Row],[Days]]),$G$5,"")),"")</f>
        <v/>
      </c>
      <c r="BZ41" s="36" t="str">
        <f ca="1">IFERROR(+IF(BZ$27=ProposalToGnatt[[#This Row],[Start Date]],Milestone_Marker,IF(AND(BZ$27&gt;ProposalToGnatt[[#This Row],[Start Date]],BZ$27&lt;ProposalToGnatt[[#This Row],[Start Date]]+ProposalToGnatt[[#This Row],[Days]]),$G$5,"")),"")</f>
        <v/>
      </c>
      <c r="CA41" s="36" t="str">
        <f ca="1">IFERROR(+IF(CA$27=ProposalToGnatt[[#This Row],[Start Date]],Milestone_Marker,IF(AND(CA$27&gt;ProposalToGnatt[[#This Row],[Start Date]],CA$27&lt;ProposalToGnatt[[#This Row],[Start Date]]+ProposalToGnatt[[#This Row],[Days]]),$G$5,"")),"")</f>
        <v/>
      </c>
      <c r="CB41" s="36" t="str">
        <f ca="1">IFERROR(+IF(CB$27=ProposalToGnatt[[#This Row],[Start Date]],Milestone_Marker,IF(AND(CB$27&gt;ProposalToGnatt[[#This Row],[Start Date]],CB$27&lt;ProposalToGnatt[[#This Row],[Start Date]]+ProposalToGnatt[[#This Row],[Days]]),$G$5,"")),"")</f>
        <v/>
      </c>
      <c r="CC41" s="36" t="str">
        <f ca="1">IFERROR(+IF(CC$27=ProposalToGnatt[[#This Row],[Start Date]],Milestone_Marker,IF(AND(CC$27&gt;ProposalToGnatt[[#This Row],[Start Date]],CC$27&lt;ProposalToGnatt[[#This Row],[Start Date]]+ProposalToGnatt[[#This Row],[Days]]),$G$5,"")),"")</f>
        <v/>
      </c>
      <c r="CD41" s="36" t="str">
        <f ca="1">IFERROR(+IF(CD$27=ProposalToGnatt[[#This Row],[Start Date]],Milestone_Marker,IF(AND(CD$27&gt;ProposalToGnatt[[#This Row],[Start Date]],CD$27&lt;ProposalToGnatt[[#This Row],[Start Date]]+ProposalToGnatt[[#This Row],[Days]]),$G$5,"")),"")</f>
        <v/>
      </c>
      <c r="CE41" s="36" t="str">
        <f ca="1">IFERROR(+IF(CE$27=ProposalToGnatt[[#This Row],[Start Date]],Milestone_Marker,IF(AND(CE$27&gt;ProposalToGnatt[[#This Row],[Start Date]],CE$27&lt;ProposalToGnatt[[#This Row],[Start Date]]+ProposalToGnatt[[#This Row],[Days]]),$G$5,"")),"")</f>
        <v/>
      </c>
      <c r="CF41" s="36" t="str">
        <f ca="1">IFERROR(+IF(CF$27=ProposalToGnatt[[#This Row],[Start Date]],Milestone_Marker,IF(AND(CF$27&gt;ProposalToGnatt[[#This Row],[Start Date]],CF$27&lt;ProposalToGnatt[[#This Row],[Start Date]]+ProposalToGnatt[[#This Row],[Days]]),$G$5,"")),"")</f>
        <v/>
      </c>
      <c r="CG41" s="36" t="str">
        <f ca="1">IFERROR(+IF(CG$27=ProposalToGnatt[[#This Row],[Start Date]],Milestone_Marker,IF(AND(CG$27&gt;ProposalToGnatt[[#This Row],[Start Date]],CG$27&lt;ProposalToGnatt[[#This Row],[Start Date]]+ProposalToGnatt[[#This Row],[Days]]),$G$5,"")),"")</f>
        <v/>
      </c>
      <c r="CH41" s="36" t="str">
        <f ca="1">IFERROR(+IF(CH$27=ProposalToGnatt[[#This Row],[Start Date]],Milestone_Marker,IF(AND(CH$27&gt;ProposalToGnatt[[#This Row],[Start Date]],CH$27&lt;ProposalToGnatt[[#This Row],[Start Date]]+ProposalToGnatt[[#This Row],[Days]]),$G$5,"")),"")</f>
        <v/>
      </c>
      <c r="CI41" s="36" t="str">
        <f ca="1">IFERROR(+IF(CI$27=ProposalToGnatt[[#This Row],[Start Date]],Milestone_Marker,IF(AND(CI$27&gt;ProposalToGnatt[[#This Row],[Start Date]],CI$27&lt;ProposalToGnatt[[#This Row],[Start Date]]+ProposalToGnatt[[#This Row],[Days]]),$G$5,"")),"")</f>
        <v/>
      </c>
      <c r="CJ41" s="36" t="str">
        <f ca="1">IFERROR(+IF(CJ$27=ProposalToGnatt[[#This Row],[Start Date]],Milestone_Marker,IF(AND(CJ$27&gt;ProposalToGnatt[[#This Row],[Start Date]],CJ$27&lt;ProposalToGnatt[[#This Row],[Start Date]]+ProposalToGnatt[[#This Row],[Days]]),$G$5,"")),"")</f>
        <v/>
      </c>
      <c r="CK41" s="36" t="str">
        <f ca="1">IFERROR(+IF(CK$27=ProposalToGnatt[[#This Row],[Start Date]],Milestone_Marker,IF(AND(CK$27&gt;ProposalToGnatt[[#This Row],[Start Date]],CK$27&lt;ProposalToGnatt[[#This Row],[Start Date]]+ProposalToGnatt[[#This Row],[Days]]),$G$5,"")),"")</f>
        <v/>
      </c>
      <c r="CL41" s="36" t="str">
        <f ca="1">IFERROR(+IF(CL$27=ProposalToGnatt[[#This Row],[Start Date]],Milestone_Marker,IF(AND(CL$27&gt;ProposalToGnatt[[#This Row],[Start Date]],CL$27&lt;ProposalToGnatt[[#This Row],[Start Date]]+ProposalToGnatt[[#This Row],[Days]]),$G$5,"")),"")</f>
        <v/>
      </c>
      <c r="CM41" s="36" t="str">
        <f ca="1">IFERROR(+IF(CM$27=ProposalToGnatt[[#This Row],[Start Date]],Milestone_Marker,IF(AND(CM$27&gt;ProposalToGnatt[[#This Row],[Start Date]],CM$27&lt;ProposalToGnatt[[#This Row],[Start Date]]+ProposalToGnatt[[#This Row],[Days]]),$G$5,"")),"")</f>
        <v/>
      </c>
      <c r="CN41" s="36" t="str">
        <f ca="1">IFERROR(+IF(CN$27=ProposalToGnatt[[#This Row],[Start Date]],Milestone_Marker,IF(AND(CN$27&gt;ProposalToGnatt[[#This Row],[Start Date]],CN$27&lt;ProposalToGnatt[[#This Row],[Start Date]]+ProposalToGnatt[[#This Row],[Days]]),$G$5,"")),"")</f>
        <v/>
      </c>
      <c r="CO41" s="36" t="str">
        <f ca="1">IFERROR(+IF(CO$27=ProposalToGnatt[[#This Row],[Start Date]],Milestone_Marker,IF(AND(CO$27&gt;ProposalToGnatt[[#This Row],[Start Date]],CO$27&lt;ProposalToGnatt[[#This Row],[Start Date]]+ProposalToGnatt[[#This Row],[Days]]),$G$5,"")),"")</f>
        <v/>
      </c>
      <c r="CP41" s="36" t="str">
        <f ca="1">IFERROR(+IF(CP$27=ProposalToGnatt[[#This Row],[Start Date]],Milestone_Marker,IF(AND(CP$27&gt;ProposalToGnatt[[#This Row],[Start Date]],CP$27&lt;ProposalToGnatt[[#This Row],[Start Date]]+ProposalToGnatt[[#This Row],[Days]]),$G$5,"")),"")</f>
        <v/>
      </c>
      <c r="CQ41" s="36" t="str">
        <f ca="1">IFERROR(+IF(CQ$27=ProposalToGnatt[[#This Row],[Start Date]],Milestone_Marker,IF(AND(CQ$27&gt;ProposalToGnatt[[#This Row],[Start Date]],CQ$27&lt;ProposalToGnatt[[#This Row],[Start Date]]+ProposalToGnatt[[#This Row],[Days]]),$G$5,"")),"")</f>
        <v/>
      </c>
      <c r="CR41" s="36" t="str">
        <f ca="1">IFERROR(+IF(CR$27=ProposalToGnatt[[#This Row],[Start Date]],Milestone_Marker,IF(AND(CR$27&gt;ProposalToGnatt[[#This Row],[Start Date]],CR$27&lt;ProposalToGnatt[[#This Row],[Start Date]]+ProposalToGnatt[[#This Row],[Days]]),$G$5,"")),"")</f>
        <v/>
      </c>
      <c r="CS41" s="36" t="str">
        <f ca="1">IFERROR(+IF(CS$27=ProposalToGnatt[[#This Row],[Start Date]],Milestone_Marker,IF(AND(CS$27&gt;ProposalToGnatt[[#This Row],[Start Date]],CS$27&lt;ProposalToGnatt[[#This Row],[Start Date]]+ProposalToGnatt[[#This Row],[Days]]),$G$5,"")),"")</f>
        <v/>
      </c>
      <c r="CT41" s="36" t="str">
        <f ca="1">IFERROR(+IF(CT$27=ProposalToGnatt[[#This Row],[Start Date]],Milestone_Marker,IF(AND(CT$27&gt;ProposalToGnatt[[#This Row],[Start Date]],CT$27&lt;ProposalToGnatt[[#This Row],[Start Date]]+ProposalToGnatt[[#This Row],[Days]]),$G$5,"")),"")</f>
        <v/>
      </c>
      <c r="CU41" s="36" t="str">
        <f ca="1">IFERROR(+IF(CU$27=ProposalToGnatt[[#This Row],[Start Date]],Milestone_Marker,IF(AND(CU$27&gt;ProposalToGnatt[[#This Row],[Start Date]],CU$27&lt;ProposalToGnatt[[#This Row],[Start Date]]+ProposalToGnatt[[#This Row],[Days]]),$G$5,"")),"")</f>
        <v/>
      </c>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row>
    <row r="42" spans="1:125" s="41" customFormat="1" ht="15" customHeight="1" x14ac:dyDescent="0.25">
      <c r="A42" t="s">
        <v>730</v>
      </c>
      <c r="B42">
        <v>8</v>
      </c>
      <c r="C42" t="s">
        <v>174</v>
      </c>
      <c r="D42" t="s">
        <v>692</v>
      </c>
      <c r="E42" t="s">
        <v>1144</v>
      </c>
      <c r="F42">
        <v>1</v>
      </c>
      <c r="G42" s="14">
        <v>1312.5</v>
      </c>
      <c r="H42" s="14">
        <v>1312.5</v>
      </c>
      <c r="I42" t="s">
        <v>516</v>
      </c>
      <c r="J42">
        <v>4</v>
      </c>
      <c r="K42" s="261"/>
      <c r="L42"/>
      <c r="M42" s="14">
        <v>1312.5</v>
      </c>
      <c r="N42" s="309">
        <v>1312.5</v>
      </c>
      <c r="O42" s="297"/>
      <c r="P42" s="36" t="str">
        <f ca="1">IFERROR(+IF(P$27=ProposalToGnatt[[#This Row],[Start Date]],Milestone_Marker,IF(AND(P$27&gt;ProposalToGnatt[[#This Row],[Start Date]],P$27&lt;ProposalToGnatt[[#This Row],[Start Date]]+ProposalToGnatt[[#This Row],[Days]]),$G$5,"")),"")</f>
        <v/>
      </c>
      <c r="Q42" s="36" t="str">
        <f ca="1">IFERROR(+IF(Q$27=ProposalToGnatt[[#This Row],[Start Date]],Milestone_Marker,IF(AND(Q$27&gt;ProposalToGnatt[[#This Row],[Start Date]],Q$27&lt;ProposalToGnatt[[#This Row],[Start Date]]+ProposalToGnatt[[#This Row],[Days]]),$G$5,"")),"")</f>
        <v/>
      </c>
      <c r="R42" s="36" t="str">
        <f ca="1">IFERROR(+IF(R$27=ProposalToGnatt[[#This Row],[Start Date]],Milestone_Marker,IF(AND(R$27&gt;ProposalToGnatt[[#This Row],[Start Date]],R$27&lt;ProposalToGnatt[[#This Row],[Start Date]]+ProposalToGnatt[[#This Row],[Days]]),$G$5,"")),"")</f>
        <v/>
      </c>
      <c r="S42" s="36" t="str">
        <f ca="1">IFERROR(+IF(S$27=ProposalToGnatt[[#This Row],[Start Date]],Milestone_Marker,IF(AND(S$27&gt;ProposalToGnatt[[#This Row],[Start Date]],S$27&lt;ProposalToGnatt[[#This Row],[Start Date]]+ProposalToGnatt[[#This Row],[Days]]),$G$5,"")),"")</f>
        <v/>
      </c>
      <c r="T42" s="36" t="str">
        <f ca="1">IFERROR(+IF(T$27=ProposalToGnatt[[#This Row],[Start Date]],Milestone_Marker,IF(AND(T$27&gt;ProposalToGnatt[[#This Row],[Start Date]],T$27&lt;ProposalToGnatt[[#This Row],[Start Date]]+ProposalToGnatt[[#This Row],[Days]]),$G$5,"")),"")</f>
        <v/>
      </c>
      <c r="U42" s="36" t="str">
        <f ca="1">IFERROR(+IF(U$27=ProposalToGnatt[[#This Row],[Start Date]],Milestone_Marker,IF(AND(U$27&gt;ProposalToGnatt[[#This Row],[Start Date]],U$27&lt;ProposalToGnatt[[#This Row],[Start Date]]+ProposalToGnatt[[#This Row],[Days]]),$G$5,"")),"")</f>
        <v/>
      </c>
      <c r="V42" s="36" t="str">
        <f ca="1">IFERROR(+IF(V$27=ProposalToGnatt[[#This Row],[Start Date]],Milestone_Marker,IF(AND(V$27&gt;ProposalToGnatt[[#This Row],[Start Date]],V$27&lt;ProposalToGnatt[[#This Row],[Start Date]]+ProposalToGnatt[[#This Row],[Days]]),$G$5,"")),"")</f>
        <v/>
      </c>
      <c r="W42" s="36" t="str">
        <f ca="1">IFERROR(+IF(W$27=ProposalToGnatt[[#This Row],[Start Date]],Milestone_Marker,IF(AND(W$27&gt;ProposalToGnatt[[#This Row],[Start Date]],W$27&lt;ProposalToGnatt[[#This Row],[Start Date]]+ProposalToGnatt[[#This Row],[Days]]),$G$5,"")),"")</f>
        <v/>
      </c>
      <c r="X42" s="36" t="str">
        <f ca="1">IFERROR(+IF(X$27=ProposalToGnatt[[#This Row],[Start Date]],Milestone_Marker,IF(AND(X$27&gt;ProposalToGnatt[[#This Row],[Start Date]],X$27&lt;ProposalToGnatt[[#This Row],[Start Date]]+ProposalToGnatt[[#This Row],[Days]]),$G$5,"")),"")</f>
        <v/>
      </c>
      <c r="Y42" s="36" t="str">
        <f ca="1">IFERROR(+IF(Y$27=ProposalToGnatt[[#This Row],[Start Date]],Milestone_Marker,IF(AND(Y$27&gt;ProposalToGnatt[[#This Row],[Start Date]],Y$27&lt;ProposalToGnatt[[#This Row],[Start Date]]+ProposalToGnatt[[#This Row],[Days]]),$G$5,"")),"")</f>
        <v/>
      </c>
      <c r="Z42" s="36" t="str">
        <f ca="1">IFERROR(+IF(Z$27=ProposalToGnatt[[#This Row],[Start Date]],Milestone_Marker,IF(AND(Z$27&gt;ProposalToGnatt[[#This Row],[Start Date]],Z$27&lt;ProposalToGnatt[[#This Row],[Start Date]]+ProposalToGnatt[[#This Row],[Days]]),$G$5,"")),"")</f>
        <v/>
      </c>
      <c r="AA42" s="36" t="str">
        <f ca="1">IFERROR(+IF(AA$27=ProposalToGnatt[[#This Row],[Start Date]],Milestone_Marker,IF(AND(AA$27&gt;ProposalToGnatt[[#This Row],[Start Date]],AA$27&lt;ProposalToGnatt[[#This Row],[Start Date]]+ProposalToGnatt[[#This Row],[Days]]),$G$5,"")),"")</f>
        <v/>
      </c>
      <c r="AB42" s="36" t="str">
        <f ca="1">IFERROR(+IF(AB$27=ProposalToGnatt[[#This Row],[Start Date]],Milestone_Marker,IF(AND(AB$27&gt;ProposalToGnatt[[#This Row],[Start Date]],AB$27&lt;ProposalToGnatt[[#This Row],[Start Date]]+ProposalToGnatt[[#This Row],[Days]]),$G$5,"")),"")</f>
        <v/>
      </c>
      <c r="AC42" s="36" t="str">
        <f ca="1">IFERROR(+IF(AC$27=ProposalToGnatt[[#This Row],[Start Date]],Milestone_Marker,IF(AND(AC$27&gt;ProposalToGnatt[[#This Row],[Start Date]],AC$27&lt;ProposalToGnatt[[#This Row],[Start Date]]+ProposalToGnatt[[#This Row],[Days]]),$G$5,"")),"")</f>
        <v/>
      </c>
      <c r="AD42" s="36" t="str">
        <f ca="1">IFERROR(+IF(AD$27=ProposalToGnatt[[#This Row],[Start Date]],Milestone_Marker,IF(AND(AD$27&gt;ProposalToGnatt[[#This Row],[Start Date]],AD$27&lt;ProposalToGnatt[[#This Row],[Start Date]]+ProposalToGnatt[[#This Row],[Days]]),$G$5,"")),"")</f>
        <v/>
      </c>
      <c r="AE42" s="36" t="str">
        <f ca="1">IFERROR(+IF(AE$27=ProposalToGnatt[[#This Row],[Start Date]],Milestone_Marker,IF(AND(AE$27&gt;ProposalToGnatt[[#This Row],[Start Date]],AE$27&lt;ProposalToGnatt[[#This Row],[Start Date]]+ProposalToGnatt[[#This Row],[Days]]),$G$5,"")),"")</f>
        <v/>
      </c>
      <c r="AF42" s="36" t="str">
        <f ca="1">IFERROR(+IF(AF$27=ProposalToGnatt[[#This Row],[Start Date]],Milestone_Marker,IF(AND(AF$27&gt;ProposalToGnatt[[#This Row],[Start Date]],AF$27&lt;ProposalToGnatt[[#This Row],[Start Date]]+ProposalToGnatt[[#This Row],[Days]]),$G$5,"")),"")</f>
        <v/>
      </c>
      <c r="AG42" s="36" t="str">
        <f ca="1">IFERROR(+IF(AG$27=ProposalToGnatt[[#This Row],[Start Date]],Milestone_Marker,IF(AND(AG$27&gt;ProposalToGnatt[[#This Row],[Start Date]],AG$27&lt;ProposalToGnatt[[#This Row],[Start Date]]+ProposalToGnatt[[#This Row],[Days]]),$G$5,"")),"")</f>
        <v/>
      </c>
      <c r="AH42" s="36" t="str">
        <f ca="1">IFERROR(+IF(AH$27=ProposalToGnatt[[#This Row],[Start Date]],Milestone_Marker,IF(AND(AH$27&gt;ProposalToGnatt[[#This Row],[Start Date]],AH$27&lt;ProposalToGnatt[[#This Row],[Start Date]]+ProposalToGnatt[[#This Row],[Days]]),$G$5,"")),"")</f>
        <v/>
      </c>
      <c r="AI42" s="36" t="str">
        <f ca="1">IFERROR(+IF(AI$27=ProposalToGnatt[[#This Row],[Start Date]],Milestone_Marker,IF(AND(AI$27&gt;ProposalToGnatt[[#This Row],[Start Date]],AI$27&lt;ProposalToGnatt[[#This Row],[Start Date]]+ProposalToGnatt[[#This Row],[Days]]),$G$5,"")),"")</f>
        <v/>
      </c>
      <c r="AJ42" s="36" t="str">
        <f ca="1">IFERROR(+IF(AJ$27=ProposalToGnatt[[#This Row],[Start Date]],Milestone_Marker,IF(AND(AJ$27&gt;ProposalToGnatt[[#This Row],[Start Date]],AJ$27&lt;ProposalToGnatt[[#This Row],[Start Date]]+ProposalToGnatt[[#This Row],[Days]]),$G$5,"")),"")</f>
        <v/>
      </c>
      <c r="AK42" s="36" t="str">
        <f ca="1">IFERROR(+IF(AK$27=ProposalToGnatt[[#This Row],[Start Date]],Milestone_Marker,IF(AND(AK$27&gt;ProposalToGnatt[[#This Row],[Start Date]],AK$27&lt;ProposalToGnatt[[#This Row],[Start Date]]+ProposalToGnatt[[#This Row],[Days]]),$G$5,"")),"")</f>
        <v/>
      </c>
      <c r="AL42" s="36" t="str">
        <f ca="1">IFERROR(+IF(AL$27=ProposalToGnatt[[#This Row],[Start Date]],Milestone_Marker,IF(AND(AL$27&gt;ProposalToGnatt[[#This Row],[Start Date]],AL$27&lt;ProposalToGnatt[[#This Row],[Start Date]]+ProposalToGnatt[[#This Row],[Days]]),$G$5,"")),"")</f>
        <v/>
      </c>
      <c r="AM42" s="36" t="str">
        <f ca="1">IFERROR(+IF(AM$27=ProposalToGnatt[[#This Row],[Start Date]],Milestone_Marker,IF(AND(AM$27&gt;ProposalToGnatt[[#This Row],[Start Date]],AM$27&lt;ProposalToGnatt[[#This Row],[Start Date]]+ProposalToGnatt[[#This Row],[Days]]),$G$5,"")),"")</f>
        <v/>
      </c>
      <c r="AN42" s="36" t="str">
        <f ca="1">IFERROR(+IF(AN$27=ProposalToGnatt[[#This Row],[Start Date]],Milestone_Marker,IF(AND(AN$27&gt;ProposalToGnatt[[#This Row],[Start Date]],AN$27&lt;ProposalToGnatt[[#This Row],[Start Date]]+ProposalToGnatt[[#This Row],[Days]]),$G$5,"")),"")</f>
        <v/>
      </c>
      <c r="AO42" s="36" t="str">
        <f ca="1">IFERROR(+IF(AO$27=ProposalToGnatt[[#This Row],[Start Date]],Milestone_Marker,IF(AND(AO$27&gt;ProposalToGnatt[[#This Row],[Start Date]],AO$27&lt;ProposalToGnatt[[#This Row],[Start Date]]+ProposalToGnatt[[#This Row],[Days]]),$G$5,"")),"")</f>
        <v/>
      </c>
      <c r="AP42" s="36" t="str">
        <f ca="1">IFERROR(+IF(AP$27=ProposalToGnatt[[#This Row],[Start Date]],Milestone_Marker,IF(AND(AP$27&gt;ProposalToGnatt[[#This Row],[Start Date]],AP$27&lt;ProposalToGnatt[[#This Row],[Start Date]]+ProposalToGnatt[[#This Row],[Days]]),$G$5,"")),"")</f>
        <v/>
      </c>
      <c r="AQ42" s="36" t="str">
        <f ca="1">IFERROR(+IF(AQ$27=ProposalToGnatt[[#This Row],[Start Date]],Milestone_Marker,IF(AND(AQ$27&gt;ProposalToGnatt[[#This Row],[Start Date]],AQ$27&lt;ProposalToGnatt[[#This Row],[Start Date]]+ProposalToGnatt[[#This Row],[Days]]),$G$5,"")),"")</f>
        <v/>
      </c>
      <c r="AR42" s="36" t="str">
        <f ca="1">IFERROR(+IF(AR$27=ProposalToGnatt[[#This Row],[Start Date]],Milestone_Marker,IF(AND(AR$27&gt;ProposalToGnatt[[#This Row],[Start Date]],AR$27&lt;ProposalToGnatt[[#This Row],[Start Date]]+ProposalToGnatt[[#This Row],[Days]]),$G$5,"")),"")</f>
        <v/>
      </c>
      <c r="AS42" s="36" t="str">
        <f ca="1">IFERROR(+IF(AS$27=ProposalToGnatt[[#This Row],[Start Date]],Milestone_Marker,IF(AND(AS$27&gt;ProposalToGnatt[[#This Row],[Start Date]],AS$27&lt;ProposalToGnatt[[#This Row],[Start Date]]+ProposalToGnatt[[#This Row],[Days]]),$G$5,"")),"")</f>
        <v/>
      </c>
      <c r="AT42" s="36" t="str">
        <f ca="1">IFERROR(+IF(AT$27=ProposalToGnatt[[#This Row],[Start Date]],Milestone_Marker,IF(AND(AT$27&gt;ProposalToGnatt[[#This Row],[Start Date]],AT$27&lt;ProposalToGnatt[[#This Row],[Start Date]]+ProposalToGnatt[[#This Row],[Days]]),$G$5,"")),"")</f>
        <v/>
      </c>
      <c r="AU42" s="36" t="str">
        <f ca="1">IFERROR(+IF(AU$27=ProposalToGnatt[[#This Row],[Start Date]],Milestone_Marker,IF(AND(AU$27&gt;ProposalToGnatt[[#This Row],[Start Date]],AU$27&lt;ProposalToGnatt[[#This Row],[Start Date]]+ProposalToGnatt[[#This Row],[Days]]),$G$5,"")),"")</f>
        <v/>
      </c>
      <c r="AV42" s="36" t="str">
        <f ca="1">IFERROR(+IF(AV$27=ProposalToGnatt[[#This Row],[Start Date]],Milestone_Marker,IF(AND(AV$27&gt;ProposalToGnatt[[#This Row],[Start Date]],AV$27&lt;ProposalToGnatt[[#This Row],[Start Date]]+ProposalToGnatt[[#This Row],[Days]]),$G$5,"")),"")</f>
        <v/>
      </c>
      <c r="AW42" s="36" t="str">
        <f ca="1">IFERROR(+IF(AW$27=ProposalToGnatt[[#This Row],[Start Date]],Milestone_Marker,IF(AND(AW$27&gt;ProposalToGnatt[[#This Row],[Start Date]],AW$27&lt;ProposalToGnatt[[#This Row],[Start Date]]+ProposalToGnatt[[#This Row],[Days]]),$G$5,"")),"")</f>
        <v/>
      </c>
      <c r="AX42" s="36" t="str">
        <f ca="1">IFERROR(+IF(AX$27=ProposalToGnatt[[#This Row],[Start Date]],Milestone_Marker,IF(AND(AX$27&gt;ProposalToGnatt[[#This Row],[Start Date]],AX$27&lt;ProposalToGnatt[[#This Row],[Start Date]]+ProposalToGnatt[[#This Row],[Days]]),$G$5,"")),"")</f>
        <v/>
      </c>
      <c r="AY42" s="36" t="str">
        <f ca="1">IFERROR(+IF(AY$27=ProposalToGnatt[[#This Row],[Start Date]],Milestone_Marker,IF(AND(AY$27&gt;ProposalToGnatt[[#This Row],[Start Date]],AY$27&lt;ProposalToGnatt[[#This Row],[Start Date]]+ProposalToGnatt[[#This Row],[Days]]),$G$5,"")),"")</f>
        <v/>
      </c>
      <c r="AZ42" s="36" t="str">
        <f ca="1">IFERROR(+IF(AZ$27=ProposalToGnatt[[#This Row],[Start Date]],Milestone_Marker,IF(AND(AZ$27&gt;ProposalToGnatt[[#This Row],[Start Date]],AZ$27&lt;ProposalToGnatt[[#This Row],[Start Date]]+ProposalToGnatt[[#This Row],[Days]]),$G$5,"")),"")</f>
        <v/>
      </c>
      <c r="BA42" s="36" t="str">
        <f ca="1">IFERROR(+IF(BA$27=ProposalToGnatt[[#This Row],[Start Date]],Milestone_Marker,IF(AND(BA$27&gt;ProposalToGnatt[[#This Row],[Start Date]],BA$27&lt;ProposalToGnatt[[#This Row],[Start Date]]+ProposalToGnatt[[#This Row],[Days]]),$G$5,"")),"")</f>
        <v/>
      </c>
      <c r="BB42" s="36" t="str">
        <f ca="1">IFERROR(+IF(BB$27=ProposalToGnatt[[#This Row],[Start Date]],Milestone_Marker,IF(AND(BB$27&gt;ProposalToGnatt[[#This Row],[Start Date]],BB$27&lt;ProposalToGnatt[[#This Row],[Start Date]]+ProposalToGnatt[[#This Row],[Days]]),$G$5,"")),"")</f>
        <v/>
      </c>
      <c r="BC42" s="36" t="str">
        <f ca="1">IFERROR(+IF(BC$27=ProposalToGnatt[[#This Row],[Start Date]],Milestone_Marker,IF(AND(BC$27&gt;ProposalToGnatt[[#This Row],[Start Date]],BC$27&lt;ProposalToGnatt[[#This Row],[Start Date]]+ProposalToGnatt[[#This Row],[Days]]),$G$5,"")),"")</f>
        <v/>
      </c>
      <c r="BD42" s="36" t="str">
        <f ca="1">IFERROR(+IF(BD$27=ProposalToGnatt[[#This Row],[Start Date]],Milestone_Marker,IF(AND(BD$27&gt;ProposalToGnatt[[#This Row],[Start Date]],BD$27&lt;ProposalToGnatt[[#This Row],[Start Date]]+ProposalToGnatt[[#This Row],[Days]]),$G$5,"")),"")</f>
        <v/>
      </c>
      <c r="BE42" s="36" t="str">
        <f ca="1">IFERROR(+IF(BE$27=ProposalToGnatt[[#This Row],[Start Date]],Milestone_Marker,IF(AND(BE$27&gt;ProposalToGnatt[[#This Row],[Start Date]],BE$27&lt;ProposalToGnatt[[#This Row],[Start Date]]+ProposalToGnatt[[#This Row],[Days]]),$G$5,"")),"")</f>
        <v/>
      </c>
      <c r="BF42" s="36" t="str">
        <f ca="1">IFERROR(+IF(BF$27=ProposalToGnatt[[#This Row],[Start Date]],Milestone_Marker,IF(AND(BF$27&gt;ProposalToGnatt[[#This Row],[Start Date]],BF$27&lt;ProposalToGnatt[[#This Row],[Start Date]]+ProposalToGnatt[[#This Row],[Days]]),$G$5,"")),"")</f>
        <v/>
      </c>
      <c r="BG42" s="36" t="str">
        <f ca="1">IFERROR(+IF(BG$27=ProposalToGnatt[[#This Row],[Start Date]],Milestone_Marker,IF(AND(BG$27&gt;ProposalToGnatt[[#This Row],[Start Date]],BG$27&lt;ProposalToGnatt[[#This Row],[Start Date]]+ProposalToGnatt[[#This Row],[Days]]),$G$5,"")),"")</f>
        <v/>
      </c>
      <c r="BH42" s="36" t="str">
        <f ca="1">IFERROR(+IF(BH$27=ProposalToGnatt[[#This Row],[Start Date]],Milestone_Marker,IF(AND(BH$27&gt;ProposalToGnatt[[#This Row],[Start Date]],BH$27&lt;ProposalToGnatt[[#This Row],[Start Date]]+ProposalToGnatt[[#This Row],[Days]]),$G$5,"")),"")</f>
        <v/>
      </c>
      <c r="BI42" s="36" t="str">
        <f ca="1">IFERROR(+IF(BI$27=ProposalToGnatt[[#This Row],[Start Date]],Milestone_Marker,IF(AND(BI$27&gt;ProposalToGnatt[[#This Row],[Start Date]],BI$27&lt;ProposalToGnatt[[#This Row],[Start Date]]+ProposalToGnatt[[#This Row],[Days]]),$G$5,"")),"")</f>
        <v/>
      </c>
      <c r="BJ42" s="36" t="str">
        <f ca="1">IFERROR(+IF(BJ$27=ProposalToGnatt[[#This Row],[Start Date]],Milestone_Marker,IF(AND(BJ$27&gt;ProposalToGnatt[[#This Row],[Start Date]],BJ$27&lt;ProposalToGnatt[[#This Row],[Start Date]]+ProposalToGnatt[[#This Row],[Days]]),$G$5,"")),"")</f>
        <v/>
      </c>
      <c r="BK42" s="36" t="str">
        <f ca="1">IFERROR(+IF(BK$27=ProposalToGnatt[[#This Row],[Start Date]],Milestone_Marker,IF(AND(BK$27&gt;ProposalToGnatt[[#This Row],[Start Date]],BK$27&lt;ProposalToGnatt[[#This Row],[Start Date]]+ProposalToGnatt[[#This Row],[Days]]),$G$5,"")),"")</f>
        <v/>
      </c>
      <c r="BL42" s="36" t="str">
        <f ca="1">IFERROR(+IF(BL$27=ProposalToGnatt[[#This Row],[Start Date]],Milestone_Marker,IF(AND(BL$27&gt;ProposalToGnatt[[#This Row],[Start Date]],BL$27&lt;ProposalToGnatt[[#This Row],[Start Date]]+ProposalToGnatt[[#This Row],[Days]]),$G$5,"")),"")</f>
        <v/>
      </c>
      <c r="BM42" s="36" t="str">
        <f ca="1">IFERROR(+IF(BM$27=ProposalToGnatt[[#This Row],[Start Date]],Milestone_Marker,IF(AND(BM$27&gt;ProposalToGnatt[[#This Row],[Start Date]],BM$27&lt;ProposalToGnatt[[#This Row],[Start Date]]+ProposalToGnatt[[#This Row],[Days]]),$G$5,"")),"")</f>
        <v/>
      </c>
      <c r="BN42" s="36" t="str">
        <f ca="1">IFERROR(+IF(BN$27=ProposalToGnatt[[#This Row],[Start Date]],Milestone_Marker,IF(AND(BN$27&gt;ProposalToGnatt[[#This Row],[Start Date]],BN$27&lt;ProposalToGnatt[[#This Row],[Start Date]]+ProposalToGnatt[[#This Row],[Days]]),$G$5,"")),"")</f>
        <v/>
      </c>
      <c r="BO42" s="36" t="str">
        <f ca="1">IFERROR(+IF(BO$27=ProposalToGnatt[[#This Row],[Start Date]],Milestone_Marker,IF(AND(BO$27&gt;ProposalToGnatt[[#This Row],[Start Date]],BO$27&lt;ProposalToGnatt[[#This Row],[Start Date]]+ProposalToGnatt[[#This Row],[Days]]),$G$5,"")),"")</f>
        <v/>
      </c>
      <c r="BP42" s="36" t="str">
        <f ca="1">IFERROR(+IF(BP$27=ProposalToGnatt[[#This Row],[Start Date]],Milestone_Marker,IF(AND(BP$27&gt;ProposalToGnatt[[#This Row],[Start Date]],BP$27&lt;ProposalToGnatt[[#This Row],[Start Date]]+ProposalToGnatt[[#This Row],[Days]]),$G$5,"")),"")</f>
        <v/>
      </c>
      <c r="BQ42" s="36" t="str">
        <f ca="1">IFERROR(+IF(BQ$27=ProposalToGnatt[[#This Row],[Start Date]],Milestone_Marker,IF(AND(BQ$27&gt;ProposalToGnatt[[#This Row],[Start Date]],BQ$27&lt;ProposalToGnatt[[#This Row],[Start Date]]+ProposalToGnatt[[#This Row],[Days]]),$G$5,"")),"")</f>
        <v/>
      </c>
      <c r="BR42" s="36" t="str">
        <f ca="1">IFERROR(+IF(BR$27=ProposalToGnatt[[#This Row],[Start Date]],Milestone_Marker,IF(AND(BR$27&gt;ProposalToGnatt[[#This Row],[Start Date]],BR$27&lt;ProposalToGnatt[[#This Row],[Start Date]]+ProposalToGnatt[[#This Row],[Days]]),$G$5,"")),"")</f>
        <v/>
      </c>
      <c r="BS42" s="36" t="str">
        <f ca="1">IFERROR(+IF(BS$27=ProposalToGnatt[[#This Row],[Start Date]],Milestone_Marker,IF(AND(BS$27&gt;ProposalToGnatt[[#This Row],[Start Date]],BS$27&lt;ProposalToGnatt[[#This Row],[Start Date]]+ProposalToGnatt[[#This Row],[Days]]),$G$5,"")),"")</f>
        <v/>
      </c>
      <c r="BT42" s="36" t="str">
        <f ca="1">IFERROR(+IF(BT$27=ProposalToGnatt[[#This Row],[Start Date]],Milestone_Marker,IF(AND(BT$27&gt;ProposalToGnatt[[#This Row],[Start Date]],BT$27&lt;ProposalToGnatt[[#This Row],[Start Date]]+ProposalToGnatt[[#This Row],[Days]]),$G$5,"")),"")</f>
        <v/>
      </c>
      <c r="BU42" s="36" t="str">
        <f ca="1">IFERROR(+IF(BU$27=ProposalToGnatt[[#This Row],[Start Date]],Milestone_Marker,IF(AND(BU$27&gt;ProposalToGnatt[[#This Row],[Start Date]],BU$27&lt;ProposalToGnatt[[#This Row],[Start Date]]+ProposalToGnatt[[#This Row],[Days]]),$G$5,"")),"")</f>
        <v/>
      </c>
      <c r="BV42" s="36" t="str">
        <f ca="1">IFERROR(+IF(BV$27=ProposalToGnatt[[#This Row],[Start Date]],Milestone_Marker,IF(AND(BV$27&gt;ProposalToGnatt[[#This Row],[Start Date]],BV$27&lt;ProposalToGnatt[[#This Row],[Start Date]]+ProposalToGnatt[[#This Row],[Days]]),$G$5,"")),"")</f>
        <v/>
      </c>
      <c r="BW42" s="36" t="str">
        <f ca="1">IFERROR(+IF(BW$27=ProposalToGnatt[[#This Row],[Start Date]],Milestone_Marker,IF(AND(BW$27&gt;ProposalToGnatt[[#This Row],[Start Date]],BW$27&lt;ProposalToGnatt[[#This Row],[Start Date]]+ProposalToGnatt[[#This Row],[Days]]),$G$5,"")),"")</f>
        <v/>
      </c>
      <c r="BX42" s="36" t="str">
        <f ca="1">IFERROR(+IF(BX$27=ProposalToGnatt[[#This Row],[Start Date]],Milestone_Marker,IF(AND(BX$27&gt;ProposalToGnatt[[#This Row],[Start Date]],BX$27&lt;ProposalToGnatt[[#This Row],[Start Date]]+ProposalToGnatt[[#This Row],[Days]]),$G$5,"")),"")</f>
        <v/>
      </c>
      <c r="BY42" s="36" t="str">
        <f ca="1">IFERROR(+IF(BY$27=ProposalToGnatt[[#This Row],[Start Date]],Milestone_Marker,IF(AND(BY$27&gt;ProposalToGnatt[[#This Row],[Start Date]],BY$27&lt;ProposalToGnatt[[#This Row],[Start Date]]+ProposalToGnatt[[#This Row],[Days]]),$G$5,"")),"")</f>
        <v/>
      </c>
      <c r="BZ42" s="36" t="str">
        <f ca="1">IFERROR(+IF(BZ$27=ProposalToGnatt[[#This Row],[Start Date]],Milestone_Marker,IF(AND(BZ$27&gt;ProposalToGnatt[[#This Row],[Start Date]],BZ$27&lt;ProposalToGnatt[[#This Row],[Start Date]]+ProposalToGnatt[[#This Row],[Days]]),$G$5,"")),"")</f>
        <v/>
      </c>
      <c r="CA42" s="36" t="str">
        <f ca="1">IFERROR(+IF(CA$27=ProposalToGnatt[[#This Row],[Start Date]],Milestone_Marker,IF(AND(CA$27&gt;ProposalToGnatt[[#This Row],[Start Date]],CA$27&lt;ProposalToGnatt[[#This Row],[Start Date]]+ProposalToGnatt[[#This Row],[Days]]),$G$5,"")),"")</f>
        <v/>
      </c>
      <c r="CB42" s="36" t="str">
        <f ca="1">IFERROR(+IF(CB$27=ProposalToGnatt[[#This Row],[Start Date]],Milestone_Marker,IF(AND(CB$27&gt;ProposalToGnatt[[#This Row],[Start Date]],CB$27&lt;ProposalToGnatt[[#This Row],[Start Date]]+ProposalToGnatt[[#This Row],[Days]]),$G$5,"")),"")</f>
        <v/>
      </c>
      <c r="CC42" s="36" t="str">
        <f ca="1">IFERROR(+IF(CC$27=ProposalToGnatt[[#This Row],[Start Date]],Milestone_Marker,IF(AND(CC$27&gt;ProposalToGnatt[[#This Row],[Start Date]],CC$27&lt;ProposalToGnatt[[#This Row],[Start Date]]+ProposalToGnatt[[#This Row],[Days]]),$G$5,"")),"")</f>
        <v/>
      </c>
      <c r="CD42" s="36" t="str">
        <f ca="1">IFERROR(+IF(CD$27=ProposalToGnatt[[#This Row],[Start Date]],Milestone_Marker,IF(AND(CD$27&gt;ProposalToGnatt[[#This Row],[Start Date]],CD$27&lt;ProposalToGnatt[[#This Row],[Start Date]]+ProposalToGnatt[[#This Row],[Days]]),$G$5,"")),"")</f>
        <v/>
      </c>
      <c r="CE42" s="36" t="str">
        <f ca="1">IFERROR(+IF(CE$27=ProposalToGnatt[[#This Row],[Start Date]],Milestone_Marker,IF(AND(CE$27&gt;ProposalToGnatt[[#This Row],[Start Date]],CE$27&lt;ProposalToGnatt[[#This Row],[Start Date]]+ProposalToGnatt[[#This Row],[Days]]),$G$5,"")),"")</f>
        <v/>
      </c>
      <c r="CF42" s="36" t="str">
        <f ca="1">IFERROR(+IF(CF$27=ProposalToGnatt[[#This Row],[Start Date]],Milestone_Marker,IF(AND(CF$27&gt;ProposalToGnatt[[#This Row],[Start Date]],CF$27&lt;ProposalToGnatt[[#This Row],[Start Date]]+ProposalToGnatt[[#This Row],[Days]]),$G$5,"")),"")</f>
        <v/>
      </c>
      <c r="CG42" s="36" t="str">
        <f ca="1">IFERROR(+IF(CG$27=ProposalToGnatt[[#This Row],[Start Date]],Milestone_Marker,IF(AND(CG$27&gt;ProposalToGnatt[[#This Row],[Start Date]],CG$27&lt;ProposalToGnatt[[#This Row],[Start Date]]+ProposalToGnatt[[#This Row],[Days]]),$G$5,"")),"")</f>
        <v/>
      </c>
      <c r="CH42" s="36" t="str">
        <f ca="1">IFERROR(+IF(CH$27=ProposalToGnatt[[#This Row],[Start Date]],Milestone_Marker,IF(AND(CH$27&gt;ProposalToGnatt[[#This Row],[Start Date]],CH$27&lt;ProposalToGnatt[[#This Row],[Start Date]]+ProposalToGnatt[[#This Row],[Days]]),$G$5,"")),"")</f>
        <v/>
      </c>
      <c r="CI42" s="36" t="str">
        <f ca="1">IFERROR(+IF(CI$27=ProposalToGnatt[[#This Row],[Start Date]],Milestone_Marker,IF(AND(CI$27&gt;ProposalToGnatt[[#This Row],[Start Date]],CI$27&lt;ProposalToGnatt[[#This Row],[Start Date]]+ProposalToGnatt[[#This Row],[Days]]),$G$5,"")),"")</f>
        <v/>
      </c>
      <c r="CJ42" s="36" t="str">
        <f ca="1">IFERROR(+IF(CJ$27=ProposalToGnatt[[#This Row],[Start Date]],Milestone_Marker,IF(AND(CJ$27&gt;ProposalToGnatt[[#This Row],[Start Date]],CJ$27&lt;ProposalToGnatt[[#This Row],[Start Date]]+ProposalToGnatt[[#This Row],[Days]]),$G$5,"")),"")</f>
        <v/>
      </c>
      <c r="CK42" s="36" t="str">
        <f ca="1">IFERROR(+IF(CK$27=ProposalToGnatt[[#This Row],[Start Date]],Milestone_Marker,IF(AND(CK$27&gt;ProposalToGnatt[[#This Row],[Start Date]],CK$27&lt;ProposalToGnatt[[#This Row],[Start Date]]+ProposalToGnatt[[#This Row],[Days]]),$G$5,"")),"")</f>
        <v/>
      </c>
      <c r="CL42" s="36" t="str">
        <f ca="1">IFERROR(+IF(CL$27=ProposalToGnatt[[#This Row],[Start Date]],Milestone_Marker,IF(AND(CL$27&gt;ProposalToGnatt[[#This Row],[Start Date]],CL$27&lt;ProposalToGnatt[[#This Row],[Start Date]]+ProposalToGnatt[[#This Row],[Days]]),$G$5,"")),"")</f>
        <v/>
      </c>
      <c r="CM42" s="36" t="str">
        <f ca="1">IFERROR(+IF(CM$27=ProposalToGnatt[[#This Row],[Start Date]],Milestone_Marker,IF(AND(CM$27&gt;ProposalToGnatt[[#This Row],[Start Date]],CM$27&lt;ProposalToGnatt[[#This Row],[Start Date]]+ProposalToGnatt[[#This Row],[Days]]),$G$5,"")),"")</f>
        <v/>
      </c>
      <c r="CN42" s="36" t="str">
        <f ca="1">IFERROR(+IF(CN$27=ProposalToGnatt[[#This Row],[Start Date]],Milestone_Marker,IF(AND(CN$27&gt;ProposalToGnatt[[#This Row],[Start Date]],CN$27&lt;ProposalToGnatt[[#This Row],[Start Date]]+ProposalToGnatt[[#This Row],[Days]]),$G$5,"")),"")</f>
        <v/>
      </c>
      <c r="CO42" s="36" t="str">
        <f ca="1">IFERROR(+IF(CO$27=ProposalToGnatt[[#This Row],[Start Date]],Milestone_Marker,IF(AND(CO$27&gt;ProposalToGnatt[[#This Row],[Start Date]],CO$27&lt;ProposalToGnatt[[#This Row],[Start Date]]+ProposalToGnatt[[#This Row],[Days]]),$G$5,"")),"")</f>
        <v/>
      </c>
      <c r="CP42" s="36" t="str">
        <f ca="1">IFERROR(+IF(CP$27=ProposalToGnatt[[#This Row],[Start Date]],Milestone_Marker,IF(AND(CP$27&gt;ProposalToGnatt[[#This Row],[Start Date]],CP$27&lt;ProposalToGnatt[[#This Row],[Start Date]]+ProposalToGnatt[[#This Row],[Days]]),$G$5,"")),"")</f>
        <v/>
      </c>
      <c r="CQ42" s="36" t="str">
        <f ca="1">IFERROR(+IF(CQ$27=ProposalToGnatt[[#This Row],[Start Date]],Milestone_Marker,IF(AND(CQ$27&gt;ProposalToGnatt[[#This Row],[Start Date]],CQ$27&lt;ProposalToGnatt[[#This Row],[Start Date]]+ProposalToGnatt[[#This Row],[Days]]),$G$5,"")),"")</f>
        <v/>
      </c>
      <c r="CR42" s="36" t="str">
        <f ca="1">IFERROR(+IF(CR$27=ProposalToGnatt[[#This Row],[Start Date]],Milestone_Marker,IF(AND(CR$27&gt;ProposalToGnatt[[#This Row],[Start Date]],CR$27&lt;ProposalToGnatt[[#This Row],[Start Date]]+ProposalToGnatt[[#This Row],[Days]]),$G$5,"")),"")</f>
        <v/>
      </c>
      <c r="CS42" s="36" t="str">
        <f ca="1">IFERROR(+IF(CS$27=ProposalToGnatt[[#This Row],[Start Date]],Milestone_Marker,IF(AND(CS$27&gt;ProposalToGnatt[[#This Row],[Start Date]],CS$27&lt;ProposalToGnatt[[#This Row],[Start Date]]+ProposalToGnatt[[#This Row],[Days]]),$G$5,"")),"")</f>
        <v/>
      </c>
      <c r="CT42" s="36" t="str">
        <f ca="1">IFERROR(+IF(CT$27=ProposalToGnatt[[#This Row],[Start Date]],Milestone_Marker,IF(AND(CT$27&gt;ProposalToGnatt[[#This Row],[Start Date]],CT$27&lt;ProposalToGnatt[[#This Row],[Start Date]]+ProposalToGnatt[[#This Row],[Days]]),$G$5,"")),"")</f>
        <v/>
      </c>
      <c r="CU42" s="36" t="str">
        <f ca="1">IFERROR(+IF(CU$27=ProposalToGnatt[[#This Row],[Start Date]],Milestone_Marker,IF(AND(CU$27&gt;ProposalToGnatt[[#This Row],[Start Date]],CU$27&lt;ProposalToGnatt[[#This Row],[Start Date]]+ProposalToGnatt[[#This Row],[Days]]),$G$5,"")),"")</f>
        <v/>
      </c>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row>
    <row r="43" spans="1:125" s="41" customFormat="1" ht="15" x14ac:dyDescent="0.25">
      <c r="A43" t="s">
        <v>730</v>
      </c>
      <c r="B43">
        <v>9</v>
      </c>
      <c r="C43" t="s">
        <v>702</v>
      </c>
      <c r="D43" t="s">
        <v>701</v>
      </c>
      <c r="E43" t="s">
        <v>703</v>
      </c>
      <c r="F43">
        <v>0</v>
      </c>
      <c r="G43" s="14">
        <v>0</v>
      </c>
      <c r="H43" s="14">
        <v>0</v>
      </c>
      <c r="I43" t="s">
        <v>516</v>
      </c>
      <c r="J43"/>
      <c r="K43" s="261"/>
      <c r="L43"/>
      <c r="M43" s="14"/>
      <c r="N43" s="309">
        <v>0</v>
      </c>
      <c r="O43" s="297"/>
      <c r="P43" s="36" t="str">
        <f ca="1">IFERROR(+IF(P$27=ProposalToGnatt[[#This Row],[Start Date]],Milestone_Marker,IF(AND(P$27&gt;ProposalToGnatt[[#This Row],[Start Date]],P$27&lt;ProposalToGnatt[[#This Row],[Start Date]]+ProposalToGnatt[[#This Row],[Days]]),$G$5,"")),"")</f>
        <v/>
      </c>
      <c r="Q43" s="36" t="str">
        <f ca="1">IFERROR(+IF(Q$27=ProposalToGnatt[[#This Row],[Start Date]],Milestone_Marker,IF(AND(Q$27&gt;ProposalToGnatt[[#This Row],[Start Date]],Q$27&lt;ProposalToGnatt[[#This Row],[Start Date]]+ProposalToGnatt[[#This Row],[Days]]),$G$5,"")),"")</f>
        <v/>
      </c>
      <c r="R43" s="36" t="str">
        <f ca="1">IFERROR(+IF(R$27=ProposalToGnatt[[#This Row],[Start Date]],Milestone_Marker,IF(AND(R$27&gt;ProposalToGnatt[[#This Row],[Start Date]],R$27&lt;ProposalToGnatt[[#This Row],[Start Date]]+ProposalToGnatt[[#This Row],[Days]]),$G$5,"")),"")</f>
        <v/>
      </c>
      <c r="S43" s="36" t="str">
        <f ca="1">IFERROR(+IF(S$27=ProposalToGnatt[[#This Row],[Start Date]],Milestone_Marker,IF(AND(S$27&gt;ProposalToGnatt[[#This Row],[Start Date]],S$27&lt;ProposalToGnatt[[#This Row],[Start Date]]+ProposalToGnatt[[#This Row],[Days]]),$G$5,"")),"")</f>
        <v/>
      </c>
      <c r="T43" s="36" t="str">
        <f ca="1">IFERROR(+IF(T$27=ProposalToGnatt[[#This Row],[Start Date]],Milestone_Marker,IF(AND(T$27&gt;ProposalToGnatt[[#This Row],[Start Date]],T$27&lt;ProposalToGnatt[[#This Row],[Start Date]]+ProposalToGnatt[[#This Row],[Days]]),$G$5,"")),"")</f>
        <v/>
      </c>
      <c r="U43" s="36" t="str">
        <f ca="1">IFERROR(+IF(U$27=ProposalToGnatt[[#This Row],[Start Date]],Milestone_Marker,IF(AND(U$27&gt;ProposalToGnatt[[#This Row],[Start Date]],U$27&lt;ProposalToGnatt[[#This Row],[Start Date]]+ProposalToGnatt[[#This Row],[Days]]),$G$5,"")),"")</f>
        <v/>
      </c>
      <c r="V43" s="36" t="str">
        <f ca="1">IFERROR(+IF(V$27=ProposalToGnatt[[#This Row],[Start Date]],Milestone_Marker,IF(AND(V$27&gt;ProposalToGnatt[[#This Row],[Start Date]],V$27&lt;ProposalToGnatt[[#This Row],[Start Date]]+ProposalToGnatt[[#This Row],[Days]]),$G$5,"")),"")</f>
        <v/>
      </c>
      <c r="W43" s="36" t="str">
        <f ca="1">IFERROR(+IF(W$27=ProposalToGnatt[[#This Row],[Start Date]],Milestone_Marker,IF(AND(W$27&gt;ProposalToGnatt[[#This Row],[Start Date]],W$27&lt;ProposalToGnatt[[#This Row],[Start Date]]+ProposalToGnatt[[#This Row],[Days]]),$G$5,"")),"")</f>
        <v/>
      </c>
      <c r="X43" s="36" t="str">
        <f ca="1">IFERROR(+IF(X$27=ProposalToGnatt[[#This Row],[Start Date]],Milestone_Marker,IF(AND(X$27&gt;ProposalToGnatt[[#This Row],[Start Date]],X$27&lt;ProposalToGnatt[[#This Row],[Start Date]]+ProposalToGnatt[[#This Row],[Days]]),$G$5,"")),"")</f>
        <v/>
      </c>
      <c r="Y43" s="36" t="str">
        <f ca="1">IFERROR(+IF(Y$27=ProposalToGnatt[[#This Row],[Start Date]],Milestone_Marker,IF(AND(Y$27&gt;ProposalToGnatt[[#This Row],[Start Date]],Y$27&lt;ProposalToGnatt[[#This Row],[Start Date]]+ProposalToGnatt[[#This Row],[Days]]),$G$5,"")),"")</f>
        <v/>
      </c>
      <c r="Z43" s="36" t="str">
        <f ca="1">IFERROR(+IF(Z$27=ProposalToGnatt[[#This Row],[Start Date]],Milestone_Marker,IF(AND(Z$27&gt;ProposalToGnatt[[#This Row],[Start Date]],Z$27&lt;ProposalToGnatt[[#This Row],[Start Date]]+ProposalToGnatt[[#This Row],[Days]]),$G$5,"")),"")</f>
        <v/>
      </c>
      <c r="AA43" s="36" t="str">
        <f ca="1">IFERROR(+IF(AA$27=ProposalToGnatt[[#This Row],[Start Date]],Milestone_Marker,IF(AND(AA$27&gt;ProposalToGnatt[[#This Row],[Start Date]],AA$27&lt;ProposalToGnatt[[#This Row],[Start Date]]+ProposalToGnatt[[#This Row],[Days]]),$G$5,"")),"")</f>
        <v/>
      </c>
      <c r="AB43" s="36" t="str">
        <f ca="1">IFERROR(+IF(AB$27=ProposalToGnatt[[#This Row],[Start Date]],Milestone_Marker,IF(AND(AB$27&gt;ProposalToGnatt[[#This Row],[Start Date]],AB$27&lt;ProposalToGnatt[[#This Row],[Start Date]]+ProposalToGnatt[[#This Row],[Days]]),$G$5,"")),"")</f>
        <v/>
      </c>
      <c r="AC43" s="36" t="str">
        <f ca="1">IFERROR(+IF(AC$27=ProposalToGnatt[[#This Row],[Start Date]],Milestone_Marker,IF(AND(AC$27&gt;ProposalToGnatt[[#This Row],[Start Date]],AC$27&lt;ProposalToGnatt[[#This Row],[Start Date]]+ProposalToGnatt[[#This Row],[Days]]),$G$5,"")),"")</f>
        <v/>
      </c>
      <c r="AD43" s="36" t="str">
        <f ca="1">IFERROR(+IF(AD$27=ProposalToGnatt[[#This Row],[Start Date]],Milestone_Marker,IF(AND(AD$27&gt;ProposalToGnatt[[#This Row],[Start Date]],AD$27&lt;ProposalToGnatt[[#This Row],[Start Date]]+ProposalToGnatt[[#This Row],[Days]]),$G$5,"")),"")</f>
        <v/>
      </c>
      <c r="AE43" s="36" t="str">
        <f ca="1">IFERROR(+IF(AE$27=ProposalToGnatt[[#This Row],[Start Date]],Milestone_Marker,IF(AND(AE$27&gt;ProposalToGnatt[[#This Row],[Start Date]],AE$27&lt;ProposalToGnatt[[#This Row],[Start Date]]+ProposalToGnatt[[#This Row],[Days]]),$G$5,"")),"")</f>
        <v/>
      </c>
      <c r="AF43" s="36" t="str">
        <f ca="1">IFERROR(+IF(AF$27=ProposalToGnatt[[#This Row],[Start Date]],Milestone_Marker,IF(AND(AF$27&gt;ProposalToGnatt[[#This Row],[Start Date]],AF$27&lt;ProposalToGnatt[[#This Row],[Start Date]]+ProposalToGnatt[[#This Row],[Days]]),$G$5,"")),"")</f>
        <v/>
      </c>
      <c r="AG43" s="36" t="str">
        <f ca="1">IFERROR(+IF(AG$27=ProposalToGnatt[[#This Row],[Start Date]],Milestone_Marker,IF(AND(AG$27&gt;ProposalToGnatt[[#This Row],[Start Date]],AG$27&lt;ProposalToGnatt[[#This Row],[Start Date]]+ProposalToGnatt[[#This Row],[Days]]),$G$5,"")),"")</f>
        <v/>
      </c>
      <c r="AH43" s="36" t="str">
        <f ca="1">IFERROR(+IF(AH$27=ProposalToGnatt[[#This Row],[Start Date]],Milestone_Marker,IF(AND(AH$27&gt;ProposalToGnatt[[#This Row],[Start Date]],AH$27&lt;ProposalToGnatt[[#This Row],[Start Date]]+ProposalToGnatt[[#This Row],[Days]]),$G$5,"")),"")</f>
        <v/>
      </c>
      <c r="AI43" s="36" t="str">
        <f ca="1">IFERROR(+IF(AI$27=ProposalToGnatt[[#This Row],[Start Date]],Milestone_Marker,IF(AND(AI$27&gt;ProposalToGnatt[[#This Row],[Start Date]],AI$27&lt;ProposalToGnatt[[#This Row],[Start Date]]+ProposalToGnatt[[#This Row],[Days]]),$G$5,"")),"")</f>
        <v/>
      </c>
      <c r="AJ43" s="36" t="str">
        <f ca="1">IFERROR(+IF(AJ$27=ProposalToGnatt[[#This Row],[Start Date]],Milestone_Marker,IF(AND(AJ$27&gt;ProposalToGnatt[[#This Row],[Start Date]],AJ$27&lt;ProposalToGnatt[[#This Row],[Start Date]]+ProposalToGnatt[[#This Row],[Days]]),$G$5,"")),"")</f>
        <v/>
      </c>
      <c r="AK43" s="36" t="str">
        <f ca="1">IFERROR(+IF(AK$27=ProposalToGnatt[[#This Row],[Start Date]],Milestone_Marker,IF(AND(AK$27&gt;ProposalToGnatt[[#This Row],[Start Date]],AK$27&lt;ProposalToGnatt[[#This Row],[Start Date]]+ProposalToGnatt[[#This Row],[Days]]),$G$5,"")),"")</f>
        <v/>
      </c>
      <c r="AL43" s="36" t="str">
        <f ca="1">IFERROR(+IF(AL$27=ProposalToGnatt[[#This Row],[Start Date]],Milestone_Marker,IF(AND(AL$27&gt;ProposalToGnatt[[#This Row],[Start Date]],AL$27&lt;ProposalToGnatt[[#This Row],[Start Date]]+ProposalToGnatt[[#This Row],[Days]]),$G$5,"")),"")</f>
        <v/>
      </c>
      <c r="AM43" s="36" t="str">
        <f ca="1">IFERROR(+IF(AM$27=ProposalToGnatt[[#This Row],[Start Date]],Milestone_Marker,IF(AND(AM$27&gt;ProposalToGnatt[[#This Row],[Start Date]],AM$27&lt;ProposalToGnatt[[#This Row],[Start Date]]+ProposalToGnatt[[#This Row],[Days]]),$G$5,"")),"")</f>
        <v/>
      </c>
      <c r="AN43" s="36" t="str">
        <f ca="1">IFERROR(+IF(AN$27=ProposalToGnatt[[#This Row],[Start Date]],Milestone_Marker,IF(AND(AN$27&gt;ProposalToGnatt[[#This Row],[Start Date]],AN$27&lt;ProposalToGnatt[[#This Row],[Start Date]]+ProposalToGnatt[[#This Row],[Days]]),$G$5,"")),"")</f>
        <v/>
      </c>
      <c r="AO43" s="36" t="str">
        <f ca="1">IFERROR(+IF(AO$27=ProposalToGnatt[[#This Row],[Start Date]],Milestone_Marker,IF(AND(AO$27&gt;ProposalToGnatt[[#This Row],[Start Date]],AO$27&lt;ProposalToGnatt[[#This Row],[Start Date]]+ProposalToGnatt[[#This Row],[Days]]),$G$5,"")),"")</f>
        <v/>
      </c>
      <c r="AP43" s="36" t="str">
        <f ca="1">IFERROR(+IF(AP$27=ProposalToGnatt[[#This Row],[Start Date]],Milestone_Marker,IF(AND(AP$27&gt;ProposalToGnatt[[#This Row],[Start Date]],AP$27&lt;ProposalToGnatt[[#This Row],[Start Date]]+ProposalToGnatt[[#This Row],[Days]]),$G$5,"")),"")</f>
        <v/>
      </c>
      <c r="AQ43" s="36" t="str">
        <f ca="1">IFERROR(+IF(AQ$27=ProposalToGnatt[[#This Row],[Start Date]],Milestone_Marker,IF(AND(AQ$27&gt;ProposalToGnatt[[#This Row],[Start Date]],AQ$27&lt;ProposalToGnatt[[#This Row],[Start Date]]+ProposalToGnatt[[#This Row],[Days]]),$G$5,"")),"")</f>
        <v/>
      </c>
      <c r="AR43" s="36" t="str">
        <f ca="1">IFERROR(+IF(AR$27=ProposalToGnatt[[#This Row],[Start Date]],Milestone_Marker,IF(AND(AR$27&gt;ProposalToGnatt[[#This Row],[Start Date]],AR$27&lt;ProposalToGnatt[[#This Row],[Start Date]]+ProposalToGnatt[[#This Row],[Days]]),$G$5,"")),"")</f>
        <v/>
      </c>
      <c r="AS43" s="36" t="str">
        <f ca="1">IFERROR(+IF(AS$27=ProposalToGnatt[[#This Row],[Start Date]],Milestone_Marker,IF(AND(AS$27&gt;ProposalToGnatt[[#This Row],[Start Date]],AS$27&lt;ProposalToGnatt[[#This Row],[Start Date]]+ProposalToGnatt[[#This Row],[Days]]),$G$5,"")),"")</f>
        <v/>
      </c>
      <c r="AT43" s="36" t="str">
        <f ca="1">IFERROR(+IF(AT$27=ProposalToGnatt[[#This Row],[Start Date]],Milestone_Marker,IF(AND(AT$27&gt;ProposalToGnatt[[#This Row],[Start Date]],AT$27&lt;ProposalToGnatt[[#This Row],[Start Date]]+ProposalToGnatt[[#This Row],[Days]]),$G$5,"")),"")</f>
        <v/>
      </c>
      <c r="AU43" s="36" t="str">
        <f ca="1">IFERROR(+IF(AU$27=ProposalToGnatt[[#This Row],[Start Date]],Milestone_Marker,IF(AND(AU$27&gt;ProposalToGnatt[[#This Row],[Start Date]],AU$27&lt;ProposalToGnatt[[#This Row],[Start Date]]+ProposalToGnatt[[#This Row],[Days]]),$G$5,"")),"")</f>
        <v/>
      </c>
      <c r="AV43" s="36" t="str">
        <f ca="1">IFERROR(+IF(AV$27=ProposalToGnatt[[#This Row],[Start Date]],Milestone_Marker,IF(AND(AV$27&gt;ProposalToGnatt[[#This Row],[Start Date]],AV$27&lt;ProposalToGnatt[[#This Row],[Start Date]]+ProposalToGnatt[[#This Row],[Days]]),$G$5,"")),"")</f>
        <v/>
      </c>
      <c r="AW43" s="36" t="str">
        <f ca="1">IFERROR(+IF(AW$27=ProposalToGnatt[[#This Row],[Start Date]],Milestone_Marker,IF(AND(AW$27&gt;ProposalToGnatt[[#This Row],[Start Date]],AW$27&lt;ProposalToGnatt[[#This Row],[Start Date]]+ProposalToGnatt[[#This Row],[Days]]),$G$5,"")),"")</f>
        <v/>
      </c>
      <c r="AX43" s="36" t="str">
        <f ca="1">IFERROR(+IF(AX$27=ProposalToGnatt[[#This Row],[Start Date]],Milestone_Marker,IF(AND(AX$27&gt;ProposalToGnatt[[#This Row],[Start Date]],AX$27&lt;ProposalToGnatt[[#This Row],[Start Date]]+ProposalToGnatt[[#This Row],[Days]]),$G$5,"")),"")</f>
        <v/>
      </c>
      <c r="AY43" s="36" t="str">
        <f ca="1">IFERROR(+IF(AY$27=ProposalToGnatt[[#This Row],[Start Date]],Milestone_Marker,IF(AND(AY$27&gt;ProposalToGnatt[[#This Row],[Start Date]],AY$27&lt;ProposalToGnatt[[#This Row],[Start Date]]+ProposalToGnatt[[#This Row],[Days]]),$G$5,"")),"")</f>
        <v/>
      </c>
      <c r="AZ43" s="36" t="str">
        <f ca="1">IFERROR(+IF(AZ$27=ProposalToGnatt[[#This Row],[Start Date]],Milestone_Marker,IF(AND(AZ$27&gt;ProposalToGnatt[[#This Row],[Start Date]],AZ$27&lt;ProposalToGnatt[[#This Row],[Start Date]]+ProposalToGnatt[[#This Row],[Days]]),$G$5,"")),"")</f>
        <v/>
      </c>
      <c r="BA43" s="36" t="str">
        <f ca="1">IFERROR(+IF(BA$27=ProposalToGnatt[[#This Row],[Start Date]],Milestone_Marker,IF(AND(BA$27&gt;ProposalToGnatt[[#This Row],[Start Date]],BA$27&lt;ProposalToGnatt[[#This Row],[Start Date]]+ProposalToGnatt[[#This Row],[Days]]),$G$5,"")),"")</f>
        <v/>
      </c>
      <c r="BB43" s="36" t="str">
        <f ca="1">IFERROR(+IF(BB$27=ProposalToGnatt[[#This Row],[Start Date]],Milestone_Marker,IF(AND(BB$27&gt;ProposalToGnatt[[#This Row],[Start Date]],BB$27&lt;ProposalToGnatt[[#This Row],[Start Date]]+ProposalToGnatt[[#This Row],[Days]]),$G$5,"")),"")</f>
        <v/>
      </c>
      <c r="BC43" s="36" t="str">
        <f ca="1">IFERROR(+IF(BC$27=ProposalToGnatt[[#This Row],[Start Date]],Milestone_Marker,IF(AND(BC$27&gt;ProposalToGnatt[[#This Row],[Start Date]],BC$27&lt;ProposalToGnatt[[#This Row],[Start Date]]+ProposalToGnatt[[#This Row],[Days]]),$G$5,"")),"")</f>
        <v/>
      </c>
      <c r="BD43" s="36" t="str">
        <f ca="1">IFERROR(+IF(BD$27=ProposalToGnatt[[#This Row],[Start Date]],Milestone_Marker,IF(AND(BD$27&gt;ProposalToGnatt[[#This Row],[Start Date]],BD$27&lt;ProposalToGnatt[[#This Row],[Start Date]]+ProposalToGnatt[[#This Row],[Days]]),$G$5,"")),"")</f>
        <v/>
      </c>
      <c r="BE43" s="36" t="str">
        <f ca="1">IFERROR(+IF(BE$27=ProposalToGnatt[[#This Row],[Start Date]],Milestone_Marker,IF(AND(BE$27&gt;ProposalToGnatt[[#This Row],[Start Date]],BE$27&lt;ProposalToGnatt[[#This Row],[Start Date]]+ProposalToGnatt[[#This Row],[Days]]),$G$5,"")),"")</f>
        <v/>
      </c>
      <c r="BF43" s="36" t="str">
        <f ca="1">IFERROR(+IF(BF$27=ProposalToGnatt[[#This Row],[Start Date]],Milestone_Marker,IF(AND(BF$27&gt;ProposalToGnatt[[#This Row],[Start Date]],BF$27&lt;ProposalToGnatt[[#This Row],[Start Date]]+ProposalToGnatt[[#This Row],[Days]]),$G$5,"")),"")</f>
        <v/>
      </c>
      <c r="BG43" s="36" t="str">
        <f ca="1">IFERROR(+IF(BG$27=ProposalToGnatt[[#This Row],[Start Date]],Milestone_Marker,IF(AND(BG$27&gt;ProposalToGnatt[[#This Row],[Start Date]],BG$27&lt;ProposalToGnatt[[#This Row],[Start Date]]+ProposalToGnatt[[#This Row],[Days]]),$G$5,"")),"")</f>
        <v/>
      </c>
      <c r="BH43" s="36" t="str">
        <f ca="1">IFERROR(+IF(BH$27=ProposalToGnatt[[#This Row],[Start Date]],Milestone_Marker,IF(AND(BH$27&gt;ProposalToGnatt[[#This Row],[Start Date]],BH$27&lt;ProposalToGnatt[[#This Row],[Start Date]]+ProposalToGnatt[[#This Row],[Days]]),$G$5,"")),"")</f>
        <v/>
      </c>
      <c r="BI43" s="36" t="str">
        <f ca="1">IFERROR(+IF(BI$27=ProposalToGnatt[[#This Row],[Start Date]],Milestone_Marker,IF(AND(BI$27&gt;ProposalToGnatt[[#This Row],[Start Date]],BI$27&lt;ProposalToGnatt[[#This Row],[Start Date]]+ProposalToGnatt[[#This Row],[Days]]),$G$5,"")),"")</f>
        <v/>
      </c>
      <c r="BJ43" s="36" t="str">
        <f ca="1">IFERROR(+IF(BJ$27=ProposalToGnatt[[#This Row],[Start Date]],Milestone_Marker,IF(AND(BJ$27&gt;ProposalToGnatt[[#This Row],[Start Date]],BJ$27&lt;ProposalToGnatt[[#This Row],[Start Date]]+ProposalToGnatt[[#This Row],[Days]]),$G$5,"")),"")</f>
        <v/>
      </c>
      <c r="BK43" s="36" t="str">
        <f ca="1">IFERROR(+IF(BK$27=ProposalToGnatt[[#This Row],[Start Date]],Milestone_Marker,IF(AND(BK$27&gt;ProposalToGnatt[[#This Row],[Start Date]],BK$27&lt;ProposalToGnatt[[#This Row],[Start Date]]+ProposalToGnatt[[#This Row],[Days]]),$G$5,"")),"")</f>
        <v/>
      </c>
      <c r="BL43" s="36" t="str">
        <f ca="1">IFERROR(+IF(BL$27=ProposalToGnatt[[#This Row],[Start Date]],Milestone_Marker,IF(AND(BL$27&gt;ProposalToGnatt[[#This Row],[Start Date]],BL$27&lt;ProposalToGnatt[[#This Row],[Start Date]]+ProposalToGnatt[[#This Row],[Days]]),$G$5,"")),"")</f>
        <v/>
      </c>
      <c r="BM43" s="36" t="str">
        <f ca="1">IFERROR(+IF(BM$27=ProposalToGnatt[[#This Row],[Start Date]],Milestone_Marker,IF(AND(BM$27&gt;ProposalToGnatt[[#This Row],[Start Date]],BM$27&lt;ProposalToGnatt[[#This Row],[Start Date]]+ProposalToGnatt[[#This Row],[Days]]),$G$5,"")),"")</f>
        <v/>
      </c>
      <c r="BN43" s="36" t="str">
        <f ca="1">IFERROR(+IF(BN$27=ProposalToGnatt[[#This Row],[Start Date]],Milestone_Marker,IF(AND(BN$27&gt;ProposalToGnatt[[#This Row],[Start Date]],BN$27&lt;ProposalToGnatt[[#This Row],[Start Date]]+ProposalToGnatt[[#This Row],[Days]]),$G$5,"")),"")</f>
        <v/>
      </c>
      <c r="BO43" s="36" t="str">
        <f ca="1">IFERROR(+IF(BO$27=ProposalToGnatt[[#This Row],[Start Date]],Milestone_Marker,IF(AND(BO$27&gt;ProposalToGnatt[[#This Row],[Start Date]],BO$27&lt;ProposalToGnatt[[#This Row],[Start Date]]+ProposalToGnatt[[#This Row],[Days]]),$G$5,"")),"")</f>
        <v/>
      </c>
      <c r="BP43" s="36" t="str">
        <f ca="1">IFERROR(+IF(BP$27=ProposalToGnatt[[#This Row],[Start Date]],Milestone_Marker,IF(AND(BP$27&gt;ProposalToGnatt[[#This Row],[Start Date]],BP$27&lt;ProposalToGnatt[[#This Row],[Start Date]]+ProposalToGnatt[[#This Row],[Days]]),$G$5,"")),"")</f>
        <v/>
      </c>
      <c r="BQ43" s="36" t="str">
        <f ca="1">IFERROR(+IF(BQ$27=ProposalToGnatt[[#This Row],[Start Date]],Milestone_Marker,IF(AND(BQ$27&gt;ProposalToGnatt[[#This Row],[Start Date]],BQ$27&lt;ProposalToGnatt[[#This Row],[Start Date]]+ProposalToGnatt[[#This Row],[Days]]),$G$5,"")),"")</f>
        <v/>
      </c>
      <c r="BR43" s="36" t="str">
        <f ca="1">IFERROR(+IF(BR$27=ProposalToGnatt[[#This Row],[Start Date]],Milestone_Marker,IF(AND(BR$27&gt;ProposalToGnatt[[#This Row],[Start Date]],BR$27&lt;ProposalToGnatt[[#This Row],[Start Date]]+ProposalToGnatt[[#This Row],[Days]]),$G$5,"")),"")</f>
        <v/>
      </c>
      <c r="BS43" s="36" t="str">
        <f ca="1">IFERROR(+IF(BS$27=ProposalToGnatt[[#This Row],[Start Date]],Milestone_Marker,IF(AND(BS$27&gt;ProposalToGnatt[[#This Row],[Start Date]],BS$27&lt;ProposalToGnatt[[#This Row],[Start Date]]+ProposalToGnatt[[#This Row],[Days]]),$G$5,"")),"")</f>
        <v/>
      </c>
      <c r="BT43" s="36" t="str">
        <f ca="1">IFERROR(+IF(BT$27=ProposalToGnatt[[#This Row],[Start Date]],Milestone_Marker,IF(AND(BT$27&gt;ProposalToGnatt[[#This Row],[Start Date]],BT$27&lt;ProposalToGnatt[[#This Row],[Start Date]]+ProposalToGnatt[[#This Row],[Days]]),$G$5,"")),"")</f>
        <v/>
      </c>
      <c r="BU43" s="36" t="str">
        <f ca="1">IFERROR(+IF(BU$27=ProposalToGnatt[[#This Row],[Start Date]],Milestone_Marker,IF(AND(BU$27&gt;ProposalToGnatt[[#This Row],[Start Date]],BU$27&lt;ProposalToGnatt[[#This Row],[Start Date]]+ProposalToGnatt[[#This Row],[Days]]),$G$5,"")),"")</f>
        <v/>
      </c>
      <c r="BV43" s="36" t="str">
        <f ca="1">IFERROR(+IF(BV$27=ProposalToGnatt[[#This Row],[Start Date]],Milestone_Marker,IF(AND(BV$27&gt;ProposalToGnatt[[#This Row],[Start Date]],BV$27&lt;ProposalToGnatt[[#This Row],[Start Date]]+ProposalToGnatt[[#This Row],[Days]]),$G$5,"")),"")</f>
        <v/>
      </c>
      <c r="BW43" s="36" t="str">
        <f ca="1">IFERROR(+IF(BW$27=ProposalToGnatt[[#This Row],[Start Date]],Milestone_Marker,IF(AND(BW$27&gt;ProposalToGnatt[[#This Row],[Start Date]],BW$27&lt;ProposalToGnatt[[#This Row],[Start Date]]+ProposalToGnatt[[#This Row],[Days]]),$G$5,"")),"")</f>
        <v/>
      </c>
      <c r="BX43" s="36" t="str">
        <f ca="1">IFERROR(+IF(BX$27=ProposalToGnatt[[#This Row],[Start Date]],Milestone_Marker,IF(AND(BX$27&gt;ProposalToGnatt[[#This Row],[Start Date]],BX$27&lt;ProposalToGnatt[[#This Row],[Start Date]]+ProposalToGnatt[[#This Row],[Days]]),$G$5,"")),"")</f>
        <v/>
      </c>
      <c r="BY43" s="36" t="str">
        <f ca="1">IFERROR(+IF(BY$27=ProposalToGnatt[[#This Row],[Start Date]],Milestone_Marker,IF(AND(BY$27&gt;ProposalToGnatt[[#This Row],[Start Date]],BY$27&lt;ProposalToGnatt[[#This Row],[Start Date]]+ProposalToGnatt[[#This Row],[Days]]),$G$5,"")),"")</f>
        <v/>
      </c>
      <c r="BZ43" s="36" t="str">
        <f ca="1">IFERROR(+IF(BZ$27=ProposalToGnatt[[#This Row],[Start Date]],Milestone_Marker,IF(AND(BZ$27&gt;ProposalToGnatt[[#This Row],[Start Date]],BZ$27&lt;ProposalToGnatt[[#This Row],[Start Date]]+ProposalToGnatt[[#This Row],[Days]]),$G$5,"")),"")</f>
        <v/>
      </c>
      <c r="CA43" s="36" t="str">
        <f ca="1">IFERROR(+IF(CA$27=ProposalToGnatt[[#This Row],[Start Date]],Milestone_Marker,IF(AND(CA$27&gt;ProposalToGnatt[[#This Row],[Start Date]],CA$27&lt;ProposalToGnatt[[#This Row],[Start Date]]+ProposalToGnatt[[#This Row],[Days]]),$G$5,"")),"")</f>
        <v/>
      </c>
      <c r="CB43" s="36" t="str">
        <f ca="1">IFERROR(+IF(CB$27=ProposalToGnatt[[#This Row],[Start Date]],Milestone_Marker,IF(AND(CB$27&gt;ProposalToGnatt[[#This Row],[Start Date]],CB$27&lt;ProposalToGnatt[[#This Row],[Start Date]]+ProposalToGnatt[[#This Row],[Days]]),$G$5,"")),"")</f>
        <v/>
      </c>
      <c r="CC43" s="36" t="str">
        <f ca="1">IFERROR(+IF(CC$27=ProposalToGnatt[[#This Row],[Start Date]],Milestone_Marker,IF(AND(CC$27&gt;ProposalToGnatt[[#This Row],[Start Date]],CC$27&lt;ProposalToGnatt[[#This Row],[Start Date]]+ProposalToGnatt[[#This Row],[Days]]),$G$5,"")),"")</f>
        <v/>
      </c>
      <c r="CD43" s="36" t="str">
        <f ca="1">IFERROR(+IF(CD$27=ProposalToGnatt[[#This Row],[Start Date]],Milestone_Marker,IF(AND(CD$27&gt;ProposalToGnatt[[#This Row],[Start Date]],CD$27&lt;ProposalToGnatt[[#This Row],[Start Date]]+ProposalToGnatt[[#This Row],[Days]]),$G$5,"")),"")</f>
        <v/>
      </c>
      <c r="CE43" s="36" t="str">
        <f ca="1">IFERROR(+IF(CE$27=ProposalToGnatt[[#This Row],[Start Date]],Milestone_Marker,IF(AND(CE$27&gt;ProposalToGnatt[[#This Row],[Start Date]],CE$27&lt;ProposalToGnatt[[#This Row],[Start Date]]+ProposalToGnatt[[#This Row],[Days]]),$G$5,"")),"")</f>
        <v/>
      </c>
      <c r="CF43" s="36" t="str">
        <f ca="1">IFERROR(+IF(CF$27=ProposalToGnatt[[#This Row],[Start Date]],Milestone_Marker,IF(AND(CF$27&gt;ProposalToGnatt[[#This Row],[Start Date]],CF$27&lt;ProposalToGnatt[[#This Row],[Start Date]]+ProposalToGnatt[[#This Row],[Days]]),$G$5,"")),"")</f>
        <v/>
      </c>
      <c r="CG43" s="36" t="str">
        <f ca="1">IFERROR(+IF(CG$27=ProposalToGnatt[[#This Row],[Start Date]],Milestone_Marker,IF(AND(CG$27&gt;ProposalToGnatt[[#This Row],[Start Date]],CG$27&lt;ProposalToGnatt[[#This Row],[Start Date]]+ProposalToGnatt[[#This Row],[Days]]),$G$5,"")),"")</f>
        <v/>
      </c>
      <c r="CH43" s="36" t="str">
        <f ca="1">IFERROR(+IF(CH$27=ProposalToGnatt[[#This Row],[Start Date]],Milestone_Marker,IF(AND(CH$27&gt;ProposalToGnatt[[#This Row],[Start Date]],CH$27&lt;ProposalToGnatt[[#This Row],[Start Date]]+ProposalToGnatt[[#This Row],[Days]]),$G$5,"")),"")</f>
        <v/>
      </c>
      <c r="CI43" s="36" t="str">
        <f ca="1">IFERROR(+IF(CI$27=ProposalToGnatt[[#This Row],[Start Date]],Milestone_Marker,IF(AND(CI$27&gt;ProposalToGnatt[[#This Row],[Start Date]],CI$27&lt;ProposalToGnatt[[#This Row],[Start Date]]+ProposalToGnatt[[#This Row],[Days]]),$G$5,"")),"")</f>
        <v/>
      </c>
      <c r="CJ43" s="36" t="str">
        <f ca="1">IFERROR(+IF(CJ$27=ProposalToGnatt[[#This Row],[Start Date]],Milestone_Marker,IF(AND(CJ$27&gt;ProposalToGnatt[[#This Row],[Start Date]],CJ$27&lt;ProposalToGnatt[[#This Row],[Start Date]]+ProposalToGnatt[[#This Row],[Days]]),$G$5,"")),"")</f>
        <v/>
      </c>
      <c r="CK43" s="36" t="str">
        <f ca="1">IFERROR(+IF(CK$27=ProposalToGnatt[[#This Row],[Start Date]],Milestone_Marker,IF(AND(CK$27&gt;ProposalToGnatt[[#This Row],[Start Date]],CK$27&lt;ProposalToGnatt[[#This Row],[Start Date]]+ProposalToGnatt[[#This Row],[Days]]),$G$5,"")),"")</f>
        <v/>
      </c>
      <c r="CL43" s="36" t="str">
        <f ca="1">IFERROR(+IF(CL$27=ProposalToGnatt[[#This Row],[Start Date]],Milestone_Marker,IF(AND(CL$27&gt;ProposalToGnatt[[#This Row],[Start Date]],CL$27&lt;ProposalToGnatt[[#This Row],[Start Date]]+ProposalToGnatt[[#This Row],[Days]]),$G$5,"")),"")</f>
        <v/>
      </c>
      <c r="CM43" s="36" t="str">
        <f ca="1">IFERROR(+IF(CM$27=ProposalToGnatt[[#This Row],[Start Date]],Milestone_Marker,IF(AND(CM$27&gt;ProposalToGnatt[[#This Row],[Start Date]],CM$27&lt;ProposalToGnatt[[#This Row],[Start Date]]+ProposalToGnatt[[#This Row],[Days]]),$G$5,"")),"")</f>
        <v/>
      </c>
      <c r="CN43" s="36" t="str">
        <f ca="1">IFERROR(+IF(CN$27=ProposalToGnatt[[#This Row],[Start Date]],Milestone_Marker,IF(AND(CN$27&gt;ProposalToGnatt[[#This Row],[Start Date]],CN$27&lt;ProposalToGnatt[[#This Row],[Start Date]]+ProposalToGnatt[[#This Row],[Days]]),$G$5,"")),"")</f>
        <v/>
      </c>
      <c r="CO43" s="36" t="str">
        <f ca="1">IFERROR(+IF(CO$27=ProposalToGnatt[[#This Row],[Start Date]],Milestone_Marker,IF(AND(CO$27&gt;ProposalToGnatt[[#This Row],[Start Date]],CO$27&lt;ProposalToGnatt[[#This Row],[Start Date]]+ProposalToGnatt[[#This Row],[Days]]),$G$5,"")),"")</f>
        <v/>
      </c>
      <c r="CP43" s="36" t="str">
        <f ca="1">IFERROR(+IF(CP$27=ProposalToGnatt[[#This Row],[Start Date]],Milestone_Marker,IF(AND(CP$27&gt;ProposalToGnatt[[#This Row],[Start Date]],CP$27&lt;ProposalToGnatt[[#This Row],[Start Date]]+ProposalToGnatt[[#This Row],[Days]]),$G$5,"")),"")</f>
        <v/>
      </c>
      <c r="CQ43" s="36" t="str">
        <f ca="1">IFERROR(+IF(CQ$27=ProposalToGnatt[[#This Row],[Start Date]],Milestone_Marker,IF(AND(CQ$27&gt;ProposalToGnatt[[#This Row],[Start Date]],CQ$27&lt;ProposalToGnatt[[#This Row],[Start Date]]+ProposalToGnatt[[#This Row],[Days]]),$G$5,"")),"")</f>
        <v/>
      </c>
      <c r="CR43" s="36" t="str">
        <f ca="1">IFERROR(+IF(CR$27=ProposalToGnatt[[#This Row],[Start Date]],Milestone_Marker,IF(AND(CR$27&gt;ProposalToGnatt[[#This Row],[Start Date]],CR$27&lt;ProposalToGnatt[[#This Row],[Start Date]]+ProposalToGnatt[[#This Row],[Days]]),$G$5,"")),"")</f>
        <v/>
      </c>
      <c r="CS43" s="36" t="str">
        <f ca="1">IFERROR(+IF(CS$27=ProposalToGnatt[[#This Row],[Start Date]],Milestone_Marker,IF(AND(CS$27&gt;ProposalToGnatt[[#This Row],[Start Date]],CS$27&lt;ProposalToGnatt[[#This Row],[Start Date]]+ProposalToGnatt[[#This Row],[Days]]),$G$5,"")),"")</f>
        <v/>
      </c>
      <c r="CT43" s="36" t="str">
        <f ca="1">IFERROR(+IF(CT$27=ProposalToGnatt[[#This Row],[Start Date]],Milestone_Marker,IF(AND(CT$27&gt;ProposalToGnatt[[#This Row],[Start Date]],CT$27&lt;ProposalToGnatt[[#This Row],[Start Date]]+ProposalToGnatt[[#This Row],[Days]]),$G$5,"")),"")</f>
        <v/>
      </c>
      <c r="CU43" s="36" t="str">
        <f ca="1">IFERROR(+IF(CU$27=ProposalToGnatt[[#This Row],[Start Date]],Milestone_Marker,IF(AND(CU$27&gt;ProposalToGnatt[[#This Row],[Start Date]],CU$27&lt;ProposalToGnatt[[#This Row],[Start Date]]+ProposalToGnatt[[#This Row],[Days]]),$G$5,"")),"")</f>
        <v/>
      </c>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row>
    <row r="44" spans="1:125" s="41" customFormat="1" ht="15" x14ac:dyDescent="0.25">
      <c r="A44" t="s">
        <v>730</v>
      </c>
      <c r="B44">
        <v>17</v>
      </c>
      <c r="C44" t="s">
        <v>174</v>
      </c>
      <c r="D44" t="s">
        <v>692</v>
      </c>
      <c r="E44" t="s">
        <v>1152</v>
      </c>
      <c r="F44">
        <v>2</v>
      </c>
      <c r="G44" s="14">
        <v>62.15</v>
      </c>
      <c r="H44" s="14">
        <v>124.3</v>
      </c>
      <c r="I44"/>
      <c r="J44"/>
      <c r="K44" s="261"/>
      <c r="L44"/>
      <c r="M44" s="14"/>
      <c r="N44" s="309"/>
      <c r="O44" s="297"/>
      <c r="P44" s="36" t="str">
        <f ca="1">IFERROR(+IF(P$27=ProposalToGnatt[[#This Row],[Start Date]],Milestone_Marker,IF(AND(P$27&gt;ProposalToGnatt[[#This Row],[Start Date]],P$27&lt;ProposalToGnatt[[#This Row],[Start Date]]+ProposalToGnatt[[#This Row],[Days]]),$G$5,"")),"")</f>
        <v/>
      </c>
      <c r="Q44" s="36" t="str">
        <f ca="1">IFERROR(+IF(Q$27=ProposalToGnatt[[#This Row],[Start Date]],Milestone_Marker,IF(AND(Q$27&gt;ProposalToGnatt[[#This Row],[Start Date]],Q$27&lt;ProposalToGnatt[[#This Row],[Start Date]]+ProposalToGnatt[[#This Row],[Days]]),$G$5,"")),"")</f>
        <v/>
      </c>
      <c r="R44" s="36" t="str">
        <f ca="1">IFERROR(+IF(R$27=ProposalToGnatt[[#This Row],[Start Date]],Milestone_Marker,IF(AND(R$27&gt;ProposalToGnatt[[#This Row],[Start Date]],R$27&lt;ProposalToGnatt[[#This Row],[Start Date]]+ProposalToGnatt[[#This Row],[Days]]),$G$5,"")),"")</f>
        <v/>
      </c>
      <c r="S44" s="36" t="str">
        <f ca="1">IFERROR(+IF(S$27=ProposalToGnatt[[#This Row],[Start Date]],Milestone_Marker,IF(AND(S$27&gt;ProposalToGnatt[[#This Row],[Start Date]],S$27&lt;ProposalToGnatt[[#This Row],[Start Date]]+ProposalToGnatt[[#This Row],[Days]]),$G$5,"")),"")</f>
        <v/>
      </c>
      <c r="T44" s="36" t="str">
        <f ca="1">IFERROR(+IF(T$27=ProposalToGnatt[[#This Row],[Start Date]],Milestone_Marker,IF(AND(T$27&gt;ProposalToGnatt[[#This Row],[Start Date]],T$27&lt;ProposalToGnatt[[#This Row],[Start Date]]+ProposalToGnatt[[#This Row],[Days]]),$G$5,"")),"")</f>
        <v/>
      </c>
      <c r="U44" s="36" t="str">
        <f ca="1">IFERROR(+IF(U$27=ProposalToGnatt[[#This Row],[Start Date]],Milestone_Marker,IF(AND(U$27&gt;ProposalToGnatt[[#This Row],[Start Date]],U$27&lt;ProposalToGnatt[[#This Row],[Start Date]]+ProposalToGnatt[[#This Row],[Days]]),$G$5,"")),"")</f>
        <v/>
      </c>
      <c r="V44" s="36" t="str">
        <f ca="1">IFERROR(+IF(V$27=ProposalToGnatt[[#This Row],[Start Date]],Milestone_Marker,IF(AND(V$27&gt;ProposalToGnatt[[#This Row],[Start Date]],V$27&lt;ProposalToGnatt[[#This Row],[Start Date]]+ProposalToGnatt[[#This Row],[Days]]),$G$5,"")),"")</f>
        <v/>
      </c>
      <c r="W44" s="36" t="str">
        <f ca="1">IFERROR(+IF(W$27=ProposalToGnatt[[#This Row],[Start Date]],Milestone_Marker,IF(AND(W$27&gt;ProposalToGnatt[[#This Row],[Start Date]],W$27&lt;ProposalToGnatt[[#This Row],[Start Date]]+ProposalToGnatt[[#This Row],[Days]]),$G$5,"")),"")</f>
        <v/>
      </c>
      <c r="X44" s="36" t="str">
        <f ca="1">IFERROR(+IF(X$27=ProposalToGnatt[[#This Row],[Start Date]],Milestone_Marker,IF(AND(X$27&gt;ProposalToGnatt[[#This Row],[Start Date]],X$27&lt;ProposalToGnatt[[#This Row],[Start Date]]+ProposalToGnatt[[#This Row],[Days]]),$G$5,"")),"")</f>
        <v/>
      </c>
      <c r="Y44" s="36" t="str">
        <f ca="1">IFERROR(+IF(Y$27=ProposalToGnatt[[#This Row],[Start Date]],Milestone_Marker,IF(AND(Y$27&gt;ProposalToGnatt[[#This Row],[Start Date]],Y$27&lt;ProposalToGnatt[[#This Row],[Start Date]]+ProposalToGnatt[[#This Row],[Days]]),$G$5,"")),"")</f>
        <v/>
      </c>
      <c r="Z44" s="36" t="str">
        <f ca="1">IFERROR(+IF(Z$27=ProposalToGnatt[[#This Row],[Start Date]],Milestone_Marker,IF(AND(Z$27&gt;ProposalToGnatt[[#This Row],[Start Date]],Z$27&lt;ProposalToGnatt[[#This Row],[Start Date]]+ProposalToGnatt[[#This Row],[Days]]),$G$5,"")),"")</f>
        <v/>
      </c>
      <c r="AA44" s="36" t="str">
        <f ca="1">IFERROR(+IF(AA$27=ProposalToGnatt[[#This Row],[Start Date]],Milestone_Marker,IF(AND(AA$27&gt;ProposalToGnatt[[#This Row],[Start Date]],AA$27&lt;ProposalToGnatt[[#This Row],[Start Date]]+ProposalToGnatt[[#This Row],[Days]]),$G$5,"")),"")</f>
        <v/>
      </c>
      <c r="AB44" s="36" t="str">
        <f ca="1">IFERROR(+IF(AB$27=ProposalToGnatt[[#This Row],[Start Date]],Milestone_Marker,IF(AND(AB$27&gt;ProposalToGnatt[[#This Row],[Start Date]],AB$27&lt;ProposalToGnatt[[#This Row],[Start Date]]+ProposalToGnatt[[#This Row],[Days]]),$G$5,"")),"")</f>
        <v/>
      </c>
      <c r="AC44" s="36" t="str">
        <f ca="1">IFERROR(+IF(AC$27=ProposalToGnatt[[#This Row],[Start Date]],Milestone_Marker,IF(AND(AC$27&gt;ProposalToGnatt[[#This Row],[Start Date]],AC$27&lt;ProposalToGnatt[[#This Row],[Start Date]]+ProposalToGnatt[[#This Row],[Days]]),$G$5,"")),"")</f>
        <v/>
      </c>
      <c r="AD44" s="36" t="str">
        <f ca="1">IFERROR(+IF(AD$27=ProposalToGnatt[[#This Row],[Start Date]],Milestone_Marker,IF(AND(AD$27&gt;ProposalToGnatt[[#This Row],[Start Date]],AD$27&lt;ProposalToGnatt[[#This Row],[Start Date]]+ProposalToGnatt[[#This Row],[Days]]),$G$5,"")),"")</f>
        <v/>
      </c>
      <c r="AE44" s="36" t="str">
        <f ca="1">IFERROR(+IF(AE$27=ProposalToGnatt[[#This Row],[Start Date]],Milestone_Marker,IF(AND(AE$27&gt;ProposalToGnatt[[#This Row],[Start Date]],AE$27&lt;ProposalToGnatt[[#This Row],[Start Date]]+ProposalToGnatt[[#This Row],[Days]]),$G$5,"")),"")</f>
        <v/>
      </c>
      <c r="AF44" s="36" t="str">
        <f ca="1">IFERROR(+IF(AF$27=ProposalToGnatt[[#This Row],[Start Date]],Milestone_Marker,IF(AND(AF$27&gt;ProposalToGnatt[[#This Row],[Start Date]],AF$27&lt;ProposalToGnatt[[#This Row],[Start Date]]+ProposalToGnatt[[#This Row],[Days]]),$G$5,"")),"")</f>
        <v/>
      </c>
      <c r="AG44" s="36" t="str">
        <f ca="1">IFERROR(+IF(AG$27=ProposalToGnatt[[#This Row],[Start Date]],Milestone_Marker,IF(AND(AG$27&gt;ProposalToGnatt[[#This Row],[Start Date]],AG$27&lt;ProposalToGnatt[[#This Row],[Start Date]]+ProposalToGnatt[[#This Row],[Days]]),$G$5,"")),"")</f>
        <v/>
      </c>
      <c r="AH44" s="36" t="str">
        <f ca="1">IFERROR(+IF(AH$27=ProposalToGnatt[[#This Row],[Start Date]],Milestone_Marker,IF(AND(AH$27&gt;ProposalToGnatt[[#This Row],[Start Date]],AH$27&lt;ProposalToGnatt[[#This Row],[Start Date]]+ProposalToGnatt[[#This Row],[Days]]),$G$5,"")),"")</f>
        <v/>
      </c>
      <c r="AI44" s="36" t="str">
        <f ca="1">IFERROR(+IF(AI$27=ProposalToGnatt[[#This Row],[Start Date]],Milestone_Marker,IF(AND(AI$27&gt;ProposalToGnatt[[#This Row],[Start Date]],AI$27&lt;ProposalToGnatt[[#This Row],[Start Date]]+ProposalToGnatt[[#This Row],[Days]]),$G$5,"")),"")</f>
        <v/>
      </c>
      <c r="AJ44" s="36" t="str">
        <f ca="1">IFERROR(+IF(AJ$27=ProposalToGnatt[[#This Row],[Start Date]],Milestone_Marker,IF(AND(AJ$27&gt;ProposalToGnatt[[#This Row],[Start Date]],AJ$27&lt;ProposalToGnatt[[#This Row],[Start Date]]+ProposalToGnatt[[#This Row],[Days]]),$G$5,"")),"")</f>
        <v/>
      </c>
      <c r="AK44" s="36" t="str">
        <f ca="1">IFERROR(+IF(AK$27=ProposalToGnatt[[#This Row],[Start Date]],Milestone_Marker,IF(AND(AK$27&gt;ProposalToGnatt[[#This Row],[Start Date]],AK$27&lt;ProposalToGnatt[[#This Row],[Start Date]]+ProposalToGnatt[[#This Row],[Days]]),$G$5,"")),"")</f>
        <v/>
      </c>
      <c r="AL44" s="36" t="str">
        <f ca="1">IFERROR(+IF(AL$27=ProposalToGnatt[[#This Row],[Start Date]],Milestone_Marker,IF(AND(AL$27&gt;ProposalToGnatt[[#This Row],[Start Date]],AL$27&lt;ProposalToGnatt[[#This Row],[Start Date]]+ProposalToGnatt[[#This Row],[Days]]),$G$5,"")),"")</f>
        <v/>
      </c>
      <c r="AM44" s="36" t="str">
        <f ca="1">IFERROR(+IF(AM$27=ProposalToGnatt[[#This Row],[Start Date]],Milestone_Marker,IF(AND(AM$27&gt;ProposalToGnatt[[#This Row],[Start Date]],AM$27&lt;ProposalToGnatt[[#This Row],[Start Date]]+ProposalToGnatt[[#This Row],[Days]]),$G$5,"")),"")</f>
        <v/>
      </c>
      <c r="AN44" s="36" t="str">
        <f ca="1">IFERROR(+IF(AN$27=ProposalToGnatt[[#This Row],[Start Date]],Milestone_Marker,IF(AND(AN$27&gt;ProposalToGnatt[[#This Row],[Start Date]],AN$27&lt;ProposalToGnatt[[#This Row],[Start Date]]+ProposalToGnatt[[#This Row],[Days]]),$G$5,"")),"")</f>
        <v/>
      </c>
      <c r="AO44" s="36" t="str">
        <f ca="1">IFERROR(+IF(AO$27=ProposalToGnatt[[#This Row],[Start Date]],Milestone_Marker,IF(AND(AO$27&gt;ProposalToGnatt[[#This Row],[Start Date]],AO$27&lt;ProposalToGnatt[[#This Row],[Start Date]]+ProposalToGnatt[[#This Row],[Days]]),$G$5,"")),"")</f>
        <v/>
      </c>
      <c r="AP44" s="36" t="str">
        <f ca="1">IFERROR(+IF(AP$27=ProposalToGnatt[[#This Row],[Start Date]],Milestone_Marker,IF(AND(AP$27&gt;ProposalToGnatt[[#This Row],[Start Date]],AP$27&lt;ProposalToGnatt[[#This Row],[Start Date]]+ProposalToGnatt[[#This Row],[Days]]),$G$5,"")),"")</f>
        <v/>
      </c>
      <c r="AQ44" s="36" t="str">
        <f ca="1">IFERROR(+IF(AQ$27=ProposalToGnatt[[#This Row],[Start Date]],Milestone_Marker,IF(AND(AQ$27&gt;ProposalToGnatt[[#This Row],[Start Date]],AQ$27&lt;ProposalToGnatt[[#This Row],[Start Date]]+ProposalToGnatt[[#This Row],[Days]]),$G$5,"")),"")</f>
        <v/>
      </c>
      <c r="AR44" s="36" t="str">
        <f ca="1">IFERROR(+IF(AR$27=ProposalToGnatt[[#This Row],[Start Date]],Milestone_Marker,IF(AND(AR$27&gt;ProposalToGnatt[[#This Row],[Start Date]],AR$27&lt;ProposalToGnatt[[#This Row],[Start Date]]+ProposalToGnatt[[#This Row],[Days]]),$G$5,"")),"")</f>
        <v/>
      </c>
      <c r="AS44" s="36" t="str">
        <f ca="1">IFERROR(+IF(AS$27=ProposalToGnatt[[#This Row],[Start Date]],Milestone_Marker,IF(AND(AS$27&gt;ProposalToGnatt[[#This Row],[Start Date]],AS$27&lt;ProposalToGnatt[[#This Row],[Start Date]]+ProposalToGnatt[[#This Row],[Days]]),$G$5,"")),"")</f>
        <v/>
      </c>
      <c r="AT44" s="36" t="str">
        <f ca="1">IFERROR(+IF(AT$27=ProposalToGnatt[[#This Row],[Start Date]],Milestone_Marker,IF(AND(AT$27&gt;ProposalToGnatt[[#This Row],[Start Date]],AT$27&lt;ProposalToGnatt[[#This Row],[Start Date]]+ProposalToGnatt[[#This Row],[Days]]),$G$5,"")),"")</f>
        <v/>
      </c>
      <c r="AU44" s="36" t="str">
        <f ca="1">IFERROR(+IF(AU$27=ProposalToGnatt[[#This Row],[Start Date]],Milestone_Marker,IF(AND(AU$27&gt;ProposalToGnatt[[#This Row],[Start Date]],AU$27&lt;ProposalToGnatt[[#This Row],[Start Date]]+ProposalToGnatt[[#This Row],[Days]]),$G$5,"")),"")</f>
        <v/>
      </c>
      <c r="AV44" s="36" t="str">
        <f ca="1">IFERROR(+IF(AV$27=ProposalToGnatt[[#This Row],[Start Date]],Milestone_Marker,IF(AND(AV$27&gt;ProposalToGnatt[[#This Row],[Start Date]],AV$27&lt;ProposalToGnatt[[#This Row],[Start Date]]+ProposalToGnatt[[#This Row],[Days]]),$G$5,"")),"")</f>
        <v/>
      </c>
      <c r="AW44" s="36" t="str">
        <f ca="1">IFERROR(+IF(AW$27=ProposalToGnatt[[#This Row],[Start Date]],Milestone_Marker,IF(AND(AW$27&gt;ProposalToGnatt[[#This Row],[Start Date]],AW$27&lt;ProposalToGnatt[[#This Row],[Start Date]]+ProposalToGnatt[[#This Row],[Days]]),$G$5,"")),"")</f>
        <v/>
      </c>
      <c r="AX44" s="36" t="str">
        <f ca="1">IFERROR(+IF(AX$27=ProposalToGnatt[[#This Row],[Start Date]],Milestone_Marker,IF(AND(AX$27&gt;ProposalToGnatt[[#This Row],[Start Date]],AX$27&lt;ProposalToGnatt[[#This Row],[Start Date]]+ProposalToGnatt[[#This Row],[Days]]),$G$5,"")),"")</f>
        <v/>
      </c>
      <c r="AY44" s="36" t="str">
        <f ca="1">IFERROR(+IF(AY$27=ProposalToGnatt[[#This Row],[Start Date]],Milestone_Marker,IF(AND(AY$27&gt;ProposalToGnatt[[#This Row],[Start Date]],AY$27&lt;ProposalToGnatt[[#This Row],[Start Date]]+ProposalToGnatt[[#This Row],[Days]]),$G$5,"")),"")</f>
        <v/>
      </c>
      <c r="AZ44" s="36" t="str">
        <f ca="1">IFERROR(+IF(AZ$27=ProposalToGnatt[[#This Row],[Start Date]],Milestone_Marker,IF(AND(AZ$27&gt;ProposalToGnatt[[#This Row],[Start Date]],AZ$27&lt;ProposalToGnatt[[#This Row],[Start Date]]+ProposalToGnatt[[#This Row],[Days]]),$G$5,"")),"")</f>
        <v/>
      </c>
      <c r="BA44" s="36" t="str">
        <f ca="1">IFERROR(+IF(BA$27=ProposalToGnatt[[#This Row],[Start Date]],Milestone_Marker,IF(AND(BA$27&gt;ProposalToGnatt[[#This Row],[Start Date]],BA$27&lt;ProposalToGnatt[[#This Row],[Start Date]]+ProposalToGnatt[[#This Row],[Days]]),$G$5,"")),"")</f>
        <v/>
      </c>
      <c r="BB44" s="36" t="str">
        <f ca="1">IFERROR(+IF(BB$27=ProposalToGnatt[[#This Row],[Start Date]],Milestone_Marker,IF(AND(BB$27&gt;ProposalToGnatt[[#This Row],[Start Date]],BB$27&lt;ProposalToGnatt[[#This Row],[Start Date]]+ProposalToGnatt[[#This Row],[Days]]),$G$5,"")),"")</f>
        <v/>
      </c>
      <c r="BC44" s="36" t="str">
        <f ca="1">IFERROR(+IF(BC$27=ProposalToGnatt[[#This Row],[Start Date]],Milestone_Marker,IF(AND(BC$27&gt;ProposalToGnatt[[#This Row],[Start Date]],BC$27&lt;ProposalToGnatt[[#This Row],[Start Date]]+ProposalToGnatt[[#This Row],[Days]]),$G$5,"")),"")</f>
        <v/>
      </c>
      <c r="BD44" s="36" t="str">
        <f ca="1">IFERROR(+IF(BD$27=ProposalToGnatt[[#This Row],[Start Date]],Milestone_Marker,IF(AND(BD$27&gt;ProposalToGnatt[[#This Row],[Start Date]],BD$27&lt;ProposalToGnatt[[#This Row],[Start Date]]+ProposalToGnatt[[#This Row],[Days]]),$G$5,"")),"")</f>
        <v/>
      </c>
      <c r="BE44" s="36" t="str">
        <f ca="1">IFERROR(+IF(BE$27=ProposalToGnatt[[#This Row],[Start Date]],Milestone_Marker,IF(AND(BE$27&gt;ProposalToGnatt[[#This Row],[Start Date]],BE$27&lt;ProposalToGnatt[[#This Row],[Start Date]]+ProposalToGnatt[[#This Row],[Days]]),$G$5,"")),"")</f>
        <v/>
      </c>
      <c r="BF44" s="36" t="str">
        <f ca="1">IFERROR(+IF(BF$27=ProposalToGnatt[[#This Row],[Start Date]],Milestone_Marker,IF(AND(BF$27&gt;ProposalToGnatt[[#This Row],[Start Date]],BF$27&lt;ProposalToGnatt[[#This Row],[Start Date]]+ProposalToGnatt[[#This Row],[Days]]),$G$5,"")),"")</f>
        <v/>
      </c>
      <c r="BG44" s="36" t="str">
        <f ca="1">IFERROR(+IF(BG$27=ProposalToGnatt[[#This Row],[Start Date]],Milestone_Marker,IF(AND(BG$27&gt;ProposalToGnatt[[#This Row],[Start Date]],BG$27&lt;ProposalToGnatt[[#This Row],[Start Date]]+ProposalToGnatt[[#This Row],[Days]]),$G$5,"")),"")</f>
        <v/>
      </c>
      <c r="BH44" s="36" t="str">
        <f ca="1">IFERROR(+IF(BH$27=ProposalToGnatt[[#This Row],[Start Date]],Milestone_Marker,IF(AND(BH$27&gt;ProposalToGnatt[[#This Row],[Start Date]],BH$27&lt;ProposalToGnatt[[#This Row],[Start Date]]+ProposalToGnatt[[#This Row],[Days]]),$G$5,"")),"")</f>
        <v/>
      </c>
      <c r="BI44" s="36" t="str">
        <f ca="1">IFERROR(+IF(BI$27=ProposalToGnatt[[#This Row],[Start Date]],Milestone_Marker,IF(AND(BI$27&gt;ProposalToGnatt[[#This Row],[Start Date]],BI$27&lt;ProposalToGnatt[[#This Row],[Start Date]]+ProposalToGnatt[[#This Row],[Days]]),$G$5,"")),"")</f>
        <v/>
      </c>
      <c r="BJ44" s="36" t="str">
        <f ca="1">IFERROR(+IF(BJ$27=ProposalToGnatt[[#This Row],[Start Date]],Milestone_Marker,IF(AND(BJ$27&gt;ProposalToGnatt[[#This Row],[Start Date]],BJ$27&lt;ProposalToGnatt[[#This Row],[Start Date]]+ProposalToGnatt[[#This Row],[Days]]),$G$5,"")),"")</f>
        <v/>
      </c>
      <c r="BK44" s="36" t="str">
        <f ca="1">IFERROR(+IF(BK$27=ProposalToGnatt[[#This Row],[Start Date]],Milestone_Marker,IF(AND(BK$27&gt;ProposalToGnatt[[#This Row],[Start Date]],BK$27&lt;ProposalToGnatt[[#This Row],[Start Date]]+ProposalToGnatt[[#This Row],[Days]]),$G$5,"")),"")</f>
        <v/>
      </c>
      <c r="BL44" s="36" t="str">
        <f ca="1">IFERROR(+IF(BL$27=ProposalToGnatt[[#This Row],[Start Date]],Milestone_Marker,IF(AND(BL$27&gt;ProposalToGnatt[[#This Row],[Start Date]],BL$27&lt;ProposalToGnatt[[#This Row],[Start Date]]+ProposalToGnatt[[#This Row],[Days]]),$G$5,"")),"")</f>
        <v/>
      </c>
      <c r="BM44" s="36" t="str">
        <f ca="1">IFERROR(+IF(BM$27=ProposalToGnatt[[#This Row],[Start Date]],Milestone_Marker,IF(AND(BM$27&gt;ProposalToGnatt[[#This Row],[Start Date]],BM$27&lt;ProposalToGnatt[[#This Row],[Start Date]]+ProposalToGnatt[[#This Row],[Days]]),$G$5,"")),"")</f>
        <v/>
      </c>
      <c r="BN44" s="36" t="str">
        <f ca="1">IFERROR(+IF(BN$27=ProposalToGnatt[[#This Row],[Start Date]],Milestone_Marker,IF(AND(BN$27&gt;ProposalToGnatt[[#This Row],[Start Date]],BN$27&lt;ProposalToGnatt[[#This Row],[Start Date]]+ProposalToGnatt[[#This Row],[Days]]),$G$5,"")),"")</f>
        <v/>
      </c>
      <c r="BO44" s="36" t="str">
        <f ca="1">IFERROR(+IF(BO$27=ProposalToGnatt[[#This Row],[Start Date]],Milestone_Marker,IF(AND(BO$27&gt;ProposalToGnatt[[#This Row],[Start Date]],BO$27&lt;ProposalToGnatt[[#This Row],[Start Date]]+ProposalToGnatt[[#This Row],[Days]]),$G$5,"")),"")</f>
        <v/>
      </c>
      <c r="BP44" s="36" t="str">
        <f ca="1">IFERROR(+IF(BP$27=ProposalToGnatt[[#This Row],[Start Date]],Milestone_Marker,IF(AND(BP$27&gt;ProposalToGnatt[[#This Row],[Start Date]],BP$27&lt;ProposalToGnatt[[#This Row],[Start Date]]+ProposalToGnatt[[#This Row],[Days]]),$G$5,"")),"")</f>
        <v/>
      </c>
      <c r="BQ44" s="36" t="str">
        <f ca="1">IFERROR(+IF(BQ$27=ProposalToGnatt[[#This Row],[Start Date]],Milestone_Marker,IF(AND(BQ$27&gt;ProposalToGnatt[[#This Row],[Start Date]],BQ$27&lt;ProposalToGnatt[[#This Row],[Start Date]]+ProposalToGnatt[[#This Row],[Days]]),$G$5,"")),"")</f>
        <v/>
      </c>
      <c r="BR44" s="36" t="str">
        <f ca="1">IFERROR(+IF(BR$27=ProposalToGnatt[[#This Row],[Start Date]],Milestone_Marker,IF(AND(BR$27&gt;ProposalToGnatt[[#This Row],[Start Date]],BR$27&lt;ProposalToGnatt[[#This Row],[Start Date]]+ProposalToGnatt[[#This Row],[Days]]),$G$5,"")),"")</f>
        <v/>
      </c>
      <c r="BS44" s="36" t="str">
        <f ca="1">IFERROR(+IF(BS$27=ProposalToGnatt[[#This Row],[Start Date]],Milestone_Marker,IF(AND(BS$27&gt;ProposalToGnatt[[#This Row],[Start Date]],BS$27&lt;ProposalToGnatt[[#This Row],[Start Date]]+ProposalToGnatt[[#This Row],[Days]]),$G$5,"")),"")</f>
        <v/>
      </c>
      <c r="BT44" s="36" t="str">
        <f ca="1">IFERROR(+IF(BT$27=ProposalToGnatt[[#This Row],[Start Date]],Milestone_Marker,IF(AND(BT$27&gt;ProposalToGnatt[[#This Row],[Start Date]],BT$27&lt;ProposalToGnatt[[#This Row],[Start Date]]+ProposalToGnatt[[#This Row],[Days]]),$G$5,"")),"")</f>
        <v/>
      </c>
      <c r="BU44" s="36" t="str">
        <f ca="1">IFERROR(+IF(BU$27=ProposalToGnatt[[#This Row],[Start Date]],Milestone_Marker,IF(AND(BU$27&gt;ProposalToGnatt[[#This Row],[Start Date]],BU$27&lt;ProposalToGnatt[[#This Row],[Start Date]]+ProposalToGnatt[[#This Row],[Days]]),$G$5,"")),"")</f>
        <v/>
      </c>
      <c r="BV44" s="36" t="str">
        <f ca="1">IFERROR(+IF(BV$27=ProposalToGnatt[[#This Row],[Start Date]],Milestone_Marker,IF(AND(BV$27&gt;ProposalToGnatt[[#This Row],[Start Date]],BV$27&lt;ProposalToGnatt[[#This Row],[Start Date]]+ProposalToGnatt[[#This Row],[Days]]),$G$5,"")),"")</f>
        <v/>
      </c>
      <c r="BW44" s="36" t="str">
        <f ca="1">IFERROR(+IF(BW$27=ProposalToGnatt[[#This Row],[Start Date]],Milestone_Marker,IF(AND(BW$27&gt;ProposalToGnatt[[#This Row],[Start Date]],BW$27&lt;ProposalToGnatt[[#This Row],[Start Date]]+ProposalToGnatt[[#This Row],[Days]]),$G$5,"")),"")</f>
        <v/>
      </c>
      <c r="BX44" s="36" t="str">
        <f ca="1">IFERROR(+IF(BX$27=ProposalToGnatt[[#This Row],[Start Date]],Milestone_Marker,IF(AND(BX$27&gt;ProposalToGnatt[[#This Row],[Start Date]],BX$27&lt;ProposalToGnatt[[#This Row],[Start Date]]+ProposalToGnatt[[#This Row],[Days]]),$G$5,"")),"")</f>
        <v/>
      </c>
      <c r="BY44" s="36" t="str">
        <f ca="1">IFERROR(+IF(BY$27=ProposalToGnatt[[#This Row],[Start Date]],Milestone_Marker,IF(AND(BY$27&gt;ProposalToGnatt[[#This Row],[Start Date]],BY$27&lt;ProposalToGnatt[[#This Row],[Start Date]]+ProposalToGnatt[[#This Row],[Days]]),$G$5,"")),"")</f>
        <v/>
      </c>
      <c r="BZ44" s="36" t="str">
        <f ca="1">IFERROR(+IF(BZ$27=ProposalToGnatt[[#This Row],[Start Date]],Milestone_Marker,IF(AND(BZ$27&gt;ProposalToGnatt[[#This Row],[Start Date]],BZ$27&lt;ProposalToGnatt[[#This Row],[Start Date]]+ProposalToGnatt[[#This Row],[Days]]),$G$5,"")),"")</f>
        <v/>
      </c>
      <c r="CA44" s="36" t="str">
        <f ca="1">IFERROR(+IF(CA$27=ProposalToGnatt[[#This Row],[Start Date]],Milestone_Marker,IF(AND(CA$27&gt;ProposalToGnatt[[#This Row],[Start Date]],CA$27&lt;ProposalToGnatt[[#This Row],[Start Date]]+ProposalToGnatt[[#This Row],[Days]]),$G$5,"")),"")</f>
        <v/>
      </c>
      <c r="CB44" s="36" t="str">
        <f ca="1">IFERROR(+IF(CB$27=ProposalToGnatt[[#This Row],[Start Date]],Milestone_Marker,IF(AND(CB$27&gt;ProposalToGnatt[[#This Row],[Start Date]],CB$27&lt;ProposalToGnatt[[#This Row],[Start Date]]+ProposalToGnatt[[#This Row],[Days]]),$G$5,"")),"")</f>
        <v/>
      </c>
      <c r="CC44" s="36" t="str">
        <f ca="1">IFERROR(+IF(CC$27=ProposalToGnatt[[#This Row],[Start Date]],Milestone_Marker,IF(AND(CC$27&gt;ProposalToGnatt[[#This Row],[Start Date]],CC$27&lt;ProposalToGnatt[[#This Row],[Start Date]]+ProposalToGnatt[[#This Row],[Days]]),$G$5,"")),"")</f>
        <v/>
      </c>
      <c r="CD44" s="36" t="str">
        <f ca="1">IFERROR(+IF(CD$27=ProposalToGnatt[[#This Row],[Start Date]],Milestone_Marker,IF(AND(CD$27&gt;ProposalToGnatt[[#This Row],[Start Date]],CD$27&lt;ProposalToGnatt[[#This Row],[Start Date]]+ProposalToGnatt[[#This Row],[Days]]),$G$5,"")),"")</f>
        <v/>
      </c>
      <c r="CE44" s="36" t="str">
        <f ca="1">IFERROR(+IF(CE$27=ProposalToGnatt[[#This Row],[Start Date]],Milestone_Marker,IF(AND(CE$27&gt;ProposalToGnatt[[#This Row],[Start Date]],CE$27&lt;ProposalToGnatt[[#This Row],[Start Date]]+ProposalToGnatt[[#This Row],[Days]]),$G$5,"")),"")</f>
        <v/>
      </c>
      <c r="CF44" s="36" t="str">
        <f ca="1">IFERROR(+IF(CF$27=ProposalToGnatt[[#This Row],[Start Date]],Milestone_Marker,IF(AND(CF$27&gt;ProposalToGnatt[[#This Row],[Start Date]],CF$27&lt;ProposalToGnatt[[#This Row],[Start Date]]+ProposalToGnatt[[#This Row],[Days]]),$G$5,"")),"")</f>
        <v/>
      </c>
      <c r="CG44" s="36" t="str">
        <f ca="1">IFERROR(+IF(CG$27=ProposalToGnatt[[#This Row],[Start Date]],Milestone_Marker,IF(AND(CG$27&gt;ProposalToGnatt[[#This Row],[Start Date]],CG$27&lt;ProposalToGnatt[[#This Row],[Start Date]]+ProposalToGnatt[[#This Row],[Days]]),$G$5,"")),"")</f>
        <v/>
      </c>
      <c r="CH44" s="36" t="str">
        <f ca="1">IFERROR(+IF(CH$27=ProposalToGnatt[[#This Row],[Start Date]],Milestone_Marker,IF(AND(CH$27&gt;ProposalToGnatt[[#This Row],[Start Date]],CH$27&lt;ProposalToGnatt[[#This Row],[Start Date]]+ProposalToGnatt[[#This Row],[Days]]),$G$5,"")),"")</f>
        <v/>
      </c>
      <c r="CI44" s="36" t="str">
        <f ca="1">IFERROR(+IF(CI$27=ProposalToGnatt[[#This Row],[Start Date]],Milestone_Marker,IF(AND(CI$27&gt;ProposalToGnatt[[#This Row],[Start Date]],CI$27&lt;ProposalToGnatt[[#This Row],[Start Date]]+ProposalToGnatt[[#This Row],[Days]]),$G$5,"")),"")</f>
        <v/>
      </c>
      <c r="CJ44" s="36" t="str">
        <f ca="1">IFERROR(+IF(CJ$27=ProposalToGnatt[[#This Row],[Start Date]],Milestone_Marker,IF(AND(CJ$27&gt;ProposalToGnatt[[#This Row],[Start Date]],CJ$27&lt;ProposalToGnatt[[#This Row],[Start Date]]+ProposalToGnatt[[#This Row],[Days]]),$G$5,"")),"")</f>
        <v/>
      </c>
      <c r="CK44" s="36" t="str">
        <f ca="1">IFERROR(+IF(CK$27=ProposalToGnatt[[#This Row],[Start Date]],Milestone_Marker,IF(AND(CK$27&gt;ProposalToGnatt[[#This Row],[Start Date]],CK$27&lt;ProposalToGnatt[[#This Row],[Start Date]]+ProposalToGnatt[[#This Row],[Days]]),$G$5,"")),"")</f>
        <v/>
      </c>
      <c r="CL44" s="36" t="str">
        <f ca="1">IFERROR(+IF(CL$27=ProposalToGnatt[[#This Row],[Start Date]],Milestone_Marker,IF(AND(CL$27&gt;ProposalToGnatt[[#This Row],[Start Date]],CL$27&lt;ProposalToGnatt[[#This Row],[Start Date]]+ProposalToGnatt[[#This Row],[Days]]),$G$5,"")),"")</f>
        <v/>
      </c>
      <c r="CM44" s="36" t="str">
        <f ca="1">IFERROR(+IF(CM$27=ProposalToGnatt[[#This Row],[Start Date]],Milestone_Marker,IF(AND(CM$27&gt;ProposalToGnatt[[#This Row],[Start Date]],CM$27&lt;ProposalToGnatt[[#This Row],[Start Date]]+ProposalToGnatt[[#This Row],[Days]]),$G$5,"")),"")</f>
        <v/>
      </c>
      <c r="CN44" s="36" t="str">
        <f ca="1">IFERROR(+IF(CN$27=ProposalToGnatt[[#This Row],[Start Date]],Milestone_Marker,IF(AND(CN$27&gt;ProposalToGnatt[[#This Row],[Start Date]],CN$27&lt;ProposalToGnatt[[#This Row],[Start Date]]+ProposalToGnatt[[#This Row],[Days]]),$G$5,"")),"")</f>
        <v/>
      </c>
      <c r="CO44" s="36" t="str">
        <f ca="1">IFERROR(+IF(CO$27=ProposalToGnatt[[#This Row],[Start Date]],Milestone_Marker,IF(AND(CO$27&gt;ProposalToGnatt[[#This Row],[Start Date]],CO$27&lt;ProposalToGnatt[[#This Row],[Start Date]]+ProposalToGnatt[[#This Row],[Days]]),$G$5,"")),"")</f>
        <v/>
      </c>
      <c r="CP44" s="36" t="str">
        <f ca="1">IFERROR(+IF(CP$27=ProposalToGnatt[[#This Row],[Start Date]],Milestone_Marker,IF(AND(CP$27&gt;ProposalToGnatt[[#This Row],[Start Date]],CP$27&lt;ProposalToGnatt[[#This Row],[Start Date]]+ProposalToGnatt[[#This Row],[Days]]),$G$5,"")),"")</f>
        <v/>
      </c>
      <c r="CQ44" s="36" t="str">
        <f ca="1">IFERROR(+IF(CQ$27=ProposalToGnatt[[#This Row],[Start Date]],Milestone_Marker,IF(AND(CQ$27&gt;ProposalToGnatt[[#This Row],[Start Date]],CQ$27&lt;ProposalToGnatt[[#This Row],[Start Date]]+ProposalToGnatt[[#This Row],[Days]]),$G$5,"")),"")</f>
        <v/>
      </c>
      <c r="CR44" s="36" t="str">
        <f ca="1">IFERROR(+IF(CR$27=ProposalToGnatt[[#This Row],[Start Date]],Milestone_Marker,IF(AND(CR$27&gt;ProposalToGnatt[[#This Row],[Start Date]],CR$27&lt;ProposalToGnatt[[#This Row],[Start Date]]+ProposalToGnatt[[#This Row],[Days]]),$G$5,"")),"")</f>
        <v/>
      </c>
      <c r="CS44" s="36" t="str">
        <f ca="1">IFERROR(+IF(CS$27=ProposalToGnatt[[#This Row],[Start Date]],Milestone_Marker,IF(AND(CS$27&gt;ProposalToGnatt[[#This Row],[Start Date]],CS$27&lt;ProposalToGnatt[[#This Row],[Start Date]]+ProposalToGnatt[[#This Row],[Days]]),$G$5,"")),"")</f>
        <v/>
      </c>
      <c r="CT44" s="36" t="str">
        <f ca="1">IFERROR(+IF(CT$27=ProposalToGnatt[[#This Row],[Start Date]],Milestone_Marker,IF(AND(CT$27&gt;ProposalToGnatt[[#This Row],[Start Date]],CT$27&lt;ProposalToGnatt[[#This Row],[Start Date]]+ProposalToGnatt[[#This Row],[Days]]),$G$5,"")),"")</f>
        <v/>
      </c>
      <c r="CU44" s="36" t="str">
        <f ca="1">IFERROR(+IF(CU$27=ProposalToGnatt[[#This Row],[Start Date]],Milestone_Marker,IF(AND(CU$27&gt;ProposalToGnatt[[#This Row],[Start Date]],CU$27&lt;ProposalToGnatt[[#This Row],[Start Date]]+ProposalToGnatt[[#This Row],[Days]]),$G$5,"")),"")</f>
        <v/>
      </c>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row>
    <row r="45" spans="1:125" s="41" customFormat="1" ht="15" x14ac:dyDescent="0.25">
      <c r="A45" t="s">
        <v>759</v>
      </c>
      <c r="B45">
        <v>18</v>
      </c>
      <c r="C45"/>
      <c r="D45"/>
      <c r="E45"/>
      <c r="F45"/>
      <c r="G45" s="14"/>
      <c r="H45" s="14"/>
      <c r="I45"/>
      <c r="J45"/>
      <c r="K45" s="261"/>
      <c r="L45"/>
      <c r="M45" s="14"/>
      <c r="N45" s="309"/>
      <c r="O45" s="297" t="s">
        <v>726</v>
      </c>
      <c r="P45" s="36" t="str">
        <f ca="1">IFERROR(+IF(P$27=ProposalToGnatt[[#This Row],[Start Date]],Milestone_Marker,IF(AND(P$27&gt;ProposalToGnatt[[#This Row],[Start Date]],P$27&lt;ProposalToGnatt[[#This Row],[Start Date]]+ProposalToGnatt[[#This Row],[Days]]),$G$5,"")),"")</f>
        <v/>
      </c>
      <c r="Q45" s="36" t="str">
        <f ca="1">IFERROR(+IF(Q$27=ProposalToGnatt[[#This Row],[Start Date]],Milestone_Marker,IF(AND(Q$27&gt;ProposalToGnatt[[#This Row],[Start Date]],Q$27&lt;ProposalToGnatt[[#This Row],[Start Date]]+ProposalToGnatt[[#This Row],[Days]]),$G$5,"")),"")</f>
        <v/>
      </c>
      <c r="R45" s="36" t="str">
        <f ca="1">IFERROR(+IF(R$27=ProposalToGnatt[[#This Row],[Start Date]],Milestone_Marker,IF(AND(R$27&gt;ProposalToGnatt[[#This Row],[Start Date]],R$27&lt;ProposalToGnatt[[#This Row],[Start Date]]+ProposalToGnatt[[#This Row],[Days]]),$G$5,"")),"")</f>
        <v/>
      </c>
      <c r="S45" s="36" t="str">
        <f ca="1">IFERROR(+IF(S$27=ProposalToGnatt[[#This Row],[Start Date]],Milestone_Marker,IF(AND(S$27&gt;ProposalToGnatt[[#This Row],[Start Date]],S$27&lt;ProposalToGnatt[[#This Row],[Start Date]]+ProposalToGnatt[[#This Row],[Days]]),$G$5,"")),"")</f>
        <v/>
      </c>
      <c r="T45" s="36" t="str">
        <f ca="1">IFERROR(+IF(T$27=ProposalToGnatt[[#This Row],[Start Date]],Milestone_Marker,IF(AND(T$27&gt;ProposalToGnatt[[#This Row],[Start Date]],T$27&lt;ProposalToGnatt[[#This Row],[Start Date]]+ProposalToGnatt[[#This Row],[Days]]),$G$5,"")),"")</f>
        <v/>
      </c>
      <c r="U45" s="36" t="str">
        <f ca="1">IFERROR(+IF(U$27=ProposalToGnatt[[#This Row],[Start Date]],Milestone_Marker,IF(AND(U$27&gt;ProposalToGnatt[[#This Row],[Start Date]],U$27&lt;ProposalToGnatt[[#This Row],[Start Date]]+ProposalToGnatt[[#This Row],[Days]]),$G$5,"")),"")</f>
        <v/>
      </c>
      <c r="V45" s="36" t="str">
        <f ca="1">IFERROR(+IF(V$27=ProposalToGnatt[[#This Row],[Start Date]],Milestone_Marker,IF(AND(V$27&gt;ProposalToGnatt[[#This Row],[Start Date]],V$27&lt;ProposalToGnatt[[#This Row],[Start Date]]+ProposalToGnatt[[#This Row],[Days]]),$G$5,"")),"")</f>
        <v/>
      </c>
      <c r="W45" s="36" t="str">
        <f ca="1">IFERROR(+IF(W$27=ProposalToGnatt[[#This Row],[Start Date]],Milestone_Marker,IF(AND(W$27&gt;ProposalToGnatt[[#This Row],[Start Date]],W$27&lt;ProposalToGnatt[[#This Row],[Start Date]]+ProposalToGnatt[[#This Row],[Days]]),$G$5,"")),"")</f>
        <v/>
      </c>
      <c r="X45" s="36" t="str">
        <f ca="1">IFERROR(+IF(X$27=ProposalToGnatt[[#This Row],[Start Date]],Milestone_Marker,IF(AND(X$27&gt;ProposalToGnatt[[#This Row],[Start Date]],X$27&lt;ProposalToGnatt[[#This Row],[Start Date]]+ProposalToGnatt[[#This Row],[Days]]),$G$5,"")),"")</f>
        <v/>
      </c>
      <c r="Y45" s="36" t="str">
        <f ca="1">IFERROR(+IF(Y$27=ProposalToGnatt[[#This Row],[Start Date]],Milestone_Marker,IF(AND(Y$27&gt;ProposalToGnatt[[#This Row],[Start Date]],Y$27&lt;ProposalToGnatt[[#This Row],[Start Date]]+ProposalToGnatt[[#This Row],[Days]]),$G$5,"")),"")</f>
        <v/>
      </c>
      <c r="Z45" s="36" t="str">
        <f ca="1">IFERROR(+IF(Z$27=ProposalToGnatt[[#This Row],[Start Date]],Milestone_Marker,IF(AND(Z$27&gt;ProposalToGnatt[[#This Row],[Start Date]],Z$27&lt;ProposalToGnatt[[#This Row],[Start Date]]+ProposalToGnatt[[#This Row],[Days]]),$G$5,"")),"")</f>
        <v/>
      </c>
      <c r="AA45" s="36" t="str">
        <f ca="1">IFERROR(+IF(AA$27=ProposalToGnatt[[#This Row],[Start Date]],Milestone_Marker,IF(AND(AA$27&gt;ProposalToGnatt[[#This Row],[Start Date]],AA$27&lt;ProposalToGnatt[[#This Row],[Start Date]]+ProposalToGnatt[[#This Row],[Days]]),$G$5,"")),"")</f>
        <v/>
      </c>
      <c r="AB45" s="36" t="str">
        <f ca="1">IFERROR(+IF(AB$27=ProposalToGnatt[[#This Row],[Start Date]],Milestone_Marker,IF(AND(AB$27&gt;ProposalToGnatt[[#This Row],[Start Date]],AB$27&lt;ProposalToGnatt[[#This Row],[Start Date]]+ProposalToGnatt[[#This Row],[Days]]),$G$5,"")),"")</f>
        <v/>
      </c>
      <c r="AC45" s="36" t="str">
        <f ca="1">IFERROR(+IF(AC$27=ProposalToGnatt[[#This Row],[Start Date]],Milestone_Marker,IF(AND(AC$27&gt;ProposalToGnatt[[#This Row],[Start Date]],AC$27&lt;ProposalToGnatt[[#This Row],[Start Date]]+ProposalToGnatt[[#This Row],[Days]]),$G$5,"")),"")</f>
        <v/>
      </c>
      <c r="AD45" s="36" t="str">
        <f ca="1">IFERROR(+IF(AD$27=ProposalToGnatt[[#This Row],[Start Date]],Milestone_Marker,IF(AND(AD$27&gt;ProposalToGnatt[[#This Row],[Start Date]],AD$27&lt;ProposalToGnatt[[#This Row],[Start Date]]+ProposalToGnatt[[#This Row],[Days]]),$G$5,"")),"")</f>
        <v/>
      </c>
      <c r="AE45" s="36" t="str">
        <f ca="1">IFERROR(+IF(AE$27=ProposalToGnatt[[#This Row],[Start Date]],Milestone_Marker,IF(AND(AE$27&gt;ProposalToGnatt[[#This Row],[Start Date]],AE$27&lt;ProposalToGnatt[[#This Row],[Start Date]]+ProposalToGnatt[[#This Row],[Days]]),$G$5,"")),"")</f>
        <v/>
      </c>
      <c r="AF45" s="36" t="str">
        <f ca="1">IFERROR(+IF(AF$27=ProposalToGnatt[[#This Row],[Start Date]],Milestone_Marker,IF(AND(AF$27&gt;ProposalToGnatt[[#This Row],[Start Date]],AF$27&lt;ProposalToGnatt[[#This Row],[Start Date]]+ProposalToGnatt[[#This Row],[Days]]),$G$5,"")),"")</f>
        <v/>
      </c>
      <c r="AG45" s="36" t="str">
        <f ca="1">IFERROR(+IF(AG$27=ProposalToGnatt[[#This Row],[Start Date]],Milestone_Marker,IF(AND(AG$27&gt;ProposalToGnatt[[#This Row],[Start Date]],AG$27&lt;ProposalToGnatt[[#This Row],[Start Date]]+ProposalToGnatt[[#This Row],[Days]]),$G$5,"")),"")</f>
        <v/>
      </c>
      <c r="AH45" s="36" t="str">
        <f ca="1">IFERROR(+IF(AH$27=ProposalToGnatt[[#This Row],[Start Date]],Milestone_Marker,IF(AND(AH$27&gt;ProposalToGnatt[[#This Row],[Start Date]],AH$27&lt;ProposalToGnatt[[#This Row],[Start Date]]+ProposalToGnatt[[#This Row],[Days]]),$G$5,"")),"")</f>
        <v/>
      </c>
      <c r="AI45" s="36" t="str">
        <f ca="1">IFERROR(+IF(AI$27=ProposalToGnatt[[#This Row],[Start Date]],Milestone_Marker,IF(AND(AI$27&gt;ProposalToGnatt[[#This Row],[Start Date]],AI$27&lt;ProposalToGnatt[[#This Row],[Start Date]]+ProposalToGnatt[[#This Row],[Days]]),$G$5,"")),"")</f>
        <v/>
      </c>
      <c r="AJ45" s="36" t="str">
        <f ca="1">IFERROR(+IF(AJ$27=ProposalToGnatt[[#This Row],[Start Date]],Milestone_Marker,IF(AND(AJ$27&gt;ProposalToGnatt[[#This Row],[Start Date]],AJ$27&lt;ProposalToGnatt[[#This Row],[Start Date]]+ProposalToGnatt[[#This Row],[Days]]),$G$5,"")),"")</f>
        <v/>
      </c>
      <c r="AK45" s="36" t="str">
        <f ca="1">IFERROR(+IF(AK$27=ProposalToGnatt[[#This Row],[Start Date]],Milestone_Marker,IF(AND(AK$27&gt;ProposalToGnatt[[#This Row],[Start Date]],AK$27&lt;ProposalToGnatt[[#This Row],[Start Date]]+ProposalToGnatt[[#This Row],[Days]]),$G$5,"")),"")</f>
        <v/>
      </c>
      <c r="AL45" s="36" t="str">
        <f ca="1">IFERROR(+IF(AL$27=ProposalToGnatt[[#This Row],[Start Date]],Milestone_Marker,IF(AND(AL$27&gt;ProposalToGnatt[[#This Row],[Start Date]],AL$27&lt;ProposalToGnatt[[#This Row],[Start Date]]+ProposalToGnatt[[#This Row],[Days]]),$G$5,"")),"")</f>
        <v/>
      </c>
      <c r="AM45" s="36" t="str">
        <f ca="1">IFERROR(+IF(AM$27=ProposalToGnatt[[#This Row],[Start Date]],Milestone_Marker,IF(AND(AM$27&gt;ProposalToGnatt[[#This Row],[Start Date]],AM$27&lt;ProposalToGnatt[[#This Row],[Start Date]]+ProposalToGnatt[[#This Row],[Days]]),$G$5,"")),"")</f>
        <v/>
      </c>
      <c r="AN45" s="36" t="str">
        <f ca="1">IFERROR(+IF(AN$27=ProposalToGnatt[[#This Row],[Start Date]],Milestone_Marker,IF(AND(AN$27&gt;ProposalToGnatt[[#This Row],[Start Date]],AN$27&lt;ProposalToGnatt[[#This Row],[Start Date]]+ProposalToGnatt[[#This Row],[Days]]),$G$5,"")),"")</f>
        <v/>
      </c>
      <c r="AO45" s="36" t="str">
        <f ca="1">IFERROR(+IF(AO$27=ProposalToGnatt[[#This Row],[Start Date]],Milestone_Marker,IF(AND(AO$27&gt;ProposalToGnatt[[#This Row],[Start Date]],AO$27&lt;ProposalToGnatt[[#This Row],[Start Date]]+ProposalToGnatt[[#This Row],[Days]]),$G$5,"")),"")</f>
        <v/>
      </c>
      <c r="AP45" s="36" t="str">
        <f ca="1">IFERROR(+IF(AP$27=ProposalToGnatt[[#This Row],[Start Date]],Milestone_Marker,IF(AND(AP$27&gt;ProposalToGnatt[[#This Row],[Start Date]],AP$27&lt;ProposalToGnatt[[#This Row],[Start Date]]+ProposalToGnatt[[#This Row],[Days]]),$G$5,"")),"")</f>
        <v/>
      </c>
      <c r="AQ45" s="36" t="str">
        <f ca="1">IFERROR(+IF(AQ$27=ProposalToGnatt[[#This Row],[Start Date]],Milestone_Marker,IF(AND(AQ$27&gt;ProposalToGnatt[[#This Row],[Start Date]],AQ$27&lt;ProposalToGnatt[[#This Row],[Start Date]]+ProposalToGnatt[[#This Row],[Days]]),$G$5,"")),"")</f>
        <v/>
      </c>
      <c r="AR45" s="36" t="str">
        <f ca="1">IFERROR(+IF(AR$27=ProposalToGnatt[[#This Row],[Start Date]],Milestone_Marker,IF(AND(AR$27&gt;ProposalToGnatt[[#This Row],[Start Date]],AR$27&lt;ProposalToGnatt[[#This Row],[Start Date]]+ProposalToGnatt[[#This Row],[Days]]),$G$5,"")),"")</f>
        <v/>
      </c>
      <c r="AS45" s="36" t="str">
        <f ca="1">IFERROR(+IF(AS$27=ProposalToGnatt[[#This Row],[Start Date]],Milestone_Marker,IF(AND(AS$27&gt;ProposalToGnatt[[#This Row],[Start Date]],AS$27&lt;ProposalToGnatt[[#This Row],[Start Date]]+ProposalToGnatt[[#This Row],[Days]]),$G$5,"")),"")</f>
        <v/>
      </c>
      <c r="AT45" s="36" t="str">
        <f ca="1">IFERROR(+IF(AT$27=ProposalToGnatt[[#This Row],[Start Date]],Milestone_Marker,IF(AND(AT$27&gt;ProposalToGnatt[[#This Row],[Start Date]],AT$27&lt;ProposalToGnatt[[#This Row],[Start Date]]+ProposalToGnatt[[#This Row],[Days]]),$G$5,"")),"")</f>
        <v/>
      </c>
      <c r="AU45" s="36" t="str">
        <f ca="1">IFERROR(+IF(AU$27=ProposalToGnatt[[#This Row],[Start Date]],Milestone_Marker,IF(AND(AU$27&gt;ProposalToGnatt[[#This Row],[Start Date]],AU$27&lt;ProposalToGnatt[[#This Row],[Start Date]]+ProposalToGnatt[[#This Row],[Days]]),$G$5,"")),"")</f>
        <v/>
      </c>
      <c r="AV45" s="36" t="str">
        <f ca="1">IFERROR(+IF(AV$27=ProposalToGnatt[[#This Row],[Start Date]],Milestone_Marker,IF(AND(AV$27&gt;ProposalToGnatt[[#This Row],[Start Date]],AV$27&lt;ProposalToGnatt[[#This Row],[Start Date]]+ProposalToGnatt[[#This Row],[Days]]),$G$5,"")),"")</f>
        <v/>
      </c>
      <c r="AW45" s="36" t="str">
        <f ca="1">IFERROR(+IF(AW$27=ProposalToGnatt[[#This Row],[Start Date]],Milestone_Marker,IF(AND(AW$27&gt;ProposalToGnatt[[#This Row],[Start Date]],AW$27&lt;ProposalToGnatt[[#This Row],[Start Date]]+ProposalToGnatt[[#This Row],[Days]]),$G$5,"")),"")</f>
        <v/>
      </c>
      <c r="AX45" s="36" t="str">
        <f ca="1">IFERROR(+IF(AX$27=ProposalToGnatt[[#This Row],[Start Date]],Milestone_Marker,IF(AND(AX$27&gt;ProposalToGnatt[[#This Row],[Start Date]],AX$27&lt;ProposalToGnatt[[#This Row],[Start Date]]+ProposalToGnatt[[#This Row],[Days]]),$G$5,"")),"")</f>
        <v/>
      </c>
      <c r="AY45" s="36" t="str">
        <f ca="1">IFERROR(+IF(AY$27=ProposalToGnatt[[#This Row],[Start Date]],Milestone_Marker,IF(AND(AY$27&gt;ProposalToGnatt[[#This Row],[Start Date]],AY$27&lt;ProposalToGnatt[[#This Row],[Start Date]]+ProposalToGnatt[[#This Row],[Days]]),$G$5,"")),"")</f>
        <v/>
      </c>
      <c r="AZ45" s="36" t="str">
        <f ca="1">IFERROR(+IF(AZ$27=ProposalToGnatt[[#This Row],[Start Date]],Milestone_Marker,IF(AND(AZ$27&gt;ProposalToGnatt[[#This Row],[Start Date]],AZ$27&lt;ProposalToGnatt[[#This Row],[Start Date]]+ProposalToGnatt[[#This Row],[Days]]),$G$5,"")),"")</f>
        <v/>
      </c>
      <c r="BA45" s="36" t="str">
        <f ca="1">IFERROR(+IF(BA$27=ProposalToGnatt[[#This Row],[Start Date]],Milestone_Marker,IF(AND(BA$27&gt;ProposalToGnatt[[#This Row],[Start Date]],BA$27&lt;ProposalToGnatt[[#This Row],[Start Date]]+ProposalToGnatt[[#This Row],[Days]]),$G$5,"")),"")</f>
        <v/>
      </c>
      <c r="BB45" s="36" t="str">
        <f ca="1">IFERROR(+IF(BB$27=ProposalToGnatt[[#This Row],[Start Date]],Milestone_Marker,IF(AND(BB$27&gt;ProposalToGnatt[[#This Row],[Start Date]],BB$27&lt;ProposalToGnatt[[#This Row],[Start Date]]+ProposalToGnatt[[#This Row],[Days]]),$G$5,"")),"")</f>
        <v/>
      </c>
      <c r="BC45" s="36" t="str">
        <f ca="1">IFERROR(+IF(BC$27=ProposalToGnatt[[#This Row],[Start Date]],Milestone_Marker,IF(AND(BC$27&gt;ProposalToGnatt[[#This Row],[Start Date]],BC$27&lt;ProposalToGnatt[[#This Row],[Start Date]]+ProposalToGnatt[[#This Row],[Days]]),$G$5,"")),"")</f>
        <v/>
      </c>
      <c r="BD45" s="36" t="str">
        <f ca="1">IFERROR(+IF(BD$27=ProposalToGnatt[[#This Row],[Start Date]],Milestone_Marker,IF(AND(BD$27&gt;ProposalToGnatt[[#This Row],[Start Date]],BD$27&lt;ProposalToGnatt[[#This Row],[Start Date]]+ProposalToGnatt[[#This Row],[Days]]),$G$5,"")),"")</f>
        <v/>
      </c>
      <c r="BE45" s="36" t="str">
        <f ca="1">IFERROR(+IF(BE$27=ProposalToGnatt[[#This Row],[Start Date]],Milestone_Marker,IF(AND(BE$27&gt;ProposalToGnatt[[#This Row],[Start Date]],BE$27&lt;ProposalToGnatt[[#This Row],[Start Date]]+ProposalToGnatt[[#This Row],[Days]]),$G$5,"")),"")</f>
        <v/>
      </c>
      <c r="BF45" s="36" t="str">
        <f ca="1">IFERROR(+IF(BF$27=ProposalToGnatt[[#This Row],[Start Date]],Milestone_Marker,IF(AND(BF$27&gt;ProposalToGnatt[[#This Row],[Start Date]],BF$27&lt;ProposalToGnatt[[#This Row],[Start Date]]+ProposalToGnatt[[#This Row],[Days]]),$G$5,"")),"")</f>
        <v/>
      </c>
      <c r="BG45" s="36" t="str">
        <f ca="1">IFERROR(+IF(BG$27=ProposalToGnatt[[#This Row],[Start Date]],Milestone_Marker,IF(AND(BG$27&gt;ProposalToGnatt[[#This Row],[Start Date]],BG$27&lt;ProposalToGnatt[[#This Row],[Start Date]]+ProposalToGnatt[[#This Row],[Days]]),$G$5,"")),"")</f>
        <v/>
      </c>
      <c r="BH45" s="36" t="str">
        <f ca="1">IFERROR(+IF(BH$27=ProposalToGnatt[[#This Row],[Start Date]],Milestone_Marker,IF(AND(BH$27&gt;ProposalToGnatt[[#This Row],[Start Date]],BH$27&lt;ProposalToGnatt[[#This Row],[Start Date]]+ProposalToGnatt[[#This Row],[Days]]),$G$5,"")),"")</f>
        <v/>
      </c>
      <c r="BI45" s="36" t="str">
        <f ca="1">IFERROR(+IF(BI$27=ProposalToGnatt[[#This Row],[Start Date]],Milestone_Marker,IF(AND(BI$27&gt;ProposalToGnatt[[#This Row],[Start Date]],BI$27&lt;ProposalToGnatt[[#This Row],[Start Date]]+ProposalToGnatt[[#This Row],[Days]]),$G$5,"")),"")</f>
        <v/>
      </c>
      <c r="BJ45" s="36" t="str">
        <f ca="1">IFERROR(+IF(BJ$27=ProposalToGnatt[[#This Row],[Start Date]],Milestone_Marker,IF(AND(BJ$27&gt;ProposalToGnatt[[#This Row],[Start Date]],BJ$27&lt;ProposalToGnatt[[#This Row],[Start Date]]+ProposalToGnatt[[#This Row],[Days]]),$G$5,"")),"")</f>
        <v/>
      </c>
      <c r="BK45" s="36" t="str">
        <f ca="1">IFERROR(+IF(BK$27=ProposalToGnatt[[#This Row],[Start Date]],Milestone_Marker,IF(AND(BK$27&gt;ProposalToGnatt[[#This Row],[Start Date]],BK$27&lt;ProposalToGnatt[[#This Row],[Start Date]]+ProposalToGnatt[[#This Row],[Days]]),$G$5,"")),"")</f>
        <v/>
      </c>
      <c r="BL45" s="36" t="str">
        <f ca="1">IFERROR(+IF(BL$27=ProposalToGnatt[[#This Row],[Start Date]],Milestone_Marker,IF(AND(BL$27&gt;ProposalToGnatt[[#This Row],[Start Date]],BL$27&lt;ProposalToGnatt[[#This Row],[Start Date]]+ProposalToGnatt[[#This Row],[Days]]),$G$5,"")),"")</f>
        <v/>
      </c>
      <c r="BM45" s="36" t="str">
        <f ca="1">IFERROR(+IF(BM$27=ProposalToGnatt[[#This Row],[Start Date]],Milestone_Marker,IF(AND(BM$27&gt;ProposalToGnatt[[#This Row],[Start Date]],BM$27&lt;ProposalToGnatt[[#This Row],[Start Date]]+ProposalToGnatt[[#This Row],[Days]]),$G$5,"")),"")</f>
        <v/>
      </c>
      <c r="BN45" s="36" t="str">
        <f ca="1">IFERROR(+IF(BN$27=ProposalToGnatt[[#This Row],[Start Date]],Milestone_Marker,IF(AND(BN$27&gt;ProposalToGnatt[[#This Row],[Start Date]],BN$27&lt;ProposalToGnatt[[#This Row],[Start Date]]+ProposalToGnatt[[#This Row],[Days]]),$G$5,"")),"")</f>
        <v/>
      </c>
      <c r="BO45" s="36" t="str">
        <f ca="1">IFERROR(+IF(BO$27=ProposalToGnatt[[#This Row],[Start Date]],Milestone_Marker,IF(AND(BO$27&gt;ProposalToGnatt[[#This Row],[Start Date]],BO$27&lt;ProposalToGnatt[[#This Row],[Start Date]]+ProposalToGnatt[[#This Row],[Days]]),$G$5,"")),"")</f>
        <v/>
      </c>
      <c r="BP45" s="36" t="str">
        <f ca="1">IFERROR(+IF(BP$27=ProposalToGnatt[[#This Row],[Start Date]],Milestone_Marker,IF(AND(BP$27&gt;ProposalToGnatt[[#This Row],[Start Date]],BP$27&lt;ProposalToGnatt[[#This Row],[Start Date]]+ProposalToGnatt[[#This Row],[Days]]),$G$5,"")),"")</f>
        <v/>
      </c>
      <c r="BQ45" s="36" t="str">
        <f ca="1">IFERROR(+IF(BQ$27=ProposalToGnatt[[#This Row],[Start Date]],Milestone_Marker,IF(AND(BQ$27&gt;ProposalToGnatt[[#This Row],[Start Date]],BQ$27&lt;ProposalToGnatt[[#This Row],[Start Date]]+ProposalToGnatt[[#This Row],[Days]]),$G$5,"")),"")</f>
        <v/>
      </c>
      <c r="BR45" s="36" t="str">
        <f ca="1">IFERROR(+IF(BR$27=ProposalToGnatt[[#This Row],[Start Date]],Milestone_Marker,IF(AND(BR$27&gt;ProposalToGnatt[[#This Row],[Start Date]],BR$27&lt;ProposalToGnatt[[#This Row],[Start Date]]+ProposalToGnatt[[#This Row],[Days]]),$G$5,"")),"")</f>
        <v/>
      </c>
      <c r="BS45" s="36" t="str">
        <f ca="1">IFERROR(+IF(BS$27=ProposalToGnatt[[#This Row],[Start Date]],Milestone_Marker,IF(AND(BS$27&gt;ProposalToGnatt[[#This Row],[Start Date]],BS$27&lt;ProposalToGnatt[[#This Row],[Start Date]]+ProposalToGnatt[[#This Row],[Days]]),$G$5,"")),"")</f>
        <v/>
      </c>
      <c r="BT45" s="36" t="str">
        <f ca="1">IFERROR(+IF(BT$27=ProposalToGnatt[[#This Row],[Start Date]],Milestone_Marker,IF(AND(BT$27&gt;ProposalToGnatt[[#This Row],[Start Date]],BT$27&lt;ProposalToGnatt[[#This Row],[Start Date]]+ProposalToGnatt[[#This Row],[Days]]),$G$5,"")),"")</f>
        <v/>
      </c>
      <c r="BU45" s="36" t="str">
        <f ca="1">IFERROR(+IF(BU$27=ProposalToGnatt[[#This Row],[Start Date]],Milestone_Marker,IF(AND(BU$27&gt;ProposalToGnatt[[#This Row],[Start Date]],BU$27&lt;ProposalToGnatt[[#This Row],[Start Date]]+ProposalToGnatt[[#This Row],[Days]]),$G$5,"")),"")</f>
        <v/>
      </c>
      <c r="BV45" s="36" t="str">
        <f ca="1">IFERROR(+IF(BV$27=ProposalToGnatt[[#This Row],[Start Date]],Milestone_Marker,IF(AND(BV$27&gt;ProposalToGnatt[[#This Row],[Start Date]],BV$27&lt;ProposalToGnatt[[#This Row],[Start Date]]+ProposalToGnatt[[#This Row],[Days]]),$G$5,"")),"")</f>
        <v/>
      </c>
      <c r="BW45" s="36" t="str">
        <f ca="1">IFERROR(+IF(BW$27=ProposalToGnatt[[#This Row],[Start Date]],Milestone_Marker,IF(AND(BW$27&gt;ProposalToGnatt[[#This Row],[Start Date]],BW$27&lt;ProposalToGnatt[[#This Row],[Start Date]]+ProposalToGnatt[[#This Row],[Days]]),$G$5,"")),"")</f>
        <v/>
      </c>
      <c r="BX45" s="36" t="str">
        <f ca="1">IFERROR(+IF(BX$27=ProposalToGnatt[[#This Row],[Start Date]],Milestone_Marker,IF(AND(BX$27&gt;ProposalToGnatt[[#This Row],[Start Date]],BX$27&lt;ProposalToGnatt[[#This Row],[Start Date]]+ProposalToGnatt[[#This Row],[Days]]),$G$5,"")),"")</f>
        <v/>
      </c>
      <c r="BY45" s="36" t="str">
        <f ca="1">IFERROR(+IF(BY$27=ProposalToGnatt[[#This Row],[Start Date]],Milestone_Marker,IF(AND(BY$27&gt;ProposalToGnatt[[#This Row],[Start Date]],BY$27&lt;ProposalToGnatt[[#This Row],[Start Date]]+ProposalToGnatt[[#This Row],[Days]]),$G$5,"")),"")</f>
        <v/>
      </c>
      <c r="BZ45" s="36" t="str">
        <f ca="1">IFERROR(+IF(BZ$27=ProposalToGnatt[[#This Row],[Start Date]],Milestone_Marker,IF(AND(BZ$27&gt;ProposalToGnatt[[#This Row],[Start Date]],BZ$27&lt;ProposalToGnatt[[#This Row],[Start Date]]+ProposalToGnatt[[#This Row],[Days]]),$G$5,"")),"")</f>
        <v/>
      </c>
      <c r="CA45" s="36" t="str">
        <f ca="1">IFERROR(+IF(CA$27=ProposalToGnatt[[#This Row],[Start Date]],Milestone_Marker,IF(AND(CA$27&gt;ProposalToGnatt[[#This Row],[Start Date]],CA$27&lt;ProposalToGnatt[[#This Row],[Start Date]]+ProposalToGnatt[[#This Row],[Days]]),$G$5,"")),"")</f>
        <v/>
      </c>
      <c r="CB45" s="36" t="str">
        <f ca="1">IFERROR(+IF(CB$27=ProposalToGnatt[[#This Row],[Start Date]],Milestone_Marker,IF(AND(CB$27&gt;ProposalToGnatt[[#This Row],[Start Date]],CB$27&lt;ProposalToGnatt[[#This Row],[Start Date]]+ProposalToGnatt[[#This Row],[Days]]),$G$5,"")),"")</f>
        <v/>
      </c>
      <c r="CC45" s="36" t="str">
        <f ca="1">IFERROR(+IF(CC$27=ProposalToGnatt[[#This Row],[Start Date]],Milestone_Marker,IF(AND(CC$27&gt;ProposalToGnatt[[#This Row],[Start Date]],CC$27&lt;ProposalToGnatt[[#This Row],[Start Date]]+ProposalToGnatt[[#This Row],[Days]]),$G$5,"")),"")</f>
        <v/>
      </c>
      <c r="CD45" s="36" t="str">
        <f ca="1">IFERROR(+IF(CD$27=ProposalToGnatt[[#This Row],[Start Date]],Milestone_Marker,IF(AND(CD$27&gt;ProposalToGnatt[[#This Row],[Start Date]],CD$27&lt;ProposalToGnatt[[#This Row],[Start Date]]+ProposalToGnatt[[#This Row],[Days]]),$G$5,"")),"")</f>
        <v/>
      </c>
      <c r="CE45" s="36" t="str">
        <f ca="1">IFERROR(+IF(CE$27=ProposalToGnatt[[#This Row],[Start Date]],Milestone_Marker,IF(AND(CE$27&gt;ProposalToGnatt[[#This Row],[Start Date]],CE$27&lt;ProposalToGnatt[[#This Row],[Start Date]]+ProposalToGnatt[[#This Row],[Days]]),$G$5,"")),"")</f>
        <v/>
      </c>
      <c r="CF45" s="36" t="str">
        <f ca="1">IFERROR(+IF(CF$27=ProposalToGnatt[[#This Row],[Start Date]],Milestone_Marker,IF(AND(CF$27&gt;ProposalToGnatt[[#This Row],[Start Date]],CF$27&lt;ProposalToGnatt[[#This Row],[Start Date]]+ProposalToGnatt[[#This Row],[Days]]),$G$5,"")),"")</f>
        <v/>
      </c>
      <c r="CG45" s="36" t="str">
        <f ca="1">IFERROR(+IF(CG$27=ProposalToGnatt[[#This Row],[Start Date]],Milestone_Marker,IF(AND(CG$27&gt;ProposalToGnatt[[#This Row],[Start Date]],CG$27&lt;ProposalToGnatt[[#This Row],[Start Date]]+ProposalToGnatt[[#This Row],[Days]]),$G$5,"")),"")</f>
        <v/>
      </c>
      <c r="CH45" s="36" t="str">
        <f ca="1">IFERROR(+IF(CH$27=ProposalToGnatt[[#This Row],[Start Date]],Milestone_Marker,IF(AND(CH$27&gt;ProposalToGnatt[[#This Row],[Start Date]],CH$27&lt;ProposalToGnatt[[#This Row],[Start Date]]+ProposalToGnatt[[#This Row],[Days]]),$G$5,"")),"")</f>
        <v/>
      </c>
      <c r="CI45" s="36" t="str">
        <f ca="1">IFERROR(+IF(CI$27=ProposalToGnatt[[#This Row],[Start Date]],Milestone_Marker,IF(AND(CI$27&gt;ProposalToGnatt[[#This Row],[Start Date]],CI$27&lt;ProposalToGnatt[[#This Row],[Start Date]]+ProposalToGnatt[[#This Row],[Days]]),$G$5,"")),"")</f>
        <v/>
      </c>
      <c r="CJ45" s="36" t="str">
        <f ca="1">IFERROR(+IF(CJ$27=ProposalToGnatt[[#This Row],[Start Date]],Milestone_Marker,IF(AND(CJ$27&gt;ProposalToGnatt[[#This Row],[Start Date]],CJ$27&lt;ProposalToGnatt[[#This Row],[Start Date]]+ProposalToGnatt[[#This Row],[Days]]),$G$5,"")),"")</f>
        <v/>
      </c>
      <c r="CK45" s="36" t="str">
        <f ca="1">IFERROR(+IF(CK$27=ProposalToGnatt[[#This Row],[Start Date]],Milestone_Marker,IF(AND(CK$27&gt;ProposalToGnatt[[#This Row],[Start Date]],CK$27&lt;ProposalToGnatt[[#This Row],[Start Date]]+ProposalToGnatt[[#This Row],[Days]]),$G$5,"")),"")</f>
        <v/>
      </c>
      <c r="CL45" s="36" t="str">
        <f ca="1">IFERROR(+IF(CL$27=ProposalToGnatt[[#This Row],[Start Date]],Milestone_Marker,IF(AND(CL$27&gt;ProposalToGnatt[[#This Row],[Start Date]],CL$27&lt;ProposalToGnatt[[#This Row],[Start Date]]+ProposalToGnatt[[#This Row],[Days]]),$G$5,"")),"")</f>
        <v/>
      </c>
      <c r="CM45" s="36" t="str">
        <f ca="1">IFERROR(+IF(CM$27=ProposalToGnatt[[#This Row],[Start Date]],Milestone_Marker,IF(AND(CM$27&gt;ProposalToGnatt[[#This Row],[Start Date]],CM$27&lt;ProposalToGnatt[[#This Row],[Start Date]]+ProposalToGnatt[[#This Row],[Days]]),$G$5,"")),"")</f>
        <v/>
      </c>
      <c r="CN45" s="36" t="str">
        <f ca="1">IFERROR(+IF(CN$27=ProposalToGnatt[[#This Row],[Start Date]],Milestone_Marker,IF(AND(CN$27&gt;ProposalToGnatt[[#This Row],[Start Date]],CN$27&lt;ProposalToGnatt[[#This Row],[Start Date]]+ProposalToGnatt[[#This Row],[Days]]),$G$5,"")),"")</f>
        <v/>
      </c>
      <c r="CO45" s="36" t="str">
        <f ca="1">IFERROR(+IF(CO$27=ProposalToGnatt[[#This Row],[Start Date]],Milestone_Marker,IF(AND(CO$27&gt;ProposalToGnatt[[#This Row],[Start Date]],CO$27&lt;ProposalToGnatt[[#This Row],[Start Date]]+ProposalToGnatt[[#This Row],[Days]]),$G$5,"")),"")</f>
        <v/>
      </c>
      <c r="CP45" s="36" t="str">
        <f ca="1">IFERROR(+IF(CP$27=ProposalToGnatt[[#This Row],[Start Date]],Milestone_Marker,IF(AND(CP$27&gt;ProposalToGnatt[[#This Row],[Start Date]],CP$27&lt;ProposalToGnatt[[#This Row],[Start Date]]+ProposalToGnatt[[#This Row],[Days]]),$G$5,"")),"")</f>
        <v/>
      </c>
      <c r="CQ45" s="36" t="str">
        <f ca="1">IFERROR(+IF(CQ$27=ProposalToGnatt[[#This Row],[Start Date]],Milestone_Marker,IF(AND(CQ$27&gt;ProposalToGnatt[[#This Row],[Start Date]],CQ$27&lt;ProposalToGnatt[[#This Row],[Start Date]]+ProposalToGnatt[[#This Row],[Days]]),$G$5,"")),"")</f>
        <v/>
      </c>
      <c r="CR45" s="36" t="str">
        <f ca="1">IFERROR(+IF(CR$27=ProposalToGnatt[[#This Row],[Start Date]],Milestone_Marker,IF(AND(CR$27&gt;ProposalToGnatt[[#This Row],[Start Date]],CR$27&lt;ProposalToGnatt[[#This Row],[Start Date]]+ProposalToGnatt[[#This Row],[Days]]),$G$5,"")),"")</f>
        <v/>
      </c>
      <c r="CS45" s="36" t="str">
        <f ca="1">IFERROR(+IF(CS$27=ProposalToGnatt[[#This Row],[Start Date]],Milestone_Marker,IF(AND(CS$27&gt;ProposalToGnatt[[#This Row],[Start Date]],CS$27&lt;ProposalToGnatt[[#This Row],[Start Date]]+ProposalToGnatt[[#This Row],[Days]]),$G$5,"")),"")</f>
        <v/>
      </c>
      <c r="CT45" s="36" t="str">
        <f ca="1">IFERROR(+IF(CT$27=ProposalToGnatt[[#This Row],[Start Date]],Milestone_Marker,IF(AND(CT$27&gt;ProposalToGnatt[[#This Row],[Start Date]],CT$27&lt;ProposalToGnatt[[#This Row],[Start Date]]+ProposalToGnatt[[#This Row],[Days]]),$G$5,"")),"")</f>
        <v/>
      </c>
      <c r="CU45" s="36" t="str">
        <f ca="1">IFERROR(+IF(CU$27=ProposalToGnatt[[#This Row],[Start Date]],Milestone_Marker,IF(AND(CU$27&gt;ProposalToGnatt[[#This Row],[Start Date]],CU$27&lt;ProposalToGnatt[[#This Row],[Start Date]]+ProposalToGnatt[[#This Row],[Days]]),$G$5,"")),"")</f>
        <v/>
      </c>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row>
    <row r="46" spans="1:125" s="41" customFormat="1" ht="15" x14ac:dyDescent="0.25">
      <c r="A46" t="s">
        <v>759</v>
      </c>
      <c r="B46">
        <v>19</v>
      </c>
      <c r="C46"/>
      <c r="D46"/>
      <c r="E46"/>
      <c r="F46"/>
      <c r="G46" s="14"/>
      <c r="H46" s="14"/>
      <c r="I46"/>
      <c r="J46"/>
      <c r="K46" s="261"/>
      <c r="L46"/>
      <c r="M46" s="14"/>
      <c r="N46" s="309"/>
      <c r="O46" s="297"/>
      <c r="P46" s="36" t="str">
        <f ca="1">IFERROR(+IF(P$27=ProposalToGnatt[[#This Row],[Start Date]],Milestone_Marker,IF(AND(P$27&gt;ProposalToGnatt[[#This Row],[Start Date]],P$27&lt;ProposalToGnatt[[#This Row],[Start Date]]+ProposalToGnatt[[#This Row],[Days]]),$G$5,"")),"")</f>
        <v/>
      </c>
      <c r="Q46" s="36" t="str">
        <f ca="1">IFERROR(+IF(Q$27=ProposalToGnatt[[#This Row],[Start Date]],Milestone_Marker,IF(AND(Q$27&gt;ProposalToGnatt[[#This Row],[Start Date]],Q$27&lt;ProposalToGnatt[[#This Row],[Start Date]]+ProposalToGnatt[[#This Row],[Days]]),$G$5,"")),"")</f>
        <v/>
      </c>
      <c r="R46" s="36" t="str">
        <f ca="1">IFERROR(+IF(R$27=ProposalToGnatt[[#This Row],[Start Date]],Milestone_Marker,IF(AND(R$27&gt;ProposalToGnatt[[#This Row],[Start Date]],R$27&lt;ProposalToGnatt[[#This Row],[Start Date]]+ProposalToGnatt[[#This Row],[Days]]),$G$5,"")),"")</f>
        <v/>
      </c>
      <c r="S46" s="36" t="str">
        <f ca="1">IFERROR(+IF(S$27=ProposalToGnatt[[#This Row],[Start Date]],Milestone_Marker,IF(AND(S$27&gt;ProposalToGnatt[[#This Row],[Start Date]],S$27&lt;ProposalToGnatt[[#This Row],[Start Date]]+ProposalToGnatt[[#This Row],[Days]]),$G$5,"")),"")</f>
        <v/>
      </c>
      <c r="T46" s="36" t="str">
        <f ca="1">IFERROR(+IF(T$27=ProposalToGnatt[[#This Row],[Start Date]],Milestone_Marker,IF(AND(T$27&gt;ProposalToGnatt[[#This Row],[Start Date]],T$27&lt;ProposalToGnatt[[#This Row],[Start Date]]+ProposalToGnatt[[#This Row],[Days]]),$G$5,"")),"")</f>
        <v/>
      </c>
      <c r="U46" s="36" t="str">
        <f ca="1">IFERROR(+IF(U$27=ProposalToGnatt[[#This Row],[Start Date]],Milestone_Marker,IF(AND(U$27&gt;ProposalToGnatt[[#This Row],[Start Date]],U$27&lt;ProposalToGnatt[[#This Row],[Start Date]]+ProposalToGnatt[[#This Row],[Days]]),$G$5,"")),"")</f>
        <v/>
      </c>
      <c r="V46" s="36" t="str">
        <f ca="1">IFERROR(+IF(V$27=ProposalToGnatt[[#This Row],[Start Date]],Milestone_Marker,IF(AND(V$27&gt;ProposalToGnatt[[#This Row],[Start Date]],V$27&lt;ProposalToGnatt[[#This Row],[Start Date]]+ProposalToGnatt[[#This Row],[Days]]),$G$5,"")),"")</f>
        <v/>
      </c>
      <c r="W46" s="36" t="str">
        <f ca="1">IFERROR(+IF(W$27=ProposalToGnatt[[#This Row],[Start Date]],Milestone_Marker,IF(AND(W$27&gt;ProposalToGnatt[[#This Row],[Start Date]],W$27&lt;ProposalToGnatt[[#This Row],[Start Date]]+ProposalToGnatt[[#This Row],[Days]]),$G$5,"")),"")</f>
        <v/>
      </c>
      <c r="X46" s="36" t="str">
        <f ca="1">IFERROR(+IF(X$27=ProposalToGnatt[[#This Row],[Start Date]],Milestone_Marker,IF(AND(X$27&gt;ProposalToGnatt[[#This Row],[Start Date]],X$27&lt;ProposalToGnatt[[#This Row],[Start Date]]+ProposalToGnatt[[#This Row],[Days]]),$G$5,"")),"")</f>
        <v/>
      </c>
      <c r="Y46" s="36" t="str">
        <f ca="1">IFERROR(+IF(Y$27=ProposalToGnatt[[#This Row],[Start Date]],Milestone_Marker,IF(AND(Y$27&gt;ProposalToGnatt[[#This Row],[Start Date]],Y$27&lt;ProposalToGnatt[[#This Row],[Start Date]]+ProposalToGnatt[[#This Row],[Days]]),$G$5,"")),"")</f>
        <v/>
      </c>
      <c r="Z46" s="36" t="str">
        <f ca="1">IFERROR(+IF(Z$27=ProposalToGnatt[[#This Row],[Start Date]],Milestone_Marker,IF(AND(Z$27&gt;ProposalToGnatt[[#This Row],[Start Date]],Z$27&lt;ProposalToGnatt[[#This Row],[Start Date]]+ProposalToGnatt[[#This Row],[Days]]),$G$5,"")),"")</f>
        <v/>
      </c>
      <c r="AA46" s="36" t="str">
        <f ca="1">IFERROR(+IF(AA$27=ProposalToGnatt[[#This Row],[Start Date]],Milestone_Marker,IF(AND(AA$27&gt;ProposalToGnatt[[#This Row],[Start Date]],AA$27&lt;ProposalToGnatt[[#This Row],[Start Date]]+ProposalToGnatt[[#This Row],[Days]]),$G$5,"")),"")</f>
        <v/>
      </c>
      <c r="AB46" s="36" t="str">
        <f ca="1">IFERROR(+IF(AB$27=ProposalToGnatt[[#This Row],[Start Date]],Milestone_Marker,IF(AND(AB$27&gt;ProposalToGnatt[[#This Row],[Start Date]],AB$27&lt;ProposalToGnatt[[#This Row],[Start Date]]+ProposalToGnatt[[#This Row],[Days]]),$G$5,"")),"")</f>
        <v/>
      </c>
      <c r="AC46" s="36" t="str">
        <f ca="1">IFERROR(+IF(AC$27=ProposalToGnatt[[#This Row],[Start Date]],Milestone_Marker,IF(AND(AC$27&gt;ProposalToGnatt[[#This Row],[Start Date]],AC$27&lt;ProposalToGnatt[[#This Row],[Start Date]]+ProposalToGnatt[[#This Row],[Days]]),$G$5,"")),"")</f>
        <v/>
      </c>
      <c r="AD46" s="36" t="str">
        <f ca="1">IFERROR(+IF(AD$27=ProposalToGnatt[[#This Row],[Start Date]],Milestone_Marker,IF(AND(AD$27&gt;ProposalToGnatt[[#This Row],[Start Date]],AD$27&lt;ProposalToGnatt[[#This Row],[Start Date]]+ProposalToGnatt[[#This Row],[Days]]),$G$5,"")),"")</f>
        <v/>
      </c>
      <c r="AE46" s="36" t="str">
        <f ca="1">IFERROR(+IF(AE$27=ProposalToGnatt[[#This Row],[Start Date]],Milestone_Marker,IF(AND(AE$27&gt;ProposalToGnatt[[#This Row],[Start Date]],AE$27&lt;ProposalToGnatt[[#This Row],[Start Date]]+ProposalToGnatt[[#This Row],[Days]]),$G$5,"")),"")</f>
        <v/>
      </c>
      <c r="AF46" s="36" t="str">
        <f ca="1">IFERROR(+IF(AF$27=ProposalToGnatt[[#This Row],[Start Date]],Milestone_Marker,IF(AND(AF$27&gt;ProposalToGnatt[[#This Row],[Start Date]],AF$27&lt;ProposalToGnatt[[#This Row],[Start Date]]+ProposalToGnatt[[#This Row],[Days]]),$G$5,"")),"")</f>
        <v/>
      </c>
      <c r="AG46" s="36" t="str">
        <f ca="1">IFERROR(+IF(AG$27=ProposalToGnatt[[#This Row],[Start Date]],Milestone_Marker,IF(AND(AG$27&gt;ProposalToGnatt[[#This Row],[Start Date]],AG$27&lt;ProposalToGnatt[[#This Row],[Start Date]]+ProposalToGnatt[[#This Row],[Days]]),$G$5,"")),"")</f>
        <v/>
      </c>
      <c r="AH46" s="36" t="str">
        <f ca="1">IFERROR(+IF(AH$27=ProposalToGnatt[[#This Row],[Start Date]],Milestone_Marker,IF(AND(AH$27&gt;ProposalToGnatt[[#This Row],[Start Date]],AH$27&lt;ProposalToGnatt[[#This Row],[Start Date]]+ProposalToGnatt[[#This Row],[Days]]),$G$5,"")),"")</f>
        <v/>
      </c>
      <c r="AI46" s="36" t="str">
        <f ca="1">IFERROR(+IF(AI$27=ProposalToGnatt[[#This Row],[Start Date]],Milestone_Marker,IF(AND(AI$27&gt;ProposalToGnatt[[#This Row],[Start Date]],AI$27&lt;ProposalToGnatt[[#This Row],[Start Date]]+ProposalToGnatt[[#This Row],[Days]]),$G$5,"")),"")</f>
        <v/>
      </c>
      <c r="AJ46" s="36" t="str">
        <f ca="1">IFERROR(+IF(AJ$27=ProposalToGnatt[[#This Row],[Start Date]],Milestone_Marker,IF(AND(AJ$27&gt;ProposalToGnatt[[#This Row],[Start Date]],AJ$27&lt;ProposalToGnatt[[#This Row],[Start Date]]+ProposalToGnatt[[#This Row],[Days]]),$G$5,"")),"")</f>
        <v/>
      </c>
      <c r="AK46" s="36" t="str">
        <f ca="1">IFERROR(+IF(AK$27=ProposalToGnatt[[#This Row],[Start Date]],Milestone_Marker,IF(AND(AK$27&gt;ProposalToGnatt[[#This Row],[Start Date]],AK$27&lt;ProposalToGnatt[[#This Row],[Start Date]]+ProposalToGnatt[[#This Row],[Days]]),$G$5,"")),"")</f>
        <v/>
      </c>
      <c r="AL46" s="36" t="str">
        <f ca="1">IFERROR(+IF(AL$27=ProposalToGnatt[[#This Row],[Start Date]],Milestone_Marker,IF(AND(AL$27&gt;ProposalToGnatt[[#This Row],[Start Date]],AL$27&lt;ProposalToGnatt[[#This Row],[Start Date]]+ProposalToGnatt[[#This Row],[Days]]),$G$5,"")),"")</f>
        <v/>
      </c>
      <c r="AM46" s="36" t="str">
        <f ca="1">IFERROR(+IF(AM$27=ProposalToGnatt[[#This Row],[Start Date]],Milestone_Marker,IF(AND(AM$27&gt;ProposalToGnatt[[#This Row],[Start Date]],AM$27&lt;ProposalToGnatt[[#This Row],[Start Date]]+ProposalToGnatt[[#This Row],[Days]]),$G$5,"")),"")</f>
        <v/>
      </c>
      <c r="AN46" s="36" t="str">
        <f ca="1">IFERROR(+IF(AN$27=ProposalToGnatt[[#This Row],[Start Date]],Milestone_Marker,IF(AND(AN$27&gt;ProposalToGnatt[[#This Row],[Start Date]],AN$27&lt;ProposalToGnatt[[#This Row],[Start Date]]+ProposalToGnatt[[#This Row],[Days]]),$G$5,"")),"")</f>
        <v/>
      </c>
      <c r="AO46" s="36" t="str">
        <f ca="1">IFERROR(+IF(AO$27=ProposalToGnatt[[#This Row],[Start Date]],Milestone_Marker,IF(AND(AO$27&gt;ProposalToGnatt[[#This Row],[Start Date]],AO$27&lt;ProposalToGnatt[[#This Row],[Start Date]]+ProposalToGnatt[[#This Row],[Days]]),$G$5,"")),"")</f>
        <v/>
      </c>
      <c r="AP46" s="36" t="str">
        <f ca="1">IFERROR(+IF(AP$27=ProposalToGnatt[[#This Row],[Start Date]],Milestone_Marker,IF(AND(AP$27&gt;ProposalToGnatt[[#This Row],[Start Date]],AP$27&lt;ProposalToGnatt[[#This Row],[Start Date]]+ProposalToGnatt[[#This Row],[Days]]),$G$5,"")),"")</f>
        <v/>
      </c>
      <c r="AQ46" s="36" t="str">
        <f ca="1">IFERROR(+IF(AQ$27=ProposalToGnatt[[#This Row],[Start Date]],Milestone_Marker,IF(AND(AQ$27&gt;ProposalToGnatt[[#This Row],[Start Date]],AQ$27&lt;ProposalToGnatt[[#This Row],[Start Date]]+ProposalToGnatt[[#This Row],[Days]]),$G$5,"")),"")</f>
        <v/>
      </c>
      <c r="AR46" s="36" t="str">
        <f ca="1">IFERROR(+IF(AR$27=ProposalToGnatt[[#This Row],[Start Date]],Milestone_Marker,IF(AND(AR$27&gt;ProposalToGnatt[[#This Row],[Start Date]],AR$27&lt;ProposalToGnatt[[#This Row],[Start Date]]+ProposalToGnatt[[#This Row],[Days]]),$G$5,"")),"")</f>
        <v/>
      </c>
      <c r="AS46" s="36" t="str">
        <f ca="1">IFERROR(+IF(AS$27=ProposalToGnatt[[#This Row],[Start Date]],Milestone_Marker,IF(AND(AS$27&gt;ProposalToGnatt[[#This Row],[Start Date]],AS$27&lt;ProposalToGnatt[[#This Row],[Start Date]]+ProposalToGnatt[[#This Row],[Days]]),$G$5,"")),"")</f>
        <v/>
      </c>
      <c r="AT46" s="36" t="str">
        <f ca="1">IFERROR(+IF(AT$27=ProposalToGnatt[[#This Row],[Start Date]],Milestone_Marker,IF(AND(AT$27&gt;ProposalToGnatt[[#This Row],[Start Date]],AT$27&lt;ProposalToGnatt[[#This Row],[Start Date]]+ProposalToGnatt[[#This Row],[Days]]),$G$5,"")),"")</f>
        <v/>
      </c>
      <c r="AU46" s="36" t="str">
        <f ca="1">IFERROR(+IF(AU$27=ProposalToGnatt[[#This Row],[Start Date]],Milestone_Marker,IF(AND(AU$27&gt;ProposalToGnatt[[#This Row],[Start Date]],AU$27&lt;ProposalToGnatt[[#This Row],[Start Date]]+ProposalToGnatt[[#This Row],[Days]]),$G$5,"")),"")</f>
        <v/>
      </c>
      <c r="AV46" s="36" t="str">
        <f ca="1">IFERROR(+IF(AV$27=ProposalToGnatt[[#This Row],[Start Date]],Milestone_Marker,IF(AND(AV$27&gt;ProposalToGnatt[[#This Row],[Start Date]],AV$27&lt;ProposalToGnatt[[#This Row],[Start Date]]+ProposalToGnatt[[#This Row],[Days]]),$G$5,"")),"")</f>
        <v/>
      </c>
      <c r="AW46" s="36" t="str">
        <f ca="1">IFERROR(+IF(AW$27=ProposalToGnatt[[#This Row],[Start Date]],Milestone_Marker,IF(AND(AW$27&gt;ProposalToGnatt[[#This Row],[Start Date]],AW$27&lt;ProposalToGnatt[[#This Row],[Start Date]]+ProposalToGnatt[[#This Row],[Days]]),$G$5,"")),"")</f>
        <v/>
      </c>
      <c r="AX46" s="36" t="str">
        <f ca="1">IFERROR(+IF(AX$27=ProposalToGnatt[[#This Row],[Start Date]],Milestone_Marker,IF(AND(AX$27&gt;ProposalToGnatt[[#This Row],[Start Date]],AX$27&lt;ProposalToGnatt[[#This Row],[Start Date]]+ProposalToGnatt[[#This Row],[Days]]),$G$5,"")),"")</f>
        <v/>
      </c>
      <c r="AY46" s="36" t="str">
        <f ca="1">IFERROR(+IF(AY$27=ProposalToGnatt[[#This Row],[Start Date]],Milestone_Marker,IF(AND(AY$27&gt;ProposalToGnatt[[#This Row],[Start Date]],AY$27&lt;ProposalToGnatt[[#This Row],[Start Date]]+ProposalToGnatt[[#This Row],[Days]]),$G$5,"")),"")</f>
        <v/>
      </c>
      <c r="AZ46" s="36" t="str">
        <f ca="1">IFERROR(+IF(AZ$27=ProposalToGnatt[[#This Row],[Start Date]],Milestone_Marker,IF(AND(AZ$27&gt;ProposalToGnatt[[#This Row],[Start Date]],AZ$27&lt;ProposalToGnatt[[#This Row],[Start Date]]+ProposalToGnatt[[#This Row],[Days]]),$G$5,"")),"")</f>
        <v/>
      </c>
      <c r="BA46" s="36" t="str">
        <f ca="1">IFERROR(+IF(BA$27=ProposalToGnatt[[#This Row],[Start Date]],Milestone_Marker,IF(AND(BA$27&gt;ProposalToGnatt[[#This Row],[Start Date]],BA$27&lt;ProposalToGnatt[[#This Row],[Start Date]]+ProposalToGnatt[[#This Row],[Days]]),$G$5,"")),"")</f>
        <v/>
      </c>
      <c r="BB46" s="36" t="str">
        <f ca="1">IFERROR(+IF(BB$27=ProposalToGnatt[[#This Row],[Start Date]],Milestone_Marker,IF(AND(BB$27&gt;ProposalToGnatt[[#This Row],[Start Date]],BB$27&lt;ProposalToGnatt[[#This Row],[Start Date]]+ProposalToGnatt[[#This Row],[Days]]),$G$5,"")),"")</f>
        <v/>
      </c>
      <c r="BC46" s="36" t="str">
        <f ca="1">IFERROR(+IF(BC$27=ProposalToGnatt[[#This Row],[Start Date]],Milestone_Marker,IF(AND(BC$27&gt;ProposalToGnatt[[#This Row],[Start Date]],BC$27&lt;ProposalToGnatt[[#This Row],[Start Date]]+ProposalToGnatt[[#This Row],[Days]]),$G$5,"")),"")</f>
        <v/>
      </c>
      <c r="BD46" s="36" t="str">
        <f ca="1">IFERROR(+IF(BD$27=ProposalToGnatt[[#This Row],[Start Date]],Milestone_Marker,IF(AND(BD$27&gt;ProposalToGnatt[[#This Row],[Start Date]],BD$27&lt;ProposalToGnatt[[#This Row],[Start Date]]+ProposalToGnatt[[#This Row],[Days]]),$G$5,"")),"")</f>
        <v/>
      </c>
      <c r="BE46" s="36" t="str">
        <f ca="1">IFERROR(+IF(BE$27=ProposalToGnatt[[#This Row],[Start Date]],Milestone_Marker,IF(AND(BE$27&gt;ProposalToGnatt[[#This Row],[Start Date]],BE$27&lt;ProposalToGnatt[[#This Row],[Start Date]]+ProposalToGnatt[[#This Row],[Days]]),$G$5,"")),"")</f>
        <v/>
      </c>
      <c r="BF46" s="36" t="str">
        <f ca="1">IFERROR(+IF(BF$27=ProposalToGnatt[[#This Row],[Start Date]],Milestone_Marker,IF(AND(BF$27&gt;ProposalToGnatt[[#This Row],[Start Date]],BF$27&lt;ProposalToGnatt[[#This Row],[Start Date]]+ProposalToGnatt[[#This Row],[Days]]),$G$5,"")),"")</f>
        <v/>
      </c>
      <c r="BG46" s="36" t="str">
        <f ca="1">IFERROR(+IF(BG$27=ProposalToGnatt[[#This Row],[Start Date]],Milestone_Marker,IF(AND(BG$27&gt;ProposalToGnatt[[#This Row],[Start Date]],BG$27&lt;ProposalToGnatt[[#This Row],[Start Date]]+ProposalToGnatt[[#This Row],[Days]]),$G$5,"")),"")</f>
        <v/>
      </c>
      <c r="BH46" s="36" t="str">
        <f ca="1">IFERROR(+IF(BH$27=ProposalToGnatt[[#This Row],[Start Date]],Milestone_Marker,IF(AND(BH$27&gt;ProposalToGnatt[[#This Row],[Start Date]],BH$27&lt;ProposalToGnatt[[#This Row],[Start Date]]+ProposalToGnatt[[#This Row],[Days]]),$G$5,"")),"")</f>
        <v/>
      </c>
      <c r="BI46" s="36" t="str">
        <f ca="1">IFERROR(+IF(BI$27=ProposalToGnatt[[#This Row],[Start Date]],Milestone_Marker,IF(AND(BI$27&gt;ProposalToGnatt[[#This Row],[Start Date]],BI$27&lt;ProposalToGnatt[[#This Row],[Start Date]]+ProposalToGnatt[[#This Row],[Days]]),$G$5,"")),"")</f>
        <v/>
      </c>
      <c r="BJ46" s="36" t="str">
        <f ca="1">IFERROR(+IF(BJ$27=ProposalToGnatt[[#This Row],[Start Date]],Milestone_Marker,IF(AND(BJ$27&gt;ProposalToGnatt[[#This Row],[Start Date]],BJ$27&lt;ProposalToGnatt[[#This Row],[Start Date]]+ProposalToGnatt[[#This Row],[Days]]),$G$5,"")),"")</f>
        <v/>
      </c>
      <c r="BK46" s="36" t="str">
        <f ca="1">IFERROR(+IF(BK$27=ProposalToGnatt[[#This Row],[Start Date]],Milestone_Marker,IF(AND(BK$27&gt;ProposalToGnatt[[#This Row],[Start Date]],BK$27&lt;ProposalToGnatt[[#This Row],[Start Date]]+ProposalToGnatt[[#This Row],[Days]]),$G$5,"")),"")</f>
        <v/>
      </c>
      <c r="BL46" s="36" t="str">
        <f ca="1">IFERROR(+IF(BL$27=ProposalToGnatt[[#This Row],[Start Date]],Milestone_Marker,IF(AND(BL$27&gt;ProposalToGnatt[[#This Row],[Start Date]],BL$27&lt;ProposalToGnatt[[#This Row],[Start Date]]+ProposalToGnatt[[#This Row],[Days]]),$G$5,"")),"")</f>
        <v/>
      </c>
      <c r="BM46" s="36" t="str">
        <f ca="1">IFERROR(+IF(BM$27=ProposalToGnatt[[#This Row],[Start Date]],Milestone_Marker,IF(AND(BM$27&gt;ProposalToGnatt[[#This Row],[Start Date]],BM$27&lt;ProposalToGnatt[[#This Row],[Start Date]]+ProposalToGnatt[[#This Row],[Days]]),$G$5,"")),"")</f>
        <v/>
      </c>
      <c r="BN46" s="36" t="str">
        <f ca="1">IFERROR(+IF(BN$27=ProposalToGnatt[[#This Row],[Start Date]],Milestone_Marker,IF(AND(BN$27&gt;ProposalToGnatt[[#This Row],[Start Date]],BN$27&lt;ProposalToGnatt[[#This Row],[Start Date]]+ProposalToGnatt[[#This Row],[Days]]),$G$5,"")),"")</f>
        <v/>
      </c>
      <c r="BO46" s="36" t="str">
        <f ca="1">IFERROR(+IF(BO$27=ProposalToGnatt[[#This Row],[Start Date]],Milestone_Marker,IF(AND(BO$27&gt;ProposalToGnatt[[#This Row],[Start Date]],BO$27&lt;ProposalToGnatt[[#This Row],[Start Date]]+ProposalToGnatt[[#This Row],[Days]]),$G$5,"")),"")</f>
        <v/>
      </c>
      <c r="BP46" s="36" t="str">
        <f ca="1">IFERROR(+IF(BP$27=ProposalToGnatt[[#This Row],[Start Date]],Milestone_Marker,IF(AND(BP$27&gt;ProposalToGnatt[[#This Row],[Start Date]],BP$27&lt;ProposalToGnatt[[#This Row],[Start Date]]+ProposalToGnatt[[#This Row],[Days]]),$G$5,"")),"")</f>
        <v/>
      </c>
      <c r="BQ46" s="36" t="str">
        <f ca="1">IFERROR(+IF(BQ$27=ProposalToGnatt[[#This Row],[Start Date]],Milestone_Marker,IF(AND(BQ$27&gt;ProposalToGnatt[[#This Row],[Start Date]],BQ$27&lt;ProposalToGnatt[[#This Row],[Start Date]]+ProposalToGnatt[[#This Row],[Days]]),$G$5,"")),"")</f>
        <v/>
      </c>
      <c r="BR46" s="36" t="str">
        <f ca="1">IFERROR(+IF(BR$27=ProposalToGnatt[[#This Row],[Start Date]],Milestone_Marker,IF(AND(BR$27&gt;ProposalToGnatt[[#This Row],[Start Date]],BR$27&lt;ProposalToGnatt[[#This Row],[Start Date]]+ProposalToGnatt[[#This Row],[Days]]),$G$5,"")),"")</f>
        <v/>
      </c>
      <c r="BS46" s="36" t="str">
        <f ca="1">IFERROR(+IF(BS$27=ProposalToGnatt[[#This Row],[Start Date]],Milestone_Marker,IF(AND(BS$27&gt;ProposalToGnatt[[#This Row],[Start Date]],BS$27&lt;ProposalToGnatt[[#This Row],[Start Date]]+ProposalToGnatt[[#This Row],[Days]]),$G$5,"")),"")</f>
        <v/>
      </c>
      <c r="BT46" s="36" t="str">
        <f ca="1">IFERROR(+IF(BT$27=ProposalToGnatt[[#This Row],[Start Date]],Milestone_Marker,IF(AND(BT$27&gt;ProposalToGnatt[[#This Row],[Start Date]],BT$27&lt;ProposalToGnatt[[#This Row],[Start Date]]+ProposalToGnatt[[#This Row],[Days]]),$G$5,"")),"")</f>
        <v/>
      </c>
      <c r="BU46" s="36" t="str">
        <f ca="1">IFERROR(+IF(BU$27=ProposalToGnatt[[#This Row],[Start Date]],Milestone_Marker,IF(AND(BU$27&gt;ProposalToGnatt[[#This Row],[Start Date]],BU$27&lt;ProposalToGnatt[[#This Row],[Start Date]]+ProposalToGnatt[[#This Row],[Days]]),$G$5,"")),"")</f>
        <v/>
      </c>
      <c r="BV46" s="36" t="str">
        <f ca="1">IFERROR(+IF(BV$27=ProposalToGnatt[[#This Row],[Start Date]],Milestone_Marker,IF(AND(BV$27&gt;ProposalToGnatt[[#This Row],[Start Date]],BV$27&lt;ProposalToGnatt[[#This Row],[Start Date]]+ProposalToGnatt[[#This Row],[Days]]),$G$5,"")),"")</f>
        <v/>
      </c>
      <c r="BW46" s="36" t="str">
        <f ca="1">IFERROR(+IF(BW$27=ProposalToGnatt[[#This Row],[Start Date]],Milestone_Marker,IF(AND(BW$27&gt;ProposalToGnatt[[#This Row],[Start Date]],BW$27&lt;ProposalToGnatt[[#This Row],[Start Date]]+ProposalToGnatt[[#This Row],[Days]]),$G$5,"")),"")</f>
        <v/>
      </c>
      <c r="BX46" s="36" t="str">
        <f ca="1">IFERROR(+IF(BX$27=ProposalToGnatt[[#This Row],[Start Date]],Milestone_Marker,IF(AND(BX$27&gt;ProposalToGnatt[[#This Row],[Start Date]],BX$27&lt;ProposalToGnatt[[#This Row],[Start Date]]+ProposalToGnatt[[#This Row],[Days]]),$G$5,"")),"")</f>
        <v/>
      </c>
      <c r="BY46" s="36" t="str">
        <f ca="1">IFERROR(+IF(BY$27=ProposalToGnatt[[#This Row],[Start Date]],Milestone_Marker,IF(AND(BY$27&gt;ProposalToGnatt[[#This Row],[Start Date]],BY$27&lt;ProposalToGnatt[[#This Row],[Start Date]]+ProposalToGnatt[[#This Row],[Days]]),$G$5,"")),"")</f>
        <v/>
      </c>
      <c r="BZ46" s="36" t="str">
        <f ca="1">IFERROR(+IF(BZ$27=ProposalToGnatt[[#This Row],[Start Date]],Milestone_Marker,IF(AND(BZ$27&gt;ProposalToGnatt[[#This Row],[Start Date]],BZ$27&lt;ProposalToGnatt[[#This Row],[Start Date]]+ProposalToGnatt[[#This Row],[Days]]),$G$5,"")),"")</f>
        <v/>
      </c>
      <c r="CA46" s="36" t="str">
        <f ca="1">IFERROR(+IF(CA$27=ProposalToGnatt[[#This Row],[Start Date]],Milestone_Marker,IF(AND(CA$27&gt;ProposalToGnatt[[#This Row],[Start Date]],CA$27&lt;ProposalToGnatt[[#This Row],[Start Date]]+ProposalToGnatt[[#This Row],[Days]]),$G$5,"")),"")</f>
        <v/>
      </c>
      <c r="CB46" s="36" t="str">
        <f ca="1">IFERROR(+IF(CB$27=ProposalToGnatt[[#This Row],[Start Date]],Milestone_Marker,IF(AND(CB$27&gt;ProposalToGnatt[[#This Row],[Start Date]],CB$27&lt;ProposalToGnatt[[#This Row],[Start Date]]+ProposalToGnatt[[#This Row],[Days]]),$G$5,"")),"")</f>
        <v/>
      </c>
      <c r="CC46" s="36" t="str">
        <f ca="1">IFERROR(+IF(CC$27=ProposalToGnatt[[#This Row],[Start Date]],Milestone_Marker,IF(AND(CC$27&gt;ProposalToGnatt[[#This Row],[Start Date]],CC$27&lt;ProposalToGnatt[[#This Row],[Start Date]]+ProposalToGnatt[[#This Row],[Days]]),$G$5,"")),"")</f>
        <v/>
      </c>
      <c r="CD46" s="36" t="str">
        <f ca="1">IFERROR(+IF(CD$27=ProposalToGnatt[[#This Row],[Start Date]],Milestone_Marker,IF(AND(CD$27&gt;ProposalToGnatt[[#This Row],[Start Date]],CD$27&lt;ProposalToGnatt[[#This Row],[Start Date]]+ProposalToGnatt[[#This Row],[Days]]),$G$5,"")),"")</f>
        <v/>
      </c>
      <c r="CE46" s="36" t="str">
        <f ca="1">IFERROR(+IF(CE$27=ProposalToGnatt[[#This Row],[Start Date]],Milestone_Marker,IF(AND(CE$27&gt;ProposalToGnatt[[#This Row],[Start Date]],CE$27&lt;ProposalToGnatt[[#This Row],[Start Date]]+ProposalToGnatt[[#This Row],[Days]]),$G$5,"")),"")</f>
        <v/>
      </c>
      <c r="CF46" s="36" t="str">
        <f ca="1">IFERROR(+IF(CF$27=ProposalToGnatt[[#This Row],[Start Date]],Milestone_Marker,IF(AND(CF$27&gt;ProposalToGnatt[[#This Row],[Start Date]],CF$27&lt;ProposalToGnatt[[#This Row],[Start Date]]+ProposalToGnatt[[#This Row],[Days]]),$G$5,"")),"")</f>
        <v/>
      </c>
      <c r="CG46" s="36" t="str">
        <f ca="1">IFERROR(+IF(CG$27=ProposalToGnatt[[#This Row],[Start Date]],Milestone_Marker,IF(AND(CG$27&gt;ProposalToGnatt[[#This Row],[Start Date]],CG$27&lt;ProposalToGnatt[[#This Row],[Start Date]]+ProposalToGnatt[[#This Row],[Days]]),$G$5,"")),"")</f>
        <v/>
      </c>
      <c r="CH46" s="36" t="str">
        <f ca="1">IFERROR(+IF(CH$27=ProposalToGnatt[[#This Row],[Start Date]],Milestone_Marker,IF(AND(CH$27&gt;ProposalToGnatt[[#This Row],[Start Date]],CH$27&lt;ProposalToGnatt[[#This Row],[Start Date]]+ProposalToGnatt[[#This Row],[Days]]),$G$5,"")),"")</f>
        <v/>
      </c>
      <c r="CI46" s="36" t="str">
        <f ca="1">IFERROR(+IF(CI$27=ProposalToGnatt[[#This Row],[Start Date]],Milestone_Marker,IF(AND(CI$27&gt;ProposalToGnatt[[#This Row],[Start Date]],CI$27&lt;ProposalToGnatt[[#This Row],[Start Date]]+ProposalToGnatt[[#This Row],[Days]]),$G$5,"")),"")</f>
        <v/>
      </c>
      <c r="CJ46" s="36" t="str">
        <f ca="1">IFERROR(+IF(CJ$27=ProposalToGnatt[[#This Row],[Start Date]],Milestone_Marker,IF(AND(CJ$27&gt;ProposalToGnatt[[#This Row],[Start Date]],CJ$27&lt;ProposalToGnatt[[#This Row],[Start Date]]+ProposalToGnatt[[#This Row],[Days]]),$G$5,"")),"")</f>
        <v/>
      </c>
      <c r="CK46" s="36" t="str">
        <f ca="1">IFERROR(+IF(CK$27=ProposalToGnatt[[#This Row],[Start Date]],Milestone_Marker,IF(AND(CK$27&gt;ProposalToGnatt[[#This Row],[Start Date]],CK$27&lt;ProposalToGnatt[[#This Row],[Start Date]]+ProposalToGnatt[[#This Row],[Days]]),$G$5,"")),"")</f>
        <v/>
      </c>
      <c r="CL46" s="36" t="str">
        <f ca="1">IFERROR(+IF(CL$27=ProposalToGnatt[[#This Row],[Start Date]],Milestone_Marker,IF(AND(CL$27&gt;ProposalToGnatt[[#This Row],[Start Date]],CL$27&lt;ProposalToGnatt[[#This Row],[Start Date]]+ProposalToGnatt[[#This Row],[Days]]),$G$5,"")),"")</f>
        <v/>
      </c>
      <c r="CM46" s="36" t="str">
        <f ca="1">IFERROR(+IF(CM$27=ProposalToGnatt[[#This Row],[Start Date]],Milestone_Marker,IF(AND(CM$27&gt;ProposalToGnatt[[#This Row],[Start Date]],CM$27&lt;ProposalToGnatt[[#This Row],[Start Date]]+ProposalToGnatt[[#This Row],[Days]]),$G$5,"")),"")</f>
        <v/>
      </c>
      <c r="CN46" s="36" t="str">
        <f ca="1">IFERROR(+IF(CN$27=ProposalToGnatt[[#This Row],[Start Date]],Milestone_Marker,IF(AND(CN$27&gt;ProposalToGnatt[[#This Row],[Start Date]],CN$27&lt;ProposalToGnatt[[#This Row],[Start Date]]+ProposalToGnatt[[#This Row],[Days]]),$G$5,"")),"")</f>
        <v/>
      </c>
      <c r="CO46" s="36" t="str">
        <f ca="1">IFERROR(+IF(CO$27=ProposalToGnatt[[#This Row],[Start Date]],Milestone_Marker,IF(AND(CO$27&gt;ProposalToGnatt[[#This Row],[Start Date]],CO$27&lt;ProposalToGnatt[[#This Row],[Start Date]]+ProposalToGnatt[[#This Row],[Days]]),$G$5,"")),"")</f>
        <v/>
      </c>
      <c r="CP46" s="36" t="str">
        <f ca="1">IFERROR(+IF(CP$27=ProposalToGnatt[[#This Row],[Start Date]],Milestone_Marker,IF(AND(CP$27&gt;ProposalToGnatt[[#This Row],[Start Date]],CP$27&lt;ProposalToGnatt[[#This Row],[Start Date]]+ProposalToGnatt[[#This Row],[Days]]),$G$5,"")),"")</f>
        <v/>
      </c>
      <c r="CQ46" s="36" t="str">
        <f ca="1">IFERROR(+IF(CQ$27=ProposalToGnatt[[#This Row],[Start Date]],Milestone_Marker,IF(AND(CQ$27&gt;ProposalToGnatt[[#This Row],[Start Date]],CQ$27&lt;ProposalToGnatt[[#This Row],[Start Date]]+ProposalToGnatt[[#This Row],[Days]]),$G$5,"")),"")</f>
        <v/>
      </c>
      <c r="CR46" s="36" t="str">
        <f ca="1">IFERROR(+IF(CR$27=ProposalToGnatt[[#This Row],[Start Date]],Milestone_Marker,IF(AND(CR$27&gt;ProposalToGnatt[[#This Row],[Start Date]],CR$27&lt;ProposalToGnatt[[#This Row],[Start Date]]+ProposalToGnatt[[#This Row],[Days]]),$G$5,"")),"")</f>
        <v/>
      </c>
      <c r="CS46" s="36" t="str">
        <f ca="1">IFERROR(+IF(CS$27=ProposalToGnatt[[#This Row],[Start Date]],Milestone_Marker,IF(AND(CS$27&gt;ProposalToGnatt[[#This Row],[Start Date]],CS$27&lt;ProposalToGnatt[[#This Row],[Start Date]]+ProposalToGnatt[[#This Row],[Days]]),$G$5,"")),"")</f>
        <v/>
      </c>
      <c r="CT46" s="36" t="str">
        <f ca="1">IFERROR(+IF(CT$27=ProposalToGnatt[[#This Row],[Start Date]],Milestone_Marker,IF(AND(CT$27&gt;ProposalToGnatt[[#This Row],[Start Date]],CT$27&lt;ProposalToGnatt[[#This Row],[Start Date]]+ProposalToGnatt[[#This Row],[Days]]),$G$5,"")),"")</f>
        <v/>
      </c>
      <c r="CU46" s="36" t="str">
        <f ca="1">IFERROR(+IF(CU$27=ProposalToGnatt[[#This Row],[Start Date]],Milestone_Marker,IF(AND(CU$27&gt;ProposalToGnatt[[#This Row],[Start Date]],CU$27&lt;ProposalToGnatt[[#This Row],[Start Date]]+ProposalToGnatt[[#This Row],[Days]]),$G$5,"")),"")</f>
        <v/>
      </c>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row>
    <row r="47" spans="1:125" s="41" customFormat="1" ht="15" x14ac:dyDescent="0.25">
      <c r="A47" t="s">
        <v>759</v>
      </c>
      <c r="B47">
        <v>20</v>
      </c>
      <c r="C47"/>
      <c r="D47"/>
      <c r="E47"/>
      <c r="F47"/>
      <c r="G47" s="14"/>
      <c r="H47" s="14"/>
      <c r="I47"/>
      <c r="J47"/>
      <c r="K47" s="261"/>
      <c r="L47"/>
      <c r="M47" s="14"/>
      <c r="N47" s="309"/>
      <c r="O47" s="297"/>
      <c r="P47" s="36" t="str">
        <f ca="1">IFERROR(+IF(P$27=ProposalToGnatt[[#This Row],[Start Date]],Milestone_Marker,IF(AND(P$27&gt;ProposalToGnatt[[#This Row],[Start Date]],P$27&lt;ProposalToGnatt[[#This Row],[Start Date]]+ProposalToGnatt[[#This Row],[Days]]),$G$5,"")),"")</f>
        <v/>
      </c>
      <c r="Q47" s="36" t="str">
        <f ca="1">IFERROR(+IF(Q$27=ProposalToGnatt[[#This Row],[Start Date]],Milestone_Marker,IF(AND(Q$27&gt;ProposalToGnatt[[#This Row],[Start Date]],Q$27&lt;ProposalToGnatt[[#This Row],[Start Date]]+ProposalToGnatt[[#This Row],[Days]]),$G$5,"")),"")</f>
        <v/>
      </c>
      <c r="R47" s="36" t="str">
        <f ca="1">IFERROR(+IF(R$27=ProposalToGnatt[[#This Row],[Start Date]],Milestone_Marker,IF(AND(R$27&gt;ProposalToGnatt[[#This Row],[Start Date]],R$27&lt;ProposalToGnatt[[#This Row],[Start Date]]+ProposalToGnatt[[#This Row],[Days]]),$G$5,"")),"")</f>
        <v/>
      </c>
      <c r="S47" s="36" t="str">
        <f ca="1">IFERROR(+IF(S$27=ProposalToGnatt[[#This Row],[Start Date]],Milestone_Marker,IF(AND(S$27&gt;ProposalToGnatt[[#This Row],[Start Date]],S$27&lt;ProposalToGnatt[[#This Row],[Start Date]]+ProposalToGnatt[[#This Row],[Days]]),$G$5,"")),"")</f>
        <v/>
      </c>
      <c r="T47" s="36" t="str">
        <f ca="1">IFERROR(+IF(T$27=ProposalToGnatt[[#This Row],[Start Date]],Milestone_Marker,IF(AND(T$27&gt;ProposalToGnatt[[#This Row],[Start Date]],T$27&lt;ProposalToGnatt[[#This Row],[Start Date]]+ProposalToGnatt[[#This Row],[Days]]),$G$5,"")),"")</f>
        <v/>
      </c>
      <c r="U47" s="36" t="str">
        <f ca="1">IFERROR(+IF(U$27=ProposalToGnatt[[#This Row],[Start Date]],Milestone_Marker,IF(AND(U$27&gt;ProposalToGnatt[[#This Row],[Start Date]],U$27&lt;ProposalToGnatt[[#This Row],[Start Date]]+ProposalToGnatt[[#This Row],[Days]]),$G$5,"")),"")</f>
        <v/>
      </c>
      <c r="V47" s="36" t="str">
        <f ca="1">IFERROR(+IF(V$27=ProposalToGnatt[[#This Row],[Start Date]],Milestone_Marker,IF(AND(V$27&gt;ProposalToGnatt[[#This Row],[Start Date]],V$27&lt;ProposalToGnatt[[#This Row],[Start Date]]+ProposalToGnatt[[#This Row],[Days]]),$G$5,"")),"")</f>
        <v/>
      </c>
      <c r="W47" s="36" t="str">
        <f ca="1">IFERROR(+IF(W$27=ProposalToGnatt[[#This Row],[Start Date]],Milestone_Marker,IF(AND(W$27&gt;ProposalToGnatt[[#This Row],[Start Date]],W$27&lt;ProposalToGnatt[[#This Row],[Start Date]]+ProposalToGnatt[[#This Row],[Days]]),$G$5,"")),"")</f>
        <v/>
      </c>
      <c r="X47" s="36" t="str">
        <f ca="1">IFERROR(+IF(X$27=ProposalToGnatt[[#This Row],[Start Date]],Milestone_Marker,IF(AND(X$27&gt;ProposalToGnatt[[#This Row],[Start Date]],X$27&lt;ProposalToGnatt[[#This Row],[Start Date]]+ProposalToGnatt[[#This Row],[Days]]),$G$5,"")),"")</f>
        <v/>
      </c>
      <c r="Y47" s="36" t="str">
        <f ca="1">IFERROR(+IF(Y$27=ProposalToGnatt[[#This Row],[Start Date]],Milestone_Marker,IF(AND(Y$27&gt;ProposalToGnatt[[#This Row],[Start Date]],Y$27&lt;ProposalToGnatt[[#This Row],[Start Date]]+ProposalToGnatt[[#This Row],[Days]]),$G$5,"")),"")</f>
        <v/>
      </c>
      <c r="Z47" s="36" t="str">
        <f ca="1">IFERROR(+IF(Z$27=ProposalToGnatt[[#This Row],[Start Date]],Milestone_Marker,IF(AND(Z$27&gt;ProposalToGnatt[[#This Row],[Start Date]],Z$27&lt;ProposalToGnatt[[#This Row],[Start Date]]+ProposalToGnatt[[#This Row],[Days]]),$G$5,"")),"")</f>
        <v/>
      </c>
      <c r="AA47" s="36" t="str">
        <f ca="1">IFERROR(+IF(AA$27=ProposalToGnatt[[#This Row],[Start Date]],Milestone_Marker,IF(AND(AA$27&gt;ProposalToGnatt[[#This Row],[Start Date]],AA$27&lt;ProposalToGnatt[[#This Row],[Start Date]]+ProposalToGnatt[[#This Row],[Days]]),$G$5,"")),"")</f>
        <v/>
      </c>
      <c r="AB47" s="36" t="str">
        <f ca="1">IFERROR(+IF(AB$27=ProposalToGnatt[[#This Row],[Start Date]],Milestone_Marker,IF(AND(AB$27&gt;ProposalToGnatt[[#This Row],[Start Date]],AB$27&lt;ProposalToGnatt[[#This Row],[Start Date]]+ProposalToGnatt[[#This Row],[Days]]),$G$5,"")),"")</f>
        <v/>
      </c>
      <c r="AC47" s="36" t="str">
        <f ca="1">IFERROR(+IF(AC$27=ProposalToGnatt[[#This Row],[Start Date]],Milestone_Marker,IF(AND(AC$27&gt;ProposalToGnatt[[#This Row],[Start Date]],AC$27&lt;ProposalToGnatt[[#This Row],[Start Date]]+ProposalToGnatt[[#This Row],[Days]]),$G$5,"")),"")</f>
        <v/>
      </c>
      <c r="AD47" s="36" t="str">
        <f ca="1">IFERROR(+IF(AD$27=ProposalToGnatt[[#This Row],[Start Date]],Milestone_Marker,IF(AND(AD$27&gt;ProposalToGnatt[[#This Row],[Start Date]],AD$27&lt;ProposalToGnatt[[#This Row],[Start Date]]+ProposalToGnatt[[#This Row],[Days]]),$G$5,"")),"")</f>
        <v/>
      </c>
      <c r="AE47" s="36" t="str">
        <f ca="1">IFERROR(+IF(AE$27=ProposalToGnatt[[#This Row],[Start Date]],Milestone_Marker,IF(AND(AE$27&gt;ProposalToGnatt[[#This Row],[Start Date]],AE$27&lt;ProposalToGnatt[[#This Row],[Start Date]]+ProposalToGnatt[[#This Row],[Days]]),$G$5,"")),"")</f>
        <v/>
      </c>
      <c r="AF47" s="36" t="str">
        <f ca="1">IFERROR(+IF(AF$27=ProposalToGnatt[[#This Row],[Start Date]],Milestone_Marker,IF(AND(AF$27&gt;ProposalToGnatt[[#This Row],[Start Date]],AF$27&lt;ProposalToGnatt[[#This Row],[Start Date]]+ProposalToGnatt[[#This Row],[Days]]),$G$5,"")),"")</f>
        <v/>
      </c>
      <c r="AG47" s="36" t="str">
        <f ca="1">IFERROR(+IF(AG$27=ProposalToGnatt[[#This Row],[Start Date]],Milestone_Marker,IF(AND(AG$27&gt;ProposalToGnatt[[#This Row],[Start Date]],AG$27&lt;ProposalToGnatt[[#This Row],[Start Date]]+ProposalToGnatt[[#This Row],[Days]]),$G$5,"")),"")</f>
        <v/>
      </c>
      <c r="AH47" s="36" t="str">
        <f ca="1">IFERROR(+IF(AH$27=ProposalToGnatt[[#This Row],[Start Date]],Milestone_Marker,IF(AND(AH$27&gt;ProposalToGnatt[[#This Row],[Start Date]],AH$27&lt;ProposalToGnatt[[#This Row],[Start Date]]+ProposalToGnatt[[#This Row],[Days]]),$G$5,"")),"")</f>
        <v/>
      </c>
      <c r="AI47" s="36" t="str">
        <f ca="1">IFERROR(+IF(AI$27=ProposalToGnatt[[#This Row],[Start Date]],Milestone_Marker,IF(AND(AI$27&gt;ProposalToGnatt[[#This Row],[Start Date]],AI$27&lt;ProposalToGnatt[[#This Row],[Start Date]]+ProposalToGnatt[[#This Row],[Days]]),$G$5,"")),"")</f>
        <v/>
      </c>
      <c r="AJ47" s="36" t="str">
        <f ca="1">IFERROR(+IF(AJ$27=ProposalToGnatt[[#This Row],[Start Date]],Milestone_Marker,IF(AND(AJ$27&gt;ProposalToGnatt[[#This Row],[Start Date]],AJ$27&lt;ProposalToGnatt[[#This Row],[Start Date]]+ProposalToGnatt[[#This Row],[Days]]),$G$5,"")),"")</f>
        <v/>
      </c>
      <c r="AK47" s="36" t="str">
        <f ca="1">IFERROR(+IF(AK$27=ProposalToGnatt[[#This Row],[Start Date]],Milestone_Marker,IF(AND(AK$27&gt;ProposalToGnatt[[#This Row],[Start Date]],AK$27&lt;ProposalToGnatt[[#This Row],[Start Date]]+ProposalToGnatt[[#This Row],[Days]]),$G$5,"")),"")</f>
        <v/>
      </c>
      <c r="AL47" s="36" t="str">
        <f ca="1">IFERROR(+IF(AL$27=ProposalToGnatt[[#This Row],[Start Date]],Milestone_Marker,IF(AND(AL$27&gt;ProposalToGnatt[[#This Row],[Start Date]],AL$27&lt;ProposalToGnatt[[#This Row],[Start Date]]+ProposalToGnatt[[#This Row],[Days]]),$G$5,"")),"")</f>
        <v/>
      </c>
      <c r="AM47" s="36" t="str">
        <f ca="1">IFERROR(+IF(AM$27=ProposalToGnatt[[#This Row],[Start Date]],Milestone_Marker,IF(AND(AM$27&gt;ProposalToGnatt[[#This Row],[Start Date]],AM$27&lt;ProposalToGnatt[[#This Row],[Start Date]]+ProposalToGnatt[[#This Row],[Days]]),$G$5,"")),"")</f>
        <v/>
      </c>
      <c r="AN47" s="36" t="str">
        <f ca="1">IFERROR(+IF(AN$27=ProposalToGnatt[[#This Row],[Start Date]],Milestone_Marker,IF(AND(AN$27&gt;ProposalToGnatt[[#This Row],[Start Date]],AN$27&lt;ProposalToGnatt[[#This Row],[Start Date]]+ProposalToGnatt[[#This Row],[Days]]),$G$5,"")),"")</f>
        <v/>
      </c>
      <c r="AO47" s="36" t="str">
        <f ca="1">IFERROR(+IF(AO$27=ProposalToGnatt[[#This Row],[Start Date]],Milestone_Marker,IF(AND(AO$27&gt;ProposalToGnatt[[#This Row],[Start Date]],AO$27&lt;ProposalToGnatt[[#This Row],[Start Date]]+ProposalToGnatt[[#This Row],[Days]]),$G$5,"")),"")</f>
        <v/>
      </c>
      <c r="AP47" s="36" t="str">
        <f ca="1">IFERROR(+IF(AP$27=ProposalToGnatt[[#This Row],[Start Date]],Milestone_Marker,IF(AND(AP$27&gt;ProposalToGnatt[[#This Row],[Start Date]],AP$27&lt;ProposalToGnatt[[#This Row],[Start Date]]+ProposalToGnatt[[#This Row],[Days]]),$G$5,"")),"")</f>
        <v/>
      </c>
      <c r="AQ47" s="36" t="str">
        <f ca="1">IFERROR(+IF(AQ$27=ProposalToGnatt[[#This Row],[Start Date]],Milestone_Marker,IF(AND(AQ$27&gt;ProposalToGnatt[[#This Row],[Start Date]],AQ$27&lt;ProposalToGnatt[[#This Row],[Start Date]]+ProposalToGnatt[[#This Row],[Days]]),$G$5,"")),"")</f>
        <v/>
      </c>
      <c r="AR47" s="36" t="str">
        <f ca="1">IFERROR(+IF(AR$27=ProposalToGnatt[[#This Row],[Start Date]],Milestone_Marker,IF(AND(AR$27&gt;ProposalToGnatt[[#This Row],[Start Date]],AR$27&lt;ProposalToGnatt[[#This Row],[Start Date]]+ProposalToGnatt[[#This Row],[Days]]),$G$5,"")),"")</f>
        <v/>
      </c>
      <c r="AS47" s="36" t="str">
        <f ca="1">IFERROR(+IF(AS$27=ProposalToGnatt[[#This Row],[Start Date]],Milestone_Marker,IF(AND(AS$27&gt;ProposalToGnatt[[#This Row],[Start Date]],AS$27&lt;ProposalToGnatt[[#This Row],[Start Date]]+ProposalToGnatt[[#This Row],[Days]]),$G$5,"")),"")</f>
        <v/>
      </c>
      <c r="AT47" s="36" t="str">
        <f ca="1">IFERROR(+IF(AT$27=ProposalToGnatt[[#This Row],[Start Date]],Milestone_Marker,IF(AND(AT$27&gt;ProposalToGnatt[[#This Row],[Start Date]],AT$27&lt;ProposalToGnatt[[#This Row],[Start Date]]+ProposalToGnatt[[#This Row],[Days]]),$G$5,"")),"")</f>
        <v/>
      </c>
      <c r="AU47" s="36" t="str">
        <f ca="1">IFERROR(+IF(AU$27=ProposalToGnatt[[#This Row],[Start Date]],Milestone_Marker,IF(AND(AU$27&gt;ProposalToGnatt[[#This Row],[Start Date]],AU$27&lt;ProposalToGnatt[[#This Row],[Start Date]]+ProposalToGnatt[[#This Row],[Days]]),$G$5,"")),"")</f>
        <v/>
      </c>
      <c r="AV47" s="36" t="str">
        <f ca="1">IFERROR(+IF(AV$27=ProposalToGnatt[[#This Row],[Start Date]],Milestone_Marker,IF(AND(AV$27&gt;ProposalToGnatt[[#This Row],[Start Date]],AV$27&lt;ProposalToGnatt[[#This Row],[Start Date]]+ProposalToGnatt[[#This Row],[Days]]),$G$5,"")),"")</f>
        <v/>
      </c>
      <c r="AW47" s="36" t="str">
        <f ca="1">IFERROR(+IF(AW$27=ProposalToGnatt[[#This Row],[Start Date]],Milestone_Marker,IF(AND(AW$27&gt;ProposalToGnatt[[#This Row],[Start Date]],AW$27&lt;ProposalToGnatt[[#This Row],[Start Date]]+ProposalToGnatt[[#This Row],[Days]]),$G$5,"")),"")</f>
        <v/>
      </c>
      <c r="AX47" s="36" t="str">
        <f ca="1">IFERROR(+IF(AX$27=ProposalToGnatt[[#This Row],[Start Date]],Milestone_Marker,IF(AND(AX$27&gt;ProposalToGnatt[[#This Row],[Start Date]],AX$27&lt;ProposalToGnatt[[#This Row],[Start Date]]+ProposalToGnatt[[#This Row],[Days]]),$G$5,"")),"")</f>
        <v/>
      </c>
      <c r="AY47" s="36" t="str">
        <f ca="1">IFERROR(+IF(AY$27=ProposalToGnatt[[#This Row],[Start Date]],Milestone_Marker,IF(AND(AY$27&gt;ProposalToGnatt[[#This Row],[Start Date]],AY$27&lt;ProposalToGnatt[[#This Row],[Start Date]]+ProposalToGnatt[[#This Row],[Days]]),$G$5,"")),"")</f>
        <v/>
      </c>
      <c r="AZ47" s="36" t="str">
        <f ca="1">IFERROR(+IF(AZ$27=ProposalToGnatt[[#This Row],[Start Date]],Milestone_Marker,IF(AND(AZ$27&gt;ProposalToGnatt[[#This Row],[Start Date]],AZ$27&lt;ProposalToGnatt[[#This Row],[Start Date]]+ProposalToGnatt[[#This Row],[Days]]),$G$5,"")),"")</f>
        <v/>
      </c>
      <c r="BA47" s="36" t="str">
        <f ca="1">IFERROR(+IF(BA$27=ProposalToGnatt[[#This Row],[Start Date]],Milestone_Marker,IF(AND(BA$27&gt;ProposalToGnatt[[#This Row],[Start Date]],BA$27&lt;ProposalToGnatt[[#This Row],[Start Date]]+ProposalToGnatt[[#This Row],[Days]]),$G$5,"")),"")</f>
        <v/>
      </c>
      <c r="BB47" s="36" t="str">
        <f ca="1">IFERROR(+IF(BB$27=ProposalToGnatt[[#This Row],[Start Date]],Milestone_Marker,IF(AND(BB$27&gt;ProposalToGnatt[[#This Row],[Start Date]],BB$27&lt;ProposalToGnatt[[#This Row],[Start Date]]+ProposalToGnatt[[#This Row],[Days]]),$G$5,"")),"")</f>
        <v/>
      </c>
      <c r="BC47" s="36" t="str">
        <f ca="1">IFERROR(+IF(BC$27=ProposalToGnatt[[#This Row],[Start Date]],Milestone_Marker,IF(AND(BC$27&gt;ProposalToGnatt[[#This Row],[Start Date]],BC$27&lt;ProposalToGnatt[[#This Row],[Start Date]]+ProposalToGnatt[[#This Row],[Days]]),$G$5,"")),"")</f>
        <v/>
      </c>
      <c r="BD47" s="36" t="str">
        <f ca="1">IFERROR(+IF(BD$27=ProposalToGnatt[[#This Row],[Start Date]],Milestone_Marker,IF(AND(BD$27&gt;ProposalToGnatt[[#This Row],[Start Date]],BD$27&lt;ProposalToGnatt[[#This Row],[Start Date]]+ProposalToGnatt[[#This Row],[Days]]),$G$5,"")),"")</f>
        <v/>
      </c>
      <c r="BE47" s="36" t="str">
        <f ca="1">IFERROR(+IF(BE$27=ProposalToGnatt[[#This Row],[Start Date]],Milestone_Marker,IF(AND(BE$27&gt;ProposalToGnatt[[#This Row],[Start Date]],BE$27&lt;ProposalToGnatt[[#This Row],[Start Date]]+ProposalToGnatt[[#This Row],[Days]]),$G$5,"")),"")</f>
        <v/>
      </c>
      <c r="BF47" s="36" t="str">
        <f ca="1">IFERROR(+IF(BF$27=ProposalToGnatt[[#This Row],[Start Date]],Milestone_Marker,IF(AND(BF$27&gt;ProposalToGnatt[[#This Row],[Start Date]],BF$27&lt;ProposalToGnatt[[#This Row],[Start Date]]+ProposalToGnatt[[#This Row],[Days]]),$G$5,"")),"")</f>
        <v/>
      </c>
      <c r="BG47" s="36" t="str">
        <f ca="1">IFERROR(+IF(BG$27=ProposalToGnatt[[#This Row],[Start Date]],Milestone_Marker,IF(AND(BG$27&gt;ProposalToGnatt[[#This Row],[Start Date]],BG$27&lt;ProposalToGnatt[[#This Row],[Start Date]]+ProposalToGnatt[[#This Row],[Days]]),$G$5,"")),"")</f>
        <v/>
      </c>
      <c r="BH47" s="36" t="str">
        <f ca="1">IFERROR(+IF(BH$27=ProposalToGnatt[[#This Row],[Start Date]],Milestone_Marker,IF(AND(BH$27&gt;ProposalToGnatt[[#This Row],[Start Date]],BH$27&lt;ProposalToGnatt[[#This Row],[Start Date]]+ProposalToGnatt[[#This Row],[Days]]),$G$5,"")),"")</f>
        <v/>
      </c>
      <c r="BI47" s="36" t="str">
        <f ca="1">IFERROR(+IF(BI$27=ProposalToGnatt[[#This Row],[Start Date]],Milestone_Marker,IF(AND(BI$27&gt;ProposalToGnatt[[#This Row],[Start Date]],BI$27&lt;ProposalToGnatt[[#This Row],[Start Date]]+ProposalToGnatt[[#This Row],[Days]]),$G$5,"")),"")</f>
        <v/>
      </c>
      <c r="BJ47" s="36" t="str">
        <f ca="1">IFERROR(+IF(BJ$27=ProposalToGnatt[[#This Row],[Start Date]],Milestone_Marker,IF(AND(BJ$27&gt;ProposalToGnatt[[#This Row],[Start Date]],BJ$27&lt;ProposalToGnatt[[#This Row],[Start Date]]+ProposalToGnatt[[#This Row],[Days]]),$G$5,"")),"")</f>
        <v/>
      </c>
      <c r="BK47" s="36" t="str">
        <f ca="1">IFERROR(+IF(BK$27=ProposalToGnatt[[#This Row],[Start Date]],Milestone_Marker,IF(AND(BK$27&gt;ProposalToGnatt[[#This Row],[Start Date]],BK$27&lt;ProposalToGnatt[[#This Row],[Start Date]]+ProposalToGnatt[[#This Row],[Days]]),$G$5,"")),"")</f>
        <v/>
      </c>
      <c r="BL47" s="36" t="str">
        <f ca="1">IFERROR(+IF(BL$27=ProposalToGnatt[[#This Row],[Start Date]],Milestone_Marker,IF(AND(BL$27&gt;ProposalToGnatt[[#This Row],[Start Date]],BL$27&lt;ProposalToGnatt[[#This Row],[Start Date]]+ProposalToGnatt[[#This Row],[Days]]),$G$5,"")),"")</f>
        <v/>
      </c>
      <c r="BM47" s="36" t="str">
        <f ca="1">IFERROR(+IF(BM$27=ProposalToGnatt[[#This Row],[Start Date]],Milestone_Marker,IF(AND(BM$27&gt;ProposalToGnatt[[#This Row],[Start Date]],BM$27&lt;ProposalToGnatt[[#This Row],[Start Date]]+ProposalToGnatt[[#This Row],[Days]]),$G$5,"")),"")</f>
        <v/>
      </c>
      <c r="BN47" s="36" t="str">
        <f ca="1">IFERROR(+IF(BN$27=ProposalToGnatt[[#This Row],[Start Date]],Milestone_Marker,IF(AND(BN$27&gt;ProposalToGnatt[[#This Row],[Start Date]],BN$27&lt;ProposalToGnatt[[#This Row],[Start Date]]+ProposalToGnatt[[#This Row],[Days]]),$G$5,"")),"")</f>
        <v/>
      </c>
      <c r="BO47" s="36" t="str">
        <f ca="1">IFERROR(+IF(BO$27=ProposalToGnatt[[#This Row],[Start Date]],Milestone_Marker,IF(AND(BO$27&gt;ProposalToGnatt[[#This Row],[Start Date]],BO$27&lt;ProposalToGnatt[[#This Row],[Start Date]]+ProposalToGnatt[[#This Row],[Days]]),$G$5,"")),"")</f>
        <v/>
      </c>
      <c r="BP47" s="36" t="str">
        <f ca="1">IFERROR(+IF(BP$27=ProposalToGnatt[[#This Row],[Start Date]],Milestone_Marker,IF(AND(BP$27&gt;ProposalToGnatt[[#This Row],[Start Date]],BP$27&lt;ProposalToGnatt[[#This Row],[Start Date]]+ProposalToGnatt[[#This Row],[Days]]),$G$5,"")),"")</f>
        <v/>
      </c>
      <c r="BQ47" s="36" t="str">
        <f ca="1">IFERROR(+IF(BQ$27=ProposalToGnatt[[#This Row],[Start Date]],Milestone_Marker,IF(AND(BQ$27&gt;ProposalToGnatt[[#This Row],[Start Date]],BQ$27&lt;ProposalToGnatt[[#This Row],[Start Date]]+ProposalToGnatt[[#This Row],[Days]]),$G$5,"")),"")</f>
        <v/>
      </c>
      <c r="BR47" s="36" t="str">
        <f ca="1">IFERROR(+IF(BR$27=ProposalToGnatt[[#This Row],[Start Date]],Milestone_Marker,IF(AND(BR$27&gt;ProposalToGnatt[[#This Row],[Start Date]],BR$27&lt;ProposalToGnatt[[#This Row],[Start Date]]+ProposalToGnatt[[#This Row],[Days]]),$G$5,"")),"")</f>
        <v/>
      </c>
      <c r="BS47" s="36" t="str">
        <f ca="1">IFERROR(+IF(BS$27=ProposalToGnatt[[#This Row],[Start Date]],Milestone_Marker,IF(AND(BS$27&gt;ProposalToGnatt[[#This Row],[Start Date]],BS$27&lt;ProposalToGnatt[[#This Row],[Start Date]]+ProposalToGnatt[[#This Row],[Days]]),$G$5,"")),"")</f>
        <v/>
      </c>
      <c r="BT47" s="36" t="str">
        <f ca="1">IFERROR(+IF(BT$27=ProposalToGnatt[[#This Row],[Start Date]],Milestone_Marker,IF(AND(BT$27&gt;ProposalToGnatt[[#This Row],[Start Date]],BT$27&lt;ProposalToGnatt[[#This Row],[Start Date]]+ProposalToGnatt[[#This Row],[Days]]),$G$5,"")),"")</f>
        <v/>
      </c>
      <c r="BU47" s="36" t="str">
        <f ca="1">IFERROR(+IF(BU$27=ProposalToGnatt[[#This Row],[Start Date]],Milestone_Marker,IF(AND(BU$27&gt;ProposalToGnatt[[#This Row],[Start Date]],BU$27&lt;ProposalToGnatt[[#This Row],[Start Date]]+ProposalToGnatt[[#This Row],[Days]]),$G$5,"")),"")</f>
        <v/>
      </c>
      <c r="BV47" s="36" t="str">
        <f ca="1">IFERROR(+IF(BV$27=ProposalToGnatt[[#This Row],[Start Date]],Milestone_Marker,IF(AND(BV$27&gt;ProposalToGnatt[[#This Row],[Start Date]],BV$27&lt;ProposalToGnatt[[#This Row],[Start Date]]+ProposalToGnatt[[#This Row],[Days]]),$G$5,"")),"")</f>
        <v/>
      </c>
      <c r="BW47" s="36" t="str">
        <f ca="1">IFERROR(+IF(BW$27=ProposalToGnatt[[#This Row],[Start Date]],Milestone_Marker,IF(AND(BW$27&gt;ProposalToGnatt[[#This Row],[Start Date]],BW$27&lt;ProposalToGnatt[[#This Row],[Start Date]]+ProposalToGnatt[[#This Row],[Days]]),$G$5,"")),"")</f>
        <v/>
      </c>
      <c r="BX47" s="36" t="str">
        <f ca="1">IFERROR(+IF(BX$27=ProposalToGnatt[[#This Row],[Start Date]],Milestone_Marker,IF(AND(BX$27&gt;ProposalToGnatt[[#This Row],[Start Date]],BX$27&lt;ProposalToGnatt[[#This Row],[Start Date]]+ProposalToGnatt[[#This Row],[Days]]),$G$5,"")),"")</f>
        <v/>
      </c>
      <c r="BY47" s="36" t="str">
        <f ca="1">IFERROR(+IF(BY$27=ProposalToGnatt[[#This Row],[Start Date]],Milestone_Marker,IF(AND(BY$27&gt;ProposalToGnatt[[#This Row],[Start Date]],BY$27&lt;ProposalToGnatt[[#This Row],[Start Date]]+ProposalToGnatt[[#This Row],[Days]]),$G$5,"")),"")</f>
        <v/>
      </c>
      <c r="BZ47" s="36" t="str">
        <f ca="1">IFERROR(+IF(BZ$27=ProposalToGnatt[[#This Row],[Start Date]],Milestone_Marker,IF(AND(BZ$27&gt;ProposalToGnatt[[#This Row],[Start Date]],BZ$27&lt;ProposalToGnatt[[#This Row],[Start Date]]+ProposalToGnatt[[#This Row],[Days]]),$G$5,"")),"")</f>
        <v/>
      </c>
      <c r="CA47" s="36" t="str">
        <f ca="1">IFERROR(+IF(CA$27=ProposalToGnatt[[#This Row],[Start Date]],Milestone_Marker,IF(AND(CA$27&gt;ProposalToGnatt[[#This Row],[Start Date]],CA$27&lt;ProposalToGnatt[[#This Row],[Start Date]]+ProposalToGnatt[[#This Row],[Days]]),$G$5,"")),"")</f>
        <v/>
      </c>
      <c r="CB47" s="36" t="str">
        <f ca="1">IFERROR(+IF(CB$27=ProposalToGnatt[[#This Row],[Start Date]],Milestone_Marker,IF(AND(CB$27&gt;ProposalToGnatt[[#This Row],[Start Date]],CB$27&lt;ProposalToGnatt[[#This Row],[Start Date]]+ProposalToGnatt[[#This Row],[Days]]),$G$5,"")),"")</f>
        <v/>
      </c>
      <c r="CC47" s="36" t="str">
        <f ca="1">IFERROR(+IF(CC$27=ProposalToGnatt[[#This Row],[Start Date]],Milestone_Marker,IF(AND(CC$27&gt;ProposalToGnatt[[#This Row],[Start Date]],CC$27&lt;ProposalToGnatt[[#This Row],[Start Date]]+ProposalToGnatt[[#This Row],[Days]]),$G$5,"")),"")</f>
        <v/>
      </c>
      <c r="CD47" s="36" t="str">
        <f ca="1">IFERROR(+IF(CD$27=ProposalToGnatt[[#This Row],[Start Date]],Milestone_Marker,IF(AND(CD$27&gt;ProposalToGnatt[[#This Row],[Start Date]],CD$27&lt;ProposalToGnatt[[#This Row],[Start Date]]+ProposalToGnatt[[#This Row],[Days]]),$G$5,"")),"")</f>
        <v/>
      </c>
      <c r="CE47" s="36" t="str">
        <f ca="1">IFERROR(+IF(CE$27=ProposalToGnatt[[#This Row],[Start Date]],Milestone_Marker,IF(AND(CE$27&gt;ProposalToGnatt[[#This Row],[Start Date]],CE$27&lt;ProposalToGnatt[[#This Row],[Start Date]]+ProposalToGnatt[[#This Row],[Days]]),$G$5,"")),"")</f>
        <v/>
      </c>
      <c r="CF47" s="36" t="str">
        <f ca="1">IFERROR(+IF(CF$27=ProposalToGnatt[[#This Row],[Start Date]],Milestone_Marker,IF(AND(CF$27&gt;ProposalToGnatt[[#This Row],[Start Date]],CF$27&lt;ProposalToGnatt[[#This Row],[Start Date]]+ProposalToGnatt[[#This Row],[Days]]),$G$5,"")),"")</f>
        <v/>
      </c>
      <c r="CG47" s="36" t="str">
        <f ca="1">IFERROR(+IF(CG$27=ProposalToGnatt[[#This Row],[Start Date]],Milestone_Marker,IF(AND(CG$27&gt;ProposalToGnatt[[#This Row],[Start Date]],CG$27&lt;ProposalToGnatt[[#This Row],[Start Date]]+ProposalToGnatt[[#This Row],[Days]]),$G$5,"")),"")</f>
        <v/>
      </c>
      <c r="CH47" s="36" t="str">
        <f ca="1">IFERROR(+IF(CH$27=ProposalToGnatt[[#This Row],[Start Date]],Milestone_Marker,IF(AND(CH$27&gt;ProposalToGnatt[[#This Row],[Start Date]],CH$27&lt;ProposalToGnatt[[#This Row],[Start Date]]+ProposalToGnatt[[#This Row],[Days]]),$G$5,"")),"")</f>
        <v/>
      </c>
      <c r="CI47" s="36" t="str">
        <f ca="1">IFERROR(+IF(CI$27=ProposalToGnatt[[#This Row],[Start Date]],Milestone_Marker,IF(AND(CI$27&gt;ProposalToGnatt[[#This Row],[Start Date]],CI$27&lt;ProposalToGnatt[[#This Row],[Start Date]]+ProposalToGnatt[[#This Row],[Days]]),$G$5,"")),"")</f>
        <v/>
      </c>
      <c r="CJ47" s="36" t="str">
        <f ca="1">IFERROR(+IF(CJ$27=ProposalToGnatt[[#This Row],[Start Date]],Milestone_Marker,IF(AND(CJ$27&gt;ProposalToGnatt[[#This Row],[Start Date]],CJ$27&lt;ProposalToGnatt[[#This Row],[Start Date]]+ProposalToGnatt[[#This Row],[Days]]),$G$5,"")),"")</f>
        <v/>
      </c>
      <c r="CK47" s="36" t="str">
        <f ca="1">IFERROR(+IF(CK$27=ProposalToGnatt[[#This Row],[Start Date]],Milestone_Marker,IF(AND(CK$27&gt;ProposalToGnatt[[#This Row],[Start Date]],CK$27&lt;ProposalToGnatt[[#This Row],[Start Date]]+ProposalToGnatt[[#This Row],[Days]]),$G$5,"")),"")</f>
        <v/>
      </c>
      <c r="CL47" s="36" t="str">
        <f ca="1">IFERROR(+IF(CL$27=ProposalToGnatt[[#This Row],[Start Date]],Milestone_Marker,IF(AND(CL$27&gt;ProposalToGnatt[[#This Row],[Start Date]],CL$27&lt;ProposalToGnatt[[#This Row],[Start Date]]+ProposalToGnatt[[#This Row],[Days]]),$G$5,"")),"")</f>
        <v/>
      </c>
      <c r="CM47" s="36" t="str">
        <f ca="1">IFERROR(+IF(CM$27=ProposalToGnatt[[#This Row],[Start Date]],Milestone_Marker,IF(AND(CM$27&gt;ProposalToGnatt[[#This Row],[Start Date]],CM$27&lt;ProposalToGnatt[[#This Row],[Start Date]]+ProposalToGnatt[[#This Row],[Days]]),$G$5,"")),"")</f>
        <v/>
      </c>
      <c r="CN47" s="36" t="str">
        <f ca="1">IFERROR(+IF(CN$27=ProposalToGnatt[[#This Row],[Start Date]],Milestone_Marker,IF(AND(CN$27&gt;ProposalToGnatt[[#This Row],[Start Date]],CN$27&lt;ProposalToGnatt[[#This Row],[Start Date]]+ProposalToGnatt[[#This Row],[Days]]),$G$5,"")),"")</f>
        <v/>
      </c>
      <c r="CO47" s="36" t="str">
        <f ca="1">IFERROR(+IF(CO$27=ProposalToGnatt[[#This Row],[Start Date]],Milestone_Marker,IF(AND(CO$27&gt;ProposalToGnatt[[#This Row],[Start Date]],CO$27&lt;ProposalToGnatt[[#This Row],[Start Date]]+ProposalToGnatt[[#This Row],[Days]]),$G$5,"")),"")</f>
        <v/>
      </c>
      <c r="CP47" s="36" t="str">
        <f ca="1">IFERROR(+IF(CP$27=ProposalToGnatt[[#This Row],[Start Date]],Milestone_Marker,IF(AND(CP$27&gt;ProposalToGnatt[[#This Row],[Start Date]],CP$27&lt;ProposalToGnatt[[#This Row],[Start Date]]+ProposalToGnatt[[#This Row],[Days]]),$G$5,"")),"")</f>
        <v/>
      </c>
      <c r="CQ47" s="36" t="str">
        <f ca="1">IFERROR(+IF(CQ$27=ProposalToGnatt[[#This Row],[Start Date]],Milestone_Marker,IF(AND(CQ$27&gt;ProposalToGnatt[[#This Row],[Start Date]],CQ$27&lt;ProposalToGnatt[[#This Row],[Start Date]]+ProposalToGnatt[[#This Row],[Days]]),$G$5,"")),"")</f>
        <v/>
      </c>
      <c r="CR47" s="36" t="str">
        <f ca="1">IFERROR(+IF(CR$27=ProposalToGnatt[[#This Row],[Start Date]],Milestone_Marker,IF(AND(CR$27&gt;ProposalToGnatt[[#This Row],[Start Date]],CR$27&lt;ProposalToGnatt[[#This Row],[Start Date]]+ProposalToGnatt[[#This Row],[Days]]),$G$5,"")),"")</f>
        <v/>
      </c>
      <c r="CS47" s="36" t="str">
        <f ca="1">IFERROR(+IF(CS$27=ProposalToGnatt[[#This Row],[Start Date]],Milestone_Marker,IF(AND(CS$27&gt;ProposalToGnatt[[#This Row],[Start Date]],CS$27&lt;ProposalToGnatt[[#This Row],[Start Date]]+ProposalToGnatt[[#This Row],[Days]]),$G$5,"")),"")</f>
        <v/>
      </c>
      <c r="CT47" s="36" t="str">
        <f ca="1">IFERROR(+IF(CT$27=ProposalToGnatt[[#This Row],[Start Date]],Milestone_Marker,IF(AND(CT$27&gt;ProposalToGnatt[[#This Row],[Start Date]],CT$27&lt;ProposalToGnatt[[#This Row],[Start Date]]+ProposalToGnatt[[#This Row],[Days]]),$G$5,"")),"")</f>
        <v/>
      </c>
      <c r="CU47" s="36" t="str">
        <f ca="1">IFERROR(+IF(CU$27=ProposalToGnatt[[#This Row],[Start Date]],Milestone_Marker,IF(AND(CU$27&gt;ProposalToGnatt[[#This Row],[Start Date]],CU$27&lt;ProposalToGnatt[[#This Row],[Start Date]]+ProposalToGnatt[[#This Row],[Days]]),$G$5,"")),"")</f>
        <v/>
      </c>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row>
    <row r="48" spans="1:125" s="41" customFormat="1" ht="15" x14ac:dyDescent="0.25">
      <c r="A48" t="s">
        <v>759</v>
      </c>
      <c r="B48">
        <v>21</v>
      </c>
      <c r="C48"/>
      <c r="D48"/>
      <c r="E48"/>
      <c r="F48"/>
      <c r="G48" s="14"/>
      <c r="H48" s="14"/>
      <c r="I48"/>
      <c r="J48"/>
      <c r="K48" s="261"/>
      <c r="L48"/>
      <c r="M48" s="14"/>
      <c r="N48" s="309"/>
      <c r="O48" s="297"/>
      <c r="P48" s="36" t="str">
        <f ca="1">IFERROR(+IF(P$27=ProposalToGnatt[[#This Row],[Start Date]],Milestone_Marker,IF(AND(P$27&gt;ProposalToGnatt[[#This Row],[Start Date]],P$27&lt;ProposalToGnatt[[#This Row],[Start Date]]+ProposalToGnatt[[#This Row],[Days]]),$G$5,"")),"")</f>
        <v/>
      </c>
      <c r="Q48" s="36" t="str">
        <f ca="1">IFERROR(+IF(Q$27=ProposalToGnatt[[#This Row],[Start Date]],Milestone_Marker,IF(AND(Q$27&gt;ProposalToGnatt[[#This Row],[Start Date]],Q$27&lt;ProposalToGnatt[[#This Row],[Start Date]]+ProposalToGnatt[[#This Row],[Days]]),$G$5,"")),"")</f>
        <v/>
      </c>
      <c r="R48" s="36" t="str">
        <f ca="1">IFERROR(+IF(R$27=ProposalToGnatt[[#This Row],[Start Date]],Milestone_Marker,IF(AND(R$27&gt;ProposalToGnatt[[#This Row],[Start Date]],R$27&lt;ProposalToGnatt[[#This Row],[Start Date]]+ProposalToGnatt[[#This Row],[Days]]),$G$5,"")),"")</f>
        <v/>
      </c>
      <c r="S48" s="36" t="str">
        <f ca="1">IFERROR(+IF(S$27=ProposalToGnatt[[#This Row],[Start Date]],Milestone_Marker,IF(AND(S$27&gt;ProposalToGnatt[[#This Row],[Start Date]],S$27&lt;ProposalToGnatt[[#This Row],[Start Date]]+ProposalToGnatt[[#This Row],[Days]]),$G$5,"")),"")</f>
        <v/>
      </c>
      <c r="T48" s="36" t="str">
        <f ca="1">IFERROR(+IF(T$27=ProposalToGnatt[[#This Row],[Start Date]],Milestone_Marker,IF(AND(T$27&gt;ProposalToGnatt[[#This Row],[Start Date]],T$27&lt;ProposalToGnatt[[#This Row],[Start Date]]+ProposalToGnatt[[#This Row],[Days]]),$G$5,"")),"")</f>
        <v/>
      </c>
      <c r="U48" s="36" t="str">
        <f ca="1">IFERROR(+IF(U$27=ProposalToGnatt[[#This Row],[Start Date]],Milestone_Marker,IF(AND(U$27&gt;ProposalToGnatt[[#This Row],[Start Date]],U$27&lt;ProposalToGnatt[[#This Row],[Start Date]]+ProposalToGnatt[[#This Row],[Days]]),$G$5,"")),"")</f>
        <v/>
      </c>
      <c r="V48" s="36" t="str">
        <f ca="1">IFERROR(+IF(V$27=ProposalToGnatt[[#This Row],[Start Date]],Milestone_Marker,IF(AND(V$27&gt;ProposalToGnatt[[#This Row],[Start Date]],V$27&lt;ProposalToGnatt[[#This Row],[Start Date]]+ProposalToGnatt[[#This Row],[Days]]),$G$5,"")),"")</f>
        <v/>
      </c>
      <c r="W48" s="36" t="str">
        <f ca="1">IFERROR(+IF(W$27=ProposalToGnatt[[#This Row],[Start Date]],Milestone_Marker,IF(AND(W$27&gt;ProposalToGnatt[[#This Row],[Start Date]],W$27&lt;ProposalToGnatt[[#This Row],[Start Date]]+ProposalToGnatt[[#This Row],[Days]]),$G$5,"")),"")</f>
        <v/>
      </c>
      <c r="X48" s="36" t="str">
        <f ca="1">IFERROR(+IF(X$27=ProposalToGnatt[[#This Row],[Start Date]],Milestone_Marker,IF(AND(X$27&gt;ProposalToGnatt[[#This Row],[Start Date]],X$27&lt;ProposalToGnatt[[#This Row],[Start Date]]+ProposalToGnatt[[#This Row],[Days]]),$G$5,"")),"")</f>
        <v/>
      </c>
      <c r="Y48" s="36" t="str">
        <f ca="1">IFERROR(+IF(Y$27=ProposalToGnatt[[#This Row],[Start Date]],Milestone_Marker,IF(AND(Y$27&gt;ProposalToGnatt[[#This Row],[Start Date]],Y$27&lt;ProposalToGnatt[[#This Row],[Start Date]]+ProposalToGnatt[[#This Row],[Days]]),$G$5,"")),"")</f>
        <v/>
      </c>
      <c r="Z48" s="36" t="str">
        <f ca="1">IFERROR(+IF(Z$27=ProposalToGnatt[[#This Row],[Start Date]],Milestone_Marker,IF(AND(Z$27&gt;ProposalToGnatt[[#This Row],[Start Date]],Z$27&lt;ProposalToGnatt[[#This Row],[Start Date]]+ProposalToGnatt[[#This Row],[Days]]),$G$5,"")),"")</f>
        <v/>
      </c>
      <c r="AA48" s="36" t="str">
        <f ca="1">IFERROR(+IF(AA$27=ProposalToGnatt[[#This Row],[Start Date]],Milestone_Marker,IF(AND(AA$27&gt;ProposalToGnatt[[#This Row],[Start Date]],AA$27&lt;ProposalToGnatt[[#This Row],[Start Date]]+ProposalToGnatt[[#This Row],[Days]]),$G$5,"")),"")</f>
        <v/>
      </c>
      <c r="AB48" s="36" t="str">
        <f ca="1">IFERROR(+IF(AB$27=ProposalToGnatt[[#This Row],[Start Date]],Milestone_Marker,IF(AND(AB$27&gt;ProposalToGnatt[[#This Row],[Start Date]],AB$27&lt;ProposalToGnatt[[#This Row],[Start Date]]+ProposalToGnatt[[#This Row],[Days]]),$G$5,"")),"")</f>
        <v/>
      </c>
      <c r="AC48" s="36" t="str">
        <f ca="1">IFERROR(+IF(AC$27=ProposalToGnatt[[#This Row],[Start Date]],Milestone_Marker,IF(AND(AC$27&gt;ProposalToGnatt[[#This Row],[Start Date]],AC$27&lt;ProposalToGnatt[[#This Row],[Start Date]]+ProposalToGnatt[[#This Row],[Days]]),$G$5,"")),"")</f>
        <v/>
      </c>
      <c r="AD48" s="36" t="str">
        <f ca="1">IFERROR(+IF(AD$27=ProposalToGnatt[[#This Row],[Start Date]],Milestone_Marker,IF(AND(AD$27&gt;ProposalToGnatt[[#This Row],[Start Date]],AD$27&lt;ProposalToGnatt[[#This Row],[Start Date]]+ProposalToGnatt[[#This Row],[Days]]),$G$5,"")),"")</f>
        <v/>
      </c>
      <c r="AE48" s="36" t="str">
        <f ca="1">IFERROR(+IF(AE$27=ProposalToGnatt[[#This Row],[Start Date]],Milestone_Marker,IF(AND(AE$27&gt;ProposalToGnatt[[#This Row],[Start Date]],AE$27&lt;ProposalToGnatt[[#This Row],[Start Date]]+ProposalToGnatt[[#This Row],[Days]]),$G$5,"")),"")</f>
        <v/>
      </c>
      <c r="AF48" s="36" t="str">
        <f ca="1">IFERROR(+IF(AF$27=ProposalToGnatt[[#This Row],[Start Date]],Milestone_Marker,IF(AND(AF$27&gt;ProposalToGnatt[[#This Row],[Start Date]],AF$27&lt;ProposalToGnatt[[#This Row],[Start Date]]+ProposalToGnatt[[#This Row],[Days]]),$G$5,"")),"")</f>
        <v/>
      </c>
      <c r="AG48" s="36" t="str">
        <f ca="1">IFERROR(+IF(AG$27=ProposalToGnatt[[#This Row],[Start Date]],Milestone_Marker,IF(AND(AG$27&gt;ProposalToGnatt[[#This Row],[Start Date]],AG$27&lt;ProposalToGnatt[[#This Row],[Start Date]]+ProposalToGnatt[[#This Row],[Days]]),$G$5,"")),"")</f>
        <v/>
      </c>
      <c r="AH48" s="36" t="str">
        <f ca="1">IFERROR(+IF(AH$27=ProposalToGnatt[[#This Row],[Start Date]],Milestone_Marker,IF(AND(AH$27&gt;ProposalToGnatt[[#This Row],[Start Date]],AH$27&lt;ProposalToGnatt[[#This Row],[Start Date]]+ProposalToGnatt[[#This Row],[Days]]),$G$5,"")),"")</f>
        <v/>
      </c>
      <c r="AI48" s="36" t="str">
        <f ca="1">IFERROR(+IF(AI$27=ProposalToGnatt[[#This Row],[Start Date]],Milestone_Marker,IF(AND(AI$27&gt;ProposalToGnatt[[#This Row],[Start Date]],AI$27&lt;ProposalToGnatt[[#This Row],[Start Date]]+ProposalToGnatt[[#This Row],[Days]]),$G$5,"")),"")</f>
        <v/>
      </c>
      <c r="AJ48" s="36" t="str">
        <f ca="1">IFERROR(+IF(AJ$27=ProposalToGnatt[[#This Row],[Start Date]],Milestone_Marker,IF(AND(AJ$27&gt;ProposalToGnatt[[#This Row],[Start Date]],AJ$27&lt;ProposalToGnatt[[#This Row],[Start Date]]+ProposalToGnatt[[#This Row],[Days]]),$G$5,"")),"")</f>
        <v/>
      </c>
      <c r="AK48" s="36" t="str">
        <f ca="1">IFERROR(+IF(AK$27=ProposalToGnatt[[#This Row],[Start Date]],Milestone_Marker,IF(AND(AK$27&gt;ProposalToGnatt[[#This Row],[Start Date]],AK$27&lt;ProposalToGnatt[[#This Row],[Start Date]]+ProposalToGnatt[[#This Row],[Days]]),$G$5,"")),"")</f>
        <v/>
      </c>
      <c r="AL48" s="36" t="str">
        <f ca="1">IFERROR(+IF(AL$27=ProposalToGnatt[[#This Row],[Start Date]],Milestone_Marker,IF(AND(AL$27&gt;ProposalToGnatt[[#This Row],[Start Date]],AL$27&lt;ProposalToGnatt[[#This Row],[Start Date]]+ProposalToGnatt[[#This Row],[Days]]),$G$5,"")),"")</f>
        <v/>
      </c>
      <c r="AM48" s="36" t="str">
        <f ca="1">IFERROR(+IF(AM$27=ProposalToGnatt[[#This Row],[Start Date]],Milestone_Marker,IF(AND(AM$27&gt;ProposalToGnatt[[#This Row],[Start Date]],AM$27&lt;ProposalToGnatt[[#This Row],[Start Date]]+ProposalToGnatt[[#This Row],[Days]]),$G$5,"")),"")</f>
        <v/>
      </c>
      <c r="AN48" s="36" t="str">
        <f ca="1">IFERROR(+IF(AN$27=ProposalToGnatt[[#This Row],[Start Date]],Milestone_Marker,IF(AND(AN$27&gt;ProposalToGnatt[[#This Row],[Start Date]],AN$27&lt;ProposalToGnatt[[#This Row],[Start Date]]+ProposalToGnatt[[#This Row],[Days]]),$G$5,"")),"")</f>
        <v/>
      </c>
      <c r="AO48" s="36" t="str">
        <f ca="1">IFERROR(+IF(AO$27=ProposalToGnatt[[#This Row],[Start Date]],Milestone_Marker,IF(AND(AO$27&gt;ProposalToGnatt[[#This Row],[Start Date]],AO$27&lt;ProposalToGnatt[[#This Row],[Start Date]]+ProposalToGnatt[[#This Row],[Days]]),$G$5,"")),"")</f>
        <v/>
      </c>
      <c r="AP48" s="36" t="str">
        <f ca="1">IFERROR(+IF(AP$27=ProposalToGnatt[[#This Row],[Start Date]],Milestone_Marker,IF(AND(AP$27&gt;ProposalToGnatt[[#This Row],[Start Date]],AP$27&lt;ProposalToGnatt[[#This Row],[Start Date]]+ProposalToGnatt[[#This Row],[Days]]),$G$5,"")),"")</f>
        <v/>
      </c>
      <c r="AQ48" s="36" t="str">
        <f ca="1">IFERROR(+IF(AQ$27=ProposalToGnatt[[#This Row],[Start Date]],Milestone_Marker,IF(AND(AQ$27&gt;ProposalToGnatt[[#This Row],[Start Date]],AQ$27&lt;ProposalToGnatt[[#This Row],[Start Date]]+ProposalToGnatt[[#This Row],[Days]]),$G$5,"")),"")</f>
        <v/>
      </c>
      <c r="AR48" s="36" t="str">
        <f ca="1">IFERROR(+IF(AR$27=ProposalToGnatt[[#This Row],[Start Date]],Milestone_Marker,IF(AND(AR$27&gt;ProposalToGnatt[[#This Row],[Start Date]],AR$27&lt;ProposalToGnatt[[#This Row],[Start Date]]+ProposalToGnatt[[#This Row],[Days]]),$G$5,"")),"")</f>
        <v/>
      </c>
      <c r="AS48" s="36" t="str">
        <f ca="1">IFERROR(+IF(AS$27=ProposalToGnatt[[#This Row],[Start Date]],Milestone_Marker,IF(AND(AS$27&gt;ProposalToGnatt[[#This Row],[Start Date]],AS$27&lt;ProposalToGnatt[[#This Row],[Start Date]]+ProposalToGnatt[[#This Row],[Days]]),$G$5,"")),"")</f>
        <v/>
      </c>
      <c r="AT48" s="36" t="str">
        <f ca="1">IFERROR(+IF(AT$27=ProposalToGnatt[[#This Row],[Start Date]],Milestone_Marker,IF(AND(AT$27&gt;ProposalToGnatt[[#This Row],[Start Date]],AT$27&lt;ProposalToGnatt[[#This Row],[Start Date]]+ProposalToGnatt[[#This Row],[Days]]),$G$5,"")),"")</f>
        <v/>
      </c>
      <c r="AU48" s="36" t="str">
        <f ca="1">IFERROR(+IF(AU$27=ProposalToGnatt[[#This Row],[Start Date]],Milestone_Marker,IF(AND(AU$27&gt;ProposalToGnatt[[#This Row],[Start Date]],AU$27&lt;ProposalToGnatt[[#This Row],[Start Date]]+ProposalToGnatt[[#This Row],[Days]]),$G$5,"")),"")</f>
        <v/>
      </c>
      <c r="AV48" s="36" t="str">
        <f ca="1">IFERROR(+IF(AV$27=ProposalToGnatt[[#This Row],[Start Date]],Milestone_Marker,IF(AND(AV$27&gt;ProposalToGnatt[[#This Row],[Start Date]],AV$27&lt;ProposalToGnatt[[#This Row],[Start Date]]+ProposalToGnatt[[#This Row],[Days]]),$G$5,"")),"")</f>
        <v/>
      </c>
      <c r="AW48" s="36" t="str">
        <f ca="1">IFERROR(+IF(AW$27=ProposalToGnatt[[#This Row],[Start Date]],Milestone_Marker,IF(AND(AW$27&gt;ProposalToGnatt[[#This Row],[Start Date]],AW$27&lt;ProposalToGnatt[[#This Row],[Start Date]]+ProposalToGnatt[[#This Row],[Days]]),$G$5,"")),"")</f>
        <v/>
      </c>
      <c r="AX48" s="36" t="str">
        <f ca="1">IFERROR(+IF(AX$27=ProposalToGnatt[[#This Row],[Start Date]],Milestone_Marker,IF(AND(AX$27&gt;ProposalToGnatt[[#This Row],[Start Date]],AX$27&lt;ProposalToGnatt[[#This Row],[Start Date]]+ProposalToGnatt[[#This Row],[Days]]),$G$5,"")),"")</f>
        <v/>
      </c>
      <c r="AY48" s="36" t="str">
        <f ca="1">IFERROR(+IF(AY$27=ProposalToGnatt[[#This Row],[Start Date]],Milestone_Marker,IF(AND(AY$27&gt;ProposalToGnatt[[#This Row],[Start Date]],AY$27&lt;ProposalToGnatt[[#This Row],[Start Date]]+ProposalToGnatt[[#This Row],[Days]]),$G$5,"")),"")</f>
        <v/>
      </c>
      <c r="AZ48" s="36" t="str">
        <f ca="1">IFERROR(+IF(AZ$27=ProposalToGnatt[[#This Row],[Start Date]],Milestone_Marker,IF(AND(AZ$27&gt;ProposalToGnatt[[#This Row],[Start Date]],AZ$27&lt;ProposalToGnatt[[#This Row],[Start Date]]+ProposalToGnatt[[#This Row],[Days]]),$G$5,"")),"")</f>
        <v/>
      </c>
      <c r="BA48" s="36" t="str">
        <f ca="1">IFERROR(+IF(BA$27=ProposalToGnatt[[#This Row],[Start Date]],Milestone_Marker,IF(AND(BA$27&gt;ProposalToGnatt[[#This Row],[Start Date]],BA$27&lt;ProposalToGnatt[[#This Row],[Start Date]]+ProposalToGnatt[[#This Row],[Days]]),$G$5,"")),"")</f>
        <v/>
      </c>
      <c r="BB48" s="36" t="str">
        <f ca="1">IFERROR(+IF(BB$27=ProposalToGnatt[[#This Row],[Start Date]],Milestone_Marker,IF(AND(BB$27&gt;ProposalToGnatt[[#This Row],[Start Date]],BB$27&lt;ProposalToGnatt[[#This Row],[Start Date]]+ProposalToGnatt[[#This Row],[Days]]),$G$5,"")),"")</f>
        <v/>
      </c>
      <c r="BC48" s="36" t="str">
        <f ca="1">IFERROR(+IF(BC$27=ProposalToGnatt[[#This Row],[Start Date]],Milestone_Marker,IF(AND(BC$27&gt;ProposalToGnatt[[#This Row],[Start Date]],BC$27&lt;ProposalToGnatt[[#This Row],[Start Date]]+ProposalToGnatt[[#This Row],[Days]]),$G$5,"")),"")</f>
        <v/>
      </c>
      <c r="BD48" s="36" t="str">
        <f ca="1">IFERROR(+IF(BD$27=ProposalToGnatt[[#This Row],[Start Date]],Milestone_Marker,IF(AND(BD$27&gt;ProposalToGnatt[[#This Row],[Start Date]],BD$27&lt;ProposalToGnatt[[#This Row],[Start Date]]+ProposalToGnatt[[#This Row],[Days]]),$G$5,"")),"")</f>
        <v/>
      </c>
      <c r="BE48" s="36" t="str">
        <f ca="1">IFERROR(+IF(BE$27=ProposalToGnatt[[#This Row],[Start Date]],Milestone_Marker,IF(AND(BE$27&gt;ProposalToGnatt[[#This Row],[Start Date]],BE$27&lt;ProposalToGnatt[[#This Row],[Start Date]]+ProposalToGnatt[[#This Row],[Days]]),$G$5,"")),"")</f>
        <v/>
      </c>
      <c r="BF48" s="36" t="str">
        <f ca="1">IFERROR(+IF(BF$27=ProposalToGnatt[[#This Row],[Start Date]],Milestone_Marker,IF(AND(BF$27&gt;ProposalToGnatt[[#This Row],[Start Date]],BF$27&lt;ProposalToGnatt[[#This Row],[Start Date]]+ProposalToGnatt[[#This Row],[Days]]),$G$5,"")),"")</f>
        <v/>
      </c>
      <c r="BG48" s="36" t="str">
        <f ca="1">IFERROR(+IF(BG$27=ProposalToGnatt[[#This Row],[Start Date]],Milestone_Marker,IF(AND(BG$27&gt;ProposalToGnatt[[#This Row],[Start Date]],BG$27&lt;ProposalToGnatt[[#This Row],[Start Date]]+ProposalToGnatt[[#This Row],[Days]]),$G$5,"")),"")</f>
        <v/>
      </c>
      <c r="BH48" s="36" t="str">
        <f ca="1">IFERROR(+IF(BH$27=ProposalToGnatt[[#This Row],[Start Date]],Milestone_Marker,IF(AND(BH$27&gt;ProposalToGnatt[[#This Row],[Start Date]],BH$27&lt;ProposalToGnatt[[#This Row],[Start Date]]+ProposalToGnatt[[#This Row],[Days]]),$G$5,"")),"")</f>
        <v/>
      </c>
      <c r="BI48" s="36" t="str">
        <f ca="1">IFERROR(+IF(BI$27=ProposalToGnatt[[#This Row],[Start Date]],Milestone_Marker,IF(AND(BI$27&gt;ProposalToGnatt[[#This Row],[Start Date]],BI$27&lt;ProposalToGnatt[[#This Row],[Start Date]]+ProposalToGnatt[[#This Row],[Days]]),$G$5,"")),"")</f>
        <v/>
      </c>
      <c r="BJ48" s="36" t="str">
        <f ca="1">IFERROR(+IF(BJ$27=ProposalToGnatt[[#This Row],[Start Date]],Milestone_Marker,IF(AND(BJ$27&gt;ProposalToGnatt[[#This Row],[Start Date]],BJ$27&lt;ProposalToGnatt[[#This Row],[Start Date]]+ProposalToGnatt[[#This Row],[Days]]),$G$5,"")),"")</f>
        <v/>
      </c>
      <c r="BK48" s="36" t="str">
        <f ca="1">IFERROR(+IF(BK$27=ProposalToGnatt[[#This Row],[Start Date]],Milestone_Marker,IF(AND(BK$27&gt;ProposalToGnatt[[#This Row],[Start Date]],BK$27&lt;ProposalToGnatt[[#This Row],[Start Date]]+ProposalToGnatt[[#This Row],[Days]]),$G$5,"")),"")</f>
        <v/>
      </c>
      <c r="BL48" s="36" t="str">
        <f ca="1">IFERROR(+IF(BL$27=ProposalToGnatt[[#This Row],[Start Date]],Milestone_Marker,IF(AND(BL$27&gt;ProposalToGnatt[[#This Row],[Start Date]],BL$27&lt;ProposalToGnatt[[#This Row],[Start Date]]+ProposalToGnatt[[#This Row],[Days]]),$G$5,"")),"")</f>
        <v/>
      </c>
      <c r="BM48" s="36" t="str">
        <f ca="1">IFERROR(+IF(BM$27=ProposalToGnatt[[#This Row],[Start Date]],Milestone_Marker,IF(AND(BM$27&gt;ProposalToGnatt[[#This Row],[Start Date]],BM$27&lt;ProposalToGnatt[[#This Row],[Start Date]]+ProposalToGnatt[[#This Row],[Days]]),$G$5,"")),"")</f>
        <v/>
      </c>
      <c r="BN48" s="36" t="str">
        <f ca="1">IFERROR(+IF(BN$27=ProposalToGnatt[[#This Row],[Start Date]],Milestone_Marker,IF(AND(BN$27&gt;ProposalToGnatt[[#This Row],[Start Date]],BN$27&lt;ProposalToGnatt[[#This Row],[Start Date]]+ProposalToGnatt[[#This Row],[Days]]),$G$5,"")),"")</f>
        <v/>
      </c>
      <c r="BO48" s="36" t="str">
        <f ca="1">IFERROR(+IF(BO$27=ProposalToGnatt[[#This Row],[Start Date]],Milestone_Marker,IF(AND(BO$27&gt;ProposalToGnatt[[#This Row],[Start Date]],BO$27&lt;ProposalToGnatt[[#This Row],[Start Date]]+ProposalToGnatt[[#This Row],[Days]]),$G$5,"")),"")</f>
        <v/>
      </c>
      <c r="BP48" s="36" t="str">
        <f ca="1">IFERROR(+IF(BP$27=ProposalToGnatt[[#This Row],[Start Date]],Milestone_Marker,IF(AND(BP$27&gt;ProposalToGnatt[[#This Row],[Start Date]],BP$27&lt;ProposalToGnatt[[#This Row],[Start Date]]+ProposalToGnatt[[#This Row],[Days]]),$G$5,"")),"")</f>
        <v/>
      </c>
      <c r="BQ48" s="36" t="str">
        <f ca="1">IFERROR(+IF(BQ$27=ProposalToGnatt[[#This Row],[Start Date]],Milestone_Marker,IF(AND(BQ$27&gt;ProposalToGnatt[[#This Row],[Start Date]],BQ$27&lt;ProposalToGnatt[[#This Row],[Start Date]]+ProposalToGnatt[[#This Row],[Days]]),$G$5,"")),"")</f>
        <v/>
      </c>
      <c r="BR48" s="36" t="str">
        <f ca="1">IFERROR(+IF(BR$27=ProposalToGnatt[[#This Row],[Start Date]],Milestone_Marker,IF(AND(BR$27&gt;ProposalToGnatt[[#This Row],[Start Date]],BR$27&lt;ProposalToGnatt[[#This Row],[Start Date]]+ProposalToGnatt[[#This Row],[Days]]),$G$5,"")),"")</f>
        <v/>
      </c>
      <c r="BS48" s="36" t="str">
        <f ca="1">IFERROR(+IF(BS$27=ProposalToGnatt[[#This Row],[Start Date]],Milestone_Marker,IF(AND(BS$27&gt;ProposalToGnatt[[#This Row],[Start Date]],BS$27&lt;ProposalToGnatt[[#This Row],[Start Date]]+ProposalToGnatt[[#This Row],[Days]]),$G$5,"")),"")</f>
        <v/>
      </c>
      <c r="BT48" s="36" t="str">
        <f ca="1">IFERROR(+IF(BT$27=ProposalToGnatt[[#This Row],[Start Date]],Milestone_Marker,IF(AND(BT$27&gt;ProposalToGnatt[[#This Row],[Start Date]],BT$27&lt;ProposalToGnatt[[#This Row],[Start Date]]+ProposalToGnatt[[#This Row],[Days]]),$G$5,"")),"")</f>
        <v/>
      </c>
      <c r="BU48" s="36" t="str">
        <f ca="1">IFERROR(+IF(BU$27=ProposalToGnatt[[#This Row],[Start Date]],Milestone_Marker,IF(AND(BU$27&gt;ProposalToGnatt[[#This Row],[Start Date]],BU$27&lt;ProposalToGnatt[[#This Row],[Start Date]]+ProposalToGnatt[[#This Row],[Days]]),$G$5,"")),"")</f>
        <v/>
      </c>
      <c r="BV48" s="36" t="str">
        <f ca="1">IFERROR(+IF(BV$27=ProposalToGnatt[[#This Row],[Start Date]],Milestone_Marker,IF(AND(BV$27&gt;ProposalToGnatt[[#This Row],[Start Date]],BV$27&lt;ProposalToGnatt[[#This Row],[Start Date]]+ProposalToGnatt[[#This Row],[Days]]),$G$5,"")),"")</f>
        <v/>
      </c>
      <c r="BW48" s="36" t="str">
        <f ca="1">IFERROR(+IF(BW$27=ProposalToGnatt[[#This Row],[Start Date]],Milestone_Marker,IF(AND(BW$27&gt;ProposalToGnatt[[#This Row],[Start Date]],BW$27&lt;ProposalToGnatt[[#This Row],[Start Date]]+ProposalToGnatt[[#This Row],[Days]]),$G$5,"")),"")</f>
        <v/>
      </c>
      <c r="BX48" s="36" t="str">
        <f ca="1">IFERROR(+IF(BX$27=ProposalToGnatt[[#This Row],[Start Date]],Milestone_Marker,IF(AND(BX$27&gt;ProposalToGnatt[[#This Row],[Start Date]],BX$27&lt;ProposalToGnatt[[#This Row],[Start Date]]+ProposalToGnatt[[#This Row],[Days]]),$G$5,"")),"")</f>
        <v/>
      </c>
      <c r="BY48" s="36" t="str">
        <f ca="1">IFERROR(+IF(BY$27=ProposalToGnatt[[#This Row],[Start Date]],Milestone_Marker,IF(AND(BY$27&gt;ProposalToGnatt[[#This Row],[Start Date]],BY$27&lt;ProposalToGnatt[[#This Row],[Start Date]]+ProposalToGnatt[[#This Row],[Days]]),$G$5,"")),"")</f>
        <v/>
      </c>
      <c r="BZ48" s="36" t="str">
        <f ca="1">IFERROR(+IF(BZ$27=ProposalToGnatt[[#This Row],[Start Date]],Milestone_Marker,IF(AND(BZ$27&gt;ProposalToGnatt[[#This Row],[Start Date]],BZ$27&lt;ProposalToGnatt[[#This Row],[Start Date]]+ProposalToGnatt[[#This Row],[Days]]),$G$5,"")),"")</f>
        <v/>
      </c>
      <c r="CA48" s="36" t="str">
        <f ca="1">IFERROR(+IF(CA$27=ProposalToGnatt[[#This Row],[Start Date]],Milestone_Marker,IF(AND(CA$27&gt;ProposalToGnatt[[#This Row],[Start Date]],CA$27&lt;ProposalToGnatt[[#This Row],[Start Date]]+ProposalToGnatt[[#This Row],[Days]]),$G$5,"")),"")</f>
        <v/>
      </c>
      <c r="CB48" s="36" t="str">
        <f ca="1">IFERROR(+IF(CB$27=ProposalToGnatt[[#This Row],[Start Date]],Milestone_Marker,IF(AND(CB$27&gt;ProposalToGnatt[[#This Row],[Start Date]],CB$27&lt;ProposalToGnatt[[#This Row],[Start Date]]+ProposalToGnatt[[#This Row],[Days]]),$G$5,"")),"")</f>
        <v/>
      </c>
      <c r="CC48" s="36" t="str">
        <f ca="1">IFERROR(+IF(CC$27=ProposalToGnatt[[#This Row],[Start Date]],Milestone_Marker,IF(AND(CC$27&gt;ProposalToGnatt[[#This Row],[Start Date]],CC$27&lt;ProposalToGnatt[[#This Row],[Start Date]]+ProposalToGnatt[[#This Row],[Days]]),$G$5,"")),"")</f>
        <v/>
      </c>
      <c r="CD48" s="36" t="str">
        <f ca="1">IFERROR(+IF(CD$27=ProposalToGnatt[[#This Row],[Start Date]],Milestone_Marker,IF(AND(CD$27&gt;ProposalToGnatt[[#This Row],[Start Date]],CD$27&lt;ProposalToGnatt[[#This Row],[Start Date]]+ProposalToGnatt[[#This Row],[Days]]),$G$5,"")),"")</f>
        <v/>
      </c>
      <c r="CE48" s="36" t="str">
        <f ca="1">IFERROR(+IF(CE$27=ProposalToGnatt[[#This Row],[Start Date]],Milestone_Marker,IF(AND(CE$27&gt;ProposalToGnatt[[#This Row],[Start Date]],CE$27&lt;ProposalToGnatt[[#This Row],[Start Date]]+ProposalToGnatt[[#This Row],[Days]]),$G$5,"")),"")</f>
        <v/>
      </c>
      <c r="CF48" s="36" t="str">
        <f ca="1">IFERROR(+IF(CF$27=ProposalToGnatt[[#This Row],[Start Date]],Milestone_Marker,IF(AND(CF$27&gt;ProposalToGnatt[[#This Row],[Start Date]],CF$27&lt;ProposalToGnatt[[#This Row],[Start Date]]+ProposalToGnatt[[#This Row],[Days]]),$G$5,"")),"")</f>
        <v/>
      </c>
      <c r="CG48" s="36" t="str">
        <f ca="1">IFERROR(+IF(CG$27=ProposalToGnatt[[#This Row],[Start Date]],Milestone_Marker,IF(AND(CG$27&gt;ProposalToGnatt[[#This Row],[Start Date]],CG$27&lt;ProposalToGnatt[[#This Row],[Start Date]]+ProposalToGnatt[[#This Row],[Days]]),$G$5,"")),"")</f>
        <v/>
      </c>
      <c r="CH48" s="36" t="str">
        <f ca="1">IFERROR(+IF(CH$27=ProposalToGnatt[[#This Row],[Start Date]],Milestone_Marker,IF(AND(CH$27&gt;ProposalToGnatt[[#This Row],[Start Date]],CH$27&lt;ProposalToGnatt[[#This Row],[Start Date]]+ProposalToGnatt[[#This Row],[Days]]),$G$5,"")),"")</f>
        <v/>
      </c>
      <c r="CI48" s="36" t="str">
        <f ca="1">IFERROR(+IF(CI$27=ProposalToGnatt[[#This Row],[Start Date]],Milestone_Marker,IF(AND(CI$27&gt;ProposalToGnatt[[#This Row],[Start Date]],CI$27&lt;ProposalToGnatt[[#This Row],[Start Date]]+ProposalToGnatt[[#This Row],[Days]]),$G$5,"")),"")</f>
        <v/>
      </c>
      <c r="CJ48" s="36" t="str">
        <f ca="1">IFERROR(+IF(CJ$27=ProposalToGnatt[[#This Row],[Start Date]],Milestone_Marker,IF(AND(CJ$27&gt;ProposalToGnatt[[#This Row],[Start Date]],CJ$27&lt;ProposalToGnatt[[#This Row],[Start Date]]+ProposalToGnatt[[#This Row],[Days]]),$G$5,"")),"")</f>
        <v/>
      </c>
      <c r="CK48" s="36" t="str">
        <f ca="1">IFERROR(+IF(CK$27=ProposalToGnatt[[#This Row],[Start Date]],Milestone_Marker,IF(AND(CK$27&gt;ProposalToGnatt[[#This Row],[Start Date]],CK$27&lt;ProposalToGnatt[[#This Row],[Start Date]]+ProposalToGnatt[[#This Row],[Days]]),$G$5,"")),"")</f>
        <v/>
      </c>
      <c r="CL48" s="36" t="str">
        <f ca="1">IFERROR(+IF(CL$27=ProposalToGnatt[[#This Row],[Start Date]],Milestone_Marker,IF(AND(CL$27&gt;ProposalToGnatt[[#This Row],[Start Date]],CL$27&lt;ProposalToGnatt[[#This Row],[Start Date]]+ProposalToGnatt[[#This Row],[Days]]),$G$5,"")),"")</f>
        <v/>
      </c>
      <c r="CM48" s="36" t="str">
        <f ca="1">IFERROR(+IF(CM$27=ProposalToGnatt[[#This Row],[Start Date]],Milestone_Marker,IF(AND(CM$27&gt;ProposalToGnatt[[#This Row],[Start Date]],CM$27&lt;ProposalToGnatt[[#This Row],[Start Date]]+ProposalToGnatt[[#This Row],[Days]]),$G$5,"")),"")</f>
        <v/>
      </c>
      <c r="CN48" s="36" t="str">
        <f ca="1">IFERROR(+IF(CN$27=ProposalToGnatt[[#This Row],[Start Date]],Milestone_Marker,IF(AND(CN$27&gt;ProposalToGnatt[[#This Row],[Start Date]],CN$27&lt;ProposalToGnatt[[#This Row],[Start Date]]+ProposalToGnatt[[#This Row],[Days]]),$G$5,"")),"")</f>
        <v/>
      </c>
      <c r="CO48" s="36" t="str">
        <f ca="1">IFERROR(+IF(CO$27=ProposalToGnatt[[#This Row],[Start Date]],Milestone_Marker,IF(AND(CO$27&gt;ProposalToGnatt[[#This Row],[Start Date]],CO$27&lt;ProposalToGnatt[[#This Row],[Start Date]]+ProposalToGnatt[[#This Row],[Days]]),$G$5,"")),"")</f>
        <v/>
      </c>
      <c r="CP48" s="36" t="str">
        <f ca="1">IFERROR(+IF(CP$27=ProposalToGnatt[[#This Row],[Start Date]],Milestone_Marker,IF(AND(CP$27&gt;ProposalToGnatt[[#This Row],[Start Date]],CP$27&lt;ProposalToGnatt[[#This Row],[Start Date]]+ProposalToGnatt[[#This Row],[Days]]),$G$5,"")),"")</f>
        <v/>
      </c>
      <c r="CQ48" s="36" t="str">
        <f ca="1">IFERROR(+IF(CQ$27=ProposalToGnatt[[#This Row],[Start Date]],Milestone_Marker,IF(AND(CQ$27&gt;ProposalToGnatt[[#This Row],[Start Date]],CQ$27&lt;ProposalToGnatt[[#This Row],[Start Date]]+ProposalToGnatt[[#This Row],[Days]]),$G$5,"")),"")</f>
        <v/>
      </c>
      <c r="CR48" s="36" t="str">
        <f ca="1">IFERROR(+IF(CR$27=ProposalToGnatt[[#This Row],[Start Date]],Milestone_Marker,IF(AND(CR$27&gt;ProposalToGnatt[[#This Row],[Start Date]],CR$27&lt;ProposalToGnatt[[#This Row],[Start Date]]+ProposalToGnatt[[#This Row],[Days]]),$G$5,"")),"")</f>
        <v/>
      </c>
      <c r="CS48" s="36" t="str">
        <f ca="1">IFERROR(+IF(CS$27=ProposalToGnatt[[#This Row],[Start Date]],Milestone_Marker,IF(AND(CS$27&gt;ProposalToGnatt[[#This Row],[Start Date]],CS$27&lt;ProposalToGnatt[[#This Row],[Start Date]]+ProposalToGnatt[[#This Row],[Days]]),$G$5,"")),"")</f>
        <v/>
      </c>
      <c r="CT48" s="36" t="str">
        <f ca="1">IFERROR(+IF(CT$27=ProposalToGnatt[[#This Row],[Start Date]],Milestone_Marker,IF(AND(CT$27&gt;ProposalToGnatt[[#This Row],[Start Date]],CT$27&lt;ProposalToGnatt[[#This Row],[Start Date]]+ProposalToGnatt[[#This Row],[Days]]),$G$5,"")),"")</f>
        <v/>
      </c>
      <c r="CU48" s="36" t="str">
        <f ca="1">IFERROR(+IF(CU$27=ProposalToGnatt[[#This Row],[Start Date]],Milestone_Marker,IF(AND(CU$27&gt;ProposalToGnatt[[#This Row],[Start Date]],CU$27&lt;ProposalToGnatt[[#This Row],[Start Date]]+ProposalToGnatt[[#This Row],[Days]]),$G$5,"")),"")</f>
        <v/>
      </c>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row>
    <row r="49" spans="1:125" s="41" customFormat="1" ht="15" x14ac:dyDescent="0.25">
      <c r="A49" t="s">
        <v>759</v>
      </c>
      <c r="B49">
        <v>22</v>
      </c>
      <c r="C49"/>
      <c r="D49"/>
      <c r="E49"/>
      <c r="F49"/>
      <c r="G49" s="14"/>
      <c r="H49" s="14"/>
      <c r="I49"/>
      <c r="J49"/>
      <c r="K49" s="261"/>
      <c r="L49"/>
      <c r="M49" s="14"/>
      <c r="N49" s="309"/>
      <c r="O49" s="297"/>
      <c r="P49" s="36" t="str">
        <f ca="1">IFERROR(+IF(P$27=ProposalToGnatt[[#This Row],[Start Date]],Milestone_Marker,IF(AND(P$27&gt;ProposalToGnatt[[#This Row],[Start Date]],P$27&lt;ProposalToGnatt[[#This Row],[Start Date]]+ProposalToGnatt[[#This Row],[Days]]),$G$5,"")),"")</f>
        <v/>
      </c>
      <c r="Q49" s="36" t="str">
        <f ca="1">IFERROR(+IF(Q$27=ProposalToGnatt[[#This Row],[Start Date]],Milestone_Marker,IF(AND(Q$27&gt;ProposalToGnatt[[#This Row],[Start Date]],Q$27&lt;ProposalToGnatt[[#This Row],[Start Date]]+ProposalToGnatt[[#This Row],[Days]]),$G$5,"")),"")</f>
        <v/>
      </c>
      <c r="R49" s="36" t="str">
        <f ca="1">IFERROR(+IF(R$27=ProposalToGnatt[[#This Row],[Start Date]],Milestone_Marker,IF(AND(R$27&gt;ProposalToGnatt[[#This Row],[Start Date]],R$27&lt;ProposalToGnatt[[#This Row],[Start Date]]+ProposalToGnatt[[#This Row],[Days]]),$G$5,"")),"")</f>
        <v/>
      </c>
      <c r="S49" s="36" t="str">
        <f ca="1">IFERROR(+IF(S$27=ProposalToGnatt[[#This Row],[Start Date]],Milestone_Marker,IF(AND(S$27&gt;ProposalToGnatt[[#This Row],[Start Date]],S$27&lt;ProposalToGnatt[[#This Row],[Start Date]]+ProposalToGnatt[[#This Row],[Days]]),$G$5,"")),"")</f>
        <v/>
      </c>
      <c r="T49" s="36" t="str">
        <f ca="1">IFERROR(+IF(T$27=ProposalToGnatt[[#This Row],[Start Date]],Milestone_Marker,IF(AND(T$27&gt;ProposalToGnatt[[#This Row],[Start Date]],T$27&lt;ProposalToGnatt[[#This Row],[Start Date]]+ProposalToGnatt[[#This Row],[Days]]),$G$5,"")),"")</f>
        <v/>
      </c>
      <c r="U49" s="36" t="str">
        <f ca="1">IFERROR(+IF(U$27=ProposalToGnatt[[#This Row],[Start Date]],Milestone_Marker,IF(AND(U$27&gt;ProposalToGnatt[[#This Row],[Start Date]],U$27&lt;ProposalToGnatt[[#This Row],[Start Date]]+ProposalToGnatt[[#This Row],[Days]]),$G$5,"")),"")</f>
        <v/>
      </c>
      <c r="V49" s="36" t="str">
        <f ca="1">IFERROR(+IF(V$27=ProposalToGnatt[[#This Row],[Start Date]],Milestone_Marker,IF(AND(V$27&gt;ProposalToGnatt[[#This Row],[Start Date]],V$27&lt;ProposalToGnatt[[#This Row],[Start Date]]+ProposalToGnatt[[#This Row],[Days]]),$G$5,"")),"")</f>
        <v/>
      </c>
      <c r="W49" s="36" t="str">
        <f ca="1">IFERROR(+IF(W$27=ProposalToGnatt[[#This Row],[Start Date]],Milestone_Marker,IF(AND(W$27&gt;ProposalToGnatt[[#This Row],[Start Date]],W$27&lt;ProposalToGnatt[[#This Row],[Start Date]]+ProposalToGnatt[[#This Row],[Days]]),$G$5,"")),"")</f>
        <v/>
      </c>
      <c r="X49" s="36" t="str">
        <f ca="1">IFERROR(+IF(X$27=ProposalToGnatt[[#This Row],[Start Date]],Milestone_Marker,IF(AND(X$27&gt;ProposalToGnatt[[#This Row],[Start Date]],X$27&lt;ProposalToGnatt[[#This Row],[Start Date]]+ProposalToGnatt[[#This Row],[Days]]),$G$5,"")),"")</f>
        <v/>
      </c>
      <c r="Y49" s="36" t="str">
        <f ca="1">IFERROR(+IF(Y$27=ProposalToGnatt[[#This Row],[Start Date]],Milestone_Marker,IF(AND(Y$27&gt;ProposalToGnatt[[#This Row],[Start Date]],Y$27&lt;ProposalToGnatt[[#This Row],[Start Date]]+ProposalToGnatt[[#This Row],[Days]]),$G$5,"")),"")</f>
        <v/>
      </c>
      <c r="Z49" s="36" t="str">
        <f ca="1">IFERROR(+IF(Z$27=ProposalToGnatt[[#This Row],[Start Date]],Milestone_Marker,IF(AND(Z$27&gt;ProposalToGnatt[[#This Row],[Start Date]],Z$27&lt;ProposalToGnatt[[#This Row],[Start Date]]+ProposalToGnatt[[#This Row],[Days]]),$G$5,"")),"")</f>
        <v/>
      </c>
      <c r="AA49" s="36" t="str">
        <f ca="1">IFERROR(+IF(AA$27=ProposalToGnatt[[#This Row],[Start Date]],Milestone_Marker,IF(AND(AA$27&gt;ProposalToGnatt[[#This Row],[Start Date]],AA$27&lt;ProposalToGnatt[[#This Row],[Start Date]]+ProposalToGnatt[[#This Row],[Days]]),$G$5,"")),"")</f>
        <v/>
      </c>
      <c r="AB49" s="36" t="str">
        <f ca="1">IFERROR(+IF(AB$27=ProposalToGnatt[[#This Row],[Start Date]],Milestone_Marker,IF(AND(AB$27&gt;ProposalToGnatt[[#This Row],[Start Date]],AB$27&lt;ProposalToGnatt[[#This Row],[Start Date]]+ProposalToGnatt[[#This Row],[Days]]),$G$5,"")),"")</f>
        <v/>
      </c>
      <c r="AC49" s="36" t="str">
        <f ca="1">IFERROR(+IF(AC$27=ProposalToGnatt[[#This Row],[Start Date]],Milestone_Marker,IF(AND(AC$27&gt;ProposalToGnatt[[#This Row],[Start Date]],AC$27&lt;ProposalToGnatt[[#This Row],[Start Date]]+ProposalToGnatt[[#This Row],[Days]]),$G$5,"")),"")</f>
        <v/>
      </c>
      <c r="AD49" s="36" t="str">
        <f ca="1">IFERROR(+IF(AD$27=ProposalToGnatt[[#This Row],[Start Date]],Milestone_Marker,IF(AND(AD$27&gt;ProposalToGnatt[[#This Row],[Start Date]],AD$27&lt;ProposalToGnatt[[#This Row],[Start Date]]+ProposalToGnatt[[#This Row],[Days]]),$G$5,"")),"")</f>
        <v/>
      </c>
      <c r="AE49" s="36" t="str">
        <f ca="1">IFERROR(+IF(AE$27=ProposalToGnatt[[#This Row],[Start Date]],Milestone_Marker,IF(AND(AE$27&gt;ProposalToGnatt[[#This Row],[Start Date]],AE$27&lt;ProposalToGnatt[[#This Row],[Start Date]]+ProposalToGnatt[[#This Row],[Days]]),$G$5,"")),"")</f>
        <v/>
      </c>
      <c r="AF49" s="36" t="str">
        <f ca="1">IFERROR(+IF(AF$27=ProposalToGnatt[[#This Row],[Start Date]],Milestone_Marker,IF(AND(AF$27&gt;ProposalToGnatt[[#This Row],[Start Date]],AF$27&lt;ProposalToGnatt[[#This Row],[Start Date]]+ProposalToGnatt[[#This Row],[Days]]),$G$5,"")),"")</f>
        <v/>
      </c>
      <c r="AG49" s="36" t="str">
        <f ca="1">IFERROR(+IF(AG$27=ProposalToGnatt[[#This Row],[Start Date]],Milestone_Marker,IF(AND(AG$27&gt;ProposalToGnatt[[#This Row],[Start Date]],AG$27&lt;ProposalToGnatt[[#This Row],[Start Date]]+ProposalToGnatt[[#This Row],[Days]]),$G$5,"")),"")</f>
        <v/>
      </c>
      <c r="AH49" s="36" t="str">
        <f ca="1">IFERROR(+IF(AH$27=ProposalToGnatt[[#This Row],[Start Date]],Milestone_Marker,IF(AND(AH$27&gt;ProposalToGnatt[[#This Row],[Start Date]],AH$27&lt;ProposalToGnatt[[#This Row],[Start Date]]+ProposalToGnatt[[#This Row],[Days]]),$G$5,"")),"")</f>
        <v/>
      </c>
      <c r="AI49" s="36" t="str">
        <f ca="1">IFERROR(+IF(AI$27=ProposalToGnatt[[#This Row],[Start Date]],Milestone_Marker,IF(AND(AI$27&gt;ProposalToGnatt[[#This Row],[Start Date]],AI$27&lt;ProposalToGnatt[[#This Row],[Start Date]]+ProposalToGnatt[[#This Row],[Days]]),$G$5,"")),"")</f>
        <v/>
      </c>
      <c r="AJ49" s="36" t="str">
        <f ca="1">IFERROR(+IF(AJ$27=ProposalToGnatt[[#This Row],[Start Date]],Milestone_Marker,IF(AND(AJ$27&gt;ProposalToGnatt[[#This Row],[Start Date]],AJ$27&lt;ProposalToGnatt[[#This Row],[Start Date]]+ProposalToGnatt[[#This Row],[Days]]),$G$5,"")),"")</f>
        <v/>
      </c>
      <c r="AK49" s="36" t="str">
        <f ca="1">IFERROR(+IF(AK$27=ProposalToGnatt[[#This Row],[Start Date]],Milestone_Marker,IF(AND(AK$27&gt;ProposalToGnatt[[#This Row],[Start Date]],AK$27&lt;ProposalToGnatt[[#This Row],[Start Date]]+ProposalToGnatt[[#This Row],[Days]]),$G$5,"")),"")</f>
        <v/>
      </c>
      <c r="AL49" s="36" t="str">
        <f ca="1">IFERROR(+IF(AL$27=ProposalToGnatt[[#This Row],[Start Date]],Milestone_Marker,IF(AND(AL$27&gt;ProposalToGnatt[[#This Row],[Start Date]],AL$27&lt;ProposalToGnatt[[#This Row],[Start Date]]+ProposalToGnatt[[#This Row],[Days]]),$G$5,"")),"")</f>
        <v/>
      </c>
      <c r="AM49" s="36" t="str">
        <f ca="1">IFERROR(+IF(AM$27=ProposalToGnatt[[#This Row],[Start Date]],Milestone_Marker,IF(AND(AM$27&gt;ProposalToGnatt[[#This Row],[Start Date]],AM$27&lt;ProposalToGnatt[[#This Row],[Start Date]]+ProposalToGnatt[[#This Row],[Days]]),$G$5,"")),"")</f>
        <v/>
      </c>
      <c r="AN49" s="36" t="str">
        <f ca="1">IFERROR(+IF(AN$27=ProposalToGnatt[[#This Row],[Start Date]],Milestone_Marker,IF(AND(AN$27&gt;ProposalToGnatt[[#This Row],[Start Date]],AN$27&lt;ProposalToGnatt[[#This Row],[Start Date]]+ProposalToGnatt[[#This Row],[Days]]),$G$5,"")),"")</f>
        <v/>
      </c>
      <c r="AO49" s="36" t="str">
        <f ca="1">IFERROR(+IF(AO$27=ProposalToGnatt[[#This Row],[Start Date]],Milestone_Marker,IF(AND(AO$27&gt;ProposalToGnatt[[#This Row],[Start Date]],AO$27&lt;ProposalToGnatt[[#This Row],[Start Date]]+ProposalToGnatt[[#This Row],[Days]]),$G$5,"")),"")</f>
        <v/>
      </c>
      <c r="AP49" s="36" t="str">
        <f ca="1">IFERROR(+IF(AP$27=ProposalToGnatt[[#This Row],[Start Date]],Milestone_Marker,IF(AND(AP$27&gt;ProposalToGnatt[[#This Row],[Start Date]],AP$27&lt;ProposalToGnatt[[#This Row],[Start Date]]+ProposalToGnatt[[#This Row],[Days]]),$G$5,"")),"")</f>
        <v/>
      </c>
      <c r="AQ49" s="36" t="str">
        <f ca="1">IFERROR(+IF(AQ$27=ProposalToGnatt[[#This Row],[Start Date]],Milestone_Marker,IF(AND(AQ$27&gt;ProposalToGnatt[[#This Row],[Start Date]],AQ$27&lt;ProposalToGnatt[[#This Row],[Start Date]]+ProposalToGnatt[[#This Row],[Days]]),$G$5,"")),"")</f>
        <v/>
      </c>
      <c r="AR49" s="36" t="str">
        <f ca="1">IFERROR(+IF(AR$27=ProposalToGnatt[[#This Row],[Start Date]],Milestone_Marker,IF(AND(AR$27&gt;ProposalToGnatt[[#This Row],[Start Date]],AR$27&lt;ProposalToGnatt[[#This Row],[Start Date]]+ProposalToGnatt[[#This Row],[Days]]),$G$5,"")),"")</f>
        <v/>
      </c>
      <c r="AS49" s="36" t="str">
        <f ca="1">IFERROR(+IF(AS$27=ProposalToGnatt[[#This Row],[Start Date]],Milestone_Marker,IF(AND(AS$27&gt;ProposalToGnatt[[#This Row],[Start Date]],AS$27&lt;ProposalToGnatt[[#This Row],[Start Date]]+ProposalToGnatt[[#This Row],[Days]]),$G$5,"")),"")</f>
        <v/>
      </c>
      <c r="AT49" s="36" t="str">
        <f ca="1">IFERROR(+IF(AT$27=ProposalToGnatt[[#This Row],[Start Date]],Milestone_Marker,IF(AND(AT$27&gt;ProposalToGnatt[[#This Row],[Start Date]],AT$27&lt;ProposalToGnatt[[#This Row],[Start Date]]+ProposalToGnatt[[#This Row],[Days]]),$G$5,"")),"")</f>
        <v/>
      </c>
      <c r="AU49" s="36" t="str">
        <f ca="1">IFERROR(+IF(AU$27=ProposalToGnatt[[#This Row],[Start Date]],Milestone_Marker,IF(AND(AU$27&gt;ProposalToGnatt[[#This Row],[Start Date]],AU$27&lt;ProposalToGnatt[[#This Row],[Start Date]]+ProposalToGnatt[[#This Row],[Days]]),$G$5,"")),"")</f>
        <v/>
      </c>
      <c r="AV49" s="36" t="str">
        <f ca="1">IFERROR(+IF(AV$27=ProposalToGnatt[[#This Row],[Start Date]],Milestone_Marker,IF(AND(AV$27&gt;ProposalToGnatt[[#This Row],[Start Date]],AV$27&lt;ProposalToGnatt[[#This Row],[Start Date]]+ProposalToGnatt[[#This Row],[Days]]),$G$5,"")),"")</f>
        <v/>
      </c>
      <c r="AW49" s="36" t="str">
        <f ca="1">IFERROR(+IF(AW$27=ProposalToGnatt[[#This Row],[Start Date]],Milestone_Marker,IF(AND(AW$27&gt;ProposalToGnatt[[#This Row],[Start Date]],AW$27&lt;ProposalToGnatt[[#This Row],[Start Date]]+ProposalToGnatt[[#This Row],[Days]]),$G$5,"")),"")</f>
        <v/>
      </c>
      <c r="AX49" s="36" t="str">
        <f ca="1">IFERROR(+IF(AX$27=ProposalToGnatt[[#This Row],[Start Date]],Milestone_Marker,IF(AND(AX$27&gt;ProposalToGnatt[[#This Row],[Start Date]],AX$27&lt;ProposalToGnatt[[#This Row],[Start Date]]+ProposalToGnatt[[#This Row],[Days]]),$G$5,"")),"")</f>
        <v/>
      </c>
      <c r="AY49" s="36" t="str">
        <f ca="1">IFERROR(+IF(AY$27=ProposalToGnatt[[#This Row],[Start Date]],Milestone_Marker,IF(AND(AY$27&gt;ProposalToGnatt[[#This Row],[Start Date]],AY$27&lt;ProposalToGnatt[[#This Row],[Start Date]]+ProposalToGnatt[[#This Row],[Days]]),$G$5,"")),"")</f>
        <v/>
      </c>
      <c r="AZ49" s="36" t="str">
        <f ca="1">IFERROR(+IF(AZ$27=ProposalToGnatt[[#This Row],[Start Date]],Milestone_Marker,IF(AND(AZ$27&gt;ProposalToGnatt[[#This Row],[Start Date]],AZ$27&lt;ProposalToGnatt[[#This Row],[Start Date]]+ProposalToGnatt[[#This Row],[Days]]),$G$5,"")),"")</f>
        <v/>
      </c>
      <c r="BA49" s="36" t="str">
        <f ca="1">IFERROR(+IF(BA$27=ProposalToGnatt[[#This Row],[Start Date]],Milestone_Marker,IF(AND(BA$27&gt;ProposalToGnatt[[#This Row],[Start Date]],BA$27&lt;ProposalToGnatt[[#This Row],[Start Date]]+ProposalToGnatt[[#This Row],[Days]]),$G$5,"")),"")</f>
        <v/>
      </c>
      <c r="BB49" s="36" t="str">
        <f ca="1">IFERROR(+IF(BB$27=ProposalToGnatt[[#This Row],[Start Date]],Milestone_Marker,IF(AND(BB$27&gt;ProposalToGnatt[[#This Row],[Start Date]],BB$27&lt;ProposalToGnatt[[#This Row],[Start Date]]+ProposalToGnatt[[#This Row],[Days]]),$G$5,"")),"")</f>
        <v/>
      </c>
      <c r="BC49" s="36" t="str">
        <f ca="1">IFERROR(+IF(BC$27=ProposalToGnatt[[#This Row],[Start Date]],Milestone_Marker,IF(AND(BC$27&gt;ProposalToGnatt[[#This Row],[Start Date]],BC$27&lt;ProposalToGnatt[[#This Row],[Start Date]]+ProposalToGnatt[[#This Row],[Days]]),$G$5,"")),"")</f>
        <v/>
      </c>
      <c r="BD49" s="36" t="str">
        <f ca="1">IFERROR(+IF(BD$27=ProposalToGnatt[[#This Row],[Start Date]],Milestone_Marker,IF(AND(BD$27&gt;ProposalToGnatt[[#This Row],[Start Date]],BD$27&lt;ProposalToGnatt[[#This Row],[Start Date]]+ProposalToGnatt[[#This Row],[Days]]),$G$5,"")),"")</f>
        <v/>
      </c>
      <c r="BE49" s="36" t="str">
        <f ca="1">IFERROR(+IF(BE$27=ProposalToGnatt[[#This Row],[Start Date]],Milestone_Marker,IF(AND(BE$27&gt;ProposalToGnatt[[#This Row],[Start Date]],BE$27&lt;ProposalToGnatt[[#This Row],[Start Date]]+ProposalToGnatt[[#This Row],[Days]]),$G$5,"")),"")</f>
        <v/>
      </c>
      <c r="BF49" s="36" t="str">
        <f ca="1">IFERROR(+IF(BF$27=ProposalToGnatt[[#This Row],[Start Date]],Milestone_Marker,IF(AND(BF$27&gt;ProposalToGnatt[[#This Row],[Start Date]],BF$27&lt;ProposalToGnatt[[#This Row],[Start Date]]+ProposalToGnatt[[#This Row],[Days]]),$G$5,"")),"")</f>
        <v/>
      </c>
      <c r="BG49" s="36" t="str">
        <f ca="1">IFERROR(+IF(BG$27=ProposalToGnatt[[#This Row],[Start Date]],Milestone_Marker,IF(AND(BG$27&gt;ProposalToGnatt[[#This Row],[Start Date]],BG$27&lt;ProposalToGnatt[[#This Row],[Start Date]]+ProposalToGnatt[[#This Row],[Days]]),$G$5,"")),"")</f>
        <v/>
      </c>
      <c r="BH49" s="36" t="str">
        <f ca="1">IFERROR(+IF(BH$27=ProposalToGnatt[[#This Row],[Start Date]],Milestone_Marker,IF(AND(BH$27&gt;ProposalToGnatt[[#This Row],[Start Date]],BH$27&lt;ProposalToGnatt[[#This Row],[Start Date]]+ProposalToGnatt[[#This Row],[Days]]),$G$5,"")),"")</f>
        <v/>
      </c>
      <c r="BI49" s="36" t="str">
        <f ca="1">IFERROR(+IF(BI$27=ProposalToGnatt[[#This Row],[Start Date]],Milestone_Marker,IF(AND(BI$27&gt;ProposalToGnatt[[#This Row],[Start Date]],BI$27&lt;ProposalToGnatt[[#This Row],[Start Date]]+ProposalToGnatt[[#This Row],[Days]]),$G$5,"")),"")</f>
        <v/>
      </c>
      <c r="BJ49" s="36" t="str">
        <f ca="1">IFERROR(+IF(BJ$27=ProposalToGnatt[[#This Row],[Start Date]],Milestone_Marker,IF(AND(BJ$27&gt;ProposalToGnatt[[#This Row],[Start Date]],BJ$27&lt;ProposalToGnatt[[#This Row],[Start Date]]+ProposalToGnatt[[#This Row],[Days]]),$G$5,"")),"")</f>
        <v/>
      </c>
      <c r="BK49" s="36" t="str">
        <f ca="1">IFERROR(+IF(BK$27=ProposalToGnatt[[#This Row],[Start Date]],Milestone_Marker,IF(AND(BK$27&gt;ProposalToGnatt[[#This Row],[Start Date]],BK$27&lt;ProposalToGnatt[[#This Row],[Start Date]]+ProposalToGnatt[[#This Row],[Days]]),$G$5,"")),"")</f>
        <v/>
      </c>
      <c r="BL49" s="36" t="str">
        <f ca="1">IFERROR(+IF(BL$27=ProposalToGnatt[[#This Row],[Start Date]],Milestone_Marker,IF(AND(BL$27&gt;ProposalToGnatt[[#This Row],[Start Date]],BL$27&lt;ProposalToGnatt[[#This Row],[Start Date]]+ProposalToGnatt[[#This Row],[Days]]),$G$5,"")),"")</f>
        <v/>
      </c>
      <c r="BM49" s="36" t="str">
        <f ca="1">IFERROR(+IF(BM$27=ProposalToGnatt[[#This Row],[Start Date]],Milestone_Marker,IF(AND(BM$27&gt;ProposalToGnatt[[#This Row],[Start Date]],BM$27&lt;ProposalToGnatt[[#This Row],[Start Date]]+ProposalToGnatt[[#This Row],[Days]]),$G$5,"")),"")</f>
        <v/>
      </c>
      <c r="BN49" s="36" t="str">
        <f ca="1">IFERROR(+IF(BN$27=ProposalToGnatt[[#This Row],[Start Date]],Milestone_Marker,IF(AND(BN$27&gt;ProposalToGnatt[[#This Row],[Start Date]],BN$27&lt;ProposalToGnatt[[#This Row],[Start Date]]+ProposalToGnatt[[#This Row],[Days]]),$G$5,"")),"")</f>
        <v/>
      </c>
      <c r="BO49" s="36" t="str">
        <f ca="1">IFERROR(+IF(BO$27=ProposalToGnatt[[#This Row],[Start Date]],Milestone_Marker,IF(AND(BO$27&gt;ProposalToGnatt[[#This Row],[Start Date]],BO$27&lt;ProposalToGnatt[[#This Row],[Start Date]]+ProposalToGnatt[[#This Row],[Days]]),$G$5,"")),"")</f>
        <v/>
      </c>
      <c r="BP49" s="36" t="str">
        <f ca="1">IFERROR(+IF(BP$27=ProposalToGnatt[[#This Row],[Start Date]],Milestone_Marker,IF(AND(BP$27&gt;ProposalToGnatt[[#This Row],[Start Date]],BP$27&lt;ProposalToGnatt[[#This Row],[Start Date]]+ProposalToGnatt[[#This Row],[Days]]),$G$5,"")),"")</f>
        <v/>
      </c>
      <c r="BQ49" s="36" t="str">
        <f ca="1">IFERROR(+IF(BQ$27=ProposalToGnatt[[#This Row],[Start Date]],Milestone_Marker,IF(AND(BQ$27&gt;ProposalToGnatt[[#This Row],[Start Date]],BQ$27&lt;ProposalToGnatt[[#This Row],[Start Date]]+ProposalToGnatt[[#This Row],[Days]]),$G$5,"")),"")</f>
        <v/>
      </c>
      <c r="BR49" s="36" t="str">
        <f ca="1">IFERROR(+IF(BR$27=ProposalToGnatt[[#This Row],[Start Date]],Milestone_Marker,IF(AND(BR$27&gt;ProposalToGnatt[[#This Row],[Start Date]],BR$27&lt;ProposalToGnatt[[#This Row],[Start Date]]+ProposalToGnatt[[#This Row],[Days]]),$G$5,"")),"")</f>
        <v/>
      </c>
      <c r="BS49" s="36" t="str">
        <f ca="1">IFERROR(+IF(BS$27=ProposalToGnatt[[#This Row],[Start Date]],Milestone_Marker,IF(AND(BS$27&gt;ProposalToGnatt[[#This Row],[Start Date]],BS$27&lt;ProposalToGnatt[[#This Row],[Start Date]]+ProposalToGnatt[[#This Row],[Days]]),$G$5,"")),"")</f>
        <v/>
      </c>
      <c r="BT49" s="36" t="str">
        <f ca="1">IFERROR(+IF(BT$27=ProposalToGnatt[[#This Row],[Start Date]],Milestone_Marker,IF(AND(BT$27&gt;ProposalToGnatt[[#This Row],[Start Date]],BT$27&lt;ProposalToGnatt[[#This Row],[Start Date]]+ProposalToGnatt[[#This Row],[Days]]),$G$5,"")),"")</f>
        <v/>
      </c>
      <c r="BU49" s="36" t="str">
        <f ca="1">IFERROR(+IF(BU$27=ProposalToGnatt[[#This Row],[Start Date]],Milestone_Marker,IF(AND(BU$27&gt;ProposalToGnatt[[#This Row],[Start Date]],BU$27&lt;ProposalToGnatt[[#This Row],[Start Date]]+ProposalToGnatt[[#This Row],[Days]]),$G$5,"")),"")</f>
        <v/>
      </c>
      <c r="BV49" s="36" t="str">
        <f ca="1">IFERROR(+IF(BV$27=ProposalToGnatt[[#This Row],[Start Date]],Milestone_Marker,IF(AND(BV$27&gt;ProposalToGnatt[[#This Row],[Start Date]],BV$27&lt;ProposalToGnatt[[#This Row],[Start Date]]+ProposalToGnatt[[#This Row],[Days]]),$G$5,"")),"")</f>
        <v/>
      </c>
      <c r="BW49" s="36" t="str">
        <f ca="1">IFERROR(+IF(BW$27=ProposalToGnatt[[#This Row],[Start Date]],Milestone_Marker,IF(AND(BW$27&gt;ProposalToGnatt[[#This Row],[Start Date]],BW$27&lt;ProposalToGnatt[[#This Row],[Start Date]]+ProposalToGnatt[[#This Row],[Days]]),$G$5,"")),"")</f>
        <v/>
      </c>
      <c r="BX49" s="36" t="str">
        <f ca="1">IFERROR(+IF(BX$27=ProposalToGnatt[[#This Row],[Start Date]],Milestone_Marker,IF(AND(BX$27&gt;ProposalToGnatt[[#This Row],[Start Date]],BX$27&lt;ProposalToGnatt[[#This Row],[Start Date]]+ProposalToGnatt[[#This Row],[Days]]),$G$5,"")),"")</f>
        <v/>
      </c>
      <c r="BY49" s="36" t="str">
        <f ca="1">IFERROR(+IF(BY$27=ProposalToGnatt[[#This Row],[Start Date]],Milestone_Marker,IF(AND(BY$27&gt;ProposalToGnatt[[#This Row],[Start Date]],BY$27&lt;ProposalToGnatt[[#This Row],[Start Date]]+ProposalToGnatt[[#This Row],[Days]]),$G$5,"")),"")</f>
        <v/>
      </c>
      <c r="BZ49" s="36" t="str">
        <f ca="1">IFERROR(+IF(BZ$27=ProposalToGnatt[[#This Row],[Start Date]],Milestone_Marker,IF(AND(BZ$27&gt;ProposalToGnatt[[#This Row],[Start Date]],BZ$27&lt;ProposalToGnatt[[#This Row],[Start Date]]+ProposalToGnatt[[#This Row],[Days]]),$G$5,"")),"")</f>
        <v/>
      </c>
      <c r="CA49" s="36" t="str">
        <f ca="1">IFERROR(+IF(CA$27=ProposalToGnatt[[#This Row],[Start Date]],Milestone_Marker,IF(AND(CA$27&gt;ProposalToGnatt[[#This Row],[Start Date]],CA$27&lt;ProposalToGnatt[[#This Row],[Start Date]]+ProposalToGnatt[[#This Row],[Days]]),$G$5,"")),"")</f>
        <v/>
      </c>
      <c r="CB49" s="36" t="str">
        <f ca="1">IFERROR(+IF(CB$27=ProposalToGnatt[[#This Row],[Start Date]],Milestone_Marker,IF(AND(CB$27&gt;ProposalToGnatt[[#This Row],[Start Date]],CB$27&lt;ProposalToGnatt[[#This Row],[Start Date]]+ProposalToGnatt[[#This Row],[Days]]),$G$5,"")),"")</f>
        <v/>
      </c>
      <c r="CC49" s="36" t="str">
        <f ca="1">IFERROR(+IF(CC$27=ProposalToGnatt[[#This Row],[Start Date]],Milestone_Marker,IF(AND(CC$27&gt;ProposalToGnatt[[#This Row],[Start Date]],CC$27&lt;ProposalToGnatt[[#This Row],[Start Date]]+ProposalToGnatt[[#This Row],[Days]]),$G$5,"")),"")</f>
        <v/>
      </c>
      <c r="CD49" s="36" t="str">
        <f ca="1">IFERROR(+IF(CD$27=ProposalToGnatt[[#This Row],[Start Date]],Milestone_Marker,IF(AND(CD$27&gt;ProposalToGnatt[[#This Row],[Start Date]],CD$27&lt;ProposalToGnatt[[#This Row],[Start Date]]+ProposalToGnatt[[#This Row],[Days]]),$G$5,"")),"")</f>
        <v/>
      </c>
      <c r="CE49" s="36" t="str">
        <f ca="1">IFERROR(+IF(CE$27=ProposalToGnatt[[#This Row],[Start Date]],Milestone_Marker,IF(AND(CE$27&gt;ProposalToGnatt[[#This Row],[Start Date]],CE$27&lt;ProposalToGnatt[[#This Row],[Start Date]]+ProposalToGnatt[[#This Row],[Days]]),$G$5,"")),"")</f>
        <v/>
      </c>
      <c r="CF49" s="36" t="str">
        <f ca="1">IFERROR(+IF(CF$27=ProposalToGnatt[[#This Row],[Start Date]],Milestone_Marker,IF(AND(CF$27&gt;ProposalToGnatt[[#This Row],[Start Date]],CF$27&lt;ProposalToGnatt[[#This Row],[Start Date]]+ProposalToGnatt[[#This Row],[Days]]),$G$5,"")),"")</f>
        <v/>
      </c>
      <c r="CG49" s="36" t="str">
        <f ca="1">IFERROR(+IF(CG$27=ProposalToGnatt[[#This Row],[Start Date]],Milestone_Marker,IF(AND(CG$27&gt;ProposalToGnatt[[#This Row],[Start Date]],CG$27&lt;ProposalToGnatt[[#This Row],[Start Date]]+ProposalToGnatt[[#This Row],[Days]]),$G$5,"")),"")</f>
        <v/>
      </c>
      <c r="CH49" s="36" t="str">
        <f ca="1">IFERROR(+IF(CH$27=ProposalToGnatt[[#This Row],[Start Date]],Milestone_Marker,IF(AND(CH$27&gt;ProposalToGnatt[[#This Row],[Start Date]],CH$27&lt;ProposalToGnatt[[#This Row],[Start Date]]+ProposalToGnatt[[#This Row],[Days]]),$G$5,"")),"")</f>
        <v/>
      </c>
      <c r="CI49" s="36" t="str">
        <f ca="1">IFERROR(+IF(CI$27=ProposalToGnatt[[#This Row],[Start Date]],Milestone_Marker,IF(AND(CI$27&gt;ProposalToGnatt[[#This Row],[Start Date]],CI$27&lt;ProposalToGnatt[[#This Row],[Start Date]]+ProposalToGnatt[[#This Row],[Days]]),$G$5,"")),"")</f>
        <v/>
      </c>
      <c r="CJ49" s="36" t="str">
        <f ca="1">IFERROR(+IF(CJ$27=ProposalToGnatt[[#This Row],[Start Date]],Milestone_Marker,IF(AND(CJ$27&gt;ProposalToGnatt[[#This Row],[Start Date]],CJ$27&lt;ProposalToGnatt[[#This Row],[Start Date]]+ProposalToGnatt[[#This Row],[Days]]),$G$5,"")),"")</f>
        <v/>
      </c>
      <c r="CK49" s="36" t="str">
        <f ca="1">IFERROR(+IF(CK$27=ProposalToGnatt[[#This Row],[Start Date]],Milestone_Marker,IF(AND(CK$27&gt;ProposalToGnatt[[#This Row],[Start Date]],CK$27&lt;ProposalToGnatt[[#This Row],[Start Date]]+ProposalToGnatt[[#This Row],[Days]]),$G$5,"")),"")</f>
        <v/>
      </c>
      <c r="CL49" s="36" t="str">
        <f ca="1">IFERROR(+IF(CL$27=ProposalToGnatt[[#This Row],[Start Date]],Milestone_Marker,IF(AND(CL$27&gt;ProposalToGnatt[[#This Row],[Start Date]],CL$27&lt;ProposalToGnatt[[#This Row],[Start Date]]+ProposalToGnatt[[#This Row],[Days]]),$G$5,"")),"")</f>
        <v/>
      </c>
      <c r="CM49" s="36" t="str">
        <f ca="1">IFERROR(+IF(CM$27=ProposalToGnatt[[#This Row],[Start Date]],Milestone_Marker,IF(AND(CM$27&gt;ProposalToGnatt[[#This Row],[Start Date]],CM$27&lt;ProposalToGnatt[[#This Row],[Start Date]]+ProposalToGnatt[[#This Row],[Days]]),$G$5,"")),"")</f>
        <v/>
      </c>
      <c r="CN49" s="36" t="str">
        <f ca="1">IFERROR(+IF(CN$27=ProposalToGnatt[[#This Row],[Start Date]],Milestone_Marker,IF(AND(CN$27&gt;ProposalToGnatt[[#This Row],[Start Date]],CN$27&lt;ProposalToGnatt[[#This Row],[Start Date]]+ProposalToGnatt[[#This Row],[Days]]),$G$5,"")),"")</f>
        <v/>
      </c>
      <c r="CO49" s="36" t="str">
        <f ca="1">IFERROR(+IF(CO$27=ProposalToGnatt[[#This Row],[Start Date]],Milestone_Marker,IF(AND(CO$27&gt;ProposalToGnatt[[#This Row],[Start Date]],CO$27&lt;ProposalToGnatt[[#This Row],[Start Date]]+ProposalToGnatt[[#This Row],[Days]]),$G$5,"")),"")</f>
        <v/>
      </c>
      <c r="CP49" s="36" t="str">
        <f ca="1">IFERROR(+IF(CP$27=ProposalToGnatt[[#This Row],[Start Date]],Milestone_Marker,IF(AND(CP$27&gt;ProposalToGnatt[[#This Row],[Start Date]],CP$27&lt;ProposalToGnatt[[#This Row],[Start Date]]+ProposalToGnatt[[#This Row],[Days]]),$G$5,"")),"")</f>
        <v/>
      </c>
      <c r="CQ49" s="36" t="str">
        <f ca="1">IFERROR(+IF(CQ$27=ProposalToGnatt[[#This Row],[Start Date]],Milestone_Marker,IF(AND(CQ$27&gt;ProposalToGnatt[[#This Row],[Start Date]],CQ$27&lt;ProposalToGnatt[[#This Row],[Start Date]]+ProposalToGnatt[[#This Row],[Days]]),$G$5,"")),"")</f>
        <v/>
      </c>
      <c r="CR49" s="36" t="str">
        <f ca="1">IFERROR(+IF(CR$27=ProposalToGnatt[[#This Row],[Start Date]],Milestone_Marker,IF(AND(CR$27&gt;ProposalToGnatt[[#This Row],[Start Date]],CR$27&lt;ProposalToGnatt[[#This Row],[Start Date]]+ProposalToGnatt[[#This Row],[Days]]),$G$5,"")),"")</f>
        <v/>
      </c>
      <c r="CS49" s="36" t="str">
        <f ca="1">IFERROR(+IF(CS$27=ProposalToGnatt[[#This Row],[Start Date]],Milestone_Marker,IF(AND(CS$27&gt;ProposalToGnatt[[#This Row],[Start Date]],CS$27&lt;ProposalToGnatt[[#This Row],[Start Date]]+ProposalToGnatt[[#This Row],[Days]]),$G$5,"")),"")</f>
        <v/>
      </c>
      <c r="CT49" s="36" t="str">
        <f ca="1">IFERROR(+IF(CT$27=ProposalToGnatt[[#This Row],[Start Date]],Milestone_Marker,IF(AND(CT$27&gt;ProposalToGnatt[[#This Row],[Start Date]],CT$27&lt;ProposalToGnatt[[#This Row],[Start Date]]+ProposalToGnatt[[#This Row],[Days]]),$G$5,"")),"")</f>
        <v/>
      </c>
      <c r="CU49" s="36" t="str">
        <f ca="1">IFERROR(+IF(CU$27=ProposalToGnatt[[#This Row],[Start Date]],Milestone_Marker,IF(AND(CU$27&gt;ProposalToGnatt[[#This Row],[Start Date]],CU$27&lt;ProposalToGnatt[[#This Row],[Start Date]]+ProposalToGnatt[[#This Row],[Days]]),$G$5,"")),"")</f>
        <v/>
      </c>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row>
    <row r="50" spans="1:125" s="41" customFormat="1" ht="15" x14ac:dyDescent="0.25">
      <c r="A50" t="s">
        <v>759</v>
      </c>
      <c r="B50">
        <v>23</v>
      </c>
      <c r="C50"/>
      <c r="D50"/>
      <c r="E50"/>
      <c r="F50"/>
      <c r="G50" s="14"/>
      <c r="H50" s="14"/>
      <c r="I50"/>
      <c r="J50"/>
      <c r="K50" s="261"/>
      <c r="L50"/>
      <c r="M50" s="14"/>
      <c r="N50" s="309"/>
      <c r="O50" s="297"/>
      <c r="P50" s="36" t="str">
        <f ca="1">IFERROR(+IF(P$27=ProposalToGnatt[[#This Row],[Start Date]],Milestone_Marker,IF(AND(P$27&gt;ProposalToGnatt[[#This Row],[Start Date]],P$27&lt;ProposalToGnatt[[#This Row],[Start Date]]+ProposalToGnatt[[#This Row],[Days]]),$G$5,"")),"")</f>
        <v/>
      </c>
      <c r="Q50" s="36" t="str">
        <f ca="1">IFERROR(+IF(Q$27=ProposalToGnatt[[#This Row],[Start Date]],Milestone_Marker,IF(AND(Q$27&gt;ProposalToGnatt[[#This Row],[Start Date]],Q$27&lt;ProposalToGnatt[[#This Row],[Start Date]]+ProposalToGnatt[[#This Row],[Days]]),$G$5,"")),"")</f>
        <v/>
      </c>
      <c r="R50" s="36" t="str">
        <f ca="1">IFERROR(+IF(R$27=ProposalToGnatt[[#This Row],[Start Date]],Milestone_Marker,IF(AND(R$27&gt;ProposalToGnatt[[#This Row],[Start Date]],R$27&lt;ProposalToGnatt[[#This Row],[Start Date]]+ProposalToGnatt[[#This Row],[Days]]),$G$5,"")),"")</f>
        <v/>
      </c>
      <c r="S50" s="36" t="str">
        <f ca="1">IFERROR(+IF(S$27=ProposalToGnatt[[#This Row],[Start Date]],Milestone_Marker,IF(AND(S$27&gt;ProposalToGnatt[[#This Row],[Start Date]],S$27&lt;ProposalToGnatt[[#This Row],[Start Date]]+ProposalToGnatt[[#This Row],[Days]]),$G$5,"")),"")</f>
        <v/>
      </c>
      <c r="T50" s="36" t="str">
        <f ca="1">IFERROR(+IF(T$27=ProposalToGnatt[[#This Row],[Start Date]],Milestone_Marker,IF(AND(T$27&gt;ProposalToGnatt[[#This Row],[Start Date]],T$27&lt;ProposalToGnatt[[#This Row],[Start Date]]+ProposalToGnatt[[#This Row],[Days]]),$G$5,"")),"")</f>
        <v/>
      </c>
      <c r="U50" s="36" t="str">
        <f ca="1">IFERROR(+IF(U$27=ProposalToGnatt[[#This Row],[Start Date]],Milestone_Marker,IF(AND(U$27&gt;ProposalToGnatt[[#This Row],[Start Date]],U$27&lt;ProposalToGnatt[[#This Row],[Start Date]]+ProposalToGnatt[[#This Row],[Days]]),$G$5,"")),"")</f>
        <v/>
      </c>
      <c r="V50" s="36" t="str">
        <f ca="1">IFERROR(+IF(V$27=ProposalToGnatt[[#This Row],[Start Date]],Milestone_Marker,IF(AND(V$27&gt;ProposalToGnatt[[#This Row],[Start Date]],V$27&lt;ProposalToGnatt[[#This Row],[Start Date]]+ProposalToGnatt[[#This Row],[Days]]),$G$5,"")),"")</f>
        <v/>
      </c>
      <c r="W50" s="36" t="str">
        <f ca="1">IFERROR(+IF(W$27=ProposalToGnatt[[#This Row],[Start Date]],Milestone_Marker,IF(AND(W$27&gt;ProposalToGnatt[[#This Row],[Start Date]],W$27&lt;ProposalToGnatt[[#This Row],[Start Date]]+ProposalToGnatt[[#This Row],[Days]]),$G$5,"")),"")</f>
        <v/>
      </c>
      <c r="X50" s="36" t="str">
        <f ca="1">IFERROR(+IF(X$27=ProposalToGnatt[[#This Row],[Start Date]],Milestone_Marker,IF(AND(X$27&gt;ProposalToGnatt[[#This Row],[Start Date]],X$27&lt;ProposalToGnatt[[#This Row],[Start Date]]+ProposalToGnatt[[#This Row],[Days]]),$G$5,"")),"")</f>
        <v/>
      </c>
      <c r="Y50" s="36" t="str">
        <f ca="1">IFERROR(+IF(Y$27=ProposalToGnatt[[#This Row],[Start Date]],Milestone_Marker,IF(AND(Y$27&gt;ProposalToGnatt[[#This Row],[Start Date]],Y$27&lt;ProposalToGnatt[[#This Row],[Start Date]]+ProposalToGnatt[[#This Row],[Days]]),$G$5,"")),"")</f>
        <v/>
      </c>
      <c r="Z50" s="36" t="str">
        <f ca="1">IFERROR(+IF(Z$27=ProposalToGnatt[[#This Row],[Start Date]],Milestone_Marker,IF(AND(Z$27&gt;ProposalToGnatt[[#This Row],[Start Date]],Z$27&lt;ProposalToGnatt[[#This Row],[Start Date]]+ProposalToGnatt[[#This Row],[Days]]),$G$5,"")),"")</f>
        <v/>
      </c>
      <c r="AA50" s="36" t="str">
        <f ca="1">IFERROR(+IF(AA$27=ProposalToGnatt[[#This Row],[Start Date]],Milestone_Marker,IF(AND(AA$27&gt;ProposalToGnatt[[#This Row],[Start Date]],AA$27&lt;ProposalToGnatt[[#This Row],[Start Date]]+ProposalToGnatt[[#This Row],[Days]]),$G$5,"")),"")</f>
        <v/>
      </c>
      <c r="AB50" s="36" t="str">
        <f ca="1">IFERROR(+IF(AB$27=ProposalToGnatt[[#This Row],[Start Date]],Milestone_Marker,IF(AND(AB$27&gt;ProposalToGnatt[[#This Row],[Start Date]],AB$27&lt;ProposalToGnatt[[#This Row],[Start Date]]+ProposalToGnatt[[#This Row],[Days]]),$G$5,"")),"")</f>
        <v/>
      </c>
      <c r="AC50" s="36" t="str">
        <f ca="1">IFERROR(+IF(AC$27=ProposalToGnatt[[#This Row],[Start Date]],Milestone_Marker,IF(AND(AC$27&gt;ProposalToGnatt[[#This Row],[Start Date]],AC$27&lt;ProposalToGnatt[[#This Row],[Start Date]]+ProposalToGnatt[[#This Row],[Days]]),$G$5,"")),"")</f>
        <v/>
      </c>
      <c r="AD50" s="36" t="str">
        <f ca="1">IFERROR(+IF(AD$27=ProposalToGnatt[[#This Row],[Start Date]],Milestone_Marker,IF(AND(AD$27&gt;ProposalToGnatt[[#This Row],[Start Date]],AD$27&lt;ProposalToGnatt[[#This Row],[Start Date]]+ProposalToGnatt[[#This Row],[Days]]),$G$5,"")),"")</f>
        <v/>
      </c>
      <c r="AE50" s="36" t="str">
        <f ca="1">IFERROR(+IF(AE$27=ProposalToGnatt[[#This Row],[Start Date]],Milestone_Marker,IF(AND(AE$27&gt;ProposalToGnatt[[#This Row],[Start Date]],AE$27&lt;ProposalToGnatt[[#This Row],[Start Date]]+ProposalToGnatt[[#This Row],[Days]]),$G$5,"")),"")</f>
        <v/>
      </c>
      <c r="AF50" s="36" t="str">
        <f ca="1">IFERROR(+IF(AF$27=ProposalToGnatt[[#This Row],[Start Date]],Milestone_Marker,IF(AND(AF$27&gt;ProposalToGnatt[[#This Row],[Start Date]],AF$27&lt;ProposalToGnatt[[#This Row],[Start Date]]+ProposalToGnatt[[#This Row],[Days]]),$G$5,"")),"")</f>
        <v/>
      </c>
      <c r="AG50" s="36" t="str">
        <f ca="1">IFERROR(+IF(AG$27=ProposalToGnatt[[#This Row],[Start Date]],Milestone_Marker,IF(AND(AG$27&gt;ProposalToGnatt[[#This Row],[Start Date]],AG$27&lt;ProposalToGnatt[[#This Row],[Start Date]]+ProposalToGnatt[[#This Row],[Days]]),$G$5,"")),"")</f>
        <v/>
      </c>
      <c r="AH50" s="36" t="str">
        <f ca="1">IFERROR(+IF(AH$27=ProposalToGnatt[[#This Row],[Start Date]],Milestone_Marker,IF(AND(AH$27&gt;ProposalToGnatt[[#This Row],[Start Date]],AH$27&lt;ProposalToGnatt[[#This Row],[Start Date]]+ProposalToGnatt[[#This Row],[Days]]),$G$5,"")),"")</f>
        <v/>
      </c>
      <c r="AI50" s="36" t="str">
        <f ca="1">IFERROR(+IF(AI$27=ProposalToGnatt[[#This Row],[Start Date]],Milestone_Marker,IF(AND(AI$27&gt;ProposalToGnatt[[#This Row],[Start Date]],AI$27&lt;ProposalToGnatt[[#This Row],[Start Date]]+ProposalToGnatt[[#This Row],[Days]]),$G$5,"")),"")</f>
        <v/>
      </c>
      <c r="AJ50" s="36" t="str">
        <f ca="1">IFERROR(+IF(AJ$27=ProposalToGnatt[[#This Row],[Start Date]],Milestone_Marker,IF(AND(AJ$27&gt;ProposalToGnatt[[#This Row],[Start Date]],AJ$27&lt;ProposalToGnatt[[#This Row],[Start Date]]+ProposalToGnatt[[#This Row],[Days]]),$G$5,"")),"")</f>
        <v/>
      </c>
      <c r="AK50" s="36" t="str">
        <f ca="1">IFERROR(+IF(AK$27=ProposalToGnatt[[#This Row],[Start Date]],Milestone_Marker,IF(AND(AK$27&gt;ProposalToGnatt[[#This Row],[Start Date]],AK$27&lt;ProposalToGnatt[[#This Row],[Start Date]]+ProposalToGnatt[[#This Row],[Days]]),$G$5,"")),"")</f>
        <v/>
      </c>
      <c r="AL50" s="36" t="str">
        <f ca="1">IFERROR(+IF(AL$27=ProposalToGnatt[[#This Row],[Start Date]],Milestone_Marker,IF(AND(AL$27&gt;ProposalToGnatt[[#This Row],[Start Date]],AL$27&lt;ProposalToGnatt[[#This Row],[Start Date]]+ProposalToGnatt[[#This Row],[Days]]),$G$5,"")),"")</f>
        <v/>
      </c>
      <c r="AM50" s="36" t="str">
        <f ca="1">IFERROR(+IF(AM$27=ProposalToGnatt[[#This Row],[Start Date]],Milestone_Marker,IF(AND(AM$27&gt;ProposalToGnatt[[#This Row],[Start Date]],AM$27&lt;ProposalToGnatt[[#This Row],[Start Date]]+ProposalToGnatt[[#This Row],[Days]]),$G$5,"")),"")</f>
        <v/>
      </c>
      <c r="AN50" s="36" t="str">
        <f ca="1">IFERROR(+IF(AN$27=ProposalToGnatt[[#This Row],[Start Date]],Milestone_Marker,IF(AND(AN$27&gt;ProposalToGnatt[[#This Row],[Start Date]],AN$27&lt;ProposalToGnatt[[#This Row],[Start Date]]+ProposalToGnatt[[#This Row],[Days]]),$G$5,"")),"")</f>
        <v/>
      </c>
      <c r="AO50" s="36" t="str">
        <f ca="1">IFERROR(+IF(AO$27=ProposalToGnatt[[#This Row],[Start Date]],Milestone_Marker,IF(AND(AO$27&gt;ProposalToGnatt[[#This Row],[Start Date]],AO$27&lt;ProposalToGnatt[[#This Row],[Start Date]]+ProposalToGnatt[[#This Row],[Days]]),$G$5,"")),"")</f>
        <v/>
      </c>
      <c r="AP50" s="36" t="str">
        <f ca="1">IFERROR(+IF(AP$27=ProposalToGnatt[[#This Row],[Start Date]],Milestone_Marker,IF(AND(AP$27&gt;ProposalToGnatt[[#This Row],[Start Date]],AP$27&lt;ProposalToGnatt[[#This Row],[Start Date]]+ProposalToGnatt[[#This Row],[Days]]),$G$5,"")),"")</f>
        <v/>
      </c>
      <c r="AQ50" s="36" t="str">
        <f ca="1">IFERROR(+IF(AQ$27=ProposalToGnatt[[#This Row],[Start Date]],Milestone_Marker,IF(AND(AQ$27&gt;ProposalToGnatt[[#This Row],[Start Date]],AQ$27&lt;ProposalToGnatt[[#This Row],[Start Date]]+ProposalToGnatt[[#This Row],[Days]]),$G$5,"")),"")</f>
        <v/>
      </c>
      <c r="AR50" s="36" t="str">
        <f ca="1">IFERROR(+IF(AR$27=ProposalToGnatt[[#This Row],[Start Date]],Milestone_Marker,IF(AND(AR$27&gt;ProposalToGnatt[[#This Row],[Start Date]],AR$27&lt;ProposalToGnatt[[#This Row],[Start Date]]+ProposalToGnatt[[#This Row],[Days]]),$G$5,"")),"")</f>
        <v/>
      </c>
      <c r="AS50" s="36" t="str">
        <f ca="1">IFERROR(+IF(AS$27=ProposalToGnatt[[#This Row],[Start Date]],Milestone_Marker,IF(AND(AS$27&gt;ProposalToGnatt[[#This Row],[Start Date]],AS$27&lt;ProposalToGnatt[[#This Row],[Start Date]]+ProposalToGnatt[[#This Row],[Days]]),$G$5,"")),"")</f>
        <v/>
      </c>
      <c r="AT50" s="36" t="str">
        <f ca="1">IFERROR(+IF(AT$27=ProposalToGnatt[[#This Row],[Start Date]],Milestone_Marker,IF(AND(AT$27&gt;ProposalToGnatt[[#This Row],[Start Date]],AT$27&lt;ProposalToGnatt[[#This Row],[Start Date]]+ProposalToGnatt[[#This Row],[Days]]),$G$5,"")),"")</f>
        <v/>
      </c>
      <c r="AU50" s="36" t="str">
        <f ca="1">IFERROR(+IF(AU$27=ProposalToGnatt[[#This Row],[Start Date]],Milestone_Marker,IF(AND(AU$27&gt;ProposalToGnatt[[#This Row],[Start Date]],AU$27&lt;ProposalToGnatt[[#This Row],[Start Date]]+ProposalToGnatt[[#This Row],[Days]]),$G$5,"")),"")</f>
        <v/>
      </c>
      <c r="AV50" s="36" t="str">
        <f ca="1">IFERROR(+IF(AV$27=ProposalToGnatt[[#This Row],[Start Date]],Milestone_Marker,IF(AND(AV$27&gt;ProposalToGnatt[[#This Row],[Start Date]],AV$27&lt;ProposalToGnatt[[#This Row],[Start Date]]+ProposalToGnatt[[#This Row],[Days]]),$G$5,"")),"")</f>
        <v/>
      </c>
      <c r="AW50" s="36" t="str">
        <f ca="1">IFERROR(+IF(AW$27=ProposalToGnatt[[#This Row],[Start Date]],Milestone_Marker,IF(AND(AW$27&gt;ProposalToGnatt[[#This Row],[Start Date]],AW$27&lt;ProposalToGnatt[[#This Row],[Start Date]]+ProposalToGnatt[[#This Row],[Days]]),$G$5,"")),"")</f>
        <v/>
      </c>
      <c r="AX50" s="36" t="str">
        <f ca="1">IFERROR(+IF(AX$27=ProposalToGnatt[[#This Row],[Start Date]],Milestone_Marker,IF(AND(AX$27&gt;ProposalToGnatt[[#This Row],[Start Date]],AX$27&lt;ProposalToGnatt[[#This Row],[Start Date]]+ProposalToGnatt[[#This Row],[Days]]),$G$5,"")),"")</f>
        <v/>
      </c>
      <c r="AY50" s="36" t="str">
        <f ca="1">IFERROR(+IF(AY$27=ProposalToGnatt[[#This Row],[Start Date]],Milestone_Marker,IF(AND(AY$27&gt;ProposalToGnatt[[#This Row],[Start Date]],AY$27&lt;ProposalToGnatt[[#This Row],[Start Date]]+ProposalToGnatt[[#This Row],[Days]]),$G$5,"")),"")</f>
        <v/>
      </c>
      <c r="AZ50" s="36" t="str">
        <f ca="1">IFERROR(+IF(AZ$27=ProposalToGnatt[[#This Row],[Start Date]],Milestone_Marker,IF(AND(AZ$27&gt;ProposalToGnatt[[#This Row],[Start Date]],AZ$27&lt;ProposalToGnatt[[#This Row],[Start Date]]+ProposalToGnatt[[#This Row],[Days]]),$G$5,"")),"")</f>
        <v/>
      </c>
      <c r="BA50" s="36" t="str">
        <f ca="1">IFERROR(+IF(BA$27=ProposalToGnatt[[#This Row],[Start Date]],Milestone_Marker,IF(AND(BA$27&gt;ProposalToGnatt[[#This Row],[Start Date]],BA$27&lt;ProposalToGnatt[[#This Row],[Start Date]]+ProposalToGnatt[[#This Row],[Days]]),$G$5,"")),"")</f>
        <v/>
      </c>
      <c r="BB50" s="36" t="str">
        <f ca="1">IFERROR(+IF(BB$27=ProposalToGnatt[[#This Row],[Start Date]],Milestone_Marker,IF(AND(BB$27&gt;ProposalToGnatt[[#This Row],[Start Date]],BB$27&lt;ProposalToGnatt[[#This Row],[Start Date]]+ProposalToGnatt[[#This Row],[Days]]),$G$5,"")),"")</f>
        <v/>
      </c>
      <c r="BC50" s="36" t="str">
        <f ca="1">IFERROR(+IF(BC$27=ProposalToGnatt[[#This Row],[Start Date]],Milestone_Marker,IF(AND(BC$27&gt;ProposalToGnatt[[#This Row],[Start Date]],BC$27&lt;ProposalToGnatt[[#This Row],[Start Date]]+ProposalToGnatt[[#This Row],[Days]]),$G$5,"")),"")</f>
        <v/>
      </c>
      <c r="BD50" s="36" t="str">
        <f ca="1">IFERROR(+IF(BD$27=ProposalToGnatt[[#This Row],[Start Date]],Milestone_Marker,IF(AND(BD$27&gt;ProposalToGnatt[[#This Row],[Start Date]],BD$27&lt;ProposalToGnatt[[#This Row],[Start Date]]+ProposalToGnatt[[#This Row],[Days]]),$G$5,"")),"")</f>
        <v/>
      </c>
      <c r="BE50" s="36" t="str">
        <f ca="1">IFERROR(+IF(BE$27=ProposalToGnatt[[#This Row],[Start Date]],Milestone_Marker,IF(AND(BE$27&gt;ProposalToGnatt[[#This Row],[Start Date]],BE$27&lt;ProposalToGnatt[[#This Row],[Start Date]]+ProposalToGnatt[[#This Row],[Days]]),$G$5,"")),"")</f>
        <v/>
      </c>
      <c r="BF50" s="36" t="str">
        <f ca="1">IFERROR(+IF(BF$27=ProposalToGnatt[[#This Row],[Start Date]],Milestone_Marker,IF(AND(BF$27&gt;ProposalToGnatt[[#This Row],[Start Date]],BF$27&lt;ProposalToGnatt[[#This Row],[Start Date]]+ProposalToGnatt[[#This Row],[Days]]),$G$5,"")),"")</f>
        <v/>
      </c>
      <c r="BG50" s="36" t="str">
        <f ca="1">IFERROR(+IF(BG$27=ProposalToGnatt[[#This Row],[Start Date]],Milestone_Marker,IF(AND(BG$27&gt;ProposalToGnatt[[#This Row],[Start Date]],BG$27&lt;ProposalToGnatt[[#This Row],[Start Date]]+ProposalToGnatt[[#This Row],[Days]]),$G$5,"")),"")</f>
        <v/>
      </c>
      <c r="BH50" s="36" t="str">
        <f ca="1">IFERROR(+IF(BH$27=ProposalToGnatt[[#This Row],[Start Date]],Milestone_Marker,IF(AND(BH$27&gt;ProposalToGnatt[[#This Row],[Start Date]],BH$27&lt;ProposalToGnatt[[#This Row],[Start Date]]+ProposalToGnatt[[#This Row],[Days]]),$G$5,"")),"")</f>
        <v/>
      </c>
      <c r="BI50" s="36" t="str">
        <f ca="1">IFERROR(+IF(BI$27=ProposalToGnatt[[#This Row],[Start Date]],Milestone_Marker,IF(AND(BI$27&gt;ProposalToGnatt[[#This Row],[Start Date]],BI$27&lt;ProposalToGnatt[[#This Row],[Start Date]]+ProposalToGnatt[[#This Row],[Days]]),$G$5,"")),"")</f>
        <v/>
      </c>
      <c r="BJ50" s="36" t="str">
        <f ca="1">IFERROR(+IF(BJ$27=ProposalToGnatt[[#This Row],[Start Date]],Milestone_Marker,IF(AND(BJ$27&gt;ProposalToGnatt[[#This Row],[Start Date]],BJ$27&lt;ProposalToGnatt[[#This Row],[Start Date]]+ProposalToGnatt[[#This Row],[Days]]),$G$5,"")),"")</f>
        <v/>
      </c>
      <c r="BK50" s="36" t="str">
        <f ca="1">IFERROR(+IF(BK$27=ProposalToGnatt[[#This Row],[Start Date]],Milestone_Marker,IF(AND(BK$27&gt;ProposalToGnatt[[#This Row],[Start Date]],BK$27&lt;ProposalToGnatt[[#This Row],[Start Date]]+ProposalToGnatt[[#This Row],[Days]]),$G$5,"")),"")</f>
        <v/>
      </c>
      <c r="BL50" s="36" t="str">
        <f ca="1">IFERROR(+IF(BL$27=ProposalToGnatt[[#This Row],[Start Date]],Milestone_Marker,IF(AND(BL$27&gt;ProposalToGnatt[[#This Row],[Start Date]],BL$27&lt;ProposalToGnatt[[#This Row],[Start Date]]+ProposalToGnatt[[#This Row],[Days]]),$G$5,"")),"")</f>
        <v/>
      </c>
      <c r="BM50" s="36" t="str">
        <f ca="1">IFERROR(+IF(BM$27=ProposalToGnatt[[#This Row],[Start Date]],Milestone_Marker,IF(AND(BM$27&gt;ProposalToGnatt[[#This Row],[Start Date]],BM$27&lt;ProposalToGnatt[[#This Row],[Start Date]]+ProposalToGnatt[[#This Row],[Days]]),$G$5,"")),"")</f>
        <v/>
      </c>
      <c r="BN50" s="36" t="str">
        <f ca="1">IFERROR(+IF(BN$27=ProposalToGnatt[[#This Row],[Start Date]],Milestone_Marker,IF(AND(BN$27&gt;ProposalToGnatt[[#This Row],[Start Date]],BN$27&lt;ProposalToGnatt[[#This Row],[Start Date]]+ProposalToGnatt[[#This Row],[Days]]),$G$5,"")),"")</f>
        <v/>
      </c>
      <c r="BO50" s="36" t="str">
        <f ca="1">IFERROR(+IF(BO$27=ProposalToGnatt[[#This Row],[Start Date]],Milestone_Marker,IF(AND(BO$27&gt;ProposalToGnatt[[#This Row],[Start Date]],BO$27&lt;ProposalToGnatt[[#This Row],[Start Date]]+ProposalToGnatt[[#This Row],[Days]]),$G$5,"")),"")</f>
        <v/>
      </c>
      <c r="BP50" s="36" t="str">
        <f ca="1">IFERROR(+IF(BP$27=ProposalToGnatt[[#This Row],[Start Date]],Milestone_Marker,IF(AND(BP$27&gt;ProposalToGnatt[[#This Row],[Start Date]],BP$27&lt;ProposalToGnatt[[#This Row],[Start Date]]+ProposalToGnatt[[#This Row],[Days]]),$G$5,"")),"")</f>
        <v/>
      </c>
      <c r="BQ50" s="36" t="str">
        <f ca="1">IFERROR(+IF(BQ$27=ProposalToGnatt[[#This Row],[Start Date]],Milestone_Marker,IF(AND(BQ$27&gt;ProposalToGnatt[[#This Row],[Start Date]],BQ$27&lt;ProposalToGnatt[[#This Row],[Start Date]]+ProposalToGnatt[[#This Row],[Days]]),$G$5,"")),"")</f>
        <v/>
      </c>
      <c r="BR50" s="36" t="str">
        <f ca="1">IFERROR(+IF(BR$27=ProposalToGnatt[[#This Row],[Start Date]],Milestone_Marker,IF(AND(BR$27&gt;ProposalToGnatt[[#This Row],[Start Date]],BR$27&lt;ProposalToGnatt[[#This Row],[Start Date]]+ProposalToGnatt[[#This Row],[Days]]),$G$5,"")),"")</f>
        <v/>
      </c>
      <c r="BS50" s="36" t="str">
        <f ca="1">IFERROR(+IF(BS$27=ProposalToGnatt[[#This Row],[Start Date]],Milestone_Marker,IF(AND(BS$27&gt;ProposalToGnatt[[#This Row],[Start Date]],BS$27&lt;ProposalToGnatt[[#This Row],[Start Date]]+ProposalToGnatt[[#This Row],[Days]]),$G$5,"")),"")</f>
        <v/>
      </c>
      <c r="BT50" s="36" t="str">
        <f ca="1">IFERROR(+IF(BT$27=ProposalToGnatt[[#This Row],[Start Date]],Milestone_Marker,IF(AND(BT$27&gt;ProposalToGnatt[[#This Row],[Start Date]],BT$27&lt;ProposalToGnatt[[#This Row],[Start Date]]+ProposalToGnatt[[#This Row],[Days]]),$G$5,"")),"")</f>
        <v/>
      </c>
      <c r="BU50" s="36" t="str">
        <f ca="1">IFERROR(+IF(BU$27=ProposalToGnatt[[#This Row],[Start Date]],Milestone_Marker,IF(AND(BU$27&gt;ProposalToGnatt[[#This Row],[Start Date]],BU$27&lt;ProposalToGnatt[[#This Row],[Start Date]]+ProposalToGnatt[[#This Row],[Days]]),$G$5,"")),"")</f>
        <v/>
      </c>
      <c r="BV50" s="36" t="str">
        <f ca="1">IFERROR(+IF(BV$27=ProposalToGnatt[[#This Row],[Start Date]],Milestone_Marker,IF(AND(BV$27&gt;ProposalToGnatt[[#This Row],[Start Date]],BV$27&lt;ProposalToGnatt[[#This Row],[Start Date]]+ProposalToGnatt[[#This Row],[Days]]),$G$5,"")),"")</f>
        <v/>
      </c>
      <c r="BW50" s="36" t="str">
        <f ca="1">IFERROR(+IF(BW$27=ProposalToGnatt[[#This Row],[Start Date]],Milestone_Marker,IF(AND(BW$27&gt;ProposalToGnatt[[#This Row],[Start Date]],BW$27&lt;ProposalToGnatt[[#This Row],[Start Date]]+ProposalToGnatt[[#This Row],[Days]]),$G$5,"")),"")</f>
        <v/>
      </c>
      <c r="BX50" s="36" t="str">
        <f ca="1">IFERROR(+IF(BX$27=ProposalToGnatt[[#This Row],[Start Date]],Milestone_Marker,IF(AND(BX$27&gt;ProposalToGnatt[[#This Row],[Start Date]],BX$27&lt;ProposalToGnatt[[#This Row],[Start Date]]+ProposalToGnatt[[#This Row],[Days]]),$G$5,"")),"")</f>
        <v/>
      </c>
      <c r="BY50" s="36" t="str">
        <f ca="1">IFERROR(+IF(BY$27=ProposalToGnatt[[#This Row],[Start Date]],Milestone_Marker,IF(AND(BY$27&gt;ProposalToGnatt[[#This Row],[Start Date]],BY$27&lt;ProposalToGnatt[[#This Row],[Start Date]]+ProposalToGnatt[[#This Row],[Days]]),$G$5,"")),"")</f>
        <v/>
      </c>
      <c r="BZ50" s="36" t="str">
        <f ca="1">IFERROR(+IF(BZ$27=ProposalToGnatt[[#This Row],[Start Date]],Milestone_Marker,IF(AND(BZ$27&gt;ProposalToGnatt[[#This Row],[Start Date]],BZ$27&lt;ProposalToGnatt[[#This Row],[Start Date]]+ProposalToGnatt[[#This Row],[Days]]),$G$5,"")),"")</f>
        <v/>
      </c>
      <c r="CA50" s="36" t="str">
        <f ca="1">IFERROR(+IF(CA$27=ProposalToGnatt[[#This Row],[Start Date]],Milestone_Marker,IF(AND(CA$27&gt;ProposalToGnatt[[#This Row],[Start Date]],CA$27&lt;ProposalToGnatt[[#This Row],[Start Date]]+ProposalToGnatt[[#This Row],[Days]]),$G$5,"")),"")</f>
        <v/>
      </c>
      <c r="CB50" s="36" t="str">
        <f ca="1">IFERROR(+IF(CB$27=ProposalToGnatt[[#This Row],[Start Date]],Milestone_Marker,IF(AND(CB$27&gt;ProposalToGnatt[[#This Row],[Start Date]],CB$27&lt;ProposalToGnatt[[#This Row],[Start Date]]+ProposalToGnatt[[#This Row],[Days]]),$G$5,"")),"")</f>
        <v/>
      </c>
      <c r="CC50" s="36" t="str">
        <f ca="1">IFERROR(+IF(CC$27=ProposalToGnatt[[#This Row],[Start Date]],Milestone_Marker,IF(AND(CC$27&gt;ProposalToGnatt[[#This Row],[Start Date]],CC$27&lt;ProposalToGnatt[[#This Row],[Start Date]]+ProposalToGnatt[[#This Row],[Days]]),$G$5,"")),"")</f>
        <v/>
      </c>
      <c r="CD50" s="36" t="str">
        <f ca="1">IFERROR(+IF(CD$27=ProposalToGnatt[[#This Row],[Start Date]],Milestone_Marker,IF(AND(CD$27&gt;ProposalToGnatt[[#This Row],[Start Date]],CD$27&lt;ProposalToGnatt[[#This Row],[Start Date]]+ProposalToGnatt[[#This Row],[Days]]),$G$5,"")),"")</f>
        <v/>
      </c>
      <c r="CE50" s="36" t="str">
        <f ca="1">IFERROR(+IF(CE$27=ProposalToGnatt[[#This Row],[Start Date]],Milestone_Marker,IF(AND(CE$27&gt;ProposalToGnatt[[#This Row],[Start Date]],CE$27&lt;ProposalToGnatt[[#This Row],[Start Date]]+ProposalToGnatt[[#This Row],[Days]]),$G$5,"")),"")</f>
        <v/>
      </c>
      <c r="CF50" s="36" t="str">
        <f ca="1">IFERROR(+IF(CF$27=ProposalToGnatt[[#This Row],[Start Date]],Milestone_Marker,IF(AND(CF$27&gt;ProposalToGnatt[[#This Row],[Start Date]],CF$27&lt;ProposalToGnatt[[#This Row],[Start Date]]+ProposalToGnatt[[#This Row],[Days]]),$G$5,"")),"")</f>
        <v/>
      </c>
      <c r="CG50" s="36" t="str">
        <f ca="1">IFERROR(+IF(CG$27=ProposalToGnatt[[#This Row],[Start Date]],Milestone_Marker,IF(AND(CG$27&gt;ProposalToGnatt[[#This Row],[Start Date]],CG$27&lt;ProposalToGnatt[[#This Row],[Start Date]]+ProposalToGnatt[[#This Row],[Days]]),$G$5,"")),"")</f>
        <v/>
      </c>
      <c r="CH50" s="36" t="str">
        <f ca="1">IFERROR(+IF(CH$27=ProposalToGnatt[[#This Row],[Start Date]],Milestone_Marker,IF(AND(CH$27&gt;ProposalToGnatt[[#This Row],[Start Date]],CH$27&lt;ProposalToGnatt[[#This Row],[Start Date]]+ProposalToGnatt[[#This Row],[Days]]),$G$5,"")),"")</f>
        <v/>
      </c>
      <c r="CI50" s="36" t="str">
        <f ca="1">IFERROR(+IF(CI$27=ProposalToGnatt[[#This Row],[Start Date]],Milestone_Marker,IF(AND(CI$27&gt;ProposalToGnatt[[#This Row],[Start Date]],CI$27&lt;ProposalToGnatt[[#This Row],[Start Date]]+ProposalToGnatt[[#This Row],[Days]]),$G$5,"")),"")</f>
        <v/>
      </c>
      <c r="CJ50" s="36" t="str">
        <f ca="1">IFERROR(+IF(CJ$27=ProposalToGnatt[[#This Row],[Start Date]],Milestone_Marker,IF(AND(CJ$27&gt;ProposalToGnatt[[#This Row],[Start Date]],CJ$27&lt;ProposalToGnatt[[#This Row],[Start Date]]+ProposalToGnatt[[#This Row],[Days]]),$G$5,"")),"")</f>
        <v/>
      </c>
      <c r="CK50" s="36" t="str">
        <f ca="1">IFERROR(+IF(CK$27=ProposalToGnatt[[#This Row],[Start Date]],Milestone_Marker,IF(AND(CK$27&gt;ProposalToGnatt[[#This Row],[Start Date]],CK$27&lt;ProposalToGnatt[[#This Row],[Start Date]]+ProposalToGnatt[[#This Row],[Days]]),$G$5,"")),"")</f>
        <v/>
      </c>
      <c r="CL50" s="36" t="str">
        <f ca="1">IFERROR(+IF(CL$27=ProposalToGnatt[[#This Row],[Start Date]],Milestone_Marker,IF(AND(CL$27&gt;ProposalToGnatt[[#This Row],[Start Date]],CL$27&lt;ProposalToGnatt[[#This Row],[Start Date]]+ProposalToGnatt[[#This Row],[Days]]),$G$5,"")),"")</f>
        <v/>
      </c>
      <c r="CM50" s="36" t="str">
        <f ca="1">IFERROR(+IF(CM$27=ProposalToGnatt[[#This Row],[Start Date]],Milestone_Marker,IF(AND(CM$27&gt;ProposalToGnatt[[#This Row],[Start Date]],CM$27&lt;ProposalToGnatt[[#This Row],[Start Date]]+ProposalToGnatt[[#This Row],[Days]]),$G$5,"")),"")</f>
        <v/>
      </c>
      <c r="CN50" s="36" t="str">
        <f ca="1">IFERROR(+IF(CN$27=ProposalToGnatt[[#This Row],[Start Date]],Milestone_Marker,IF(AND(CN$27&gt;ProposalToGnatt[[#This Row],[Start Date]],CN$27&lt;ProposalToGnatt[[#This Row],[Start Date]]+ProposalToGnatt[[#This Row],[Days]]),$G$5,"")),"")</f>
        <v/>
      </c>
      <c r="CO50" s="36" t="str">
        <f ca="1">IFERROR(+IF(CO$27=ProposalToGnatt[[#This Row],[Start Date]],Milestone_Marker,IF(AND(CO$27&gt;ProposalToGnatt[[#This Row],[Start Date]],CO$27&lt;ProposalToGnatt[[#This Row],[Start Date]]+ProposalToGnatt[[#This Row],[Days]]),$G$5,"")),"")</f>
        <v/>
      </c>
      <c r="CP50" s="36" t="str">
        <f ca="1">IFERROR(+IF(CP$27=ProposalToGnatt[[#This Row],[Start Date]],Milestone_Marker,IF(AND(CP$27&gt;ProposalToGnatt[[#This Row],[Start Date]],CP$27&lt;ProposalToGnatt[[#This Row],[Start Date]]+ProposalToGnatt[[#This Row],[Days]]),$G$5,"")),"")</f>
        <v/>
      </c>
      <c r="CQ50" s="36" t="str">
        <f ca="1">IFERROR(+IF(CQ$27=ProposalToGnatt[[#This Row],[Start Date]],Milestone_Marker,IF(AND(CQ$27&gt;ProposalToGnatt[[#This Row],[Start Date]],CQ$27&lt;ProposalToGnatt[[#This Row],[Start Date]]+ProposalToGnatt[[#This Row],[Days]]),$G$5,"")),"")</f>
        <v/>
      </c>
      <c r="CR50" s="36" t="str">
        <f ca="1">IFERROR(+IF(CR$27=ProposalToGnatt[[#This Row],[Start Date]],Milestone_Marker,IF(AND(CR$27&gt;ProposalToGnatt[[#This Row],[Start Date]],CR$27&lt;ProposalToGnatt[[#This Row],[Start Date]]+ProposalToGnatt[[#This Row],[Days]]),$G$5,"")),"")</f>
        <v/>
      </c>
      <c r="CS50" s="36" t="str">
        <f ca="1">IFERROR(+IF(CS$27=ProposalToGnatt[[#This Row],[Start Date]],Milestone_Marker,IF(AND(CS$27&gt;ProposalToGnatt[[#This Row],[Start Date]],CS$27&lt;ProposalToGnatt[[#This Row],[Start Date]]+ProposalToGnatt[[#This Row],[Days]]),$G$5,"")),"")</f>
        <v/>
      </c>
      <c r="CT50" s="36" t="str">
        <f ca="1">IFERROR(+IF(CT$27=ProposalToGnatt[[#This Row],[Start Date]],Milestone_Marker,IF(AND(CT$27&gt;ProposalToGnatt[[#This Row],[Start Date]],CT$27&lt;ProposalToGnatt[[#This Row],[Start Date]]+ProposalToGnatt[[#This Row],[Days]]),$G$5,"")),"")</f>
        <v/>
      </c>
      <c r="CU50" s="36" t="str">
        <f ca="1">IFERROR(+IF(CU$27=ProposalToGnatt[[#This Row],[Start Date]],Milestone_Marker,IF(AND(CU$27&gt;ProposalToGnatt[[#This Row],[Start Date]],CU$27&lt;ProposalToGnatt[[#This Row],[Start Date]]+ProposalToGnatt[[#This Row],[Days]]),$G$5,"")),"")</f>
        <v/>
      </c>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row>
    <row r="51" spans="1:125" s="41" customFormat="1" ht="15" x14ac:dyDescent="0.25">
      <c r="A51"/>
      <c r="B51"/>
      <c r="C51"/>
      <c r="D51"/>
      <c r="E51"/>
      <c r="F51"/>
      <c r="G51" s="14"/>
      <c r="H51" s="14"/>
      <c r="I51"/>
      <c r="J51"/>
      <c r="K51" s="261"/>
      <c r="L51"/>
      <c r="M51" s="14"/>
      <c r="N51" s="309"/>
      <c r="O51" s="297"/>
      <c r="P51" s="36" t="str">
        <f ca="1">IFERROR(+IF(P$27=ProposalToGnatt[[#This Row],[Start Date]],Milestone_Marker,IF(AND(P$27&gt;ProposalToGnatt[[#This Row],[Start Date]],P$27&lt;ProposalToGnatt[[#This Row],[Start Date]]+ProposalToGnatt[[#This Row],[Days]]),$G$5,"")),"")</f>
        <v/>
      </c>
      <c r="Q51" s="36" t="str">
        <f ca="1">IFERROR(+IF(Q$27=ProposalToGnatt[[#This Row],[Start Date]],Milestone_Marker,IF(AND(Q$27&gt;ProposalToGnatt[[#This Row],[Start Date]],Q$27&lt;ProposalToGnatt[[#This Row],[Start Date]]+ProposalToGnatt[[#This Row],[Days]]),$G$5,"")),"")</f>
        <v/>
      </c>
      <c r="R51" s="36" t="str">
        <f ca="1">IFERROR(+IF(R$27=ProposalToGnatt[[#This Row],[Start Date]],Milestone_Marker,IF(AND(R$27&gt;ProposalToGnatt[[#This Row],[Start Date]],R$27&lt;ProposalToGnatt[[#This Row],[Start Date]]+ProposalToGnatt[[#This Row],[Days]]),$G$5,"")),"")</f>
        <v/>
      </c>
      <c r="S51" s="36" t="str">
        <f ca="1">IFERROR(+IF(S$27=ProposalToGnatt[[#This Row],[Start Date]],Milestone_Marker,IF(AND(S$27&gt;ProposalToGnatt[[#This Row],[Start Date]],S$27&lt;ProposalToGnatt[[#This Row],[Start Date]]+ProposalToGnatt[[#This Row],[Days]]),$G$5,"")),"")</f>
        <v/>
      </c>
      <c r="T51" s="36" t="str">
        <f ca="1">IFERROR(+IF(T$27=ProposalToGnatt[[#This Row],[Start Date]],Milestone_Marker,IF(AND(T$27&gt;ProposalToGnatt[[#This Row],[Start Date]],T$27&lt;ProposalToGnatt[[#This Row],[Start Date]]+ProposalToGnatt[[#This Row],[Days]]),$G$5,"")),"")</f>
        <v/>
      </c>
      <c r="U51" s="36" t="str">
        <f ca="1">IFERROR(+IF(U$27=ProposalToGnatt[[#This Row],[Start Date]],Milestone_Marker,IF(AND(U$27&gt;ProposalToGnatt[[#This Row],[Start Date]],U$27&lt;ProposalToGnatt[[#This Row],[Start Date]]+ProposalToGnatt[[#This Row],[Days]]),$G$5,"")),"")</f>
        <v/>
      </c>
      <c r="V51" s="36" t="str">
        <f ca="1">IFERROR(+IF(V$27=ProposalToGnatt[[#This Row],[Start Date]],Milestone_Marker,IF(AND(V$27&gt;ProposalToGnatt[[#This Row],[Start Date]],V$27&lt;ProposalToGnatt[[#This Row],[Start Date]]+ProposalToGnatt[[#This Row],[Days]]),$G$5,"")),"")</f>
        <v/>
      </c>
      <c r="W51" s="36" t="str">
        <f ca="1">IFERROR(+IF(W$27=ProposalToGnatt[[#This Row],[Start Date]],Milestone_Marker,IF(AND(W$27&gt;ProposalToGnatt[[#This Row],[Start Date]],W$27&lt;ProposalToGnatt[[#This Row],[Start Date]]+ProposalToGnatt[[#This Row],[Days]]),$G$5,"")),"")</f>
        <v/>
      </c>
      <c r="X51" s="36" t="str">
        <f ca="1">IFERROR(+IF(X$27=ProposalToGnatt[[#This Row],[Start Date]],Milestone_Marker,IF(AND(X$27&gt;ProposalToGnatt[[#This Row],[Start Date]],X$27&lt;ProposalToGnatt[[#This Row],[Start Date]]+ProposalToGnatt[[#This Row],[Days]]),$G$5,"")),"")</f>
        <v/>
      </c>
      <c r="Y51" s="36" t="str">
        <f ca="1">IFERROR(+IF(Y$27=ProposalToGnatt[[#This Row],[Start Date]],Milestone_Marker,IF(AND(Y$27&gt;ProposalToGnatt[[#This Row],[Start Date]],Y$27&lt;ProposalToGnatt[[#This Row],[Start Date]]+ProposalToGnatt[[#This Row],[Days]]),$G$5,"")),"")</f>
        <v/>
      </c>
      <c r="Z51" s="36" t="str">
        <f ca="1">IFERROR(+IF(Z$27=ProposalToGnatt[[#This Row],[Start Date]],Milestone_Marker,IF(AND(Z$27&gt;ProposalToGnatt[[#This Row],[Start Date]],Z$27&lt;ProposalToGnatt[[#This Row],[Start Date]]+ProposalToGnatt[[#This Row],[Days]]),$G$5,"")),"")</f>
        <v/>
      </c>
      <c r="AA51" s="36" t="str">
        <f ca="1">IFERROR(+IF(AA$27=ProposalToGnatt[[#This Row],[Start Date]],Milestone_Marker,IF(AND(AA$27&gt;ProposalToGnatt[[#This Row],[Start Date]],AA$27&lt;ProposalToGnatt[[#This Row],[Start Date]]+ProposalToGnatt[[#This Row],[Days]]),$G$5,"")),"")</f>
        <v/>
      </c>
      <c r="AB51" s="36" t="str">
        <f ca="1">IFERROR(+IF(AB$27=ProposalToGnatt[[#This Row],[Start Date]],Milestone_Marker,IF(AND(AB$27&gt;ProposalToGnatt[[#This Row],[Start Date]],AB$27&lt;ProposalToGnatt[[#This Row],[Start Date]]+ProposalToGnatt[[#This Row],[Days]]),$G$5,"")),"")</f>
        <v/>
      </c>
      <c r="AC51" s="36" t="str">
        <f ca="1">IFERROR(+IF(AC$27=ProposalToGnatt[[#This Row],[Start Date]],Milestone_Marker,IF(AND(AC$27&gt;ProposalToGnatt[[#This Row],[Start Date]],AC$27&lt;ProposalToGnatt[[#This Row],[Start Date]]+ProposalToGnatt[[#This Row],[Days]]),$G$5,"")),"")</f>
        <v/>
      </c>
      <c r="AD51" s="36" t="str">
        <f ca="1">IFERROR(+IF(AD$27=ProposalToGnatt[[#This Row],[Start Date]],Milestone_Marker,IF(AND(AD$27&gt;ProposalToGnatt[[#This Row],[Start Date]],AD$27&lt;ProposalToGnatt[[#This Row],[Start Date]]+ProposalToGnatt[[#This Row],[Days]]),$G$5,"")),"")</f>
        <v/>
      </c>
      <c r="AE51" s="36" t="str">
        <f ca="1">IFERROR(+IF(AE$27=ProposalToGnatt[[#This Row],[Start Date]],Milestone_Marker,IF(AND(AE$27&gt;ProposalToGnatt[[#This Row],[Start Date]],AE$27&lt;ProposalToGnatt[[#This Row],[Start Date]]+ProposalToGnatt[[#This Row],[Days]]),$G$5,"")),"")</f>
        <v/>
      </c>
      <c r="AF51" s="36" t="str">
        <f ca="1">IFERROR(+IF(AF$27=ProposalToGnatt[[#This Row],[Start Date]],Milestone_Marker,IF(AND(AF$27&gt;ProposalToGnatt[[#This Row],[Start Date]],AF$27&lt;ProposalToGnatt[[#This Row],[Start Date]]+ProposalToGnatt[[#This Row],[Days]]),$G$5,"")),"")</f>
        <v/>
      </c>
      <c r="AG51" s="36" t="str">
        <f ca="1">IFERROR(+IF(AG$27=ProposalToGnatt[[#This Row],[Start Date]],Milestone_Marker,IF(AND(AG$27&gt;ProposalToGnatt[[#This Row],[Start Date]],AG$27&lt;ProposalToGnatt[[#This Row],[Start Date]]+ProposalToGnatt[[#This Row],[Days]]),$G$5,"")),"")</f>
        <v/>
      </c>
      <c r="AH51" s="36" t="str">
        <f ca="1">IFERROR(+IF(AH$27=ProposalToGnatt[[#This Row],[Start Date]],Milestone_Marker,IF(AND(AH$27&gt;ProposalToGnatt[[#This Row],[Start Date]],AH$27&lt;ProposalToGnatt[[#This Row],[Start Date]]+ProposalToGnatt[[#This Row],[Days]]),$G$5,"")),"")</f>
        <v/>
      </c>
      <c r="AI51" s="36" t="str">
        <f ca="1">IFERROR(+IF(AI$27=ProposalToGnatt[[#This Row],[Start Date]],Milestone_Marker,IF(AND(AI$27&gt;ProposalToGnatt[[#This Row],[Start Date]],AI$27&lt;ProposalToGnatt[[#This Row],[Start Date]]+ProposalToGnatt[[#This Row],[Days]]),$G$5,"")),"")</f>
        <v/>
      </c>
      <c r="AJ51" s="36" t="str">
        <f ca="1">IFERROR(+IF(AJ$27=ProposalToGnatt[[#This Row],[Start Date]],Milestone_Marker,IF(AND(AJ$27&gt;ProposalToGnatt[[#This Row],[Start Date]],AJ$27&lt;ProposalToGnatt[[#This Row],[Start Date]]+ProposalToGnatt[[#This Row],[Days]]),$G$5,"")),"")</f>
        <v/>
      </c>
      <c r="AK51" s="36" t="str">
        <f ca="1">IFERROR(+IF(AK$27=ProposalToGnatt[[#This Row],[Start Date]],Milestone_Marker,IF(AND(AK$27&gt;ProposalToGnatt[[#This Row],[Start Date]],AK$27&lt;ProposalToGnatt[[#This Row],[Start Date]]+ProposalToGnatt[[#This Row],[Days]]),$G$5,"")),"")</f>
        <v/>
      </c>
      <c r="AL51" s="36" t="str">
        <f ca="1">IFERROR(+IF(AL$27=ProposalToGnatt[[#This Row],[Start Date]],Milestone_Marker,IF(AND(AL$27&gt;ProposalToGnatt[[#This Row],[Start Date]],AL$27&lt;ProposalToGnatt[[#This Row],[Start Date]]+ProposalToGnatt[[#This Row],[Days]]),$G$5,"")),"")</f>
        <v/>
      </c>
      <c r="AM51" s="36" t="str">
        <f ca="1">IFERROR(+IF(AM$27=ProposalToGnatt[[#This Row],[Start Date]],Milestone_Marker,IF(AND(AM$27&gt;ProposalToGnatt[[#This Row],[Start Date]],AM$27&lt;ProposalToGnatt[[#This Row],[Start Date]]+ProposalToGnatt[[#This Row],[Days]]),$G$5,"")),"")</f>
        <v/>
      </c>
      <c r="AN51" s="36" t="str">
        <f ca="1">IFERROR(+IF(AN$27=ProposalToGnatt[[#This Row],[Start Date]],Milestone_Marker,IF(AND(AN$27&gt;ProposalToGnatt[[#This Row],[Start Date]],AN$27&lt;ProposalToGnatt[[#This Row],[Start Date]]+ProposalToGnatt[[#This Row],[Days]]),$G$5,"")),"")</f>
        <v/>
      </c>
      <c r="AO51" s="36" t="str">
        <f ca="1">IFERROR(+IF(AO$27=ProposalToGnatt[[#This Row],[Start Date]],Milestone_Marker,IF(AND(AO$27&gt;ProposalToGnatt[[#This Row],[Start Date]],AO$27&lt;ProposalToGnatt[[#This Row],[Start Date]]+ProposalToGnatt[[#This Row],[Days]]),$G$5,"")),"")</f>
        <v/>
      </c>
      <c r="AP51" s="36" t="str">
        <f ca="1">IFERROR(+IF(AP$27=ProposalToGnatt[[#This Row],[Start Date]],Milestone_Marker,IF(AND(AP$27&gt;ProposalToGnatt[[#This Row],[Start Date]],AP$27&lt;ProposalToGnatt[[#This Row],[Start Date]]+ProposalToGnatt[[#This Row],[Days]]),$G$5,"")),"")</f>
        <v/>
      </c>
      <c r="AQ51" s="36" t="str">
        <f ca="1">IFERROR(+IF(AQ$27=ProposalToGnatt[[#This Row],[Start Date]],Milestone_Marker,IF(AND(AQ$27&gt;ProposalToGnatt[[#This Row],[Start Date]],AQ$27&lt;ProposalToGnatt[[#This Row],[Start Date]]+ProposalToGnatt[[#This Row],[Days]]),$G$5,"")),"")</f>
        <v/>
      </c>
      <c r="AR51" s="36" t="str">
        <f ca="1">IFERROR(+IF(AR$27=ProposalToGnatt[[#This Row],[Start Date]],Milestone_Marker,IF(AND(AR$27&gt;ProposalToGnatt[[#This Row],[Start Date]],AR$27&lt;ProposalToGnatt[[#This Row],[Start Date]]+ProposalToGnatt[[#This Row],[Days]]),$G$5,"")),"")</f>
        <v/>
      </c>
      <c r="AS51" s="36" t="str">
        <f ca="1">IFERROR(+IF(AS$27=ProposalToGnatt[[#This Row],[Start Date]],Milestone_Marker,IF(AND(AS$27&gt;ProposalToGnatt[[#This Row],[Start Date]],AS$27&lt;ProposalToGnatt[[#This Row],[Start Date]]+ProposalToGnatt[[#This Row],[Days]]),$G$5,"")),"")</f>
        <v/>
      </c>
      <c r="AT51" s="36" t="str">
        <f ca="1">IFERROR(+IF(AT$27=ProposalToGnatt[[#This Row],[Start Date]],Milestone_Marker,IF(AND(AT$27&gt;ProposalToGnatt[[#This Row],[Start Date]],AT$27&lt;ProposalToGnatt[[#This Row],[Start Date]]+ProposalToGnatt[[#This Row],[Days]]),$G$5,"")),"")</f>
        <v/>
      </c>
      <c r="AU51" s="36" t="str">
        <f ca="1">IFERROR(+IF(AU$27=ProposalToGnatt[[#This Row],[Start Date]],Milestone_Marker,IF(AND(AU$27&gt;ProposalToGnatt[[#This Row],[Start Date]],AU$27&lt;ProposalToGnatt[[#This Row],[Start Date]]+ProposalToGnatt[[#This Row],[Days]]),$G$5,"")),"")</f>
        <v/>
      </c>
      <c r="AV51" s="36" t="str">
        <f ca="1">IFERROR(+IF(AV$27=ProposalToGnatt[[#This Row],[Start Date]],Milestone_Marker,IF(AND(AV$27&gt;ProposalToGnatt[[#This Row],[Start Date]],AV$27&lt;ProposalToGnatt[[#This Row],[Start Date]]+ProposalToGnatt[[#This Row],[Days]]),$G$5,"")),"")</f>
        <v/>
      </c>
      <c r="AW51" s="36" t="str">
        <f ca="1">IFERROR(+IF(AW$27=ProposalToGnatt[[#This Row],[Start Date]],Milestone_Marker,IF(AND(AW$27&gt;ProposalToGnatt[[#This Row],[Start Date]],AW$27&lt;ProposalToGnatt[[#This Row],[Start Date]]+ProposalToGnatt[[#This Row],[Days]]),$G$5,"")),"")</f>
        <v/>
      </c>
      <c r="AX51" s="36" t="str">
        <f ca="1">IFERROR(+IF(AX$27=ProposalToGnatt[[#This Row],[Start Date]],Milestone_Marker,IF(AND(AX$27&gt;ProposalToGnatt[[#This Row],[Start Date]],AX$27&lt;ProposalToGnatt[[#This Row],[Start Date]]+ProposalToGnatt[[#This Row],[Days]]),$G$5,"")),"")</f>
        <v/>
      </c>
      <c r="AY51" s="36" t="str">
        <f ca="1">IFERROR(+IF(AY$27=ProposalToGnatt[[#This Row],[Start Date]],Milestone_Marker,IF(AND(AY$27&gt;ProposalToGnatt[[#This Row],[Start Date]],AY$27&lt;ProposalToGnatt[[#This Row],[Start Date]]+ProposalToGnatt[[#This Row],[Days]]),$G$5,"")),"")</f>
        <v/>
      </c>
      <c r="AZ51" s="36" t="str">
        <f ca="1">IFERROR(+IF(AZ$27=ProposalToGnatt[[#This Row],[Start Date]],Milestone_Marker,IF(AND(AZ$27&gt;ProposalToGnatt[[#This Row],[Start Date]],AZ$27&lt;ProposalToGnatt[[#This Row],[Start Date]]+ProposalToGnatt[[#This Row],[Days]]),$G$5,"")),"")</f>
        <v/>
      </c>
      <c r="BA51" s="36" t="str">
        <f ca="1">IFERROR(+IF(BA$27=ProposalToGnatt[[#This Row],[Start Date]],Milestone_Marker,IF(AND(BA$27&gt;ProposalToGnatt[[#This Row],[Start Date]],BA$27&lt;ProposalToGnatt[[#This Row],[Start Date]]+ProposalToGnatt[[#This Row],[Days]]),$G$5,"")),"")</f>
        <v/>
      </c>
      <c r="BB51" s="36" t="str">
        <f ca="1">IFERROR(+IF(BB$27=ProposalToGnatt[[#This Row],[Start Date]],Milestone_Marker,IF(AND(BB$27&gt;ProposalToGnatt[[#This Row],[Start Date]],BB$27&lt;ProposalToGnatt[[#This Row],[Start Date]]+ProposalToGnatt[[#This Row],[Days]]),$G$5,"")),"")</f>
        <v/>
      </c>
      <c r="BC51" s="36" t="str">
        <f ca="1">IFERROR(+IF(BC$27=ProposalToGnatt[[#This Row],[Start Date]],Milestone_Marker,IF(AND(BC$27&gt;ProposalToGnatt[[#This Row],[Start Date]],BC$27&lt;ProposalToGnatt[[#This Row],[Start Date]]+ProposalToGnatt[[#This Row],[Days]]),$G$5,"")),"")</f>
        <v/>
      </c>
      <c r="BD51" s="36" t="str">
        <f ca="1">IFERROR(+IF(BD$27=ProposalToGnatt[[#This Row],[Start Date]],Milestone_Marker,IF(AND(BD$27&gt;ProposalToGnatt[[#This Row],[Start Date]],BD$27&lt;ProposalToGnatt[[#This Row],[Start Date]]+ProposalToGnatt[[#This Row],[Days]]),$G$5,"")),"")</f>
        <v/>
      </c>
      <c r="BE51" s="36" t="str">
        <f ca="1">IFERROR(+IF(BE$27=ProposalToGnatt[[#This Row],[Start Date]],Milestone_Marker,IF(AND(BE$27&gt;ProposalToGnatt[[#This Row],[Start Date]],BE$27&lt;ProposalToGnatt[[#This Row],[Start Date]]+ProposalToGnatt[[#This Row],[Days]]),$G$5,"")),"")</f>
        <v/>
      </c>
      <c r="BF51" s="36" t="str">
        <f ca="1">IFERROR(+IF(BF$27=ProposalToGnatt[[#This Row],[Start Date]],Milestone_Marker,IF(AND(BF$27&gt;ProposalToGnatt[[#This Row],[Start Date]],BF$27&lt;ProposalToGnatt[[#This Row],[Start Date]]+ProposalToGnatt[[#This Row],[Days]]),$G$5,"")),"")</f>
        <v/>
      </c>
      <c r="BG51" s="36" t="str">
        <f ca="1">IFERROR(+IF(BG$27=ProposalToGnatt[[#This Row],[Start Date]],Milestone_Marker,IF(AND(BG$27&gt;ProposalToGnatt[[#This Row],[Start Date]],BG$27&lt;ProposalToGnatt[[#This Row],[Start Date]]+ProposalToGnatt[[#This Row],[Days]]),$G$5,"")),"")</f>
        <v/>
      </c>
      <c r="BH51" s="36" t="str">
        <f ca="1">IFERROR(+IF(BH$27=ProposalToGnatt[[#This Row],[Start Date]],Milestone_Marker,IF(AND(BH$27&gt;ProposalToGnatt[[#This Row],[Start Date]],BH$27&lt;ProposalToGnatt[[#This Row],[Start Date]]+ProposalToGnatt[[#This Row],[Days]]),$G$5,"")),"")</f>
        <v/>
      </c>
      <c r="BI51" s="36" t="str">
        <f ca="1">IFERROR(+IF(BI$27=ProposalToGnatt[[#This Row],[Start Date]],Milestone_Marker,IF(AND(BI$27&gt;ProposalToGnatt[[#This Row],[Start Date]],BI$27&lt;ProposalToGnatt[[#This Row],[Start Date]]+ProposalToGnatt[[#This Row],[Days]]),$G$5,"")),"")</f>
        <v/>
      </c>
      <c r="BJ51" s="36" t="str">
        <f ca="1">IFERROR(+IF(BJ$27=ProposalToGnatt[[#This Row],[Start Date]],Milestone_Marker,IF(AND(BJ$27&gt;ProposalToGnatt[[#This Row],[Start Date]],BJ$27&lt;ProposalToGnatt[[#This Row],[Start Date]]+ProposalToGnatt[[#This Row],[Days]]),$G$5,"")),"")</f>
        <v/>
      </c>
      <c r="BK51" s="36" t="str">
        <f ca="1">IFERROR(+IF(BK$27=ProposalToGnatt[[#This Row],[Start Date]],Milestone_Marker,IF(AND(BK$27&gt;ProposalToGnatt[[#This Row],[Start Date]],BK$27&lt;ProposalToGnatt[[#This Row],[Start Date]]+ProposalToGnatt[[#This Row],[Days]]),$G$5,"")),"")</f>
        <v/>
      </c>
      <c r="BL51" s="36" t="str">
        <f ca="1">IFERROR(+IF(BL$27=ProposalToGnatt[[#This Row],[Start Date]],Milestone_Marker,IF(AND(BL$27&gt;ProposalToGnatt[[#This Row],[Start Date]],BL$27&lt;ProposalToGnatt[[#This Row],[Start Date]]+ProposalToGnatt[[#This Row],[Days]]),$G$5,"")),"")</f>
        <v/>
      </c>
      <c r="BM51" s="36" t="str">
        <f ca="1">IFERROR(+IF(BM$27=ProposalToGnatt[[#This Row],[Start Date]],Milestone_Marker,IF(AND(BM$27&gt;ProposalToGnatt[[#This Row],[Start Date]],BM$27&lt;ProposalToGnatt[[#This Row],[Start Date]]+ProposalToGnatt[[#This Row],[Days]]),$G$5,"")),"")</f>
        <v/>
      </c>
      <c r="BN51" s="36" t="str">
        <f ca="1">IFERROR(+IF(BN$27=ProposalToGnatt[[#This Row],[Start Date]],Milestone_Marker,IF(AND(BN$27&gt;ProposalToGnatt[[#This Row],[Start Date]],BN$27&lt;ProposalToGnatt[[#This Row],[Start Date]]+ProposalToGnatt[[#This Row],[Days]]),$G$5,"")),"")</f>
        <v/>
      </c>
      <c r="BO51" s="36" t="str">
        <f ca="1">IFERROR(+IF(BO$27=ProposalToGnatt[[#This Row],[Start Date]],Milestone_Marker,IF(AND(BO$27&gt;ProposalToGnatt[[#This Row],[Start Date]],BO$27&lt;ProposalToGnatt[[#This Row],[Start Date]]+ProposalToGnatt[[#This Row],[Days]]),$G$5,"")),"")</f>
        <v/>
      </c>
      <c r="BP51" s="36" t="str">
        <f ca="1">IFERROR(+IF(BP$27=ProposalToGnatt[[#This Row],[Start Date]],Milestone_Marker,IF(AND(BP$27&gt;ProposalToGnatt[[#This Row],[Start Date]],BP$27&lt;ProposalToGnatt[[#This Row],[Start Date]]+ProposalToGnatt[[#This Row],[Days]]),$G$5,"")),"")</f>
        <v/>
      </c>
      <c r="BQ51" s="36" t="str">
        <f ca="1">IFERROR(+IF(BQ$27=ProposalToGnatt[[#This Row],[Start Date]],Milestone_Marker,IF(AND(BQ$27&gt;ProposalToGnatt[[#This Row],[Start Date]],BQ$27&lt;ProposalToGnatt[[#This Row],[Start Date]]+ProposalToGnatt[[#This Row],[Days]]),$G$5,"")),"")</f>
        <v/>
      </c>
      <c r="BR51" s="36" t="str">
        <f ca="1">IFERROR(+IF(BR$27=ProposalToGnatt[[#This Row],[Start Date]],Milestone_Marker,IF(AND(BR$27&gt;ProposalToGnatt[[#This Row],[Start Date]],BR$27&lt;ProposalToGnatt[[#This Row],[Start Date]]+ProposalToGnatt[[#This Row],[Days]]),$G$5,"")),"")</f>
        <v/>
      </c>
      <c r="BS51" s="36" t="str">
        <f ca="1">IFERROR(+IF(BS$27=ProposalToGnatt[[#This Row],[Start Date]],Milestone_Marker,IF(AND(BS$27&gt;ProposalToGnatt[[#This Row],[Start Date]],BS$27&lt;ProposalToGnatt[[#This Row],[Start Date]]+ProposalToGnatt[[#This Row],[Days]]),$G$5,"")),"")</f>
        <v/>
      </c>
      <c r="BT51" s="36" t="str">
        <f ca="1">IFERROR(+IF(BT$27=ProposalToGnatt[[#This Row],[Start Date]],Milestone_Marker,IF(AND(BT$27&gt;ProposalToGnatt[[#This Row],[Start Date]],BT$27&lt;ProposalToGnatt[[#This Row],[Start Date]]+ProposalToGnatt[[#This Row],[Days]]),$G$5,"")),"")</f>
        <v/>
      </c>
      <c r="BU51" s="36" t="str">
        <f ca="1">IFERROR(+IF(BU$27=ProposalToGnatt[[#This Row],[Start Date]],Milestone_Marker,IF(AND(BU$27&gt;ProposalToGnatt[[#This Row],[Start Date]],BU$27&lt;ProposalToGnatt[[#This Row],[Start Date]]+ProposalToGnatt[[#This Row],[Days]]),$G$5,"")),"")</f>
        <v/>
      </c>
      <c r="BV51" s="36" t="str">
        <f ca="1">IFERROR(+IF(BV$27=ProposalToGnatt[[#This Row],[Start Date]],Milestone_Marker,IF(AND(BV$27&gt;ProposalToGnatt[[#This Row],[Start Date]],BV$27&lt;ProposalToGnatt[[#This Row],[Start Date]]+ProposalToGnatt[[#This Row],[Days]]),$G$5,"")),"")</f>
        <v/>
      </c>
      <c r="BW51" s="36" t="str">
        <f ca="1">IFERROR(+IF(BW$27=ProposalToGnatt[[#This Row],[Start Date]],Milestone_Marker,IF(AND(BW$27&gt;ProposalToGnatt[[#This Row],[Start Date]],BW$27&lt;ProposalToGnatt[[#This Row],[Start Date]]+ProposalToGnatt[[#This Row],[Days]]),$G$5,"")),"")</f>
        <v/>
      </c>
      <c r="BX51" s="36" t="str">
        <f ca="1">IFERROR(+IF(BX$27=ProposalToGnatt[[#This Row],[Start Date]],Milestone_Marker,IF(AND(BX$27&gt;ProposalToGnatt[[#This Row],[Start Date]],BX$27&lt;ProposalToGnatt[[#This Row],[Start Date]]+ProposalToGnatt[[#This Row],[Days]]),$G$5,"")),"")</f>
        <v/>
      </c>
      <c r="BY51" s="36" t="str">
        <f ca="1">IFERROR(+IF(BY$27=ProposalToGnatt[[#This Row],[Start Date]],Milestone_Marker,IF(AND(BY$27&gt;ProposalToGnatt[[#This Row],[Start Date]],BY$27&lt;ProposalToGnatt[[#This Row],[Start Date]]+ProposalToGnatt[[#This Row],[Days]]),$G$5,"")),"")</f>
        <v/>
      </c>
      <c r="BZ51" s="36" t="str">
        <f ca="1">IFERROR(+IF(BZ$27=ProposalToGnatt[[#This Row],[Start Date]],Milestone_Marker,IF(AND(BZ$27&gt;ProposalToGnatt[[#This Row],[Start Date]],BZ$27&lt;ProposalToGnatt[[#This Row],[Start Date]]+ProposalToGnatt[[#This Row],[Days]]),$G$5,"")),"")</f>
        <v/>
      </c>
      <c r="CA51" s="36" t="str">
        <f ca="1">IFERROR(+IF(CA$27=ProposalToGnatt[[#This Row],[Start Date]],Milestone_Marker,IF(AND(CA$27&gt;ProposalToGnatt[[#This Row],[Start Date]],CA$27&lt;ProposalToGnatt[[#This Row],[Start Date]]+ProposalToGnatt[[#This Row],[Days]]),$G$5,"")),"")</f>
        <v/>
      </c>
      <c r="CB51" s="36" t="str">
        <f ca="1">IFERROR(+IF(CB$27=ProposalToGnatt[[#This Row],[Start Date]],Milestone_Marker,IF(AND(CB$27&gt;ProposalToGnatt[[#This Row],[Start Date]],CB$27&lt;ProposalToGnatt[[#This Row],[Start Date]]+ProposalToGnatt[[#This Row],[Days]]),$G$5,"")),"")</f>
        <v/>
      </c>
      <c r="CC51" s="36" t="str">
        <f ca="1">IFERROR(+IF(CC$27=ProposalToGnatt[[#This Row],[Start Date]],Milestone_Marker,IF(AND(CC$27&gt;ProposalToGnatt[[#This Row],[Start Date]],CC$27&lt;ProposalToGnatt[[#This Row],[Start Date]]+ProposalToGnatt[[#This Row],[Days]]),$G$5,"")),"")</f>
        <v/>
      </c>
      <c r="CD51" s="36" t="str">
        <f ca="1">IFERROR(+IF(CD$27=ProposalToGnatt[[#This Row],[Start Date]],Milestone_Marker,IF(AND(CD$27&gt;ProposalToGnatt[[#This Row],[Start Date]],CD$27&lt;ProposalToGnatt[[#This Row],[Start Date]]+ProposalToGnatt[[#This Row],[Days]]),$G$5,"")),"")</f>
        <v/>
      </c>
      <c r="CE51" s="36" t="str">
        <f ca="1">IFERROR(+IF(CE$27=ProposalToGnatt[[#This Row],[Start Date]],Milestone_Marker,IF(AND(CE$27&gt;ProposalToGnatt[[#This Row],[Start Date]],CE$27&lt;ProposalToGnatt[[#This Row],[Start Date]]+ProposalToGnatt[[#This Row],[Days]]),$G$5,"")),"")</f>
        <v/>
      </c>
      <c r="CF51" s="36" t="str">
        <f ca="1">IFERROR(+IF(CF$27=ProposalToGnatt[[#This Row],[Start Date]],Milestone_Marker,IF(AND(CF$27&gt;ProposalToGnatt[[#This Row],[Start Date]],CF$27&lt;ProposalToGnatt[[#This Row],[Start Date]]+ProposalToGnatt[[#This Row],[Days]]),$G$5,"")),"")</f>
        <v/>
      </c>
      <c r="CG51" s="36" t="str">
        <f ca="1">IFERROR(+IF(CG$27=ProposalToGnatt[[#This Row],[Start Date]],Milestone_Marker,IF(AND(CG$27&gt;ProposalToGnatt[[#This Row],[Start Date]],CG$27&lt;ProposalToGnatt[[#This Row],[Start Date]]+ProposalToGnatt[[#This Row],[Days]]),$G$5,"")),"")</f>
        <v/>
      </c>
      <c r="CH51" s="36" t="str">
        <f ca="1">IFERROR(+IF(CH$27=ProposalToGnatt[[#This Row],[Start Date]],Milestone_Marker,IF(AND(CH$27&gt;ProposalToGnatt[[#This Row],[Start Date]],CH$27&lt;ProposalToGnatt[[#This Row],[Start Date]]+ProposalToGnatt[[#This Row],[Days]]),$G$5,"")),"")</f>
        <v/>
      </c>
      <c r="CI51" s="36" t="str">
        <f ca="1">IFERROR(+IF(CI$27=ProposalToGnatt[[#This Row],[Start Date]],Milestone_Marker,IF(AND(CI$27&gt;ProposalToGnatt[[#This Row],[Start Date]],CI$27&lt;ProposalToGnatt[[#This Row],[Start Date]]+ProposalToGnatt[[#This Row],[Days]]),$G$5,"")),"")</f>
        <v/>
      </c>
      <c r="CJ51" s="36" t="str">
        <f ca="1">IFERROR(+IF(CJ$27=ProposalToGnatt[[#This Row],[Start Date]],Milestone_Marker,IF(AND(CJ$27&gt;ProposalToGnatt[[#This Row],[Start Date]],CJ$27&lt;ProposalToGnatt[[#This Row],[Start Date]]+ProposalToGnatt[[#This Row],[Days]]),$G$5,"")),"")</f>
        <v/>
      </c>
      <c r="CK51" s="36" t="str">
        <f ca="1">IFERROR(+IF(CK$27=ProposalToGnatt[[#This Row],[Start Date]],Milestone_Marker,IF(AND(CK$27&gt;ProposalToGnatt[[#This Row],[Start Date]],CK$27&lt;ProposalToGnatt[[#This Row],[Start Date]]+ProposalToGnatt[[#This Row],[Days]]),$G$5,"")),"")</f>
        <v/>
      </c>
      <c r="CL51" s="36" t="str">
        <f ca="1">IFERROR(+IF(CL$27=ProposalToGnatt[[#This Row],[Start Date]],Milestone_Marker,IF(AND(CL$27&gt;ProposalToGnatt[[#This Row],[Start Date]],CL$27&lt;ProposalToGnatt[[#This Row],[Start Date]]+ProposalToGnatt[[#This Row],[Days]]),$G$5,"")),"")</f>
        <v/>
      </c>
      <c r="CM51" s="36" t="str">
        <f ca="1">IFERROR(+IF(CM$27=ProposalToGnatt[[#This Row],[Start Date]],Milestone_Marker,IF(AND(CM$27&gt;ProposalToGnatt[[#This Row],[Start Date]],CM$27&lt;ProposalToGnatt[[#This Row],[Start Date]]+ProposalToGnatt[[#This Row],[Days]]),$G$5,"")),"")</f>
        <v/>
      </c>
      <c r="CN51" s="36" t="str">
        <f ca="1">IFERROR(+IF(CN$27=ProposalToGnatt[[#This Row],[Start Date]],Milestone_Marker,IF(AND(CN$27&gt;ProposalToGnatt[[#This Row],[Start Date]],CN$27&lt;ProposalToGnatt[[#This Row],[Start Date]]+ProposalToGnatt[[#This Row],[Days]]),$G$5,"")),"")</f>
        <v/>
      </c>
      <c r="CO51" s="36" t="str">
        <f ca="1">IFERROR(+IF(CO$27=ProposalToGnatt[[#This Row],[Start Date]],Milestone_Marker,IF(AND(CO$27&gt;ProposalToGnatt[[#This Row],[Start Date]],CO$27&lt;ProposalToGnatt[[#This Row],[Start Date]]+ProposalToGnatt[[#This Row],[Days]]),$G$5,"")),"")</f>
        <v/>
      </c>
      <c r="CP51" s="36" t="str">
        <f ca="1">IFERROR(+IF(CP$27=ProposalToGnatt[[#This Row],[Start Date]],Milestone_Marker,IF(AND(CP$27&gt;ProposalToGnatt[[#This Row],[Start Date]],CP$27&lt;ProposalToGnatt[[#This Row],[Start Date]]+ProposalToGnatt[[#This Row],[Days]]),$G$5,"")),"")</f>
        <v/>
      </c>
      <c r="CQ51" s="36" t="str">
        <f ca="1">IFERROR(+IF(CQ$27=ProposalToGnatt[[#This Row],[Start Date]],Milestone_Marker,IF(AND(CQ$27&gt;ProposalToGnatt[[#This Row],[Start Date]],CQ$27&lt;ProposalToGnatt[[#This Row],[Start Date]]+ProposalToGnatt[[#This Row],[Days]]),$G$5,"")),"")</f>
        <v/>
      </c>
      <c r="CR51" s="36" t="str">
        <f ca="1">IFERROR(+IF(CR$27=ProposalToGnatt[[#This Row],[Start Date]],Milestone_Marker,IF(AND(CR$27&gt;ProposalToGnatt[[#This Row],[Start Date]],CR$27&lt;ProposalToGnatt[[#This Row],[Start Date]]+ProposalToGnatt[[#This Row],[Days]]),$G$5,"")),"")</f>
        <v/>
      </c>
      <c r="CS51" s="36" t="str">
        <f ca="1">IFERROR(+IF(CS$27=ProposalToGnatt[[#This Row],[Start Date]],Milestone_Marker,IF(AND(CS$27&gt;ProposalToGnatt[[#This Row],[Start Date]],CS$27&lt;ProposalToGnatt[[#This Row],[Start Date]]+ProposalToGnatt[[#This Row],[Days]]),$G$5,"")),"")</f>
        <v/>
      </c>
      <c r="CT51" s="36" t="str">
        <f ca="1">IFERROR(+IF(CT$27=ProposalToGnatt[[#This Row],[Start Date]],Milestone_Marker,IF(AND(CT$27&gt;ProposalToGnatt[[#This Row],[Start Date]],CT$27&lt;ProposalToGnatt[[#This Row],[Start Date]]+ProposalToGnatt[[#This Row],[Days]]),$G$5,"")),"")</f>
        <v/>
      </c>
      <c r="CU51" s="36" t="str">
        <f ca="1">IFERROR(+IF(CU$27=ProposalToGnatt[[#This Row],[Start Date]],Milestone_Marker,IF(AND(CU$27&gt;ProposalToGnatt[[#This Row],[Start Date]],CU$27&lt;ProposalToGnatt[[#This Row],[Start Date]]+ProposalToGnatt[[#This Row],[Days]]),$G$5,"")),"")</f>
        <v/>
      </c>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row>
    <row r="52" spans="1:125" s="41" customFormat="1" ht="15" x14ac:dyDescent="0.25">
      <c r="A52"/>
      <c r="B52"/>
      <c r="C52"/>
      <c r="D52"/>
      <c r="E52"/>
      <c r="F52"/>
      <c r="G52" s="14"/>
      <c r="H52" s="14"/>
      <c r="I52"/>
      <c r="J52"/>
      <c r="K52" s="261"/>
      <c r="L52"/>
      <c r="M52" s="14"/>
      <c r="N52" s="309"/>
      <c r="O52" s="297"/>
      <c r="P52" s="36" t="str">
        <f ca="1">IFERROR(+IF(P$27=ProposalToGnatt[[#This Row],[Start Date]],Milestone_Marker,IF(AND(P$27&gt;ProposalToGnatt[[#This Row],[Start Date]],P$27&lt;ProposalToGnatt[[#This Row],[Start Date]]+ProposalToGnatt[[#This Row],[Days]]),$G$5,"")),"")</f>
        <v/>
      </c>
      <c r="Q52" s="36" t="str">
        <f ca="1">IFERROR(+IF(Q$27=ProposalToGnatt[[#This Row],[Start Date]],Milestone_Marker,IF(AND(Q$27&gt;ProposalToGnatt[[#This Row],[Start Date]],Q$27&lt;ProposalToGnatt[[#This Row],[Start Date]]+ProposalToGnatt[[#This Row],[Days]]),$G$5,"")),"")</f>
        <v/>
      </c>
      <c r="R52" s="36" t="str">
        <f ca="1">IFERROR(+IF(R$27=ProposalToGnatt[[#This Row],[Start Date]],Milestone_Marker,IF(AND(R$27&gt;ProposalToGnatt[[#This Row],[Start Date]],R$27&lt;ProposalToGnatt[[#This Row],[Start Date]]+ProposalToGnatt[[#This Row],[Days]]),$G$5,"")),"")</f>
        <v/>
      </c>
      <c r="S52" s="36" t="str">
        <f ca="1">IFERROR(+IF(S$27=ProposalToGnatt[[#This Row],[Start Date]],Milestone_Marker,IF(AND(S$27&gt;ProposalToGnatt[[#This Row],[Start Date]],S$27&lt;ProposalToGnatt[[#This Row],[Start Date]]+ProposalToGnatt[[#This Row],[Days]]),$G$5,"")),"")</f>
        <v/>
      </c>
      <c r="T52" s="36" t="str">
        <f ca="1">IFERROR(+IF(T$27=ProposalToGnatt[[#This Row],[Start Date]],Milestone_Marker,IF(AND(T$27&gt;ProposalToGnatt[[#This Row],[Start Date]],T$27&lt;ProposalToGnatt[[#This Row],[Start Date]]+ProposalToGnatt[[#This Row],[Days]]),$G$5,"")),"")</f>
        <v/>
      </c>
      <c r="U52" s="36" t="str">
        <f ca="1">IFERROR(+IF(U$27=ProposalToGnatt[[#This Row],[Start Date]],Milestone_Marker,IF(AND(U$27&gt;ProposalToGnatt[[#This Row],[Start Date]],U$27&lt;ProposalToGnatt[[#This Row],[Start Date]]+ProposalToGnatt[[#This Row],[Days]]),$G$5,"")),"")</f>
        <v/>
      </c>
      <c r="V52" s="36" t="str">
        <f ca="1">IFERROR(+IF(V$27=ProposalToGnatt[[#This Row],[Start Date]],Milestone_Marker,IF(AND(V$27&gt;ProposalToGnatt[[#This Row],[Start Date]],V$27&lt;ProposalToGnatt[[#This Row],[Start Date]]+ProposalToGnatt[[#This Row],[Days]]),$G$5,"")),"")</f>
        <v/>
      </c>
      <c r="W52" s="36" t="str">
        <f ca="1">IFERROR(+IF(W$27=ProposalToGnatt[[#This Row],[Start Date]],Milestone_Marker,IF(AND(W$27&gt;ProposalToGnatt[[#This Row],[Start Date]],W$27&lt;ProposalToGnatt[[#This Row],[Start Date]]+ProposalToGnatt[[#This Row],[Days]]),$G$5,"")),"")</f>
        <v/>
      </c>
      <c r="X52" s="36" t="str">
        <f ca="1">IFERROR(+IF(X$27=ProposalToGnatt[[#This Row],[Start Date]],Milestone_Marker,IF(AND(X$27&gt;ProposalToGnatt[[#This Row],[Start Date]],X$27&lt;ProposalToGnatt[[#This Row],[Start Date]]+ProposalToGnatt[[#This Row],[Days]]),$G$5,"")),"")</f>
        <v/>
      </c>
      <c r="Y52" s="36" t="str">
        <f ca="1">IFERROR(+IF(Y$27=ProposalToGnatt[[#This Row],[Start Date]],Milestone_Marker,IF(AND(Y$27&gt;ProposalToGnatt[[#This Row],[Start Date]],Y$27&lt;ProposalToGnatt[[#This Row],[Start Date]]+ProposalToGnatt[[#This Row],[Days]]),$G$5,"")),"")</f>
        <v/>
      </c>
      <c r="Z52" s="36" t="str">
        <f ca="1">IFERROR(+IF(Z$27=ProposalToGnatt[[#This Row],[Start Date]],Milestone_Marker,IF(AND(Z$27&gt;ProposalToGnatt[[#This Row],[Start Date]],Z$27&lt;ProposalToGnatt[[#This Row],[Start Date]]+ProposalToGnatt[[#This Row],[Days]]),$G$5,"")),"")</f>
        <v/>
      </c>
      <c r="AA52" s="36" t="str">
        <f ca="1">IFERROR(+IF(AA$27=ProposalToGnatt[[#This Row],[Start Date]],Milestone_Marker,IF(AND(AA$27&gt;ProposalToGnatt[[#This Row],[Start Date]],AA$27&lt;ProposalToGnatt[[#This Row],[Start Date]]+ProposalToGnatt[[#This Row],[Days]]),$G$5,"")),"")</f>
        <v/>
      </c>
      <c r="AB52" s="36" t="str">
        <f ca="1">IFERROR(+IF(AB$27=ProposalToGnatt[[#This Row],[Start Date]],Milestone_Marker,IF(AND(AB$27&gt;ProposalToGnatt[[#This Row],[Start Date]],AB$27&lt;ProposalToGnatt[[#This Row],[Start Date]]+ProposalToGnatt[[#This Row],[Days]]),$G$5,"")),"")</f>
        <v/>
      </c>
      <c r="AC52" s="36" t="str">
        <f ca="1">IFERROR(+IF(AC$27=ProposalToGnatt[[#This Row],[Start Date]],Milestone_Marker,IF(AND(AC$27&gt;ProposalToGnatt[[#This Row],[Start Date]],AC$27&lt;ProposalToGnatt[[#This Row],[Start Date]]+ProposalToGnatt[[#This Row],[Days]]),$G$5,"")),"")</f>
        <v/>
      </c>
      <c r="AD52" s="36" t="str">
        <f ca="1">IFERROR(+IF(AD$27=ProposalToGnatt[[#This Row],[Start Date]],Milestone_Marker,IF(AND(AD$27&gt;ProposalToGnatt[[#This Row],[Start Date]],AD$27&lt;ProposalToGnatt[[#This Row],[Start Date]]+ProposalToGnatt[[#This Row],[Days]]),$G$5,"")),"")</f>
        <v/>
      </c>
      <c r="AE52" s="36" t="str">
        <f ca="1">IFERROR(+IF(AE$27=ProposalToGnatt[[#This Row],[Start Date]],Milestone_Marker,IF(AND(AE$27&gt;ProposalToGnatt[[#This Row],[Start Date]],AE$27&lt;ProposalToGnatt[[#This Row],[Start Date]]+ProposalToGnatt[[#This Row],[Days]]),$G$5,"")),"")</f>
        <v/>
      </c>
      <c r="AF52" s="36" t="str">
        <f ca="1">IFERROR(+IF(AF$27=ProposalToGnatt[[#This Row],[Start Date]],Milestone_Marker,IF(AND(AF$27&gt;ProposalToGnatt[[#This Row],[Start Date]],AF$27&lt;ProposalToGnatt[[#This Row],[Start Date]]+ProposalToGnatt[[#This Row],[Days]]),$G$5,"")),"")</f>
        <v/>
      </c>
      <c r="AG52" s="36" t="str">
        <f ca="1">IFERROR(+IF(AG$27=ProposalToGnatt[[#This Row],[Start Date]],Milestone_Marker,IF(AND(AG$27&gt;ProposalToGnatt[[#This Row],[Start Date]],AG$27&lt;ProposalToGnatt[[#This Row],[Start Date]]+ProposalToGnatt[[#This Row],[Days]]),$G$5,"")),"")</f>
        <v/>
      </c>
      <c r="AH52" s="36" t="str">
        <f ca="1">IFERROR(+IF(AH$27=ProposalToGnatt[[#This Row],[Start Date]],Milestone_Marker,IF(AND(AH$27&gt;ProposalToGnatt[[#This Row],[Start Date]],AH$27&lt;ProposalToGnatt[[#This Row],[Start Date]]+ProposalToGnatt[[#This Row],[Days]]),$G$5,"")),"")</f>
        <v/>
      </c>
      <c r="AI52" s="36" t="str">
        <f ca="1">IFERROR(+IF(AI$27=ProposalToGnatt[[#This Row],[Start Date]],Milestone_Marker,IF(AND(AI$27&gt;ProposalToGnatt[[#This Row],[Start Date]],AI$27&lt;ProposalToGnatt[[#This Row],[Start Date]]+ProposalToGnatt[[#This Row],[Days]]),$G$5,"")),"")</f>
        <v/>
      </c>
      <c r="AJ52" s="36" t="str">
        <f ca="1">IFERROR(+IF(AJ$27=ProposalToGnatt[[#This Row],[Start Date]],Milestone_Marker,IF(AND(AJ$27&gt;ProposalToGnatt[[#This Row],[Start Date]],AJ$27&lt;ProposalToGnatt[[#This Row],[Start Date]]+ProposalToGnatt[[#This Row],[Days]]),$G$5,"")),"")</f>
        <v/>
      </c>
      <c r="AK52" s="36" t="str">
        <f ca="1">IFERROR(+IF(AK$27=ProposalToGnatt[[#This Row],[Start Date]],Milestone_Marker,IF(AND(AK$27&gt;ProposalToGnatt[[#This Row],[Start Date]],AK$27&lt;ProposalToGnatt[[#This Row],[Start Date]]+ProposalToGnatt[[#This Row],[Days]]),$G$5,"")),"")</f>
        <v/>
      </c>
      <c r="AL52" s="36" t="str">
        <f ca="1">IFERROR(+IF(AL$27=ProposalToGnatt[[#This Row],[Start Date]],Milestone_Marker,IF(AND(AL$27&gt;ProposalToGnatt[[#This Row],[Start Date]],AL$27&lt;ProposalToGnatt[[#This Row],[Start Date]]+ProposalToGnatt[[#This Row],[Days]]),$G$5,"")),"")</f>
        <v/>
      </c>
      <c r="AM52" s="36" t="str">
        <f ca="1">IFERROR(+IF(AM$27=ProposalToGnatt[[#This Row],[Start Date]],Milestone_Marker,IF(AND(AM$27&gt;ProposalToGnatt[[#This Row],[Start Date]],AM$27&lt;ProposalToGnatt[[#This Row],[Start Date]]+ProposalToGnatt[[#This Row],[Days]]),$G$5,"")),"")</f>
        <v/>
      </c>
      <c r="AN52" s="36" t="str">
        <f ca="1">IFERROR(+IF(AN$27=ProposalToGnatt[[#This Row],[Start Date]],Milestone_Marker,IF(AND(AN$27&gt;ProposalToGnatt[[#This Row],[Start Date]],AN$27&lt;ProposalToGnatt[[#This Row],[Start Date]]+ProposalToGnatt[[#This Row],[Days]]),$G$5,"")),"")</f>
        <v/>
      </c>
      <c r="AO52" s="36" t="str">
        <f ca="1">IFERROR(+IF(AO$27=ProposalToGnatt[[#This Row],[Start Date]],Milestone_Marker,IF(AND(AO$27&gt;ProposalToGnatt[[#This Row],[Start Date]],AO$27&lt;ProposalToGnatt[[#This Row],[Start Date]]+ProposalToGnatt[[#This Row],[Days]]),$G$5,"")),"")</f>
        <v/>
      </c>
      <c r="AP52" s="36" t="str">
        <f ca="1">IFERROR(+IF(AP$27=ProposalToGnatt[[#This Row],[Start Date]],Milestone_Marker,IF(AND(AP$27&gt;ProposalToGnatt[[#This Row],[Start Date]],AP$27&lt;ProposalToGnatt[[#This Row],[Start Date]]+ProposalToGnatt[[#This Row],[Days]]),$G$5,"")),"")</f>
        <v/>
      </c>
      <c r="AQ52" s="36" t="str">
        <f ca="1">IFERROR(+IF(AQ$27=ProposalToGnatt[[#This Row],[Start Date]],Milestone_Marker,IF(AND(AQ$27&gt;ProposalToGnatt[[#This Row],[Start Date]],AQ$27&lt;ProposalToGnatt[[#This Row],[Start Date]]+ProposalToGnatt[[#This Row],[Days]]),$G$5,"")),"")</f>
        <v/>
      </c>
      <c r="AR52" s="36" t="str">
        <f ca="1">IFERROR(+IF(AR$27=ProposalToGnatt[[#This Row],[Start Date]],Milestone_Marker,IF(AND(AR$27&gt;ProposalToGnatt[[#This Row],[Start Date]],AR$27&lt;ProposalToGnatt[[#This Row],[Start Date]]+ProposalToGnatt[[#This Row],[Days]]),$G$5,"")),"")</f>
        <v/>
      </c>
      <c r="AS52" s="36" t="str">
        <f ca="1">IFERROR(+IF(AS$27=ProposalToGnatt[[#This Row],[Start Date]],Milestone_Marker,IF(AND(AS$27&gt;ProposalToGnatt[[#This Row],[Start Date]],AS$27&lt;ProposalToGnatt[[#This Row],[Start Date]]+ProposalToGnatt[[#This Row],[Days]]),$G$5,"")),"")</f>
        <v/>
      </c>
      <c r="AT52" s="36" t="str">
        <f ca="1">IFERROR(+IF(AT$27=ProposalToGnatt[[#This Row],[Start Date]],Milestone_Marker,IF(AND(AT$27&gt;ProposalToGnatt[[#This Row],[Start Date]],AT$27&lt;ProposalToGnatt[[#This Row],[Start Date]]+ProposalToGnatt[[#This Row],[Days]]),$G$5,"")),"")</f>
        <v/>
      </c>
      <c r="AU52" s="36" t="str">
        <f ca="1">IFERROR(+IF(AU$27=ProposalToGnatt[[#This Row],[Start Date]],Milestone_Marker,IF(AND(AU$27&gt;ProposalToGnatt[[#This Row],[Start Date]],AU$27&lt;ProposalToGnatt[[#This Row],[Start Date]]+ProposalToGnatt[[#This Row],[Days]]),$G$5,"")),"")</f>
        <v/>
      </c>
      <c r="AV52" s="36" t="str">
        <f ca="1">IFERROR(+IF(AV$27=ProposalToGnatt[[#This Row],[Start Date]],Milestone_Marker,IF(AND(AV$27&gt;ProposalToGnatt[[#This Row],[Start Date]],AV$27&lt;ProposalToGnatt[[#This Row],[Start Date]]+ProposalToGnatt[[#This Row],[Days]]),$G$5,"")),"")</f>
        <v/>
      </c>
      <c r="AW52" s="36" t="str">
        <f ca="1">IFERROR(+IF(AW$27=ProposalToGnatt[[#This Row],[Start Date]],Milestone_Marker,IF(AND(AW$27&gt;ProposalToGnatt[[#This Row],[Start Date]],AW$27&lt;ProposalToGnatt[[#This Row],[Start Date]]+ProposalToGnatt[[#This Row],[Days]]),$G$5,"")),"")</f>
        <v/>
      </c>
      <c r="AX52" s="36" t="str">
        <f ca="1">IFERROR(+IF(AX$27=ProposalToGnatt[[#This Row],[Start Date]],Milestone_Marker,IF(AND(AX$27&gt;ProposalToGnatt[[#This Row],[Start Date]],AX$27&lt;ProposalToGnatt[[#This Row],[Start Date]]+ProposalToGnatt[[#This Row],[Days]]),$G$5,"")),"")</f>
        <v/>
      </c>
      <c r="AY52" s="36" t="str">
        <f ca="1">IFERROR(+IF(AY$27=ProposalToGnatt[[#This Row],[Start Date]],Milestone_Marker,IF(AND(AY$27&gt;ProposalToGnatt[[#This Row],[Start Date]],AY$27&lt;ProposalToGnatt[[#This Row],[Start Date]]+ProposalToGnatt[[#This Row],[Days]]),$G$5,"")),"")</f>
        <v/>
      </c>
      <c r="AZ52" s="36" t="str">
        <f ca="1">IFERROR(+IF(AZ$27=ProposalToGnatt[[#This Row],[Start Date]],Milestone_Marker,IF(AND(AZ$27&gt;ProposalToGnatt[[#This Row],[Start Date]],AZ$27&lt;ProposalToGnatt[[#This Row],[Start Date]]+ProposalToGnatt[[#This Row],[Days]]),$G$5,"")),"")</f>
        <v/>
      </c>
      <c r="BA52" s="36" t="str">
        <f ca="1">IFERROR(+IF(BA$27=ProposalToGnatt[[#This Row],[Start Date]],Milestone_Marker,IF(AND(BA$27&gt;ProposalToGnatt[[#This Row],[Start Date]],BA$27&lt;ProposalToGnatt[[#This Row],[Start Date]]+ProposalToGnatt[[#This Row],[Days]]),$G$5,"")),"")</f>
        <v/>
      </c>
      <c r="BB52" s="36" t="str">
        <f ca="1">IFERROR(+IF(BB$27=ProposalToGnatt[[#This Row],[Start Date]],Milestone_Marker,IF(AND(BB$27&gt;ProposalToGnatt[[#This Row],[Start Date]],BB$27&lt;ProposalToGnatt[[#This Row],[Start Date]]+ProposalToGnatt[[#This Row],[Days]]),$G$5,"")),"")</f>
        <v/>
      </c>
      <c r="BC52" s="36" t="str">
        <f ca="1">IFERROR(+IF(BC$27=ProposalToGnatt[[#This Row],[Start Date]],Milestone_Marker,IF(AND(BC$27&gt;ProposalToGnatt[[#This Row],[Start Date]],BC$27&lt;ProposalToGnatt[[#This Row],[Start Date]]+ProposalToGnatt[[#This Row],[Days]]),$G$5,"")),"")</f>
        <v/>
      </c>
      <c r="BD52" s="36" t="str">
        <f ca="1">IFERROR(+IF(BD$27=ProposalToGnatt[[#This Row],[Start Date]],Milestone_Marker,IF(AND(BD$27&gt;ProposalToGnatt[[#This Row],[Start Date]],BD$27&lt;ProposalToGnatt[[#This Row],[Start Date]]+ProposalToGnatt[[#This Row],[Days]]),$G$5,"")),"")</f>
        <v/>
      </c>
      <c r="BE52" s="36" t="str">
        <f ca="1">IFERROR(+IF(BE$27=ProposalToGnatt[[#This Row],[Start Date]],Milestone_Marker,IF(AND(BE$27&gt;ProposalToGnatt[[#This Row],[Start Date]],BE$27&lt;ProposalToGnatt[[#This Row],[Start Date]]+ProposalToGnatt[[#This Row],[Days]]),$G$5,"")),"")</f>
        <v/>
      </c>
      <c r="BF52" s="36" t="str">
        <f ca="1">IFERROR(+IF(BF$27=ProposalToGnatt[[#This Row],[Start Date]],Milestone_Marker,IF(AND(BF$27&gt;ProposalToGnatt[[#This Row],[Start Date]],BF$27&lt;ProposalToGnatt[[#This Row],[Start Date]]+ProposalToGnatt[[#This Row],[Days]]),$G$5,"")),"")</f>
        <v/>
      </c>
      <c r="BG52" s="36" t="str">
        <f ca="1">IFERROR(+IF(BG$27=ProposalToGnatt[[#This Row],[Start Date]],Milestone_Marker,IF(AND(BG$27&gt;ProposalToGnatt[[#This Row],[Start Date]],BG$27&lt;ProposalToGnatt[[#This Row],[Start Date]]+ProposalToGnatt[[#This Row],[Days]]),$G$5,"")),"")</f>
        <v/>
      </c>
      <c r="BH52" s="36" t="str">
        <f ca="1">IFERROR(+IF(BH$27=ProposalToGnatt[[#This Row],[Start Date]],Milestone_Marker,IF(AND(BH$27&gt;ProposalToGnatt[[#This Row],[Start Date]],BH$27&lt;ProposalToGnatt[[#This Row],[Start Date]]+ProposalToGnatt[[#This Row],[Days]]),$G$5,"")),"")</f>
        <v/>
      </c>
      <c r="BI52" s="36" t="str">
        <f ca="1">IFERROR(+IF(BI$27=ProposalToGnatt[[#This Row],[Start Date]],Milestone_Marker,IF(AND(BI$27&gt;ProposalToGnatt[[#This Row],[Start Date]],BI$27&lt;ProposalToGnatt[[#This Row],[Start Date]]+ProposalToGnatt[[#This Row],[Days]]),$G$5,"")),"")</f>
        <v/>
      </c>
      <c r="BJ52" s="36" t="str">
        <f ca="1">IFERROR(+IF(BJ$27=ProposalToGnatt[[#This Row],[Start Date]],Milestone_Marker,IF(AND(BJ$27&gt;ProposalToGnatt[[#This Row],[Start Date]],BJ$27&lt;ProposalToGnatt[[#This Row],[Start Date]]+ProposalToGnatt[[#This Row],[Days]]),$G$5,"")),"")</f>
        <v/>
      </c>
      <c r="BK52" s="36" t="str">
        <f ca="1">IFERROR(+IF(BK$27=ProposalToGnatt[[#This Row],[Start Date]],Milestone_Marker,IF(AND(BK$27&gt;ProposalToGnatt[[#This Row],[Start Date]],BK$27&lt;ProposalToGnatt[[#This Row],[Start Date]]+ProposalToGnatt[[#This Row],[Days]]),$G$5,"")),"")</f>
        <v/>
      </c>
      <c r="BL52" s="36" t="str">
        <f ca="1">IFERROR(+IF(BL$27=ProposalToGnatt[[#This Row],[Start Date]],Milestone_Marker,IF(AND(BL$27&gt;ProposalToGnatt[[#This Row],[Start Date]],BL$27&lt;ProposalToGnatt[[#This Row],[Start Date]]+ProposalToGnatt[[#This Row],[Days]]),$G$5,"")),"")</f>
        <v/>
      </c>
      <c r="BM52" s="36" t="str">
        <f ca="1">IFERROR(+IF(BM$27=ProposalToGnatt[[#This Row],[Start Date]],Milestone_Marker,IF(AND(BM$27&gt;ProposalToGnatt[[#This Row],[Start Date]],BM$27&lt;ProposalToGnatt[[#This Row],[Start Date]]+ProposalToGnatt[[#This Row],[Days]]),$G$5,"")),"")</f>
        <v/>
      </c>
      <c r="BN52" s="36" t="str">
        <f ca="1">IFERROR(+IF(BN$27=ProposalToGnatt[[#This Row],[Start Date]],Milestone_Marker,IF(AND(BN$27&gt;ProposalToGnatt[[#This Row],[Start Date]],BN$27&lt;ProposalToGnatt[[#This Row],[Start Date]]+ProposalToGnatt[[#This Row],[Days]]),$G$5,"")),"")</f>
        <v/>
      </c>
      <c r="BO52" s="36" t="str">
        <f ca="1">IFERROR(+IF(BO$27=ProposalToGnatt[[#This Row],[Start Date]],Milestone_Marker,IF(AND(BO$27&gt;ProposalToGnatt[[#This Row],[Start Date]],BO$27&lt;ProposalToGnatt[[#This Row],[Start Date]]+ProposalToGnatt[[#This Row],[Days]]),$G$5,"")),"")</f>
        <v/>
      </c>
      <c r="BP52" s="36" t="str">
        <f ca="1">IFERROR(+IF(BP$27=ProposalToGnatt[[#This Row],[Start Date]],Milestone_Marker,IF(AND(BP$27&gt;ProposalToGnatt[[#This Row],[Start Date]],BP$27&lt;ProposalToGnatt[[#This Row],[Start Date]]+ProposalToGnatt[[#This Row],[Days]]),$G$5,"")),"")</f>
        <v/>
      </c>
      <c r="BQ52" s="36" t="str">
        <f ca="1">IFERROR(+IF(BQ$27=ProposalToGnatt[[#This Row],[Start Date]],Milestone_Marker,IF(AND(BQ$27&gt;ProposalToGnatt[[#This Row],[Start Date]],BQ$27&lt;ProposalToGnatt[[#This Row],[Start Date]]+ProposalToGnatt[[#This Row],[Days]]),$G$5,"")),"")</f>
        <v/>
      </c>
      <c r="BR52" s="36" t="str">
        <f ca="1">IFERROR(+IF(BR$27=ProposalToGnatt[[#This Row],[Start Date]],Milestone_Marker,IF(AND(BR$27&gt;ProposalToGnatt[[#This Row],[Start Date]],BR$27&lt;ProposalToGnatt[[#This Row],[Start Date]]+ProposalToGnatt[[#This Row],[Days]]),$G$5,"")),"")</f>
        <v/>
      </c>
      <c r="BS52" s="36" t="str">
        <f ca="1">IFERROR(+IF(BS$27=ProposalToGnatt[[#This Row],[Start Date]],Milestone_Marker,IF(AND(BS$27&gt;ProposalToGnatt[[#This Row],[Start Date]],BS$27&lt;ProposalToGnatt[[#This Row],[Start Date]]+ProposalToGnatt[[#This Row],[Days]]),$G$5,"")),"")</f>
        <v/>
      </c>
      <c r="BT52" s="36" t="str">
        <f ca="1">IFERROR(+IF(BT$27=ProposalToGnatt[[#This Row],[Start Date]],Milestone_Marker,IF(AND(BT$27&gt;ProposalToGnatt[[#This Row],[Start Date]],BT$27&lt;ProposalToGnatt[[#This Row],[Start Date]]+ProposalToGnatt[[#This Row],[Days]]),$G$5,"")),"")</f>
        <v/>
      </c>
      <c r="BU52" s="36" t="str">
        <f ca="1">IFERROR(+IF(BU$27=ProposalToGnatt[[#This Row],[Start Date]],Milestone_Marker,IF(AND(BU$27&gt;ProposalToGnatt[[#This Row],[Start Date]],BU$27&lt;ProposalToGnatt[[#This Row],[Start Date]]+ProposalToGnatt[[#This Row],[Days]]),$G$5,"")),"")</f>
        <v/>
      </c>
      <c r="BV52" s="36" t="str">
        <f ca="1">IFERROR(+IF(BV$27=ProposalToGnatt[[#This Row],[Start Date]],Milestone_Marker,IF(AND(BV$27&gt;ProposalToGnatt[[#This Row],[Start Date]],BV$27&lt;ProposalToGnatt[[#This Row],[Start Date]]+ProposalToGnatt[[#This Row],[Days]]),$G$5,"")),"")</f>
        <v/>
      </c>
      <c r="BW52" s="36" t="str">
        <f ca="1">IFERROR(+IF(BW$27=ProposalToGnatt[[#This Row],[Start Date]],Milestone_Marker,IF(AND(BW$27&gt;ProposalToGnatt[[#This Row],[Start Date]],BW$27&lt;ProposalToGnatt[[#This Row],[Start Date]]+ProposalToGnatt[[#This Row],[Days]]),$G$5,"")),"")</f>
        <v/>
      </c>
      <c r="BX52" s="36" t="str">
        <f ca="1">IFERROR(+IF(BX$27=ProposalToGnatt[[#This Row],[Start Date]],Milestone_Marker,IF(AND(BX$27&gt;ProposalToGnatt[[#This Row],[Start Date]],BX$27&lt;ProposalToGnatt[[#This Row],[Start Date]]+ProposalToGnatt[[#This Row],[Days]]),$G$5,"")),"")</f>
        <v/>
      </c>
      <c r="BY52" s="36" t="str">
        <f ca="1">IFERROR(+IF(BY$27=ProposalToGnatt[[#This Row],[Start Date]],Milestone_Marker,IF(AND(BY$27&gt;ProposalToGnatt[[#This Row],[Start Date]],BY$27&lt;ProposalToGnatt[[#This Row],[Start Date]]+ProposalToGnatt[[#This Row],[Days]]),$G$5,"")),"")</f>
        <v/>
      </c>
      <c r="BZ52" s="36" t="str">
        <f ca="1">IFERROR(+IF(BZ$27=ProposalToGnatt[[#This Row],[Start Date]],Milestone_Marker,IF(AND(BZ$27&gt;ProposalToGnatt[[#This Row],[Start Date]],BZ$27&lt;ProposalToGnatt[[#This Row],[Start Date]]+ProposalToGnatt[[#This Row],[Days]]),$G$5,"")),"")</f>
        <v/>
      </c>
      <c r="CA52" s="36" t="str">
        <f ca="1">IFERROR(+IF(CA$27=ProposalToGnatt[[#This Row],[Start Date]],Milestone_Marker,IF(AND(CA$27&gt;ProposalToGnatt[[#This Row],[Start Date]],CA$27&lt;ProposalToGnatt[[#This Row],[Start Date]]+ProposalToGnatt[[#This Row],[Days]]),$G$5,"")),"")</f>
        <v/>
      </c>
      <c r="CB52" s="36" t="str">
        <f ca="1">IFERROR(+IF(CB$27=ProposalToGnatt[[#This Row],[Start Date]],Milestone_Marker,IF(AND(CB$27&gt;ProposalToGnatt[[#This Row],[Start Date]],CB$27&lt;ProposalToGnatt[[#This Row],[Start Date]]+ProposalToGnatt[[#This Row],[Days]]),$G$5,"")),"")</f>
        <v/>
      </c>
      <c r="CC52" s="36" t="str">
        <f ca="1">IFERROR(+IF(CC$27=ProposalToGnatt[[#This Row],[Start Date]],Milestone_Marker,IF(AND(CC$27&gt;ProposalToGnatt[[#This Row],[Start Date]],CC$27&lt;ProposalToGnatt[[#This Row],[Start Date]]+ProposalToGnatt[[#This Row],[Days]]),$G$5,"")),"")</f>
        <v/>
      </c>
      <c r="CD52" s="36" t="str">
        <f ca="1">IFERROR(+IF(CD$27=ProposalToGnatt[[#This Row],[Start Date]],Milestone_Marker,IF(AND(CD$27&gt;ProposalToGnatt[[#This Row],[Start Date]],CD$27&lt;ProposalToGnatt[[#This Row],[Start Date]]+ProposalToGnatt[[#This Row],[Days]]),$G$5,"")),"")</f>
        <v/>
      </c>
      <c r="CE52" s="36" t="str">
        <f ca="1">IFERROR(+IF(CE$27=ProposalToGnatt[[#This Row],[Start Date]],Milestone_Marker,IF(AND(CE$27&gt;ProposalToGnatt[[#This Row],[Start Date]],CE$27&lt;ProposalToGnatt[[#This Row],[Start Date]]+ProposalToGnatt[[#This Row],[Days]]),$G$5,"")),"")</f>
        <v/>
      </c>
      <c r="CF52" s="36" t="str">
        <f ca="1">IFERROR(+IF(CF$27=ProposalToGnatt[[#This Row],[Start Date]],Milestone_Marker,IF(AND(CF$27&gt;ProposalToGnatt[[#This Row],[Start Date]],CF$27&lt;ProposalToGnatt[[#This Row],[Start Date]]+ProposalToGnatt[[#This Row],[Days]]),$G$5,"")),"")</f>
        <v/>
      </c>
      <c r="CG52" s="36" t="str">
        <f ca="1">IFERROR(+IF(CG$27=ProposalToGnatt[[#This Row],[Start Date]],Milestone_Marker,IF(AND(CG$27&gt;ProposalToGnatt[[#This Row],[Start Date]],CG$27&lt;ProposalToGnatt[[#This Row],[Start Date]]+ProposalToGnatt[[#This Row],[Days]]),$G$5,"")),"")</f>
        <v/>
      </c>
      <c r="CH52" s="36" t="str">
        <f ca="1">IFERROR(+IF(CH$27=ProposalToGnatt[[#This Row],[Start Date]],Milestone_Marker,IF(AND(CH$27&gt;ProposalToGnatt[[#This Row],[Start Date]],CH$27&lt;ProposalToGnatt[[#This Row],[Start Date]]+ProposalToGnatt[[#This Row],[Days]]),$G$5,"")),"")</f>
        <v/>
      </c>
      <c r="CI52" s="36" t="str">
        <f ca="1">IFERROR(+IF(CI$27=ProposalToGnatt[[#This Row],[Start Date]],Milestone_Marker,IF(AND(CI$27&gt;ProposalToGnatt[[#This Row],[Start Date]],CI$27&lt;ProposalToGnatt[[#This Row],[Start Date]]+ProposalToGnatt[[#This Row],[Days]]),$G$5,"")),"")</f>
        <v/>
      </c>
      <c r="CJ52" s="36" t="str">
        <f ca="1">IFERROR(+IF(CJ$27=ProposalToGnatt[[#This Row],[Start Date]],Milestone_Marker,IF(AND(CJ$27&gt;ProposalToGnatt[[#This Row],[Start Date]],CJ$27&lt;ProposalToGnatt[[#This Row],[Start Date]]+ProposalToGnatt[[#This Row],[Days]]),$G$5,"")),"")</f>
        <v/>
      </c>
      <c r="CK52" s="36" t="str">
        <f ca="1">IFERROR(+IF(CK$27=ProposalToGnatt[[#This Row],[Start Date]],Milestone_Marker,IF(AND(CK$27&gt;ProposalToGnatt[[#This Row],[Start Date]],CK$27&lt;ProposalToGnatt[[#This Row],[Start Date]]+ProposalToGnatt[[#This Row],[Days]]),$G$5,"")),"")</f>
        <v/>
      </c>
      <c r="CL52" s="36" t="str">
        <f ca="1">IFERROR(+IF(CL$27=ProposalToGnatt[[#This Row],[Start Date]],Milestone_Marker,IF(AND(CL$27&gt;ProposalToGnatt[[#This Row],[Start Date]],CL$27&lt;ProposalToGnatt[[#This Row],[Start Date]]+ProposalToGnatt[[#This Row],[Days]]),$G$5,"")),"")</f>
        <v/>
      </c>
      <c r="CM52" s="36" t="str">
        <f ca="1">IFERROR(+IF(CM$27=ProposalToGnatt[[#This Row],[Start Date]],Milestone_Marker,IF(AND(CM$27&gt;ProposalToGnatt[[#This Row],[Start Date]],CM$27&lt;ProposalToGnatt[[#This Row],[Start Date]]+ProposalToGnatt[[#This Row],[Days]]),$G$5,"")),"")</f>
        <v/>
      </c>
      <c r="CN52" s="36" t="str">
        <f ca="1">IFERROR(+IF(CN$27=ProposalToGnatt[[#This Row],[Start Date]],Milestone_Marker,IF(AND(CN$27&gt;ProposalToGnatt[[#This Row],[Start Date]],CN$27&lt;ProposalToGnatt[[#This Row],[Start Date]]+ProposalToGnatt[[#This Row],[Days]]),$G$5,"")),"")</f>
        <v/>
      </c>
      <c r="CO52" s="36" t="str">
        <f ca="1">IFERROR(+IF(CO$27=ProposalToGnatt[[#This Row],[Start Date]],Milestone_Marker,IF(AND(CO$27&gt;ProposalToGnatt[[#This Row],[Start Date]],CO$27&lt;ProposalToGnatt[[#This Row],[Start Date]]+ProposalToGnatt[[#This Row],[Days]]),$G$5,"")),"")</f>
        <v/>
      </c>
      <c r="CP52" s="36" t="str">
        <f ca="1">IFERROR(+IF(CP$27=ProposalToGnatt[[#This Row],[Start Date]],Milestone_Marker,IF(AND(CP$27&gt;ProposalToGnatt[[#This Row],[Start Date]],CP$27&lt;ProposalToGnatt[[#This Row],[Start Date]]+ProposalToGnatt[[#This Row],[Days]]),$G$5,"")),"")</f>
        <v/>
      </c>
      <c r="CQ52" s="36" t="str">
        <f ca="1">IFERROR(+IF(CQ$27=ProposalToGnatt[[#This Row],[Start Date]],Milestone_Marker,IF(AND(CQ$27&gt;ProposalToGnatt[[#This Row],[Start Date]],CQ$27&lt;ProposalToGnatt[[#This Row],[Start Date]]+ProposalToGnatt[[#This Row],[Days]]),$G$5,"")),"")</f>
        <v/>
      </c>
      <c r="CR52" s="36" t="str">
        <f ca="1">IFERROR(+IF(CR$27=ProposalToGnatt[[#This Row],[Start Date]],Milestone_Marker,IF(AND(CR$27&gt;ProposalToGnatt[[#This Row],[Start Date]],CR$27&lt;ProposalToGnatt[[#This Row],[Start Date]]+ProposalToGnatt[[#This Row],[Days]]),$G$5,"")),"")</f>
        <v/>
      </c>
      <c r="CS52" s="36" t="str">
        <f ca="1">IFERROR(+IF(CS$27=ProposalToGnatt[[#This Row],[Start Date]],Milestone_Marker,IF(AND(CS$27&gt;ProposalToGnatt[[#This Row],[Start Date]],CS$27&lt;ProposalToGnatt[[#This Row],[Start Date]]+ProposalToGnatt[[#This Row],[Days]]),$G$5,"")),"")</f>
        <v/>
      </c>
      <c r="CT52" s="36" t="str">
        <f ca="1">IFERROR(+IF(CT$27=ProposalToGnatt[[#This Row],[Start Date]],Milestone_Marker,IF(AND(CT$27&gt;ProposalToGnatt[[#This Row],[Start Date]],CT$27&lt;ProposalToGnatt[[#This Row],[Start Date]]+ProposalToGnatt[[#This Row],[Days]]),$G$5,"")),"")</f>
        <v/>
      </c>
      <c r="CU52" s="36" t="str">
        <f ca="1">IFERROR(+IF(CU$27=ProposalToGnatt[[#This Row],[Start Date]],Milestone_Marker,IF(AND(CU$27&gt;ProposalToGnatt[[#This Row],[Start Date]],CU$27&lt;ProposalToGnatt[[#This Row],[Start Date]]+ProposalToGnatt[[#This Row],[Days]]),$G$5,"")),"")</f>
        <v/>
      </c>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row>
    <row r="53" spans="1:125" s="41" customFormat="1" ht="15" x14ac:dyDescent="0.25">
      <c r="A53"/>
      <c r="B53"/>
      <c r="C53"/>
      <c r="D53"/>
      <c r="E53"/>
      <c r="F53"/>
      <c r="G53" s="14"/>
      <c r="H53" s="14"/>
      <c r="I53"/>
      <c r="J53"/>
      <c r="K53" s="261"/>
      <c r="L53"/>
      <c r="M53" s="14"/>
      <c r="N53" s="309"/>
      <c r="O53" s="297"/>
      <c r="P53" s="36" t="str">
        <f ca="1">IFERROR(+IF(P$27=ProposalToGnatt[[#This Row],[Start Date]],Milestone_Marker,IF(AND(P$27&gt;ProposalToGnatt[[#This Row],[Start Date]],P$27&lt;ProposalToGnatt[[#This Row],[Start Date]]+ProposalToGnatt[[#This Row],[Days]]),$G$5,"")),"")</f>
        <v/>
      </c>
      <c r="Q53" s="36" t="str">
        <f ca="1">IFERROR(+IF(Q$27=ProposalToGnatt[[#This Row],[Start Date]],Milestone_Marker,IF(AND(Q$27&gt;ProposalToGnatt[[#This Row],[Start Date]],Q$27&lt;ProposalToGnatt[[#This Row],[Start Date]]+ProposalToGnatt[[#This Row],[Days]]),$G$5,"")),"")</f>
        <v/>
      </c>
      <c r="R53" s="36" t="str">
        <f ca="1">IFERROR(+IF(R$27=ProposalToGnatt[[#This Row],[Start Date]],Milestone_Marker,IF(AND(R$27&gt;ProposalToGnatt[[#This Row],[Start Date]],R$27&lt;ProposalToGnatt[[#This Row],[Start Date]]+ProposalToGnatt[[#This Row],[Days]]),$G$5,"")),"")</f>
        <v/>
      </c>
      <c r="S53" s="36" t="str">
        <f ca="1">IFERROR(+IF(S$27=ProposalToGnatt[[#This Row],[Start Date]],Milestone_Marker,IF(AND(S$27&gt;ProposalToGnatt[[#This Row],[Start Date]],S$27&lt;ProposalToGnatt[[#This Row],[Start Date]]+ProposalToGnatt[[#This Row],[Days]]),$G$5,"")),"")</f>
        <v/>
      </c>
      <c r="T53" s="36" t="str">
        <f ca="1">IFERROR(+IF(T$27=ProposalToGnatt[[#This Row],[Start Date]],Milestone_Marker,IF(AND(T$27&gt;ProposalToGnatt[[#This Row],[Start Date]],T$27&lt;ProposalToGnatt[[#This Row],[Start Date]]+ProposalToGnatt[[#This Row],[Days]]),$G$5,"")),"")</f>
        <v/>
      </c>
      <c r="U53" s="36" t="str">
        <f ca="1">IFERROR(+IF(U$27=ProposalToGnatt[[#This Row],[Start Date]],Milestone_Marker,IF(AND(U$27&gt;ProposalToGnatt[[#This Row],[Start Date]],U$27&lt;ProposalToGnatt[[#This Row],[Start Date]]+ProposalToGnatt[[#This Row],[Days]]),$G$5,"")),"")</f>
        <v/>
      </c>
      <c r="V53" s="36" t="str">
        <f ca="1">IFERROR(+IF(V$27=ProposalToGnatt[[#This Row],[Start Date]],Milestone_Marker,IF(AND(V$27&gt;ProposalToGnatt[[#This Row],[Start Date]],V$27&lt;ProposalToGnatt[[#This Row],[Start Date]]+ProposalToGnatt[[#This Row],[Days]]),$G$5,"")),"")</f>
        <v/>
      </c>
      <c r="W53" s="36" t="str">
        <f ca="1">IFERROR(+IF(W$27=ProposalToGnatt[[#This Row],[Start Date]],Milestone_Marker,IF(AND(W$27&gt;ProposalToGnatt[[#This Row],[Start Date]],W$27&lt;ProposalToGnatt[[#This Row],[Start Date]]+ProposalToGnatt[[#This Row],[Days]]),$G$5,"")),"")</f>
        <v/>
      </c>
      <c r="X53" s="36" t="str">
        <f ca="1">IFERROR(+IF(X$27=ProposalToGnatt[[#This Row],[Start Date]],Milestone_Marker,IF(AND(X$27&gt;ProposalToGnatt[[#This Row],[Start Date]],X$27&lt;ProposalToGnatt[[#This Row],[Start Date]]+ProposalToGnatt[[#This Row],[Days]]),$G$5,"")),"")</f>
        <v/>
      </c>
      <c r="Y53" s="36" t="str">
        <f ca="1">IFERROR(+IF(Y$27=ProposalToGnatt[[#This Row],[Start Date]],Milestone_Marker,IF(AND(Y$27&gt;ProposalToGnatt[[#This Row],[Start Date]],Y$27&lt;ProposalToGnatt[[#This Row],[Start Date]]+ProposalToGnatt[[#This Row],[Days]]),$G$5,"")),"")</f>
        <v/>
      </c>
      <c r="Z53" s="36" t="str">
        <f ca="1">IFERROR(+IF(Z$27=ProposalToGnatt[[#This Row],[Start Date]],Milestone_Marker,IF(AND(Z$27&gt;ProposalToGnatt[[#This Row],[Start Date]],Z$27&lt;ProposalToGnatt[[#This Row],[Start Date]]+ProposalToGnatt[[#This Row],[Days]]),$G$5,"")),"")</f>
        <v/>
      </c>
      <c r="AA53" s="36" t="str">
        <f ca="1">IFERROR(+IF(AA$27=ProposalToGnatt[[#This Row],[Start Date]],Milestone_Marker,IF(AND(AA$27&gt;ProposalToGnatt[[#This Row],[Start Date]],AA$27&lt;ProposalToGnatt[[#This Row],[Start Date]]+ProposalToGnatt[[#This Row],[Days]]),$G$5,"")),"")</f>
        <v/>
      </c>
      <c r="AB53" s="36" t="str">
        <f ca="1">IFERROR(+IF(AB$27=ProposalToGnatt[[#This Row],[Start Date]],Milestone_Marker,IF(AND(AB$27&gt;ProposalToGnatt[[#This Row],[Start Date]],AB$27&lt;ProposalToGnatt[[#This Row],[Start Date]]+ProposalToGnatt[[#This Row],[Days]]),$G$5,"")),"")</f>
        <v/>
      </c>
      <c r="AC53" s="36" t="str">
        <f ca="1">IFERROR(+IF(AC$27=ProposalToGnatt[[#This Row],[Start Date]],Milestone_Marker,IF(AND(AC$27&gt;ProposalToGnatt[[#This Row],[Start Date]],AC$27&lt;ProposalToGnatt[[#This Row],[Start Date]]+ProposalToGnatt[[#This Row],[Days]]),$G$5,"")),"")</f>
        <v/>
      </c>
      <c r="AD53" s="36" t="str">
        <f ca="1">IFERROR(+IF(AD$27=ProposalToGnatt[[#This Row],[Start Date]],Milestone_Marker,IF(AND(AD$27&gt;ProposalToGnatt[[#This Row],[Start Date]],AD$27&lt;ProposalToGnatt[[#This Row],[Start Date]]+ProposalToGnatt[[#This Row],[Days]]),$G$5,"")),"")</f>
        <v/>
      </c>
      <c r="AE53" s="36" t="str">
        <f ca="1">IFERROR(+IF(AE$27=ProposalToGnatt[[#This Row],[Start Date]],Milestone_Marker,IF(AND(AE$27&gt;ProposalToGnatt[[#This Row],[Start Date]],AE$27&lt;ProposalToGnatt[[#This Row],[Start Date]]+ProposalToGnatt[[#This Row],[Days]]),$G$5,"")),"")</f>
        <v/>
      </c>
      <c r="AF53" s="36" t="str">
        <f ca="1">IFERROR(+IF(AF$27=ProposalToGnatt[[#This Row],[Start Date]],Milestone_Marker,IF(AND(AF$27&gt;ProposalToGnatt[[#This Row],[Start Date]],AF$27&lt;ProposalToGnatt[[#This Row],[Start Date]]+ProposalToGnatt[[#This Row],[Days]]),$G$5,"")),"")</f>
        <v/>
      </c>
      <c r="AG53" s="36" t="str">
        <f ca="1">IFERROR(+IF(AG$27=ProposalToGnatt[[#This Row],[Start Date]],Milestone_Marker,IF(AND(AG$27&gt;ProposalToGnatt[[#This Row],[Start Date]],AG$27&lt;ProposalToGnatt[[#This Row],[Start Date]]+ProposalToGnatt[[#This Row],[Days]]),$G$5,"")),"")</f>
        <v/>
      </c>
      <c r="AH53" s="36" t="str">
        <f ca="1">IFERROR(+IF(AH$27=ProposalToGnatt[[#This Row],[Start Date]],Milestone_Marker,IF(AND(AH$27&gt;ProposalToGnatt[[#This Row],[Start Date]],AH$27&lt;ProposalToGnatt[[#This Row],[Start Date]]+ProposalToGnatt[[#This Row],[Days]]),$G$5,"")),"")</f>
        <v/>
      </c>
      <c r="AI53" s="36" t="str">
        <f ca="1">IFERROR(+IF(AI$27=ProposalToGnatt[[#This Row],[Start Date]],Milestone_Marker,IF(AND(AI$27&gt;ProposalToGnatt[[#This Row],[Start Date]],AI$27&lt;ProposalToGnatt[[#This Row],[Start Date]]+ProposalToGnatt[[#This Row],[Days]]),$G$5,"")),"")</f>
        <v/>
      </c>
      <c r="AJ53" s="36" t="str">
        <f ca="1">IFERROR(+IF(AJ$27=ProposalToGnatt[[#This Row],[Start Date]],Milestone_Marker,IF(AND(AJ$27&gt;ProposalToGnatt[[#This Row],[Start Date]],AJ$27&lt;ProposalToGnatt[[#This Row],[Start Date]]+ProposalToGnatt[[#This Row],[Days]]),$G$5,"")),"")</f>
        <v/>
      </c>
      <c r="AK53" s="36" t="str">
        <f ca="1">IFERROR(+IF(AK$27=ProposalToGnatt[[#This Row],[Start Date]],Milestone_Marker,IF(AND(AK$27&gt;ProposalToGnatt[[#This Row],[Start Date]],AK$27&lt;ProposalToGnatt[[#This Row],[Start Date]]+ProposalToGnatt[[#This Row],[Days]]),$G$5,"")),"")</f>
        <v/>
      </c>
      <c r="AL53" s="36" t="str">
        <f ca="1">IFERROR(+IF(AL$27=ProposalToGnatt[[#This Row],[Start Date]],Milestone_Marker,IF(AND(AL$27&gt;ProposalToGnatt[[#This Row],[Start Date]],AL$27&lt;ProposalToGnatt[[#This Row],[Start Date]]+ProposalToGnatt[[#This Row],[Days]]),$G$5,"")),"")</f>
        <v/>
      </c>
      <c r="AM53" s="36" t="str">
        <f ca="1">IFERROR(+IF(AM$27=ProposalToGnatt[[#This Row],[Start Date]],Milestone_Marker,IF(AND(AM$27&gt;ProposalToGnatt[[#This Row],[Start Date]],AM$27&lt;ProposalToGnatt[[#This Row],[Start Date]]+ProposalToGnatt[[#This Row],[Days]]),$G$5,"")),"")</f>
        <v/>
      </c>
      <c r="AN53" s="36" t="str">
        <f ca="1">IFERROR(+IF(AN$27=ProposalToGnatt[[#This Row],[Start Date]],Milestone_Marker,IF(AND(AN$27&gt;ProposalToGnatt[[#This Row],[Start Date]],AN$27&lt;ProposalToGnatt[[#This Row],[Start Date]]+ProposalToGnatt[[#This Row],[Days]]),$G$5,"")),"")</f>
        <v/>
      </c>
      <c r="AO53" s="36" t="str">
        <f ca="1">IFERROR(+IF(AO$27=ProposalToGnatt[[#This Row],[Start Date]],Milestone_Marker,IF(AND(AO$27&gt;ProposalToGnatt[[#This Row],[Start Date]],AO$27&lt;ProposalToGnatt[[#This Row],[Start Date]]+ProposalToGnatt[[#This Row],[Days]]),$G$5,"")),"")</f>
        <v/>
      </c>
      <c r="AP53" s="36" t="str">
        <f ca="1">IFERROR(+IF(AP$27=ProposalToGnatt[[#This Row],[Start Date]],Milestone_Marker,IF(AND(AP$27&gt;ProposalToGnatt[[#This Row],[Start Date]],AP$27&lt;ProposalToGnatt[[#This Row],[Start Date]]+ProposalToGnatt[[#This Row],[Days]]),$G$5,"")),"")</f>
        <v/>
      </c>
      <c r="AQ53" s="36" t="str">
        <f ca="1">IFERROR(+IF(AQ$27=ProposalToGnatt[[#This Row],[Start Date]],Milestone_Marker,IF(AND(AQ$27&gt;ProposalToGnatt[[#This Row],[Start Date]],AQ$27&lt;ProposalToGnatt[[#This Row],[Start Date]]+ProposalToGnatt[[#This Row],[Days]]),$G$5,"")),"")</f>
        <v/>
      </c>
      <c r="AR53" s="36" t="str">
        <f ca="1">IFERROR(+IF(AR$27=ProposalToGnatt[[#This Row],[Start Date]],Milestone_Marker,IF(AND(AR$27&gt;ProposalToGnatt[[#This Row],[Start Date]],AR$27&lt;ProposalToGnatt[[#This Row],[Start Date]]+ProposalToGnatt[[#This Row],[Days]]),$G$5,"")),"")</f>
        <v/>
      </c>
      <c r="AS53" s="36" t="str">
        <f ca="1">IFERROR(+IF(AS$27=ProposalToGnatt[[#This Row],[Start Date]],Milestone_Marker,IF(AND(AS$27&gt;ProposalToGnatt[[#This Row],[Start Date]],AS$27&lt;ProposalToGnatt[[#This Row],[Start Date]]+ProposalToGnatt[[#This Row],[Days]]),$G$5,"")),"")</f>
        <v/>
      </c>
      <c r="AT53" s="36" t="str">
        <f ca="1">IFERROR(+IF(AT$27=ProposalToGnatt[[#This Row],[Start Date]],Milestone_Marker,IF(AND(AT$27&gt;ProposalToGnatt[[#This Row],[Start Date]],AT$27&lt;ProposalToGnatt[[#This Row],[Start Date]]+ProposalToGnatt[[#This Row],[Days]]),$G$5,"")),"")</f>
        <v/>
      </c>
      <c r="AU53" s="36" t="str">
        <f ca="1">IFERROR(+IF(AU$27=ProposalToGnatt[[#This Row],[Start Date]],Milestone_Marker,IF(AND(AU$27&gt;ProposalToGnatt[[#This Row],[Start Date]],AU$27&lt;ProposalToGnatt[[#This Row],[Start Date]]+ProposalToGnatt[[#This Row],[Days]]),$G$5,"")),"")</f>
        <v/>
      </c>
      <c r="AV53" s="36" t="str">
        <f ca="1">IFERROR(+IF(AV$27=ProposalToGnatt[[#This Row],[Start Date]],Milestone_Marker,IF(AND(AV$27&gt;ProposalToGnatt[[#This Row],[Start Date]],AV$27&lt;ProposalToGnatt[[#This Row],[Start Date]]+ProposalToGnatt[[#This Row],[Days]]),$G$5,"")),"")</f>
        <v/>
      </c>
      <c r="AW53" s="36" t="str">
        <f ca="1">IFERROR(+IF(AW$27=ProposalToGnatt[[#This Row],[Start Date]],Milestone_Marker,IF(AND(AW$27&gt;ProposalToGnatt[[#This Row],[Start Date]],AW$27&lt;ProposalToGnatt[[#This Row],[Start Date]]+ProposalToGnatt[[#This Row],[Days]]),$G$5,"")),"")</f>
        <v/>
      </c>
      <c r="AX53" s="36" t="str">
        <f ca="1">IFERROR(+IF(AX$27=ProposalToGnatt[[#This Row],[Start Date]],Milestone_Marker,IF(AND(AX$27&gt;ProposalToGnatt[[#This Row],[Start Date]],AX$27&lt;ProposalToGnatt[[#This Row],[Start Date]]+ProposalToGnatt[[#This Row],[Days]]),$G$5,"")),"")</f>
        <v/>
      </c>
      <c r="AY53" s="36" t="str">
        <f ca="1">IFERROR(+IF(AY$27=ProposalToGnatt[[#This Row],[Start Date]],Milestone_Marker,IF(AND(AY$27&gt;ProposalToGnatt[[#This Row],[Start Date]],AY$27&lt;ProposalToGnatt[[#This Row],[Start Date]]+ProposalToGnatt[[#This Row],[Days]]),$G$5,"")),"")</f>
        <v/>
      </c>
      <c r="AZ53" s="36" t="str">
        <f ca="1">IFERROR(+IF(AZ$27=ProposalToGnatt[[#This Row],[Start Date]],Milestone_Marker,IF(AND(AZ$27&gt;ProposalToGnatt[[#This Row],[Start Date]],AZ$27&lt;ProposalToGnatt[[#This Row],[Start Date]]+ProposalToGnatt[[#This Row],[Days]]),$G$5,"")),"")</f>
        <v/>
      </c>
      <c r="BA53" s="36" t="str">
        <f ca="1">IFERROR(+IF(BA$27=ProposalToGnatt[[#This Row],[Start Date]],Milestone_Marker,IF(AND(BA$27&gt;ProposalToGnatt[[#This Row],[Start Date]],BA$27&lt;ProposalToGnatt[[#This Row],[Start Date]]+ProposalToGnatt[[#This Row],[Days]]),$G$5,"")),"")</f>
        <v/>
      </c>
      <c r="BB53" s="36" t="str">
        <f ca="1">IFERROR(+IF(BB$27=ProposalToGnatt[[#This Row],[Start Date]],Milestone_Marker,IF(AND(BB$27&gt;ProposalToGnatt[[#This Row],[Start Date]],BB$27&lt;ProposalToGnatt[[#This Row],[Start Date]]+ProposalToGnatt[[#This Row],[Days]]),$G$5,"")),"")</f>
        <v/>
      </c>
      <c r="BC53" s="36" t="str">
        <f ca="1">IFERROR(+IF(BC$27=ProposalToGnatt[[#This Row],[Start Date]],Milestone_Marker,IF(AND(BC$27&gt;ProposalToGnatt[[#This Row],[Start Date]],BC$27&lt;ProposalToGnatt[[#This Row],[Start Date]]+ProposalToGnatt[[#This Row],[Days]]),$G$5,"")),"")</f>
        <v/>
      </c>
      <c r="BD53" s="36" t="str">
        <f ca="1">IFERROR(+IF(BD$27=ProposalToGnatt[[#This Row],[Start Date]],Milestone_Marker,IF(AND(BD$27&gt;ProposalToGnatt[[#This Row],[Start Date]],BD$27&lt;ProposalToGnatt[[#This Row],[Start Date]]+ProposalToGnatt[[#This Row],[Days]]),$G$5,"")),"")</f>
        <v/>
      </c>
      <c r="BE53" s="36" t="str">
        <f ca="1">IFERROR(+IF(BE$27=ProposalToGnatt[[#This Row],[Start Date]],Milestone_Marker,IF(AND(BE$27&gt;ProposalToGnatt[[#This Row],[Start Date]],BE$27&lt;ProposalToGnatt[[#This Row],[Start Date]]+ProposalToGnatt[[#This Row],[Days]]),$G$5,"")),"")</f>
        <v/>
      </c>
      <c r="BF53" s="36" t="str">
        <f ca="1">IFERROR(+IF(BF$27=ProposalToGnatt[[#This Row],[Start Date]],Milestone_Marker,IF(AND(BF$27&gt;ProposalToGnatt[[#This Row],[Start Date]],BF$27&lt;ProposalToGnatt[[#This Row],[Start Date]]+ProposalToGnatt[[#This Row],[Days]]),$G$5,"")),"")</f>
        <v/>
      </c>
      <c r="BG53" s="36" t="str">
        <f ca="1">IFERROR(+IF(BG$27=ProposalToGnatt[[#This Row],[Start Date]],Milestone_Marker,IF(AND(BG$27&gt;ProposalToGnatt[[#This Row],[Start Date]],BG$27&lt;ProposalToGnatt[[#This Row],[Start Date]]+ProposalToGnatt[[#This Row],[Days]]),$G$5,"")),"")</f>
        <v/>
      </c>
      <c r="BH53" s="36" t="str">
        <f ca="1">IFERROR(+IF(BH$27=ProposalToGnatt[[#This Row],[Start Date]],Milestone_Marker,IF(AND(BH$27&gt;ProposalToGnatt[[#This Row],[Start Date]],BH$27&lt;ProposalToGnatt[[#This Row],[Start Date]]+ProposalToGnatt[[#This Row],[Days]]),$G$5,"")),"")</f>
        <v/>
      </c>
      <c r="BI53" s="36" t="str">
        <f ca="1">IFERROR(+IF(BI$27=ProposalToGnatt[[#This Row],[Start Date]],Milestone_Marker,IF(AND(BI$27&gt;ProposalToGnatt[[#This Row],[Start Date]],BI$27&lt;ProposalToGnatt[[#This Row],[Start Date]]+ProposalToGnatt[[#This Row],[Days]]),$G$5,"")),"")</f>
        <v/>
      </c>
      <c r="BJ53" s="36" t="str">
        <f ca="1">IFERROR(+IF(BJ$27=ProposalToGnatt[[#This Row],[Start Date]],Milestone_Marker,IF(AND(BJ$27&gt;ProposalToGnatt[[#This Row],[Start Date]],BJ$27&lt;ProposalToGnatt[[#This Row],[Start Date]]+ProposalToGnatt[[#This Row],[Days]]),$G$5,"")),"")</f>
        <v/>
      </c>
      <c r="BK53" s="36" t="str">
        <f ca="1">IFERROR(+IF(BK$27=ProposalToGnatt[[#This Row],[Start Date]],Milestone_Marker,IF(AND(BK$27&gt;ProposalToGnatt[[#This Row],[Start Date]],BK$27&lt;ProposalToGnatt[[#This Row],[Start Date]]+ProposalToGnatt[[#This Row],[Days]]),$G$5,"")),"")</f>
        <v/>
      </c>
      <c r="BL53" s="36" t="str">
        <f ca="1">IFERROR(+IF(BL$27=ProposalToGnatt[[#This Row],[Start Date]],Milestone_Marker,IF(AND(BL$27&gt;ProposalToGnatt[[#This Row],[Start Date]],BL$27&lt;ProposalToGnatt[[#This Row],[Start Date]]+ProposalToGnatt[[#This Row],[Days]]),$G$5,"")),"")</f>
        <v/>
      </c>
      <c r="BM53" s="36" t="str">
        <f ca="1">IFERROR(+IF(BM$27=ProposalToGnatt[[#This Row],[Start Date]],Milestone_Marker,IF(AND(BM$27&gt;ProposalToGnatt[[#This Row],[Start Date]],BM$27&lt;ProposalToGnatt[[#This Row],[Start Date]]+ProposalToGnatt[[#This Row],[Days]]),$G$5,"")),"")</f>
        <v/>
      </c>
      <c r="BN53" s="36" t="str">
        <f ca="1">IFERROR(+IF(BN$27=ProposalToGnatt[[#This Row],[Start Date]],Milestone_Marker,IF(AND(BN$27&gt;ProposalToGnatt[[#This Row],[Start Date]],BN$27&lt;ProposalToGnatt[[#This Row],[Start Date]]+ProposalToGnatt[[#This Row],[Days]]),$G$5,"")),"")</f>
        <v/>
      </c>
      <c r="BO53" s="36" t="str">
        <f ca="1">IFERROR(+IF(BO$27=ProposalToGnatt[[#This Row],[Start Date]],Milestone_Marker,IF(AND(BO$27&gt;ProposalToGnatt[[#This Row],[Start Date]],BO$27&lt;ProposalToGnatt[[#This Row],[Start Date]]+ProposalToGnatt[[#This Row],[Days]]),$G$5,"")),"")</f>
        <v/>
      </c>
      <c r="BP53" s="36" t="str">
        <f ca="1">IFERROR(+IF(BP$27=ProposalToGnatt[[#This Row],[Start Date]],Milestone_Marker,IF(AND(BP$27&gt;ProposalToGnatt[[#This Row],[Start Date]],BP$27&lt;ProposalToGnatt[[#This Row],[Start Date]]+ProposalToGnatt[[#This Row],[Days]]),$G$5,"")),"")</f>
        <v/>
      </c>
      <c r="BQ53" s="36" t="str">
        <f ca="1">IFERROR(+IF(BQ$27=ProposalToGnatt[[#This Row],[Start Date]],Milestone_Marker,IF(AND(BQ$27&gt;ProposalToGnatt[[#This Row],[Start Date]],BQ$27&lt;ProposalToGnatt[[#This Row],[Start Date]]+ProposalToGnatt[[#This Row],[Days]]),$G$5,"")),"")</f>
        <v/>
      </c>
      <c r="BR53" s="36" t="str">
        <f ca="1">IFERROR(+IF(BR$27=ProposalToGnatt[[#This Row],[Start Date]],Milestone_Marker,IF(AND(BR$27&gt;ProposalToGnatt[[#This Row],[Start Date]],BR$27&lt;ProposalToGnatt[[#This Row],[Start Date]]+ProposalToGnatt[[#This Row],[Days]]),$G$5,"")),"")</f>
        <v/>
      </c>
      <c r="BS53" s="36" t="str">
        <f ca="1">IFERROR(+IF(BS$27=ProposalToGnatt[[#This Row],[Start Date]],Milestone_Marker,IF(AND(BS$27&gt;ProposalToGnatt[[#This Row],[Start Date]],BS$27&lt;ProposalToGnatt[[#This Row],[Start Date]]+ProposalToGnatt[[#This Row],[Days]]),$G$5,"")),"")</f>
        <v/>
      </c>
      <c r="BT53" s="36" t="str">
        <f ca="1">IFERROR(+IF(BT$27=ProposalToGnatt[[#This Row],[Start Date]],Milestone_Marker,IF(AND(BT$27&gt;ProposalToGnatt[[#This Row],[Start Date]],BT$27&lt;ProposalToGnatt[[#This Row],[Start Date]]+ProposalToGnatt[[#This Row],[Days]]),$G$5,"")),"")</f>
        <v/>
      </c>
      <c r="BU53" s="36" t="str">
        <f ca="1">IFERROR(+IF(BU$27=ProposalToGnatt[[#This Row],[Start Date]],Milestone_Marker,IF(AND(BU$27&gt;ProposalToGnatt[[#This Row],[Start Date]],BU$27&lt;ProposalToGnatt[[#This Row],[Start Date]]+ProposalToGnatt[[#This Row],[Days]]),$G$5,"")),"")</f>
        <v/>
      </c>
      <c r="BV53" s="36" t="str">
        <f ca="1">IFERROR(+IF(BV$27=ProposalToGnatt[[#This Row],[Start Date]],Milestone_Marker,IF(AND(BV$27&gt;ProposalToGnatt[[#This Row],[Start Date]],BV$27&lt;ProposalToGnatt[[#This Row],[Start Date]]+ProposalToGnatt[[#This Row],[Days]]),$G$5,"")),"")</f>
        <v/>
      </c>
      <c r="BW53" s="36" t="str">
        <f ca="1">IFERROR(+IF(BW$27=ProposalToGnatt[[#This Row],[Start Date]],Milestone_Marker,IF(AND(BW$27&gt;ProposalToGnatt[[#This Row],[Start Date]],BW$27&lt;ProposalToGnatt[[#This Row],[Start Date]]+ProposalToGnatt[[#This Row],[Days]]),$G$5,"")),"")</f>
        <v/>
      </c>
      <c r="BX53" s="36" t="str">
        <f ca="1">IFERROR(+IF(BX$27=ProposalToGnatt[[#This Row],[Start Date]],Milestone_Marker,IF(AND(BX$27&gt;ProposalToGnatt[[#This Row],[Start Date]],BX$27&lt;ProposalToGnatt[[#This Row],[Start Date]]+ProposalToGnatt[[#This Row],[Days]]),$G$5,"")),"")</f>
        <v/>
      </c>
      <c r="BY53" s="36" t="str">
        <f ca="1">IFERROR(+IF(BY$27=ProposalToGnatt[[#This Row],[Start Date]],Milestone_Marker,IF(AND(BY$27&gt;ProposalToGnatt[[#This Row],[Start Date]],BY$27&lt;ProposalToGnatt[[#This Row],[Start Date]]+ProposalToGnatt[[#This Row],[Days]]),$G$5,"")),"")</f>
        <v/>
      </c>
      <c r="BZ53" s="36" t="str">
        <f ca="1">IFERROR(+IF(BZ$27=ProposalToGnatt[[#This Row],[Start Date]],Milestone_Marker,IF(AND(BZ$27&gt;ProposalToGnatt[[#This Row],[Start Date]],BZ$27&lt;ProposalToGnatt[[#This Row],[Start Date]]+ProposalToGnatt[[#This Row],[Days]]),$G$5,"")),"")</f>
        <v/>
      </c>
      <c r="CA53" s="36" t="str">
        <f ca="1">IFERROR(+IF(CA$27=ProposalToGnatt[[#This Row],[Start Date]],Milestone_Marker,IF(AND(CA$27&gt;ProposalToGnatt[[#This Row],[Start Date]],CA$27&lt;ProposalToGnatt[[#This Row],[Start Date]]+ProposalToGnatt[[#This Row],[Days]]),$G$5,"")),"")</f>
        <v/>
      </c>
      <c r="CB53" s="36" t="str">
        <f ca="1">IFERROR(+IF(CB$27=ProposalToGnatt[[#This Row],[Start Date]],Milestone_Marker,IF(AND(CB$27&gt;ProposalToGnatt[[#This Row],[Start Date]],CB$27&lt;ProposalToGnatt[[#This Row],[Start Date]]+ProposalToGnatt[[#This Row],[Days]]),$G$5,"")),"")</f>
        <v/>
      </c>
      <c r="CC53" s="36" t="str">
        <f ca="1">IFERROR(+IF(CC$27=ProposalToGnatt[[#This Row],[Start Date]],Milestone_Marker,IF(AND(CC$27&gt;ProposalToGnatt[[#This Row],[Start Date]],CC$27&lt;ProposalToGnatt[[#This Row],[Start Date]]+ProposalToGnatt[[#This Row],[Days]]),$G$5,"")),"")</f>
        <v/>
      </c>
      <c r="CD53" s="36" t="str">
        <f ca="1">IFERROR(+IF(CD$27=ProposalToGnatt[[#This Row],[Start Date]],Milestone_Marker,IF(AND(CD$27&gt;ProposalToGnatt[[#This Row],[Start Date]],CD$27&lt;ProposalToGnatt[[#This Row],[Start Date]]+ProposalToGnatt[[#This Row],[Days]]),$G$5,"")),"")</f>
        <v/>
      </c>
      <c r="CE53" s="36" t="str">
        <f ca="1">IFERROR(+IF(CE$27=ProposalToGnatt[[#This Row],[Start Date]],Milestone_Marker,IF(AND(CE$27&gt;ProposalToGnatt[[#This Row],[Start Date]],CE$27&lt;ProposalToGnatt[[#This Row],[Start Date]]+ProposalToGnatt[[#This Row],[Days]]),$G$5,"")),"")</f>
        <v/>
      </c>
      <c r="CF53" s="36" t="str">
        <f ca="1">IFERROR(+IF(CF$27=ProposalToGnatt[[#This Row],[Start Date]],Milestone_Marker,IF(AND(CF$27&gt;ProposalToGnatt[[#This Row],[Start Date]],CF$27&lt;ProposalToGnatt[[#This Row],[Start Date]]+ProposalToGnatt[[#This Row],[Days]]),$G$5,"")),"")</f>
        <v/>
      </c>
      <c r="CG53" s="36" t="str">
        <f ca="1">IFERROR(+IF(CG$27=ProposalToGnatt[[#This Row],[Start Date]],Milestone_Marker,IF(AND(CG$27&gt;ProposalToGnatt[[#This Row],[Start Date]],CG$27&lt;ProposalToGnatt[[#This Row],[Start Date]]+ProposalToGnatt[[#This Row],[Days]]),$G$5,"")),"")</f>
        <v/>
      </c>
      <c r="CH53" s="36" t="str">
        <f ca="1">IFERROR(+IF(CH$27=ProposalToGnatt[[#This Row],[Start Date]],Milestone_Marker,IF(AND(CH$27&gt;ProposalToGnatt[[#This Row],[Start Date]],CH$27&lt;ProposalToGnatt[[#This Row],[Start Date]]+ProposalToGnatt[[#This Row],[Days]]),$G$5,"")),"")</f>
        <v/>
      </c>
      <c r="CI53" s="36" t="str">
        <f ca="1">IFERROR(+IF(CI$27=ProposalToGnatt[[#This Row],[Start Date]],Milestone_Marker,IF(AND(CI$27&gt;ProposalToGnatt[[#This Row],[Start Date]],CI$27&lt;ProposalToGnatt[[#This Row],[Start Date]]+ProposalToGnatt[[#This Row],[Days]]),$G$5,"")),"")</f>
        <v/>
      </c>
      <c r="CJ53" s="36" t="str">
        <f ca="1">IFERROR(+IF(CJ$27=ProposalToGnatt[[#This Row],[Start Date]],Milestone_Marker,IF(AND(CJ$27&gt;ProposalToGnatt[[#This Row],[Start Date]],CJ$27&lt;ProposalToGnatt[[#This Row],[Start Date]]+ProposalToGnatt[[#This Row],[Days]]),$G$5,"")),"")</f>
        <v/>
      </c>
      <c r="CK53" s="36" t="str">
        <f ca="1">IFERROR(+IF(CK$27=ProposalToGnatt[[#This Row],[Start Date]],Milestone_Marker,IF(AND(CK$27&gt;ProposalToGnatt[[#This Row],[Start Date]],CK$27&lt;ProposalToGnatt[[#This Row],[Start Date]]+ProposalToGnatt[[#This Row],[Days]]),$G$5,"")),"")</f>
        <v/>
      </c>
      <c r="CL53" s="36" t="str">
        <f ca="1">IFERROR(+IF(CL$27=ProposalToGnatt[[#This Row],[Start Date]],Milestone_Marker,IF(AND(CL$27&gt;ProposalToGnatt[[#This Row],[Start Date]],CL$27&lt;ProposalToGnatt[[#This Row],[Start Date]]+ProposalToGnatt[[#This Row],[Days]]),$G$5,"")),"")</f>
        <v/>
      </c>
      <c r="CM53" s="36" t="str">
        <f ca="1">IFERROR(+IF(CM$27=ProposalToGnatt[[#This Row],[Start Date]],Milestone_Marker,IF(AND(CM$27&gt;ProposalToGnatt[[#This Row],[Start Date]],CM$27&lt;ProposalToGnatt[[#This Row],[Start Date]]+ProposalToGnatt[[#This Row],[Days]]),$G$5,"")),"")</f>
        <v/>
      </c>
      <c r="CN53" s="36" t="str">
        <f ca="1">IFERROR(+IF(CN$27=ProposalToGnatt[[#This Row],[Start Date]],Milestone_Marker,IF(AND(CN$27&gt;ProposalToGnatt[[#This Row],[Start Date]],CN$27&lt;ProposalToGnatt[[#This Row],[Start Date]]+ProposalToGnatt[[#This Row],[Days]]),$G$5,"")),"")</f>
        <v/>
      </c>
      <c r="CO53" s="36" t="str">
        <f ca="1">IFERROR(+IF(CO$27=ProposalToGnatt[[#This Row],[Start Date]],Milestone_Marker,IF(AND(CO$27&gt;ProposalToGnatt[[#This Row],[Start Date]],CO$27&lt;ProposalToGnatt[[#This Row],[Start Date]]+ProposalToGnatt[[#This Row],[Days]]),$G$5,"")),"")</f>
        <v/>
      </c>
      <c r="CP53" s="36" t="str">
        <f ca="1">IFERROR(+IF(CP$27=ProposalToGnatt[[#This Row],[Start Date]],Milestone_Marker,IF(AND(CP$27&gt;ProposalToGnatt[[#This Row],[Start Date]],CP$27&lt;ProposalToGnatt[[#This Row],[Start Date]]+ProposalToGnatt[[#This Row],[Days]]),$G$5,"")),"")</f>
        <v/>
      </c>
      <c r="CQ53" s="36" t="str">
        <f ca="1">IFERROR(+IF(CQ$27=ProposalToGnatt[[#This Row],[Start Date]],Milestone_Marker,IF(AND(CQ$27&gt;ProposalToGnatt[[#This Row],[Start Date]],CQ$27&lt;ProposalToGnatt[[#This Row],[Start Date]]+ProposalToGnatt[[#This Row],[Days]]),$G$5,"")),"")</f>
        <v/>
      </c>
      <c r="CR53" s="36" t="str">
        <f ca="1">IFERROR(+IF(CR$27=ProposalToGnatt[[#This Row],[Start Date]],Milestone_Marker,IF(AND(CR$27&gt;ProposalToGnatt[[#This Row],[Start Date]],CR$27&lt;ProposalToGnatt[[#This Row],[Start Date]]+ProposalToGnatt[[#This Row],[Days]]),$G$5,"")),"")</f>
        <v/>
      </c>
      <c r="CS53" s="36" t="str">
        <f ca="1">IFERROR(+IF(CS$27=ProposalToGnatt[[#This Row],[Start Date]],Milestone_Marker,IF(AND(CS$27&gt;ProposalToGnatt[[#This Row],[Start Date]],CS$27&lt;ProposalToGnatt[[#This Row],[Start Date]]+ProposalToGnatt[[#This Row],[Days]]),$G$5,"")),"")</f>
        <v/>
      </c>
      <c r="CT53" s="36" t="str">
        <f ca="1">IFERROR(+IF(CT$27=ProposalToGnatt[[#This Row],[Start Date]],Milestone_Marker,IF(AND(CT$27&gt;ProposalToGnatt[[#This Row],[Start Date]],CT$27&lt;ProposalToGnatt[[#This Row],[Start Date]]+ProposalToGnatt[[#This Row],[Days]]),$G$5,"")),"")</f>
        <v/>
      </c>
      <c r="CU53" s="36" t="str">
        <f ca="1">IFERROR(+IF(CU$27=ProposalToGnatt[[#This Row],[Start Date]],Milestone_Marker,IF(AND(CU$27&gt;ProposalToGnatt[[#This Row],[Start Date]],CU$27&lt;ProposalToGnatt[[#This Row],[Start Date]]+ProposalToGnatt[[#This Row],[Days]]),$G$5,"")),"")</f>
        <v/>
      </c>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row>
    <row r="54" spans="1:125" s="41" customFormat="1" ht="15" x14ac:dyDescent="0.25">
      <c r="A54"/>
      <c r="B54"/>
      <c r="C54"/>
      <c r="D54"/>
      <c r="E54"/>
      <c r="F54"/>
      <c r="G54" s="14"/>
      <c r="H54" s="14"/>
      <c r="I54"/>
      <c r="J54"/>
      <c r="K54" s="261"/>
      <c r="L54"/>
      <c r="M54" s="14"/>
      <c r="N54" s="309"/>
      <c r="O54" s="297"/>
      <c r="P54" s="36" t="str">
        <f ca="1">IFERROR(+IF(P$27=ProposalToGnatt[[#This Row],[Start Date]],Milestone_Marker,IF(AND(P$27&gt;ProposalToGnatt[[#This Row],[Start Date]],P$27&lt;ProposalToGnatt[[#This Row],[Start Date]]+ProposalToGnatt[[#This Row],[Days]]),$G$5,"")),"")</f>
        <v/>
      </c>
      <c r="Q54" s="36" t="str">
        <f ca="1">IFERROR(+IF(Q$27=ProposalToGnatt[[#This Row],[Start Date]],Milestone_Marker,IF(AND(Q$27&gt;ProposalToGnatt[[#This Row],[Start Date]],Q$27&lt;ProposalToGnatt[[#This Row],[Start Date]]+ProposalToGnatt[[#This Row],[Days]]),$G$5,"")),"")</f>
        <v/>
      </c>
      <c r="R54" s="36" t="str">
        <f ca="1">IFERROR(+IF(R$27=ProposalToGnatt[[#This Row],[Start Date]],Milestone_Marker,IF(AND(R$27&gt;ProposalToGnatt[[#This Row],[Start Date]],R$27&lt;ProposalToGnatt[[#This Row],[Start Date]]+ProposalToGnatt[[#This Row],[Days]]),$G$5,"")),"")</f>
        <v/>
      </c>
      <c r="S54" s="36" t="str">
        <f ca="1">IFERROR(+IF(S$27=ProposalToGnatt[[#This Row],[Start Date]],Milestone_Marker,IF(AND(S$27&gt;ProposalToGnatt[[#This Row],[Start Date]],S$27&lt;ProposalToGnatt[[#This Row],[Start Date]]+ProposalToGnatt[[#This Row],[Days]]),$G$5,"")),"")</f>
        <v/>
      </c>
      <c r="T54" s="36" t="str">
        <f ca="1">IFERROR(+IF(T$27=ProposalToGnatt[[#This Row],[Start Date]],Milestone_Marker,IF(AND(T$27&gt;ProposalToGnatt[[#This Row],[Start Date]],T$27&lt;ProposalToGnatt[[#This Row],[Start Date]]+ProposalToGnatt[[#This Row],[Days]]),$G$5,"")),"")</f>
        <v/>
      </c>
      <c r="U54" s="36" t="str">
        <f ca="1">IFERROR(+IF(U$27=ProposalToGnatt[[#This Row],[Start Date]],Milestone_Marker,IF(AND(U$27&gt;ProposalToGnatt[[#This Row],[Start Date]],U$27&lt;ProposalToGnatt[[#This Row],[Start Date]]+ProposalToGnatt[[#This Row],[Days]]),$G$5,"")),"")</f>
        <v/>
      </c>
      <c r="V54" s="36" t="str">
        <f ca="1">IFERROR(+IF(V$27=ProposalToGnatt[[#This Row],[Start Date]],Milestone_Marker,IF(AND(V$27&gt;ProposalToGnatt[[#This Row],[Start Date]],V$27&lt;ProposalToGnatt[[#This Row],[Start Date]]+ProposalToGnatt[[#This Row],[Days]]),$G$5,"")),"")</f>
        <v/>
      </c>
      <c r="W54" s="36" t="str">
        <f ca="1">IFERROR(+IF(W$27=ProposalToGnatt[[#This Row],[Start Date]],Milestone_Marker,IF(AND(W$27&gt;ProposalToGnatt[[#This Row],[Start Date]],W$27&lt;ProposalToGnatt[[#This Row],[Start Date]]+ProposalToGnatt[[#This Row],[Days]]),$G$5,"")),"")</f>
        <v/>
      </c>
      <c r="X54" s="36" t="str">
        <f ca="1">IFERROR(+IF(X$27=ProposalToGnatt[[#This Row],[Start Date]],Milestone_Marker,IF(AND(X$27&gt;ProposalToGnatt[[#This Row],[Start Date]],X$27&lt;ProposalToGnatt[[#This Row],[Start Date]]+ProposalToGnatt[[#This Row],[Days]]),$G$5,"")),"")</f>
        <v/>
      </c>
      <c r="Y54" s="36" t="str">
        <f ca="1">IFERROR(+IF(Y$27=ProposalToGnatt[[#This Row],[Start Date]],Milestone_Marker,IF(AND(Y$27&gt;ProposalToGnatt[[#This Row],[Start Date]],Y$27&lt;ProposalToGnatt[[#This Row],[Start Date]]+ProposalToGnatt[[#This Row],[Days]]),$G$5,"")),"")</f>
        <v/>
      </c>
      <c r="Z54" s="36" t="str">
        <f ca="1">IFERROR(+IF(Z$27=ProposalToGnatt[[#This Row],[Start Date]],Milestone_Marker,IF(AND(Z$27&gt;ProposalToGnatt[[#This Row],[Start Date]],Z$27&lt;ProposalToGnatt[[#This Row],[Start Date]]+ProposalToGnatt[[#This Row],[Days]]),$G$5,"")),"")</f>
        <v/>
      </c>
      <c r="AA54" s="36" t="str">
        <f ca="1">IFERROR(+IF(AA$27=ProposalToGnatt[[#This Row],[Start Date]],Milestone_Marker,IF(AND(AA$27&gt;ProposalToGnatt[[#This Row],[Start Date]],AA$27&lt;ProposalToGnatt[[#This Row],[Start Date]]+ProposalToGnatt[[#This Row],[Days]]),$G$5,"")),"")</f>
        <v/>
      </c>
      <c r="AB54" s="36" t="str">
        <f ca="1">IFERROR(+IF(AB$27=ProposalToGnatt[[#This Row],[Start Date]],Milestone_Marker,IF(AND(AB$27&gt;ProposalToGnatt[[#This Row],[Start Date]],AB$27&lt;ProposalToGnatt[[#This Row],[Start Date]]+ProposalToGnatt[[#This Row],[Days]]),$G$5,"")),"")</f>
        <v/>
      </c>
      <c r="AC54" s="36" t="str">
        <f ca="1">IFERROR(+IF(AC$27=ProposalToGnatt[[#This Row],[Start Date]],Milestone_Marker,IF(AND(AC$27&gt;ProposalToGnatt[[#This Row],[Start Date]],AC$27&lt;ProposalToGnatt[[#This Row],[Start Date]]+ProposalToGnatt[[#This Row],[Days]]),$G$5,"")),"")</f>
        <v/>
      </c>
      <c r="AD54" s="36" t="str">
        <f ca="1">IFERROR(+IF(AD$27=ProposalToGnatt[[#This Row],[Start Date]],Milestone_Marker,IF(AND(AD$27&gt;ProposalToGnatt[[#This Row],[Start Date]],AD$27&lt;ProposalToGnatt[[#This Row],[Start Date]]+ProposalToGnatt[[#This Row],[Days]]),$G$5,"")),"")</f>
        <v/>
      </c>
      <c r="AE54" s="36" t="str">
        <f ca="1">IFERROR(+IF(AE$27=ProposalToGnatt[[#This Row],[Start Date]],Milestone_Marker,IF(AND(AE$27&gt;ProposalToGnatt[[#This Row],[Start Date]],AE$27&lt;ProposalToGnatt[[#This Row],[Start Date]]+ProposalToGnatt[[#This Row],[Days]]),$G$5,"")),"")</f>
        <v/>
      </c>
      <c r="AF54" s="36" t="str">
        <f ca="1">IFERROR(+IF(AF$27=ProposalToGnatt[[#This Row],[Start Date]],Milestone_Marker,IF(AND(AF$27&gt;ProposalToGnatt[[#This Row],[Start Date]],AF$27&lt;ProposalToGnatt[[#This Row],[Start Date]]+ProposalToGnatt[[#This Row],[Days]]),$G$5,"")),"")</f>
        <v/>
      </c>
      <c r="AG54" s="36" t="str">
        <f ca="1">IFERROR(+IF(AG$27=ProposalToGnatt[[#This Row],[Start Date]],Milestone_Marker,IF(AND(AG$27&gt;ProposalToGnatt[[#This Row],[Start Date]],AG$27&lt;ProposalToGnatt[[#This Row],[Start Date]]+ProposalToGnatt[[#This Row],[Days]]),$G$5,"")),"")</f>
        <v/>
      </c>
      <c r="AH54" s="36" t="str">
        <f ca="1">IFERROR(+IF(AH$27=ProposalToGnatt[[#This Row],[Start Date]],Milestone_Marker,IF(AND(AH$27&gt;ProposalToGnatt[[#This Row],[Start Date]],AH$27&lt;ProposalToGnatt[[#This Row],[Start Date]]+ProposalToGnatt[[#This Row],[Days]]),$G$5,"")),"")</f>
        <v/>
      </c>
      <c r="AI54" s="36" t="str">
        <f ca="1">IFERROR(+IF(AI$27=ProposalToGnatt[[#This Row],[Start Date]],Milestone_Marker,IF(AND(AI$27&gt;ProposalToGnatt[[#This Row],[Start Date]],AI$27&lt;ProposalToGnatt[[#This Row],[Start Date]]+ProposalToGnatt[[#This Row],[Days]]),$G$5,"")),"")</f>
        <v/>
      </c>
      <c r="AJ54" s="36" t="str">
        <f ca="1">IFERROR(+IF(AJ$27=ProposalToGnatt[[#This Row],[Start Date]],Milestone_Marker,IF(AND(AJ$27&gt;ProposalToGnatt[[#This Row],[Start Date]],AJ$27&lt;ProposalToGnatt[[#This Row],[Start Date]]+ProposalToGnatt[[#This Row],[Days]]),$G$5,"")),"")</f>
        <v/>
      </c>
      <c r="AK54" s="36" t="str">
        <f ca="1">IFERROR(+IF(AK$27=ProposalToGnatt[[#This Row],[Start Date]],Milestone_Marker,IF(AND(AK$27&gt;ProposalToGnatt[[#This Row],[Start Date]],AK$27&lt;ProposalToGnatt[[#This Row],[Start Date]]+ProposalToGnatt[[#This Row],[Days]]),$G$5,"")),"")</f>
        <v/>
      </c>
      <c r="AL54" s="36" t="str">
        <f ca="1">IFERROR(+IF(AL$27=ProposalToGnatt[[#This Row],[Start Date]],Milestone_Marker,IF(AND(AL$27&gt;ProposalToGnatt[[#This Row],[Start Date]],AL$27&lt;ProposalToGnatt[[#This Row],[Start Date]]+ProposalToGnatt[[#This Row],[Days]]),$G$5,"")),"")</f>
        <v/>
      </c>
      <c r="AM54" s="36" t="str">
        <f ca="1">IFERROR(+IF(AM$27=ProposalToGnatt[[#This Row],[Start Date]],Milestone_Marker,IF(AND(AM$27&gt;ProposalToGnatt[[#This Row],[Start Date]],AM$27&lt;ProposalToGnatt[[#This Row],[Start Date]]+ProposalToGnatt[[#This Row],[Days]]),$G$5,"")),"")</f>
        <v/>
      </c>
      <c r="AN54" s="36" t="str">
        <f ca="1">IFERROR(+IF(AN$27=ProposalToGnatt[[#This Row],[Start Date]],Milestone_Marker,IF(AND(AN$27&gt;ProposalToGnatt[[#This Row],[Start Date]],AN$27&lt;ProposalToGnatt[[#This Row],[Start Date]]+ProposalToGnatt[[#This Row],[Days]]),$G$5,"")),"")</f>
        <v/>
      </c>
      <c r="AO54" s="36" t="str">
        <f ca="1">IFERROR(+IF(AO$27=ProposalToGnatt[[#This Row],[Start Date]],Milestone_Marker,IF(AND(AO$27&gt;ProposalToGnatt[[#This Row],[Start Date]],AO$27&lt;ProposalToGnatt[[#This Row],[Start Date]]+ProposalToGnatt[[#This Row],[Days]]),$G$5,"")),"")</f>
        <v/>
      </c>
      <c r="AP54" s="36" t="str">
        <f ca="1">IFERROR(+IF(AP$27=ProposalToGnatt[[#This Row],[Start Date]],Milestone_Marker,IF(AND(AP$27&gt;ProposalToGnatt[[#This Row],[Start Date]],AP$27&lt;ProposalToGnatt[[#This Row],[Start Date]]+ProposalToGnatt[[#This Row],[Days]]),$G$5,"")),"")</f>
        <v/>
      </c>
      <c r="AQ54" s="36" t="str">
        <f ca="1">IFERROR(+IF(AQ$27=ProposalToGnatt[[#This Row],[Start Date]],Milestone_Marker,IF(AND(AQ$27&gt;ProposalToGnatt[[#This Row],[Start Date]],AQ$27&lt;ProposalToGnatt[[#This Row],[Start Date]]+ProposalToGnatt[[#This Row],[Days]]),$G$5,"")),"")</f>
        <v/>
      </c>
      <c r="AR54" s="36" t="str">
        <f ca="1">IFERROR(+IF(AR$27=ProposalToGnatt[[#This Row],[Start Date]],Milestone_Marker,IF(AND(AR$27&gt;ProposalToGnatt[[#This Row],[Start Date]],AR$27&lt;ProposalToGnatt[[#This Row],[Start Date]]+ProposalToGnatt[[#This Row],[Days]]),$G$5,"")),"")</f>
        <v/>
      </c>
      <c r="AS54" s="36" t="str">
        <f ca="1">IFERROR(+IF(AS$27=ProposalToGnatt[[#This Row],[Start Date]],Milestone_Marker,IF(AND(AS$27&gt;ProposalToGnatt[[#This Row],[Start Date]],AS$27&lt;ProposalToGnatt[[#This Row],[Start Date]]+ProposalToGnatt[[#This Row],[Days]]),$G$5,"")),"")</f>
        <v/>
      </c>
      <c r="AT54" s="36" t="str">
        <f ca="1">IFERROR(+IF(AT$27=ProposalToGnatt[[#This Row],[Start Date]],Milestone_Marker,IF(AND(AT$27&gt;ProposalToGnatt[[#This Row],[Start Date]],AT$27&lt;ProposalToGnatt[[#This Row],[Start Date]]+ProposalToGnatt[[#This Row],[Days]]),$G$5,"")),"")</f>
        <v/>
      </c>
      <c r="AU54" s="36" t="str">
        <f ca="1">IFERROR(+IF(AU$27=ProposalToGnatt[[#This Row],[Start Date]],Milestone_Marker,IF(AND(AU$27&gt;ProposalToGnatt[[#This Row],[Start Date]],AU$27&lt;ProposalToGnatt[[#This Row],[Start Date]]+ProposalToGnatt[[#This Row],[Days]]),$G$5,"")),"")</f>
        <v/>
      </c>
      <c r="AV54" s="36" t="str">
        <f ca="1">IFERROR(+IF(AV$27=ProposalToGnatt[[#This Row],[Start Date]],Milestone_Marker,IF(AND(AV$27&gt;ProposalToGnatt[[#This Row],[Start Date]],AV$27&lt;ProposalToGnatt[[#This Row],[Start Date]]+ProposalToGnatt[[#This Row],[Days]]),$G$5,"")),"")</f>
        <v/>
      </c>
      <c r="AW54" s="36" t="str">
        <f ca="1">IFERROR(+IF(AW$27=ProposalToGnatt[[#This Row],[Start Date]],Milestone_Marker,IF(AND(AW$27&gt;ProposalToGnatt[[#This Row],[Start Date]],AW$27&lt;ProposalToGnatt[[#This Row],[Start Date]]+ProposalToGnatt[[#This Row],[Days]]),$G$5,"")),"")</f>
        <v/>
      </c>
      <c r="AX54" s="36" t="str">
        <f ca="1">IFERROR(+IF(AX$27=ProposalToGnatt[[#This Row],[Start Date]],Milestone_Marker,IF(AND(AX$27&gt;ProposalToGnatt[[#This Row],[Start Date]],AX$27&lt;ProposalToGnatt[[#This Row],[Start Date]]+ProposalToGnatt[[#This Row],[Days]]),$G$5,"")),"")</f>
        <v/>
      </c>
      <c r="AY54" s="36" t="str">
        <f ca="1">IFERROR(+IF(AY$27=ProposalToGnatt[[#This Row],[Start Date]],Milestone_Marker,IF(AND(AY$27&gt;ProposalToGnatt[[#This Row],[Start Date]],AY$27&lt;ProposalToGnatt[[#This Row],[Start Date]]+ProposalToGnatt[[#This Row],[Days]]),$G$5,"")),"")</f>
        <v/>
      </c>
      <c r="AZ54" s="36" t="str">
        <f ca="1">IFERROR(+IF(AZ$27=ProposalToGnatt[[#This Row],[Start Date]],Milestone_Marker,IF(AND(AZ$27&gt;ProposalToGnatt[[#This Row],[Start Date]],AZ$27&lt;ProposalToGnatt[[#This Row],[Start Date]]+ProposalToGnatt[[#This Row],[Days]]),$G$5,"")),"")</f>
        <v/>
      </c>
      <c r="BA54" s="36" t="str">
        <f ca="1">IFERROR(+IF(BA$27=ProposalToGnatt[[#This Row],[Start Date]],Milestone_Marker,IF(AND(BA$27&gt;ProposalToGnatt[[#This Row],[Start Date]],BA$27&lt;ProposalToGnatt[[#This Row],[Start Date]]+ProposalToGnatt[[#This Row],[Days]]),$G$5,"")),"")</f>
        <v/>
      </c>
      <c r="BB54" s="36" t="str">
        <f ca="1">IFERROR(+IF(BB$27=ProposalToGnatt[[#This Row],[Start Date]],Milestone_Marker,IF(AND(BB$27&gt;ProposalToGnatt[[#This Row],[Start Date]],BB$27&lt;ProposalToGnatt[[#This Row],[Start Date]]+ProposalToGnatt[[#This Row],[Days]]),$G$5,"")),"")</f>
        <v/>
      </c>
      <c r="BC54" s="36" t="str">
        <f ca="1">IFERROR(+IF(BC$27=ProposalToGnatt[[#This Row],[Start Date]],Milestone_Marker,IF(AND(BC$27&gt;ProposalToGnatt[[#This Row],[Start Date]],BC$27&lt;ProposalToGnatt[[#This Row],[Start Date]]+ProposalToGnatt[[#This Row],[Days]]),$G$5,"")),"")</f>
        <v/>
      </c>
      <c r="BD54" s="36" t="str">
        <f ca="1">IFERROR(+IF(BD$27=ProposalToGnatt[[#This Row],[Start Date]],Milestone_Marker,IF(AND(BD$27&gt;ProposalToGnatt[[#This Row],[Start Date]],BD$27&lt;ProposalToGnatt[[#This Row],[Start Date]]+ProposalToGnatt[[#This Row],[Days]]),$G$5,"")),"")</f>
        <v/>
      </c>
      <c r="BE54" s="36" t="str">
        <f ca="1">IFERROR(+IF(BE$27=ProposalToGnatt[[#This Row],[Start Date]],Milestone_Marker,IF(AND(BE$27&gt;ProposalToGnatt[[#This Row],[Start Date]],BE$27&lt;ProposalToGnatt[[#This Row],[Start Date]]+ProposalToGnatt[[#This Row],[Days]]),$G$5,"")),"")</f>
        <v/>
      </c>
      <c r="BF54" s="36" t="str">
        <f ca="1">IFERROR(+IF(BF$27=ProposalToGnatt[[#This Row],[Start Date]],Milestone_Marker,IF(AND(BF$27&gt;ProposalToGnatt[[#This Row],[Start Date]],BF$27&lt;ProposalToGnatt[[#This Row],[Start Date]]+ProposalToGnatt[[#This Row],[Days]]),$G$5,"")),"")</f>
        <v/>
      </c>
      <c r="BG54" s="36" t="str">
        <f ca="1">IFERROR(+IF(BG$27=ProposalToGnatt[[#This Row],[Start Date]],Milestone_Marker,IF(AND(BG$27&gt;ProposalToGnatt[[#This Row],[Start Date]],BG$27&lt;ProposalToGnatt[[#This Row],[Start Date]]+ProposalToGnatt[[#This Row],[Days]]),$G$5,"")),"")</f>
        <v/>
      </c>
      <c r="BH54" s="36" t="str">
        <f ca="1">IFERROR(+IF(BH$27=ProposalToGnatt[[#This Row],[Start Date]],Milestone_Marker,IF(AND(BH$27&gt;ProposalToGnatt[[#This Row],[Start Date]],BH$27&lt;ProposalToGnatt[[#This Row],[Start Date]]+ProposalToGnatt[[#This Row],[Days]]),$G$5,"")),"")</f>
        <v/>
      </c>
      <c r="BI54" s="36" t="str">
        <f ca="1">IFERROR(+IF(BI$27=ProposalToGnatt[[#This Row],[Start Date]],Milestone_Marker,IF(AND(BI$27&gt;ProposalToGnatt[[#This Row],[Start Date]],BI$27&lt;ProposalToGnatt[[#This Row],[Start Date]]+ProposalToGnatt[[#This Row],[Days]]),$G$5,"")),"")</f>
        <v/>
      </c>
      <c r="BJ54" s="36" t="str">
        <f ca="1">IFERROR(+IF(BJ$27=ProposalToGnatt[[#This Row],[Start Date]],Milestone_Marker,IF(AND(BJ$27&gt;ProposalToGnatt[[#This Row],[Start Date]],BJ$27&lt;ProposalToGnatt[[#This Row],[Start Date]]+ProposalToGnatt[[#This Row],[Days]]),$G$5,"")),"")</f>
        <v/>
      </c>
      <c r="BK54" s="36" t="str">
        <f ca="1">IFERROR(+IF(BK$27=ProposalToGnatt[[#This Row],[Start Date]],Milestone_Marker,IF(AND(BK$27&gt;ProposalToGnatt[[#This Row],[Start Date]],BK$27&lt;ProposalToGnatt[[#This Row],[Start Date]]+ProposalToGnatt[[#This Row],[Days]]),$G$5,"")),"")</f>
        <v/>
      </c>
      <c r="BL54" s="36" t="str">
        <f ca="1">IFERROR(+IF(BL$27=ProposalToGnatt[[#This Row],[Start Date]],Milestone_Marker,IF(AND(BL$27&gt;ProposalToGnatt[[#This Row],[Start Date]],BL$27&lt;ProposalToGnatt[[#This Row],[Start Date]]+ProposalToGnatt[[#This Row],[Days]]),$G$5,"")),"")</f>
        <v/>
      </c>
      <c r="BM54" s="36" t="str">
        <f ca="1">IFERROR(+IF(BM$27=ProposalToGnatt[[#This Row],[Start Date]],Milestone_Marker,IF(AND(BM$27&gt;ProposalToGnatt[[#This Row],[Start Date]],BM$27&lt;ProposalToGnatt[[#This Row],[Start Date]]+ProposalToGnatt[[#This Row],[Days]]),$G$5,"")),"")</f>
        <v/>
      </c>
      <c r="BN54" s="36" t="str">
        <f ca="1">IFERROR(+IF(BN$27=ProposalToGnatt[[#This Row],[Start Date]],Milestone_Marker,IF(AND(BN$27&gt;ProposalToGnatt[[#This Row],[Start Date]],BN$27&lt;ProposalToGnatt[[#This Row],[Start Date]]+ProposalToGnatt[[#This Row],[Days]]),$G$5,"")),"")</f>
        <v/>
      </c>
      <c r="BO54" s="36" t="str">
        <f ca="1">IFERROR(+IF(BO$27=ProposalToGnatt[[#This Row],[Start Date]],Milestone_Marker,IF(AND(BO$27&gt;ProposalToGnatt[[#This Row],[Start Date]],BO$27&lt;ProposalToGnatt[[#This Row],[Start Date]]+ProposalToGnatt[[#This Row],[Days]]),$G$5,"")),"")</f>
        <v/>
      </c>
      <c r="BP54" s="36" t="str">
        <f ca="1">IFERROR(+IF(BP$27=ProposalToGnatt[[#This Row],[Start Date]],Milestone_Marker,IF(AND(BP$27&gt;ProposalToGnatt[[#This Row],[Start Date]],BP$27&lt;ProposalToGnatt[[#This Row],[Start Date]]+ProposalToGnatt[[#This Row],[Days]]),$G$5,"")),"")</f>
        <v/>
      </c>
      <c r="BQ54" s="36" t="str">
        <f ca="1">IFERROR(+IF(BQ$27=ProposalToGnatt[[#This Row],[Start Date]],Milestone_Marker,IF(AND(BQ$27&gt;ProposalToGnatt[[#This Row],[Start Date]],BQ$27&lt;ProposalToGnatt[[#This Row],[Start Date]]+ProposalToGnatt[[#This Row],[Days]]),$G$5,"")),"")</f>
        <v/>
      </c>
      <c r="BR54" s="36" t="str">
        <f ca="1">IFERROR(+IF(BR$27=ProposalToGnatt[[#This Row],[Start Date]],Milestone_Marker,IF(AND(BR$27&gt;ProposalToGnatt[[#This Row],[Start Date]],BR$27&lt;ProposalToGnatt[[#This Row],[Start Date]]+ProposalToGnatt[[#This Row],[Days]]),$G$5,"")),"")</f>
        <v/>
      </c>
      <c r="BS54" s="36" t="str">
        <f ca="1">IFERROR(+IF(BS$27=ProposalToGnatt[[#This Row],[Start Date]],Milestone_Marker,IF(AND(BS$27&gt;ProposalToGnatt[[#This Row],[Start Date]],BS$27&lt;ProposalToGnatt[[#This Row],[Start Date]]+ProposalToGnatt[[#This Row],[Days]]),$G$5,"")),"")</f>
        <v/>
      </c>
      <c r="BT54" s="36" t="str">
        <f ca="1">IFERROR(+IF(BT$27=ProposalToGnatt[[#This Row],[Start Date]],Milestone_Marker,IF(AND(BT$27&gt;ProposalToGnatt[[#This Row],[Start Date]],BT$27&lt;ProposalToGnatt[[#This Row],[Start Date]]+ProposalToGnatt[[#This Row],[Days]]),$G$5,"")),"")</f>
        <v/>
      </c>
      <c r="BU54" s="36" t="str">
        <f ca="1">IFERROR(+IF(BU$27=ProposalToGnatt[[#This Row],[Start Date]],Milestone_Marker,IF(AND(BU$27&gt;ProposalToGnatt[[#This Row],[Start Date]],BU$27&lt;ProposalToGnatt[[#This Row],[Start Date]]+ProposalToGnatt[[#This Row],[Days]]),$G$5,"")),"")</f>
        <v/>
      </c>
      <c r="BV54" s="36" t="str">
        <f ca="1">IFERROR(+IF(BV$27=ProposalToGnatt[[#This Row],[Start Date]],Milestone_Marker,IF(AND(BV$27&gt;ProposalToGnatt[[#This Row],[Start Date]],BV$27&lt;ProposalToGnatt[[#This Row],[Start Date]]+ProposalToGnatt[[#This Row],[Days]]),$G$5,"")),"")</f>
        <v/>
      </c>
      <c r="BW54" s="36" t="str">
        <f ca="1">IFERROR(+IF(BW$27=ProposalToGnatt[[#This Row],[Start Date]],Milestone_Marker,IF(AND(BW$27&gt;ProposalToGnatt[[#This Row],[Start Date]],BW$27&lt;ProposalToGnatt[[#This Row],[Start Date]]+ProposalToGnatt[[#This Row],[Days]]),$G$5,"")),"")</f>
        <v/>
      </c>
      <c r="BX54" s="36" t="str">
        <f ca="1">IFERROR(+IF(BX$27=ProposalToGnatt[[#This Row],[Start Date]],Milestone_Marker,IF(AND(BX$27&gt;ProposalToGnatt[[#This Row],[Start Date]],BX$27&lt;ProposalToGnatt[[#This Row],[Start Date]]+ProposalToGnatt[[#This Row],[Days]]),$G$5,"")),"")</f>
        <v/>
      </c>
      <c r="BY54" s="36" t="str">
        <f ca="1">IFERROR(+IF(BY$27=ProposalToGnatt[[#This Row],[Start Date]],Milestone_Marker,IF(AND(BY$27&gt;ProposalToGnatt[[#This Row],[Start Date]],BY$27&lt;ProposalToGnatt[[#This Row],[Start Date]]+ProposalToGnatt[[#This Row],[Days]]),$G$5,"")),"")</f>
        <v/>
      </c>
      <c r="BZ54" s="36" t="str">
        <f ca="1">IFERROR(+IF(BZ$27=ProposalToGnatt[[#This Row],[Start Date]],Milestone_Marker,IF(AND(BZ$27&gt;ProposalToGnatt[[#This Row],[Start Date]],BZ$27&lt;ProposalToGnatt[[#This Row],[Start Date]]+ProposalToGnatt[[#This Row],[Days]]),$G$5,"")),"")</f>
        <v/>
      </c>
      <c r="CA54" s="36" t="str">
        <f ca="1">IFERROR(+IF(CA$27=ProposalToGnatt[[#This Row],[Start Date]],Milestone_Marker,IF(AND(CA$27&gt;ProposalToGnatt[[#This Row],[Start Date]],CA$27&lt;ProposalToGnatt[[#This Row],[Start Date]]+ProposalToGnatt[[#This Row],[Days]]),$G$5,"")),"")</f>
        <v/>
      </c>
      <c r="CB54" s="36" t="str">
        <f ca="1">IFERROR(+IF(CB$27=ProposalToGnatt[[#This Row],[Start Date]],Milestone_Marker,IF(AND(CB$27&gt;ProposalToGnatt[[#This Row],[Start Date]],CB$27&lt;ProposalToGnatt[[#This Row],[Start Date]]+ProposalToGnatt[[#This Row],[Days]]),$G$5,"")),"")</f>
        <v/>
      </c>
      <c r="CC54" s="36" t="str">
        <f ca="1">IFERROR(+IF(CC$27=ProposalToGnatt[[#This Row],[Start Date]],Milestone_Marker,IF(AND(CC$27&gt;ProposalToGnatt[[#This Row],[Start Date]],CC$27&lt;ProposalToGnatt[[#This Row],[Start Date]]+ProposalToGnatt[[#This Row],[Days]]),$G$5,"")),"")</f>
        <v/>
      </c>
      <c r="CD54" s="36" t="str">
        <f ca="1">IFERROR(+IF(CD$27=ProposalToGnatt[[#This Row],[Start Date]],Milestone_Marker,IF(AND(CD$27&gt;ProposalToGnatt[[#This Row],[Start Date]],CD$27&lt;ProposalToGnatt[[#This Row],[Start Date]]+ProposalToGnatt[[#This Row],[Days]]),$G$5,"")),"")</f>
        <v/>
      </c>
      <c r="CE54" s="36" t="str">
        <f ca="1">IFERROR(+IF(CE$27=ProposalToGnatt[[#This Row],[Start Date]],Milestone_Marker,IF(AND(CE$27&gt;ProposalToGnatt[[#This Row],[Start Date]],CE$27&lt;ProposalToGnatt[[#This Row],[Start Date]]+ProposalToGnatt[[#This Row],[Days]]),$G$5,"")),"")</f>
        <v/>
      </c>
      <c r="CF54" s="36" t="str">
        <f ca="1">IFERROR(+IF(CF$27=ProposalToGnatt[[#This Row],[Start Date]],Milestone_Marker,IF(AND(CF$27&gt;ProposalToGnatt[[#This Row],[Start Date]],CF$27&lt;ProposalToGnatt[[#This Row],[Start Date]]+ProposalToGnatt[[#This Row],[Days]]),$G$5,"")),"")</f>
        <v/>
      </c>
      <c r="CG54" s="36" t="str">
        <f ca="1">IFERROR(+IF(CG$27=ProposalToGnatt[[#This Row],[Start Date]],Milestone_Marker,IF(AND(CG$27&gt;ProposalToGnatt[[#This Row],[Start Date]],CG$27&lt;ProposalToGnatt[[#This Row],[Start Date]]+ProposalToGnatt[[#This Row],[Days]]),$G$5,"")),"")</f>
        <v/>
      </c>
      <c r="CH54" s="36" t="str">
        <f ca="1">IFERROR(+IF(CH$27=ProposalToGnatt[[#This Row],[Start Date]],Milestone_Marker,IF(AND(CH$27&gt;ProposalToGnatt[[#This Row],[Start Date]],CH$27&lt;ProposalToGnatt[[#This Row],[Start Date]]+ProposalToGnatt[[#This Row],[Days]]),$G$5,"")),"")</f>
        <v/>
      </c>
      <c r="CI54" s="36" t="str">
        <f ca="1">IFERROR(+IF(CI$27=ProposalToGnatt[[#This Row],[Start Date]],Milestone_Marker,IF(AND(CI$27&gt;ProposalToGnatt[[#This Row],[Start Date]],CI$27&lt;ProposalToGnatt[[#This Row],[Start Date]]+ProposalToGnatt[[#This Row],[Days]]),$G$5,"")),"")</f>
        <v/>
      </c>
      <c r="CJ54" s="36" t="str">
        <f ca="1">IFERROR(+IF(CJ$27=ProposalToGnatt[[#This Row],[Start Date]],Milestone_Marker,IF(AND(CJ$27&gt;ProposalToGnatt[[#This Row],[Start Date]],CJ$27&lt;ProposalToGnatt[[#This Row],[Start Date]]+ProposalToGnatt[[#This Row],[Days]]),$G$5,"")),"")</f>
        <v/>
      </c>
      <c r="CK54" s="36" t="str">
        <f ca="1">IFERROR(+IF(CK$27=ProposalToGnatt[[#This Row],[Start Date]],Milestone_Marker,IF(AND(CK$27&gt;ProposalToGnatt[[#This Row],[Start Date]],CK$27&lt;ProposalToGnatt[[#This Row],[Start Date]]+ProposalToGnatt[[#This Row],[Days]]),$G$5,"")),"")</f>
        <v/>
      </c>
      <c r="CL54" s="36" t="str">
        <f ca="1">IFERROR(+IF(CL$27=ProposalToGnatt[[#This Row],[Start Date]],Milestone_Marker,IF(AND(CL$27&gt;ProposalToGnatt[[#This Row],[Start Date]],CL$27&lt;ProposalToGnatt[[#This Row],[Start Date]]+ProposalToGnatt[[#This Row],[Days]]),$G$5,"")),"")</f>
        <v/>
      </c>
      <c r="CM54" s="36" t="str">
        <f ca="1">IFERROR(+IF(CM$27=ProposalToGnatt[[#This Row],[Start Date]],Milestone_Marker,IF(AND(CM$27&gt;ProposalToGnatt[[#This Row],[Start Date]],CM$27&lt;ProposalToGnatt[[#This Row],[Start Date]]+ProposalToGnatt[[#This Row],[Days]]),$G$5,"")),"")</f>
        <v/>
      </c>
      <c r="CN54" s="36" t="str">
        <f ca="1">IFERROR(+IF(CN$27=ProposalToGnatt[[#This Row],[Start Date]],Milestone_Marker,IF(AND(CN$27&gt;ProposalToGnatt[[#This Row],[Start Date]],CN$27&lt;ProposalToGnatt[[#This Row],[Start Date]]+ProposalToGnatt[[#This Row],[Days]]),$G$5,"")),"")</f>
        <v/>
      </c>
      <c r="CO54" s="36" t="str">
        <f ca="1">IFERROR(+IF(CO$27=ProposalToGnatt[[#This Row],[Start Date]],Milestone_Marker,IF(AND(CO$27&gt;ProposalToGnatt[[#This Row],[Start Date]],CO$27&lt;ProposalToGnatt[[#This Row],[Start Date]]+ProposalToGnatt[[#This Row],[Days]]),$G$5,"")),"")</f>
        <v/>
      </c>
      <c r="CP54" s="36" t="str">
        <f ca="1">IFERROR(+IF(CP$27=ProposalToGnatt[[#This Row],[Start Date]],Milestone_Marker,IF(AND(CP$27&gt;ProposalToGnatt[[#This Row],[Start Date]],CP$27&lt;ProposalToGnatt[[#This Row],[Start Date]]+ProposalToGnatt[[#This Row],[Days]]),$G$5,"")),"")</f>
        <v/>
      </c>
      <c r="CQ54" s="36" t="str">
        <f ca="1">IFERROR(+IF(CQ$27=ProposalToGnatt[[#This Row],[Start Date]],Milestone_Marker,IF(AND(CQ$27&gt;ProposalToGnatt[[#This Row],[Start Date]],CQ$27&lt;ProposalToGnatt[[#This Row],[Start Date]]+ProposalToGnatt[[#This Row],[Days]]),$G$5,"")),"")</f>
        <v/>
      </c>
      <c r="CR54" s="36" t="str">
        <f ca="1">IFERROR(+IF(CR$27=ProposalToGnatt[[#This Row],[Start Date]],Milestone_Marker,IF(AND(CR$27&gt;ProposalToGnatt[[#This Row],[Start Date]],CR$27&lt;ProposalToGnatt[[#This Row],[Start Date]]+ProposalToGnatt[[#This Row],[Days]]),$G$5,"")),"")</f>
        <v/>
      </c>
      <c r="CS54" s="36" t="str">
        <f ca="1">IFERROR(+IF(CS$27=ProposalToGnatt[[#This Row],[Start Date]],Milestone_Marker,IF(AND(CS$27&gt;ProposalToGnatt[[#This Row],[Start Date]],CS$27&lt;ProposalToGnatt[[#This Row],[Start Date]]+ProposalToGnatt[[#This Row],[Days]]),$G$5,"")),"")</f>
        <v/>
      </c>
      <c r="CT54" s="36" t="str">
        <f ca="1">IFERROR(+IF(CT$27=ProposalToGnatt[[#This Row],[Start Date]],Milestone_Marker,IF(AND(CT$27&gt;ProposalToGnatt[[#This Row],[Start Date]],CT$27&lt;ProposalToGnatt[[#This Row],[Start Date]]+ProposalToGnatt[[#This Row],[Days]]),$G$5,"")),"")</f>
        <v/>
      </c>
      <c r="CU54" s="36" t="str">
        <f ca="1">IFERROR(+IF(CU$27=ProposalToGnatt[[#This Row],[Start Date]],Milestone_Marker,IF(AND(CU$27&gt;ProposalToGnatt[[#This Row],[Start Date]],CU$27&lt;ProposalToGnatt[[#This Row],[Start Date]]+ProposalToGnatt[[#This Row],[Days]]),$G$5,"")),"")</f>
        <v/>
      </c>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row>
    <row r="55" spans="1:125" s="41" customFormat="1" ht="15" x14ac:dyDescent="0.25">
      <c r="A55"/>
      <c r="B55"/>
      <c r="C55"/>
      <c r="D55"/>
      <c r="E55"/>
      <c r="F55"/>
      <c r="G55" s="14"/>
      <c r="H55" s="14"/>
      <c r="I55"/>
      <c r="J55"/>
      <c r="K55" s="261"/>
      <c r="L55"/>
      <c r="M55" s="14"/>
      <c r="N55" s="309"/>
      <c r="O55" s="297"/>
      <c r="P55" s="36" t="str">
        <f ca="1">IFERROR(+IF(P$27=ProposalToGnatt[[#This Row],[Start Date]],Milestone_Marker,IF(AND(P$27&gt;ProposalToGnatt[[#This Row],[Start Date]],P$27&lt;ProposalToGnatt[[#This Row],[Start Date]]+ProposalToGnatt[[#This Row],[Days]]),$G$5,"")),"")</f>
        <v/>
      </c>
      <c r="Q55" s="36" t="str">
        <f ca="1">IFERROR(+IF(Q$27=ProposalToGnatt[[#This Row],[Start Date]],Milestone_Marker,IF(AND(Q$27&gt;ProposalToGnatt[[#This Row],[Start Date]],Q$27&lt;ProposalToGnatt[[#This Row],[Start Date]]+ProposalToGnatt[[#This Row],[Days]]),$G$5,"")),"")</f>
        <v/>
      </c>
      <c r="R55" s="36" t="str">
        <f ca="1">IFERROR(+IF(R$27=ProposalToGnatt[[#This Row],[Start Date]],Milestone_Marker,IF(AND(R$27&gt;ProposalToGnatt[[#This Row],[Start Date]],R$27&lt;ProposalToGnatt[[#This Row],[Start Date]]+ProposalToGnatt[[#This Row],[Days]]),$G$5,"")),"")</f>
        <v/>
      </c>
      <c r="S55" s="36" t="str">
        <f ca="1">IFERROR(+IF(S$27=ProposalToGnatt[[#This Row],[Start Date]],Milestone_Marker,IF(AND(S$27&gt;ProposalToGnatt[[#This Row],[Start Date]],S$27&lt;ProposalToGnatt[[#This Row],[Start Date]]+ProposalToGnatt[[#This Row],[Days]]),$G$5,"")),"")</f>
        <v/>
      </c>
      <c r="T55" s="36" t="str">
        <f ca="1">IFERROR(+IF(T$27=ProposalToGnatt[[#This Row],[Start Date]],Milestone_Marker,IF(AND(T$27&gt;ProposalToGnatt[[#This Row],[Start Date]],T$27&lt;ProposalToGnatt[[#This Row],[Start Date]]+ProposalToGnatt[[#This Row],[Days]]),$G$5,"")),"")</f>
        <v/>
      </c>
      <c r="U55" s="36" t="str">
        <f ca="1">IFERROR(+IF(U$27=ProposalToGnatt[[#This Row],[Start Date]],Milestone_Marker,IF(AND(U$27&gt;ProposalToGnatt[[#This Row],[Start Date]],U$27&lt;ProposalToGnatt[[#This Row],[Start Date]]+ProposalToGnatt[[#This Row],[Days]]),$G$5,"")),"")</f>
        <v/>
      </c>
      <c r="V55" s="36" t="str">
        <f ca="1">IFERROR(+IF(V$27=ProposalToGnatt[[#This Row],[Start Date]],Milestone_Marker,IF(AND(V$27&gt;ProposalToGnatt[[#This Row],[Start Date]],V$27&lt;ProposalToGnatt[[#This Row],[Start Date]]+ProposalToGnatt[[#This Row],[Days]]),$G$5,"")),"")</f>
        <v/>
      </c>
      <c r="W55" s="36" t="str">
        <f ca="1">IFERROR(+IF(W$27=ProposalToGnatt[[#This Row],[Start Date]],Milestone_Marker,IF(AND(W$27&gt;ProposalToGnatt[[#This Row],[Start Date]],W$27&lt;ProposalToGnatt[[#This Row],[Start Date]]+ProposalToGnatt[[#This Row],[Days]]),$G$5,"")),"")</f>
        <v/>
      </c>
      <c r="X55" s="36" t="str">
        <f ca="1">IFERROR(+IF(X$27=ProposalToGnatt[[#This Row],[Start Date]],Milestone_Marker,IF(AND(X$27&gt;ProposalToGnatt[[#This Row],[Start Date]],X$27&lt;ProposalToGnatt[[#This Row],[Start Date]]+ProposalToGnatt[[#This Row],[Days]]),$G$5,"")),"")</f>
        <v/>
      </c>
      <c r="Y55" s="36" t="str">
        <f ca="1">IFERROR(+IF(Y$27=ProposalToGnatt[[#This Row],[Start Date]],Milestone_Marker,IF(AND(Y$27&gt;ProposalToGnatt[[#This Row],[Start Date]],Y$27&lt;ProposalToGnatt[[#This Row],[Start Date]]+ProposalToGnatt[[#This Row],[Days]]),$G$5,"")),"")</f>
        <v/>
      </c>
      <c r="Z55" s="36" t="str">
        <f ca="1">IFERROR(+IF(Z$27=ProposalToGnatt[[#This Row],[Start Date]],Milestone_Marker,IF(AND(Z$27&gt;ProposalToGnatt[[#This Row],[Start Date]],Z$27&lt;ProposalToGnatt[[#This Row],[Start Date]]+ProposalToGnatt[[#This Row],[Days]]),$G$5,"")),"")</f>
        <v/>
      </c>
      <c r="AA55" s="36" t="str">
        <f ca="1">IFERROR(+IF(AA$27=ProposalToGnatt[[#This Row],[Start Date]],Milestone_Marker,IF(AND(AA$27&gt;ProposalToGnatt[[#This Row],[Start Date]],AA$27&lt;ProposalToGnatt[[#This Row],[Start Date]]+ProposalToGnatt[[#This Row],[Days]]),$G$5,"")),"")</f>
        <v/>
      </c>
      <c r="AB55" s="36" t="str">
        <f ca="1">IFERROR(+IF(AB$27=ProposalToGnatt[[#This Row],[Start Date]],Milestone_Marker,IF(AND(AB$27&gt;ProposalToGnatt[[#This Row],[Start Date]],AB$27&lt;ProposalToGnatt[[#This Row],[Start Date]]+ProposalToGnatt[[#This Row],[Days]]),$G$5,"")),"")</f>
        <v/>
      </c>
      <c r="AC55" s="36" t="str">
        <f ca="1">IFERROR(+IF(AC$27=ProposalToGnatt[[#This Row],[Start Date]],Milestone_Marker,IF(AND(AC$27&gt;ProposalToGnatt[[#This Row],[Start Date]],AC$27&lt;ProposalToGnatt[[#This Row],[Start Date]]+ProposalToGnatt[[#This Row],[Days]]),$G$5,"")),"")</f>
        <v/>
      </c>
      <c r="AD55" s="36" t="str">
        <f ca="1">IFERROR(+IF(AD$27=ProposalToGnatt[[#This Row],[Start Date]],Milestone_Marker,IF(AND(AD$27&gt;ProposalToGnatt[[#This Row],[Start Date]],AD$27&lt;ProposalToGnatt[[#This Row],[Start Date]]+ProposalToGnatt[[#This Row],[Days]]),$G$5,"")),"")</f>
        <v/>
      </c>
      <c r="AE55" s="36" t="str">
        <f ca="1">IFERROR(+IF(AE$27=ProposalToGnatt[[#This Row],[Start Date]],Milestone_Marker,IF(AND(AE$27&gt;ProposalToGnatt[[#This Row],[Start Date]],AE$27&lt;ProposalToGnatt[[#This Row],[Start Date]]+ProposalToGnatt[[#This Row],[Days]]),$G$5,"")),"")</f>
        <v/>
      </c>
      <c r="AF55" s="36" t="str">
        <f ca="1">IFERROR(+IF(AF$27=ProposalToGnatt[[#This Row],[Start Date]],Milestone_Marker,IF(AND(AF$27&gt;ProposalToGnatt[[#This Row],[Start Date]],AF$27&lt;ProposalToGnatt[[#This Row],[Start Date]]+ProposalToGnatt[[#This Row],[Days]]),$G$5,"")),"")</f>
        <v/>
      </c>
      <c r="AG55" s="36" t="str">
        <f ca="1">IFERROR(+IF(AG$27=ProposalToGnatt[[#This Row],[Start Date]],Milestone_Marker,IF(AND(AG$27&gt;ProposalToGnatt[[#This Row],[Start Date]],AG$27&lt;ProposalToGnatt[[#This Row],[Start Date]]+ProposalToGnatt[[#This Row],[Days]]),$G$5,"")),"")</f>
        <v/>
      </c>
      <c r="AH55" s="36" t="str">
        <f ca="1">IFERROR(+IF(AH$27=ProposalToGnatt[[#This Row],[Start Date]],Milestone_Marker,IF(AND(AH$27&gt;ProposalToGnatt[[#This Row],[Start Date]],AH$27&lt;ProposalToGnatt[[#This Row],[Start Date]]+ProposalToGnatt[[#This Row],[Days]]),$G$5,"")),"")</f>
        <v/>
      </c>
      <c r="AI55" s="36" t="str">
        <f ca="1">IFERROR(+IF(AI$27=ProposalToGnatt[[#This Row],[Start Date]],Milestone_Marker,IF(AND(AI$27&gt;ProposalToGnatt[[#This Row],[Start Date]],AI$27&lt;ProposalToGnatt[[#This Row],[Start Date]]+ProposalToGnatt[[#This Row],[Days]]),$G$5,"")),"")</f>
        <v/>
      </c>
      <c r="AJ55" s="36" t="str">
        <f ca="1">IFERROR(+IF(AJ$27=ProposalToGnatt[[#This Row],[Start Date]],Milestone_Marker,IF(AND(AJ$27&gt;ProposalToGnatt[[#This Row],[Start Date]],AJ$27&lt;ProposalToGnatt[[#This Row],[Start Date]]+ProposalToGnatt[[#This Row],[Days]]),$G$5,"")),"")</f>
        <v/>
      </c>
      <c r="AK55" s="36" t="str">
        <f ca="1">IFERROR(+IF(AK$27=ProposalToGnatt[[#This Row],[Start Date]],Milestone_Marker,IF(AND(AK$27&gt;ProposalToGnatt[[#This Row],[Start Date]],AK$27&lt;ProposalToGnatt[[#This Row],[Start Date]]+ProposalToGnatt[[#This Row],[Days]]),$G$5,"")),"")</f>
        <v/>
      </c>
      <c r="AL55" s="36" t="str">
        <f ca="1">IFERROR(+IF(AL$27=ProposalToGnatt[[#This Row],[Start Date]],Milestone_Marker,IF(AND(AL$27&gt;ProposalToGnatt[[#This Row],[Start Date]],AL$27&lt;ProposalToGnatt[[#This Row],[Start Date]]+ProposalToGnatt[[#This Row],[Days]]),$G$5,"")),"")</f>
        <v/>
      </c>
      <c r="AM55" s="36" t="str">
        <f ca="1">IFERROR(+IF(AM$27=ProposalToGnatt[[#This Row],[Start Date]],Milestone_Marker,IF(AND(AM$27&gt;ProposalToGnatt[[#This Row],[Start Date]],AM$27&lt;ProposalToGnatt[[#This Row],[Start Date]]+ProposalToGnatt[[#This Row],[Days]]),$G$5,"")),"")</f>
        <v/>
      </c>
      <c r="AN55" s="36" t="str">
        <f ca="1">IFERROR(+IF(AN$27=ProposalToGnatt[[#This Row],[Start Date]],Milestone_Marker,IF(AND(AN$27&gt;ProposalToGnatt[[#This Row],[Start Date]],AN$27&lt;ProposalToGnatt[[#This Row],[Start Date]]+ProposalToGnatt[[#This Row],[Days]]),$G$5,"")),"")</f>
        <v/>
      </c>
      <c r="AO55" s="36" t="str">
        <f ca="1">IFERROR(+IF(AO$27=ProposalToGnatt[[#This Row],[Start Date]],Milestone_Marker,IF(AND(AO$27&gt;ProposalToGnatt[[#This Row],[Start Date]],AO$27&lt;ProposalToGnatt[[#This Row],[Start Date]]+ProposalToGnatt[[#This Row],[Days]]),$G$5,"")),"")</f>
        <v/>
      </c>
      <c r="AP55" s="36" t="str">
        <f ca="1">IFERROR(+IF(AP$27=ProposalToGnatt[[#This Row],[Start Date]],Milestone_Marker,IF(AND(AP$27&gt;ProposalToGnatt[[#This Row],[Start Date]],AP$27&lt;ProposalToGnatt[[#This Row],[Start Date]]+ProposalToGnatt[[#This Row],[Days]]),$G$5,"")),"")</f>
        <v/>
      </c>
      <c r="AQ55" s="36" t="str">
        <f ca="1">IFERROR(+IF(AQ$27=ProposalToGnatt[[#This Row],[Start Date]],Milestone_Marker,IF(AND(AQ$27&gt;ProposalToGnatt[[#This Row],[Start Date]],AQ$27&lt;ProposalToGnatt[[#This Row],[Start Date]]+ProposalToGnatt[[#This Row],[Days]]),$G$5,"")),"")</f>
        <v/>
      </c>
      <c r="AR55" s="36" t="str">
        <f ca="1">IFERROR(+IF(AR$27=ProposalToGnatt[[#This Row],[Start Date]],Milestone_Marker,IF(AND(AR$27&gt;ProposalToGnatt[[#This Row],[Start Date]],AR$27&lt;ProposalToGnatt[[#This Row],[Start Date]]+ProposalToGnatt[[#This Row],[Days]]),$G$5,"")),"")</f>
        <v/>
      </c>
      <c r="AS55" s="36" t="str">
        <f ca="1">IFERROR(+IF(AS$27=ProposalToGnatt[[#This Row],[Start Date]],Milestone_Marker,IF(AND(AS$27&gt;ProposalToGnatt[[#This Row],[Start Date]],AS$27&lt;ProposalToGnatt[[#This Row],[Start Date]]+ProposalToGnatt[[#This Row],[Days]]),$G$5,"")),"")</f>
        <v/>
      </c>
      <c r="AT55" s="36" t="str">
        <f ca="1">IFERROR(+IF(AT$27=ProposalToGnatt[[#This Row],[Start Date]],Milestone_Marker,IF(AND(AT$27&gt;ProposalToGnatt[[#This Row],[Start Date]],AT$27&lt;ProposalToGnatt[[#This Row],[Start Date]]+ProposalToGnatt[[#This Row],[Days]]),$G$5,"")),"")</f>
        <v/>
      </c>
      <c r="AU55" s="36" t="str">
        <f ca="1">IFERROR(+IF(AU$27=ProposalToGnatt[[#This Row],[Start Date]],Milestone_Marker,IF(AND(AU$27&gt;ProposalToGnatt[[#This Row],[Start Date]],AU$27&lt;ProposalToGnatt[[#This Row],[Start Date]]+ProposalToGnatt[[#This Row],[Days]]),$G$5,"")),"")</f>
        <v/>
      </c>
      <c r="AV55" s="36" t="str">
        <f ca="1">IFERROR(+IF(AV$27=ProposalToGnatt[[#This Row],[Start Date]],Milestone_Marker,IF(AND(AV$27&gt;ProposalToGnatt[[#This Row],[Start Date]],AV$27&lt;ProposalToGnatt[[#This Row],[Start Date]]+ProposalToGnatt[[#This Row],[Days]]),$G$5,"")),"")</f>
        <v/>
      </c>
      <c r="AW55" s="36" t="str">
        <f ca="1">IFERROR(+IF(AW$27=ProposalToGnatt[[#This Row],[Start Date]],Milestone_Marker,IF(AND(AW$27&gt;ProposalToGnatt[[#This Row],[Start Date]],AW$27&lt;ProposalToGnatt[[#This Row],[Start Date]]+ProposalToGnatt[[#This Row],[Days]]),$G$5,"")),"")</f>
        <v/>
      </c>
      <c r="AX55" s="36" t="str">
        <f ca="1">IFERROR(+IF(AX$27=ProposalToGnatt[[#This Row],[Start Date]],Milestone_Marker,IF(AND(AX$27&gt;ProposalToGnatt[[#This Row],[Start Date]],AX$27&lt;ProposalToGnatt[[#This Row],[Start Date]]+ProposalToGnatt[[#This Row],[Days]]),$G$5,"")),"")</f>
        <v/>
      </c>
      <c r="AY55" s="36" t="str">
        <f ca="1">IFERROR(+IF(AY$27=ProposalToGnatt[[#This Row],[Start Date]],Milestone_Marker,IF(AND(AY$27&gt;ProposalToGnatt[[#This Row],[Start Date]],AY$27&lt;ProposalToGnatt[[#This Row],[Start Date]]+ProposalToGnatt[[#This Row],[Days]]),$G$5,"")),"")</f>
        <v/>
      </c>
      <c r="AZ55" s="36" t="str">
        <f ca="1">IFERROR(+IF(AZ$27=ProposalToGnatt[[#This Row],[Start Date]],Milestone_Marker,IF(AND(AZ$27&gt;ProposalToGnatt[[#This Row],[Start Date]],AZ$27&lt;ProposalToGnatt[[#This Row],[Start Date]]+ProposalToGnatt[[#This Row],[Days]]),$G$5,"")),"")</f>
        <v/>
      </c>
      <c r="BA55" s="36" t="str">
        <f ca="1">IFERROR(+IF(BA$27=ProposalToGnatt[[#This Row],[Start Date]],Milestone_Marker,IF(AND(BA$27&gt;ProposalToGnatt[[#This Row],[Start Date]],BA$27&lt;ProposalToGnatt[[#This Row],[Start Date]]+ProposalToGnatt[[#This Row],[Days]]),$G$5,"")),"")</f>
        <v/>
      </c>
      <c r="BB55" s="36" t="str">
        <f ca="1">IFERROR(+IF(BB$27=ProposalToGnatt[[#This Row],[Start Date]],Milestone_Marker,IF(AND(BB$27&gt;ProposalToGnatt[[#This Row],[Start Date]],BB$27&lt;ProposalToGnatt[[#This Row],[Start Date]]+ProposalToGnatt[[#This Row],[Days]]),$G$5,"")),"")</f>
        <v/>
      </c>
      <c r="BC55" s="36" t="str">
        <f ca="1">IFERROR(+IF(BC$27=ProposalToGnatt[[#This Row],[Start Date]],Milestone_Marker,IF(AND(BC$27&gt;ProposalToGnatt[[#This Row],[Start Date]],BC$27&lt;ProposalToGnatt[[#This Row],[Start Date]]+ProposalToGnatt[[#This Row],[Days]]),$G$5,"")),"")</f>
        <v/>
      </c>
      <c r="BD55" s="36" t="str">
        <f ca="1">IFERROR(+IF(BD$27=ProposalToGnatt[[#This Row],[Start Date]],Milestone_Marker,IF(AND(BD$27&gt;ProposalToGnatt[[#This Row],[Start Date]],BD$27&lt;ProposalToGnatt[[#This Row],[Start Date]]+ProposalToGnatt[[#This Row],[Days]]),$G$5,"")),"")</f>
        <v/>
      </c>
      <c r="BE55" s="36" t="str">
        <f ca="1">IFERROR(+IF(BE$27=ProposalToGnatt[[#This Row],[Start Date]],Milestone_Marker,IF(AND(BE$27&gt;ProposalToGnatt[[#This Row],[Start Date]],BE$27&lt;ProposalToGnatt[[#This Row],[Start Date]]+ProposalToGnatt[[#This Row],[Days]]),$G$5,"")),"")</f>
        <v/>
      </c>
      <c r="BF55" s="36" t="str">
        <f ca="1">IFERROR(+IF(BF$27=ProposalToGnatt[[#This Row],[Start Date]],Milestone_Marker,IF(AND(BF$27&gt;ProposalToGnatt[[#This Row],[Start Date]],BF$27&lt;ProposalToGnatt[[#This Row],[Start Date]]+ProposalToGnatt[[#This Row],[Days]]),$G$5,"")),"")</f>
        <v/>
      </c>
      <c r="BG55" s="36" t="str">
        <f ca="1">IFERROR(+IF(BG$27=ProposalToGnatt[[#This Row],[Start Date]],Milestone_Marker,IF(AND(BG$27&gt;ProposalToGnatt[[#This Row],[Start Date]],BG$27&lt;ProposalToGnatt[[#This Row],[Start Date]]+ProposalToGnatt[[#This Row],[Days]]),$G$5,"")),"")</f>
        <v/>
      </c>
      <c r="BH55" s="36" t="str">
        <f ca="1">IFERROR(+IF(BH$27=ProposalToGnatt[[#This Row],[Start Date]],Milestone_Marker,IF(AND(BH$27&gt;ProposalToGnatt[[#This Row],[Start Date]],BH$27&lt;ProposalToGnatt[[#This Row],[Start Date]]+ProposalToGnatt[[#This Row],[Days]]),$G$5,"")),"")</f>
        <v/>
      </c>
      <c r="BI55" s="36" t="str">
        <f ca="1">IFERROR(+IF(BI$27=ProposalToGnatt[[#This Row],[Start Date]],Milestone_Marker,IF(AND(BI$27&gt;ProposalToGnatt[[#This Row],[Start Date]],BI$27&lt;ProposalToGnatt[[#This Row],[Start Date]]+ProposalToGnatt[[#This Row],[Days]]),$G$5,"")),"")</f>
        <v/>
      </c>
      <c r="BJ55" s="36" t="str">
        <f ca="1">IFERROR(+IF(BJ$27=ProposalToGnatt[[#This Row],[Start Date]],Milestone_Marker,IF(AND(BJ$27&gt;ProposalToGnatt[[#This Row],[Start Date]],BJ$27&lt;ProposalToGnatt[[#This Row],[Start Date]]+ProposalToGnatt[[#This Row],[Days]]),$G$5,"")),"")</f>
        <v/>
      </c>
      <c r="BK55" s="36" t="str">
        <f ca="1">IFERROR(+IF(BK$27=ProposalToGnatt[[#This Row],[Start Date]],Milestone_Marker,IF(AND(BK$27&gt;ProposalToGnatt[[#This Row],[Start Date]],BK$27&lt;ProposalToGnatt[[#This Row],[Start Date]]+ProposalToGnatt[[#This Row],[Days]]),$G$5,"")),"")</f>
        <v/>
      </c>
      <c r="BL55" s="36" t="str">
        <f ca="1">IFERROR(+IF(BL$27=ProposalToGnatt[[#This Row],[Start Date]],Milestone_Marker,IF(AND(BL$27&gt;ProposalToGnatt[[#This Row],[Start Date]],BL$27&lt;ProposalToGnatt[[#This Row],[Start Date]]+ProposalToGnatt[[#This Row],[Days]]),$G$5,"")),"")</f>
        <v/>
      </c>
      <c r="BM55" s="36" t="str">
        <f ca="1">IFERROR(+IF(BM$27=ProposalToGnatt[[#This Row],[Start Date]],Milestone_Marker,IF(AND(BM$27&gt;ProposalToGnatt[[#This Row],[Start Date]],BM$27&lt;ProposalToGnatt[[#This Row],[Start Date]]+ProposalToGnatt[[#This Row],[Days]]),$G$5,"")),"")</f>
        <v/>
      </c>
      <c r="BN55" s="36" t="str">
        <f ca="1">IFERROR(+IF(BN$27=ProposalToGnatt[[#This Row],[Start Date]],Milestone_Marker,IF(AND(BN$27&gt;ProposalToGnatt[[#This Row],[Start Date]],BN$27&lt;ProposalToGnatt[[#This Row],[Start Date]]+ProposalToGnatt[[#This Row],[Days]]),$G$5,"")),"")</f>
        <v/>
      </c>
      <c r="BO55" s="36" t="str">
        <f ca="1">IFERROR(+IF(BO$27=ProposalToGnatt[[#This Row],[Start Date]],Milestone_Marker,IF(AND(BO$27&gt;ProposalToGnatt[[#This Row],[Start Date]],BO$27&lt;ProposalToGnatt[[#This Row],[Start Date]]+ProposalToGnatt[[#This Row],[Days]]),$G$5,"")),"")</f>
        <v/>
      </c>
      <c r="BP55" s="36" t="str">
        <f ca="1">IFERROR(+IF(BP$27=ProposalToGnatt[[#This Row],[Start Date]],Milestone_Marker,IF(AND(BP$27&gt;ProposalToGnatt[[#This Row],[Start Date]],BP$27&lt;ProposalToGnatt[[#This Row],[Start Date]]+ProposalToGnatt[[#This Row],[Days]]),$G$5,"")),"")</f>
        <v/>
      </c>
      <c r="BQ55" s="36" t="str">
        <f ca="1">IFERROR(+IF(BQ$27=ProposalToGnatt[[#This Row],[Start Date]],Milestone_Marker,IF(AND(BQ$27&gt;ProposalToGnatt[[#This Row],[Start Date]],BQ$27&lt;ProposalToGnatt[[#This Row],[Start Date]]+ProposalToGnatt[[#This Row],[Days]]),$G$5,"")),"")</f>
        <v/>
      </c>
      <c r="BR55" s="36" t="str">
        <f ca="1">IFERROR(+IF(BR$27=ProposalToGnatt[[#This Row],[Start Date]],Milestone_Marker,IF(AND(BR$27&gt;ProposalToGnatt[[#This Row],[Start Date]],BR$27&lt;ProposalToGnatt[[#This Row],[Start Date]]+ProposalToGnatt[[#This Row],[Days]]),$G$5,"")),"")</f>
        <v/>
      </c>
      <c r="BS55" s="36" t="str">
        <f ca="1">IFERROR(+IF(BS$27=ProposalToGnatt[[#This Row],[Start Date]],Milestone_Marker,IF(AND(BS$27&gt;ProposalToGnatt[[#This Row],[Start Date]],BS$27&lt;ProposalToGnatt[[#This Row],[Start Date]]+ProposalToGnatt[[#This Row],[Days]]),$G$5,"")),"")</f>
        <v/>
      </c>
      <c r="BT55" s="36" t="str">
        <f ca="1">IFERROR(+IF(BT$27=ProposalToGnatt[[#This Row],[Start Date]],Milestone_Marker,IF(AND(BT$27&gt;ProposalToGnatt[[#This Row],[Start Date]],BT$27&lt;ProposalToGnatt[[#This Row],[Start Date]]+ProposalToGnatt[[#This Row],[Days]]),$G$5,"")),"")</f>
        <v/>
      </c>
      <c r="BU55" s="36" t="str">
        <f ca="1">IFERROR(+IF(BU$27=ProposalToGnatt[[#This Row],[Start Date]],Milestone_Marker,IF(AND(BU$27&gt;ProposalToGnatt[[#This Row],[Start Date]],BU$27&lt;ProposalToGnatt[[#This Row],[Start Date]]+ProposalToGnatt[[#This Row],[Days]]),$G$5,"")),"")</f>
        <v/>
      </c>
      <c r="BV55" s="36" t="str">
        <f ca="1">IFERROR(+IF(BV$27=ProposalToGnatt[[#This Row],[Start Date]],Milestone_Marker,IF(AND(BV$27&gt;ProposalToGnatt[[#This Row],[Start Date]],BV$27&lt;ProposalToGnatt[[#This Row],[Start Date]]+ProposalToGnatt[[#This Row],[Days]]),$G$5,"")),"")</f>
        <v/>
      </c>
      <c r="BW55" s="36" t="str">
        <f ca="1">IFERROR(+IF(BW$27=ProposalToGnatt[[#This Row],[Start Date]],Milestone_Marker,IF(AND(BW$27&gt;ProposalToGnatt[[#This Row],[Start Date]],BW$27&lt;ProposalToGnatt[[#This Row],[Start Date]]+ProposalToGnatt[[#This Row],[Days]]),$G$5,"")),"")</f>
        <v/>
      </c>
      <c r="BX55" s="36" t="str">
        <f ca="1">IFERROR(+IF(BX$27=ProposalToGnatt[[#This Row],[Start Date]],Milestone_Marker,IF(AND(BX$27&gt;ProposalToGnatt[[#This Row],[Start Date]],BX$27&lt;ProposalToGnatt[[#This Row],[Start Date]]+ProposalToGnatt[[#This Row],[Days]]),$G$5,"")),"")</f>
        <v/>
      </c>
      <c r="BY55" s="36" t="str">
        <f ca="1">IFERROR(+IF(BY$27=ProposalToGnatt[[#This Row],[Start Date]],Milestone_Marker,IF(AND(BY$27&gt;ProposalToGnatt[[#This Row],[Start Date]],BY$27&lt;ProposalToGnatt[[#This Row],[Start Date]]+ProposalToGnatt[[#This Row],[Days]]),$G$5,"")),"")</f>
        <v/>
      </c>
      <c r="BZ55" s="36" t="str">
        <f ca="1">IFERROR(+IF(BZ$27=ProposalToGnatt[[#This Row],[Start Date]],Milestone_Marker,IF(AND(BZ$27&gt;ProposalToGnatt[[#This Row],[Start Date]],BZ$27&lt;ProposalToGnatt[[#This Row],[Start Date]]+ProposalToGnatt[[#This Row],[Days]]),$G$5,"")),"")</f>
        <v/>
      </c>
      <c r="CA55" s="36" t="str">
        <f ca="1">IFERROR(+IF(CA$27=ProposalToGnatt[[#This Row],[Start Date]],Milestone_Marker,IF(AND(CA$27&gt;ProposalToGnatt[[#This Row],[Start Date]],CA$27&lt;ProposalToGnatt[[#This Row],[Start Date]]+ProposalToGnatt[[#This Row],[Days]]),$G$5,"")),"")</f>
        <v/>
      </c>
      <c r="CB55" s="36" t="str">
        <f ca="1">IFERROR(+IF(CB$27=ProposalToGnatt[[#This Row],[Start Date]],Milestone_Marker,IF(AND(CB$27&gt;ProposalToGnatt[[#This Row],[Start Date]],CB$27&lt;ProposalToGnatt[[#This Row],[Start Date]]+ProposalToGnatt[[#This Row],[Days]]),$G$5,"")),"")</f>
        <v/>
      </c>
      <c r="CC55" s="36" t="str">
        <f ca="1">IFERROR(+IF(CC$27=ProposalToGnatt[[#This Row],[Start Date]],Milestone_Marker,IF(AND(CC$27&gt;ProposalToGnatt[[#This Row],[Start Date]],CC$27&lt;ProposalToGnatt[[#This Row],[Start Date]]+ProposalToGnatt[[#This Row],[Days]]),$G$5,"")),"")</f>
        <v/>
      </c>
      <c r="CD55" s="36" t="str">
        <f ca="1">IFERROR(+IF(CD$27=ProposalToGnatt[[#This Row],[Start Date]],Milestone_Marker,IF(AND(CD$27&gt;ProposalToGnatt[[#This Row],[Start Date]],CD$27&lt;ProposalToGnatt[[#This Row],[Start Date]]+ProposalToGnatt[[#This Row],[Days]]),$G$5,"")),"")</f>
        <v/>
      </c>
      <c r="CE55" s="36" t="str">
        <f ca="1">IFERROR(+IF(CE$27=ProposalToGnatt[[#This Row],[Start Date]],Milestone_Marker,IF(AND(CE$27&gt;ProposalToGnatt[[#This Row],[Start Date]],CE$27&lt;ProposalToGnatt[[#This Row],[Start Date]]+ProposalToGnatt[[#This Row],[Days]]),$G$5,"")),"")</f>
        <v/>
      </c>
      <c r="CF55" s="36" t="str">
        <f ca="1">IFERROR(+IF(CF$27=ProposalToGnatt[[#This Row],[Start Date]],Milestone_Marker,IF(AND(CF$27&gt;ProposalToGnatt[[#This Row],[Start Date]],CF$27&lt;ProposalToGnatt[[#This Row],[Start Date]]+ProposalToGnatt[[#This Row],[Days]]),$G$5,"")),"")</f>
        <v/>
      </c>
      <c r="CG55" s="36" t="str">
        <f ca="1">IFERROR(+IF(CG$27=ProposalToGnatt[[#This Row],[Start Date]],Milestone_Marker,IF(AND(CG$27&gt;ProposalToGnatt[[#This Row],[Start Date]],CG$27&lt;ProposalToGnatt[[#This Row],[Start Date]]+ProposalToGnatt[[#This Row],[Days]]),$G$5,"")),"")</f>
        <v/>
      </c>
      <c r="CH55" s="36" t="str">
        <f ca="1">IFERROR(+IF(CH$27=ProposalToGnatt[[#This Row],[Start Date]],Milestone_Marker,IF(AND(CH$27&gt;ProposalToGnatt[[#This Row],[Start Date]],CH$27&lt;ProposalToGnatt[[#This Row],[Start Date]]+ProposalToGnatt[[#This Row],[Days]]),$G$5,"")),"")</f>
        <v/>
      </c>
      <c r="CI55" s="36" t="str">
        <f ca="1">IFERROR(+IF(CI$27=ProposalToGnatt[[#This Row],[Start Date]],Milestone_Marker,IF(AND(CI$27&gt;ProposalToGnatt[[#This Row],[Start Date]],CI$27&lt;ProposalToGnatt[[#This Row],[Start Date]]+ProposalToGnatt[[#This Row],[Days]]),$G$5,"")),"")</f>
        <v/>
      </c>
      <c r="CJ55" s="36" t="str">
        <f ca="1">IFERROR(+IF(CJ$27=ProposalToGnatt[[#This Row],[Start Date]],Milestone_Marker,IF(AND(CJ$27&gt;ProposalToGnatt[[#This Row],[Start Date]],CJ$27&lt;ProposalToGnatt[[#This Row],[Start Date]]+ProposalToGnatt[[#This Row],[Days]]),$G$5,"")),"")</f>
        <v/>
      </c>
      <c r="CK55" s="36" t="str">
        <f ca="1">IFERROR(+IF(CK$27=ProposalToGnatt[[#This Row],[Start Date]],Milestone_Marker,IF(AND(CK$27&gt;ProposalToGnatt[[#This Row],[Start Date]],CK$27&lt;ProposalToGnatt[[#This Row],[Start Date]]+ProposalToGnatt[[#This Row],[Days]]),$G$5,"")),"")</f>
        <v/>
      </c>
      <c r="CL55" s="36" t="str">
        <f ca="1">IFERROR(+IF(CL$27=ProposalToGnatt[[#This Row],[Start Date]],Milestone_Marker,IF(AND(CL$27&gt;ProposalToGnatt[[#This Row],[Start Date]],CL$27&lt;ProposalToGnatt[[#This Row],[Start Date]]+ProposalToGnatt[[#This Row],[Days]]),$G$5,"")),"")</f>
        <v/>
      </c>
      <c r="CM55" s="36" t="str">
        <f ca="1">IFERROR(+IF(CM$27=ProposalToGnatt[[#This Row],[Start Date]],Milestone_Marker,IF(AND(CM$27&gt;ProposalToGnatt[[#This Row],[Start Date]],CM$27&lt;ProposalToGnatt[[#This Row],[Start Date]]+ProposalToGnatt[[#This Row],[Days]]),$G$5,"")),"")</f>
        <v/>
      </c>
      <c r="CN55" s="36" t="str">
        <f ca="1">IFERROR(+IF(CN$27=ProposalToGnatt[[#This Row],[Start Date]],Milestone_Marker,IF(AND(CN$27&gt;ProposalToGnatt[[#This Row],[Start Date]],CN$27&lt;ProposalToGnatt[[#This Row],[Start Date]]+ProposalToGnatt[[#This Row],[Days]]),$G$5,"")),"")</f>
        <v/>
      </c>
      <c r="CO55" s="36" t="str">
        <f ca="1">IFERROR(+IF(CO$27=ProposalToGnatt[[#This Row],[Start Date]],Milestone_Marker,IF(AND(CO$27&gt;ProposalToGnatt[[#This Row],[Start Date]],CO$27&lt;ProposalToGnatt[[#This Row],[Start Date]]+ProposalToGnatt[[#This Row],[Days]]),$G$5,"")),"")</f>
        <v/>
      </c>
      <c r="CP55" s="36" t="str">
        <f ca="1">IFERROR(+IF(CP$27=ProposalToGnatt[[#This Row],[Start Date]],Milestone_Marker,IF(AND(CP$27&gt;ProposalToGnatt[[#This Row],[Start Date]],CP$27&lt;ProposalToGnatt[[#This Row],[Start Date]]+ProposalToGnatt[[#This Row],[Days]]),$G$5,"")),"")</f>
        <v/>
      </c>
      <c r="CQ55" s="36" t="str">
        <f ca="1">IFERROR(+IF(CQ$27=ProposalToGnatt[[#This Row],[Start Date]],Milestone_Marker,IF(AND(CQ$27&gt;ProposalToGnatt[[#This Row],[Start Date]],CQ$27&lt;ProposalToGnatt[[#This Row],[Start Date]]+ProposalToGnatt[[#This Row],[Days]]),$G$5,"")),"")</f>
        <v/>
      </c>
      <c r="CR55" s="36" t="str">
        <f ca="1">IFERROR(+IF(CR$27=ProposalToGnatt[[#This Row],[Start Date]],Milestone_Marker,IF(AND(CR$27&gt;ProposalToGnatt[[#This Row],[Start Date]],CR$27&lt;ProposalToGnatt[[#This Row],[Start Date]]+ProposalToGnatt[[#This Row],[Days]]),$G$5,"")),"")</f>
        <v/>
      </c>
      <c r="CS55" s="36" t="str">
        <f ca="1">IFERROR(+IF(CS$27=ProposalToGnatt[[#This Row],[Start Date]],Milestone_Marker,IF(AND(CS$27&gt;ProposalToGnatt[[#This Row],[Start Date]],CS$27&lt;ProposalToGnatt[[#This Row],[Start Date]]+ProposalToGnatt[[#This Row],[Days]]),$G$5,"")),"")</f>
        <v/>
      </c>
      <c r="CT55" s="36" t="str">
        <f ca="1">IFERROR(+IF(CT$27=ProposalToGnatt[[#This Row],[Start Date]],Milestone_Marker,IF(AND(CT$27&gt;ProposalToGnatt[[#This Row],[Start Date]],CT$27&lt;ProposalToGnatt[[#This Row],[Start Date]]+ProposalToGnatt[[#This Row],[Days]]),$G$5,"")),"")</f>
        <v/>
      </c>
      <c r="CU55" s="36" t="str">
        <f ca="1">IFERROR(+IF(CU$27=ProposalToGnatt[[#This Row],[Start Date]],Milestone_Marker,IF(AND(CU$27&gt;ProposalToGnatt[[#This Row],[Start Date]],CU$27&lt;ProposalToGnatt[[#This Row],[Start Date]]+ProposalToGnatt[[#This Row],[Days]]),$G$5,"")),"")</f>
        <v/>
      </c>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row>
    <row r="56" spans="1:125" s="41" customFormat="1" ht="15" x14ac:dyDescent="0.25">
      <c r="A56"/>
      <c r="B56"/>
      <c r="C56"/>
      <c r="D56"/>
      <c r="E56"/>
      <c r="F56"/>
      <c r="G56" s="14"/>
      <c r="H56" s="14"/>
      <c r="I56"/>
      <c r="J56"/>
      <c r="K56" s="261"/>
      <c r="L56"/>
      <c r="M56" s="14"/>
      <c r="N56" s="309"/>
      <c r="O56" s="297"/>
      <c r="P56" s="36" t="str">
        <f ca="1">IFERROR(+IF(P$27=ProposalToGnatt[[#This Row],[Start Date]],Milestone_Marker,IF(AND(P$27&gt;ProposalToGnatt[[#This Row],[Start Date]],P$27&lt;ProposalToGnatt[[#This Row],[Start Date]]+ProposalToGnatt[[#This Row],[Days]]),$G$5,"")),"")</f>
        <v/>
      </c>
      <c r="Q56" s="36" t="str">
        <f ca="1">IFERROR(+IF(Q$27=ProposalToGnatt[[#This Row],[Start Date]],Milestone_Marker,IF(AND(Q$27&gt;ProposalToGnatt[[#This Row],[Start Date]],Q$27&lt;ProposalToGnatt[[#This Row],[Start Date]]+ProposalToGnatt[[#This Row],[Days]]),$G$5,"")),"")</f>
        <v/>
      </c>
      <c r="R56" s="36" t="str">
        <f ca="1">IFERROR(+IF(R$27=ProposalToGnatt[[#This Row],[Start Date]],Milestone_Marker,IF(AND(R$27&gt;ProposalToGnatt[[#This Row],[Start Date]],R$27&lt;ProposalToGnatt[[#This Row],[Start Date]]+ProposalToGnatt[[#This Row],[Days]]),$G$5,"")),"")</f>
        <v/>
      </c>
      <c r="S56" s="36" t="str">
        <f ca="1">IFERROR(+IF(S$27=ProposalToGnatt[[#This Row],[Start Date]],Milestone_Marker,IF(AND(S$27&gt;ProposalToGnatt[[#This Row],[Start Date]],S$27&lt;ProposalToGnatt[[#This Row],[Start Date]]+ProposalToGnatt[[#This Row],[Days]]),$G$5,"")),"")</f>
        <v/>
      </c>
      <c r="T56" s="36" t="str">
        <f ca="1">IFERROR(+IF(T$27=ProposalToGnatt[[#This Row],[Start Date]],Milestone_Marker,IF(AND(T$27&gt;ProposalToGnatt[[#This Row],[Start Date]],T$27&lt;ProposalToGnatt[[#This Row],[Start Date]]+ProposalToGnatt[[#This Row],[Days]]),$G$5,"")),"")</f>
        <v/>
      </c>
      <c r="U56" s="36" t="str">
        <f ca="1">IFERROR(+IF(U$27=ProposalToGnatt[[#This Row],[Start Date]],Milestone_Marker,IF(AND(U$27&gt;ProposalToGnatt[[#This Row],[Start Date]],U$27&lt;ProposalToGnatt[[#This Row],[Start Date]]+ProposalToGnatt[[#This Row],[Days]]),$G$5,"")),"")</f>
        <v/>
      </c>
      <c r="V56" s="36" t="str">
        <f ca="1">IFERROR(+IF(V$27=ProposalToGnatt[[#This Row],[Start Date]],Milestone_Marker,IF(AND(V$27&gt;ProposalToGnatt[[#This Row],[Start Date]],V$27&lt;ProposalToGnatt[[#This Row],[Start Date]]+ProposalToGnatt[[#This Row],[Days]]),$G$5,"")),"")</f>
        <v/>
      </c>
      <c r="W56" s="36" t="str">
        <f ca="1">IFERROR(+IF(W$27=ProposalToGnatt[[#This Row],[Start Date]],Milestone_Marker,IF(AND(W$27&gt;ProposalToGnatt[[#This Row],[Start Date]],W$27&lt;ProposalToGnatt[[#This Row],[Start Date]]+ProposalToGnatt[[#This Row],[Days]]),$G$5,"")),"")</f>
        <v/>
      </c>
      <c r="X56" s="36" t="str">
        <f ca="1">IFERROR(+IF(X$27=ProposalToGnatt[[#This Row],[Start Date]],Milestone_Marker,IF(AND(X$27&gt;ProposalToGnatt[[#This Row],[Start Date]],X$27&lt;ProposalToGnatt[[#This Row],[Start Date]]+ProposalToGnatt[[#This Row],[Days]]),$G$5,"")),"")</f>
        <v/>
      </c>
      <c r="Y56" s="36" t="str">
        <f ca="1">IFERROR(+IF(Y$27=ProposalToGnatt[[#This Row],[Start Date]],Milestone_Marker,IF(AND(Y$27&gt;ProposalToGnatt[[#This Row],[Start Date]],Y$27&lt;ProposalToGnatt[[#This Row],[Start Date]]+ProposalToGnatt[[#This Row],[Days]]),$G$5,"")),"")</f>
        <v/>
      </c>
      <c r="Z56" s="36" t="str">
        <f ca="1">IFERROR(+IF(Z$27=ProposalToGnatt[[#This Row],[Start Date]],Milestone_Marker,IF(AND(Z$27&gt;ProposalToGnatt[[#This Row],[Start Date]],Z$27&lt;ProposalToGnatt[[#This Row],[Start Date]]+ProposalToGnatt[[#This Row],[Days]]),$G$5,"")),"")</f>
        <v/>
      </c>
      <c r="AA56" s="36" t="str">
        <f ca="1">IFERROR(+IF(AA$27=ProposalToGnatt[[#This Row],[Start Date]],Milestone_Marker,IF(AND(AA$27&gt;ProposalToGnatt[[#This Row],[Start Date]],AA$27&lt;ProposalToGnatt[[#This Row],[Start Date]]+ProposalToGnatt[[#This Row],[Days]]),$G$5,"")),"")</f>
        <v/>
      </c>
      <c r="AB56" s="36" t="str">
        <f ca="1">IFERROR(+IF(AB$27=ProposalToGnatt[[#This Row],[Start Date]],Milestone_Marker,IF(AND(AB$27&gt;ProposalToGnatt[[#This Row],[Start Date]],AB$27&lt;ProposalToGnatt[[#This Row],[Start Date]]+ProposalToGnatt[[#This Row],[Days]]),$G$5,"")),"")</f>
        <v/>
      </c>
      <c r="AC56" s="36" t="str">
        <f ca="1">IFERROR(+IF(AC$27=ProposalToGnatt[[#This Row],[Start Date]],Milestone_Marker,IF(AND(AC$27&gt;ProposalToGnatt[[#This Row],[Start Date]],AC$27&lt;ProposalToGnatt[[#This Row],[Start Date]]+ProposalToGnatt[[#This Row],[Days]]),$G$5,"")),"")</f>
        <v/>
      </c>
      <c r="AD56" s="36" t="str">
        <f ca="1">IFERROR(+IF(AD$27=ProposalToGnatt[[#This Row],[Start Date]],Milestone_Marker,IF(AND(AD$27&gt;ProposalToGnatt[[#This Row],[Start Date]],AD$27&lt;ProposalToGnatt[[#This Row],[Start Date]]+ProposalToGnatt[[#This Row],[Days]]),$G$5,"")),"")</f>
        <v/>
      </c>
      <c r="AE56" s="36" t="str">
        <f ca="1">IFERROR(+IF(AE$27=ProposalToGnatt[[#This Row],[Start Date]],Milestone_Marker,IF(AND(AE$27&gt;ProposalToGnatt[[#This Row],[Start Date]],AE$27&lt;ProposalToGnatt[[#This Row],[Start Date]]+ProposalToGnatt[[#This Row],[Days]]),$G$5,"")),"")</f>
        <v/>
      </c>
      <c r="AF56" s="36" t="str">
        <f ca="1">IFERROR(+IF(AF$27=ProposalToGnatt[[#This Row],[Start Date]],Milestone_Marker,IF(AND(AF$27&gt;ProposalToGnatt[[#This Row],[Start Date]],AF$27&lt;ProposalToGnatt[[#This Row],[Start Date]]+ProposalToGnatt[[#This Row],[Days]]),$G$5,"")),"")</f>
        <v/>
      </c>
      <c r="AG56" s="36" t="str">
        <f ca="1">IFERROR(+IF(AG$27=ProposalToGnatt[[#This Row],[Start Date]],Milestone_Marker,IF(AND(AG$27&gt;ProposalToGnatt[[#This Row],[Start Date]],AG$27&lt;ProposalToGnatt[[#This Row],[Start Date]]+ProposalToGnatt[[#This Row],[Days]]),$G$5,"")),"")</f>
        <v/>
      </c>
      <c r="AH56" s="36" t="str">
        <f ca="1">IFERROR(+IF(AH$27=ProposalToGnatt[[#This Row],[Start Date]],Milestone_Marker,IF(AND(AH$27&gt;ProposalToGnatt[[#This Row],[Start Date]],AH$27&lt;ProposalToGnatt[[#This Row],[Start Date]]+ProposalToGnatt[[#This Row],[Days]]),$G$5,"")),"")</f>
        <v/>
      </c>
      <c r="AI56" s="36" t="str">
        <f ca="1">IFERROR(+IF(AI$27=ProposalToGnatt[[#This Row],[Start Date]],Milestone_Marker,IF(AND(AI$27&gt;ProposalToGnatt[[#This Row],[Start Date]],AI$27&lt;ProposalToGnatt[[#This Row],[Start Date]]+ProposalToGnatt[[#This Row],[Days]]),$G$5,"")),"")</f>
        <v/>
      </c>
      <c r="AJ56" s="36" t="str">
        <f ca="1">IFERROR(+IF(AJ$27=ProposalToGnatt[[#This Row],[Start Date]],Milestone_Marker,IF(AND(AJ$27&gt;ProposalToGnatt[[#This Row],[Start Date]],AJ$27&lt;ProposalToGnatt[[#This Row],[Start Date]]+ProposalToGnatt[[#This Row],[Days]]),$G$5,"")),"")</f>
        <v/>
      </c>
      <c r="AK56" s="36" t="str">
        <f ca="1">IFERROR(+IF(AK$27=ProposalToGnatt[[#This Row],[Start Date]],Milestone_Marker,IF(AND(AK$27&gt;ProposalToGnatt[[#This Row],[Start Date]],AK$27&lt;ProposalToGnatt[[#This Row],[Start Date]]+ProposalToGnatt[[#This Row],[Days]]),$G$5,"")),"")</f>
        <v/>
      </c>
      <c r="AL56" s="36" t="str">
        <f ca="1">IFERROR(+IF(AL$27=ProposalToGnatt[[#This Row],[Start Date]],Milestone_Marker,IF(AND(AL$27&gt;ProposalToGnatt[[#This Row],[Start Date]],AL$27&lt;ProposalToGnatt[[#This Row],[Start Date]]+ProposalToGnatt[[#This Row],[Days]]),$G$5,"")),"")</f>
        <v/>
      </c>
      <c r="AM56" s="36" t="str">
        <f ca="1">IFERROR(+IF(AM$27=ProposalToGnatt[[#This Row],[Start Date]],Milestone_Marker,IF(AND(AM$27&gt;ProposalToGnatt[[#This Row],[Start Date]],AM$27&lt;ProposalToGnatt[[#This Row],[Start Date]]+ProposalToGnatt[[#This Row],[Days]]),$G$5,"")),"")</f>
        <v/>
      </c>
      <c r="AN56" s="36" t="str">
        <f ca="1">IFERROR(+IF(AN$27=ProposalToGnatt[[#This Row],[Start Date]],Milestone_Marker,IF(AND(AN$27&gt;ProposalToGnatt[[#This Row],[Start Date]],AN$27&lt;ProposalToGnatt[[#This Row],[Start Date]]+ProposalToGnatt[[#This Row],[Days]]),$G$5,"")),"")</f>
        <v/>
      </c>
      <c r="AO56" s="36" t="str">
        <f ca="1">IFERROR(+IF(AO$27=ProposalToGnatt[[#This Row],[Start Date]],Milestone_Marker,IF(AND(AO$27&gt;ProposalToGnatt[[#This Row],[Start Date]],AO$27&lt;ProposalToGnatt[[#This Row],[Start Date]]+ProposalToGnatt[[#This Row],[Days]]),$G$5,"")),"")</f>
        <v/>
      </c>
      <c r="AP56" s="36" t="str">
        <f ca="1">IFERROR(+IF(AP$27=ProposalToGnatt[[#This Row],[Start Date]],Milestone_Marker,IF(AND(AP$27&gt;ProposalToGnatt[[#This Row],[Start Date]],AP$27&lt;ProposalToGnatt[[#This Row],[Start Date]]+ProposalToGnatt[[#This Row],[Days]]),$G$5,"")),"")</f>
        <v/>
      </c>
      <c r="AQ56" s="36" t="str">
        <f ca="1">IFERROR(+IF(AQ$27=ProposalToGnatt[[#This Row],[Start Date]],Milestone_Marker,IF(AND(AQ$27&gt;ProposalToGnatt[[#This Row],[Start Date]],AQ$27&lt;ProposalToGnatt[[#This Row],[Start Date]]+ProposalToGnatt[[#This Row],[Days]]),$G$5,"")),"")</f>
        <v/>
      </c>
      <c r="AR56" s="36" t="str">
        <f ca="1">IFERROR(+IF(AR$27=ProposalToGnatt[[#This Row],[Start Date]],Milestone_Marker,IF(AND(AR$27&gt;ProposalToGnatt[[#This Row],[Start Date]],AR$27&lt;ProposalToGnatt[[#This Row],[Start Date]]+ProposalToGnatt[[#This Row],[Days]]),$G$5,"")),"")</f>
        <v/>
      </c>
      <c r="AS56" s="36" t="str">
        <f ca="1">IFERROR(+IF(AS$27=ProposalToGnatt[[#This Row],[Start Date]],Milestone_Marker,IF(AND(AS$27&gt;ProposalToGnatt[[#This Row],[Start Date]],AS$27&lt;ProposalToGnatt[[#This Row],[Start Date]]+ProposalToGnatt[[#This Row],[Days]]),$G$5,"")),"")</f>
        <v/>
      </c>
      <c r="AT56" s="36" t="str">
        <f ca="1">IFERROR(+IF(AT$27=ProposalToGnatt[[#This Row],[Start Date]],Milestone_Marker,IF(AND(AT$27&gt;ProposalToGnatt[[#This Row],[Start Date]],AT$27&lt;ProposalToGnatt[[#This Row],[Start Date]]+ProposalToGnatt[[#This Row],[Days]]),$G$5,"")),"")</f>
        <v/>
      </c>
      <c r="AU56" s="36" t="str">
        <f ca="1">IFERROR(+IF(AU$27=ProposalToGnatt[[#This Row],[Start Date]],Milestone_Marker,IF(AND(AU$27&gt;ProposalToGnatt[[#This Row],[Start Date]],AU$27&lt;ProposalToGnatt[[#This Row],[Start Date]]+ProposalToGnatt[[#This Row],[Days]]),$G$5,"")),"")</f>
        <v/>
      </c>
      <c r="AV56" s="36" t="str">
        <f ca="1">IFERROR(+IF(AV$27=ProposalToGnatt[[#This Row],[Start Date]],Milestone_Marker,IF(AND(AV$27&gt;ProposalToGnatt[[#This Row],[Start Date]],AV$27&lt;ProposalToGnatt[[#This Row],[Start Date]]+ProposalToGnatt[[#This Row],[Days]]),$G$5,"")),"")</f>
        <v/>
      </c>
      <c r="AW56" s="36" t="str">
        <f ca="1">IFERROR(+IF(AW$27=ProposalToGnatt[[#This Row],[Start Date]],Milestone_Marker,IF(AND(AW$27&gt;ProposalToGnatt[[#This Row],[Start Date]],AW$27&lt;ProposalToGnatt[[#This Row],[Start Date]]+ProposalToGnatt[[#This Row],[Days]]),$G$5,"")),"")</f>
        <v/>
      </c>
      <c r="AX56" s="36" t="str">
        <f ca="1">IFERROR(+IF(AX$27=ProposalToGnatt[[#This Row],[Start Date]],Milestone_Marker,IF(AND(AX$27&gt;ProposalToGnatt[[#This Row],[Start Date]],AX$27&lt;ProposalToGnatt[[#This Row],[Start Date]]+ProposalToGnatt[[#This Row],[Days]]),$G$5,"")),"")</f>
        <v/>
      </c>
      <c r="AY56" s="36" t="str">
        <f ca="1">IFERROR(+IF(AY$27=ProposalToGnatt[[#This Row],[Start Date]],Milestone_Marker,IF(AND(AY$27&gt;ProposalToGnatt[[#This Row],[Start Date]],AY$27&lt;ProposalToGnatt[[#This Row],[Start Date]]+ProposalToGnatt[[#This Row],[Days]]),$G$5,"")),"")</f>
        <v/>
      </c>
      <c r="AZ56" s="36" t="str">
        <f ca="1">IFERROR(+IF(AZ$27=ProposalToGnatt[[#This Row],[Start Date]],Milestone_Marker,IF(AND(AZ$27&gt;ProposalToGnatt[[#This Row],[Start Date]],AZ$27&lt;ProposalToGnatt[[#This Row],[Start Date]]+ProposalToGnatt[[#This Row],[Days]]),$G$5,"")),"")</f>
        <v/>
      </c>
      <c r="BA56" s="36" t="str">
        <f ca="1">IFERROR(+IF(BA$27=ProposalToGnatt[[#This Row],[Start Date]],Milestone_Marker,IF(AND(BA$27&gt;ProposalToGnatt[[#This Row],[Start Date]],BA$27&lt;ProposalToGnatt[[#This Row],[Start Date]]+ProposalToGnatt[[#This Row],[Days]]),$G$5,"")),"")</f>
        <v/>
      </c>
      <c r="BB56" s="36" t="str">
        <f ca="1">IFERROR(+IF(BB$27=ProposalToGnatt[[#This Row],[Start Date]],Milestone_Marker,IF(AND(BB$27&gt;ProposalToGnatt[[#This Row],[Start Date]],BB$27&lt;ProposalToGnatt[[#This Row],[Start Date]]+ProposalToGnatt[[#This Row],[Days]]),$G$5,"")),"")</f>
        <v/>
      </c>
      <c r="BC56" s="36" t="str">
        <f ca="1">IFERROR(+IF(BC$27=ProposalToGnatt[[#This Row],[Start Date]],Milestone_Marker,IF(AND(BC$27&gt;ProposalToGnatt[[#This Row],[Start Date]],BC$27&lt;ProposalToGnatt[[#This Row],[Start Date]]+ProposalToGnatt[[#This Row],[Days]]),$G$5,"")),"")</f>
        <v/>
      </c>
      <c r="BD56" s="36" t="str">
        <f ca="1">IFERROR(+IF(BD$27=ProposalToGnatt[[#This Row],[Start Date]],Milestone_Marker,IF(AND(BD$27&gt;ProposalToGnatt[[#This Row],[Start Date]],BD$27&lt;ProposalToGnatt[[#This Row],[Start Date]]+ProposalToGnatt[[#This Row],[Days]]),$G$5,"")),"")</f>
        <v/>
      </c>
      <c r="BE56" s="36" t="str">
        <f ca="1">IFERROR(+IF(BE$27=ProposalToGnatt[[#This Row],[Start Date]],Milestone_Marker,IF(AND(BE$27&gt;ProposalToGnatt[[#This Row],[Start Date]],BE$27&lt;ProposalToGnatt[[#This Row],[Start Date]]+ProposalToGnatt[[#This Row],[Days]]),$G$5,"")),"")</f>
        <v/>
      </c>
      <c r="BF56" s="36" t="str">
        <f ca="1">IFERROR(+IF(BF$27=ProposalToGnatt[[#This Row],[Start Date]],Milestone_Marker,IF(AND(BF$27&gt;ProposalToGnatt[[#This Row],[Start Date]],BF$27&lt;ProposalToGnatt[[#This Row],[Start Date]]+ProposalToGnatt[[#This Row],[Days]]),$G$5,"")),"")</f>
        <v/>
      </c>
      <c r="BG56" s="36" t="str">
        <f ca="1">IFERROR(+IF(BG$27=ProposalToGnatt[[#This Row],[Start Date]],Milestone_Marker,IF(AND(BG$27&gt;ProposalToGnatt[[#This Row],[Start Date]],BG$27&lt;ProposalToGnatt[[#This Row],[Start Date]]+ProposalToGnatt[[#This Row],[Days]]),$G$5,"")),"")</f>
        <v/>
      </c>
      <c r="BH56" s="36" t="str">
        <f ca="1">IFERROR(+IF(BH$27=ProposalToGnatt[[#This Row],[Start Date]],Milestone_Marker,IF(AND(BH$27&gt;ProposalToGnatt[[#This Row],[Start Date]],BH$27&lt;ProposalToGnatt[[#This Row],[Start Date]]+ProposalToGnatt[[#This Row],[Days]]),$G$5,"")),"")</f>
        <v/>
      </c>
      <c r="BI56" s="36" t="str">
        <f ca="1">IFERROR(+IF(BI$27=ProposalToGnatt[[#This Row],[Start Date]],Milestone_Marker,IF(AND(BI$27&gt;ProposalToGnatt[[#This Row],[Start Date]],BI$27&lt;ProposalToGnatt[[#This Row],[Start Date]]+ProposalToGnatt[[#This Row],[Days]]),$G$5,"")),"")</f>
        <v/>
      </c>
      <c r="BJ56" s="36" t="str">
        <f ca="1">IFERROR(+IF(BJ$27=ProposalToGnatt[[#This Row],[Start Date]],Milestone_Marker,IF(AND(BJ$27&gt;ProposalToGnatt[[#This Row],[Start Date]],BJ$27&lt;ProposalToGnatt[[#This Row],[Start Date]]+ProposalToGnatt[[#This Row],[Days]]),$G$5,"")),"")</f>
        <v/>
      </c>
      <c r="BK56" s="36" t="str">
        <f ca="1">IFERROR(+IF(BK$27=ProposalToGnatt[[#This Row],[Start Date]],Milestone_Marker,IF(AND(BK$27&gt;ProposalToGnatt[[#This Row],[Start Date]],BK$27&lt;ProposalToGnatt[[#This Row],[Start Date]]+ProposalToGnatt[[#This Row],[Days]]),$G$5,"")),"")</f>
        <v/>
      </c>
      <c r="BL56" s="36" t="str">
        <f ca="1">IFERROR(+IF(BL$27=ProposalToGnatt[[#This Row],[Start Date]],Milestone_Marker,IF(AND(BL$27&gt;ProposalToGnatt[[#This Row],[Start Date]],BL$27&lt;ProposalToGnatt[[#This Row],[Start Date]]+ProposalToGnatt[[#This Row],[Days]]),$G$5,"")),"")</f>
        <v/>
      </c>
      <c r="BM56" s="36" t="str">
        <f ca="1">IFERROR(+IF(BM$27=ProposalToGnatt[[#This Row],[Start Date]],Milestone_Marker,IF(AND(BM$27&gt;ProposalToGnatt[[#This Row],[Start Date]],BM$27&lt;ProposalToGnatt[[#This Row],[Start Date]]+ProposalToGnatt[[#This Row],[Days]]),$G$5,"")),"")</f>
        <v/>
      </c>
      <c r="BN56" s="36" t="str">
        <f ca="1">IFERROR(+IF(BN$27=ProposalToGnatt[[#This Row],[Start Date]],Milestone_Marker,IF(AND(BN$27&gt;ProposalToGnatt[[#This Row],[Start Date]],BN$27&lt;ProposalToGnatt[[#This Row],[Start Date]]+ProposalToGnatt[[#This Row],[Days]]),$G$5,"")),"")</f>
        <v/>
      </c>
      <c r="BO56" s="36" t="str">
        <f ca="1">IFERROR(+IF(BO$27=ProposalToGnatt[[#This Row],[Start Date]],Milestone_Marker,IF(AND(BO$27&gt;ProposalToGnatt[[#This Row],[Start Date]],BO$27&lt;ProposalToGnatt[[#This Row],[Start Date]]+ProposalToGnatt[[#This Row],[Days]]),$G$5,"")),"")</f>
        <v/>
      </c>
      <c r="BP56" s="36" t="str">
        <f ca="1">IFERROR(+IF(BP$27=ProposalToGnatt[[#This Row],[Start Date]],Milestone_Marker,IF(AND(BP$27&gt;ProposalToGnatt[[#This Row],[Start Date]],BP$27&lt;ProposalToGnatt[[#This Row],[Start Date]]+ProposalToGnatt[[#This Row],[Days]]),$G$5,"")),"")</f>
        <v/>
      </c>
      <c r="BQ56" s="36" t="str">
        <f ca="1">IFERROR(+IF(BQ$27=ProposalToGnatt[[#This Row],[Start Date]],Milestone_Marker,IF(AND(BQ$27&gt;ProposalToGnatt[[#This Row],[Start Date]],BQ$27&lt;ProposalToGnatt[[#This Row],[Start Date]]+ProposalToGnatt[[#This Row],[Days]]),$G$5,"")),"")</f>
        <v/>
      </c>
      <c r="BR56" s="36" t="str">
        <f ca="1">IFERROR(+IF(BR$27=ProposalToGnatt[[#This Row],[Start Date]],Milestone_Marker,IF(AND(BR$27&gt;ProposalToGnatt[[#This Row],[Start Date]],BR$27&lt;ProposalToGnatt[[#This Row],[Start Date]]+ProposalToGnatt[[#This Row],[Days]]),$G$5,"")),"")</f>
        <v/>
      </c>
      <c r="BS56" s="36" t="str">
        <f ca="1">IFERROR(+IF(BS$27=ProposalToGnatt[[#This Row],[Start Date]],Milestone_Marker,IF(AND(BS$27&gt;ProposalToGnatt[[#This Row],[Start Date]],BS$27&lt;ProposalToGnatt[[#This Row],[Start Date]]+ProposalToGnatt[[#This Row],[Days]]),$G$5,"")),"")</f>
        <v/>
      </c>
      <c r="BT56" s="36" t="str">
        <f ca="1">IFERROR(+IF(BT$27=ProposalToGnatt[[#This Row],[Start Date]],Milestone_Marker,IF(AND(BT$27&gt;ProposalToGnatt[[#This Row],[Start Date]],BT$27&lt;ProposalToGnatt[[#This Row],[Start Date]]+ProposalToGnatt[[#This Row],[Days]]),$G$5,"")),"")</f>
        <v/>
      </c>
      <c r="BU56" s="36" t="str">
        <f ca="1">IFERROR(+IF(BU$27=ProposalToGnatt[[#This Row],[Start Date]],Milestone_Marker,IF(AND(BU$27&gt;ProposalToGnatt[[#This Row],[Start Date]],BU$27&lt;ProposalToGnatt[[#This Row],[Start Date]]+ProposalToGnatt[[#This Row],[Days]]),$G$5,"")),"")</f>
        <v/>
      </c>
      <c r="BV56" s="36" t="str">
        <f ca="1">IFERROR(+IF(BV$27=ProposalToGnatt[[#This Row],[Start Date]],Milestone_Marker,IF(AND(BV$27&gt;ProposalToGnatt[[#This Row],[Start Date]],BV$27&lt;ProposalToGnatt[[#This Row],[Start Date]]+ProposalToGnatt[[#This Row],[Days]]),$G$5,"")),"")</f>
        <v/>
      </c>
      <c r="BW56" s="36" t="str">
        <f ca="1">IFERROR(+IF(BW$27=ProposalToGnatt[[#This Row],[Start Date]],Milestone_Marker,IF(AND(BW$27&gt;ProposalToGnatt[[#This Row],[Start Date]],BW$27&lt;ProposalToGnatt[[#This Row],[Start Date]]+ProposalToGnatt[[#This Row],[Days]]),$G$5,"")),"")</f>
        <v/>
      </c>
      <c r="BX56" s="36" t="str">
        <f ca="1">IFERROR(+IF(BX$27=ProposalToGnatt[[#This Row],[Start Date]],Milestone_Marker,IF(AND(BX$27&gt;ProposalToGnatt[[#This Row],[Start Date]],BX$27&lt;ProposalToGnatt[[#This Row],[Start Date]]+ProposalToGnatt[[#This Row],[Days]]),$G$5,"")),"")</f>
        <v/>
      </c>
      <c r="BY56" s="36" t="str">
        <f ca="1">IFERROR(+IF(BY$27=ProposalToGnatt[[#This Row],[Start Date]],Milestone_Marker,IF(AND(BY$27&gt;ProposalToGnatt[[#This Row],[Start Date]],BY$27&lt;ProposalToGnatt[[#This Row],[Start Date]]+ProposalToGnatt[[#This Row],[Days]]),$G$5,"")),"")</f>
        <v/>
      </c>
      <c r="BZ56" s="36" t="str">
        <f ca="1">IFERROR(+IF(BZ$27=ProposalToGnatt[[#This Row],[Start Date]],Milestone_Marker,IF(AND(BZ$27&gt;ProposalToGnatt[[#This Row],[Start Date]],BZ$27&lt;ProposalToGnatt[[#This Row],[Start Date]]+ProposalToGnatt[[#This Row],[Days]]),$G$5,"")),"")</f>
        <v/>
      </c>
      <c r="CA56" s="36" t="str">
        <f ca="1">IFERROR(+IF(CA$27=ProposalToGnatt[[#This Row],[Start Date]],Milestone_Marker,IF(AND(CA$27&gt;ProposalToGnatt[[#This Row],[Start Date]],CA$27&lt;ProposalToGnatt[[#This Row],[Start Date]]+ProposalToGnatt[[#This Row],[Days]]),$G$5,"")),"")</f>
        <v/>
      </c>
      <c r="CB56" s="36" t="str">
        <f ca="1">IFERROR(+IF(CB$27=ProposalToGnatt[[#This Row],[Start Date]],Milestone_Marker,IF(AND(CB$27&gt;ProposalToGnatt[[#This Row],[Start Date]],CB$27&lt;ProposalToGnatt[[#This Row],[Start Date]]+ProposalToGnatt[[#This Row],[Days]]),$G$5,"")),"")</f>
        <v/>
      </c>
      <c r="CC56" s="36" t="str">
        <f ca="1">IFERROR(+IF(CC$27=ProposalToGnatt[[#This Row],[Start Date]],Milestone_Marker,IF(AND(CC$27&gt;ProposalToGnatt[[#This Row],[Start Date]],CC$27&lt;ProposalToGnatt[[#This Row],[Start Date]]+ProposalToGnatt[[#This Row],[Days]]),$G$5,"")),"")</f>
        <v/>
      </c>
      <c r="CD56" s="36" t="str">
        <f ca="1">IFERROR(+IF(CD$27=ProposalToGnatt[[#This Row],[Start Date]],Milestone_Marker,IF(AND(CD$27&gt;ProposalToGnatt[[#This Row],[Start Date]],CD$27&lt;ProposalToGnatt[[#This Row],[Start Date]]+ProposalToGnatt[[#This Row],[Days]]),$G$5,"")),"")</f>
        <v/>
      </c>
      <c r="CE56" s="36" t="str">
        <f ca="1">IFERROR(+IF(CE$27=ProposalToGnatt[[#This Row],[Start Date]],Milestone_Marker,IF(AND(CE$27&gt;ProposalToGnatt[[#This Row],[Start Date]],CE$27&lt;ProposalToGnatt[[#This Row],[Start Date]]+ProposalToGnatt[[#This Row],[Days]]),$G$5,"")),"")</f>
        <v/>
      </c>
      <c r="CF56" s="36" t="str">
        <f ca="1">IFERROR(+IF(CF$27=ProposalToGnatt[[#This Row],[Start Date]],Milestone_Marker,IF(AND(CF$27&gt;ProposalToGnatt[[#This Row],[Start Date]],CF$27&lt;ProposalToGnatt[[#This Row],[Start Date]]+ProposalToGnatt[[#This Row],[Days]]),$G$5,"")),"")</f>
        <v/>
      </c>
      <c r="CG56" s="36" t="str">
        <f ca="1">IFERROR(+IF(CG$27=ProposalToGnatt[[#This Row],[Start Date]],Milestone_Marker,IF(AND(CG$27&gt;ProposalToGnatt[[#This Row],[Start Date]],CG$27&lt;ProposalToGnatt[[#This Row],[Start Date]]+ProposalToGnatt[[#This Row],[Days]]),$G$5,"")),"")</f>
        <v/>
      </c>
      <c r="CH56" s="36" t="str">
        <f ca="1">IFERROR(+IF(CH$27=ProposalToGnatt[[#This Row],[Start Date]],Milestone_Marker,IF(AND(CH$27&gt;ProposalToGnatt[[#This Row],[Start Date]],CH$27&lt;ProposalToGnatt[[#This Row],[Start Date]]+ProposalToGnatt[[#This Row],[Days]]),$G$5,"")),"")</f>
        <v/>
      </c>
      <c r="CI56" s="36" t="str">
        <f ca="1">IFERROR(+IF(CI$27=ProposalToGnatt[[#This Row],[Start Date]],Milestone_Marker,IF(AND(CI$27&gt;ProposalToGnatt[[#This Row],[Start Date]],CI$27&lt;ProposalToGnatt[[#This Row],[Start Date]]+ProposalToGnatt[[#This Row],[Days]]),$G$5,"")),"")</f>
        <v/>
      </c>
      <c r="CJ56" s="36" t="str">
        <f ca="1">IFERROR(+IF(CJ$27=ProposalToGnatt[[#This Row],[Start Date]],Milestone_Marker,IF(AND(CJ$27&gt;ProposalToGnatt[[#This Row],[Start Date]],CJ$27&lt;ProposalToGnatt[[#This Row],[Start Date]]+ProposalToGnatt[[#This Row],[Days]]),$G$5,"")),"")</f>
        <v/>
      </c>
      <c r="CK56" s="36" t="str">
        <f ca="1">IFERROR(+IF(CK$27=ProposalToGnatt[[#This Row],[Start Date]],Milestone_Marker,IF(AND(CK$27&gt;ProposalToGnatt[[#This Row],[Start Date]],CK$27&lt;ProposalToGnatt[[#This Row],[Start Date]]+ProposalToGnatt[[#This Row],[Days]]),$G$5,"")),"")</f>
        <v/>
      </c>
      <c r="CL56" s="36" t="str">
        <f ca="1">IFERROR(+IF(CL$27=ProposalToGnatt[[#This Row],[Start Date]],Milestone_Marker,IF(AND(CL$27&gt;ProposalToGnatt[[#This Row],[Start Date]],CL$27&lt;ProposalToGnatt[[#This Row],[Start Date]]+ProposalToGnatt[[#This Row],[Days]]),$G$5,"")),"")</f>
        <v/>
      </c>
      <c r="CM56" s="36" t="str">
        <f ca="1">IFERROR(+IF(CM$27=ProposalToGnatt[[#This Row],[Start Date]],Milestone_Marker,IF(AND(CM$27&gt;ProposalToGnatt[[#This Row],[Start Date]],CM$27&lt;ProposalToGnatt[[#This Row],[Start Date]]+ProposalToGnatt[[#This Row],[Days]]),$G$5,"")),"")</f>
        <v/>
      </c>
      <c r="CN56" s="36" t="str">
        <f ca="1">IFERROR(+IF(CN$27=ProposalToGnatt[[#This Row],[Start Date]],Milestone_Marker,IF(AND(CN$27&gt;ProposalToGnatt[[#This Row],[Start Date]],CN$27&lt;ProposalToGnatt[[#This Row],[Start Date]]+ProposalToGnatt[[#This Row],[Days]]),$G$5,"")),"")</f>
        <v/>
      </c>
      <c r="CO56" s="36" t="str">
        <f ca="1">IFERROR(+IF(CO$27=ProposalToGnatt[[#This Row],[Start Date]],Milestone_Marker,IF(AND(CO$27&gt;ProposalToGnatt[[#This Row],[Start Date]],CO$27&lt;ProposalToGnatt[[#This Row],[Start Date]]+ProposalToGnatt[[#This Row],[Days]]),$G$5,"")),"")</f>
        <v/>
      </c>
      <c r="CP56" s="36" t="str">
        <f ca="1">IFERROR(+IF(CP$27=ProposalToGnatt[[#This Row],[Start Date]],Milestone_Marker,IF(AND(CP$27&gt;ProposalToGnatt[[#This Row],[Start Date]],CP$27&lt;ProposalToGnatt[[#This Row],[Start Date]]+ProposalToGnatt[[#This Row],[Days]]),$G$5,"")),"")</f>
        <v/>
      </c>
      <c r="CQ56" s="36" t="str">
        <f ca="1">IFERROR(+IF(CQ$27=ProposalToGnatt[[#This Row],[Start Date]],Milestone_Marker,IF(AND(CQ$27&gt;ProposalToGnatt[[#This Row],[Start Date]],CQ$27&lt;ProposalToGnatt[[#This Row],[Start Date]]+ProposalToGnatt[[#This Row],[Days]]),$G$5,"")),"")</f>
        <v/>
      </c>
      <c r="CR56" s="36" t="str">
        <f ca="1">IFERROR(+IF(CR$27=ProposalToGnatt[[#This Row],[Start Date]],Milestone_Marker,IF(AND(CR$27&gt;ProposalToGnatt[[#This Row],[Start Date]],CR$27&lt;ProposalToGnatt[[#This Row],[Start Date]]+ProposalToGnatt[[#This Row],[Days]]),$G$5,"")),"")</f>
        <v/>
      </c>
      <c r="CS56" s="36" t="str">
        <f ca="1">IFERROR(+IF(CS$27=ProposalToGnatt[[#This Row],[Start Date]],Milestone_Marker,IF(AND(CS$27&gt;ProposalToGnatt[[#This Row],[Start Date]],CS$27&lt;ProposalToGnatt[[#This Row],[Start Date]]+ProposalToGnatt[[#This Row],[Days]]),$G$5,"")),"")</f>
        <v/>
      </c>
      <c r="CT56" s="36" t="str">
        <f ca="1">IFERROR(+IF(CT$27=ProposalToGnatt[[#This Row],[Start Date]],Milestone_Marker,IF(AND(CT$27&gt;ProposalToGnatt[[#This Row],[Start Date]],CT$27&lt;ProposalToGnatt[[#This Row],[Start Date]]+ProposalToGnatt[[#This Row],[Days]]),$G$5,"")),"")</f>
        <v/>
      </c>
      <c r="CU56" s="36" t="str">
        <f ca="1">IFERROR(+IF(CU$27=ProposalToGnatt[[#This Row],[Start Date]],Milestone_Marker,IF(AND(CU$27&gt;ProposalToGnatt[[#This Row],[Start Date]],CU$27&lt;ProposalToGnatt[[#This Row],[Start Date]]+ProposalToGnatt[[#This Row],[Days]]),$G$5,"")),"")</f>
        <v/>
      </c>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row>
    <row r="57" spans="1:125" s="41" customFormat="1" ht="15" x14ac:dyDescent="0.25">
      <c r="A57"/>
      <c r="B57"/>
      <c r="C57"/>
      <c r="D57"/>
      <c r="E57"/>
      <c r="F57"/>
      <c r="G57" s="14"/>
      <c r="H57" s="14"/>
      <c r="I57"/>
      <c r="J57"/>
      <c r="K57" s="261"/>
      <c r="L57"/>
      <c r="M57" s="14"/>
      <c r="N57" s="309"/>
      <c r="O57" s="297"/>
      <c r="P57" s="36" t="str">
        <f ca="1">IFERROR(+IF(P$27=ProposalToGnatt[[#This Row],[Start Date]],Milestone_Marker,IF(AND(P$27&gt;ProposalToGnatt[[#This Row],[Start Date]],P$27&lt;ProposalToGnatt[[#This Row],[Start Date]]+ProposalToGnatt[[#This Row],[Days]]),$G$5,"")),"")</f>
        <v/>
      </c>
      <c r="Q57" s="36" t="str">
        <f ca="1">IFERROR(+IF(Q$27=ProposalToGnatt[[#This Row],[Start Date]],Milestone_Marker,IF(AND(Q$27&gt;ProposalToGnatt[[#This Row],[Start Date]],Q$27&lt;ProposalToGnatt[[#This Row],[Start Date]]+ProposalToGnatt[[#This Row],[Days]]),$G$5,"")),"")</f>
        <v/>
      </c>
      <c r="R57" s="36" t="str">
        <f ca="1">IFERROR(+IF(R$27=ProposalToGnatt[[#This Row],[Start Date]],Milestone_Marker,IF(AND(R$27&gt;ProposalToGnatt[[#This Row],[Start Date]],R$27&lt;ProposalToGnatt[[#This Row],[Start Date]]+ProposalToGnatt[[#This Row],[Days]]),$G$5,"")),"")</f>
        <v/>
      </c>
      <c r="S57" s="36" t="str">
        <f ca="1">IFERROR(+IF(S$27=ProposalToGnatt[[#This Row],[Start Date]],Milestone_Marker,IF(AND(S$27&gt;ProposalToGnatt[[#This Row],[Start Date]],S$27&lt;ProposalToGnatt[[#This Row],[Start Date]]+ProposalToGnatt[[#This Row],[Days]]),$G$5,"")),"")</f>
        <v/>
      </c>
      <c r="T57" s="36" t="str">
        <f ca="1">IFERROR(+IF(T$27=ProposalToGnatt[[#This Row],[Start Date]],Milestone_Marker,IF(AND(T$27&gt;ProposalToGnatt[[#This Row],[Start Date]],T$27&lt;ProposalToGnatt[[#This Row],[Start Date]]+ProposalToGnatt[[#This Row],[Days]]),$G$5,"")),"")</f>
        <v/>
      </c>
      <c r="U57" s="36" t="str">
        <f ca="1">IFERROR(+IF(U$27=ProposalToGnatt[[#This Row],[Start Date]],Milestone_Marker,IF(AND(U$27&gt;ProposalToGnatt[[#This Row],[Start Date]],U$27&lt;ProposalToGnatt[[#This Row],[Start Date]]+ProposalToGnatt[[#This Row],[Days]]),$G$5,"")),"")</f>
        <v/>
      </c>
      <c r="V57" s="36" t="str">
        <f ca="1">IFERROR(+IF(V$27=ProposalToGnatt[[#This Row],[Start Date]],Milestone_Marker,IF(AND(V$27&gt;ProposalToGnatt[[#This Row],[Start Date]],V$27&lt;ProposalToGnatt[[#This Row],[Start Date]]+ProposalToGnatt[[#This Row],[Days]]),$G$5,"")),"")</f>
        <v/>
      </c>
      <c r="W57" s="36" t="str">
        <f ca="1">IFERROR(+IF(W$27=ProposalToGnatt[[#This Row],[Start Date]],Milestone_Marker,IF(AND(W$27&gt;ProposalToGnatt[[#This Row],[Start Date]],W$27&lt;ProposalToGnatt[[#This Row],[Start Date]]+ProposalToGnatt[[#This Row],[Days]]),$G$5,"")),"")</f>
        <v/>
      </c>
      <c r="X57" s="36" t="str">
        <f ca="1">IFERROR(+IF(X$27=ProposalToGnatt[[#This Row],[Start Date]],Milestone_Marker,IF(AND(X$27&gt;ProposalToGnatt[[#This Row],[Start Date]],X$27&lt;ProposalToGnatt[[#This Row],[Start Date]]+ProposalToGnatt[[#This Row],[Days]]),$G$5,"")),"")</f>
        <v/>
      </c>
      <c r="Y57" s="36" t="str">
        <f ca="1">IFERROR(+IF(Y$27=ProposalToGnatt[[#This Row],[Start Date]],Milestone_Marker,IF(AND(Y$27&gt;ProposalToGnatt[[#This Row],[Start Date]],Y$27&lt;ProposalToGnatt[[#This Row],[Start Date]]+ProposalToGnatt[[#This Row],[Days]]),$G$5,"")),"")</f>
        <v/>
      </c>
      <c r="Z57" s="36" t="str">
        <f ca="1">IFERROR(+IF(Z$27=ProposalToGnatt[[#This Row],[Start Date]],Milestone_Marker,IF(AND(Z$27&gt;ProposalToGnatt[[#This Row],[Start Date]],Z$27&lt;ProposalToGnatt[[#This Row],[Start Date]]+ProposalToGnatt[[#This Row],[Days]]),$G$5,"")),"")</f>
        <v/>
      </c>
      <c r="AA57" s="36" t="str">
        <f ca="1">IFERROR(+IF(AA$27=ProposalToGnatt[[#This Row],[Start Date]],Milestone_Marker,IF(AND(AA$27&gt;ProposalToGnatt[[#This Row],[Start Date]],AA$27&lt;ProposalToGnatt[[#This Row],[Start Date]]+ProposalToGnatt[[#This Row],[Days]]),$G$5,"")),"")</f>
        <v/>
      </c>
      <c r="AB57" s="36" t="str">
        <f ca="1">IFERROR(+IF(AB$27=ProposalToGnatt[[#This Row],[Start Date]],Milestone_Marker,IF(AND(AB$27&gt;ProposalToGnatt[[#This Row],[Start Date]],AB$27&lt;ProposalToGnatt[[#This Row],[Start Date]]+ProposalToGnatt[[#This Row],[Days]]),$G$5,"")),"")</f>
        <v/>
      </c>
      <c r="AC57" s="36" t="str">
        <f ca="1">IFERROR(+IF(AC$27=ProposalToGnatt[[#This Row],[Start Date]],Milestone_Marker,IF(AND(AC$27&gt;ProposalToGnatt[[#This Row],[Start Date]],AC$27&lt;ProposalToGnatt[[#This Row],[Start Date]]+ProposalToGnatt[[#This Row],[Days]]),$G$5,"")),"")</f>
        <v/>
      </c>
      <c r="AD57" s="36" t="str">
        <f ca="1">IFERROR(+IF(AD$27=ProposalToGnatt[[#This Row],[Start Date]],Milestone_Marker,IF(AND(AD$27&gt;ProposalToGnatt[[#This Row],[Start Date]],AD$27&lt;ProposalToGnatt[[#This Row],[Start Date]]+ProposalToGnatt[[#This Row],[Days]]),$G$5,"")),"")</f>
        <v/>
      </c>
      <c r="AE57" s="36" t="str">
        <f ca="1">IFERROR(+IF(AE$27=ProposalToGnatt[[#This Row],[Start Date]],Milestone_Marker,IF(AND(AE$27&gt;ProposalToGnatt[[#This Row],[Start Date]],AE$27&lt;ProposalToGnatt[[#This Row],[Start Date]]+ProposalToGnatt[[#This Row],[Days]]),$G$5,"")),"")</f>
        <v/>
      </c>
      <c r="AF57" s="36" t="str">
        <f ca="1">IFERROR(+IF(AF$27=ProposalToGnatt[[#This Row],[Start Date]],Milestone_Marker,IF(AND(AF$27&gt;ProposalToGnatt[[#This Row],[Start Date]],AF$27&lt;ProposalToGnatt[[#This Row],[Start Date]]+ProposalToGnatt[[#This Row],[Days]]),$G$5,"")),"")</f>
        <v/>
      </c>
      <c r="AG57" s="36" t="str">
        <f ca="1">IFERROR(+IF(AG$27=ProposalToGnatt[[#This Row],[Start Date]],Milestone_Marker,IF(AND(AG$27&gt;ProposalToGnatt[[#This Row],[Start Date]],AG$27&lt;ProposalToGnatt[[#This Row],[Start Date]]+ProposalToGnatt[[#This Row],[Days]]),$G$5,"")),"")</f>
        <v/>
      </c>
      <c r="AH57" s="36" t="str">
        <f ca="1">IFERROR(+IF(AH$27=ProposalToGnatt[[#This Row],[Start Date]],Milestone_Marker,IF(AND(AH$27&gt;ProposalToGnatt[[#This Row],[Start Date]],AH$27&lt;ProposalToGnatt[[#This Row],[Start Date]]+ProposalToGnatt[[#This Row],[Days]]),$G$5,"")),"")</f>
        <v/>
      </c>
      <c r="AI57" s="36" t="str">
        <f ca="1">IFERROR(+IF(AI$27=ProposalToGnatt[[#This Row],[Start Date]],Milestone_Marker,IF(AND(AI$27&gt;ProposalToGnatt[[#This Row],[Start Date]],AI$27&lt;ProposalToGnatt[[#This Row],[Start Date]]+ProposalToGnatt[[#This Row],[Days]]),$G$5,"")),"")</f>
        <v/>
      </c>
      <c r="AJ57" s="36" t="str">
        <f ca="1">IFERROR(+IF(AJ$27=ProposalToGnatt[[#This Row],[Start Date]],Milestone_Marker,IF(AND(AJ$27&gt;ProposalToGnatt[[#This Row],[Start Date]],AJ$27&lt;ProposalToGnatt[[#This Row],[Start Date]]+ProposalToGnatt[[#This Row],[Days]]),$G$5,"")),"")</f>
        <v/>
      </c>
      <c r="AK57" s="36" t="str">
        <f ca="1">IFERROR(+IF(AK$27=ProposalToGnatt[[#This Row],[Start Date]],Milestone_Marker,IF(AND(AK$27&gt;ProposalToGnatt[[#This Row],[Start Date]],AK$27&lt;ProposalToGnatt[[#This Row],[Start Date]]+ProposalToGnatt[[#This Row],[Days]]),$G$5,"")),"")</f>
        <v/>
      </c>
      <c r="AL57" s="36" t="str">
        <f ca="1">IFERROR(+IF(AL$27=ProposalToGnatt[[#This Row],[Start Date]],Milestone_Marker,IF(AND(AL$27&gt;ProposalToGnatt[[#This Row],[Start Date]],AL$27&lt;ProposalToGnatt[[#This Row],[Start Date]]+ProposalToGnatt[[#This Row],[Days]]),$G$5,"")),"")</f>
        <v/>
      </c>
      <c r="AM57" s="36" t="str">
        <f ca="1">IFERROR(+IF(AM$27=ProposalToGnatt[[#This Row],[Start Date]],Milestone_Marker,IF(AND(AM$27&gt;ProposalToGnatt[[#This Row],[Start Date]],AM$27&lt;ProposalToGnatt[[#This Row],[Start Date]]+ProposalToGnatt[[#This Row],[Days]]),$G$5,"")),"")</f>
        <v/>
      </c>
      <c r="AN57" s="36" t="str">
        <f ca="1">IFERROR(+IF(AN$27=ProposalToGnatt[[#This Row],[Start Date]],Milestone_Marker,IF(AND(AN$27&gt;ProposalToGnatt[[#This Row],[Start Date]],AN$27&lt;ProposalToGnatt[[#This Row],[Start Date]]+ProposalToGnatt[[#This Row],[Days]]),$G$5,"")),"")</f>
        <v/>
      </c>
      <c r="AO57" s="36" t="str">
        <f ca="1">IFERROR(+IF(AO$27=ProposalToGnatt[[#This Row],[Start Date]],Milestone_Marker,IF(AND(AO$27&gt;ProposalToGnatt[[#This Row],[Start Date]],AO$27&lt;ProposalToGnatt[[#This Row],[Start Date]]+ProposalToGnatt[[#This Row],[Days]]),$G$5,"")),"")</f>
        <v/>
      </c>
      <c r="AP57" s="36" t="str">
        <f ca="1">IFERROR(+IF(AP$27=ProposalToGnatt[[#This Row],[Start Date]],Milestone_Marker,IF(AND(AP$27&gt;ProposalToGnatt[[#This Row],[Start Date]],AP$27&lt;ProposalToGnatt[[#This Row],[Start Date]]+ProposalToGnatt[[#This Row],[Days]]),$G$5,"")),"")</f>
        <v/>
      </c>
      <c r="AQ57" s="36" t="str">
        <f ca="1">IFERROR(+IF(AQ$27=ProposalToGnatt[[#This Row],[Start Date]],Milestone_Marker,IF(AND(AQ$27&gt;ProposalToGnatt[[#This Row],[Start Date]],AQ$27&lt;ProposalToGnatt[[#This Row],[Start Date]]+ProposalToGnatt[[#This Row],[Days]]),$G$5,"")),"")</f>
        <v/>
      </c>
      <c r="AR57" s="36" t="str">
        <f ca="1">IFERROR(+IF(AR$27=ProposalToGnatt[[#This Row],[Start Date]],Milestone_Marker,IF(AND(AR$27&gt;ProposalToGnatt[[#This Row],[Start Date]],AR$27&lt;ProposalToGnatt[[#This Row],[Start Date]]+ProposalToGnatt[[#This Row],[Days]]),$G$5,"")),"")</f>
        <v/>
      </c>
      <c r="AS57" s="36" t="str">
        <f ca="1">IFERROR(+IF(AS$27=ProposalToGnatt[[#This Row],[Start Date]],Milestone_Marker,IF(AND(AS$27&gt;ProposalToGnatt[[#This Row],[Start Date]],AS$27&lt;ProposalToGnatt[[#This Row],[Start Date]]+ProposalToGnatt[[#This Row],[Days]]),$G$5,"")),"")</f>
        <v/>
      </c>
      <c r="AT57" s="36" t="str">
        <f ca="1">IFERROR(+IF(AT$27=ProposalToGnatt[[#This Row],[Start Date]],Milestone_Marker,IF(AND(AT$27&gt;ProposalToGnatt[[#This Row],[Start Date]],AT$27&lt;ProposalToGnatt[[#This Row],[Start Date]]+ProposalToGnatt[[#This Row],[Days]]),$G$5,"")),"")</f>
        <v/>
      </c>
      <c r="AU57" s="36" t="str">
        <f ca="1">IFERROR(+IF(AU$27=ProposalToGnatt[[#This Row],[Start Date]],Milestone_Marker,IF(AND(AU$27&gt;ProposalToGnatt[[#This Row],[Start Date]],AU$27&lt;ProposalToGnatt[[#This Row],[Start Date]]+ProposalToGnatt[[#This Row],[Days]]),$G$5,"")),"")</f>
        <v/>
      </c>
      <c r="AV57" s="36" t="str">
        <f ca="1">IFERROR(+IF(AV$27=ProposalToGnatt[[#This Row],[Start Date]],Milestone_Marker,IF(AND(AV$27&gt;ProposalToGnatt[[#This Row],[Start Date]],AV$27&lt;ProposalToGnatt[[#This Row],[Start Date]]+ProposalToGnatt[[#This Row],[Days]]),$G$5,"")),"")</f>
        <v/>
      </c>
      <c r="AW57" s="36" t="str">
        <f ca="1">IFERROR(+IF(AW$27=ProposalToGnatt[[#This Row],[Start Date]],Milestone_Marker,IF(AND(AW$27&gt;ProposalToGnatt[[#This Row],[Start Date]],AW$27&lt;ProposalToGnatt[[#This Row],[Start Date]]+ProposalToGnatt[[#This Row],[Days]]),$G$5,"")),"")</f>
        <v/>
      </c>
      <c r="AX57" s="36" t="str">
        <f ca="1">IFERROR(+IF(AX$27=ProposalToGnatt[[#This Row],[Start Date]],Milestone_Marker,IF(AND(AX$27&gt;ProposalToGnatt[[#This Row],[Start Date]],AX$27&lt;ProposalToGnatt[[#This Row],[Start Date]]+ProposalToGnatt[[#This Row],[Days]]),$G$5,"")),"")</f>
        <v/>
      </c>
      <c r="AY57" s="36" t="str">
        <f ca="1">IFERROR(+IF(AY$27=ProposalToGnatt[[#This Row],[Start Date]],Milestone_Marker,IF(AND(AY$27&gt;ProposalToGnatt[[#This Row],[Start Date]],AY$27&lt;ProposalToGnatt[[#This Row],[Start Date]]+ProposalToGnatt[[#This Row],[Days]]),$G$5,"")),"")</f>
        <v/>
      </c>
      <c r="AZ57" s="36" t="str">
        <f ca="1">IFERROR(+IF(AZ$27=ProposalToGnatt[[#This Row],[Start Date]],Milestone_Marker,IF(AND(AZ$27&gt;ProposalToGnatt[[#This Row],[Start Date]],AZ$27&lt;ProposalToGnatt[[#This Row],[Start Date]]+ProposalToGnatt[[#This Row],[Days]]),$G$5,"")),"")</f>
        <v/>
      </c>
      <c r="BA57" s="36" t="str">
        <f ca="1">IFERROR(+IF(BA$27=ProposalToGnatt[[#This Row],[Start Date]],Milestone_Marker,IF(AND(BA$27&gt;ProposalToGnatt[[#This Row],[Start Date]],BA$27&lt;ProposalToGnatt[[#This Row],[Start Date]]+ProposalToGnatt[[#This Row],[Days]]),$G$5,"")),"")</f>
        <v/>
      </c>
      <c r="BB57" s="36" t="str">
        <f ca="1">IFERROR(+IF(BB$27=ProposalToGnatt[[#This Row],[Start Date]],Milestone_Marker,IF(AND(BB$27&gt;ProposalToGnatt[[#This Row],[Start Date]],BB$27&lt;ProposalToGnatt[[#This Row],[Start Date]]+ProposalToGnatt[[#This Row],[Days]]),$G$5,"")),"")</f>
        <v/>
      </c>
      <c r="BC57" s="36" t="str">
        <f ca="1">IFERROR(+IF(BC$27=ProposalToGnatt[[#This Row],[Start Date]],Milestone_Marker,IF(AND(BC$27&gt;ProposalToGnatt[[#This Row],[Start Date]],BC$27&lt;ProposalToGnatt[[#This Row],[Start Date]]+ProposalToGnatt[[#This Row],[Days]]),$G$5,"")),"")</f>
        <v/>
      </c>
      <c r="BD57" s="36" t="str">
        <f ca="1">IFERROR(+IF(BD$27=ProposalToGnatt[[#This Row],[Start Date]],Milestone_Marker,IF(AND(BD$27&gt;ProposalToGnatt[[#This Row],[Start Date]],BD$27&lt;ProposalToGnatt[[#This Row],[Start Date]]+ProposalToGnatt[[#This Row],[Days]]),$G$5,"")),"")</f>
        <v/>
      </c>
      <c r="BE57" s="36" t="str">
        <f ca="1">IFERROR(+IF(BE$27=ProposalToGnatt[[#This Row],[Start Date]],Milestone_Marker,IF(AND(BE$27&gt;ProposalToGnatt[[#This Row],[Start Date]],BE$27&lt;ProposalToGnatt[[#This Row],[Start Date]]+ProposalToGnatt[[#This Row],[Days]]),$G$5,"")),"")</f>
        <v/>
      </c>
      <c r="BF57" s="36" t="str">
        <f ca="1">IFERROR(+IF(BF$27=ProposalToGnatt[[#This Row],[Start Date]],Milestone_Marker,IF(AND(BF$27&gt;ProposalToGnatt[[#This Row],[Start Date]],BF$27&lt;ProposalToGnatt[[#This Row],[Start Date]]+ProposalToGnatt[[#This Row],[Days]]),$G$5,"")),"")</f>
        <v/>
      </c>
      <c r="BG57" s="36" t="str">
        <f ca="1">IFERROR(+IF(BG$27=ProposalToGnatt[[#This Row],[Start Date]],Milestone_Marker,IF(AND(BG$27&gt;ProposalToGnatt[[#This Row],[Start Date]],BG$27&lt;ProposalToGnatt[[#This Row],[Start Date]]+ProposalToGnatt[[#This Row],[Days]]),$G$5,"")),"")</f>
        <v/>
      </c>
      <c r="BH57" s="36" t="str">
        <f ca="1">IFERROR(+IF(BH$27=ProposalToGnatt[[#This Row],[Start Date]],Milestone_Marker,IF(AND(BH$27&gt;ProposalToGnatt[[#This Row],[Start Date]],BH$27&lt;ProposalToGnatt[[#This Row],[Start Date]]+ProposalToGnatt[[#This Row],[Days]]),$G$5,"")),"")</f>
        <v/>
      </c>
      <c r="BI57" s="36" t="str">
        <f ca="1">IFERROR(+IF(BI$27=ProposalToGnatt[[#This Row],[Start Date]],Milestone_Marker,IF(AND(BI$27&gt;ProposalToGnatt[[#This Row],[Start Date]],BI$27&lt;ProposalToGnatt[[#This Row],[Start Date]]+ProposalToGnatt[[#This Row],[Days]]),$G$5,"")),"")</f>
        <v/>
      </c>
      <c r="BJ57" s="36" t="str">
        <f ca="1">IFERROR(+IF(BJ$27=ProposalToGnatt[[#This Row],[Start Date]],Milestone_Marker,IF(AND(BJ$27&gt;ProposalToGnatt[[#This Row],[Start Date]],BJ$27&lt;ProposalToGnatt[[#This Row],[Start Date]]+ProposalToGnatt[[#This Row],[Days]]),$G$5,"")),"")</f>
        <v/>
      </c>
      <c r="BK57" s="36" t="str">
        <f ca="1">IFERROR(+IF(BK$27=ProposalToGnatt[[#This Row],[Start Date]],Milestone_Marker,IF(AND(BK$27&gt;ProposalToGnatt[[#This Row],[Start Date]],BK$27&lt;ProposalToGnatt[[#This Row],[Start Date]]+ProposalToGnatt[[#This Row],[Days]]),$G$5,"")),"")</f>
        <v/>
      </c>
      <c r="BL57" s="36" t="str">
        <f ca="1">IFERROR(+IF(BL$27=ProposalToGnatt[[#This Row],[Start Date]],Milestone_Marker,IF(AND(BL$27&gt;ProposalToGnatt[[#This Row],[Start Date]],BL$27&lt;ProposalToGnatt[[#This Row],[Start Date]]+ProposalToGnatt[[#This Row],[Days]]),$G$5,"")),"")</f>
        <v/>
      </c>
      <c r="BM57" s="36" t="str">
        <f ca="1">IFERROR(+IF(BM$27=ProposalToGnatt[[#This Row],[Start Date]],Milestone_Marker,IF(AND(BM$27&gt;ProposalToGnatt[[#This Row],[Start Date]],BM$27&lt;ProposalToGnatt[[#This Row],[Start Date]]+ProposalToGnatt[[#This Row],[Days]]),$G$5,"")),"")</f>
        <v/>
      </c>
      <c r="BN57" s="36" t="str">
        <f ca="1">IFERROR(+IF(BN$27=ProposalToGnatt[[#This Row],[Start Date]],Milestone_Marker,IF(AND(BN$27&gt;ProposalToGnatt[[#This Row],[Start Date]],BN$27&lt;ProposalToGnatt[[#This Row],[Start Date]]+ProposalToGnatt[[#This Row],[Days]]),$G$5,"")),"")</f>
        <v/>
      </c>
      <c r="BO57" s="36" t="str">
        <f ca="1">IFERROR(+IF(BO$27=ProposalToGnatt[[#This Row],[Start Date]],Milestone_Marker,IF(AND(BO$27&gt;ProposalToGnatt[[#This Row],[Start Date]],BO$27&lt;ProposalToGnatt[[#This Row],[Start Date]]+ProposalToGnatt[[#This Row],[Days]]),$G$5,"")),"")</f>
        <v/>
      </c>
      <c r="BP57" s="36" t="str">
        <f ca="1">IFERROR(+IF(BP$27=ProposalToGnatt[[#This Row],[Start Date]],Milestone_Marker,IF(AND(BP$27&gt;ProposalToGnatt[[#This Row],[Start Date]],BP$27&lt;ProposalToGnatt[[#This Row],[Start Date]]+ProposalToGnatt[[#This Row],[Days]]),$G$5,"")),"")</f>
        <v/>
      </c>
      <c r="BQ57" s="36" t="str">
        <f ca="1">IFERROR(+IF(BQ$27=ProposalToGnatt[[#This Row],[Start Date]],Milestone_Marker,IF(AND(BQ$27&gt;ProposalToGnatt[[#This Row],[Start Date]],BQ$27&lt;ProposalToGnatt[[#This Row],[Start Date]]+ProposalToGnatt[[#This Row],[Days]]),$G$5,"")),"")</f>
        <v/>
      </c>
      <c r="BR57" s="36" t="str">
        <f ca="1">IFERROR(+IF(BR$27=ProposalToGnatt[[#This Row],[Start Date]],Milestone_Marker,IF(AND(BR$27&gt;ProposalToGnatt[[#This Row],[Start Date]],BR$27&lt;ProposalToGnatt[[#This Row],[Start Date]]+ProposalToGnatt[[#This Row],[Days]]),$G$5,"")),"")</f>
        <v/>
      </c>
      <c r="BS57" s="36" t="str">
        <f ca="1">IFERROR(+IF(BS$27=ProposalToGnatt[[#This Row],[Start Date]],Milestone_Marker,IF(AND(BS$27&gt;ProposalToGnatt[[#This Row],[Start Date]],BS$27&lt;ProposalToGnatt[[#This Row],[Start Date]]+ProposalToGnatt[[#This Row],[Days]]),$G$5,"")),"")</f>
        <v/>
      </c>
      <c r="BT57" s="36" t="str">
        <f ca="1">IFERROR(+IF(BT$27=ProposalToGnatt[[#This Row],[Start Date]],Milestone_Marker,IF(AND(BT$27&gt;ProposalToGnatt[[#This Row],[Start Date]],BT$27&lt;ProposalToGnatt[[#This Row],[Start Date]]+ProposalToGnatt[[#This Row],[Days]]),$G$5,"")),"")</f>
        <v/>
      </c>
      <c r="BU57" s="36" t="str">
        <f ca="1">IFERROR(+IF(BU$27=ProposalToGnatt[[#This Row],[Start Date]],Milestone_Marker,IF(AND(BU$27&gt;ProposalToGnatt[[#This Row],[Start Date]],BU$27&lt;ProposalToGnatt[[#This Row],[Start Date]]+ProposalToGnatt[[#This Row],[Days]]),$G$5,"")),"")</f>
        <v/>
      </c>
      <c r="BV57" s="36" t="str">
        <f ca="1">IFERROR(+IF(BV$27=ProposalToGnatt[[#This Row],[Start Date]],Milestone_Marker,IF(AND(BV$27&gt;ProposalToGnatt[[#This Row],[Start Date]],BV$27&lt;ProposalToGnatt[[#This Row],[Start Date]]+ProposalToGnatt[[#This Row],[Days]]),$G$5,"")),"")</f>
        <v/>
      </c>
      <c r="BW57" s="36" t="str">
        <f ca="1">IFERROR(+IF(BW$27=ProposalToGnatt[[#This Row],[Start Date]],Milestone_Marker,IF(AND(BW$27&gt;ProposalToGnatt[[#This Row],[Start Date]],BW$27&lt;ProposalToGnatt[[#This Row],[Start Date]]+ProposalToGnatt[[#This Row],[Days]]),$G$5,"")),"")</f>
        <v/>
      </c>
      <c r="BX57" s="36" t="str">
        <f ca="1">IFERROR(+IF(BX$27=ProposalToGnatt[[#This Row],[Start Date]],Milestone_Marker,IF(AND(BX$27&gt;ProposalToGnatt[[#This Row],[Start Date]],BX$27&lt;ProposalToGnatt[[#This Row],[Start Date]]+ProposalToGnatt[[#This Row],[Days]]),$G$5,"")),"")</f>
        <v/>
      </c>
      <c r="BY57" s="36" t="str">
        <f ca="1">IFERROR(+IF(BY$27=ProposalToGnatt[[#This Row],[Start Date]],Milestone_Marker,IF(AND(BY$27&gt;ProposalToGnatt[[#This Row],[Start Date]],BY$27&lt;ProposalToGnatt[[#This Row],[Start Date]]+ProposalToGnatt[[#This Row],[Days]]),$G$5,"")),"")</f>
        <v/>
      </c>
      <c r="BZ57" s="36" t="str">
        <f ca="1">IFERROR(+IF(BZ$27=ProposalToGnatt[[#This Row],[Start Date]],Milestone_Marker,IF(AND(BZ$27&gt;ProposalToGnatt[[#This Row],[Start Date]],BZ$27&lt;ProposalToGnatt[[#This Row],[Start Date]]+ProposalToGnatt[[#This Row],[Days]]),$G$5,"")),"")</f>
        <v/>
      </c>
      <c r="CA57" s="36" t="str">
        <f ca="1">IFERROR(+IF(CA$27=ProposalToGnatt[[#This Row],[Start Date]],Milestone_Marker,IF(AND(CA$27&gt;ProposalToGnatt[[#This Row],[Start Date]],CA$27&lt;ProposalToGnatt[[#This Row],[Start Date]]+ProposalToGnatt[[#This Row],[Days]]),$G$5,"")),"")</f>
        <v/>
      </c>
      <c r="CB57" s="36" t="str">
        <f ca="1">IFERROR(+IF(CB$27=ProposalToGnatt[[#This Row],[Start Date]],Milestone_Marker,IF(AND(CB$27&gt;ProposalToGnatt[[#This Row],[Start Date]],CB$27&lt;ProposalToGnatt[[#This Row],[Start Date]]+ProposalToGnatt[[#This Row],[Days]]),$G$5,"")),"")</f>
        <v/>
      </c>
      <c r="CC57" s="36" t="str">
        <f ca="1">IFERROR(+IF(CC$27=ProposalToGnatt[[#This Row],[Start Date]],Milestone_Marker,IF(AND(CC$27&gt;ProposalToGnatt[[#This Row],[Start Date]],CC$27&lt;ProposalToGnatt[[#This Row],[Start Date]]+ProposalToGnatt[[#This Row],[Days]]),$G$5,"")),"")</f>
        <v/>
      </c>
      <c r="CD57" s="36" t="str">
        <f ca="1">IFERROR(+IF(CD$27=ProposalToGnatt[[#This Row],[Start Date]],Milestone_Marker,IF(AND(CD$27&gt;ProposalToGnatt[[#This Row],[Start Date]],CD$27&lt;ProposalToGnatt[[#This Row],[Start Date]]+ProposalToGnatt[[#This Row],[Days]]),$G$5,"")),"")</f>
        <v/>
      </c>
      <c r="CE57" s="36" t="str">
        <f ca="1">IFERROR(+IF(CE$27=ProposalToGnatt[[#This Row],[Start Date]],Milestone_Marker,IF(AND(CE$27&gt;ProposalToGnatt[[#This Row],[Start Date]],CE$27&lt;ProposalToGnatt[[#This Row],[Start Date]]+ProposalToGnatt[[#This Row],[Days]]),$G$5,"")),"")</f>
        <v/>
      </c>
      <c r="CF57" s="36" t="str">
        <f ca="1">IFERROR(+IF(CF$27=ProposalToGnatt[[#This Row],[Start Date]],Milestone_Marker,IF(AND(CF$27&gt;ProposalToGnatt[[#This Row],[Start Date]],CF$27&lt;ProposalToGnatt[[#This Row],[Start Date]]+ProposalToGnatt[[#This Row],[Days]]),$G$5,"")),"")</f>
        <v/>
      </c>
      <c r="CG57" s="36" t="str">
        <f ca="1">IFERROR(+IF(CG$27=ProposalToGnatt[[#This Row],[Start Date]],Milestone_Marker,IF(AND(CG$27&gt;ProposalToGnatt[[#This Row],[Start Date]],CG$27&lt;ProposalToGnatt[[#This Row],[Start Date]]+ProposalToGnatt[[#This Row],[Days]]),$G$5,"")),"")</f>
        <v/>
      </c>
      <c r="CH57" s="36" t="str">
        <f ca="1">IFERROR(+IF(CH$27=ProposalToGnatt[[#This Row],[Start Date]],Milestone_Marker,IF(AND(CH$27&gt;ProposalToGnatt[[#This Row],[Start Date]],CH$27&lt;ProposalToGnatt[[#This Row],[Start Date]]+ProposalToGnatt[[#This Row],[Days]]),$G$5,"")),"")</f>
        <v/>
      </c>
      <c r="CI57" s="36" t="str">
        <f ca="1">IFERROR(+IF(CI$27=ProposalToGnatt[[#This Row],[Start Date]],Milestone_Marker,IF(AND(CI$27&gt;ProposalToGnatt[[#This Row],[Start Date]],CI$27&lt;ProposalToGnatt[[#This Row],[Start Date]]+ProposalToGnatt[[#This Row],[Days]]),$G$5,"")),"")</f>
        <v/>
      </c>
      <c r="CJ57" s="36" t="str">
        <f ca="1">IFERROR(+IF(CJ$27=ProposalToGnatt[[#This Row],[Start Date]],Milestone_Marker,IF(AND(CJ$27&gt;ProposalToGnatt[[#This Row],[Start Date]],CJ$27&lt;ProposalToGnatt[[#This Row],[Start Date]]+ProposalToGnatt[[#This Row],[Days]]),$G$5,"")),"")</f>
        <v/>
      </c>
      <c r="CK57" s="36" t="str">
        <f ca="1">IFERROR(+IF(CK$27=ProposalToGnatt[[#This Row],[Start Date]],Milestone_Marker,IF(AND(CK$27&gt;ProposalToGnatt[[#This Row],[Start Date]],CK$27&lt;ProposalToGnatt[[#This Row],[Start Date]]+ProposalToGnatt[[#This Row],[Days]]),$G$5,"")),"")</f>
        <v/>
      </c>
      <c r="CL57" s="36" t="str">
        <f ca="1">IFERROR(+IF(CL$27=ProposalToGnatt[[#This Row],[Start Date]],Milestone_Marker,IF(AND(CL$27&gt;ProposalToGnatt[[#This Row],[Start Date]],CL$27&lt;ProposalToGnatt[[#This Row],[Start Date]]+ProposalToGnatt[[#This Row],[Days]]),$G$5,"")),"")</f>
        <v/>
      </c>
      <c r="CM57" s="36" t="str">
        <f ca="1">IFERROR(+IF(CM$27=ProposalToGnatt[[#This Row],[Start Date]],Milestone_Marker,IF(AND(CM$27&gt;ProposalToGnatt[[#This Row],[Start Date]],CM$27&lt;ProposalToGnatt[[#This Row],[Start Date]]+ProposalToGnatt[[#This Row],[Days]]),$G$5,"")),"")</f>
        <v/>
      </c>
      <c r="CN57" s="36" t="str">
        <f ca="1">IFERROR(+IF(CN$27=ProposalToGnatt[[#This Row],[Start Date]],Milestone_Marker,IF(AND(CN$27&gt;ProposalToGnatt[[#This Row],[Start Date]],CN$27&lt;ProposalToGnatt[[#This Row],[Start Date]]+ProposalToGnatt[[#This Row],[Days]]),$G$5,"")),"")</f>
        <v/>
      </c>
      <c r="CO57" s="36" t="str">
        <f ca="1">IFERROR(+IF(CO$27=ProposalToGnatt[[#This Row],[Start Date]],Milestone_Marker,IF(AND(CO$27&gt;ProposalToGnatt[[#This Row],[Start Date]],CO$27&lt;ProposalToGnatt[[#This Row],[Start Date]]+ProposalToGnatt[[#This Row],[Days]]),$G$5,"")),"")</f>
        <v/>
      </c>
      <c r="CP57" s="36" t="str">
        <f ca="1">IFERROR(+IF(CP$27=ProposalToGnatt[[#This Row],[Start Date]],Milestone_Marker,IF(AND(CP$27&gt;ProposalToGnatt[[#This Row],[Start Date]],CP$27&lt;ProposalToGnatt[[#This Row],[Start Date]]+ProposalToGnatt[[#This Row],[Days]]),$G$5,"")),"")</f>
        <v/>
      </c>
      <c r="CQ57" s="36" t="str">
        <f ca="1">IFERROR(+IF(CQ$27=ProposalToGnatt[[#This Row],[Start Date]],Milestone_Marker,IF(AND(CQ$27&gt;ProposalToGnatt[[#This Row],[Start Date]],CQ$27&lt;ProposalToGnatt[[#This Row],[Start Date]]+ProposalToGnatt[[#This Row],[Days]]),$G$5,"")),"")</f>
        <v/>
      </c>
      <c r="CR57" s="36" t="str">
        <f ca="1">IFERROR(+IF(CR$27=ProposalToGnatt[[#This Row],[Start Date]],Milestone_Marker,IF(AND(CR$27&gt;ProposalToGnatt[[#This Row],[Start Date]],CR$27&lt;ProposalToGnatt[[#This Row],[Start Date]]+ProposalToGnatt[[#This Row],[Days]]),$G$5,"")),"")</f>
        <v/>
      </c>
      <c r="CS57" s="36" t="str">
        <f ca="1">IFERROR(+IF(CS$27=ProposalToGnatt[[#This Row],[Start Date]],Milestone_Marker,IF(AND(CS$27&gt;ProposalToGnatt[[#This Row],[Start Date]],CS$27&lt;ProposalToGnatt[[#This Row],[Start Date]]+ProposalToGnatt[[#This Row],[Days]]),$G$5,"")),"")</f>
        <v/>
      </c>
      <c r="CT57" s="36" t="str">
        <f ca="1">IFERROR(+IF(CT$27=ProposalToGnatt[[#This Row],[Start Date]],Milestone_Marker,IF(AND(CT$27&gt;ProposalToGnatt[[#This Row],[Start Date]],CT$27&lt;ProposalToGnatt[[#This Row],[Start Date]]+ProposalToGnatt[[#This Row],[Days]]),$G$5,"")),"")</f>
        <v/>
      </c>
      <c r="CU57" s="36" t="str">
        <f ca="1">IFERROR(+IF(CU$27=ProposalToGnatt[[#This Row],[Start Date]],Milestone_Marker,IF(AND(CU$27&gt;ProposalToGnatt[[#This Row],[Start Date]],CU$27&lt;ProposalToGnatt[[#This Row],[Start Date]]+ProposalToGnatt[[#This Row],[Days]]),$G$5,"")),"")</f>
        <v/>
      </c>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row>
    <row r="58" spans="1:125" s="41" customFormat="1" ht="15" x14ac:dyDescent="0.25">
      <c r="A58"/>
      <c r="B58"/>
      <c r="C58"/>
      <c r="D58"/>
      <c r="E58"/>
      <c r="F58"/>
      <c r="G58" s="14"/>
      <c r="H58" s="14"/>
      <c r="I58"/>
      <c r="J58"/>
      <c r="K58" s="261"/>
      <c r="L58"/>
      <c r="M58" s="14"/>
      <c r="N58" s="309"/>
      <c r="O58" s="297"/>
      <c r="P58" s="36" t="str">
        <f ca="1">IFERROR(+IF(P$27=ProposalToGnatt[[#This Row],[Start Date]],Milestone_Marker,IF(AND(P$27&gt;ProposalToGnatt[[#This Row],[Start Date]],P$27&lt;ProposalToGnatt[[#This Row],[Start Date]]+ProposalToGnatt[[#This Row],[Days]]),$G$5,"")),"")</f>
        <v/>
      </c>
      <c r="Q58" s="36" t="str">
        <f ca="1">IFERROR(+IF(Q$27=ProposalToGnatt[[#This Row],[Start Date]],Milestone_Marker,IF(AND(Q$27&gt;ProposalToGnatt[[#This Row],[Start Date]],Q$27&lt;ProposalToGnatt[[#This Row],[Start Date]]+ProposalToGnatt[[#This Row],[Days]]),$G$5,"")),"")</f>
        <v/>
      </c>
      <c r="R58" s="36" t="str">
        <f ca="1">IFERROR(+IF(R$27=ProposalToGnatt[[#This Row],[Start Date]],Milestone_Marker,IF(AND(R$27&gt;ProposalToGnatt[[#This Row],[Start Date]],R$27&lt;ProposalToGnatt[[#This Row],[Start Date]]+ProposalToGnatt[[#This Row],[Days]]),$G$5,"")),"")</f>
        <v/>
      </c>
      <c r="S58" s="36" t="str">
        <f ca="1">IFERROR(+IF(S$27=ProposalToGnatt[[#This Row],[Start Date]],Milestone_Marker,IF(AND(S$27&gt;ProposalToGnatt[[#This Row],[Start Date]],S$27&lt;ProposalToGnatt[[#This Row],[Start Date]]+ProposalToGnatt[[#This Row],[Days]]),$G$5,"")),"")</f>
        <v/>
      </c>
      <c r="T58" s="36" t="str">
        <f ca="1">IFERROR(+IF(T$27=ProposalToGnatt[[#This Row],[Start Date]],Milestone_Marker,IF(AND(T$27&gt;ProposalToGnatt[[#This Row],[Start Date]],T$27&lt;ProposalToGnatt[[#This Row],[Start Date]]+ProposalToGnatt[[#This Row],[Days]]),$G$5,"")),"")</f>
        <v/>
      </c>
      <c r="U58" s="36" t="str">
        <f ca="1">IFERROR(+IF(U$27=ProposalToGnatt[[#This Row],[Start Date]],Milestone_Marker,IF(AND(U$27&gt;ProposalToGnatt[[#This Row],[Start Date]],U$27&lt;ProposalToGnatt[[#This Row],[Start Date]]+ProposalToGnatt[[#This Row],[Days]]),$G$5,"")),"")</f>
        <v/>
      </c>
      <c r="V58" s="36" t="str">
        <f ca="1">IFERROR(+IF(V$27=ProposalToGnatt[[#This Row],[Start Date]],Milestone_Marker,IF(AND(V$27&gt;ProposalToGnatt[[#This Row],[Start Date]],V$27&lt;ProposalToGnatt[[#This Row],[Start Date]]+ProposalToGnatt[[#This Row],[Days]]),$G$5,"")),"")</f>
        <v/>
      </c>
      <c r="W58" s="36" t="str">
        <f ca="1">IFERROR(+IF(W$27=ProposalToGnatt[[#This Row],[Start Date]],Milestone_Marker,IF(AND(W$27&gt;ProposalToGnatt[[#This Row],[Start Date]],W$27&lt;ProposalToGnatt[[#This Row],[Start Date]]+ProposalToGnatt[[#This Row],[Days]]),$G$5,"")),"")</f>
        <v/>
      </c>
      <c r="X58" s="36" t="str">
        <f ca="1">IFERROR(+IF(X$27=ProposalToGnatt[[#This Row],[Start Date]],Milestone_Marker,IF(AND(X$27&gt;ProposalToGnatt[[#This Row],[Start Date]],X$27&lt;ProposalToGnatt[[#This Row],[Start Date]]+ProposalToGnatt[[#This Row],[Days]]),$G$5,"")),"")</f>
        <v/>
      </c>
      <c r="Y58" s="36" t="str">
        <f ca="1">IFERROR(+IF(Y$27=ProposalToGnatt[[#This Row],[Start Date]],Milestone_Marker,IF(AND(Y$27&gt;ProposalToGnatt[[#This Row],[Start Date]],Y$27&lt;ProposalToGnatt[[#This Row],[Start Date]]+ProposalToGnatt[[#This Row],[Days]]),$G$5,"")),"")</f>
        <v/>
      </c>
      <c r="Z58" s="36" t="str">
        <f ca="1">IFERROR(+IF(Z$27=ProposalToGnatt[[#This Row],[Start Date]],Milestone_Marker,IF(AND(Z$27&gt;ProposalToGnatt[[#This Row],[Start Date]],Z$27&lt;ProposalToGnatt[[#This Row],[Start Date]]+ProposalToGnatt[[#This Row],[Days]]),$G$5,"")),"")</f>
        <v/>
      </c>
      <c r="AA58" s="36" t="str">
        <f ca="1">IFERROR(+IF(AA$27=ProposalToGnatt[[#This Row],[Start Date]],Milestone_Marker,IF(AND(AA$27&gt;ProposalToGnatt[[#This Row],[Start Date]],AA$27&lt;ProposalToGnatt[[#This Row],[Start Date]]+ProposalToGnatt[[#This Row],[Days]]),$G$5,"")),"")</f>
        <v/>
      </c>
      <c r="AB58" s="36" t="str">
        <f ca="1">IFERROR(+IF(AB$27=ProposalToGnatt[[#This Row],[Start Date]],Milestone_Marker,IF(AND(AB$27&gt;ProposalToGnatt[[#This Row],[Start Date]],AB$27&lt;ProposalToGnatt[[#This Row],[Start Date]]+ProposalToGnatt[[#This Row],[Days]]),$G$5,"")),"")</f>
        <v/>
      </c>
      <c r="AC58" s="36" t="str">
        <f ca="1">IFERROR(+IF(AC$27=ProposalToGnatt[[#This Row],[Start Date]],Milestone_Marker,IF(AND(AC$27&gt;ProposalToGnatt[[#This Row],[Start Date]],AC$27&lt;ProposalToGnatt[[#This Row],[Start Date]]+ProposalToGnatt[[#This Row],[Days]]),$G$5,"")),"")</f>
        <v/>
      </c>
      <c r="AD58" s="36" t="str">
        <f ca="1">IFERROR(+IF(AD$27=ProposalToGnatt[[#This Row],[Start Date]],Milestone_Marker,IF(AND(AD$27&gt;ProposalToGnatt[[#This Row],[Start Date]],AD$27&lt;ProposalToGnatt[[#This Row],[Start Date]]+ProposalToGnatt[[#This Row],[Days]]),$G$5,"")),"")</f>
        <v/>
      </c>
      <c r="AE58" s="36" t="str">
        <f ca="1">IFERROR(+IF(AE$27=ProposalToGnatt[[#This Row],[Start Date]],Milestone_Marker,IF(AND(AE$27&gt;ProposalToGnatt[[#This Row],[Start Date]],AE$27&lt;ProposalToGnatt[[#This Row],[Start Date]]+ProposalToGnatt[[#This Row],[Days]]),$G$5,"")),"")</f>
        <v/>
      </c>
      <c r="AF58" s="36" t="str">
        <f ca="1">IFERROR(+IF(AF$27=ProposalToGnatt[[#This Row],[Start Date]],Milestone_Marker,IF(AND(AF$27&gt;ProposalToGnatt[[#This Row],[Start Date]],AF$27&lt;ProposalToGnatt[[#This Row],[Start Date]]+ProposalToGnatt[[#This Row],[Days]]),$G$5,"")),"")</f>
        <v/>
      </c>
      <c r="AG58" s="36" t="str">
        <f ca="1">IFERROR(+IF(AG$27=ProposalToGnatt[[#This Row],[Start Date]],Milestone_Marker,IF(AND(AG$27&gt;ProposalToGnatt[[#This Row],[Start Date]],AG$27&lt;ProposalToGnatt[[#This Row],[Start Date]]+ProposalToGnatt[[#This Row],[Days]]),$G$5,"")),"")</f>
        <v/>
      </c>
      <c r="AH58" s="36" t="str">
        <f ca="1">IFERROR(+IF(AH$27=ProposalToGnatt[[#This Row],[Start Date]],Milestone_Marker,IF(AND(AH$27&gt;ProposalToGnatt[[#This Row],[Start Date]],AH$27&lt;ProposalToGnatt[[#This Row],[Start Date]]+ProposalToGnatt[[#This Row],[Days]]),$G$5,"")),"")</f>
        <v/>
      </c>
      <c r="AI58" s="36" t="str">
        <f ca="1">IFERROR(+IF(AI$27=ProposalToGnatt[[#This Row],[Start Date]],Milestone_Marker,IF(AND(AI$27&gt;ProposalToGnatt[[#This Row],[Start Date]],AI$27&lt;ProposalToGnatt[[#This Row],[Start Date]]+ProposalToGnatt[[#This Row],[Days]]),$G$5,"")),"")</f>
        <v/>
      </c>
      <c r="AJ58" s="36" t="str">
        <f ca="1">IFERROR(+IF(AJ$27=ProposalToGnatt[[#This Row],[Start Date]],Milestone_Marker,IF(AND(AJ$27&gt;ProposalToGnatt[[#This Row],[Start Date]],AJ$27&lt;ProposalToGnatt[[#This Row],[Start Date]]+ProposalToGnatt[[#This Row],[Days]]),$G$5,"")),"")</f>
        <v/>
      </c>
      <c r="AK58" s="36" t="str">
        <f ca="1">IFERROR(+IF(AK$27=ProposalToGnatt[[#This Row],[Start Date]],Milestone_Marker,IF(AND(AK$27&gt;ProposalToGnatt[[#This Row],[Start Date]],AK$27&lt;ProposalToGnatt[[#This Row],[Start Date]]+ProposalToGnatt[[#This Row],[Days]]),$G$5,"")),"")</f>
        <v/>
      </c>
      <c r="AL58" s="36" t="str">
        <f ca="1">IFERROR(+IF(AL$27=ProposalToGnatt[[#This Row],[Start Date]],Milestone_Marker,IF(AND(AL$27&gt;ProposalToGnatt[[#This Row],[Start Date]],AL$27&lt;ProposalToGnatt[[#This Row],[Start Date]]+ProposalToGnatt[[#This Row],[Days]]),$G$5,"")),"")</f>
        <v/>
      </c>
      <c r="AM58" s="36" t="str">
        <f ca="1">IFERROR(+IF(AM$27=ProposalToGnatt[[#This Row],[Start Date]],Milestone_Marker,IF(AND(AM$27&gt;ProposalToGnatt[[#This Row],[Start Date]],AM$27&lt;ProposalToGnatt[[#This Row],[Start Date]]+ProposalToGnatt[[#This Row],[Days]]),$G$5,"")),"")</f>
        <v/>
      </c>
      <c r="AN58" s="36" t="str">
        <f ca="1">IFERROR(+IF(AN$27=ProposalToGnatt[[#This Row],[Start Date]],Milestone_Marker,IF(AND(AN$27&gt;ProposalToGnatt[[#This Row],[Start Date]],AN$27&lt;ProposalToGnatt[[#This Row],[Start Date]]+ProposalToGnatt[[#This Row],[Days]]),$G$5,"")),"")</f>
        <v/>
      </c>
      <c r="AO58" s="36" t="str">
        <f ca="1">IFERROR(+IF(AO$27=ProposalToGnatt[[#This Row],[Start Date]],Milestone_Marker,IF(AND(AO$27&gt;ProposalToGnatt[[#This Row],[Start Date]],AO$27&lt;ProposalToGnatt[[#This Row],[Start Date]]+ProposalToGnatt[[#This Row],[Days]]),$G$5,"")),"")</f>
        <v/>
      </c>
      <c r="AP58" s="36" t="str">
        <f ca="1">IFERROR(+IF(AP$27=ProposalToGnatt[[#This Row],[Start Date]],Milestone_Marker,IF(AND(AP$27&gt;ProposalToGnatt[[#This Row],[Start Date]],AP$27&lt;ProposalToGnatt[[#This Row],[Start Date]]+ProposalToGnatt[[#This Row],[Days]]),$G$5,"")),"")</f>
        <v/>
      </c>
      <c r="AQ58" s="36" t="str">
        <f ca="1">IFERROR(+IF(AQ$27=ProposalToGnatt[[#This Row],[Start Date]],Milestone_Marker,IF(AND(AQ$27&gt;ProposalToGnatt[[#This Row],[Start Date]],AQ$27&lt;ProposalToGnatt[[#This Row],[Start Date]]+ProposalToGnatt[[#This Row],[Days]]),$G$5,"")),"")</f>
        <v/>
      </c>
      <c r="AR58" s="36" t="str">
        <f ca="1">IFERROR(+IF(AR$27=ProposalToGnatt[[#This Row],[Start Date]],Milestone_Marker,IF(AND(AR$27&gt;ProposalToGnatt[[#This Row],[Start Date]],AR$27&lt;ProposalToGnatt[[#This Row],[Start Date]]+ProposalToGnatt[[#This Row],[Days]]),$G$5,"")),"")</f>
        <v/>
      </c>
      <c r="AS58" s="36" t="str">
        <f ca="1">IFERROR(+IF(AS$27=ProposalToGnatt[[#This Row],[Start Date]],Milestone_Marker,IF(AND(AS$27&gt;ProposalToGnatt[[#This Row],[Start Date]],AS$27&lt;ProposalToGnatt[[#This Row],[Start Date]]+ProposalToGnatt[[#This Row],[Days]]),$G$5,"")),"")</f>
        <v/>
      </c>
      <c r="AT58" s="36" t="str">
        <f ca="1">IFERROR(+IF(AT$27=ProposalToGnatt[[#This Row],[Start Date]],Milestone_Marker,IF(AND(AT$27&gt;ProposalToGnatt[[#This Row],[Start Date]],AT$27&lt;ProposalToGnatt[[#This Row],[Start Date]]+ProposalToGnatt[[#This Row],[Days]]),$G$5,"")),"")</f>
        <v/>
      </c>
      <c r="AU58" s="36" t="str">
        <f ca="1">IFERROR(+IF(AU$27=ProposalToGnatt[[#This Row],[Start Date]],Milestone_Marker,IF(AND(AU$27&gt;ProposalToGnatt[[#This Row],[Start Date]],AU$27&lt;ProposalToGnatt[[#This Row],[Start Date]]+ProposalToGnatt[[#This Row],[Days]]),$G$5,"")),"")</f>
        <v/>
      </c>
      <c r="AV58" s="36" t="str">
        <f ca="1">IFERROR(+IF(AV$27=ProposalToGnatt[[#This Row],[Start Date]],Milestone_Marker,IF(AND(AV$27&gt;ProposalToGnatt[[#This Row],[Start Date]],AV$27&lt;ProposalToGnatt[[#This Row],[Start Date]]+ProposalToGnatt[[#This Row],[Days]]),$G$5,"")),"")</f>
        <v/>
      </c>
      <c r="AW58" s="36" t="str">
        <f ca="1">IFERROR(+IF(AW$27=ProposalToGnatt[[#This Row],[Start Date]],Milestone_Marker,IF(AND(AW$27&gt;ProposalToGnatt[[#This Row],[Start Date]],AW$27&lt;ProposalToGnatt[[#This Row],[Start Date]]+ProposalToGnatt[[#This Row],[Days]]),$G$5,"")),"")</f>
        <v/>
      </c>
      <c r="AX58" s="36" t="str">
        <f ca="1">IFERROR(+IF(AX$27=ProposalToGnatt[[#This Row],[Start Date]],Milestone_Marker,IF(AND(AX$27&gt;ProposalToGnatt[[#This Row],[Start Date]],AX$27&lt;ProposalToGnatt[[#This Row],[Start Date]]+ProposalToGnatt[[#This Row],[Days]]),$G$5,"")),"")</f>
        <v/>
      </c>
      <c r="AY58" s="36" t="str">
        <f ca="1">IFERROR(+IF(AY$27=ProposalToGnatt[[#This Row],[Start Date]],Milestone_Marker,IF(AND(AY$27&gt;ProposalToGnatt[[#This Row],[Start Date]],AY$27&lt;ProposalToGnatt[[#This Row],[Start Date]]+ProposalToGnatt[[#This Row],[Days]]),$G$5,"")),"")</f>
        <v/>
      </c>
      <c r="AZ58" s="36" t="str">
        <f ca="1">IFERROR(+IF(AZ$27=ProposalToGnatt[[#This Row],[Start Date]],Milestone_Marker,IF(AND(AZ$27&gt;ProposalToGnatt[[#This Row],[Start Date]],AZ$27&lt;ProposalToGnatt[[#This Row],[Start Date]]+ProposalToGnatt[[#This Row],[Days]]),$G$5,"")),"")</f>
        <v/>
      </c>
      <c r="BA58" s="36" t="str">
        <f ca="1">IFERROR(+IF(BA$27=ProposalToGnatt[[#This Row],[Start Date]],Milestone_Marker,IF(AND(BA$27&gt;ProposalToGnatt[[#This Row],[Start Date]],BA$27&lt;ProposalToGnatt[[#This Row],[Start Date]]+ProposalToGnatt[[#This Row],[Days]]),$G$5,"")),"")</f>
        <v/>
      </c>
      <c r="BB58" s="36" t="str">
        <f ca="1">IFERROR(+IF(BB$27=ProposalToGnatt[[#This Row],[Start Date]],Milestone_Marker,IF(AND(BB$27&gt;ProposalToGnatt[[#This Row],[Start Date]],BB$27&lt;ProposalToGnatt[[#This Row],[Start Date]]+ProposalToGnatt[[#This Row],[Days]]),$G$5,"")),"")</f>
        <v/>
      </c>
      <c r="BC58" s="36" t="str">
        <f ca="1">IFERROR(+IF(BC$27=ProposalToGnatt[[#This Row],[Start Date]],Milestone_Marker,IF(AND(BC$27&gt;ProposalToGnatt[[#This Row],[Start Date]],BC$27&lt;ProposalToGnatt[[#This Row],[Start Date]]+ProposalToGnatt[[#This Row],[Days]]),$G$5,"")),"")</f>
        <v/>
      </c>
      <c r="BD58" s="36" t="str">
        <f ca="1">IFERROR(+IF(BD$27=ProposalToGnatt[[#This Row],[Start Date]],Milestone_Marker,IF(AND(BD$27&gt;ProposalToGnatt[[#This Row],[Start Date]],BD$27&lt;ProposalToGnatt[[#This Row],[Start Date]]+ProposalToGnatt[[#This Row],[Days]]),$G$5,"")),"")</f>
        <v/>
      </c>
      <c r="BE58" s="36" t="str">
        <f ca="1">IFERROR(+IF(BE$27=ProposalToGnatt[[#This Row],[Start Date]],Milestone_Marker,IF(AND(BE$27&gt;ProposalToGnatt[[#This Row],[Start Date]],BE$27&lt;ProposalToGnatt[[#This Row],[Start Date]]+ProposalToGnatt[[#This Row],[Days]]),$G$5,"")),"")</f>
        <v/>
      </c>
      <c r="BF58" s="36" t="str">
        <f ca="1">IFERROR(+IF(BF$27=ProposalToGnatt[[#This Row],[Start Date]],Milestone_Marker,IF(AND(BF$27&gt;ProposalToGnatt[[#This Row],[Start Date]],BF$27&lt;ProposalToGnatt[[#This Row],[Start Date]]+ProposalToGnatt[[#This Row],[Days]]),$G$5,"")),"")</f>
        <v/>
      </c>
      <c r="BG58" s="36" t="str">
        <f ca="1">IFERROR(+IF(BG$27=ProposalToGnatt[[#This Row],[Start Date]],Milestone_Marker,IF(AND(BG$27&gt;ProposalToGnatt[[#This Row],[Start Date]],BG$27&lt;ProposalToGnatt[[#This Row],[Start Date]]+ProposalToGnatt[[#This Row],[Days]]),$G$5,"")),"")</f>
        <v/>
      </c>
      <c r="BH58" s="36" t="str">
        <f ca="1">IFERROR(+IF(BH$27=ProposalToGnatt[[#This Row],[Start Date]],Milestone_Marker,IF(AND(BH$27&gt;ProposalToGnatt[[#This Row],[Start Date]],BH$27&lt;ProposalToGnatt[[#This Row],[Start Date]]+ProposalToGnatt[[#This Row],[Days]]),$G$5,"")),"")</f>
        <v/>
      </c>
      <c r="BI58" s="36" t="str">
        <f ca="1">IFERROR(+IF(BI$27=ProposalToGnatt[[#This Row],[Start Date]],Milestone_Marker,IF(AND(BI$27&gt;ProposalToGnatt[[#This Row],[Start Date]],BI$27&lt;ProposalToGnatt[[#This Row],[Start Date]]+ProposalToGnatt[[#This Row],[Days]]),$G$5,"")),"")</f>
        <v/>
      </c>
      <c r="BJ58" s="36" t="str">
        <f ca="1">IFERROR(+IF(BJ$27=ProposalToGnatt[[#This Row],[Start Date]],Milestone_Marker,IF(AND(BJ$27&gt;ProposalToGnatt[[#This Row],[Start Date]],BJ$27&lt;ProposalToGnatt[[#This Row],[Start Date]]+ProposalToGnatt[[#This Row],[Days]]),$G$5,"")),"")</f>
        <v/>
      </c>
      <c r="BK58" s="36" t="str">
        <f ca="1">IFERROR(+IF(BK$27=ProposalToGnatt[[#This Row],[Start Date]],Milestone_Marker,IF(AND(BK$27&gt;ProposalToGnatt[[#This Row],[Start Date]],BK$27&lt;ProposalToGnatt[[#This Row],[Start Date]]+ProposalToGnatt[[#This Row],[Days]]),$G$5,"")),"")</f>
        <v/>
      </c>
      <c r="BL58" s="36" t="str">
        <f ca="1">IFERROR(+IF(BL$27=ProposalToGnatt[[#This Row],[Start Date]],Milestone_Marker,IF(AND(BL$27&gt;ProposalToGnatt[[#This Row],[Start Date]],BL$27&lt;ProposalToGnatt[[#This Row],[Start Date]]+ProposalToGnatt[[#This Row],[Days]]),$G$5,"")),"")</f>
        <v/>
      </c>
      <c r="BM58" s="36" t="str">
        <f ca="1">IFERROR(+IF(BM$27=ProposalToGnatt[[#This Row],[Start Date]],Milestone_Marker,IF(AND(BM$27&gt;ProposalToGnatt[[#This Row],[Start Date]],BM$27&lt;ProposalToGnatt[[#This Row],[Start Date]]+ProposalToGnatt[[#This Row],[Days]]),$G$5,"")),"")</f>
        <v/>
      </c>
      <c r="BN58" s="36" t="str">
        <f ca="1">IFERROR(+IF(BN$27=ProposalToGnatt[[#This Row],[Start Date]],Milestone_Marker,IF(AND(BN$27&gt;ProposalToGnatt[[#This Row],[Start Date]],BN$27&lt;ProposalToGnatt[[#This Row],[Start Date]]+ProposalToGnatt[[#This Row],[Days]]),$G$5,"")),"")</f>
        <v/>
      </c>
      <c r="BO58" s="36" t="str">
        <f ca="1">IFERROR(+IF(BO$27=ProposalToGnatt[[#This Row],[Start Date]],Milestone_Marker,IF(AND(BO$27&gt;ProposalToGnatt[[#This Row],[Start Date]],BO$27&lt;ProposalToGnatt[[#This Row],[Start Date]]+ProposalToGnatt[[#This Row],[Days]]),$G$5,"")),"")</f>
        <v/>
      </c>
      <c r="BP58" s="36" t="str">
        <f ca="1">IFERROR(+IF(BP$27=ProposalToGnatt[[#This Row],[Start Date]],Milestone_Marker,IF(AND(BP$27&gt;ProposalToGnatt[[#This Row],[Start Date]],BP$27&lt;ProposalToGnatt[[#This Row],[Start Date]]+ProposalToGnatt[[#This Row],[Days]]),$G$5,"")),"")</f>
        <v/>
      </c>
      <c r="BQ58" s="36" t="str">
        <f ca="1">IFERROR(+IF(BQ$27=ProposalToGnatt[[#This Row],[Start Date]],Milestone_Marker,IF(AND(BQ$27&gt;ProposalToGnatt[[#This Row],[Start Date]],BQ$27&lt;ProposalToGnatt[[#This Row],[Start Date]]+ProposalToGnatt[[#This Row],[Days]]),$G$5,"")),"")</f>
        <v/>
      </c>
      <c r="BR58" s="36" t="str">
        <f ca="1">IFERROR(+IF(BR$27=ProposalToGnatt[[#This Row],[Start Date]],Milestone_Marker,IF(AND(BR$27&gt;ProposalToGnatt[[#This Row],[Start Date]],BR$27&lt;ProposalToGnatt[[#This Row],[Start Date]]+ProposalToGnatt[[#This Row],[Days]]),$G$5,"")),"")</f>
        <v/>
      </c>
      <c r="BS58" s="36" t="str">
        <f ca="1">IFERROR(+IF(BS$27=ProposalToGnatt[[#This Row],[Start Date]],Milestone_Marker,IF(AND(BS$27&gt;ProposalToGnatt[[#This Row],[Start Date]],BS$27&lt;ProposalToGnatt[[#This Row],[Start Date]]+ProposalToGnatt[[#This Row],[Days]]),$G$5,"")),"")</f>
        <v/>
      </c>
      <c r="BT58" s="36" t="str">
        <f ca="1">IFERROR(+IF(BT$27=ProposalToGnatt[[#This Row],[Start Date]],Milestone_Marker,IF(AND(BT$27&gt;ProposalToGnatt[[#This Row],[Start Date]],BT$27&lt;ProposalToGnatt[[#This Row],[Start Date]]+ProposalToGnatt[[#This Row],[Days]]),$G$5,"")),"")</f>
        <v/>
      </c>
      <c r="BU58" s="36" t="str">
        <f ca="1">IFERROR(+IF(BU$27=ProposalToGnatt[[#This Row],[Start Date]],Milestone_Marker,IF(AND(BU$27&gt;ProposalToGnatt[[#This Row],[Start Date]],BU$27&lt;ProposalToGnatt[[#This Row],[Start Date]]+ProposalToGnatt[[#This Row],[Days]]),$G$5,"")),"")</f>
        <v/>
      </c>
      <c r="BV58" s="36" t="str">
        <f ca="1">IFERROR(+IF(BV$27=ProposalToGnatt[[#This Row],[Start Date]],Milestone_Marker,IF(AND(BV$27&gt;ProposalToGnatt[[#This Row],[Start Date]],BV$27&lt;ProposalToGnatt[[#This Row],[Start Date]]+ProposalToGnatt[[#This Row],[Days]]),$G$5,"")),"")</f>
        <v/>
      </c>
      <c r="BW58" s="36" t="str">
        <f ca="1">IFERROR(+IF(BW$27=ProposalToGnatt[[#This Row],[Start Date]],Milestone_Marker,IF(AND(BW$27&gt;ProposalToGnatt[[#This Row],[Start Date]],BW$27&lt;ProposalToGnatt[[#This Row],[Start Date]]+ProposalToGnatt[[#This Row],[Days]]),$G$5,"")),"")</f>
        <v/>
      </c>
      <c r="BX58" s="36" t="str">
        <f ca="1">IFERROR(+IF(BX$27=ProposalToGnatt[[#This Row],[Start Date]],Milestone_Marker,IF(AND(BX$27&gt;ProposalToGnatt[[#This Row],[Start Date]],BX$27&lt;ProposalToGnatt[[#This Row],[Start Date]]+ProposalToGnatt[[#This Row],[Days]]),$G$5,"")),"")</f>
        <v/>
      </c>
      <c r="BY58" s="36" t="str">
        <f ca="1">IFERROR(+IF(BY$27=ProposalToGnatt[[#This Row],[Start Date]],Milestone_Marker,IF(AND(BY$27&gt;ProposalToGnatt[[#This Row],[Start Date]],BY$27&lt;ProposalToGnatt[[#This Row],[Start Date]]+ProposalToGnatt[[#This Row],[Days]]),$G$5,"")),"")</f>
        <v/>
      </c>
      <c r="BZ58" s="36" t="str">
        <f ca="1">IFERROR(+IF(BZ$27=ProposalToGnatt[[#This Row],[Start Date]],Milestone_Marker,IF(AND(BZ$27&gt;ProposalToGnatt[[#This Row],[Start Date]],BZ$27&lt;ProposalToGnatt[[#This Row],[Start Date]]+ProposalToGnatt[[#This Row],[Days]]),$G$5,"")),"")</f>
        <v/>
      </c>
      <c r="CA58" s="36" t="str">
        <f ca="1">IFERROR(+IF(CA$27=ProposalToGnatt[[#This Row],[Start Date]],Milestone_Marker,IF(AND(CA$27&gt;ProposalToGnatt[[#This Row],[Start Date]],CA$27&lt;ProposalToGnatt[[#This Row],[Start Date]]+ProposalToGnatt[[#This Row],[Days]]),$G$5,"")),"")</f>
        <v/>
      </c>
      <c r="CB58" s="36" t="str">
        <f ca="1">IFERROR(+IF(CB$27=ProposalToGnatt[[#This Row],[Start Date]],Milestone_Marker,IF(AND(CB$27&gt;ProposalToGnatt[[#This Row],[Start Date]],CB$27&lt;ProposalToGnatt[[#This Row],[Start Date]]+ProposalToGnatt[[#This Row],[Days]]),$G$5,"")),"")</f>
        <v/>
      </c>
      <c r="CC58" s="36" t="str">
        <f ca="1">IFERROR(+IF(CC$27=ProposalToGnatt[[#This Row],[Start Date]],Milestone_Marker,IF(AND(CC$27&gt;ProposalToGnatt[[#This Row],[Start Date]],CC$27&lt;ProposalToGnatt[[#This Row],[Start Date]]+ProposalToGnatt[[#This Row],[Days]]),$G$5,"")),"")</f>
        <v/>
      </c>
      <c r="CD58" s="36" t="str">
        <f ca="1">IFERROR(+IF(CD$27=ProposalToGnatt[[#This Row],[Start Date]],Milestone_Marker,IF(AND(CD$27&gt;ProposalToGnatt[[#This Row],[Start Date]],CD$27&lt;ProposalToGnatt[[#This Row],[Start Date]]+ProposalToGnatt[[#This Row],[Days]]),$G$5,"")),"")</f>
        <v/>
      </c>
      <c r="CE58" s="36" t="str">
        <f ca="1">IFERROR(+IF(CE$27=ProposalToGnatt[[#This Row],[Start Date]],Milestone_Marker,IF(AND(CE$27&gt;ProposalToGnatt[[#This Row],[Start Date]],CE$27&lt;ProposalToGnatt[[#This Row],[Start Date]]+ProposalToGnatt[[#This Row],[Days]]),$G$5,"")),"")</f>
        <v/>
      </c>
      <c r="CF58" s="36" t="str">
        <f ca="1">IFERROR(+IF(CF$27=ProposalToGnatt[[#This Row],[Start Date]],Milestone_Marker,IF(AND(CF$27&gt;ProposalToGnatt[[#This Row],[Start Date]],CF$27&lt;ProposalToGnatt[[#This Row],[Start Date]]+ProposalToGnatt[[#This Row],[Days]]),$G$5,"")),"")</f>
        <v/>
      </c>
      <c r="CG58" s="36" t="str">
        <f ca="1">IFERROR(+IF(CG$27=ProposalToGnatt[[#This Row],[Start Date]],Milestone_Marker,IF(AND(CG$27&gt;ProposalToGnatt[[#This Row],[Start Date]],CG$27&lt;ProposalToGnatt[[#This Row],[Start Date]]+ProposalToGnatt[[#This Row],[Days]]),$G$5,"")),"")</f>
        <v/>
      </c>
      <c r="CH58" s="36" t="str">
        <f ca="1">IFERROR(+IF(CH$27=ProposalToGnatt[[#This Row],[Start Date]],Milestone_Marker,IF(AND(CH$27&gt;ProposalToGnatt[[#This Row],[Start Date]],CH$27&lt;ProposalToGnatt[[#This Row],[Start Date]]+ProposalToGnatt[[#This Row],[Days]]),$G$5,"")),"")</f>
        <v/>
      </c>
      <c r="CI58" s="36" t="str">
        <f ca="1">IFERROR(+IF(CI$27=ProposalToGnatt[[#This Row],[Start Date]],Milestone_Marker,IF(AND(CI$27&gt;ProposalToGnatt[[#This Row],[Start Date]],CI$27&lt;ProposalToGnatt[[#This Row],[Start Date]]+ProposalToGnatt[[#This Row],[Days]]),$G$5,"")),"")</f>
        <v/>
      </c>
      <c r="CJ58" s="36" t="str">
        <f ca="1">IFERROR(+IF(CJ$27=ProposalToGnatt[[#This Row],[Start Date]],Milestone_Marker,IF(AND(CJ$27&gt;ProposalToGnatt[[#This Row],[Start Date]],CJ$27&lt;ProposalToGnatt[[#This Row],[Start Date]]+ProposalToGnatt[[#This Row],[Days]]),$G$5,"")),"")</f>
        <v/>
      </c>
      <c r="CK58" s="36" t="str">
        <f ca="1">IFERROR(+IF(CK$27=ProposalToGnatt[[#This Row],[Start Date]],Milestone_Marker,IF(AND(CK$27&gt;ProposalToGnatt[[#This Row],[Start Date]],CK$27&lt;ProposalToGnatt[[#This Row],[Start Date]]+ProposalToGnatt[[#This Row],[Days]]),$G$5,"")),"")</f>
        <v/>
      </c>
      <c r="CL58" s="36" t="str">
        <f ca="1">IFERROR(+IF(CL$27=ProposalToGnatt[[#This Row],[Start Date]],Milestone_Marker,IF(AND(CL$27&gt;ProposalToGnatt[[#This Row],[Start Date]],CL$27&lt;ProposalToGnatt[[#This Row],[Start Date]]+ProposalToGnatt[[#This Row],[Days]]),$G$5,"")),"")</f>
        <v/>
      </c>
      <c r="CM58" s="36" t="str">
        <f ca="1">IFERROR(+IF(CM$27=ProposalToGnatt[[#This Row],[Start Date]],Milestone_Marker,IF(AND(CM$27&gt;ProposalToGnatt[[#This Row],[Start Date]],CM$27&lt;ProposalToGnatt[[#This Row],[Start Date]]+ProposalToGnatt[[#This Row],[Days]]),$G$5,"")),"")</f>
        <v/>
      </c>
      <c r="CN58" s="36" t="str">
        <f ca="1">IFERROR(+IF(CN$27=ProposalToGnatt[[#This Row],[Start Date]],Milestone_Marker,IF(AND(CN$27&gt;ProposalToGnatt[[#This Row],[Start Date]],CN$27&lt;ProposalToGnatt[[#This Row],[Start Date]]+ProposalToGnatt[[#This Row],[Days]]),$G$5,"")),"")</f>
        <v/>
      </c>
      <c r="CO58" s="36" t="str">
        <f ca="1">IFERROR(+IF(CO$27=ProposalToGnatt[[#This Row],[Start Date]],Milestone_Marker,IF(AND(CO$27&gt;ProposalToGnatt[[#This Row],[Start Date]],CO$27&lt;ProposalToGnatt[[#This Row],[Start Date]]+ProposalToGnatt[[#This Row],[Days]]),$G$5,"")),"")</f>
        <v/>
      </c>
      <c r="CP58" s="36" t="str">
        <f ca="1">IFERROR(+IF(CP$27=ProposalToGnatt[[#This Row],[Start Date]],Milestone_Marker,IF(AND(CP$27&gt;ProposalToGnatt[[#This Row],[Start Date]],CP$27&lt;ProposalToGnatt[[#This Row],[Start Date]]+ProposalToGnatt[[#This Row],[Days]]),$G$5,"")),"")</f>
        <v/>
      </c>
      <c r="CQ58" s="36" t="str">
        <f ca="1">IFERROR(+IF(CQ$27=ProposalToGnatt[[#This Row],[Start Date]],Milestone_Marker,IF(AND(CQ$27&gt;ProposalToGnatt[[#This Row],[Start Date]],CQ$27&lt;ProposalToGnatt[[#This Row],[Start Date]]+ProposalToGnatt[[#This Row],[Days]]),$G$5,"")),"")</f>
        <v/>
      </c>
      <c r="CR58" s="36" t="str">
        <f ca="1">IFERROR(+IF(CR$27=ProposalToGnatt[[#This Row],[Start Date]],Milestone_Marker,IF(AND(CR$27&gt;ProposalToGnatt[[#This Row],[Start Date]],CR$27&lt;ProposalToGnatt[[#This Row],[Start Date]]+ProposalToGnatt[[#This Row],[Days]]),$G$5,"")),"")</f>
        <v/>
      </c>
      <c r="CS58" s="36" t="str">
        <f ca="1">IFERROR(+IF(CS$27=ProposalToGnatt[[#This Row],[Start Date]],Milestone_Marker,IF(AND(CS$27&gt;ProposalToGnatt[[#This Row],[Start Date]],CS$27&lt;ProposalToGnatt[[#This Row],[Start Date]]+ProposalToGnatt[[#This Row],[Days]]),$G$5,"")),"")</f>
        <v/>
      </c>
      <c r="CT58" s="36" t="str">
        <f ca="1">IFERROR(+IF(CT$27=ProposalToGnatt[[#This Row],[Start Date]],Milestone_Marker,IF(AND(CT$27&gt;ProposalToGnatt[[#This Row],[Start Date]],CT$27&lt;ProposalToGnatt[[#This Row],[Start Date]]+ProposalToGnatt[[#This Row],[Days]]),$G$5,"")),"")</f>
        <v/>
      </c>
      <c r="CU58" s="36" t="str">
        <f ca="1">IFERROR(+IF(CU$27=ProposalToGnatt[[#This Row],[Start Date]],Milestone_Marker,IF(AND(CU$27&gt;ProposalToGnatt[[#This Row],[Start Date]],CU$27&lt;ProposalToGnatt[[#This Row],[Start Date]]+ProposalToGnatt[[#This Row],[Days]]),$G$5,"")),"")</f>
        <v/>
      </c>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row>
    <row r="59" spans="1:125" s="41" customFormat="1" ht="15" x14ac:dyDescent="0.25">
      <c r="A59"/>
      <c r="B59"/>
      <c r="C59"/>
      <c r="D59"/>
      <c r="E59"/>
      <c r="F59"/>
      <c r="G59" s="14"/>
      <c r="H59" s="14"/>
      <c r="I59"/>
      <c r="J59"/>
      <c r="K59" s="261"/>
      <c r="L59"/>
      <c r="M59" s="14"/>
      <c r="N59" s="309"/>
      <c r="O59" s="297"/>
      <c r="P59" s="36" t="str">
        <f ca="1">IFERROR(+IF(P$27=ProposalToGnatt[[#This Row],[Start Date]],Milestone_Marker,IF(AND(P$27&gt;ProposalToGnatt[[#This Row],[Start Date]],P$27&lt;ProposalToGnatt[[#This Row],[Start Date]]+ProposalToGnatt[[#This Row],[Days]]),$G$5,"")),"")</f>
        <v/>
      </c>
      <c r="Q59" s="36" t="str">
        <f ca="1">IFERROR(+IF(Q$27=ProposalToGnatt[[#This Row],[Start Date]],Milestone_Marker,IF(AND(Q$27&gt;ProposalToGnatt[[#This Row],[Start Date]],Q$27&lt;ProposalToGnatt[[#This Row],[Start Date]]+ProposalToGnatt[[#This Row],[Days]]),$G$5,"")),"")</f>
        <v/>
      </c>
      <c r="R59" s="36" t="str">
        <f ca="1">IFERROR(+IF(R$27=ProposalToGnatt[[#This Row],[Start Date]],Milestone_Marker,IF(AND(R$27&gt;ProposalToGnatt[[#This Row],[Start Date]],R$27&lt;ProposalToGnatt[[#This Row],[Start Date]]+ProposalToGnatt[[#This Row],[Days]]),$G$5,"")),"")</f>
        <v/>
      </c>
      <c r="S59" s="36" t="str">
        <f ca="1">IFERROR(+IF(S$27=ProposalToGnatt[[#This Row],[Start Date]],Milestone_Marker,IF(AND(S$27&gt;ProposalToGnatt[[#This Row],[Start Date]],S$27&lt;ProposalToGnatt[[#This Row],[Start Date]]+ProposalToGnatt[[#This Row],[Days]]),$G$5,"")),"")</f>
        <v/>
      </c>
      <c r="T59" s="36" t="str">
        <f ca="1">IFERROR(+IF(T$27=ProposalToGnatt[[#This Row],[Start Date]],Milestone_Marker,IF(AND(T$27&gt;ProposalToGnatt[[#This Row],[Start Date]],T$27&lt;ProposalToGnatt[[#This Row],[Start Date]]+ProposalToGnatt[[#This Row],[Days]]),$G$5,"")),"")</f>
        <v/>
      </c>
      <c r="U59" s="36" t="str">
        <f ca="1">IFERROR(+IF(U$27=ProposalToGnatt[[#This Row],[Start Date]],Milestone_Marker,IF(AND(U$27&gt;ProposalToGnatt[[#This Row],[Start Date]],U$27&lt;ProposalToGnatt[[#This Row],[Start Date]]+ProposalToGnatt[[#This Row],[Days]]),$G$5,"")),"")</f>
        <v/>
      </c>
      <c r="V59" s="36" t="str">
        <f ca="1">IFERROR(+IF(V$27=ProposalToGnatt[[#This Row],[Start Date]],Milestone_Marker,IF(AND(V$27&gt;ProposalToGnatt[[#This Row],[Start Date]],V$27&lt;ProposalToGnatt[[#This Row],[Start Date]]+ProposalToGnatt[[#This Row],[Days]]),$G$5,"")),"")</f>
        <v/>
      </c>
      <c r="W59" s="36" t="str">
        <f ca="1">IFERROR(+IF(W$27=ProposalToGnatt[[#This Row],[Start Date]],Milestone_Marker,IF(AND(W$27&gt;ProposalToGnatt[[#This Row],[Start Date]],W$27&lt;ProposalToGnatt[[#This Row],[Start Date]]+ProposalToGnatt[[#This Row],[Days]]),$G$5,"")),"")</f>
        <v/>
      </c>
      <c r="X59" s="36" t="str">
        <f ca="1">IFERROR(+IF(X$27=ProposalToGnatt[[#This Row],[Start Date]],Milestone_Marker,IF(AND(X$27&gt;ProposalToGnatt[[#This Row],[Start Date]],X$27&lt;ProposalToGnatt[[#This Row],[Start Date]]+ProposalToGnatt[[#This Row],[Days]]),$G$5,"")),"")</f>
        <v/>
      </c>
      <c r="Y59" s="36" t="str">
        <f ca="1">IFERROR(+IF(Y$27=ProposalToGnatt[[#This Row],[Start Date]],Milestone_Marker,IF(AND(Y$27&gt;ProposalToGnatt[[#This Row],[Start Date]],Y$27&lt;ProposalToGnatt[[#This Row],[Start Date]]+ProposalToGnatt[[#This Row],[Days]]),$G$5,"")),"")</f>
        <v/>
      </c>
      <c r="Z59" s="36" t="str">
        <f ca="1">IFERROR(+IF(Z$27=ProposalToGnatt[[#This Row],[Start Date]],Milestone_Marker,IF(AND(Z$27&gt;ProposalToGnatt[[#This Row],[Start Date]],Z$27&lt;ProposalToGnatt[[#This Row],[Start Date]]+ProposalToGnatt[[#This Row],[Days]]),$G$5,"")),"")</f>
        <v/>
      </c>
      <c r="AA59" s="36" t="str">
        <f ca="1">IFERROR(+IF(AA$27=ProposalToGnatt[[#This Row],[Start Date]],Milestone_Marker,IF(AND(AA$27&gt;ProposalToGnatt[[#This Row],[Start Date]],AA$27&lt;ProposalToGnatt[[#This Row],[Start Date]]+ProposalToGnatt[[#This Row],[Days]]),$G$5,"")),"")</f>
        <v/>
      </c>
      <c r="AB59" s="36" t="str">
        <f ca="1">IFERROR(+IF(AB$27=ProposalToGnatt[[#This Row],[Start Date]],Milestone_Marker,IF(AND(AB$27&gt;ProposalToGnatt[[#This Row],[Start Date]],AB$27&lt;ProposalToGnatt[[#This Row],[Start Date]]+ProposalToGnatt[[#This Row],[Days]]),$G$5,"")),"")</f>
        <v/>
      </c>
      <c r="AC59" s="36" t="str">
        <f ca="1">IFERROR(+IF(AC$27=ProposalToGnatt[[#This Row],[Start Date]],Milestone_Marker,IF(AND(AC$27&gt;ProposalToGnatt[[#This Row],[Start Date]],AC$27&lt;ProposalToGnatt[[#This Row],[Start Date]]+ProposalToGnatt[[#This Row],[Days]]),$G$5,"")),"")</f>
        <v/>
      </c>
      <c r="AD59" s="36" t="str">
        <f ca="1">IFERROR(+IF(AD$27=ProposalToGnatt[[#This Row],[Start Date]],Milestone_Marker,IF(AND(AD$27&gt;ProposalToGnatt[[#This Row],[Start Date]],AD$27&lt;ProposalToGnatt[[#This Row],[Start Date]]+ProposalToGnatt[[#This Row],[Days]]),$G$5,"")),"")</f>
        <v/>
      </c>
      <c r="AE59" s="36" t="str">
        <f ca="1">IFERROR(+IF(AE$27=ProposalToGnatt[[#This Row],[Start Date]],Milestone_Marker,IF(AND(AE$27&gt;ProposalToGnatt[[#This Row],[Start Date]],AE$27&lt;ProposalToGnatt[[#This Row],[Start Date]]+ProposalToGnatt[[#This Row],[Days]]),$G$5,"")),"")</f>
        <v/>
      </c>
      <c r="AF59" s="36" t="str">
        <f ca="1">IFERROR(+IF(AF$27=ProposalToGnatt[[#This Row],[Start Date]],Milestone_Marker,IF(AND(AF$27&gt;ProposalToGnatt[[#This Row],[Start Date]],AF$27&lt;ProposalToGnatt[[#This Row],[Start Date]]+ProposalToGnatt[[#This Row],[Days]]),$G$5,"")),"")</f>
        <v/>
      </c>
      <c r="AG59" s="36" t="str">
        <f ca="1">IFERROR(+IF(AG$27=ProposalToGnatt[[#This Row],[Start Date]],Milestone_Marker,IF(AND(AG$27&gt;ProposalToGnatt[[#This Row],[Start Date]],AG$27&lt;ProposalToGnatt[[#This Row],[Start Date]]+ProposalToGnatt[[#This Row],[Days]]),$G$5,"")),"")</f>
        <v/>
      </c>
      <c r="AH59" s="36" t="str">
        <f ca="1">IFERROR(+IF(AH$27=ProposalToGnatt[[#This Row],[Start Date]],Milestone_Marker,IF(AND(AH$27&gt;ProposalToGnatt[[#This Row],[Start Date]],AH$27&lt;ProposalToGnatt[[#This Row],[Start Date]]+ProposalToGnatt[[#This Row],[Days]]),$G$5,"")),"")</f>
        <v/>
      </c>
      <c r="AI59" s="36" t="str">
        <f ca="1">IFERROR(+IF(AI$27=ProposalToGnatt[[#This Row],[Start Date]],Milestone_Marker,IF(AND(AI$27&gt;ProposalToGnatt[[#This Row],[Start Date]],AI$27&lt;ProposalToGnatt[[#This Row],[Start Date]]+ProposalToGnatt[[#This Row],[Days]]),$G$5,"")),"")</f>
        <v/>
      </c>
      <c r="AJ59" s="36" t="str">
        <f ca="1">IFERROR(+IF(AJ$27=ProposalToGnatt[[#This Row],[Start Date]],Milestone_Marker,IF(AND(AJ$27&gt;ProposalToGnatt[[#This Row],[Start Date]],AJ$27&lt;ProposalToGnatt[[#This Row],[Start Date]]+ProposalToGnatt[[#This Row],[Days]]),$G$5,"")),"")</f>
        <v/>
      </c>
      <c r="AK59" s="36" t="str">
        <f ca="1">IFERROR(+IF(AK$27=ProposalToGnatt[[#This Row],[Start Date]],Milestone_Marker,IF(AND(AK$27&gt;ProposalToGnatt[[#This Row],[Start Date]],AK$27&lt;ProposalToGnatt[[#This Row],[Start Date]]+ProposalToGnatt[[#This Row],[Days]]),$G$5,"")),"")</f>
        <v/>
      </c>
      <c r="AL59" s="36" t="str">
        <f ca="1">IFERROR(+IF(AL$27=ProposalToGnatt[[#This Row],[Start Date]],Milestone_Marker,IF(AND(AL$27&gt;ProposalToGnatt[[#This Row],[Start Date]],AL$27&lt;ProposalToGnatt[[#This Row],[Start Date]]+ProposalToGnatt[[#This Row],[Days]]),$G$5,"")),"")</f>
        <v/>
      </c>
      <c r="AM59" s="36" t="str">
        <f ca="1">IFERROR(+IF(AM$27=ProposalToGnatt[[#This Row],[Start Date]],Milestone_Marker,IF(AND(AM$27&gt;ProposalToGnatt[[#This Row],[Start Date]],AM$27&lt;ProposalToGnatt[[#This Row],[Start Date]]+ProposalToGnatt[[#This Row],[Days]]),$G$5,"")),"")</f>
        <v/>
      </c>
      <c r="AN59" s="36" t="str">
        <f ca="1">IFERROR(+IF(AN$27=ProposalToGnatt[[#This Row],[Start Date]],Milestone_Marker,IF(AND(AN$27&gt;ProposalToGnatt[[#This Row],[Start Date]],AN$27&lt;ProposalToGnatt[[#This Row],[Start Date]]+ProposalToGnatt[[#This Row],[Days]]),$G$5,"")),"")</f>
        <v/>
      </c>
      <c r="AO59" s="36" t="str">
        <f ca="1">IFERROR(+IF(AO$27=ProposalToGnatt[[#This Row],[Start Date]],Milestone_Marker,IF(AND(AO$27&gt;ProposalToGnatt[[#This Row],[Start Date]],AO$27&lt;ProposalToGnatt[[#This Row],[Start Date]]+ProposalToGnatt[[#This Row],[Days]]),$G$5,"")),"")</f>
        <v/>
      </c>
      <c r="AP59" s="36" t="str">
        <f ca="1">IFERROR(+IF(AP$27=ProposalToGnatt[[#This Row],[Start Date]],Milestone_Marker,IF(AND(AP$27&gt;ProposalToGnatt[[#This Row],[Start Date]],AP$27&lt;ProposalToGnatt[[#This Row],[Start Date]]+ProposalToGnatt[[#This Row],[Days]]),$G$5,"")),"")</f>
        <v/>
      </c>
      <c r="AQ59" s="36" t="str">
        <f ca="1">IFERROR(+IF(AQ$27=ProposalToGnatt[[#This Row],[Start Date]],Milestone_Marker,IF(AND(AQ$27&gt;ProposalToGnatt[[#This Row],[Start Date]],AQ$27&lt;ProposalToGnatt[[#This Row],[Start Date]]+ProposalToGnatt[[#This Row],[Days]]),$G$5,"")),"")</f>
        <v/>
      </c>
      <c r="AR59" s="36" t="str">
        <f ca="1">IFERROR(+IF(AR$27=ProposalToGnatt[[#This Row],[Start Date]],Milestone_Marker,IF(AND(AR$27&gt;ProposalToGnatt[[#This Row],[Start Date]],AR$27&lt;ProposalToGnatt[[#This Row],[Start Date]]+ProposalToGnatt[[#This Row],[Days]]),$G$5,"")),"")</f>
        <v/>
      </c>
      <c r="AS59" s="36" t="str">
        <f ca="1">IFERROR(+IF(AS$27=ProposalToGnatt[[#This Row],[Start Date]],Milestone_Marker,IF(AND(AS$27&gt;ProposalToGnatt[[#This Row],[Start Date]],AS$27&lt;ProposalToGnatt[[#This Row],[Start Date]]+ProposalToGnatt[[#This Row],[Days]]),$G$5,"")),"")</f>
        <v/>
      </c>
      <c r="AT59" s="36" t="str">
        <f ca="1">IFERROR(+IF(AT$27=ProposalToGnatt[[#This Row],[Start Date]],Milestone_Marker,IF(AND(AT$27&gt;ProposalToGnatt[[#This Row],[Start Date]],AT$27&lt;ProposalToGnatt[[#This Row],[Start Date]]+ProposalToGnatt[[#This Row],[Days]]),$G$5,"")),"")</f>
        <v/>
      </c>
      <c r="AU59" s="36" t="str">
        <f ca="1">IFERROR(+IF(AU$27=ProposalToGnatt[[#This Row],[Start Date]],Milestone_Marker,IF(AND(AU$27&gt;ProposalToGnatt[[#This Row],[Start Date]],AU$27&lt;ProposalToGnatt[[#This Row],[Start Date]]+ProposalToGnatt[[#This Row],[Days]]),$G$5,"")),"")</f>
        <v/>
      </c>
      <c r="AV59" s="36" t="str">
        <f ca="1">IFERROR(+IF(AV$27=ProposalToGnatt[[#This Row],[Start Date]],Milestone_Marker,IF(AND(AV$27&gt;ProposalToGnatt[[#This Row],[Start Date]],AV$27&lt;ProposalToGnatt[[#This Row],[Start Date]]+ProposalToGnatt[[#This Row],[Days]]),$G$5,"")),"")</f>
        <v/>
      </c>
      <c r="AW59" s="36" t="str">
        <f ca="1">IFERROR(+IF(AW$27=ProposalToGnatt[[#This Row],[Start Date]],Milestone_Marker,IF(AND(AW$27&gt;ProposalToGnatt[[#This Row],[Start Date]],AW$27&lt;ProposalToGnatt[[#This Row],[Start Date]]+ProposalToGnatt[[#This Row],[Days]]),$G$5,"")),"")</f>
        <v/>
      </c>
      <c r="AX59" s="36" t="str">
        <f ca="1">IFERROR(+IF(AX$27=ProposalToGnatt[[#This Row],[Start Date]],Milestone_Marker,IF(AND(AX$27&gt;ProposalToGnatt[[#This Row],[Start Date]],AX$27&lt;ProposalToGnatt[[#This Row],[Start Date]]+ProposalToGnatt[[#This Row],[Days]]),$G$5,"")),"")</f>
        <v/>
      </c>
      <c r="AY59" s="36" t="str">
        <f ca="1">IFERROR(+IF(AY$27=ProposalToGnatt[[#This Row],[Start Date]],Milestone_Marker,IF(AND(AY$27&gt;ProposalToGnatt[[#This Row],[Start Date]],AY$27&lt;ProposalToGnatt[[#This Row],[Start Date]]+ProposalToGnatt[[#This Row],[Days]]),$G$5,"")),"")</f>
        <v/>
      </c>
      <c r="AZ59" s="36" t="str">
        <f ca="1">IFERROR(+IF(AZ$27=ProposalToGnatt[[#This Row],[Start Date]],Milestone_Marker,IF(AND(AZ$27&gt;ProposalToGnatt[[#This Row],[Start Date]],AZ$27&lt;ProposalToGnatt[[#This Row],[Start Date]]+ProposalToGnatt[[#This Row],[Days]]),$G$5,"")),"")</f>
        <v/>
      </c>
      <c r="BA59" s="36" t="str">
        <f ca="1">IFERROR(+IF(BA$27=ProposalToGnatt[[#This Row],[Start Date]],Milestone_Marker,IF(AND(BA$27&gt;ProposalToGnatt[[#This Row],[Start Date]],BA$27&lt;ProposalToGnatt[[#This Row],[Start Date]]+ProposalToGnatt[[#This Row],[Days]]),$G$5,"")),"")</f>
        <v/>
      </c>
      <c r="BB59" s="36" t="str">
        <f ca="1">IFERROR(+IF(BB$27=ProposalToGnatt[[#This Row],[Start Date]],Milestone_Marker,IF(AND(BB$27&gt;ProposalToGnatt[[#This Row],[Start Date]],BB$27&lt;ProposalToGnatt[[#This Row],[Start Date]]+ProposalToGnatt[[#This Row],[Days]]),$G$5,"")),"")</f>
        <v/>
      </c>
      <c r="BC59" s="36" t="str">
        <f ca="1">IFERROR(+IF(BC$27=ProposalToGnatt[[#This Row],[Start Date]],Milestone_Marker,IF(AND(BC$27&gt;ProposalToGnatt[[#This Row],[Start Date]],BC$27&lt;ProposalToGnatt[[#This Row],[Start Date]]+ProposalToGnatt[[#This Row],[Days]]),$G$5,"")),"")</f>
        <v/>
      </c>
      <c r="BD59" s="36" t="str">
        <f ca="1">IFERROR(+IF(BD$27=ProposalToGnatt[[#This Row],[Start Date]],Milestone_Marker,IF(AND(BD$27&gt;ProposalToGnatt[[#This Row],[Start Date]],BD$27&lt;ProposalToGnatt[[#This Row],[Start Date]]+ProposalToGnatt[[#This Row],[Days]]),$G$5,"")),"")</f>
        <v/>
      </c>
      <c r="BE59" s="36" t="str">
        <f ca="1">IFERROR(+IF(BE$27=ProposalToGnatt[[#This Row],[Start Date]],Milestone_Marker,IF(AND(BE$27&gt;ProposalToGnatt[[#This Row],[Start Date]],BE$27&lt;ProposalToGnatt[[#This Row],[Start Date]]+ProposalToGnatt[[#This Row],[Days]]),$G$5,"")),"")</f>
        <v/>
      </c>
      <c r="BF59" s="36" t="str">
        <f ca="1">IFERROR(+IF(BF$27=ProposalToGnatt[[#This Row],[Start Date]],Milestone_Marker,IF(AND(BF$27&gt;ProposalToGnatt[[#This Row],[Start Date]],BF$27&lt;ProposalToGnatt[[#This Row],[Start Date]]+ProposalToGnatt[[#This Row],[Days]]),$G$5,"")),"")</f>
        <v/>
      </c>
      <c r="BG59" s="36" t="str">
        <f ca="1">IFERROR(+IF(BG$27=ProposalToGnatt[[#This Row],[Start Date]],Milestone_Marker,IF(AND(BG$27&gt;ProposalToGnatt[[#This Row],[Start Date]],BG$27&lt;ProposalToGnatt[[#This Row],[Start Date]]+ProposalToGnatt[[#This Row],[Days]]),$G$5,"")),"")</f>
        <v/>
      </c>
      <c r="BH59" s="36" t="str">
        <f ca="1">IFERROR(+IF(BH$27=ProposalToGnatt[[#This Row],[Start Date]],Milestone_Marker,IF(AND(BH$27&gt;ProposalToGnatt[[#This Row],[Start Date]],BH$27&lt;ProposalToGnatt[[#This Row],[Start Date]]+ProposalToGnatt[[#This Row],[Days]]),$G$5,"")),"")</f>
        <v/>
      </c>
      <c r="BI59" s="36" t="str">
        <f ca="1">IFERROR(+IF(BI$27=ProposalToGnatt[[#This Row],[Start Date]],Milestone_Marker,IF(AND(BI$27&gt;ProposalToGnatt[[#This Row],[Start Date]],BI$27&lt;ProposalToGnatt[[#This Row],[Start Date]]+ProposalToGnatt[[#This Row],[Days]]),$G$5,"")),"")</f>
        <v/>
      </c>
      <c r="BJ59" s="36" t="str">
        <f ca="1">IFERROR(+IF(BJ$27=ProposalToGnatt[[#This Row],[Start Date]],Milestone_Marker,IF(AND(BJ$27&gt;ProposalToGnatt[[#This Row],[Start Date]],BJ$27&lt;ProposalToGnatt[[#This Row],[Start Date]]+ProposalToGnatt[[#This Row],[Days]]),$G$5,"")),"")</f>
        <v/>
      </c>
      <c r="BK59" s="36" t="str">
        <f ca="1">IFERROR(+IF(BK$27=ProposalToGnatt[[#This Row],[Start Date]],Milestone_Marker,IF(AND(BK$27&gt;ProposalToGnatt[[#This Row],[Start Date]],BK$27&lt;ProposalToGnatt[[#This Row],[Start Date]]+ProposalToGnatt[[#This Row],[Days]]),$G$5,"")),"")</f>
        <v/>
      </c>
      <c r="BL59" s="36" t="str">
        <f ca="1">IFERROR(+IF(BL$27=ProposalToGnatt[[#This Row],[Start Date]],Milestone_Marker,IF(AND(BL$27&gt;ProposalToGnatt[[#This Row],[Start Date]],BL$27&lt;ProposalToGnatt[[#This Row],[Start Date]]+ProposalToGnatt[[#This Row],[Days]]),$G$5,"")),"")</f>
        <v/>
      </c>
      <c r="BM59" s="36" t="str">
        <f ca="1">IFERROR(+IF(BM$27=ProposalToGnatt[[#This Row],[Start Date]],Milestone_Marker,IF(AND(BM$27&gt;ProposalToGnatt[[#This Row],[Start Date]],BM$27&lt;ProposalToGnatt[[#This Row],[Start Date]]+ProposalToGnatt[[#This Row],[Days]]),$G$5,"")),"")</f>
        <v/>
      </c>
      <c r="BN59" s="36" t="str">
        <f ca="1">IFERROR(+IF(BN$27=ProposalToGnatt[[#This Row],[Start Date]],Milestone_Marker,IF(AND(BN$27&gt;ProposalToGnatt[[#This Row],[Start Date]],BN$27&lt;ProposalToGnatt[[#This Row],[Start Date]]+ProposalToGnatt[[#This Row],[Days]]),$G$5,"")),"")</f>
        <v/>
      </c>
      <c r="BO59" s="36" t="str">
        <f ca="1">IFERROR(+IF(BO$27=ProposalToGnatt[[#This Row],[Start Date]],Milestone_Marker,IF(AND(BO$27&gt;ProposalToGnatt[[#This Row],[Start Date]],BO$27&lt;ProposalToGnatt[[#This Row],[Start Date]]+ProposalToGnatt[[#This Row],[Days]]),$G$5,"")),"")</f>
        <v/>
      </c>
      <c r="BP59" s="36" t="str">
        <f ca="1">IFERROR(+IF(BP$27=ProposalToGnatt[[#This Row],[Start Date]],Milestone_Marker,IF(AND(BP$27&gt;ProposalToGnatt[[#This Row],[Start Date]],BP$27&lt;ProposalToGnatt[[#This Row],[Start Date]]+ProposalToGnatt[[#This Row],[Days]]),$G$5,"")),"")</f>
        <v/>
      </c>
      <c r="BQ59" s="36" t="str">
        <f ca="1">IFERROR(+IF(BQ$27=ProposalToGnatt[[#This Row],[Start Date]],Milestone_Marker,IF(AND(BQ$27&gt;ProposalToGnatt[[#This Row],[Start Date]],BQ$27&lt;ProposalToGnatt[[#This Row],[Start Date]]+ProposalToGnatt[[#This Row],[Days]]),$G$5,"")),"")</f>
        <v/>
      </c>
      <c r="BR59" s="36" t="str">
        <f ca="1">IFERROR(+IF(BR$27=ProposalToGnatt[[#This Row],[Start Date]],Milestone_Marker,IF(AND(BR$27&gt;ProposalToGnatt[[#This Row],[Start Date]],BR$27&lt;ProposalToGnatt[[#This Row],[Start Date]]+ProposalToGnatt[[#This Row],[Days]]),$G$5,"")),"")</f>
        <v/>
      </c>
      <c r="BS59" s="36" t="str">
        <f ca="1">IFERROR(+IF(BS$27=ProposalToGnatt[[#This Row],[Start Date]],Milestone_Marker,IF(AND(BS$27&gt;ProposalToGnatt[[#This Row],[Start Date]],BS$27&lt;ProposalToGnatt[[#This Row],[Start Date]]+ProposalToGnatt[[#This Row],[Days]]),$G$5,"")),"")</f>
        <v/>
      </c>
      <c r="BT59" s="36" t="str">
        <f ca="1">IFERROR(+IF(BT$27=ProposalToGnatt[[#This Row],[Start Date]],Milestone_Marker,IF(AND(BT$27&gt;ProposalToGnatt[[#This Row],[Start Date]],BT$27&lt;ProposalToGnatt[[#This Row],[Start Date]]+ProposalToGnatt[[#This Row],[Days]]),$G$5,"")),"")</f>
        <v/>
      </c>
      <c r="BU59" s="36" t="str">
        <f ca="1">IFERROR(+IF(BU$27=ProposalToGnatt[[#This Row],[Start Date]],Milestone_Marker,IF(AND(BU$27&gt;ProposalToGnatt[[#This Row],[Start Date]],BU$27&lt;ProposalToGnatt[[#This Row],[Start Date]]+ProposalToGnatt[[#This Row],[Days]]),$G$5,"")),"")</f>
        <v/>
      </c>
      <c r="BV59" s="36" t="str">
        <f ca="1">IFERROR(+IF(BV$27=ProposalToGnatt[[#This Row],[Start Date]],Milestone_Marker,IF(AND(BV$27&gt;ProposalToGnatt[[#This Row],[Start Date]],BV$27&lt;ProposalToGnatt[[#This Row],[Start Date]]+ProposalToGnatt[[#This Row],[Days]]),$G$5,"")),"")</f>
        <v/>
      </c>
      <c r="BW59" s="36" t="str">
        <f ca="1">IFERROR(+IF(BW$27=ProposalToGnatt[[#This Row],[Start Date]],Milestone_Marker,IF(AND(BW$27&gt;ProposalToGnatt[[#This Row],[Start Date]],BW$27&lt;ProposalToGnatt[[#This Row],[Start Date]]+ProposalToGnatt[[#This Row],[Days]]),$G$5,"")),"")</f>
        <v/>
      </c>
      <c r="BX59" s="36" t="str">
        <f ca="1">IFERROR(+IF(BX$27=ProposalToGnatt[[#This Row],[Start Date]],Milestone_Marker,IF(AND(BX$27&gt;ProposalToGnatt[[#This Row],[Start Date]],BX$27&lt;ProposalToGnatt[[#This Row],[Start Date]]+ProposalToGnatt[[#This Row],[Days]]),$G$5,"")),"")</f>
        <v/>
      </c>
      <c r="BY59" s="36" t="str">
        <f ca="1">IFERROR(+IF(BY$27=ProposalToGnatt[[#This Row],[Start Date]],Milestone_Marker,IF(AND(BY$27&gt;ProposalToGnatt[[#This Row],[Start Date]],BY$27&lt;ProposalToGnatt[[#This Row],[Start Date]]+ProposalToGnatt[[#This Row],[Days]]),$G$5,"")),"")</f>
        <v/>
      </c>
      <c r="BZ59" s="36" t="str">
        <f ca="1">IFERROR(+IF(BZ$27=ProposalToGnatt[[#This Row],[Start Date]],Milestone_Marker,IF(AND(BZ$27&gt;ProposalToGnatt[[#This Row],[Start Date]],BZ$27&lt;ProposalToGnatt[[#This Row],[Start Date]]+ProposalToGnatt[[#This Row],[Days]]),$G$5,"")),"")</f>
        <v/>
      </c>
      <c r="CA59" s="36" t="str">
        <f ca="1">IFERROR(+IF(CA$27=ProposalToGnatt[[#This Row],[Start Date]],Milestone_Marker,IF(AND(CA$27&gt;ProposalToGnatt[[#This Row],[Start Date]],CA$27&lt;ProposalToGnatt[[#This Row],[Start Date]]+ProposalToGnatt[[#This Row],[Days]]),$G$5,"")),"")</f>
        <v/>
      </c>
      <c r="CB59" s="36" t="str">
        <f ca="1">IFERROR(+IF(CB$27=ProposalToGnatt[[#This Row],[Start Date]],Milestone_Marker,IF(AND(CB$27&gt;ProposalToGnatt[[#This Row],[Start Date]],CB$27&lt;ProposalToGnatt[[#This Row],[Start Date]]+ProposalToGnatt[[#This Row],[Days]]),$G$5,"")),"")</f>
        <v/>
      </c>
      <c r="CC59" s="36" t="str">
        <f ca="1">IFERROR(+IF(CC$27=ProposalToGnatt[[#This Row],[Start Date]],Milestone_Marker,IF(AND(CC$27&gt;ProposalToGnatt[[#This Row],[Start Date]],CC$27&lt;ProposalToGnatt[[#This Row],[Start Date]]+ProposalToGnatt[[#This Row],[Days]]),$G$5,"")),"")</f>
        <v/>
      </c>
      <c r="CD59" s="36" t="str">
        <f ca="1">IFERROR(+IF(CD$27=ProposalToGnatt[[#This Row],[Start Date]],Milestone_Marker,IF(AND(CD$27&gt;ProposalToGnatt[[#This Row],[Start Date]],CD$27&lt;ProposalToGnatt[[#This Row],[Start Date]]+ProposalToGnatt[[#This Row],[Days]]),$G$5,"")),"")</f>
        <v/>
      </c>
      <c r="CE59" s="36" t="str">
        <f ca="1">IFERROR(+IF(CE$27=ProposalToGnatt[[#This Row],[Start Date]],Milestone_Marker,IF(AND(CE$27&gt;ProposalToGnatt[[#This Row],[Start Date]],CE$27&lt;ProposalToGnatt[[#This Row],[Start Date]]+ProposalToGnatt[[#This Row],[Days]]),$G$5,"")),"")</f>
        <v/>
      </c>
      <c r="CF59" s="36" t="str">
        <f ca="1">IFERROR(+IF(CF$27=ProposalToGnatt[[#This Row],[Start Date]],Milestone_Marker,IF(AND(CF$27&gt;ProposalToGnatt[[#This Row],[Start Date]],CF$27&lt;ProposalToGnatt[[#This Row],[Start Date]]+ProposalToGnatt[[#This Row],[Days]]),$G$5,"")),"")</f>
        <v/>
      </c>
      <c r="CG59" s="36" t="str">
        <f ca="1">IFERROR(+IF(CG$27=ProposalToGnatt[[#This Row],[Start Date]],Milestone_Marker,IF(AND(CG$27&gt;ProposalToGnatt[[#This Row],[Start Date]],CG$27&lt;ProposalToGnatt[[#This Row],[Start Date]]+ProposalToGnatt[[#This Row],[Days]]),$G$5,"")),"")</f>
        <v/>
      </c>
      <c r="CH59" s="36" t="str">
        <f ca="1">IFERROR(+IF(CH$27=ProposalToGnatt[[#This Row],[Start Date]],Milestone_Marker,IF(AND(CH$27&gt;ProposalToGnatt[[#This Row],[Start Date]],CH$27&lt;ProposalToGnatt[[#This Row],[Start Date]]+ProposalToGnatt[[#This Row],[Days]]),$G$5,"")),"")</f>
        <v/>
      </c>
      <c r="CI59" s="36" t="str">
        <f ca="1">IFERROR(+IF(CI$27=ProposalToGnatt[[#This Row],[Start Date]],Milestone_Marker,IF(AND(CI$27&gt;ProposalToGnatt[[#This Row],[Start Date]],CI$27&lt;ProposalToGnatt[[#This Row],[Start Date]]+ProposalToGnatt[[#This Row],[Days]]),$G$5,"")),"")</f>
        <v/>
      </c>
      <c r="CJ59" s="36" t="str">
        <f ca="1">IFERROR(+IF(CJ$27=ProposalToGnatt[[#This Row],[Start Date]],Milestone_Marker,IF(AND(CJ$27&gt;ProposalToGnatt[[#This Row],[Start Date]],CJ$27&lt;ProposalToGnatt[[#This Row],[Start Date]]+ProposalToGnatt[[#This Row],[Days]]),$G$5,"")),"")</f>
        <v/>
      </c>
      <c r="CK59" s="36" t="str">
        <f ca="1">IFERROR(+IF(CK$27=ProposalToGnatt[[#This Row],[Start Date]],Milestone_Marker,IF(AND(CK$27&gt;ProposalToGnatt[[#This Row],[Start Date]],CK$27&lt;ProposalToGnatt[[#This Row],[Start Date]]+ProposalToGnatt[[#This Row],[Days]]),$G$5,"")),"")</f>
        <v/>
      </c>
      <c r="CL59" s="36" t="str">
        <f ca="1">IFERROR(+IF(CL$27=ProposalToGnatt[[#This Row],[Start Date]],Milestone_Marker,IF(AND(CL$27&gt;ProposalToGnatt[[#This Row],[Start Date]],CL$27&lt;ProposalToGnatt[[#This Row],[Start Date]]+ProposalToGnatt[[#This Row],[Days]]),$G$5,"")),"")</f>
        <v/>
      </c>
      <c r="CM59" s="36" t="str">
        <f ca="1">IFERROR(+IF(CM$27=ProposalToGnatt[[#This Row],[Start Date]],Milestone_Marker,IF(AND(CM$27&gt;ProposalToGnatt[[#This Row],[Start Date]],CM$27&lt;ProposalToGnatt[[#This Row],[Start Date]]+ProposalToGnatt[[#This Row],[Days]]),$G$5,"")),"")</f>
        <v/>
      </c>
      <c r="CN59" s="36" t="str">
        <f ca="1">IFERROR(+IF(CN$27=ProposalToGnatt[[#This Row],[Start Date]],Milestone_Marker,IF(AND(CN$27&gt;ProposalToGnatt[[#This Row],[Start Date]],CN$27&lt;ProposalToGnatt[[#This Row],[Start Date]]+ProposalToGnatt[[#This Row],[Days]]),$G$5,"")),"")</f>
        <v/>
      </c>
      <c r="CO59" s="36" t="str">
        <f ca="1">IFERROR(+IF(CO$27=ProposalToGnatt[[#This Row],[Start Date]],Milestone_Marker,IF(AND(CO$27&gt;ProposalToGnatt[[#This Row],[Start Date]],CO$27&lt;ProposalToGnatt[[#This Row],[Start Date]]+ProposalToGnatt[[#This Row],[Days]]),$G$5,"")),"")</f>
        <v/>
      </c>
      <c r="CP59" s="36" t="str">
        <f ca="1">IFERROR(+IF(CP$27=ProposalToGnatt[[#This Row],[Start Date]],Milestone_Marker,IF(AND(CP$27&gt;ProposalToGnatt[[#This Row],[Start Date]],CP$27&lt;ProposalToGnatt[[#This Row],[Start Date]]+ProposalToGnatt[[#This Row],[Days]]),$G$5,"")),"")</f>
        <v/>
      </c>
      <c r="CQ59" s="36" t="str">
        <f ca="1">IFERROR(+IF(CQ$27=ProposalToGnatt[[#This Row],[Start Date]],Milestone_Marker,IF(AND(CQ$27&gt;ProposalToGnatt[[#This Row],[Start Date]],CQ$27&lt;ProposalToGnatt[[#This Row],[Start Date]]+ProposalToGnatt[[#This Row],[Days]]),$G$5,"")),"")</f>
        <v/>
      </c>
      <c r="CR59" s="36" t="str">
        <f ca="1">IFERROR(+IF(CR$27=ProposalToGnatt[[#This Row],[Start Date]],Milestone_Marker,IF(AND(CR$27&gt;ProposalToGnatt[[#This Row],[Start Date]],CR$27&lt;ProposalToGnatt[[#This Row],[Start Date]]+ProposalToGnatt[[#This Row],[Days]]),$G$5,"")),"")</f>
        <v/>
      </c>
      <c r="CS59" s="36" t="str">
        <f ca="1">IFERROR(+IF(CS$27=ProposalToGnatt[[#This Row],[Start Date]],Milestone_Marker,IF(AND(CS$27&gt;ProposalToGnatt[[#This Row],[Start Date]],CS$27&lt;ProposalToGnatt[[#This Row],[Start Date]]+ProposalToGnatt[[#This Row],[Days]]),$G$5,"")),"")</f>
        <v/>
      </c>
      <c r="CT59" s="36" t="str">
        <f ca="1">IFERROR(+IF(CT$27=ProposalToGnatt[[#This Row],[Start Date]],Milestone_Marker,IF(AND(CT$27&gt;ProposalToGnatt[[#This Row],[Start Date]],CT$27&lt;ProposalToGnatt[[#This Row],[Start Date]]+ProposalToGnatt[[#This Row],[Days]]),$G$5,"")),"")</f>
        <v/>
      </c>
      <c r="CU59" s="36" t="str">
        <f ca="1">IFERROR(+IF(CU$27=ProposalToGnatt[[#This Row],[Start Date]],Milestone_Marker,IF(AND(CU$27&gt;ProposalToGnatt[[#This Row],[Start Date]],CU$27&lt;ProposalToGnatt[[#This Row],[Start Date]]+ProposalToGnatt[[#This Row],[Days]]),$G$5,"")),"")</f>
        <v/>
      </c>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row>
    <row r="60" spans="1:125" s="41" customFormat="1" ht="15" x14ac:dyDescent="0.25">
      <c r="A60"/>
      <c r="B60"/>
      <c r="C60"/>
      <c r="D60"/>
      <c r="E60"/>
      <c r="F60"/>
      <c r="G60" s="14"/>
      <c r="H60" s="14"/>
      <c r="I60"/>
      <c r="J60"/>
      <c r="K60" s="261"/>
      <c r="L60"/>
      <c r="M60" s="14"/>
      <c r="N60" s="309"/>
      <c r="O60" s="297"/>
      <c r="P60" s="36" t="str">
        <f ca="1">IFERROR(+IF(P$27=ProposalToGnatt[[#This Row],[Start Date]],Milestone_Marker,IF(AND(P$27&gt;ProposalToGnatt[[#This Row],[Start Date]],P$27&lt;ProposalToGnatt[[#This Row],[Start Date]]+ProposalToGnatt[[#This Row],[Days]]),$G$5,"")),"")</f>
        <v/>
      </c>
      <c r="Q60" s="36" t="str">
        <f ca="1">IFERROR(+IF(Q$27=ProposalToGnatt[[#This Row],[Start Date]],Milestone_Marker,IF(AND(Q$27&gt;ProposalToGnatt[[#This Row],[Start Date]],Q$27&lt;ProposalToGnatt[[#This Row],[Start Date]]+ProposalToGnatt[[#This Row],[Days]]),$G$5,"")),"")</f>
        <v/>
      </c>
      <c r="R60" s="36" t="str">
        <f ca="1">IFERROR(+IF(R$27=ProposalToGnatt[[#This Row],[Start Date]],Milestone_Marker,IF(AND(R$27&gt;ProposalToGnatt[[#This Row],[Start Date]],R$27&lt;ProposalToGnatt[[#This Row],[Start Date]]+ProposalToGnatt[[#This Row],[Days]]),$G$5,"")),"")</f>
        <v/>
      </c>
      <c r="S60" s="36" t="str">
        <f ca="1">IFERROR(+IF(S$27=ProposalToGnatt[[#This Row],[Start Date]],Milestone_Marker,IF(AND(S$27&gt;ProposalToGnatt[[#This Row],[Start Date]],S$27&lt;ProposalToGnatt[[#This Row],[Start Date]]+ProposalToGnatt[[#This Row],[Days]]),$G$5,"")),"")</f>
        <v/>
      </c>
      <c r="T60" s="36" t="str">
        <f ca="1">IFERROR(+IF(T$27=ProposalToGnatt[[#This Row],[Start Date]],Milestone_Marker,IF(AND(T$27&gt;ProposalToGnatt[[#This Row],[Start Date]],T$27&lt;ProposalToGnatt[[#This Row],[Start Date]]+ProposalToGnatt[[#This Row],[Days]]),$G$5,"")),"")</f>
        <v/>
      </c>
      <c r="U60" s="36" t="str">
        <f ca="1">IFERROR(+IF(U$27=ProposalToGnatt[[#This Row],[Start Date]],Milestone_Marker,IF(AND(U$27&gt;ProposalToGnatt[[#This Row],[Start Date]],U$27&lt;ProposalToGnatt[[#This Row],[Start Date]]+ProposalToGnatt[[#This Row],[Days]]),$G$5,"")),"")</f>
        <v/>
      </c>
      <c r="V60" s="36" t="str">
        <f ca="1">IFERROR(+IF(V$27=ProposalToGnatt[[#This Row],[Start Date]],Milestone_Marker,IF(AND(V$27&gt;ProposalToGnatt[[#This Row],[Start Date]],V$27&lt;ProposalToGnatt[[#This Row],[Start Date]]+ProposalToGnatt[[#This Row],[Days]]),$G$5,"")),"")</f>
        <v/>
      </c>
      <c r="W60" s="36" t="str">
        <f ca="1">IFERROR(+IF(W$27=ProposalToGnatt[[#This Row],[Start Date]],Milestone_Marker,IF(AND(W$27&gt;ProposalToGnatt[[#This Row],[Start Date]],W$27&lt;ProposalToGnatt[[#This Row],[Start Date]]+ProposalToGnatt[[#This Row],[Days]]),$G$5,"")),"")</f>
        <v/>
      </c>
      <c r="X60" s="36" t="str">
        <f ca="1">IFERROR(+IF(X$27=ProposalToGnatt[[#This Row],[Start Date]],Milestone_Marker,IF(AND(X$27&gt;ProposalToGnatt[[#This Row],[Start Date]],X$27&lt;ProposalToGnatt[[#This Row],[Start Date]]+ProposalToGnatt[[#This Row],[Days]]),$G$5,"")),"")</f>
        <v/>
      </c>
      <c r="Y60" s="36" t="str">
        <f ca="1">IFERROR(+IF(Y$27=ProposalToGnatt[[#This Row],[Start Date]],Milestone_Marker,IF(AND(Y$27&gt;ProposalToGnatt[[#This Row],[Start Date]],Y$27&lt;ProposalToGnatt[[#This Row],[Start Date]]+ProposalToGnatt[[#This Row],[Days]]),$G$5,"")),"")</f>
        <v/>
      </c>
      <c r="Z60" s="36" t="str">
        <f ca="1">IFERROR(+IF(Z$27=ProposalToGnatt[[#This Row],[Start Date]],Milestone_Marker,IF(AND(Z$27&gt;ProposalToGnatt[[#This Row],[Start Date]],Z$27&lt;ProposalToGnatt[[#This Row],[Start Date]]+ProposalToGnatt[[#This Row],[Days]]),$G$5,"")),"")</f>
        <v/>
      </c>
      <c r="AA60" s="36" t="str">
        <f ca="1">IFERROR(+IF(AA$27=ProposalToGnatt[[#This Row],[Start Date]],Milestone_Marker,IF(AND(AA$27&gt;ProposalToGnatt[[#This Row],[Start Date]],AA$27&lt;ProposalToGnatt[[#This Row],[Start Date]]+ProposalToGnatt[[#This Row],[Days]]),$G$5,"")),"")</f>
        <v/>
      </c>
      <c r="AB60" s="36" t="str">
        <f ca="1">IFERROR(+IF(AB$27=ProposalToGnatt[[#This Row],[Start Date]],Milestone_Marker,IF(AND(AB$27&gt;ProposalToGnatt[[#This Row],[Start Date]],AB$27&lt;ProposalToGnatt[[#This Row],[Start Date]]+ProposalToGnatt[[#This Row],[Days]]),$G$5,"")),"")</f>
        <v/>
      </c>
      <c r="AC60" s="36" t="str">
        <f ca="1">IFERROR(+IF(AC$27=ProposalToGnatt[[#This Row],[Start Date]],Milestone_Marker,IF(AND(AC$27&gt;ProposalToGnatt[[#This Row],[Start Date]],AC$27&lt;ProposalToGnatt[[#This Row],[Start Date]]+ProposalToGnatt[[#This Row],[Days]]),$G$5,"")),"")</f>
        <v/>
      </c>
      <c r="AD60" s="36" t="str">
        <f ca="1">IFERROR(+IF(AD$27=ProposalToGnatt[[#This Row],[Start Date]],Milestone_Marker,IF(AND(AD$27&gt;ProposalToGnatt[[#This Row],[Start Date]],AD$27&lt;ProposalToGnatt[[#This Row],[Start Date]]+ProposalToGnatt[[#This Row],[Days]]),$G$5,"")),"")</f>
        <v/>
      </c>
      <c r="AE60" s="36" t="str">
        <f ca="1">IFERROR(+IF(AE$27=ProposalToGnatt[[#This Row],[Start Date]],Milestone_Marker,IF(AND(AE$27&gt;ProposalToGnatt[[#This Row],[Start Date]],AE$27&lt;ProposalToGnatt[[#This Row],[Start Date]]+ProposalToGnatt[[#This Row],[Days]]),$G$5,"")),"")</f>
        <v/>
      </c>
      <c r="AF60" s="36" t="str">
        <f ca="1">IFERROR(+IF(AF$27=ProposalToGnatt[[#This Row],[Start Date]],Milestone_Marker,IF(AND(AF$27&gt;ProposalToGnatt[[#This Row],[Start Date]],AF$27&lt;ProposalToGnatt[[#This Row],[Start Date]]+ProposalToGnatt[[#This Row],[Days]]),$G$5,"")),"")</f>
        <v/>
      </c>
      <c r="AG60" s="36" t="str">
        <f ca="1">IFERROR(+IF(AG$27=ProposalToGnatt[[#This Row],[Start Date]],Milestone_Marker,IF(AND(AG$27&gt;ProposalToGnatt[[#This Row],[Start Date]],AG$27&lt;ProposalToGnatt[[#This Row],[Start Date]]+ProposalToGnatt[[#This Row],[Days]]),$G$5,"")),"")</f>
        <v/>
      </c>
      <c r="AH60" s="36" t="str">
        <f ca="1">IFERROR(+IF(AH$27=ProposalToGnatt[[#This Row],[Start Date]],Milestone_Marker,IF(AND(AH$27&gt;ProposalToGnatt[[#This Row],[Start Date]],AH$27&lt;ProposalToGnatt[[#This Row],[Start Date]]+ProposalToGnatt[[#This Row],[Days]]),$G$5,"")),"")</f>
        <v/>
      </c>
      <c r="AI60" s="36" t="str">
        <f ca="1">IFERROR(+IF(AI$27=ProposalToGnatt[[#This Row],[Start Date]],Milestone_Marker,IF(AND(AI$27&gt;ProposalToGnatt[[#This Row],[Start Date]],AI$27&lt;ProposalToGnatt[[#This Row],[Start Date]]+ProposalToGnatt[[#This Row],[Days]]),$G$5,"")),"")</f>
        <v/>
      </c>
      <c r="AJ60" s="36" t="str">
        <f ca="1">IFERROR(+IF(AJ$27=ProposalToGnatt[[#This Row],[Start Date]],Milestone_Marker,IF(AND(AJ$27&gt;ProposalToGnatt[[#This Row],[Start Date]],AJ$27&lt;ProposalToGnatt[[#This Row],[Start Date]]+ProposalToGnatt[[#This Row],[Days]]),$G$5,"")),"")</f>
        <v/>
      </c>
      <c r="AK60" s="36" t="str">
        <f ca="1">IFERROR(+IF(AK$27=ProposalToGnatt[[#This Row],[Start Date]],Milestone_Marker,IF(AND(AK$27&gt;ProposalToGnatt[[#This Row],[Start Date]],AK$27&lt;ProposalToGnatt[[#This Row],[Start Date]]+ProposalToGnatt[[#This Row],[Days]]),$G$5,"")),"")</f>
        <v/>
      </c>
      <c r="AL60" s="36" t="str">
        <f ca="1">IFERROR(+IF(AL$27=ProposalToGnatt[[#This Row],[Start Date]],Milestone_Marker,IF(AND(AL$27&gt;ProposalToGnatt[[#This Row],[Start Date]],AL$27&lt;ProposalToGnatt[[#This Row],[Start Date]]+ProposalToGnatt[[#This Row],[Days]]),$G$5,"")),"")</f>
        <v/>
      </c>
      <c r="AM60" s="36" t="str">
        <f ca="1">IFERROR(+IF(AM$27=ProposalToGnatt[[#This Row],[Start Date]],Milestone_Marker,IF(AND(AM$27&gt;ProposalToGnatt[[#This Row],[Start Date]],AM$27&lt;ProposalToGnatt[[#This Row],[Start Date]]+ProposalToGnatt[[#This Row],[Days]]),$G$5,"")),"")</f>
        <v/>
      </c>
      <c r="AN60" s="36" t="str">
        <f ca="1">IFERROR(+IF(AN$27=ProposalToGnatt[[#This Row],[Start Date]],Milestone_Marker,IF(AND(AN$27&gt;ProposalToGnatt[[#This Row],[Start Date]],AN$27&lt;ProposalToGnatt[[#This Row],[Start Date]]+ProposalToGnatt[[#This Row],[Days]]),$G$5,"")),"")</f>
        <v/>
      </c>
      <c r="AO60" s="36" t="str">
        <f ca="1">IFERROR(+IF(AO$27=ProposalToGnatt[[#This Row],[Start Date]],Milestone_Marker,IF(AND(AO$27&gt;ProposalToGnatt[[#This Row],[Start Date]],AO$27&lt;ProposalToGnatt[[#This Row],[Start Date]]+ProposalToGnatt[[#This Row],[Days]]),$G$5,"")),"")</f>
        <v/>
      </c>
      <c r="AP60" s="36" t="str">
        <f ca="1">IFERROR(+IF(AP$27=ProposalToGnatt[[#This Row],[Start Date]],Milestone_Marker,IF(AND(AP$27&gt;ProposalToGnatt[[#This Row],[Start Date]],AP$27&lt;ProposalToGnatt[[#This Row],[Start Date]]+ProposalToGnatt[[#This Row],[Days]]),$G$5,"")),"")</f>
        <v/>
      </c>
      <c r="AQ60" s="36" t="str">
        <f ca="1">IFERROR(+IF(AQ$27=ProposalToGnatt[[#This Row],[Start Date]],Milestone_Marker,IF(AND(AQ$27&gt;ProposalToGnatt[[#This Row],[Start Date]],AQ$27&lt;ProposalToGnatt[[#This Row],[Start Date]]+ProposalToGnatt[[#This Row],[Days]]),$G$5,"")),"")</f>
        <v/>
      </c>
      <c r="AR60" s="36" t="str">
        <f ca="1">IFERROR(+IF(AR$27=ProposalToGnatt[[#This Row],[Start Date]],Milestone_Marker,IF(AND(AR$27&gt;ProposalToGnatt[[#This Row],[Start Date]],AR$27&lt;ProposalToGnatt[[#This Row],[Start Date]]+ProposalToGnatt[[#This Row],[Days]]),$G$5,"")),"")</f>
        <v/>
      </c>
      <c r="AS60" s="36" t="str">
        <f ca="1">IFERROR(+IF(AS$27=ProposalToGnatt[[#This Row],[Start Date]],Milestone_Marker,IF(AND(AS$27&gt;ProposalToGnatt[[#This Row],[Start Date]],AS$27&lt;ProposalToGnatt[[#This Row],[Start Date]]+ProposalToGnatt[[#This Row],[Days]]),$G$5,"")),"")</f>
        <v/>
      </c>
      <c r="AT60" s="36" t="str">
        <f ca="1">IFERROR(+IF(AT$27=ProposalToGnatt[[#This Row],[Start Date]],Milestone_Marker,IF(AND(AT$27&gt;ProposalToGnatt[[#This Row],[Start Date]],AT$27&lt;ProposalToGnatt[[#This Row],[Start Date]]+ProposalToGnatt[[#This Row],[Days]]),$G$5,"")),"")</f>
        <v/>
      </c>
      <c r="AU60" s="36" t="str">
        <f ca="1">IFERROR(+IF(AU$27=ProposalToGnatt[[#This Row],[Start Date]],Milestone_Marker,IF(AND(AU$27&gt;ProposalToGnatt[[#This Row],[Start Date]],AU$27&lt;ProposalToGnatt[[#This Row],[Start Date]]+ProposalToGnatt[[#This Row],[Days]]),$G$5,"")),"")</f>
        <v/>
      </c>
      <c r="AV60" s="36" t="str">
        <f ca="1">IFERROR(+IF(AV$27=ProposalToGnatt[[#This Row],[Start Date]],Milestone_Marker,IF(AND(AV$27&gt;ProposalToGnatt[[#This Row],[Start Date]],AV$27&lt;ProposalToGnatt[[#This Row],[Start Date]]+ProposalToGnatt[[#This Row],[Days]]),$G$5,"")),"")</f>
        <v/>
      </c>
      <c r="AW60" s="36" t="str">
        <f ca="1">IFERROR(+IF(AW$27=ProposalToGnatt[[#This Row],[Start Date]],Milestone_Marker,IF(AND(AW$27&gt;ProposalToGnatt[[#This Row],[Start Date]],AW$27&lt;ProposalToGnatt[[#This Row],[Start Date]]+ProposalToGnatt[[#This Row],[Days]]),$G$5,"")),"")</f>
        <v/>
      </c>
      <c r="AX60" s="36" t="str">
        <f ca="1">IFERROR(+IF(AX$27=ProposalToGnatt[[#This Row],[Start Date]],Milestone_Marker,IF(AND(AX$27&gt;ProposalToGnatt[[#This Row],[Start Date]],AX$27&lt;ProposalToGnatt[[#This Row],[Start Date]]+ProposalToGnatt[[#This Row],[Days]]),$G$5,"")),"")</f>
        <v/>
      </c>
      <c r="AY60" s="36" t="str">
        <f ca="1">IFERROR(+IF(AY$27=ProposalToGnatt[[#This Row],[Start Date]],Milestone_Marker,IF(AND(AY$27&gt;ProposalToGnatt[[#This Row],[Start Date]],AY$27&lt;ProposalToGnatt[[#This Row],[Start Date]]+ProposalToGnatt[[#This Row],[Days]]),$G$5,"")),"")</f>
        <v/>
      </c>
      <c r="AZ60" s="36" t="str">
        <f ca="1">IFERROR(+IF(AZ$27=ProposalToGnatt[[#This Row],[Start Date]],Milestone_Marker,IF(AND(AZ$27&gt;ProposalToGnatt[[#This Row],[Start Date]],AZ$27&lt;ProposalToGnatt[[#This Row],[Start Date]]+ProposalToGnatt[[#This Row],[Days]]),$G$5,"")),"")</f>
        <v/>
      </c>
      <c r="BA60" s="36" t="str">
        <f ca="1">IFERROR(+IF(BA$27=ProposalToGnatt[[#This Row],[Start Date]],Milestone_Marker,IF(AND(BA$27&gt;ProposalToGnatt[[#This Row],[Start Date]],BA$27&lt;ProposalToGnatt[[#This Row],[Start Date]]+ProposalToGnatt[[#This Row],[Days]]),$G$5,"")),"")</f>
        <v/>
      </c>
      <c r="BB60" s="36" t="str">
        <f ca="1">IFERROR(+IF(BB$27=ProposalToGnatt[[#This Row],[Start Date]],Milestone_Marker,IF(AND(BB$27&gt;ProposalToGnatt[[#This Row],[Start Date]],BB$27&lt;ProposalToGnatt[[#This Row],[Start Date]]+ProposalToGnatt[[#This Row],[Days]]),$G$5,"")),"")</f>
        <v/>
      </c>
      <c r="BC60" s="36" t="str">
        <f ca="1">IFERROR(+IF(BC$27=ProposalToGnatt[[#This Row],[Start Date]],Milestone_Marker,IF(AND(BC$27&gt;ProposalToGnatt[[#This Row],[Start Date]],BC$27&lt;ProposalToGnatt[[#This Row],[Start Date]]+ProposalToGnatt[[#This Row],[Days]]),$G$5,"")),"")</f>
        <v/>
      </c>
      <c r="BD60" s="36" t="str">
        <f ca="1">IFERROR(+IF(BD$27=ProposalToGnatt[[#This Row],[Start Date]],Milestone_Marker,IF(AND(BD$27&gt;ProposalToGnatt[[#This Row],[Start Date]],BD$27&lt;ProposalToGnatt[[#This Row],[Start Date]]+ProposalToGnatt[[#This Row],[Days]]),$G$5,"")),"")</f>
        <v/>
      </c>
      <c r="BE60" s="36" t="str">
        <f ca="1">IFERROR(+IF(BE$27=ProposalToGnatt[[#This Row],[Start Date]],Milestone_Marker,IF(AND(BE$27&gt;ProposalToGnatt[[#This Row],[Start Date]],BE$27&lt;ProposalToGnatt[[#This Row],[Start Date]]+ProposalToGnatt[[#This Row],[Days]]),$G$5,"")),"")</f>
        <v/>
      </c>
      <c r="BF60" s="36" t="str">
        <f ca="1">IFERROR(+IF(BF$27=ProposalToGnatt[[#This Row],[Start Date]],Milestone_Marker,IF(AND(BF$27&gt;ProposalToGnatt[[#This Row],[Start Date]],BF$27&lt;ProposalToGnatt[[#This Row],[Start Date]]+ProposalToGnatt[[#This Row],[Days]]),$G$5,"")),"")</f>
        <v/>
      </c>
      <c r="BG60" s="36" t="str">
        <f ca="1">IFERROR(+IF(BG$27=ProposalToGnatt[[#This Row],[Start Date]],Milestone_Marker,IF(AND(BG$27&gt;ProposalToGnatt[[#This Row],[Start Date]],BG$27&lt;ProposalToGnatt[[#This Row],[Start Date]]+ProposalToGnatt[[#This Row],[Days]]),$G$5,"")),"")</f>
        <v/>
      </c>
      <c r="BH60" s="36" t="str">
        <f ca="1">IFERROR(+IF(BH$27=ProposalToGnatt[[#This Row],[Start Date]],Milestone_Marker,IF(AND(BH$27&gt;ProposalToGnatt[[#This Row],[Start Date]],BH$27&lt;ProposalToGnatt[[#This Row],[Start Date]]+ProposalToGnatt[[#This Row],[Days]]),$G$5,"")),"")</f>
        <v/>
      </c>
      <c r="BI60" s="36" t="str">
        <f ca="1">IFERROR(+IF(BI$27=ProposalToGnatt[[#This Row],[Start Date]],Milestone_Marker,IF(AND(BI$27&gt;ProposalToGnatt[[#This Row],[Start Date]],BI$27&lt;ProposalToGnatt[[#This Row],[Start Date]]+ProposalToGnatt[[#This Row],[Days]]),$G$5,"")),"")</f>
        <v/>
      </c>
      <c r="BJ60" s="36" t="str">
        <f ca="1">IFERROR(+IF(BJ$27=ProposalToGnatt[[#This Row],[Start Date]],Milestone_Marker,IF(AND(BJ$27&gt;ProposalToGnatt[[#This Row],[Start Date]],BJ$27&lt;ProposalToGnatt[[#This Row],[Start Date]]+ProposalToGnatt[[#This Row],[Days]]),$G$5,"")),"")</f>
        <v/>
      </c>
      <c r="BK60" s="36" t="str">
        <f ca="1">IFERROR(+IF(BK$27=ProposalToGnatt[[#This Row],[Start Date]],Milestone_Marker,IF(AND(BK$27&gt;ProposalToGnatt[[#This Row],[Start Date]],BK$27&lt;ProposalToGnatt[[#This Row],[Start Date]]+ProposalToGnatt[[#This Row],[Days]]),$G$5,"")),"")</f>
        <v/>
      </c>
      <c r="BL60" s="36" t="str">
        <f ca="1">IFERROR(+IF(BL$27=ProposalToGnatt[[#This Row],[Start Date]],Milestone_Marker,IF(AND(BL$27&gt;ProposalToGnatt[[#This Row],[Start Date]],BL$27&lt;ProposalToGnatt[[#This Row],[Start Date]]+ProposalToGnatt[[#This Row],[Days]]),$G$5,"")),"")</f>
        <v/>
      </c>
      <c r="BM60" s="36" t="str">
        <f ca="1">IFERROR(+IF(BM$27=ProposalToGnatt[[#This Row],[Start Date]],Milestone_Marker,IF(AND(BM$27&gt;ProposalToGnatt[[#This Row],[Start Date]],BM$27&lt;ProposalToGnatt[[#This Row],[Start Date]]+ProposalToGnatt[[#This Row],[Days]]),$G$5,"")),"")</f>
        <v/>
      </c>
      <c r="BN60" s="36" t="str">
        <f ca="1">IFERROR(+IF(BN$27=ProposalToGnatt[[#This Row],[Start Date]],Milestone_Marker,IF(AND(BN$27&gt;ProposalToGnatt[[#This Row],[Start Date]],BN$27&lt;ProposalToGnatt[[#This Row],[Start Date]]+ProposalToGnatt[[#This Row],[Days]]),$G$5,"")),"")</f>
        <v/>
      </c>
      <c r="BO60" s="36" t="str">
        <f ca="1">IFERROR(+IF(BO$27=ProposalToGnatt[[#This Row],[Start Date]],Milestone_Marker,IF(AND(BO$27&gt;ProposalToGnatt[[#This Row],[Start Date]],BO$27&lt;ProposalToGnatt[[#This Row],[Start Date]]+ProposalToGnatt[[#This Row],[Days]]),$G$5,"")),"")</f>
        <v/>
      </c>
      <c r="BP60" s="36" t="str">
        <f ca="1">IFERROR(+IF(BP$27=ProposalToGnatt[[#This Row],[Start Date]],Milestone_Marker,IF(AND(BP$27&gt;ProposalToGnatt[[#This Row],[Start Date]],BP$27&lt;ProposalToGnatt[[#This Row],[Start Date]]+ProposalToGnatt[[#This Row],[Days]]),$G$5,"")),"")</f>
        <v/>
      </c>
      <c r="BQ60" s="36" t="str">
        <f ca="1">IFERROR(+IF(BQ$27=ProposalToGnatt[[#This Row],[Start Date]],Milestone_Marker,IF(AND(BQ$27&gt;ProposalToGnatt[[#This Row],[Start Date]],BQ$27&lt;ProposalToGnatt[[#This Row],[Start Date]]+ProposalToGnatt[[#This Row],[Days]]),$G$5,"")),"")</f>
        <v/>
      </c>
      <c r="BR60" s="36" t="str">
        <f ca="1">IFERROR(+IF(BR$27=ProposalToGnatt[[#This Row],[Start Date]],Milestone_Marker,IF(AND(BR$27&gt;ProposalToGnatt[[#This Row],[Start Date]],BR$27&lt;ProposalToGnatt[[#This Row],[Start Date]]+ProposalToGnatt[[#This Row],[Days]]),$G$5,"")),"")</f>
        <v/>
      </c>
      <c r="BS60" s="36" t="str">
        <f ca="1">IFERROR(+IF(BS$27=ProposalToGnatt[[#This Row],[Start Date]],Milestone_Marker,IF(AND(BS$27&gt;ProposalToGnatt[[#This Row],[Start Date]],BS$27&lt;ProposalToGnatt[[#This Row],[Start Date]]+ProposalToGnatt[[#This Row],[Days]]),$G$5,"")),"")</f>
        <v/>
      </c>
      <c r="BT60" s="36" t="str">
        <f ca="1">IFERROR(+IF(BT$27=ProposalToGnatt[[#This Row],[Start Date]],Milestone_Marker,IF(AND(BT$27&gt;ProposalToGnatt[[#This Row],[Start Date]],BT$27&lt;ProposalToGnatt[[#This Row],[Start Date]]+ProposalToGnatt[[#This Row],[Days]]),$G$5,"")),"")</f>
        <v/>
      </c>
      <c r="BU60" s="36" t="str">
        <f ca="1">IFERROR(+IF(BU$27=ProposalToGnatt[[#This Row],[Start Date]],Milestone_Marker,IF(AND(BU$27&gt;ProposalToGnatt[[#This Row],[Start Date]],BU$27&lt;ProposalToGnatt[[#This Row],[Start Date]]+ProposalToGnatt[[#This Row],[Days]]),$G$5,"")),"")</f>
        <v/>
      </c>
      <c r="BV60" s="36" t="str">
        <f ca="1">IFERROR(+IF(BV$27=ProposalToGnatt[[#This Row],[Start Date]],Milestone_Marker,IF(AND(BV$27&gt;ProposalToGnatt[[#This Row],[Start Date]],BV$27&lt;ProposalToGnatt[[#This Row],[Start Date]]+ProposalToGnatt[[#This Row],[Days]]),$G$5,"")),"")</f>
        <v/>
      </c>
      <c r="BW60" s="36" t="str">
        <f ca="1">IFERROR(+IF(BW$27=ProposalToGnatt[[#This Row],[Start Date]],Milestone_Marker,IF(AND(BW$27&gt;ProposalToGnatt[[#This Row],[Start Date]],BW$27&lt;ProposalToGnatt[[#This Row],[Start Date]]+ProposalToGnatt[[#This Row],[Days]]),$G$5,"")),"")</f>
        <v/>
      </c>
      <c r="BX60" s="36" t="str">
        <f ca="1">IFERROR(+IF(BX$27=ProposalToGnatt[[#This Row],[Start Date]],Milestone_Marker,IF(AND(BX$27&gt;ProposalToGnatt[[#This Row],[Start Date]],BX$27&lt;ProposalToGnatt[[#This Row],[Start Date]]+ProposalToGnatt[[#This Row],[Days]]),$G$5,"")),"")</f>
        <v/>
      </c>
      <c r="BY60" s="36" t="str">
        <f ca="1">IFERROR(+IF(BY$27=ProposalToGnatt[[#This Row],[Start Date]],Milestone_Marker,IF(AND(BY$27&gt;ProposalToGnatt[[#This Row],[Start Date]],BY$27&lt;ProposalToGnatt[[#This Row],[Start Date]]+ProposalToGnatt[[#This Row],[Days]]),$G$5,"")),"")</f>
        <v/>
      </c>
      <c r="BZ60" s="36" t="str">
        <f ca="1">IFERROR(+IF(BZ$27=ProposalToGnatt[[#This Row],[Start Date]],Milestone_Marker,IF(AND(BZ$27&gt;ProposalToGnatt[[#This Row],[Start Date]],BZ$27&lt;ProposalToGnatt[[#This Row],[Start Date]]+ProposalToGnatt[[#This Row],[Days]]),$G$5,"")),"")</f>
        <v/>
      </c>
      <c r="CA60" s="36" t="str">
        <f ca="1">IFERROR(+IF(CA$27=ProposalToGnatt[[#This Row],[Start Date]],Milestone_Marker,IF(AND(CA$27&gt;ProposalToGnatt[[#This Row],[Start Date]],CA$27&lt;ProposalToGnatt[[#This Row],[Start Date]]+ProposalToGnatt[[#This Row],[Days]]),$G$5,"")),"")</f>
        <v/>
      </c>
      <c r="CB60" s="36" t="str">
        <f ca="1">IFERROR(+IF(CB$27=ProposalToGnatt[[#This Row],[Start Date]],Milestone_Marker,IF(AND(CB$27&gt;ProposalToGnatt[[#This Row],[Start Date]],CB$27&lt;ProposalToGnatt[[#This Row],[Start Date]]+ProposalToGnatt[[#This Row],[Days]]),$G$5,"")),"")</f>
        <v/>
      </c>
      <c r="CC60" s="36" t="str">
        <f ca="1">IFERROR(+IF(CC$27=ProposalToGnatt[[#This Row],[Start Date]],Milestone_Marker,IF(AND(CC$27&gt;ProposalToGnatt[[#This Row],[Start Date]],CC$27&lt;ProposalToGnatt[[#This Row],[Start Date]]+ProposalToGnatt[[#This Row],[Days]]),$G$5,"")),"")</f>
        <v/>
      </c>
      <c r="CD60" s="36" t="str">
        <f ca="1">IFERROR(+IF(CD$27=ProposalToGnatt[[#This Row],[Start Date]],Milestone_Marker,IF(AND(CD$27&gt;ProposalToGnatt[[#This Row],[Start Date]],CD$27&lt;ProposalToGnatt[[#This Row],[Start Date]]+ProposalToGnatt[[#This Row],[Days]]),$G$5,"")),"")</f>
        <v/>
      </c>
      <c r="CE60" s="36" t="str">
        <f ca="1">IFERROR(+IF(CE$27=ProposalToGnatt[[#This Row],[Start Date]],Milestone_Marker,IF(AND(CE$27&gt;ProposalToGnatt[[#This Row],[Start Date]],CE$27&lt;ProposalToGnatt[[#This Row],[Start Date]]+ProposalToGnatt[[#This Row],[Days]]),$G$5,"")),"")</f>
        <v/>
      </c>
      <c r="CF60" s="36" t="str">
        <f ca="1">IFERROR(+IF(CF$27=ProposalToGnatt[[#This Row],[Start Date]],Milestone_Marker,IF(AND(CF$27&gt;ProposalToGnatt[[#This Row],[Start Date]],CF$27&lt;ProposalToGnatt[[#This Row],[Start Date]]+ProposalToGnatt[[#This Row],[Days]]),$G$5,"")),"")</f>
        <v/>
      </c>
      <c r="CG60" s="36" t="str">
        <f ca="1">IFERROR(+IF(CG$27=ProposalToGnatt[[#This Row],[Start Date]],Milestone_Marker,IF(AND(CG$27&gt;ProposalToGnatt[[#This Row],[Start Date]],CG$27&lt;ProposalToGnatt[[#This Row],[Start Date]]+ProposalToGnatt[[#This Row],[Days]]),$G$5,"")),"")</f>
        <v/>
      </c>
      <c r="CH60" s="36" t="str">
        <f ca="1">IFERROR(+IF(CH$27=ProposalToGnatt[[#This Row],[Start Date]],Milestone_Marker,IF(AND(CH$27&gt;ProposalToGnatt[[#This Row],[Start Date]],CH$27&lt;ProposalToGnatt[[#This Row],[Start Date]]+ProposalToGnatt[[#This Row],[Days]]),$G$5,"")),"")</f>
        <v/>
      </c>
      <c r="CI60" s="36" t="str">
        <f ca="1">IFERROR(+IF(CI$27=ProposalToGnatt[[#This Row],[Start Date]],Milestone_Marker,IF(AND(CI$27&gt;ProposalToGnatt[[#This Row],[Start Date]],CI$27&lt;ProposalToGnatt[[#This Row],[Start Date]]+ProposalToGnatt[[#This Row],[Days]]),$G$5,"")),"")</f>
        <v/>
      </c>
      <c r="CJ60" s="36" t="str">
        <f ca="1">IFERROR(+IF(CJ$27=ProposalToGnatt[[#This Row],[Start Date]],Milestone_Marker,IF(AND(CJ$27&gt;ProposalToGnatt[[#This Row],[Start Date]],CJ$27&lt;ProposalToGnatt[[#This Row],[Start Date]]+ProposalToGnatt[[#This Row],[Days]]),$G$5,"")),"")</f>
        <v/>
      </c>
      <c r="CK60" s="36" t="str">
        <f ca="1">IFERROR(+IF(CK$27=ProposalToGnatt[[#This Row],[Start Date]],Milestone_Marker,IF(AND(CK$27&gt;ProposalToGnatt[[#This Row],[Start Date]],CK$27&lt;ProposalToGnatt[[#This Row],[Start Date]]+ProposalToGnatt[[#This Row],[Days]]),$G$5,"")),"")</f>
        <v/>
      </c>
      <c r="CL60" s="36" t="str">
        <f ca="1">IFERROR(+IF(CL$27=ProposalToGnatt[[#This Row],[Start Date]],Milestone_Marker,IF(AND(CL$27&gt;ProposalToGnatt[[#This Row],[Start Date]],CL$27&lt;ProposalToGnatt[[#This Row],[Start Date]]+ProposalToGnatt[[#This Row],[Days]]),$G$5,"")),"")</f>
        <v/>
      </c>
      <c r="CM60" s="36" t="str">
        <f ca="1">IFERROR(+IF(CM$27=ProposalToGnatt[[#This Row],[Start Date]],Milestone_Marker,IF(AND(CM$27&gt;ProposalToGnatt[[#This Row],[Start Date]],CM$27&lt;ProposalToGnatt[[#This Row],[Start Date]]+ProposalToGnatt[[#This Row],[Days]]),$G$5,"")),"")</f>
        <v/>
      </c>
      <c r="CN60" s="36" t="str">
        <f ca="1">IFERROR(+IF(CN$27=ProposalToGnatt[[#This Row],[Start Date]],Milestone_Marker,IF(AND(CN$27&gt;ProposalToGnatt[[#This Row],[Start Date]],CN$27&lt;ProposalToGnatt[[#This Row],[Start Date]]+ProposalToGnatt[[#This Row],[Days]]),$G$5,"")),"")</f>
        <v/>
      </c>
      <c r="CO60" s="36" t="str">
        <f ca="1">IFERROR(+IF(CO$27=ProposalToGnatt[[#This Row],[Start Date]],Milestone_Marker,IF(AND(CO$27&gt;ProposalToGnatt[[#This Row],[Start Date]],CO$27&lt;ProposalToGnatt[[#This Row],[Start Date]]+ProposalToGnatt[[#This Row],[Days]]),$G$5,"")),"")</f>
        <v/>
      </c>
      <c r="CP60" s="36" t="str">
        <f ca="1">IFERROR(+IF(CP$27=ProposalToGnatt[[#This Row],[Start Date]],Milestone_Marker,IF(AND(CP$27&gt;ProposalToGnatt[[#This Row],[Start Date]],CP$27&lt;ProposalToGnatt[[#This Row],[Start Date]]+ProposalToGnatt[[#This Row],[Days]]),$G$5,"")),"")</f>
        <v/>
      </c>
      <c r="CQ60" s="36" t="str">
        <f ca="1">IFERROR(+IF(CQ$27=ProposalToGnatt[[#This Row],[Start Date]],Milestone_Marker,IF(AND(CQ$27&gt;ProposalToGnatt[[#This Row],[Start Date]],CQ$27&lt;ProposalToGnatt[[#This Row],[Start Date]]+ProposalToGnatt[[#This Row],[Days]]),$G$5,"")),"")</f>
        <v/>
      </c>
      <c r="CR60" s="36" t="str">
        <f ca="1">IFERROR(+IF(CR$27=ProposalToGnatt[[#This Row],[Start Date]],Milestone_Marker,IF(AND(CR$27&gt;ProposalToGnatt[[#This Row],[Start Date]],CR$27&lt;ProposalToGnatt[[#This Row],[Start Date]]+ProposalToGnatt[[#This Row],[Days]]),$G$5,"")),"")</f>
        <v/>
      </c>
      <c r="CS60" s="36" t="str">
        <f ca="1">IFERROR(+IF(CS$27=ProposalToGnatt[[#This Row],[Start Date]],Milestone_Marker,IF(AND(CS$27&gt;ProposalToGnatt[[#This Row],[Start Date]],CS$27&lt;ProposalToGnatt[[#This Row],[Start Date]]+ProposalToGnatt[[#This Row],[Days]]),$G$5,"")),"")</f>
        <v/>
      </c>
      <c r="CT60" s="36" t="str">
        <f ca="1">IFERROR(+IF(CT$27=ProposalToGnatt[[#This Row],[Start Date]],Milestone_Marker,IF(AND(CT$27&gt;ProposalToGnatt[[#This Row],[Start Date]],CT$27&lt;ProposalToGnatt[[#This Row],[Start Date]]+ProposalToGnatt[[#This Row],[Days]]),$G$5,"")),"")</f>
        <v/>
      </c>
      <c r="CU60" s="36" t="str">
        <f ca="1">IFERROR(+IF(CU$27=ProposalToGnatt[[#This Row],[Start Date]],Milestone_Marker,IF(AND(CU$27&gt;ProposalToGnatt[[#This Row],[Start Date]],CU$27&lt;ProposalToGnatt[[#This Row],[Start Date]]+ProposalToGnatt[[#This Row],[Days]]),$G$5,"")),"")</f>
        <v/>
      </c>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row>
    <row r="61" spans="1:125" s="41" customFormat="1" ht="15" x14ac:dyDescent="0.25">
      <c r="A61"/>
      <c r="B61"/>
      <c r="C61"/>
      <c r="D61"/>
      <c r="E61"/>
      <c r="F61"/>
      <c r="G61" s="14"/>
      <c r="H61" s="14"/>
      <c r="I61"/>
      <c r="J61"/>
      <c r="K61" s="261"/>
      <c r="L61"/>
      <c r="M61" s="14"/>
      <c r="N61" s="309"/>
      <c r="O61" s="297"/>
      <c r="P61" s="36" t="str">
        <f ca="1">IFERROR(+IF(P$27=ProposalToGnatt[[#This Row],[Start Date]],Milestone_Marker,IF(AND(P$27&gt;ProposalToGnatt[[#This Row],[Start Date]],P$27&lt;ProposalToGnatt[[#This Row],[Start Date]]+ProposalToGnatt[[#This Row],[Days]]),$G$5,"")),"")</f>
        <v/>
      </c>
      <c r="Q61" s="36" t="str">
        <f ca="1">IFERROR(+IF(Q$27=ProposalToGnatt[[#This Row],[Start Date]],Milestone_Marker,IF(AND(Q$27&gt;ProposalToGnatt[[#This Row],[Start Date]],Q$27&lt;ProposalToGnatt[[#This Row],[Start Date]]+ProposalToGnatt[[#This Row],[Days]]),$G$5,"")),"")</f>
        <v/>
      </c>
      <c r="R61" s="36" t="str">
        <f ca="1">IFERROR(+IF(R$27=ProposalToGnatt[[#This Row],[Start Date]],Milestone_Marker,IF(AND(R$27&gt;ProposalToGnatt[[#This Row],[Start Date]],R$27&lt;ProposalToGnatt[[#This Row],[Start Date]]+ProposalToGnatt[[#This Row],[Days]]),$G$5,"")),"")</f>
        <v/>
      </c>
      <c r="S61" s="36" t="str">
        <f ca="1">IFERROR(+IF(S$27=ProposalToGnatt[[#This Row],[Start Date]],Milestone_Marker,IF(AND(S$27&gt;ProposalToGnatt[[#This Row],[Start Date]],S$27&lt;ProposalToGnatt[[#This Row],[Start Date]]+ProposalToGnatt[[#This Row],[Days]]),$G$5,"")),"")</f>
        <v/>
      </c>
      <c r="T61" s="36" t="str">
        <f ca="1">IFERROR(+IF(T$27=ProposalToGnatt[[#This Row],[Start Date]],Milestone_Marker,IF(AND(T$27&gt;ProposalToGnatt[[#This Row],[Start Date]],T$27&lt;ProposalToGnatt[[#This Row],[Start Date]]+ProposalToGnatt[[#This Row],[Days]]),$G$5,"")),"")</f>
        <v/>
      </c>
      <c r="U61" s="36" t="str">
        <f ca="1">IFERROR(+IF(U$27=ProposalToGnatt[[#This Row],[Start Date]],Milestone_Marker,IF(AND(U$27&gt;ProposalToGnatt[[#This Row],[Start Date]],U$27&lt;ProposalToGnatt[[#This Row],[Start Date]]+ProposalToGnatt[[#This Row],[Days]]),$G$5,"")),"")</f>
        <v/>
      </c>
      <c r="V61" s="36" t="str">
        <f ca="1">IFERROR(+IF(V$27=ProposalToGnatt[[#This Row],[Start Date]],Milestone_Marker,IF(AND(V$27&gt;ProposalToGnatt[[#This Row],[Start Date]],V$27&lt;ProposalToGnatt[[#This Row],[Start Date]]+ProposalToGnatt[[#This Row],[Days]]),$G$5,"")),"")</f>
        <v/>
      </c>
      <c r="W61" s="36" t="str">
        <f ca="1">IFERROR(+IF(W$27=ProposalToGnatt[[#This Row],[Start Date]],Milestone_Marker,IF(AND(W$27&gt;ProposalToGnatt[[#This Row],[Start Date]],W$27&lt;ProposalToGnatt[[#This Row],[Start Date]]+ProposalToGnatt[[#This Row],[Days]]),$G$5,"")),"")</f>
        <v/>
      </c>
      <c r="X61" s="36" t="str">
        <f ca="1">IFERROR(+IF(X$27=ProposalToGnatt[[#This Row],[Start Date]],Milestone_Marker,IF(AND(X$27&gt;ProposalToGnatt[[#This Row],[Start Date]],X$27&lt;ProposalToGnatt[[#This Row],[Start Date]]+ProposalToGnatt[[#This Row],[Days]]),$G$5,"")),"")</f>
        <v/>
      </c>
      <c r="Y61" s="36" t="str">
        <f ca="1">IFERROR(+IF(Y$27=ProposalToGnatt[[#This Row],[Start Date]],Milestone_Marker,IF(AND(Y$27&gt;ProposalToGnatt[[#This Row],[Start Date]],Y$27&lt;ProposalToGnatt[[#This Row],[Start Date]]+ProposalToGnatt[[#This Row],[Days]]),$G$5,"")),"")</f>
        <v/>
      </c>
      <c r="Z61" s="36" t="str">
        <f ca="1">IFERROR(+IF(Z$27=ProposalToGnatt[[#This Row],[Start Date]],Milestone_Marker,IF(AND(Z$27&gt;ProposalToGnatt[[#This Row],[Start Date]],Z$27&lt;ProposalToGnatt[[#This Row],[Start Date]]+ProposalToGnatt[[#This Row],[Days]]),$G$5,"")),"")</f>
        <v/>
      </c>
      <c r="AA61" s="36" t="str">
        <f ca="1">IFERROR(+IF(AA$27=ProposalToGnatt[[#This Row],[Start Date]],Milestone_Marker,IF(AND(AA$27&gt;ProposalToGnatt[[#This Row],[Start Date]],AA$27&lt;ProposalToGnatt[[#This Row],[Start Date]]+ProposalToGnatt[[#This Row],[Days]]),$G$5,"")),"")</f>
        <v/>
      </c>
      <c r="AB61" s="36" t="str">
        <f ca="1">IFERROR(+IF(AB$27=ProposalToGnatt[[#This Row],[Start Date]],Milestone_Marker,IF(AND(AB$27&gt;ProposalToGnatt[[#This Row],[Start Date]],AB$27&lt;ProposalToGnatt[[#This Row],[Start Date]]+ProposalToGnatt[[#This Row],[Days]]),$G$5,"")),"")</f>
        <v/>
      </c>
      <c r="AC61" s="36" t="str">
        <f ca="1">IFERROR(+IF(AC$27=ProposalToGnatt[[#This Row],[Start Date]],Milestone_Marker,IF(AND(AC$27&gt;ProposalToGnatt[[#This Row],[Start Date]],AC$27&lt;ProposalToGnatt[[#This Row],[Start Date]]+ProposalToGnatt[[#This Row],[Days]]),$G$5,"")),"")</f>
        <v/>
      </c>
      <c r="AD61" s="36" t="str">
        <f ca="1">IFERROR(+IF(AD$27=ProposalToGnatt[[#This Row],[Start Date]],Milestone_Marker,IF(AND(AD$27&gt;ProposalToGnatt[[#This Row],[Start Date]],AD$27&lt;ProposalToGnatt[[#This Row],[Start Date]]+ProposalToGnatt[[#This Row],[Days]]),$G$5,"")),"")</f>
        <v/>
      </c>
      <c r="AE61" s="36" t="str">
        <f ca="1">IFERROR(+IF(AE$27=ProposalToGnatt[[#This Row],[Start Date]],Milestone_Marker,IF(AND(AE$27&gt;ProposalToGnatt[[#This Row],[Start Date]],AE$27&lt;ProposalToGnatt[[#This Row],[Start Date]]+ProposalToGnatt[[#This Row],[Days]]),$G$5,"")),"")</f>
        <v/>
      </c>
      <c r="AF61" s="36" t="str">
        <f ca="1">IFERROR(+IF(AF$27=ProposalToGnatt[[#This Row],[Start Date]],Milestone_Marker,IF(AND(AF$27&gt;ProposalToGnatt[[#This Row],[Start Date]],AF$27&lt;ProposalToGnatt[[#This Row],[Start Date]]+ProposalToGnatt[[#This Row],[Days]]),$G$5,"")),"")</f>
        <v/>
      </c>
      <c r="AG61" s="36" t="str">
        <f ca="1">IFERROR(+IF(AG$27=ProposalToGnatt[[#This Row],[Start Date]],Milestone_Marker,IF(AND(AG$27&gt;ProposalToGnatt[[#This Row],[Start Date]],AG$27&lt;ProposalToGnatt[[#This Row],[Start Date]]+ProposalToGnatt[[#This Row],[Days]]),$G$5,"")),"")</f>
        <v/>
      </c>
      <c r="AH61" s="36" t="str">
        <f ca="1">IFERROR(+IF(AH$27=ProposalToGnatt[[#This Row],[Start Date]],Milestone_Marker,IF(AND(AH$27&gt;ProposalToGnatt[[#This Row],[Start Date]],AH$27&lt;ProposalToGnatt[[#This Row],[Start Date]]+ProposalToGnatt[[#This Row],[Days]]),$G$5,"")),"")</f>
        <v/>
      </c>
      <c r="AI61" s="36" t="str">
        <f ca="1">IFERROR(+IF(AI$27=ProposalToGnatt[[#This Row],[Start Date]],Milestone_Marker,IF(AND(AI$27&gt;ProposalToGnatt[[#This Row],[Start Date]],AI$27&lt;ProposalToGnatt[[#This Row],[Start Date]]+ProposalToGnatt[[#This Row],[Days]]),$G$5,"")),"")</f>
        <v/>
      </c>
      <c r="AJ61" s="36" t="str">
        <f ca="1">IFERROR(+IF(AJ$27=ProposalToGnatt[[#This Row],[Start Date]],Milestone_Marker,IF(AND(AJ$27&gt;ProposalToGnatt[[#This Row],[Start Date]],AJ$27&lt;ProposalToGnatt[[#This Row],[Start Date]]+ProposalToGnatt[[#This Row],[Days]]),$G$5,"")),"")</f>
        <v/>
      </c>
      <c r="AK61" s="36" t="str">
        <f ca="1">IFERROR(+IF(AK$27=ProposalToGnatt[[#This Row],[Start Date]],Milestone_Marker,IF(AND(AK$27&gt;ProposalToGnatt[[#This Row],[Start Date]],AK$27&lt;ProposalToGnatt[[#This Row],[Start Date]]+ProposalToGnatt[[#This Row],[Days]]),$G$5,"")),"")</f>
        <v/>
      </c>
      <c r="AL61" s="36" t="str">
        <f ca="1">IFERROR(+IF(AL$27=ProposalToGnatt[[#This Row],[Start Date]],Milestone_Marker,IF(AND(AL$27&gt;ProposalToGnatt[[#This Row],[Start Date]],AL$27&lt;ProposalToGnatt[[#This Row],[Start Date]]+ProposalToGnatt[[#This Row],[Days]]),$G$5,"")),"")</f>
        <v/>
      </c>
      <c r="AM61" s="36" t="str">
        <f ca="1">IFERROR(+IF(AM$27=ProposalToGnatt[[#This Row],[Start Date]],Milestone_Marker,IF(AND(AM$27&gt;ProposalToGnatt[[#This Row],[Start Date]],AM$27&lt;ProposalToGnatt[[#This Row],[Start Date]]+ProposalToGnatt[[#This Row],[Days]]),$G$5,"")),"")</f>
        <v/>
      </c>
      <c r="AN61" s="36" t="str">
        <f ca="1">IFERROR(+IF(AN$27=ProposalToGnatt[[#This Row],[Start Date]],Milestone_Marker,IF(AND(AN$27&gt;ProposalToGnatt[[#This Row],[Start Date]],AN$27&lt;ProposalToGnatt[[#This Row],[Start Date]]+ProposalToGnatt[[#This Row],[Days]]),$G$5,"")),"")</f>
        <v/>
      </c>
      <c r="AO61" s="36" t="str">
        <f ca="1">IFERROR(+IF(AO$27=ProposalToGnatt[[#This Row],[Start Date]],Milestone_Marker,IF(AND(AO$27&gt;ProposalToGnatt[[#This Row],[Start Date]],AO$27&lt;ProposalToGnatt[[#This Row],[Start Date]]+ProposalToGnatt[[#This Row],[Days]]),$G$5,"")),"")</f>
        <v/>
      </c>
      <c r="AP61" s="36" t="str">
        <f ca="1">IFERROR(+IF(AP$27=ProposalToGnatt[[#This Row],[Start Date]],Milestone_Marker,IF(AND(AP$27&gt;ProposalToGnatt[[#This Row],[Start Date]],AP$27&lt;ProposalToGnatt[[#This Row],[Start Date]]+ProposalToGnatt[[#This Row],[Days]]),$G$5,"")),"")</f>
        <v/>
      </c>
      <c r="AQ61" s="36" t="str">
        <f ca="1">IFERROR(+IF(AQ$27=ProposalToGnatt[[#This Row],[Start Date]],Milestone_Marker,IF(AND(AQ$27&gt;ProposalToGnatt[[#This Row],[Start Date]],AQ$27&lt;ProposalToGnatt[[#This Row],[Start Date]]+ProposalToGnatt[[#This Row],[Days]]),$G$5,"")),"")</f>
        <v/>
      </c>
      <c r="AR61" s="36" t="str">
        <f ca="1">IFERROR(+IF(AR$27=ProposalToGnatt[[#This Row],[Start Date]],Milestone_Marker,IF(AND(AR$27&gt;ProposalToGnatt[[#This Row],[Start Date]],AR$27&lt;ProposalToGnatt[[#This Row],[Start Date]]+ProposalToGnatt[[#This Row],[Days]]),$G$5,"")),"")</f>
        <v/>
      </c>
      <c r="AS61" s="36" t="str">
        <f ca="1">IFERROR(+IF(AS$27=ProposalToGnatt[[#This Row],[Start Date]],Milestone_Marker,IF(AND(AS$27&gt;ProposalToGnatt[[#This Row],[Start Date]],AS$27&lt;ProposalToGnatt[[#This Row],[Start Date]]+ProposalToGnatt[[#This Row],[Days]]),$G$5,"")),"")</f>
        <v/>
      </c>
      <c r="AT61" s="36" t="str">
        <f ca="1">IFERROR(+IF(AT$27=ProposalToGnatt[[#This Row],[Start Date]],Milestone_Marker,IF(AND(AT$27&gt;ProposalToGnatt[[#This Row],[Start Date]],AT$27&lt;ProposalToGnatt[[#This Row],[Start Date]]+ProposalToGnatt[[#This Row],[Days]]),$G$5,"")),"")</f>
        <v/>
      </c>
      <c r="AU61" s="36" t="str">
        <f ca="1">IFERROR(+IF(AU$27=ProposalToGnatt[[#This Row],[Start Date]],Milestone_Marker,IF(AND(AU$27&gt;ProposalToGnatt[[#This Row],[Start Date]],AU$27&lt;ProposalToGnatt[[#This Row],[Start Date]]+ProposalToGnatt[[#This Row],[Days]]),$G$5,"")),"")</f>
        <v/>
      </c>
      <c r="AV61" s="36" t="str">
        <f ca="1">IFERROR(+IF(AV$27=ProposalToGnatt[[#This Row],[Start Date]],Milestone_Marker,IF(AND(AV$27&gt;ProposalToGnatt[[#This Row],[Start Date]],AV$27&lt;ProposalToGnatt[[#This Row],[Start Date]]+ProposalToGnatt[[#This Row],[Days]]),$G$5,"")),"")</f>
        <v/>
      </c>
      <c r="AW61" s="36" t="str">
        <f ca="1">IFERROR(+IF(AW$27=ProposalToGnatt[[#This Row],[Start Date]],Milestone_Marker,IF(AND(AW$27&gt;ProposalToGnatt[[#This Row],[Start Date]],AW$27&lt;ProposalToGnatt[[#This Row],[Start Date]]+ProposalToGnatt[[#This Row],[Days]]),$G$5,"")),"")</f>
        <v/>
      </c>
      <c r="AX61" s="36" t="str">
        <f ca="1">IFERROR(+IF(AX$27=ProposalToGnatt[[#This Row],[Start Date]],Milestone_Marker,IF(AND(AX$27&gt;ProposalToGnatt[[#This Row],[Start Date]],AX$27&lt;ProposalToGnatt[[#This Row],[Start Date]]+ProposalToGnatt[[#This Row],[Days]]),$G$5,"")),"")</f>
        <v/>
      </c>
      <c r="AY61" s="36" t="str">
        <f ca="1">IFERROR(+IF(AY$27=ProposalToGnatt[[#This Row],[Start Date]],Milestone_Marker,IF(AND(AY$27&gt;ProposalToGnatt[[#This Row],[Start Date]],AY$27&lt;ProposalToGnatt[[#This Row],[Start Date]]+ProposalToGnatt[[#This Row],[Days]]),$G$5,"")),"")</f>
        <v/>
      </c>
      <c r="AZ61" s="36" t="str">
        <f ca="1">IFERROR(+IF(AZ$27=ProposalToGnatt[[#This Row],[Start Date]],Milestone_Marker,IF(AND(AZ$27&gt;ProposalToGnatt[[#This Row],[Start Date]],AZ$27&lt;ProposalToGnatt[[#This Row],[Start Date]]+ProposalToGnatt[[#This Row],[Days]]),$G$5,"")),"")</f>
        <v/>
      </c>
      <c r="BA61" s="36" t="str">
        <f ca="1">IFERROR(+IF(BA$27=ProposalToGnatt[[#This Row],[Start Date]],Milestone_Marker,IF(AND(BA$27&gt;ProposalToGnatt[[#This Row],[Start Date]],BA$27&lt;ProposalToGnatt[[#This Row],[Start Date]]+ProposalToGnatt[[#This Row],[Days]]),$G$5,"")),"")</f>
        <v/>
      </c>
      <c r="BB61" s="36" t="str">
        <f ca="1">IFERROR(+IF(BB$27=ProposalToGnatt[[#This Row],[Start Date]],Milestone_Marker,IF(AND(BB$27&gt;ProposalToGnatt[[#This Row],[Start Date]],BB$27&lt;ProposalToGnatt[[#This Row],[Start Date]]+ProposalToGnatt[[#This Row],[Days]]),$G$5,"")),"")</f>
        <v/>
      </c>
      <c r="BC61" s="36" t="str">
        <f ca="1">IFERROR(+IF(BC$27=ProposalToGnatt[[#This Row],[Start Date]],Milestone_Marker,IF(AND(BC$27&gt;ProposalToGnatt[[#This Row],[Start Date]],BC$27&lt;ProposalToGnatt[[#This Row],[Start Date]]+ProposalToGnatt[[#This Row],[Days]]),$G$5,"")),"")</f>
        <v/>
      </c>
      <c r="BD61" s="36" t="str">
        <f ca="1">IFERROR(+IF(BD$27=ProposalToGnatt[[#This Row],[Start Date]],Milestone_Marker,IF(AND(BD$27&gt;ProposalToGnatt[[#This Row],[Start Date]],BD$27&lt;ProposalToGnatt[[#This Row],[Start Date]]+ProposalToGnatt[[#This Row],[Days]]),$G$5,"")),"")</f>
        <v/>
      </c>
      <c r="BE61" s="36" t="str">
        <f ca="1">IFERROR(+IF(BE$27=ProposalToGnatt[[#This Row],[Start Date]],Milestone_Marker,IF(AND(BE$27&gt;ProposalToGnatt[[#This Row],[Start Date]],BE$27&lt;ProposalToGnatt[[#This Row],[Start Date]]+ProposalToGnatt[[#This Row],[Days]]),$G$5,"")),"")</f>
        <v/>
      </c>
      <c r="BF61" s="36" t="str">
        <f ca="1">IFERROR(+IF(BF$27=ProposalToGnatt[[#This Row],[Start Date]],Milestone_Marker,IF(AND(BF$27&gt;ProposalToGnatt[[#This Row],[Start Date]],BF$27&lt;ProposalToGnatt[[#This Row],[Start Date]]+ProposalToGnatt[[#This Row],[Days]]),$G$5,"")),"")</f>
        <v/>
      </c>
      <c r="BG61" s="36" t="str">
        <f ca="1">IFERROR(+IF(BG$27=ProposalToGnatt[[#This Row],[Start Date]],Milestone_Marker,IF(AND(BG$27&gt;ProposalToGnatt[[#This Row],[Start Date]],BG$27&lt;ProposalToGnatt[[#This Row],[Start Date]]+ProposalToGnatt[[#This Row],[Days]]),$G$5,"")),"")</f>
        <v/>
      </c>
      <c r="BH61" s="36" t="str">
        <f ca="1">IFERROR(+IF(BH$27=ProposalToGnatt[[#This Row],[Start Date]],Milestone_Marker,IF(AND(BH$27&gt;ProposalToGnatt[[#This Row],[Start Date]],BH$27&lt;ProposalToGnatt[[#This Row],[Start Date]]+ProposalToGnatt[[#This Row],[Days]]),$G$5,"")),"")</f>
        <v/>
      </c>
      <c r="BI61" s="36" t="str">
        <f ca="1">IFERROR(+IF(BI$27=ProposalToGnatt[[#This Row],[Start Date]],Milestone_Marker,IF(AND(BI$27&gt;ProposalToGnatt[[#This Row],[Start Date]],BI$27&lt;ProposalToGnatt[[#This Row],[Start Date]]+ProposalToGnatt[[#This Row],[Days]]),$G$5,"")),"")</f>
        <v/>
      </c>
      <c r="BJ61" s="36" t="str">
        <f ca="1">IFERROR(+IF(BJ$27=ProposalToGnatt[[#This Row],[Start Date]],Milestone_Marker,IF(AND(BJ$27&gt;ProposalToGnatt[[#This Row],[Start Date]],BJ$27&lt;ProposalToGnatt[[#This Row],[Start Date]]+ProposalToGnatt[[#This Row],[Days]]),$G$5,"")),"")</f>
        <v/>
      </c>
      <c r="BK61" s="36" t="str">
        <f ca="1">IFERROR(+IF(BK$27=ProposalToGnatt[[#This Row],[Start Date]],Milestone_Marker,IF(AND(BK$27&gt;ProposalToGnatt[[#This Row],[Start Date]],BK$27&lt;ProposalToGnatt[[#This Row],[Start Date]]+ProposalToGnatt[[#This Row],[Days]]),$G$5,"")),"")</f>
        <v/>
      </c>
      <c r="BL61" s="36" t="str">
        <f ca="1">IFERROR(+IF(BL$27=ProposalToGnatt[[#This Row],[Start Date]],Milestone_Marker,IF(AND(BL$27&gt;ProposalToGnatt[[#This Row],[Start Date]],BL$27&lt;ProposalToGnatt[[#This Row],[Start Date]]+ProposalToGnatt[[#This Row],[Days]]),$G$5,"")),"")</f>
        <v/>
      </c>
      <c r="BM61" s="36" t="str">
        <f ca="1">IFERROR(+IF(BM$27=ProposalToGnatt[[#This Row],[Start Date]],Milestone_Marker,IF(AND(BM$27&gt;ProposalToGnatt[[#This Row],[Start Date]],BM$27&lt;ProposalToGnatt[[#This Row],[Start Date]]+ProposalToGnatt[[#This Row],[Days]]),$G$5,"")),"")</f>
        <v/>
      </c>
      <c r="BN61" s="36" t="str">
        <f ca="1">IFERROR(+IF(BN$27=ProposalToGnatt[[#This Row],[Start Date]],Milestone_Marker,IF(AND(BN$27&gt;ProposalToGnatt[[#This Row],[Start Date]],BN$27&lt;ProposalToGnatt[[#This Row],[Start Date]]+ProposalToGnatt[[#This Row],[Days]]),$G$5,"")),"")</f>
        <v/>
      </c>
      <c r="BO61" s="36" t="str">
        <f ca="1">IFERROR(+IF(BO$27=ProposalToGnatt[[#This Row],[Start Date]],Milestone_Marker,IF(AND(BO$27&gt;ProposalToGnatt[[#This Row],[Start Date]],BO$27&lt;ProposalToGnatt[[#This Row],[Start Date]]+ProposalToGnatt[[#This Row],[Days]]),$G$5,"")),"")</f>
        <v/>
      </c>
      <c r="BP61" s="36" t="str">
        <f ca="1">IFERROR(+IF(BP$27=ProposalToGnatt[[#This Row],[Start Date]],Milestone_Marker,IF(AND(BP$27&gt;ProposalToGnatt[[#This Row],[Start Date]],BP$27&lt;ProposalToGnatt[[#This Row],[Start Date]]+ProposalToGnatt[[#This Row],[Days]]),$G$5,"")),"")</f>
        <v/>
      </c>
      <c r="BQ61" s="36" t="str">
        <f ca="1">IFERROR(+IF(BQ$27=ProposalToGnatt[[#This Row],[Start Date]],Milestone_Marker,IF(AND(BQ$27&gt;ProposalToGnatt[[#This Row],[Start Date]],BQ$27&lt;ProposalToGnatt[[#This Row],[Start Date]]+ProposalToGnatt[[#This Row],[Days]]),$G$5,"")),"")</f>
        <v/>
      </c>
      <c r="BR61" s="36" t="str">
        <f ca="1">IFERROR(+IF(BR$27=ProposalToGnatt[[#This Row],[Start Date]],Milestone_Marker,IF(AND(BR$27&gt;ProposalToGnatt[[#This Row],[Start Date]],BR$27&lt;ProposalToGnatt[[#This Row],[Start Date]]+ProposalToGnatt[[#This Row],[Days]]),$G$5,"")),"")</f>
        <v/>
      </c>
      <c r="BS61" s="36" t="str">
        <f ca="1">IFERROR(+IF(BS$27=ProposalToGnatt[[#This Row],[Start Date]],Milestone_Marker,IF(AND(BS$27&gt;ProposalToGnatt[[#This Row],[Start Date]],BS$27&lt;ProposalToGnatt[[#This Row],[Start Date]]+ProposalToGnatt[[#This Row],[Days]]),$G$5,"")),"")</f>
        <v/>
      </c>
      <c r="BT61" s="36" t="str">
        <f ca="1">IFERROR(+IF(BT$27=ProposalToGnatt[[#This Row],[Start Date]],Milestone_Marker,IF(AND(BT$27&gt;ProposalToGnatt[[#This Row],[Start Date]],BT$27&lt;ProposalToGnatt[[#This Row],[Start Date]]+ProposalToGnatt[[#This Row],[Days]]),$G$5,"")),"")</f>
        <v/>
      </c>
      <c r="BU61" s="36" t="str">
        <f ca="1">IFERROR(+IF(BU$27=ProposalToGnatt[[#This Row],[Start Date]],Milestone_Marker,IF(AND(BU$27&gt;ProposalToGnatt[[#This Row],[Start Date]],BU$27&lt;ProposalToGnatt[[#This Row],[Start Date]]+ProposalToGnatt[[#This Row],[Days]]),$G$5,"")),"")</f>
        <v/>
      </c>
      <c r="BV61" s="36" t="str">
        <f ca="1">IFERROR(+IF(BV$27=ProposalToGnatt[[#This Row],[Start Date]],Milestone_Marker,IF(AND(BV$27&gt;ProposalToGnatt[[#This Row],[Start Date]],BV$27&lt;ProposalToGnatt[[#This Row],[Start Date]]+ProposalToGnatt[[#This Row],[Days]]),$G$5,"")),"")</f>
        <v/>
      </c>
      <c r="BW61" s="36" t="str">
        <f ca="1">IFERROR(+IF(BW$27=ProposalToGnatt[[#This Row],[Start Date]],Milestone_Marker,IF(AND(BW$27&gt;ProposalToGnatt[[#This Row],[Start Date]],BW$27&lt;ProposalToGnatt[[#This Row],[Start Date]]+ProposalToGnatt[[#This Row],[Days]]),$G$5,"")),"")</f>
        <v/>
      </c>
      <c r="BX61" s="36" t="str">
        <f ca="1">IFERROR(+IF(BX$27=ProposalToGnatt[[#This Row],[Start Date]],Milestone_Marker,IF(AND(BX$27&gt;ProposalToGnatt[[#This Row],[Start Date]],BX$27&lt;ProposalToGnatt[[#This Row],[Start Date]]+ProposalToGnatt[[#This Row],[Days]]),$G$5,"")),"")</f>
        <v/>
      </c>
      <c r="BY61" s="36" t="str">
        <f ca="1">IFERROR(+IF(BY$27=ProposalToGnatt[[#This Row],[Start Date]],Milestone_Marker,IF(AND(BY$27&gt;ProposalToGnatt[[#This Row],[Start Date]],BY$27&lt;ProposalToGnatt[[#This Row],[Start Date]]+ProposalToGnatt[[#This Row],[Days]]),$G$5,"")),"")</f>
        <v/>
      </c>
      <c r="BZ61" s="36" t="str">
        <f ca="1">IFERROR(+IF(BZ$27=ProposalToGnatt[[#This Row],[Start Date]],Milestone_Marker,IF(AND(BZ$27&gt;ProposalToGnatt[[#This Row],[Start Date]],BZ$27&lt;ProposalToGnatt[[#This Row],[Start Date]]+ProposalToGnatt[[#This Row],[Days]]),$G$5,"")),"")</f>
        <v/>
      </c>
      <c r="CA61" s="36" t="str">
        <f ca="1">IFERROR(+IF(CA$27=ProposalToGnatt[[#This Row],[Start Date]],Milestone_Marker,IF(AND(CA$27&gt;ProposalToGnatt[[#This Row],[Start Date]],CA$27&lt;ProposalToGnatt[[#This Row],[Start Date]]+ProposalToGnatt[[#This Row],[Days]]),$G$5,"")),"")</f>
        <v/>
      </c>
      <c r="CB61" s="36" t="str">
        <f ca="1">IFERROR(+IF(CB$27=ProposalToGnatt[[#This Row],[Start Date]],Milestone_Marker,IF(AND(CB$27&gt;ProposalToGnatt[[#This Row],[Start Date]],CB$27&lt;ProposalToGnatt[[#This Row],[Start Date]]+ProposalToGnatt[[#This Row],[Days]]),$G$5,"")),"")</f>
        <v/>
      </c>
      <c r="CC61" s="36" t="str">
        <f ca="1">IFERROR(+IF(CC$27=ProposalToGnatt[[#This Row],[Start Date]],Milestone_Marker,IF(AND(CC$27&gt;ProposalToGnatt[[#This Row],[Start Date]],CC$27&lt;ProposalToGnatt[[#This Row],[Start Date]]+ProposalToGnatt[[#This Row],[Days]]),$G$5,"")),"")</f>
        <v/>
      </c>
      <c r="CD61" s="36" t="str">
        <f ca="1">IFERROR(+IF(CD$27=ProposalToGnatt[[#This Row],[Start Date]],Milestone_Marker,IF(AND(CD$27&gt;ProposalToGnatt[[#This Row],[Start Date]],CD$27&lt;ProposalToGnatt[[#This Row],[Start Date]]+ProposalToGnatt[[#This Row],[Days]]),$G$5,"")),"")</f>
        <v/>
      </c>
      <c r="CE61" s="36" t="str">
        <f ca="1">IFERROR(+IF(CE$27=ProposalToGnatt[[#This Row],[Start Date]],Milestone_Marker,IF(AND(CE$27&gt;ProposalToGnatt[[#This Row],[Start Date]],CE$27&lt;ProposalToGnatt[[#This Row],[Start Date]]+ProposalToGnatt[[#This Row],[Days]]),$G$5,"")),"")</f>
        <v/>
      </c>
      <c r="CF61" s="36" t="str">
        <f ca="1">IFERROR(+IF(CF$27=ProposalToGnatt[[#This Row],[Start Date]],Milestone_Marker,IF(AND(CF$27&gt;ProposalToGnatt[[#This Row],[Start Date]],CF$27&lt;ProposalToGnatt[[#This Row],[Start Date]]+ProposalToGnatt[[#This Row],[Days]]),$G$5,"")),"")</f>
        <v/>
      </c>
      <c r="CG61" s="36" t="str">
        <f ca="1">IFERROR(+IF(CG$27=ProposalToGnatt[[#This Row],[Start Date]],Milestone_Marker,IF(AND(CG$27&gt;ProposalToGnatt[[#This Row],[Start Date]],CG$27&lt;ProposalToGnatt[[#This Row],[Start Date]]+ProposalToGnatt[[#This Row],[Days]]),$G$5,"")),"")</f>
        <v/>
      </c>
      <c r="CH61" s="36" t="str">
        <f ca="1">IFERROR(+IF(CH$27=ProposalToGnatt[[#This Row],[Start Date]],Milestone_Marker,IF(AND(CH$27&gt;ProposalToGnatt[[#This Row],[Start Date]],CH$27&lt;ProposalToGnatt[[#This Row],[Start Date]]+ProposalToGnatt[[#This Row],[Days]]),$G$5,"")),"")</f>
        <v/>
      </c>
      <c r="CI61" s="36" t="str">
        <f ca="1">IFERROR(+IF(CI$27=ProposalToGnatt[[#This Row],[Start Date]],Milestone_Marker,IF(AND(CI$27&gt;ProposalToGnatt[[#This Row],[Start Date]],CI$27&lt;ProposalToGnatt[[#This Row],[Start Date]]+ProposalToGnatt[[#This Row],[Days]]),$G$5,"")),"")</f>
        <v/>
      </c>
      <c r="CJ61" s="36" t="str">
        <f ca="1">IFERROR(+IF(CJ$27=ProposalToGnatt[[#This Row],[Start Date]],Milestone_Marker,IF(AND(CJ$27&gt;ProposalToGnatt[[#This Row],[Start Date]],CJ$27&lt;ProposalToGnatt[[#This Row],[Start Date]]+ProposalToGnatt[[#This Row],[Days]]),$G$5,"")),"")</f>
        <v/>
      </c>
      <c r="CK61" s="36" t="str">
        <f ca="1">IFERROR(+IF(CK$27=ProposalToGnatt[[#This Row],[Start Date]],Milestone_Marker,IF(AND(CK$27&gt;ProposalToGnatt[[#This Row],[Start Date]],CK$27&lt;ProposalToGnatt[[#This Row],[Start Date]]+ProposalToGnatt[[#This Row],[Days]]),$G$5,"")),"")</f>
        <v/>
      </c>
      <c r="CL61" s="36" t="str">
        <f ca="1">IFERROR(+IF(CL$27=ProposalToGnatt[[#This Row],[Start Date]],Milestone_Marker,IF(AND(CL$27&gt;ProposalToGnatt[[#This Row],[Start Date]],CL$27&lt;ProposalToGnatt[[#This Row],[Start Date]]+ProposalToGnatt[[#This Row],[Days]]),$G$5,"")),"")</f>
        <v/>
      </c>
      <c r="CM61" s="36" t="str">
        <f ca="1">IFERROR(+IF(CM$27=ProposalToGnatt[[#This Row],[Start Date]],Milestone_Marker,IF(AND(CM$27&gt;ProposalToGnatt[[#This Row],[Start Date]],CM$27&lt;ProposalToGnatt[[#This Row],[Start Date]]+ProposalToGnatt[[#This Row],[Days]]),$G$5,"")),"")</f>
        <v/>
      </c>
      <c r="CN61" s="36" t="str">
        <f ca="1">IFERROR(+IF(CN$27=ProposalToGnatt[[#This Row],[Start Date]],Milestone_Marker,IF(AND(CN$27&gt;ProposalToGnatt[[#This Row],[Start Date]],CN$27&lt;ProposalToGnatt[[#This Row],[Start Date]]+ProposalToGnatt[[#This Row],[Days]]),$G$5,"")),"")</f>
        <v/>
      </c>
      <c r="CO61" s="36" t="str">
        <f ca="1">IFERROR(+IF(CO$27=ProposalToGnatt[[#This Row],[Start Date]],Milestone_Marker,IF(AND(CO$27&gt;ProposalToGnatt[[#This Row],[Start Date]],CO$27&lt;ProposalToGnatt[[#This Row],[Start Date]]+ProposalToGnatt[[#This Row],[Days]]),$G$5,"")),"")</f>
        <v/>
      </c>
      <c r="CP61" s="36" t="str">
        <f ca="1">IFERROR(+IF(CP$27=ProposalToGnatt[[#This Row],[Start Date]],Milestone_Marker,IF(AND(CP$27&gt;ProposalToGnatt[[#This Row],[Start Date]],CP$27&lt;ProposalToGnatt[[#This Row],[Start Date]]+ProposalToGnatt[[#This Row],[Days]]),$G$5,"")),"")</f>
        <v/>
      </c>
      <c r="CQ61" s="36" t="str">
        <f ca="1">IFERROR(+IF(CQ$27=ProposalToGnatt[[#This Row],[Start Date]],Milestone_Marker,IF(AND(CQ$27&gt;ProposalToGnatt[[#This Row],[Start Date]],CQ$27&lt;ProposalToGnatt[[#This Row],[Start Date]]+ProposalToGnatt[[#This Row],[Days]]),$G$5,"")),"")</f>
        <v/>
      </c>
      <c r="CR61" s="36" t="str">
        <f ca="1">IFERROR(+IF(CR$27=ProposalToGnatt[[#This Row],[Start Date]],Milestone_Marker,IF(AND(CR$27&gt;ProposalToGnatt[[#This Row],[Start Date]],CR$27&lt;ProposalToGnatt[[#This Row],[Start Date]]+ProposalToGnatt[[#This Row],[Days]]),$G$5,"")),"")</f>
        <v/>
      </c>
      <c r="CS61" s="36" t="str">
        <f ca="1">IFERROR(+IF(CS$27=ProposalToGnatt[[#This Row],[Start Date]],Milestone_Marker,IF(AND(CS$27&gt;ProposalToGnatt[[#This Row],[Start Date]],CS$27&lt;ProposalToGnatt[[#This Row],[Start Date]]+ProposalToGnatt[[#This Row],[Days]]),$G$5,"")),"")</f>
        <v/>
      </c>
      <c r="CT61" s="36" t="str">
        <f ca="1">IFERROR(+IF(CT$27=ProposalToGnatt[[#This Row],[Start Date]],Milestone_Marker,IF(AND(CT$27&gt;ProposalToGnatt[[#This Row],[Start Date]],CT$27&lt;ProposalToGnatt[[#This Row],[Start Date]]+ProposalToGnatt[[#This Row],[Days]]),$G$5,"")),"")</f>
        <v/>
      </c>
      <c r="CU61" s="36" t="str">
        <f ca="1">IFERROR(+IF(CU$27=ProposalToGnatt[[#This Row],[Start Date]],Milestone_Marker,IF(AND(CU$27&gt;ProposalToGnatt[[#This Row],[Start Date]],CU$27&lt;ProposalToGnatt[[#This Row],[Start Date]]+ProposalToGnatt[[#This Row],[Days]]),$G$5,"")),"")</f>
        <v/>
      </c>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row>
    <row r="62" spans="1:125" s="41" customFormat="1" ht="15" x14ac:dyDescent="0.25">
      <c r="A62"/>
      <c r="B62"/>
      <c r="C62"/>
      <c r="D62"/>
      <c r="E62"/>
      <c r="F62"/>
      <c r="G62" s="14"/>
      <c r="H62" s="14"/>
      <c r="I62"/>
      <c r="J62"/>
      <c r="K62" s="261"/>
      <c r="L62"/>
      <c r="M62" s="14"/>
      <c r="N62" s="309"/>
      <c r="O62" s="297"/>
      <c r="P62" s="36" t="str">
        <f ca="1">IFERROR(+IF(P$27=ProposalToGnatt[[#This Row],[Start Date]],Milestone_Marker,IF(AND(P$27&gt;ProposalToGnatt[[#This Row],[Start Date]],P$27&lt;ProposalToGnatt[[#This Row],[Start Date]]+ProposalToGnatt[[#This Row],[Days]]),$G$5,"")),"")</f>
        <v/>
      </c>
      <c r="Q62" s="36" t="str">
        <f ca="1">IFERROR(+IF(Q$27=ProposalToGnatt[[#This Row],[Start Date]],Milestone_Marker,IF(AND(Q$27&gt;ProposalToGnatt[[#This Row],[Start Date]],Q$27&lt;ProposalToGnatt[[#This Row],[Start Date]]+ProposalToGnatt[[#This Row],[Days]]),$G$5,"")),"")</f>
        <v/>
      </c>
      <c r="R62" s="36" t="str">
        <f ca="1">IFERROR(+IF(R$27=ProposalToGnatt[[#This Row],[Start Date]],Milestone_Marker,IF(AND(R$27&gt;ProposalToGnatt[[#This Row],[Start Date]],R$27&lt;ProposalToGnatt[[#This Row],[Start Date]]+ProposalToGnatt[[#This Row],[Days]]),$G$5,"")),"")</f>
        <v/>
      </c>
      <c r="S62" s="36" t="str">
        <f ca="1">IFERROR(+IF(S$27=ProposalToGnatt[[#This Row],[Start Date]],Milestone_Marker,IF(AND(S$27&gt;ProposalToGnatt[[#This Row],[Start Date]],S$27&lt;ProposalToGnatt[[#This Row],[Start Date]]+ProposalToGnatt[[#This Row],[Days]]),$G$5,"")),"")</f>
        <v/>
      </c>
      <c r="T62" s="36" t="str">
        <f ca="1">IFERROR(+IF(T$27=ProposalToGnatt[[#This Row],[Start Date]],Milestone_Marker,IF(AND(T$27&gt;ProposalToGnatt[[#This Row],[Start Date]],T$27&lt;ProposalToGnatt[[#This Row],[Start Date]]+ProposalToGnatt[[#This Row],[Days]]),$G$5,"")),"")</f>
        <v/>
      </c>
      <c r="U62" s="36" t="str">
        <f ca="1">IFERROR(+IF(U$27=ProposalToGnatt[[#This Row],[Start Date]],Milestone_Marker,IF(AND(U$27&gt;ProposalToGnatt[[#This Row],[Start Date]],U$27&lt;ProposalToGnatt[[#This Row],[Start Date]]+ProposalToGnatt[[#This Row],[Days]]),$G$5,"")),"")</f>
        <v/>
      </c>
      <c r="V62" s="36" t="str">
        <f ca="1">IFERROR(+IF(V$27=ProposalToGnatt[[#This Row],[Start Date]],Milestone_Marker,IF(AND(V$27&gt;ProposalToGnatt[[#This Row],[Start Date]],V$27&lt;ProposalToGnatt[[#This Row],[Start Date]]+ProposalToGnatt[[#This Row],[Days]]),$G$5,"")),"")</f>
        <v/>
      </c>
      <c r="W62" s="36" t="str">
        <f ca="1">IFERROR(+IF(W$27=ProposalToGnatt[[#This Row],[Start Date]],Milestone_Marker,IF(AND(W$27&gt;ProposalToGnatt[[#This Row],[Start Date]],W$27&lt;ProposalToGnatt[[#This Row],[Start Date]]+ProposalToGnatt[[#This Row],[Days]]),$G$5,"")),"")</f>
        <v/>
      </c>
      <c r="X62" s="36" t="str">
        <f ca="1">IFERROR(+IF(X$27=ProposalToGnatt[[#This Row],[Start Date]],Milestone_Marker,IF(AND(X$27&gt;ProposalToGnatt[[#This Row],[Start Date]],X$27&lt;ProposalToGnatt[[#This Row],[Start Date]]+ProposalToGnatt[[#This Row],[Days]]),$G$5,"")),"")</f>
        <v/>
      </c>
      <c r="Y62" s="36" t="str">
        <f ca="1">IFERROR(+IF(Y$27=ProposalToGnatt[[#This Row],[Start Date]],Milestone_Marker,IF(AND(Y$27&gt;ProposalToGnatt[[#This Row],[Start Date]],Y$27&lt;ProposalToGnatt[[#This Row],[Start Date]]+ProposalToGnatt[[#This Row],[Days]]),$G$5,"")),"")</f>
        <v/>
      </c>
      <c r="Z62" s="36" t="str">
        <f ca="1">IFERROR(+IF(Z$27=ProposalToGnatt[[#This Row],[Start Date]],Milestone_Marker,IF(AND(Z$27&gt;ProposalToGnatt[[#This Row],[Start Date]],Z$27&lt;ProposalToGnatt[[#This Row],[Start Date]]+ProposalToGnatt[[#This Row],[Days]]),$G$5,"")),"")</f>
        <v/>
      </c>
      <c r="AA62" s="36" t="str">
        <f ca="1">IFERROR(+IF(AA$27=ProposalToGnatt[[#This Row],[Start Date]],Milestone_Marker,IF(AND(AA$27&gt;ProposalToGnatt[[#This Row],[Start Date]],AA$27&lt;ProposalToGnatt[[#This Row],[Start Date]]+ProposalToGnatt[[#This Row],[Days]]),$G$5,"")),"")</f>
        <v/>
      </c>
      <c r="AB62" s="36" t="str">
        <f ca="1">IFERROR(+IF(AB$27=ProposalToGnatt[[#This Row],[Start Date]],Milestone_Marker,IF(AND(AB$27&gt;ProposalToGnatt[[#This Row],[Start Date]],AB$27&lt;ProposalToGnatt[[#This Row],[Start Date]]+ProposalToGnatt[[#This Row],[Days]]),$G$5,"")),"")</f>
        <v/>
      </c>
      <c r="AC62" s="36" t="str">
        <f ca="1">IFERROR(+IF(AC$27=ProposalToGnatt[[#This Row],[Start Date]],Milestone_Marker,IF(AND(AC$27&gt;ProposalToGnatt[[#This Row],[Start Date]],AC$27&lt;ProposalToGnatt[[#This Row],[Start Date]]+ProposalToGnatt[[#This Row],[Days]]),$G$5,"")),"")</f>
        <v/>
      </c>
      <c r="AD62" s="36" t="str">
        <f ca="1">IFERROR(+IF(AD$27=ProposalToGnatt[[#This Row],[Start Date]],Milestone_Marker,IF(AND(AD$27&gt;ProposalToGnatt[[#This Row],[Start Date]],AD$27&lt;ProposalToGnatt[[#This Row],[Start Date]]+ProposalToGnatt[[#This Row],[Days]]),$G$5,"")),"")</f>
        <v/>
      </c>
      <c r="AE62" s="36" t="str">
        <f ca="1">IFERROR(+IF(AE$27=ProposalToGnatt[[#This Row],[Start Date]],Milestone_Marker,IF(AND(AE$27&gt;ProposalToGnatt[[#This Row],[Start Date]],AE$27&lt;ProposalToGnatt[[#This Row],[Start Date]]+ProposalToGnatt[[#This Row],[Days]]),$G$5,"")),"")</f>
        <v/>
      </c>
      <c r="AF62" s="36" t="str">
        <f ca="1">IFERROR(+IF(AF$27=ProposalToGnatt[[#This Row],[Start Date]],Milestone_Marker,IF(AND(AF$27&gt;ProposalToGnatt[[#This Row],[Start Date]],AF$27&lt;ProposalToGnatt[[#This Row],[Start Date]]+ProposalToGnatt[[#This Row],[Days]]),$G$5,"")),"")</f>
        <v/>
      </c>
      <c r="AG62" s="36" t="str">
        <f ca="1">IFERROR(+IF(AG$27=ProposalToGnatt[[#This Row],[Start Date]],Milestone_Marker,IF(AND(AG$27&gt;ProposalToGnatt[[#This Row],[Start Date]],AG$27&lt;ProposalToGnatt[[#This Row],[Start Date]]+ProposalToGnatt[[#This Row],[Days]]),$G$5,"")),"")</f>
        <v/>
      </c>
      <c r="AH62" s="36" t="str">
        <f ca="1">IFERROR(+IF(AH$27=ProposalToGnatt[[#This Row],[Start Date]],Milestone_Marker,IF(AND(AH$27&gt;ProposalToGnatt[[#This Row],[Start Date]],AH$27&lt;ProposalToGnatt[[#This Row],[Start Date]]+ProposalToGnatt[[#This Row],[Days]]),$G$5,"")),"")</f>
        <v/>
      </c>
      <c r="AI62" s="36" t="str">
        <f ca="1">IFERROR(+IF(AI$27=ProposalToGnatt[[#This Row],[Start Date]],Milestone_Marker,IF(AND(AI$27&gt;ProposalToGnatt[[#This Row],[Start Date]],AI$27&lt;ProposalToGnatt[[#This Row],[Start Date]]+ProposalToGnatt[[#This Row],[Days]]),$G$5,"")),"")</f>
        <v/>
      </c>
      <c r="AJ62" s="36" t="str">
        <f ca="1">IFERROR(+IF(AJ$27=ProposalToGnatt[[#This Row],[Start Date]],Milestone_Marker,IF(AND(AJ$27&gt;ProposalToGnatt[[#This Row],[Start Date]],AJ$27&lt;ProposalToGnatt[[#This Row],[Start Date]]+ProposalToGnatt[[#This Row],[Days]]),$G$5,"")),"")</f>
        <v/>
      </c>
      <c r="AK62" s="36" t="str">
        <f ca="1">IFERROR(+IF(AK$27=ProposalToGnatt[[#This Row],[Start Date]],Milestone_Marker,IF(AND(AK$27&gt;ProposalToGnatt[[#This Row],[Start Date]],AK$27&lt;ProposalToGnatt[[#This Row],[Start Date]]+ProposalToGnatt[[#This Row],[Days]]),$G$5,"")),"")</f>
        <v/>
      </c>
      <c r="AL62" s="36" t="str">
        <f ca="1">IFERROR(+IF(AL$27=ProposalToGnatt[[#This Row],[Start Date]],Milestone_Marker,IF(AND(AL$27&gt;ProposalToGnatt[[#This Row],[Start Date]],AL$27&lt;ProposalToGnatt[[#This Row],[Start Date]]+ProposalToGnatt[[#This Row],[Days]]),$G$5,"")),"")</f>
        <v/>
      </c>
      <c r="AM62" s="36" t="str">
        <f ca="1">IFERROR(+IF(AM$27=ProposalToGnatt[[#This Row],[Start Date]],Milestone_Marker,IF(AND(AM$27&gt;ProposalToGnatt[[#This Row],[Start Date]],AM$27&lt;ProposalToGnatt[[#This Row],[Start Date]]+ProposalToGnatt[[#This Row],[Days]]),$G$5,"")),"")</f>
        <v/>
      </c>
      <c r="AN62" s="36" t="str">
        <f ca="1">IFERROR(+IF(AN$27=ProposalToGnatt[[#This Row],[Start Date]],Milestone_Marker,IF(AND(AN$27&gt;ProposalToGnatt[[#This Row],[Start Date]],AN$27&lt;ProposalToGnatt[[#This Row],[Start Date]]+ProposalToGnatt[[#This Row],[Days]]),$G$5,"")),"")</f>
        <v/>
      </c>
      <c r="AO62" s="36" t="str">
        <f ca="1">IFERROR(+IF(AO$27=ProposalToGnatt[[#This Row],[Start Date]],Milestone_Marker,IF(AND(AO$27&gt;ProposalToGnatt[[#This Row],[Start Date]],AO$27&lt;ProposalToGnatt[[#This Row],[Start Date]]+ProposalToGnatt[[#This Row],[Days]]),$G$5,"")),"")</f>
        <v/>
      </c>
      <c r="AP62" s="36" t="str">
        <f ca="1">IFERROR(+IF(AP$27=ProposalToGnatt[[#This Row],[Start Date]],Milestone_Marker,IF(AND(AP$27&gt;ProposalToGnatt[[#This Row],[Start Date]],AP$27&lt;ProposalToGnatt[[#This Row],[Start Date]]+ProposalToGnatt[[#This Row],[Days]]),$G$5,"")),"")</f>
        <v/>
      </c>
      <c r="AQ62" s="36" t="str">
        <f ca="1">IFERROR(+IF(AQ$27=ProposalToGnatt[[#This Row],[Start Date]],Milestone_Marker,IF(AND(AQ$27&gt;ProposalToGnatt[[#This Row],[Start Date]],AQ$27&lt;ProposalToGnatt[[#This Row],[Start Date]]+ProposalToGnatt[[#This Row],[Days]]),$G$5,"")),"")</f>
        <v/>
      </c>
      <c r="AR62" s="36" t="str">
        <f ca="1">IFERROR(+IF(AR$27=ProposalToGnatt[[#This Row],[Start Date]],Milestone_Marker,IF(AND(AR$27&gt;ProposalToGnatt[[#This Row],[Start Date]],AR$27&lt;ProposalToGnatt[[#This Row],[Start Date]]+ProposalToGnatt[[#This Row],[Days]]),$G$5,"")),"")</f>
        <v/>
      </c>
      <c r="AS62" s="36" t="str">
        <f ca="1">IFERROR(+IF(AS$27=ProposalToGnatt[[#This Row],[Start Date]],Milestone_Marker,IF(AND(AS$27&gt;ProposalToGnatt[[#This Row],[Start Date]],AS$27&lt;ProposalToGnatt[[#This Row],[Start Date]]+ProposalToGnatt[[#This Row],[Days]]),$G$5,"")),"")</f>
        <v/>
      </c>
      <c r="AT62" s="36" t="str">
        <f ca="1">IFERROR(+IF(AT$27=ProposalToGnatt[[#This Row],[Start Date]],Milestone_Marker,IF(AND(AT$27&gt;ProposalToGnatt[[#This Row],[Start Date]],AT$27&lt;ProposalToGnatt[[#This Row],[Start Date]]+ProposalToGnatt[[#This Row],[Days]]),$G$5,"")),"")</f>
        <v/>
      </c>
      <c r="AU62" s="36" t="str">
        <f ca="1">IFERROR(+IF(AU$27=ProposalToGnatt[[#This Row],[Start Date]],Milestone_Marker,IF(AND(AU$27&gt;ProposalToGnatt[[#This Row],[Start Date]],AU$27&lt;ProposalToGnatt[[#This Row],[Start Date]]+ProposalToGnatt[[#This Row],[Days]]),$G$5,"")),"")</f>
        <v/>
      </c>
      <c r="AV62" s="36" t="str">
        <f ca="1">IFERROR(+IF(AV$27=ProposalToGnatt[[#This Row],[Start Date]],Milestone_Marker,IF(AND(AV$27&gt;ProposalToGnatt[[#This Row],[Start Date]],AV$27&lt;ProposalToGnatt[[#This Row],[Start Date]]+ProposalToGnatt[[#This Row],[Days]]),$G$5,"")),"")</f>
        <v/>
      </c>
      <c r="AW62" s="36" t="str">
        <f ca="1">IFERROR(+IF(AW$27=ProposalToGnatt[[#This Row],[Start Date]],Milestone_Marker,IF(AND(AW$27&gt;ProposalToGnatt[[#This Row],[Start Date]],AW$27&lt;ProposalToGnatt[[#This Row],[Start Date]]+ProposalToGnatt[[#This Row],[Days]]),$G$5,"")),"")</f>
        <v/>
      </c>
      <c r="AX62" s="36" t="str">
        <f ca="1">IFERROR(+IF(AX$27=ProposalToGnatt[[#This Row],[Start Date]],Milestone_Marker,IF(AND(AX$27&gt;ProposalToGnatt[[#This Row],[Start Date]],AX$27&lt;ProposalToGnatt[[#This Row],[Start Date]]+ProposalToGnatt[[#This Row],[Days]]),$G$5,"")),"")</f>
        <v/>
      </c>
      <c r="AY62" s="36" t="str">
        <f ca="1">IFERROR(+IF(AY$27=ProposalToGnatt[[#This Row],[Start Date]],Milestone_Marker,IF(AND(AY$27&gt;ProposalToGnatt[[#This Row],[Start Date]],AY$27&lt;ProposalToGnatt[[#This Row],[Start Date]]+ProposalToGnatt[[#This Row],[Days]]),$G$5,"")),"")</f>
        <v/>
      </c>
      <c r="AZ62" s="36" t="str">
        <f ca="1">IFERROR(+IF(AZ$27=ProposalToGnatt[[#This Row],[Start Date]],Milestone_Marker,IF(AND(AZ$27&gt;ProposalToGnatt[[#This Row],[Start Date]],AZ$27&lt;ProposalToGnatt[[#This Row],[Start Date]]+ProposalToGnatt[[#This Row],[Days]]),$G$5,"")),"")</f>
        <v/>
      </c>
      <c r="BA62" s="36" t="str">
        <f ca="1">IFERROR(+IF(BA$27=ProposalToGnatt[[#This Row],[Start Date]],Milestone_Marker,IF(AND(BA$27&gt;ProposalToGnatt[[#This Row],[Start Date]],BA$27&lt;ProposalToGnatt[[#This Row],[Start Date]]+ProposalToGnatt[[#This Row],[Days]]),$G$5,"")),"")</f>
        <v/>
      </c>
      <c r="BB62" s="36" t="str">
        <f ca="1">IFERROR(+IF(BB$27=ProposalToGnatt[[#This Row],[Start Date]],Milestone_Marker,IF(AND(BB$27&gt;ProposalToGnatt[[#This Row],[Start Date]],BB$27&lt;ProposalToGnatt[[#This Row],[Start Date]]+ProposalToGnatt[[#This Row],[Days]]),$G$5,"")),"")</f>
        <v/>
      </c>
      <c r="BC62" s="36" t="str">
        <f ca="1">IFERROR(+IF(BC$27=ProposalToGnatt[[#This Row],[Start Date]],Milestone_Marker,IF(AND(BC$27&gt;ProposalToGnatt[[#This Row],[Start Date]],BC$27&lt;ProposalToGnatt[[#This Row],[Start Date]]+ProposalToGnatt[[#This Row],[Days]]),$G$5,"")),"")</f>
        <v/>
      </c>
      <c r="BD62" s="36" t="str">
        <f ca="1">IFERROR(+IF(BD$27=ProposalToGnatt[[#This Row],[Start Date]],Milestone_Marker,IF(AND(BD$27&gt;ProposalToGnatt[[#This Row],[Start Date]],BD$27&lt;ProposalToGnatt[[#This Row],[Start Date]]+ProposalToGnatt[[#This Row],[Days]]),$G$5,"")),"")</f>
        <v/>
      </c>
      <c r="BE62" s="36" t="str">
        <f ca="1">IFERROR(+IF(BE$27=ProposalToGnatt[[#This Row],[Start Date]],Milestone_Marker,IF(AND(BE$27&gt;ProposalToGnatt[[#This Row],[Start Date]],BE$27&lt;ProposalToGnatt[[#This Row],[Start Date]]+ProposalToGnatt[[#This Row],[Days]]),$G$5,"")),"")</f>
        <v/>
      </c>
      <c r="BF62" s="36" t="str">
        <f ca="1">IFERROR(+IF(BF$27=ProposalToGnatt[[#This Row],[Start Date]],Milestone_Marker,IF(AND(BF$27&gt;ProposalToGnatt[[#This Row],[Start Date]],BF$27&lt;ProposalToGnatt[[#This Row],[Start Date]]+ProposalToGnatt[[#This Row],[Days]]),$G$5,"")),"")</f>
        <v/>
      </c>
      <c r="BG62" s="36" t="str">
        <f ca="1">IFERROR(+IF(BG$27=ProposalToGnatt[[#This Row],[Start Date]],Milestone_Marker,IF(AND(BG$27&gt;ProposalToGnatt[[#This Row],[Start Date]],BG$27&lt;ProposalToGnatt[[#This Row],[Start Date]]+ProposalToGnatt[[#This Row],[Days]]),$G$5,"")),"")</f>
        <v/>
      </c>
      <c r="BH62" s="36" t="str">
        <f ca="1">IFERROR(+IF(BH$27=ProposalToGnatt[[#This Row],[Start Date]],Milestone_Marker,IF(AND(BH$27&gt;ProposalToGnatt[[#This Row],[Start Date]],BH$27&lt;ProposalToGnatt[[#This Row],[Start Date]]+ProposalToGnatt[[#This Row],[Days]]),$G$5,"")),"")</f>
        <v/>
      </c>
      <c r="BI62" s="36" t="str">
        <f ca="1">IFERROR(+IF(BI$27=ProposalToGnatt[[#This Row],[Start Date]],Milestone_Marker,IF(AND(BI$27&gt;ProposalToGnatt[[#This Row],[Start Date]],BI$27&lt;ProposalToGnatt[[#This Row],[Start Date]]+ProposalToGnatt[[#This Row],[Days]]),$G$5,"")),"")</f>
        <v/>
      </c>
      <c r="BJ62" s="36" t="str">
        <f ca="1">IFERROR(+IF(BJ$27=ProposalToGnatt[[#This Row],[Start Date]],Milestone_Marker,IF(AND(BJ$27&gt;ProposalToGnatt[[#This Row],[Start Date]],BJ$27&lt;ProposalToGnatt[[#This Row],[Start Date]]+ProposalToGnatt[[#This Row],[Days]]),$G$5,"")),"")</f>
        <v/>
      </c>
      <c r="BK62" s="36" t="str">
        <f ca="1">IFERROR(+IF(BK$27=ProposalToGnatt[[#This Row],[Start Date]],Milestone_Marker,IF(AND(BK$27&gt;ProposalToGnatt[[#This Row],[Start Date]],BK$27&lt;ProposalToGnatt[[#This Row],[Start Date]]+ProposalToGnatt[[#This Row],[Days]]),$G$5,"")),"")</f>
        <v/>
      </c>
      <c r="BL62" s="36" t="str">
        <f ca="1">IFERROR(+IF(BL$27=ProposalToGnatt[[#This Row],[Start Date]],Milestone_Marker,IF(AND(BL$27&gt;ProposalToGnatt[[#This Row],[Start Date]],BL$27&lt;ProposalToGnatt[[#This Row],[Start Date]]+ProposalToGnatt[[#This Row],[Days]]),$G$5,"")),"")</f>
        <v/>
      </c>
      <c r="BM62" s="36" t="str">
        <f ca="1">IFERROR(+IF(BM$27=ProposalToGnatt[[#This Row],[Start Date]],Milestone_Marker,IF(AND(BM$27&gt;ProposalToGnatt[[#This Row],[Start Date]],BM$27&lt;ProposalToGnatt[[#This Row],[Start Date]]+ProposalToGnatt[[#This Row],[Days]]),$G$5,"")),"")</f>
        <v/>
      </c>
      <c r="BN62" s="36" t="str">
        <f ca="1">IFERROR(+IF(BN$27=ProposalToGnatt[[#This Row],[Start Date]],Milestone_Marker,IF(AND(BN$27&gt;ProposalToGnatt[[#This Row],[Start Date]],BN$27&lt;ProposalToGnatt[[#This Row],[Start Date]]+ProposalToGnatt[[#This Row],[Days]]),$G$5,"")),"")</f>
        <v/>
      </c>
      <c r="BO62" s="36" t="str">
        <f ca="1">IFERROR(+IF(BO$27=ProposalToGnatt[[#This Row],[Start Date]],Milestone_Marker,IF(AND(BO$27&gt;ProposalToGnatt[[#This Row],[Start Date]],BO$27&lt;ProposalToGnatt[[#This Row],[Start Date]]+ProposalToGnatt[[#This Row],[Days]]),$G$5,"")),"")</f>
        <v/>
      </c>
      <c r="BP62" s="36" t="str">
        <f ca="1">IFERROR(+IF(BP$27=ProposalToGnatt[[#This Row],[Start Date]],Milestone_Marker,IF(AND(BP$27&gt;ProposalToGnatt[[#This Row],[Start Date]],BP$27&lt;ProposalToGnatt[[#This Row],[Start Date]]+ProposalToGnatt[[#This Row],[Days]]),$G$5,"")),"")</f>
        <v/>
      </c>
      <c r="BQ62" s="36" t="str">
        <f ca="1">IFERROR(+IF(BQ$27=ProposalToGnatt[[#This Row],[Start Date]],Milestone_Marker,IF(AND(BQ$27&gt;ProposalToGnatt[[#This Row],[Start Date]],BQ$27&lt;ProposalToGnatt[[#This Row],[Start Date]]+ProposalToGnatt[[#This Row],[Days]]),$G$5,"")),"")</f>
        <v/>
      </c>
      <c r="BR62" s="36" t="str">
        <f ca="1">IFERROR(+IF(BR$27=ProposalToGnatt[[#This Row],[Start Date]],Milestone_Marker,IF(AND(BR$27&gt;ProposalToGnatt[[#This Row],[Start Date]],BR$27&lt;ProposalToGnatt[[#This Row],[Start Date]]+ProposalToGnatt[[#This Row],[Days]]),$G$5,"")),"")</f>
        <v/>
      </c>
      <c r="BS62" s="36" t="str">
        <f ca="1">IFERROR(+IF(BS$27=ProposalToGnatt[[#This Row],[Start Date]],Milestone_Marker,IF(AND(BS$27&gt;ProposalToGnatt[[#This Row],[Start Date]],BS$27&lt;ProposalToGnatt[[#This Row],[Start Date]]+ProposalToGnatt[[#This Row],[Days]]),$G$5,"")),"")</f>
        <v/>
      </c>
      <c r="BT62" s="36" t="str">
        <f ca="1">IFERROR(+IF(BT$27=ProposalToGnatt[[#This Row],[Start Date]],Milestone_Marker,IF(AND(BT$27&gt;ProposalToGnatt[[#This Row],[Start Date]],BT$27&lt;ProposalToGnatt[[#This Row],[Start Date]]+ProposalToGnatt[[#This Row],[Days]]),$G$5,"")),"")</f>
        <v/>
      </c>
      <c r="BU62" s="36" t="str">
        <f ca="1">IFERROR(+IF(BU$27=ProposalToGnatt[[#This Row],[Start Date]],Milestone_Marker,IF(AND(BU$27&gt;ProposalToGnatt[[#This Row],[Start Date]],BU$27&lt;ProposalToGnatt[[#This Row],[Start Date]]+ProposalToGnatt[[#This Row],[Days]]),$G$5,"")),"")</f>
        <v/>
      </c>
      <c r="BV62" s="36" t="str">
        <f ca="1">IFERROR(+IF(BV$27=ProposalToGnatt[[#This Row],[Start Date]],Milestone_Marker,IF(AND(BV$27&gt;ProposalToGnatt[[#This Row],[Start Date]],BV$27&lt;ProposalToGnatt[[#This Row],[Start Date]]+ProposalToGnatt[[#This Row],[Days]]),$G$5,"")),"")</f>
        <v/>
      </c>
      <c r="BW62" s="36" t="str">
        <f ca="1">IFERROR(+IF(BW$27=ProposalToGnatt[[#This Row],[Start Date]],Milestone_Marker,IF(AND(BW$27&gt;ProposalToGnatt[[#This Row],[Start Date]],BW$27&lt;ProposalToGnatt[[#This Row],[Start Date]]+ProposalToGnatt[[#This Row],[Days]]),$G$5,"")),"")</f>
        <v/>
      </c>
      <c r="BX62" s="36" t="str">
        <f ca="1">IFERROR(+IF(BX$27=ProposalToGnatt[[#This Row],[Start Date]],Milestone_Marker,IF(AND(BX$27&gt;ProposalToGnatt[[#This Row],[Start Date]],BX$27&lt;ProposalToGnatt[[#This Row],[Start Date]]+ProposalToGnatt[[#This Row],[Days]]),$G$5,"")),"")</f>
        <v/>
      </c>
      <c r="BY62" s="36" t="str">
        <f ca="1">IFERROR(+IF(BY$27=ProposalToGnatt[[#This Row],[Start Date]],Milestone_Marker,IF(AND(BY$27&gt;ProposalToGnatt[[#This Row],[Start Date]],BY$27&lt;ProposalToGnatt[[#This Row],[Start Date]]+ProposalToGnatt[[#This Row],[Days]]),$G$5,"")),"")</f>
        <v/>
      </c>
      <c r="BZ62" s="36" t="str">
        <f ca="1">IFERROR(+IF(BZ$27=ProposalToGnatt[[#This Row],[Start Date]],Milestone_Marker,IF(AND(BZ$27&gt;ProposalToGnatt[[#This Row],[Start Date]],BZ$27&lt;ProposalToGnatt[[#This Row],[Start Date]]+ProposalToGnatt[[#This Row],[Days]]),$G$5,"")),"")</f>
        <v/>
      </c>
      <c r="CA62" s="36" t="str">
        <f ca="1">IFERROR(+IF(CA$27=ProposalToGnatt[[#This Row],[Start Date]],Milestone_Marker,IF(AND(CA$27&gt;ProposalToGnatt[[#This Row],[Start Date]],CA$27&lt;ProposalToGnatt[[#This Row],[Start Date]]+ProposalToGnatt[[#This Row],[Days]]),$G$5,"")),"")</f>
        <v/>
      </c>
      <c r="CB62" s="36" t="str">
        <f ca="1">IFERROR(+IF(CB$27=ProposalToGnatt[[#This Row],[Start Date]],Milestone_Marker,IF(AND(CB$27&gt;ProposalToGnatt[[#This Row],[Start Date]],CB$27&lt;ProposalToGnatt[[#This Row],[Start Date]]+ProposalToGnatt[[#This Row],[Days]]),$G$5,"")),"")</f>
        <v/>
      </c>
      <c r="CC62" s="36" t="str">
        <f ca="1">IFERROR(+IF(CC$27=ProposalToGnatt[[#This Row],[Start Date]],Milestone_Marker,IF(AND(CC$27&gt;ProposalToGnatt[[#This Row],[Start Date]],CC$27&lt;ProposalToGnatt[[#This Row],[Start Date]]+ProposalToGnatt[[#This Row],[Days]]),$G$5,"")),"")</f>
        <v/>
      </c>
      <c r="CD62" s="36" t="str">
        <f ca="1">IFERROR(+IF(CD$27=ProposalToGnatt[[#This Row],[Start Date]],Milestone_Marker,IF(AND(CD$27&gt;ProposalToGnatt[[#This Row],[Start Date]],CD$27&lt;ProposalToGnatt[[#This Row],[Start Date]]+ProposalToGnatt[[#This Row],[Days]]),$G$5,"")),"")</f>
        <v/>
      </c>
      <c r="CE62" s="36" t="str">
        <f ca="1">IFERROR(+IF(CE$27=ProposalToGnatt[[#This Row],[Start Date]],Milestone_Marker,IF(AND(CE$27&gt;ProposalToGnatt[[#This Row],[Start Date]],CE$27&lt;ProposalToGnatt[[#This Row],[Start Date]]+ProposalToGnatt[[#This Row],[Days]]),$G$5,"")),"")</f>
        <v/>
      </c>
      <c r="CF62" s="36" t="str">
        <f ca="1">IFERROR(+IF(CF$27=ProposalToGnatt[[#This Row],[Start Date]],Milestone_Marker,IF(AND(CF$27&gt;ProposalToGnatt[[#This Row],[Start Date]],CF$27&lt;ProposalToGnatt[[#This Row],[Start Date]]+ProposalToGnatt[[#This Row],[Days]]),$G$5,"")),"")</f>
        <v/>
      </c>
      <c r="CG62" s="36" t="str">
        <f ca="1">IFERROR(+IF(CG$27=ProposalToGnatt[[#This Row],[Start Date]],Milestone_Marker,IF(AND(CG$27&gt;ProposalToGnatt[[#This Row],[Start Date]],CG$27&lt;ProposalToGnatt[[#This Row],[Start Date]]+ProposalToGnatt[[#This Row],[Days]]),$G$5,"")),"")</f>
        <v/>
      </c>
      <c r="CH62" s="36" t="str">
        <f ca="1">IFERROR(+IF(CH$27=ProposalToGnatt[[#This Row],[Start Date]],Milestone_Marker,IF(AND(CH$27&gt;ProposalToGnatt[[#This Row],[Start Date]],CH$27&lt;ProposalToGnatt[[#This Row],[Start Date]]+ProposalToGnatt[[#This Row],[Days]]),$G$5,"")),"")</f>
        <v/>
      </c>
      <c r="CI62" s="36" t="str">
        <f ca="1">IFERROR(+IF(CI$27=ProposalToGnatt[[#This Row],[Start Date]],Milestone_Marker,IF(AND(CI$27&gt;ProposalToGnatt[[#This Row],[Start Date]],CI$27&lt;ProposalToGnatt[[#This Row],[Start Date]]+ProposalToGnatt[[#This Row],[Days]]),$G$5,"")),"")</f>
        <v/>
      </c>
      <c r="CJ62" s="36" t="str">
        <f ca="1">IFERROR(+IF(CJ$27=ProposalToGnatt[[#This Row],[Start Date]],Milestone_Marker,IF(AND(CJ$27&gt;ProposalToGnatt[[#This Row],[Start Date]],CJ$27&lt;ProposalToGnatt[[#This Row],[Start Date]]+ProposalToGnatt[[#This Row],[Days]]),$G$5,"")),"")</f>
        <v/>
      </c>
      <c r="CK62" s="36" t="str">
        <f ca="1">IFERROR(+IF(CK$27=ProposalToGnatt[[#This Row],[Start Date]],Milestone_Marker,IF(AND(CK$27&gt;ProposalToGnatt[[#This Row],[Start Date]],CK$27&lt;ProposalToGnatt[[#This Row],[Start Date]]+ProposalToGnatt[[#This Row],[Days]]),$G$5,"")),"")</f>
        <v/>
      </c>
      <c r="CL62" s="36" t="str">
        <f ca="1">IFERROR(+IF(CL$27=ProposalToGnatt[[#This Row],[Start Date]],Milestone_Marker,IF(AND(CL$27&gt;ProposalToGnatt[[#This Row],[Start Date]],CL$27&lt;ProposalToGnatt[[#This Row],[Start Date]]+ProposalToGnatt[[#This Row],[Days]]),$G$5,"")),"")</f>
        <v/>
      </c>
      <c r="CM62" s="36" t="str">
        <f ca="1">IFERROR(+IF(CM$27=ProposalToGnatt[[#This Row],[Start Date]],Milestone_Marker,IF(AND(CM$27&gt;ProposalToGnatt[[#This Row],[Start Date]],CM$27&lt;ProposalToGnatt[[#This Row],[Start Date]]+ProposalToGnatt[[#This Row],[Days]]),$G$5,"")),"")</f>
        <v/>
      </c>
      <c r="CN62" s="36" t="str">
        <f ca="1">IFERROR(+IF(CN$27=ProposalToGnatt[[#This Row],[Start Date]],Milestone_Marker,IF(AND(CN$27&gt;ProposalToGnatt[[#This Row],[Start Date]],CN$27&lt;ProposalToGnatt[[#This Row],[Start Date]]+ProposalToGnatt[[#This Row],[Days]]),$G$5,"")),"")</f>
        <v/>
      </c>
      <c r="CO62" s="36" t="str">
        <f ca="1">IFERROR(+IF(CO$27=ProposalToGnatt[[#This Row],[Start Date]],Milestone_Marker,IF(AND(CO$27&gt;ProposalToGnatt[[#This Row],[Start Date]],CO$27&lt;ProposalToGnatt[[#This Row],[Start Date]]+ProposalToGnatt[[#This Row],[Days]]),$G$5,"")),"")</f>
        <v/>
      </c>
      <c r="CP62" s="36" t="str">
        <f ca="1">IFERROR(+IF(CP$27=ProposalToGnatt[[#This Row],[Start Date]],Milestone_Marker,IF(AND(CP$27&gt;ProposalToGnatt[[#This Row],[Start Date]],CP$27&lt;ProposalToGnatt[[#This Row],[Start Date]]+ProposalToGnatt[[#This Row],[Days]]),$G$5,"")),"")</f>
        <v/>
      </c>
      <c r="CQ62" s="36" t="str">
        <f ca="1">IFERROR(+IF(CQ$27=ProposalToGnatt[[#This Row],[Start Date]],Milestone_Marker,IF(AND(CQ$27&gt;ProposalToGnatt[[#This Row],[Start Date]],CQ$27&lt;ProposalToGnatt[[#This Row],[Start Date]]+ProposalToGnatt[[#This Row],[Days]]),$G$5,"")),"")</f>
        <v/>
      </c>
      <c r="CR62" s="36" t="str">
        <f ca="1">IFERROR(+IF(CR$27=ProposalToGnatt[[#This Row],[Start Date]],Milestone_Marker,IF(AND(CR$27&gt;ProposalToGnatt[[#This Row],[Start Date]],CR$27&lt;ProposalToGnatt[[#This Row],[Start Date]]+ProposalToGnatt[[#This Row],[Days]]),$G$5,"")),"")</f>
        <v/>
      </c>
      <c r="CS62" s="36" t="str">
        <f ca="1">IFERROR(+IF(CS$27=ProposalToGnatt[[#This Row],[Start Date]],Milestone_Marker,IF(AND(CS$27&gt;ProposalToGnatt[[#This Row],[Start Date]],CS$27&lt;ProposalToGnatt[[#This Row],[Start Date]]+ProposalToGnatt[[#This Row],[Days]]),$G$5,"")),"")</f>
        <v/>
      </c>
      <c r="CT62" s="36" t="str">
        <f ca="1">IFERROR(+IF(CT$27=ProposalToGnatt[[#This Row],[Start Date]],Milestone_Marker,IF(AND(CT$27&gt;ProposalToGnatt[[#This Row],[Start Date]],CT$27&lt;ProposalToGnatt[[#This Row],[Start Date]]+ProposalToGnatt[[#This Row],[Days]]),$G$5,"")),"")</f>
        <v/>
      </c>
      <c r="CU62" s="36" t="str">
        <f ca="1">IFERROR(+IF(CU$27=ProposalToGnatt[[#This Row],[Start Date]],Milestone_Marker,IF(AND(CU$27&gt;ProposalToGnatt[[#This Row],[Start Date]],CU$27&lt;ProposalToGnatt[[#This Row],[Start Date]]+ProposalToGnatt[[#This Row],[Days]]),$G$5,"")),"")</f>
        <v/>
      </c>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row>
    <row r="63" spans="1:125" s="41" customFormat="1" ht="15" x14ac:dyDescent="0.25">
      <c r="A63"/>
      <c r="B63"/>
      <c r="C63"/>
      <c r="D63"/>
      <c r="E63"/>
      <c r="F63"/>
      <c r="G63" s="14"/>
      <c r="H63" s="14"/>
      <c r="I63"/>
      <c r="J63"/>
      <c r="K63" s="261"/>
      <c r="L63"/>
      <c r="M63" s="14"/>
      <c r="N63" s="309"/>
      <c r="O63" s="297"/>
      <c r="P63" s="36" t="str">
        <f ca="1">IFERROR(+IF(P$27=ProposalToGnatt[[#This Row],[Start Date]],Milestone_Marker,IF(AND(P$27&gt;ProposalToGnatt[[#This Row],[Start Date]],P$27&lt;ProposalToGnatt[[#This Row],[Start Date]]+ProposalToGnatt[[#This Row],[Days]]),$G$5,"")),"")</f>
        <v/>
      </c>
      <c r="Q63" s="36" t="str">
        <f ca="1">IFERROR(+IF(Q$27=ProposalToGnatt[[#This Row],[Start Date]],Milestone_Marker,IF(AND(Q$27&gt;ProposalToGnatt[[#This Row],[Start Date]],Q$27&lt;ProposalToGnatt[[#This Row],[Start Date]]+ProposalToGnatt[[#This Row],[Days]]),$G$5,"")),"")</f>
        <v/>
      </c>
      <c r="R63" s="36" t="str">
        <f ca="1">IFERROR(+IF(R$27=ProposalToGnatt[[#This Row],[Start Date]],Milestone_Marker,IF(AND(R$27&gt;ProposalToGnatt[[#This Row],[Start Date]],R$27&lt;ProposalToGnatt[[#This Row],[Start Date]]+ProposalToGnatt[[#This Row],[Days]]),$G$5,"")),"")</f>
        <v/>
      </c>
      <c r="S63" s="36" t="str">
        <f ca="1">IFERROR(+IF(S$27=ProposalToGnatt[[#This Row],[Start Date]],Milestone_Marker,IF(AND(S$27&gt;ProposalToGnatt[[#This Row],[Start Date]],S$27&lt;ProposalToGnatt[[#This Row],[Start Date]]+ProposalToGnatt[[#This Row],[Days]]),$G$5,"")),"")</f>
        <v/>
      </c>
      <c r="T63" s="36" t="str">
        <f ca="1">IFERROR(+IF(T$27=ProposalToGnatt[[#This Row],[Start Date]],Milestone_Marker,IF(AND(T$27&gt;ProposalToGnatt[[#This Row],[Start Date]],T$27&lt;ProposalToGnatt[[#This Row],[Start Date]]+ProposalToGnatt[[#This Row],[Days]]),$G$5,"")),"")</f>
        <v/>
      </c>
      <c r="U63" s="36" t="str">
        <f ca="1">IFERROR(+IF(U$27=ProposalToGnatt[[#This Row],[Start Date]],Milestone_Marker,IF(AND(U$27&gt;ProposalToGnatt[[#This Row],[Start Date]],U$27&lt;ProposalToGnatt[[#This Row],[Start Date]]+ProposalToGnatt[[#This Row],[Days]]),$G$5,"")),"")</f>
        <v/>
      </c>
      <c r="V63" s="36" t="str">
        <f ca="1">IFERROR(+IF(V$27=ProposalToGnatt[[#This Row],[Start Date]],Milestone_Marker,IF(AND(V$27&gt;ProposalToGnatt[[#This Row],[Start Date]],V$27&lt;ProposalToGnatt[[#This Row],[Start Date]]+ProposalToGnatt[[#This Row],[Days]]),$G$5,"")),"")</f>
        <v/>
      </c>
      <c r="W63" s="36" t="str">
        <f ca="1">IFERROR(+IF(W$27=ProposalToGnatt[[#This Row],[Start Date]],Milestone_Marker,IF(AND(W$27&gt;ProposalToGnatt[[#This Row],[Start Date]],W$27&lt;ProposalToGnatt[[#This Row],[Start Date]]+ProposalToGnatt[[#This Row],[Days]]),$G$5,"")),"")</f>
        <v/>
      </c>
      <c r="X63" s="36" t="str">
        <f ca="1">IFERROR(+IF(X$27=ProposalToGnatt[[#This Row],[Start Date]],Milestone_Marker,IF(AND(X$27&gt;ProposalToGnatt[[#This Row],[Start Date]],X$27&lt;ProposalToGnatt[[#This Row],[Start Date]]+ProposalToGnatt[[#This Row],[Days]]),$G$5,"")),"")</f>
        <v/>
      </c>
      <c r="Y63" s="36" t="str">
        <f ca="1">IFERROR(+IF(Y$27=ProposalToGnatt[[#This Row],[Start Date]],Milestone_Marker,IF(AND(Y$27&gt;ProposalToGnatt[[#This Row],[Start Date]],Y$27&lt;ProposalToGnatt[[#This Row],[Start Date]]+ProposalToGnatt[[#This Row],[Days]]),$G$5,"")),"")</f>
        <v/>
      </c>
      <c r="Z63" s="36" t="str">
        <f ca="1">IFERROR(+IF(Z$27=ProposalToGnatt[[#This Row],[Start Date]],Milestone_Marker,IF(AND(Z$27&gt;ProposalToGnatt[[#This Row],[Start Date]],Z$27&lt;ProposalToGnatt[[#This Row],[Start Date]]+ProposalToGnatt[[#This Row],[Days]]),$G$5,"")),"")</f>
        <v/>
      </c>
      <c r="AA63" s="36" t="str">
        <f ca="1">IFERROR(+IF(AA$27=ProposalToGnatt[[#This Row],[Start Date]],Milestone_Marker,IF(AND(AA$27&gt;ProposalToGnatt[[#This Row],[Start Date]],AA$27&lt;ProposalToGnatt[[#This Row],[Start Date]]+ProposalToGnatt[[#This Row],[Days]]),$G$5,"")),"")</f>
        <v/>
      </c>
      <c r="AB63" s="36" t="str">
        <f ca="1">IFERROR(+IF(AB$27=ProposalToGnatt[[#This Row],[Start Date]],Milestone_Marker,IF(AND(AB$27&gt;ProposalToGnatt[[#This Row],[Start Date]],AB$27&lt;ProposalToGnatt[[#This Row],[Start Date]]+ProposalToGnatt[[#This Row],[Days]]),$G$5,"")),"")</f>
        <v/>
      </c>
      <c r="AC63" s="36" t="str">
        <f ca="1">IFERROR(+IF(AC$27=ProposalToGnatt[[#This Row],[Start Date]],Milestone_Marker,IF(AND(AC$27&gt;ProposalToGnatt[[#This Row],[Start Date]],AC$27&lt;ProposalToGnatt[[#This Row],[Start Date]]+ProposalToGnatt[[#This Row],[Days]]),$G$5,"")),"")</f>
        <v/>
      </c>
      <c r="AD63" s="36" t="str">
        <f ca="1">IFERROR(+IF(AD$27=ProposalToGnatt[[#This Row],[Start Date]],Milestone_Marker,IF(AND(AD$27&gt;ProposalToGnatt[[#This Row],[Start Date]],AD$27&lt;ProposalToGnatt[[#This Row],[Start Date]]+ProposalToGnatt[[#This Row],[Days]]),$G$5,"")),"")</f>
        <v/>
      </c>
      <c r="AE63" s="36" t="str">
        <f ca="1">IFERROR(+IF(AE$27=ProposalToGnatt[[#This Row],[Start Date]],Milestone_Marker,IF(AND(AE$27&gt;ProposalToGnatt[[#This Row],[Start Date]],AE$27&lt;ProposalToGnatt[[#This Row],[Start Date]]+ProposalToGnatt[[#This Row],[Days]]),$G$5,"")),"")</f>
        <v/>
      </c>
      <c r="AF63" s="36" t="str">
        <f ca="1">IFERROR(+IF(AF$27=ProposalToGnatt[[#This Row],[Start Date]],Milestone_Marker,IF(AND(AF$27&gt;ProposalToGnatt[[#This Row],[Start Date]],AF$27&lt;ProposalToGnatt[[#This Row],[Start Date]]+ProposalToGnatt[[#This Row],[Days]]),$G$5,"")),"")</f>
        <v/>
      </c>
      <c r="AG63" s="36" t="str">
        <f ca="1">IFERROR(+IF(AG$27=ProposalToGnatt[[#This Row],[Start Date]],Milestone_Marker,IF(AND(AG$27&gt;ProposalToGnatt[[#This Row],[Start Date]],AG$27&lt;ProposalToGnatt[[#This Row],[Start Date]]+ProposalToGnatt[[#This Row],[Days]]),$G$5,"")),"")</f>
        <v/>
      </c>
      <c r="AH63" s="36" t="str">
        <f ca="1">IFERROR(+IF(AH$27=ProposalToGnatt[[#This Row],[Start Date]],Milestone_Marker,IF(AND(AH$27&gt;ProposalToGnatt[[#This Row],[Start Date]],AH$27&lt;ProposalToGnatt[[#This Row],[Start Date]]+ProposalToGnatt[[#This Row],[Days]]),$G$5,"")),"")</f>
        <v/>
      </c>
      <c r="AI63" s="36" t="str">
        <f ca="1">IFERROR(+IF(AI$27=ProposalToGnatt[[#This Row],[Start Date]],Milestone_Marker,IF(AND(AI$27&gt;ProposalToGnatt[[#This Row],[Start Date]],AI$27&lt;ProposalToGnatt[[#This Row],[Start Date]]+ProposalToGnatt[[#This Row],[Days]]),$G$5,"")),"")</f>
        <v/>
      </c>
      <c r="AJ63" s="36" t="str">
        <f ca="1">IFERROR(+IF(AJ$27=ProposalToGnatt[[#This Row],[Start Date]],Milestone_Marker,IF(AND(AJ$27&gt;ProposalToGnatt[[#This Row],[Start Date]],AJ$27&lt;ProposalToGnatt[[#This Row],[Start Date]]+ProposalToGnatt[[#This Row],[Days]]),$G$5,"")),"")</f>
        <v/>
      </c>
      <c r="AK63" s="36" t="str">
        <f ca="1">IFERROR(+IF(AK$27=ProposalToGnatt[[#This Row],[Start Date]],Milestone_Marker,IF(AND(AK$27&gt;ProposalToGnatt[[#This Row],[Start Date]],AK$27&lt;ProposalToGnatt[[#This Row],[Start Date]]+ProposalToGnatt[[#This Row],[Days]]),$G$5,"")),"")</f>
        <v/>
      </c>
      <c r="AL63" s="36" t="str">
        <f ca="1">IFERROR(+IF(AL$27=ProposalToGnatt[[#This Row],[Start Date]],Milestone_Marker,IF(AND(AL$27&gt;ProposalToGnatt[[#This Row],[Start Date]],AL$27&lt;ProposalToGnatt[[#This Row],[Start Date]]+ProposalToGnatt[[#This Row],[Days]]),$G$5,"")),"")</f>
        <v/>
      </c>
      <c r="AM63" s="36" t="str">
        <f ca="1">IFERROR(+IF(AM$27=ProposalToGnatt[[#This Row],[Start Date]],Milestone_Marker,IF(AND(AM$27&gt;ProposalToGnatt[[#This Row],[Start Date]],AM$27&lt;ProposalToGnatt[[#This Row],[Start Date]]+ProposalToGnatt[[#This Row],[Days]]),$G$5,"")),"")</f>
        <v/>
      </c>
      <c r="AN63" s="36" t="str">
        <f ca="1">IFERROR(+IF(AN$27=ProposalToGnatt[[#This Row],[Start Date]],Milestone_Marker,IF(AND(AN$27&gt;ProposalToGnatt[[#This Row],[Start Date]],AN$27&lt;ProposalToGnatt[[#This Row],[Start Date]]+ProposalToGnatt[[#This Row],[Days]]),$G$5,"")),"")</f>
        <v/>
      </c>
      <c r="AO63" s="36" t="str">
        <f ca="1">IFERROR(+IF(AO$27=ProposalToGnatt[[#This Row],[Start Date]],Milestone_Marker,IF(AND(AO$27&gt;ProposalToGnatt[[#This Row],[Start Date]],AO$27&lt;ProposalToGnatt[[#This Row],[Start Date]]+ProposalToGnatt[[#This Row],[Days]]),$G$5,"")),"")</f>
        <v/>
      </c>
      <c r="AP63" s="36" t="str">
        <f ca="1">IFERROR(+IF(AP$27=ProposalToGnatt[[#This Row],[Start Date]],Milestone_Marker,IF(AND(AP$27&gt;ProposalToGnatt[[#This Row],[Start Date]],AP$27&lt;ProposalToGnatt[[#This Row],[Start Date]]+ProposalToGnatt[[#This Row],[Days]]),$G$5,"")),"")</f>
        <v/>
      </c>
      <c r="AQ63" s="36" t="str">
        <f ca="1">IFERROR(+IF(AQ$27=ProposalToGnatt[[#This Row],[Start Date]],Milestone_Marker,IF(AND(AQ$27&gt;ProposalToGnatt[[#This Row],[Start Date]],AQ$27&lt;ProposalToGnatt[[#This Row],[Start Date]]+ProposalToGnatt[[#This Row],[Days]]),$G$5,"")),"")</f>
        <v/>
      </c>
      <c r="AR63" s="36" t="str">
        <f ca="1">IFERROR(+IF(AR$27=ProposalToGnatt[[#This Row],[Start Date]],Milestone_Marker,IF(AND(AR$27&gt;ProposalToGnatt[[#This Row],[Start Date]],AR$27&lt;ProposalToGnatt[[#This Row],[Start Date]]+ProposalToGnatt[[#This Row],[Days]]),$G$5,"")),"")</f>
        <v/>
      </c>
      <c r="AS63" s="36" t="str">
        <f ca="1">IFERROR(+IF(AS$27=ProposalToGnatt[[#This Row],[Start Date]],Milestone_Marker,IF(AND(AS$27&gt;ProposalToGnatt[[#This Row],[Start Date]],AS$27&lt;ProposalToGnatt[[#This Row],[Start Date]]+ProposalToGnatt[[#This Row],[Days]]),$G$5,"")),"")</f>
        <v/>
      </c>
      <c r="AT63" s="36" t="str">
        <f ca="1">IFERROR(+IF(AT$27=ProposalToGnatt[[#This Row],[Start Date]],Milestone_Marker,IF(AND(AT$27&gt;ProposalToGnatt[[#This Row],[Start Date]],AT$27&lt;ProposalToGnatt[[#This Row],[Start Date]]+ProposalToGnatt[[#This Row],[Days]]),$G$5,"")),"")</f>
        <v/>
      </c>
      <c r="AU63" s="36" t="str">
        <f ca="1">IFERROR(+IF(AU$27=ProposalToGnatt[[#This Row],[Start Date]],Milestone_Marker,IF(AND(AU$27&gt;ProposalToGnatt[[#This Row],[Start Date]],AU$27&lt;ProposalToGnatt[[#This Row],[Start Date]]+ProposalToGnatt[[#This Row],[Days]]),$G$5,"")),"")</f>
        <v/>
      </c>
      <c r="AV63" s="36" t="str">
        <f ca="1">IFERROR(+IF(AV$27=ProposalToGnatt[[#This Row],[Start Date]],Milestone_Marker,IF(AND(AV$27&gt;ProposalToGnatt[[#This Row],[Start Date]],AV$27&lt;ProposalToGnatt[[#This Row],[Start Date]]+ProposalToGnatt[[#This Row],[Days]]),$G$5,"")),"")</f>
        <v/>
      </c>
      <c r="AW63" s="36" t="str">
        <f ca="1">IFERROR(+IF(AW$27=ProposalToGnatt[[#This Row],[Start Date]],Milestone_Marker,IF(AND(AW$27&gt;ProposalToGnatt[[#This Row],[Start Date]],AW$27&lt;ProposalToGnatt[[#This Row],[Start Date]]+ProposalToGnatt[[#This Row],[Days]]),$G$5,"")),"")</f>
        <v/>
      </c>
      <c r="AX63" s="36" t="str">
        <f ca="1">IFERROR(+IF(AX$27=ProposalToGnatt[[#This Row],[Start Date]],Milestone_Marker,IF(AND(AX$27&gt;ProposalToGnatt[[#This Row],[Start Date]],AX$27&lt;ProposalToGnatt[[#This Row],[Start Date]]+ProposalToGnatt[[#This Row],[Days]]),$G$5,"")),"")</f>
        <v/>
      </c>
      <c r="AY63" s="36" t="str">
        <f ca="1">IFERROR(+IF(AY$27=ProposalToGnatt[[#This Row],[Start Date]],Milestone_Marker,IF(AND(AY$27&gt;ProposalToGnatt[[#This Row],[Start Date]],AY$27&lt;ProposalToGnatt[[#This Row],[Start Date]]+ProposalToGnatt[[#This Row],[Days]]),$G$5,"")),"")</f>
        <v/>
      </c>
      <c r="AZ63" s="36" t="str">
        <f ca="1">IFERROR(+IF(AZ$27=ProposalToGnatt[[#This Row],[Start Date]],Milestone_Marker,IF(AND(AZ$27&gt;ProposalToGnatt[[#This Row],[Start Date]],AZ$27&lt;ProposalToGnatt[[#This Row],[Start Date]]+ProposalToGnatt[[#This Row],[Days]]),$G$5,"")),"")</f>
        <v/>
      </c>
      <c r="BA63" s="36" t="str">
        <f ca="1">IFERROR(+IF(BA$27=ProposalToGnatt[[#This Row],[Start Date]],Milestone_Marker,IF(AND(BA$27&gt;ProposalToGnatt[[#This Row],[Start Date]],BA$27&lt;ProposalToGnatt[[#This Row],[Start Date]]+ProposalToGnatt[[#This Row],[Days]]),$G$5,"")),"")</f>
        <v/>
      </c>
      <c r="BB63" s="36" t="str">
        <f ca="1">IFERROR(+IF(BB$27=ProposalToGnatt[[#This Row],[Start Date]],Milestone_Marker,IF(AND(BB$27&gt;ProposalToGnatt[[#This Row],[Start Date]],BB$27&lt;ProposalToGnatt[[#This Row],[Start Date]]+ProposalToGnatt[[#This Row],[Days]]),$G$5,"")),"")</f>
        <v/>
      </c>
      <c r="BC63" s="36" t="str">
        <f ca="1">IFERROR(+IF(BC$27=ProposalToGnatt[[#This Row],[Start Date]],Milestone_Marker,IF(AND(BC$27&gt;ProposalToGnatt[[#This Row],[Start Date]],BC$27&lt;ProposalToGnatt[[#This Row],[Start Date]]+ProposalToGnatt[[#This Row],[Days]]),$G$5,"")),"")</f>
        <v/>
      </c>
      <c r="BD63" s="36" t="str">
        <f ca="1">IFERROR(+IF(BD$27=ProposalToGnatt[[#This Row],[Start Date]],Milestone_Marker,IF(AND(BD$27&gt;ProposalToGnatt[[#This Row],[Start Date]],BD$27&lt;ProposalToGnatt[[#This Row],[Start Date]]+ProposalToGnatt[[#This Row],[Days]]),$G$5,"")),"")</f>
        <v/>
      </c>
      <c r="BE63" s="36" t="str">
        <f ca="1">IFERROR(+IF(BE$27=ProposalToGnatt[[#This Row],[Start Date]],Milestone_Marker,IF(AND(BE$27&gt;ProposalToGnatt[[#This Row],[Start Date]],BE$27&lt;ProposalToGnatt[[#This Row],[Start Date]]+ProposalToGnatt[[#This Row],[Days]]),$G$5,"")),"")</f>
        <v/>
      </c>
      <c r="BF63" s="36" t="str">
        <f ca="1">IFERROR(+IF(BF$27=ProposalToGnatt[[#This Row],[Start Date]],Milestone_Marker,IF(AND(BF$27&gt;ProposalToGnatt[[#This Row],[Start Date]],BF$27&lt;ProposalToGnatt[[#This Row],[Start Date]]+ProposalToGnatt[[#This Row],[Days]]),$G$5,"")),"")</f>
        <v/>
      </c>
      <c r="BG63" s="36" t="str">
        <f ca="1">IFERROR(+IF(BG$27=ProposalToGnatt[[#This Row],[Start Date]],Milestone_Marker,IF(AND(BG$27&gt;ProposalToGnatt[[#This Row],[Start Date]],BG$27&lt;ProposalToGnatt[[#This Row],[Start Date]]+ProposalToGnatt[[#This Row],[Days]]),$G$5,"")),"")</f>
        <v/>
      </c>
      <c r="BH63" s="36" t="str">
        <f ca="1">IFERROR(+IF(BH$27=ProposalToGnatt[[#This Row],[Start Date]],Milestone_Marker,IF(AND(BH$27&gt;ProposalToGnatt[[#This Row],[Start Date]],BH$27&lt;ProposalToGnatt[[#This Row],[Start Date]]+ProposalToGnatt[[#This Row],[Days]]),$G$5,"")),"")</f>
        <v/>
      </c>
      <c r="BI63" s="36" t="str">
        <f ca="1">IFERROR(+IF(BI$27=ProposalToGnatt[[#This Row],[Start Date]],Milestone_Marker,IF(AND(BI$27&gt;ProposalToGnatt[[#This Row],[Start Date]],BI$27&lt;ProposalToGnatt[[#This Row],[Start Date]]+ProposalToGnatt[[#This Row],[Days]]),$G$5,"")),"")</f>
        <v/>
      </c>
      <c r="BJ63" s="36" t="str">
        <f ca="1">IFERROR(+IF(BJ$27=ProposalToGnatt[[#This Row],[Start Date]],Milestone_Marker,IF(AND(BJ$27&gt;ProposalToGnatt[[#This Row],[Start Date]],BJ$27&lt;ProposalToGnatt[[#This Row],[Start Date]]+ProposalToGnatt[[#This Row],[Days]]),$G$5,"")),"")</f>
        <v/>
      </c>
      <c r="BK63" s="36" t="str">
        <f ca="1">IFERROR(+IF(BK$27=ProposalToGnatt[[#This Row],[Start Date]],Milestone_Marker,IF(AND(BK$27&gt;ProposalToGnatt[[#This Row],[Start Date]],BK$27&lt;ProposalToGnatt[[#This Row],[Start Date]]+ProposalToGnatt[[#This Row],[Days]]),$G$5,"")),"")</f>
        <v/>
      </c>
      <c r="BL63" s="36" t="str">
        <f ca="1">IFERROR(+IF(BL$27=ProposalToGnatt[[#This Row],[Start Date]],Milestone_Marker,IF(AND(BL$27&gt;ProposalToGnatt[[#This Row],[Start Date]],BL$27&lt;ProposalToGnatt[[#This Row],[Start Date]]+ProposalToGnatt[[#This Row],[Days]]),$G$5,"")),"")</f>
        <v/>
      </c>
      <c r="BM63" s="36" t="str">
        <f ca="1">IFERROR(+IF(BM$27=ProposalToGnatt[[#This Row],[Start Date]],Milestone_Marker,IF(AND(BM$27&gt;ProposalToGnatt[[#This Row],[Start Date]],BM$27&lt;ProposalToGnatt[[#This Row],[Start Date]]+ProposalToGnatt[[#This Row],[Days]]),$G$5,"")),"")</f>
        <v/>
      </c>
      <c r="BN63" s="36" t="str">
        <f ca="1">IFERROR(+IF(BN$27=ProposalToGnatt[[#This Row],[Start Date]],Milestone_Marker,IF(AND(BN$27&gt;ProposalToGnatt[[#This Row],[Start Date]],BN$27&lt;ProposalToGnatt[[#This Row],[Start Date]]+ProposalToGnatt[[#This Row],[Days]]),$G$5,"")),"")</f>
        <v/>
      </c>
      <c r="BO63" s="36" t="str">
        <f ca="1">IFERROR(+IF(BO$27=ProposalToGnatt[[#This Row],[Start Date]],Milestone_Marker,IF(AND(BO$27&gt;ProposalToGnatt[[#This Row],[Start Date]],BO$27&lt;ProposalToGnatt[[#This Row],[Start Date]]+ProposalToGnatt[[#This Row],[Days]]),$G$5,"")),"")</f>
        <v/>
      </c>
      <c r="BP63" s="36" t="str">
        <f ca="1">IFERROR(+IF(BP$27=ProposalToGnatt[[#This Row],[Start Date]],Milestone_Marker,IF(AND(BP$27&gt;ProposalToGnatt[[#This Row],[Start Date]],BP$27&lt;ProposalToGnatt[[#This Row],[Start Date]]+ProposalToGnatt[[#This Row],[Days]]),$G$5,"")),"")</f>
        <v/>
      </c>
      <c r="BQ63" s="36" t="str">
        <f ca="1">IFERROR(+IF(BQ$27=ProposalToGnatt[[#This Row],[Start Date]],Milestone_Marker,IF(AND(BQ$27&gt;ProposalToGnatt[[#This Row],[Start Date]],BQ$27&lt;ProposalToGnatt[[#This Row],[Start Date]]+ProposalToGnatt[[#This Row],[Days]]),$G$5,"")),"")</f>
        <v/>
      </c>
      <c r="BR63" s="36" t="str">
        <f ca="1">IFERROR(+IF(BR$27=ProposalToGnatt[[#This Row],[Start Date]],Milestone_Marker,IF(AND(BR$27&gt;ProposalToGnatt[[#This Row],[Start Date]],BR$27&lt;ProposalToGnatt[[#This Row],[Start Date]]+ProposalToGnatt[[#This Row],[Days]]),$G$5,"")),"")</f>
        <v/>
      </c>
      <c r="BS63" s="36" t="str">
        <f ca="1">IFERROR(+IF(BS$27=ProposalToGnatt[[#This Row],[Start Date]],Milestone_Marker,IF(AND(BS$27&gt;ProposalToGnatt[[#This Row],[Start Date]],BS$27&lt;ProposalToGnatt[[#This Row],[Start Date]]+ProposalToGnatt[[#This Row],[Days]]),$G$5,"")),"")</f>
        <v/>
      </c>
      <c r="BT63" s="36" t="str">
        <f ca="1">IFERROR(+IF(BT$27=ProposalToGnatt[[#This Row],[Start Date]],Milestone_Marker,IF(AND(BT$27&gt;ProposalToGnatt[[#This Row],[Start Date]],BT$27&lt;ProposalToGnatt[[#This Row],[Start Date]]+ProposalToGnatt[[#This Row],[Days]]),$G$5,"")),"")</f>
        <v/>
      </c>
      <c r="BU63" s="36" t="str">
        <f ca="1">IFERROR(+IF(BU$27=ProposalToGnatt[[#This Row],[Start Date]],Milestone_Marker,IF(AND(BU$27&gt;ProposalToGnatt[[#This Row],[Start Date]],BU$27&lt;ProposalToGnatt[[#This Row],[Start Date]]+ProposalToGnatt[[#This Row],[Days]]),$G$5,"")),"")</f>
        <v/>
      </c>
      <c r="BV63" s="36" t="str">
        <f ca="1">IFERROR(+IF(BV$27=ProposalToGnatt[[#This Row],[Start Date]],Milestone_Marker,IF(AND(BV$27&gt;ProposalToGnatt[[#This Row],[Start Date]],BV$27&lt;ProposalToGnatt[[#This Row],[Start Date]]+ProposalToGnatt[[#This Row],[Days]]),$G$5,"")),"")</f>
        <v/>
      </c>
      <c r="BW63" s="36" t="str">
        <f ca="1">IFERROR(+IF(BW$27=ProposalToGnatt[[#This Row],[Start Date]],Milestone_Marker,IF(AND(BW$27&gt;ProposalToGnatt[[#This Row],[Start Date]],BW$27&lt;ProposalToGnatt[[#This Row],[Start Date]]+ProposalToGnatt[[#This Row],[Days]]),$G$5,"")),"")</f>
        <v/>
      </c>
      <c r="BX63" s="36" t="str">
        <f ca="1">IFERROR(+IF(BX$27=ProposalToGnatt[[#This Row],[Start Date]],Milestone_Marker,IF(AND(BX$27&gt;ProposalToGnatt[[#This Row],[Start Date]],BX$27&lt;ProposalToGnatt[[#This Row],[Start Date]]+ProposalToGnatt[[#This Row],[Days]]),$G$5,"")),"")</f>
        <v/>
      </c>
      <c r="BY63" s="36" t="str">
        <f ca="1">IFERROR(+IF(BY$27=ProposalToGnatt[[#This Row],[Start Date]],Milestone_Marker,IF(AND(BY$27&gt;ProposalToGnatt[[#This Row],[Start Date]],BY$27&lt;ProposalToGnatt[[#This Row],[Start Date]]+ProposalToGnatt[[#This Row],[Days]]),$G$5,"")),"")</f>
        <v/>
      </c>
      <c r="BZ63" s="36" t="str">
        <f ca="1">IFERROR(+IF(BZ$27=ProposalToGnatt[[#This Row],[Start Date]],Milestone_Marker,IF(AND(BZ$27&gt;ProposalToGnatt[[#This Row],[Start Date]],BZ$27&lt;ProposalToGnatt[[#This Row],[Start Date]]+ProposalToGnatt[[#This Row],[Days]]),$G$5,"")),"")</f>
        <v/>
      </c>
      <c r="CA63" s="36" t="str">
        <f ca="1">IFERROR(+IF(CA$27=ProposalToGnatt[[#This Row],[Start Date]],Milestone_Marker,IF(AND(CA$27&gt;ProposalToGnatt[[#This Row],[Start Date]],CA$27&lt;ProposalToGnatt[[#This Row],[Start Date]]+ProposalToGnatt[[#This Row],[Days]]),$G$5,"")),"")</f>
        <v/>
      </c>
      <c r="CB63" s="36" t="str">
        <f ca="1">IFERROR(+IF(CB$27=ProposalToGnatt[[#This Row],[Start Date]],Milestone_Marker,IF(AND(CB$27&gt;ProposalToGnatt[[#This Row],[Start Date]],CB$27&lt;ProposalToGnatt[[#This Row],[Start Date]]+ProposalToGnatt[[#This Row],[Days]]),$G$5,"")),"")</f>
        <v/>
      </c>
      <c r="CC63" s="36" t="str">
        <f ca="1">IFERROR(+IF(CC$27=ProposalToGnatt[[#This Row],[Start Date]],Milestone_Marker,IF(AND(CC$27&gt;ProposalToGnatt[[#This Row],[Start Date]],CC$27&lt;ProposalToGnatt[[#This Row],[Start Date]]+ProposalToGnatt[[#This Row],[Days]]),$G$5,"")),"")</f>
        <v/>
      </c>
      <c r="CD63" s="36" t="str">
        <f ca="1">IFERROR(+IF(CD$27=ProposalToGnatt[[#This Row],[Start Date]],Milestone_Marker,IF(AND(CD$27&gt;ProposalToGnatt[[#This Row],[Start Date]],CD$27&lt;ProposalToGnatt[[#This Row],[Start Date]]+ProposalToGnatt[[#This Row],[Days]]),$G$5,"")),"")</f>
        <v/>
      </c>
      <c r="CE63" s="36" t="str">
        <f ca="1">IFERROR(+IF(CE$27=ProposalToGnatt[[#This Row],[Start Date]],Milestone_Marker,IF(AND(CE$27&gt;ProposalToGnatt[[#This Row],[Start Date]],CE$27&lt;ProposalToGnatt[[#This Row],[Start Date]]+ProposalToGnatt[[#This Row],[Days]]),$G$5,"")),"")</f>
        <v/>
      </c>
      <c r="CF63" s="36" t="str">
        <f ca="1">IFERROR(+IF(CF$27=ProposalToGnatt[[#This Row],[Start Date]],Milestone_Marker,IF(AND(CF$27&gt;ProposalToGnatt[[#This Row],[Start Date]],CF$27&lt;ProposalToGnatt[[#This Row],[Start Date]]+ProposalToGnatt[[#This Row],[Days]]),$G$5,"")),"")</f>
        <v/>
      </c>
      <c r="CG63" s="36" t="str">
        <f ca="1">IFERROR(+IF(CG$27=ProposalToGnatt[[#This Row],[Start Date]],Milestone_Marker,IF(AND(CG$27&gt;ProposalToGnatt[[#This Row],[Start Date]],CG$27&lt;ProposalToGnatt[[#This Row],[Start Date]]+ProposalToGnatt[[#This Row],[Days]]),$G$5,"")),"")</f>
        <v/>
      </c>
      <c r="CH63" s="36" t="str">
        <f ca="1">IFERROR(+IF(CH$27=ProposalToGnatt[[#This Row],[Start Date]],Milestone_Marker,IF(AND(CH$27&gt;ProposalToGnatt[[#This Row],[Start Date]],CH$27&lt;ProposalToGnatt[[#This Row],[Start Date]]+ProposalToGnatt[[#This Row],[Days]]),$G$5,"")),"")</f>
        <v/>
      </c>
      <c r="CI63" s="36" t="str">
        <f ca="1">IFERROR(+IF(CI$27=ProposalToGnatt[[#This Row],[Start Date]],Milestone_Marker,IF(AND(CI$27&gt;ProposalToGnatt[[#This Row],[Start Date]],CI$27&lt;ProposalToGnatt[[#This Row],[Start Date]]+ProposalToGnatt[[#This Row],[Days]]),$G$5,"")),"")</f>
        <v/>
      </c>
      <c r="CJ63" s="36" t="str">
        <f ca="1">IFERROR(+IF(CJ$27=ProposalToGnatt[[#This Row],[Start Date]],Milestone_Marker,IF(AND(CJ$27&gt;ProposalToGnatt[[#This Row],[Start Date]],CJ$27&lt;ProposalToGnatt[[#This Row],[Start Date]]+ProposalToGnatt[[#This Row],[Days]]),$G$5,"")),"")</f>
        <v/>
      </c>
      <c r="CK63" s="36" t="str">
        <f ca="1">IFERROR(+IF(CK$27=ProposalToGnatt[[#This Row],[Start Date]],Milestone_Marker,IF(AND(CK$27&gt;ProposalToGnatt[[#This Row],[Start Date]],CK$27&lt;ProposalToGnatt[[#This Row],[Start Date]]+ProposalToGnatt[[#This Row],[Days]]),$G$5,"")),"")</f>
        <v/>
      </c>
      <c r="CL63" s="36" t="str">
        <f ca="1">IFERROR(+IF(CL$27=ProposalToGnatt[[#This Row],[Start Date]],Milestone_Marker,IF(AND(CL$27&gt;ProposalToGnatt[[#This Row],[Start Date]],CL$27&lt;ProposalToGnatt[[#This Row],[Start Date]]+ProposalToGnatt[[#This Row],[Days]]),$G$5,"")),"")</f>
        <v/>
      </c>
      <c r="CM63" s="36" t="str">
        <f ca="1">IFERROR(+IF(CM$27=ProposalToGnatt[[#This Row],[Start Date]],Milestone_Marker,IF(AND(CM$27&gt;ProposalToGnatt[[#This Row],[Start Date]],CM$27&lt;ProposalToGnatt[[#This Row],[Start Date]]+ProposalToGnatt[[#This Row],[Days]]),$G$5,"")),"")</f>
        <v/>
      </c>
      <c r="CN63" s="36" t="str">
        <f ca="1">IFERROR(+IF(CN$27=ProposalToGnatt[[#This Row],[Start Date]],Milestone_Marker,IF(AND(CN$27&gt;ProposalToGnatt[[#This Row],[Start Date]],CN$27&lt;ProposalToGnatt[[#This Row],[Start Date]]+ProposalToGnatt[[#This Row],[Days]]),$G$5,"")),"")</f>
        <v/>
      </c>
      <c r="CO63" s="36" t="str">
        <f ca="1">IFERROR(+IF(CO$27=ProposalToGnatt[[#This Row],[Start Date]],Milestone_Marker,IF(AND(CO$27&gt;ProposalToGnatt[[#This Row],[Start Date]],CO$27&lt;ProposalToGnatt[[#This Row],[Start Date]]+ProposalToGnatt[[#This Row],[Days]]),$G$5,"")),"")</f>
        <v/>
      </c>
      <c r="CP63" s="36" t="str">
        <f ca="1">IFERROR(+IF(CP$27=ProposalToGnatt[[#This Row],[Start Date]],Milestone_Marker,IF(AND(CP$27&gt;ProposalToGnatt[[#This Row],[Start Date]],CP$27&lt;ProposalToGnatt[[#This Row],[Start Date]]+ProposalToGnatt[[#This Row],[Days]]),$G$5,"")),"")</f>
        <v/>
      </c>
      <c r="CQ63" s="36" t="str">
        <f ca="1">IFERROR(+IF(CQ$27=ProposalToGnatt[[#This Row],[Start Date]],Milestone_Marker,IF(AND(CQ$27&gt;ProposalToGnatt[[#This Row],[Start Date]],CQ$27&lt;ProposalToGnatt[[#This Row],[Start Date]]+ProposalToGnatt[[#This Row],[Days]]),$G$5,"")),"")</f>
        <v/>
      </c>
      <c r="CR63" s="36" t="str">
        <f ca="1">IFERROR(+IF(CR$27=ProposalToGnatt[[#This Row],[Start Date]],Milestone_Marker,IF(AND(CR$27&gt;ProposalToGnatt[[#This Row],[Start Date]],CR$27&lt;ProposalToGnatt[[#This Row],[Start Date]]+ProposalToGnatt[[#This Row],[Days]]),$G$5,"")),"")</f>
        <v/>
      </c>
      <c r="CS63" s="36" t="str">
        <f ca="1">IFERROR(+IF(CS$27=ProposalToGnatt[[#This Row],[Start Date]],Milestone_Marker,IF(AND(CS$27&gt;ProposalToGnatt[[#This Row],[Start Date]],CS$27&lt;ProposalToGnatt[[#This Row],[Start Date]]+ProposalToGnatt[[#This Row],[Days]]),$G$5,"")),"")</f>
        <v/>
      </c>
      <c r="CT63" s="36" t="str">
        <f ca="1">IFERROR(+IF(CT$27=ProposalToGnatt[[#This Row],[Start Date]],Milestone_Marker,IF(AND(CT$27&gt;ProposalToGnatt[[#This Row],[Start Date]],CT$27&lt;ProposalToGnatt[[#This Row],[Start Date]]+ProposalToGnatt[[#This Row],[Days]]),$G$5,"")),"")</f>
        <v/>
      </c>
      <c r="CU63" s="36" t="str">
        <f ca="1">IFERROR(+IF(CU$27=ProposalToGnatt[[#This Row],[Start Date]],Milestone_Marker,IF(AND(CU$27&gt;ProposalToGnatt[[#This Row],[Start Date]],CU$27&lt;ProposalToGnatt[[#This Row],[Start Date]]+ProposalToGnatt[[#This Row],[Days]]),$G$5,"")),"")</f>
        <v/>
      </c>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row>
    <row r="64" spans="1:125" s="41" customFormat="1" ht="15" x14ac:dyDescent="0.25">
      <c r="A64"/>
      <c r="B64"/>
      <c r="C64"/>
      <c r="D64"/>
      <c r="E64"/>
      <c r="F64"/>
      <c r="G64" s="14"/>
      <c r="H64" s="14"/>
      <c r="I64"/>
      <c r="J64"/>
      <c r="K64" s="261"/>
      <c r="L64"/>
      <c r="M64" s="14"/>
      <c r="N64" s="309"/>
      <c r="O64" s="297"/>
      <c r="P64" s="36" t="str">
        <f ca="1">IFERROR(+IF(P$27=ProposalToGnatt[[#This Row],[Start Date]],Milestone_Marker,IF(AND(P$27&gt;ProposalToGnatt[[#This Row],[Start Date]],P$27&lt;ProposalToGnatt[[#This Row],[Start Date]]+ProposalToGnatt[[#This Row],[Days]]),$G$5,"")),"")</f>
        <v/>
      </c>
      <c r="Q64" s="36" t="str">
        <f ca="1">IFERROR(+IF(Q$27=ProposalToGnatt[[#This Row],[Start Date]],Milestone_Marker,IF(AND(Q$27&gt;ProposalToGnatt[[#This Row],[Start Date]],Q$27&lt;ProposalToGnatt[[#This Row],[Start Date]]+ProposalToGnatt[[#This Row],[Days]]),$G$5,"")),"")</f>
        <v/>
      </c>
      <c r="R64" s="36" t="str">
        <f ca="1">IFERROR(+IF(R$27=ProposalToGnatt[[#This Row],[Start Date]],Milestone_Marker,IF(AND(R$27&gt;ProposalToGnatt[[#This Row],[Start Date]],R$27&lt;ProposalToGnatt[[#This Row],[Start Date]]+ProposalToGnatt[[#This Row],[Days]]),$G$5,"")),"")</f>
        <v/>
      </c>
      <c r="S64" s="36" t="str">
        <f ca="1">IFERROR(+IF(S$27=ProposalToGnatt[[#This Row],[Start Date]],Milestone_Marker,IF(AND(S$27&gt;ProposalToGnatt[[#This Row],[Start Date]],S$27&lt;ProposalToGnatt[[#This Row],[Start Date]]+ProposalToGnatt[[#This Row],[Days]]),$G$5,"")),"")</f>
        <v/>
      </c>
      <c r="T64" s="36" t="str">
        <f ca="1">IFERROR(+IF(T$27=ProposalToGnatt[[#This Row],[Start Date]],Milestone_Marker,IF(AND(T$27&gt;ProposalToGnatt[[#This Row],[Start Date]],T$27&lt;ProposalToGnatt[[#This Row],[Start Date]]+ProposalToGnatt[[#This Row],[Days]]),$G$5,"")),"")</f>
        <v/>
      </c>
      <c r="U64" s="36" t="str">
        <f ca="1">IFERROR(+IF(U$27=ProposalToGnatt[[#This Row],[Start Date]],Milestone_Marker,IF(AND(U$27&gt;ProposalToGnatt[[#This Row],[Start Date]],U$27&lt;ProposalToGnatt[[#This Row],[Start Date]]+ProposalToGnatt[[#This Row],[Days]]),$G$5,"")),"")</f>
        <v/>
      </c>
      <c r="V64" s="36" t="str">
        <f ca="1">IFERROR(+IF(V$27=ProposalToGnatt[[#This Row],[Start Date]],Milestone_Marker,IF(AND(V$27&gt;ProposalToGnatt[[#This Row],[Start Date]],V$27&lt;ProposalToGnatt[[#This Row],[Start Date]]+ProposalToGnatt[[#This Row],[Days]]),$G$5,"")),"")</f>
        <v/>
      </c>
      <c r="W64" s="36" t="str">
        <f ca="1">IFERROR(+IF(W$27=ProposalToGnatt[[#This Row],[Start Date]],Milestone_Marker,IF(AND(W$27&gt;ProposalToGnatt[[#This Row],[Start Date]],W$27&lt;ProposalToGnatt[[#This Row],[Start Date]]+ProposalToGnatt[[#This Row],[Days]]),$G$5,"")),"")</f>
        <v/>
      </c>
      <c r="X64" s="36" t="str">
        <f ca="1">IFERROR(+IF(X$27=ProposalToGnatt[[#This Row],[Start Date]],Milestone_Marker,IF(AND(X$27&gt;ProposalToGnatt[[#This Row],[Start Date]],X$27&lt;ProposalToGnatt[[#This Row],[Start Date]]+ProposalToGnatt[[#This Row],[Days]]),$G$5,"")),"")</f>
        <v/>
      </c>
      <c r="Y64" s="36" t="str">
        <f ca="1">IFERROR(+IF(Y$27=ProposalToGnatt[[#This Row],[Start Date]],Milestone_Marker,IF(AND(Y$27&gt;ProposalToGnatt[[#This Row],[Start Date]],Y$27&lt;ProposalToGnatt[[#This Row],[Start Date]]+ProposalToGnatt[[#This Row],[Days]]),$G$5,"")),"")</f>
        <v/>
      </c>
      <c r="Z64" s="36" t="str">
        <f ca="1">IFERROR(+IF(Z$27=ProposalToGnatt[[#This Row],[Start Date]],Milestone_Marker,IF(AND(Z$27&gt;ProposalToGnatt[[#This Row],[Start Date]],Z$27&lt;ProposalToGnatt[[#This Row],[Start Date]]+ProposalToGnatt[[#This Row],[Days]]),$G$5,"")),"")</f>
        <v/>
      </c>
      <c r="AA64" s="36" t="str">
        <f ca="1">IFERROR(+IF(AA$27=ProposalToGnatt[[#This Row],[Start Date]],Milestone_Marker,IF(AND(AA$27&gt;ProposalToGnatt[[#This Row],[Start Date]],AA$27&lt;ProposalToGnatt[[#This Row],[Start Date]]+ProposalToGnatt[[#This Row],[Days]]),$G$5,"")),"")</f>
        <v/>
      </c>
      <c r="AB64" s="36" t="str">
        <f ca="1">IFERROR(+IF(AB$27=ProposalToGnatt[[#This Row],[Start Date]],Milestone_Marker,IF(AND(AB$27&gt;ProposalToGnatt[[#This Row],[Start Date]],AB$27&lt;ProposalToGnatt[[#This Row],[Start Date]]+ProposalToGnatt[[#This Row],[Days]]),$G$5,"")),"")</f>
        <v/>
      </c>
      <c r="AC64" s="36" t="str">
        <f ca="1">IFERROR(+IF(AC$27=ProposalToGnatt[[#This Row],[Start Date]],Milestone_Marker,IF(AND(AC$27&gt;ProposalToGnatt[[#This Row],[Start Date]],AC$27&lt;ProposalToGnatt[[#This Row],[Start Date]]+ProposalToGnatt[[#This Row],[Days]]),$G$5,"")),"")</f>
        <v/>
      </c>
      <c r="AD64" s="36" t="str">
        <f ca="1">IFERROR(+IF(AD$27=ProposalToGnatt[[#This Row],[Start Date]],Milestone_Marker,IF(AND(AD$27&gt;ProposalToGnatt[[#This Row],[Start Date]],AD$27&lt;ProposalToGnatt[[#This Row],[Start Date]]+ProposalToGnatt[[#This Row],[Days]]),$G$5,"")),"")</f>
        <v/>
      </c>
      <c r="AE64" s="36" t="str">
        <f ca="1">IFERROR(+IF(AE$27=ProposalToGnatt[[#This Row],[Start Date]],Milestone_Marker,IF(AND(AE$27&gt;ProposalToGnatt[[#This Row],[Start Date]],AE$27&lt;ProposalToGnatt[[#This Row],[Start Date]]+ProposalToGnatt[[#This Row],[Days]]),$G$5,"")),"")</f>
        <v/>
      </c>
      <c r="AF64" s="36" t="str">
        <f ca="1">IFERROR(+IF(AF$27=ProposalToGnatt[[#This Row],[Start Date]],Milestone_Marker,IF(AND(AF$27&gt;ProposalToGnatt[[#This Row],[Start Date]],AF$27&lt;ProposalToGnatt[[#This Row],[Start Date]]+ProposalToGnatt[[#This Row],[Days]]),$G$5,"")),"")</f>
        <v/>
      </c>
      <c r="AG64" s="36" t="str">
        <f ca="1">IFERROR(+IF(AG$27=ProposalToGnatt[[#This Row],[Start Date]],Milestone_Marker,IF(AND(AG$27&gt;ProposalToGnatt[[#This Row],[Start Date]],AG$27&lt;ProposalToGnatt[[#This Row],[Start Date]]+ProposalToGnatt[[#This Row],[Days]]),$G$5,"")),"")</f>
        <v/>
      </c>
      <c r="AH64" s="36" t="str">
        <f ca="1">IFERROR(+IF(AH$27=ProposalToGnatt[[#This Row],[Start Date]],Milestone_Marker,IF(AND(AH$27&gt;ProposalToGnatt[[#This Row],[Start Date]],AH$27&lt;ProposalToGnatt[[#This Row],[Start Date]]+ProposalToGnatt[[#This Row],[Days]]),$G$5,"")),"")</f>
        <v/>
      </c>
      <c r="AI64" s="36" t="str">
        <f ca="1">IFERROR(+IF(AI$27=ProposalToGnatt[[#This Row],[Start Date]],Milestone_Marker,IF(AND(AI$27&gt;ProposalToGnatt[[#This Row],[Start Date]],AI$27&lt;ProposalToGnatt[[#This Row],[Start Date]]+ProposalToGnatt[[#This Row],[Days]]),$G$5,"")),"")</f>
        <v/>
      </c>
      <c r="AJ64" s="36" t="str">
        <f ca="1">IFERROR(+IF(AJ$27=ProposalToGnatt[[#This Row],[Start Date]],Milestone_Marker,IF(AND(AJ$27&gt;ProposalToGnatt[[#This Row],[Start Date]],AJ$27&lt;ProposalToGnatt[[#This Row],[Start Date]]+ProposalToGnatt[[#This Row],[Days]]),$G$5,"")),"")</f>
        <v/>
      </c>
      <c r="AK64" s="36" t="str">
        <f ca="1">IFERROR(+IF(AK$27=ProposalToGnatt[[#This Row],[Start Date]],Milestone_Marker,IF(AND(AK$27&gt;ProposalToGnatt[[#This Row],[Start Date]],AK$27&lt;ProposalToGnatt[[#This Row],[Start Date]]+ProposalToGnatt[[#This Row],[Days]]),$G$5,"")),"")</f>
        <v/>
      </c>
      <c r="AL64" s="36" t="str">
        <f ca="1">IFERROR(+IF(AL$27=ProposalToGnatt[[#This Row],[Start Date]],Milestone_Marker,IF(AND(AL$27&gt;ProposalToGnatt[[#This Row],[Start Date]],AL$27&lt;ProposalToGnatt[[#This Row],[Start Date]]+ProposalToGnatt[[#This Row],[Days]]),$G$5,"")),"")</f>
        <v/>
      </c>
      <c r="AM64" s="36" t="str">
        <f ca="1">IFERROR(+IF(AM$27=ProposalToGnatt[[#This Row],[Start Date]],Milestone_Marker,IF(AND(AM$27&gt;ProposalToGnatt[[#This Row],[Start Date]],AM$27&lt;ProposalToGnatt[[#This Row],[Start Date]]+ProposalToGnatt[[#This Row],[Days]]),$G$5,"")),"")</f>
        <v/>
      </c>
      <c r="AN64" s="36" t="str">
        <f ca="1">IFERROR(+IF(AN$27=ProposalToGnatt[[#This Row],[Start Date]],Milestone_Marker,IF(AND(AN$27&gt;ProposalToGnatt[[#This Row],[Start Date]],AN$27&lt;ProposalToGnatt[[#This Row],[Start Date]]+ProposalToGnatt[[#This Row],[Days]]),$G$5,"")),"")</f>
        <v/>
      </c>
      <c r="AO64" s="36" t="str">
        <f ca="1">IFERROR(+IF(AO$27=ProposalToGnatt[[#This Row],[Start Date]],Milestone_Marker,IF(AND(AO$27&gt;ProposalToGnatt[[#This Row],[Start Date]],AO$27&lt;ProposalToGnatt[[#This Row],[Start Date]]+ProposalToGnatt[[#This Row],[Days]]),$G$5,"")),"")</f>
        <v/>
      </c>
      <c r="AP64" s="36" t="str">
        <f ca="1">IFERROR(+IF(AP$27=ProposalToGnatt[[#This Row],[Start Date]],Milestone_Marker,IF(AND(AP$27&gt;ProposalToGnatt[[#This Row],[Start Date]],AP$27&lt;ProposalToGnatt[[#This Row],[Start Date]]+ProposalToGnatt[[#This Row],[Days]]),$G$5,"")),"")</f>
        <v/>
      </c>
      <c r="AQ64" s="36" t="str">
        <f ca="1">IFERROR(+IF(AQ$27=ProposalToGnatt[[#This Row],[Start Date]],Milestone_Marker,IF(AND(AQ$27&gt;ProposalToGnatt[[#This Row],[Start Date]],AQ$27&lt;ProposalToGnatt[[#This Row],[Start Date]]+ProposalToGnatt[[#This Row],[Days]]),$G$5,"")),"")</f>
        <v/>
      </c>
      <c r="AR64" s="36" t="str">
        <f ca="1">IFERROR(+IF(AR$27=ProposalToGnatt[[#This Row],[Start Date]],Milestone_Marker,IF(AND(AR$27&gt;ProposalToGnatt[[#This Row],[Start Date]],AR$27&lt;ProposalToGnatt[[#This Row],[Start Date]]+ProposalToGnatt[[#This Row],[Days]]),$G$5,"")),"")</f>
        <v/>
      </c>
      <c r="AS64" s="36" t="str">
        <f ca="1">IFERROR(+IF(AS$27=ProposalToGnatt[[#This Row],[Start Date]],Milestone_Marker,IF(AND(AS$27&gt;ProposalToGnatt[[#This Row],[Start Date]],AS$27&lt;ProposalToGnatt[[#This Row],[Start Date]]+ProposalToGnatt[[#This Row],[Days]]),$G$5,"")),"")</f>
        <v/>
      </c>
      <c r="AT64" s="36" t="str">
        <f ca="1">IFERROR(+IF(AT$27=ProposalToGnatt[[#This Row],[Start Date]],Milestone_Marker,IF(AND(AT$27&gt;ProposalToGnatt[[#This Row],[Start Date]],AT$27&lt;ProposalToGnatt[[#This Row],[Start Date]]+ProposalToGnatt[[#This Row],[Days]]),$G$5,"")),"")</f>
        <v/>
      </c>
      <c r="AU64" s="36" t="str">
        <f ca="1">IFERROR(+IF(AU$27=ProposalToGnatt[[#This Row],[Start Date]],Milestone_Marker,IF(AND(AU$27&gt;ProposalToGnatt[[#This Row],[Start Date]],AU$27&lt;ProposalToGnatt[[#This Row],[Start Date]]+ProposalToGnatt[[#This Row],[Days]]),$G$5,"")),"")</f>
        <v/>
      </c>
      <c r="AV64" s="36" t="str">
        <f ca="1">IFERROR(+IF(AV$27=ProposalToGnatt[[#This Row],[Start Date]],Milestone_Marker,IF(AND(AV$27&gt;ProposalToGnatt[[#This Row],[Start Date]],AV$27&lt;ProposalToGnatt[[#This Row],[Start Date]]+ProposalToGnatt[[#This Row],[Days]]),$G$5,"")),"")</f>
        <v/>
      </c>
      <c r="AW64" s="36" t="str">
        <f ca="1">IFERROR(+IF(AW$27=ProposalToGnatt[[#This Row],[Start Date]],Milestone_Marker,IF(AND(AW$27&gt;ProposalToGnatt[[#This Row],[Start Date]],AW$27&lt;ProposalToGnatt[[#This Row],[Start Date]]+ProposalToGnatt[[#This Row],[Days]]),$G$5,"")),"")</f>
        <v/>
      </c>
      <c r="AX64" s="36" t="str">
        <f ca="1">IFERROR(+IF(AX$27=ProposalToGnatt[[#This Row],[Start Date]],Milestone_Marker,IF(AND(AX$27&gt;ProposalToGnatt[[#This Row],[Start Date]],AX$27&lt;ProposalToGnatt[[#This Row],[Start Date]]+ProposalToGnatt[[#This Row],[Days]]),$G$5,"")),"")</f>
        <v/>
      </c>
      <c r="AY64" s="36" t="str">
        <f ca="1">IFERROR(+IF(AY$27=ProposalToGnatt[[#This Row],[Start Date]],Milestone_Marker,IF(AND(AY$27&gt;ProposalToGnatt[[#This Row],[Start Date]],AY$27&lt;ProposalToGnatt[[#This Row],[Start Date]]+ProposalToGnatt[[#This Row],[Days]]),$G$5,"")),"")</f>
        <v/>
      </c>
      <c r="AZ64" s="36" t="str">
        <f ca="1">IFERROR(+IF(AZ$27=ProposalToGnatt[[#This Row],[Start Date]],Milestone_Marker,IF(AND(AZ$27&gt;ProposalToGnatt[[#This Row],[Start Date]],AZ$27&lt;ProposalToGnatt[[#This Row],[Start Date]]+ProposalToGnatt[[#This Row],[Days]]),$G$5,"")),"")</f>
        <v/>
      </c>
      <c r="BA64" s="36" t="str">
        <f ca="1">IFERROR(+IF(BA$27=ProposalToGnatt[[#This Row],[Start Date]],Milestone_Marker,IF(AND(BA$27&gt;ProposalToGnatt[[#This Row],[Start Date]],BA$27&lt;ProposalToGnatt[[#This Row],[Start Date]]+ProposalToGnatt[[#This Row],[Days]]),$G$5,"")),"")</f>
        <v/>
      </c>
      <c r="BB64" s="36" t="str">
        <f ca="1">IFERROR(+IF(BB$27=ProposalToGnatt[[#This Row],[Start Date]],Milestone_Marker,IF(AND(BB$27&gt;ProposalToGnatt[[#This Row],[Start Date]],BB$27&lt;ProposalToGnatt[[#This Row],[Start Date]]+ProposalToGnatt[[#This Row],[Days]]),$G$5,"")),"")</f>
        <v/>
      </c>
      <c r="BC64" s="36" t="str">
        <f ca="1">IFERROR(+IF(BC$27=ProposalToGnatt[[#This Row],[Start Date]],Milestone_Marker,IF(AND(BC$27&gt;ProposalToGnatt[[#This Row],[Start Date]],BC$27&lt;ProposalToGnatt[[#This Row],[Start Date]]+ProposalToGnatt[[#This Row],[Days]]),$G$5,"")),"")</f>
        <v/>
      </c>
      <c r="BD64" s="36" t="str">
        <f ca="1">IFERROR(+IF(BD$27=ProposalToGnatt[[#This Row],[Start Date]],Milestone_Marker,IF(AND(BD$27&gt;ProposalToGnatt[[#This Row],[Start Date]],BD$27&lt;ProposalToGnatt[[#This Row],[Start Date]]+ProposalToGnatt[[#This Row],[Days]]),$G$5,"")),"")</f>
        <v/>
      </c>
      <c r="BE64" s="36" t="str">
        <f ca="1">IFERROR(+IF(BE$27=ProposalToGnatt[[#This Row],[Start Date]],Milestone_Marker,IF(AND(BE$27&gt;ProposalToGnatt[[#This Row],[Start Date]],BE$27&lt;ProposalToGnatt[[#This Row],[Start Date]]+ProposalToGnatt[[#This Row],[Days]]),$G$5,"")),"")</f>
        <v/>
      </c>
      <c r="BF64" s="36" t="str">
        <f ca="1">IFERROR(+IF(BF$27=ProposalToGnatt[[#This Row],[Start Date]],Milestone_Marker,IF(AND(BF$27&gt;ProposalToGnatt[[#This Row],[Start Date]],BF$27&lt;ProposalToGnatt[[#This Row],[Start Date]]+ProposalToGnatt[[#This Row],[Days]]),$G$5,"")),"")</f>
        <v/>
      </c>
      <c r="BG64" s="36" t="str">
        <f ca="1">IFERROR(+IF(BG$27=ProposalToGnatt[[#This Row],[Start Date]],Milestone_Marker,IF(AND(BG$27&gt;ProposalToGnatt[[#This Row],[Start Date]],BG$27&lt;ProposalToGnatt[[#This Row],[Start Date]]+ProposalToGnatt[[#This Row],[Days]]),$G$5,"")),"")</f>
        <v/>
      </c>
      <c r="BH64" s="36" t="str">
        <f ca="1">IFERROR(+IF(BH$27=ProposalToGnatt[[#This Row],[Start Date]],Milestone_Marker,IF(AND(BH$27&gt;ProposalToGnatt[[#This Row],[Start Date]],BH$27&lt;ProposalToGnatt[[#This Row],[Start Date]]+ProposalToGnatt[[#This Row],[Days]]),$G$5,"")),"")</f>
        <v/>
      </c>
      <c r="BI64" s="36" t="str">
        <f ca="1">IFERROR(+IF(BI$27=ProposalToGnatt[[#This Row],[Start Date]],Milestone_Marker,IF(AND(BI$27&gt;ProposalToGnatt[[#This Row],[Start Date]],BI$27&lt;ProposalToGnatt[[#This Row],[Start Date]]+ProposalToGnatt[[#This Row],[Days]]),$G$5,"")),"")</f>
        <v/>
      </c>
      <c r="BJ64" s="36" t="str">
        <f ca="1">IFERROR(+IF(BJ$27=ProposalToGnatt[[#This Row],[Start Date]],Milestone_Marker,IF(AND(BJ$27&gt;ProposalToGnatt[[#This Row],[Start Date]],BJ$27&lt;ProposalToGnatt[[#This Row],[Start Date]]+ProposalToGnatt[[#This Row],[Days]]),$G$5,"")),"")</f>
        <v/>
      </c>
      <c r="BK64" s="36" t="str">
        <f ca="1">IFERROR(+IF(BK$27=ProposalToGnatt[[#This Row],[Start Date]],Milestone_Marker,IF(AND(BK$27&gt;ProposalToGnatt[[#This Row],[Start Date]],BK$27&lt;ProposalToGnatt[[#This Row],[Start Date]]+ProposalToGnatt[[#This Row],[Days]]),$G$5,"")),"")</f>
        <v/>
      </c>
      <c r="BL64" s="36" t="str">
        <f ca="1">IFERROR(+IF(BL$27=ProposalToGnatt[[#This Row],[Start Date]],Milestone_Marker,IF(AND(BL$27&gt;ProposalToGnatt[[#This Row],[Start Date]],BL$27&lt;ProposalToGnatt[[#This Row],[Start Date]]+ProposalToGnatt[[#This Row],[Days]]),$G$5,"")),"")</f>
        <v/>
      </c>
      <c r="BM64" s="36" t="str">
        <f ca="1">IFERROR(+IF(BM$27=ProposalToGnatt[[#This Row],[Start Date]],Milestone_Marker,IF(AND(BM$27&gt;ProposalToGnatt[[#This Row],[Start Date]],BM$27&lt;ProposalToGnatt[[#This Row],[Start Date]]+ProposalToGnatt[[#This Row],[Days]]),$G$5,"")),"")</f>
        <v/>
      </c>
      <c r="BN64" s="36" t="str">
        <f ca="1">IFERROR(+IF(BN$27=ProposalToGnatt[[#This Row],[Start Date]],Milestone_Marker,IF(AND(BN$27&gt;ProposalToGnatt[[#This Row],[Start Date]],BN$27&lt;ProposalToGnatt[[#This Row],[Start Date]]+ProposalToGnatt[[#This Row],[Days]]),$G$5,"")),"")</f>
        <v/>
      </c>
      <c r="BO64" s="36" t="str">
        <f ca="1">IFERROR(+IF(BO$27=ProposalToGnatt[[#This Row],[Start Date]],Milestone_Marker,IF(AND(BO$27&gt;ProposalToGnatt[[#This Row],[Start Date]],BO$27&lt;ProposalToGnatt[[#This Row],[Start Date]]+ProposalToGnatt[[#This Row],[Days]]),$G$5,"")),"")</f>
        <v/>
      </c>
      <c r="BP64" s="36" t="str">
        <f ca="1">IFERROR(+IF(BP$27=ProposalToGnatt[[#This Row],[Start Date]],Milestone_Marker,IF(AND(BP$27&gt;ProposalToGnatt[[#This Row],[Start Date]],BP$27&lt;ProposalToGnatt[[#This Row],[Start Date]]+ProposalToGnatt[[#This Row],[Days]]),$G$5,"")),"")</f>
        <v/>
      </c>
      <c r="BQ64" s="36" t="str">
        <f ca="1">IFERROR(+IF(BQ$27=ProposalToGnatt[[#This Row],[Start Date]],Milestone_Marker,IF(AND(BQ$27&gt;ProposalToGnatt[[#This Row],[Start Date]],BQ$27&lt;ProposalToGnatt[[#This Row],[Start Date]]+ProposalToGnatt[[#This Row],[Days]]),$G$5,"")),"")</f>
        <v/>
      </c>
      <c r="BR64" s="36" t="str">
        <f ca="1">IFERROR(+IF(BR$27=ProposalToGnatt[[#This Row],[Start Date]],Milestone_Marker,IF(AND(BR$27&gt;ProposalToGnatt[[#This Row],[Start Date]],BR$27&lt;ProposalToGnatt[[#This Row],[Start Date]]+ProposalToGnatt[[#This Row],[Days]]),$G$5,"")),"")</f>
        <v/>
      </c>
      <c r="BS64" s="36" t="str">
        <f ca="1">IFERROR(+IF(BS$27=ProposalToGnatt[[#This Row],[Start Date]],Milestone_Marker,IF(AND(BS$27&gt;ProposalToGnatt[[#This Row],[Start Date]],BS$27&lt;ProposalToGnatt[[#This Row],[Start Date]]+ProposalToGnatt[[#This Row],[Days]]),$G$5,"")),"")</f>
        <v/>
      </c>
      <c r="BT64" s="36" t="str">
        <f ca="1">IFERROR(+IF(BT$27=ProposalToGnatt[[#This Row],[Start Date]],Milestone_Marker,IF(AND(BT$27&gt;ProposalToGnatt[[#This Row],[Start Date]],BT$27&lt;ProposalToGnatt[[#This Row],[Start Date]]+ProposalToGnatt[[#This Row],[Days]]),$G$5,"")),"")</f>
        <v/>
      </c>
      <c r="BU64" s="36" t="str">
        <f ca="1">IFERROR(+IF(BU$27=ProposalToGnatt[[#This Row],[Start Date]],Milestone_Marker,IF(AND(BU$27&gt;ProposalToGnatt[[#This Row],[Start Date]],BU$27&lt;ProposalToGnatt[[#This Row],[Start Date]]+ProposalToGnatt[[#This Row],[Days]]),$G$5,"")),"")</f>
        <v/>
      </c>
      <c r="BV64" s="36" t="str">
        <f ca="1">IFERROR(+IF(BV$27=ProposalToGnatt[[#This Row],[Start Date]],Milestone_Marker,IF(AND(BV$27&gt;ProposalToGnatt[[#This Row],[Start Date]],BV$27&lt;ProposalToGnatt[[#This Row],[Start Date]]+ProposalToGnatt[[#This Row],[Days]]),$G$5,"")),"")</f>
        <v/>
      </c>
      <c r="BW64" s="36" t="str">
        <f ca="1">IFERROR(+IF(BW$27=ProposalToGnatt[[#This Row],[Start Date]],Milestone_Marker,IF(AND(BW$27&gt;ProposalToGnatt[[#This Row],[Start Date]],BW$27&lt;ProposalToGnatt[[#This Row],[Start Date]]+ProposalToGnatt[[#This Row],[Days]]),$G$5,"")),"")</f>
        <v/>
      </c>
      <c r="BX64" s="36" t="str">
        <f ca="1">IFERROR(+IF(BX$27=ProposalToGnatt[[#This Row],[Start Date]],Milestone_Marker,IF(AND(BX$27&gt;ProposalToGnatt[[#This Row],[Start Date]],BX$27&lt;ProposalToGnatt[[#This Row],[Start Date]]+ProposalToGnatt[[#This Row],[Days]]),$G$5,"")),"")</f>
        <v/>
      </c>
      <c r="BY64" s="36" t="str">
        <f ca="1">IFERROR(+IF(BY$27=ProposalToGnatt[[#This Row],[Start Date]],Milestone_Marker,IF(AND(BY$27&gt;ProposalToGnatt[[#This Row],[Start Date]],BY$27&lt;ProposalToGnatt[[#This Row],[Start Date]]+ProposalToGnatt[[#This Row],[Days]]),$G$5,"")),"")</f>
        <v/>
      </c>
      <c r="BZ64" s="36" t="str">
        <f ca="1">IFERROR(+IF(BZ$27=ProposalToGnatt[[#This Row],[Start Date]],Milestone_Marker,IF(AND(BZ$27&gt;ProposalToGnatt[[#This Row],[Start Date]],BZ$27&lt;ProposalToGnatt[[#This Row],[Start Date]]+ProposalToGnatt[[#This Row],[Days]]),$G$5,"")),"")</f>
        <v/>
      </c>
      <c r="CA64" s="36" t="str">
        <f ca="1">IFERROR(+IF(CA$27=ProposalToGnatt[[#This Row],[Start Date]],Milestone_Marker,IF(AND(CA$27&gt;ProposalToGnatt[[#This Row],[Start Date]],CA$27&lt;ProposalToGnatt[[#This Row],[Start Date]]+ProposalToGnatt[[#This Row],[Days]]),$G$5,"")),"")</f>
        <v/>
      </c>
      <c r="CB64" s="36" t="str">
        <f ca="1">IFERROR(+IF(CB$27=ProposalToGnatt[[#This Row],[Start Date]],Milestone_Marker,IF(AND(CB$27&gt;ProposalToGnatt[[#This Row],[Start Date]],CB$27&lt;ProposalToGnatt[[#This Row],[Start Date]]+ProposalToGnatt[[#This Row],[Days]]),$G$5,"")),"")</f>
        <v/>
      </c>
      <c r="CC64" s="36" t="str">
        <f ca="1">IFERROR(+IF(CC$27=ProposalToGnatt[[#This Row],[Start Date]],Milestone_Marker,IF(AND(CC$27&gt;ProposalToGnatt[[#This Row],[Start Date]],CC$27&lt;ProposalToGnatt[[#This Row],[Start Date]]+ProposalToGnatt[[#This Row],[Days]]),$G$5,"")),"")</f>
        <v/>
      </c>
      <c r="CD64" s="36" t="str">
        <f ca="1">IFERROR(+IF(CD$27=ProposalToGnatt[[#This Row],[Start Date]],Milestone_Marker,IF(AND(CD$27&gt;ProposalToGnatt[[#This Row],[Start Date]],CD$27&lt;ProposalToGnatt[[#This Row],[Start Date]]+ProposalToGnatt[[#This Row],[Days]]),$G$5,"")),"")</f>
        <v/>
      </c>
      <c r="CE64" s="36" t="str">
        <f ca="1">IFERROR(+IF(CE$27=ProposalToGnatt[[#This Row],[Start Date]],Milestone_Marker,IF(AND(CE$27&gt;ProposalToGnatt[[#This Row],[Start Date]],CE$27&lt;ProposalToGnatt[[#This Row],[Start Date]]+ProposalToGnatt[[#This Row],[Days]]),$G$5,"")),"")</f>
        <v/>
      </c>
      <c r="CF64" s="36" t="str">
        <f ca="1">IFERROR(+IF(CF$27=ProposalToGnatt[[#This Row],[Start Date]],Milestone_Marker,IF(AND(CF$27&gt;ProposalToGnatt[[#This Row],[Start Date]],CF$27&lt;ProposalToGnatt[[#This Row],[Start Date]]+ProposalToGnatt[[#This Row],[Days]]),$G$5,"")),"")</f>
        <v/>
      </c>
      <c r="CG64" s="36" t="str">
        <f ca="1">IFERROR(+IF(CG$27=ProposalToGnatt[[#This Row],[Start Date]],Milestone_Marker,IF(AND(CG$27&gt;ProposalToGnatt[[#This Row],[Start Date]],CG$27&lt;ProposalToGnatt[[#This Row],[Start Date]]+ProposalToGnatt[[#This Row],[Days]]),$G$5,"")),"")</f>
        <v/>
      </c>
      <c r="CH64" s="36" t="str">
        <f ca="1">IFERROR(+IF(CH$27=ProposalToGnatt[[#This Row],[Start Date]],Milestone_Marker,IF(AND(CH$27&gt;ProposalToGnatt[[#This Row],[Start Date]],CH$27&lt;ProposalToGnatt[[#This Row],[Start Date]]+ProposalToGnatt[[#This Row],[Days]]),$G$5,"")),"")</f>
        <v/>
      </c>
      <c r="CI64" s="36" t="str">
        <f ca="1">IFERROR(+IF(CI$27=ProposalToGnatt[[#This Row],[Start Date]],Milestone_Marker,IF(AND(CI$27&gt;ProposalToGnatt[[#This Row],[Start Date]],CI$27&lt;ProposalToGnatt[[#This Row],[Start Date]]+ProposalToGnatt[[#This Row],[Days]]),$G$5,"")),"")</f>
        <v/>
      </c>
      <c r="CJ64" s="36" t="str">
        <f ca="1">IFERROR(+IF(CJ$27=ProposalToGnatt[[#This Row],[Start Date]],Milestone_Marker,IF(AND(CJ$27&gt;ProposalToGnatt[[#This Row],[Start Date]],CJ$27&lt;ProposalToGnatt[[#This Row],[Start Date]]+ProposalToGnatt[[#This Row],[Days]]),$G$5,"")),"")</f>
        <v/>
      </c>
      <c r="CK64" s="36" t="str">
        <f ca="1">IFERROR(+IF(CK$27=ProposalToGnatt[[#This Row],[Start Date]],Milestone_Marker,IF(AND(CK$27&gt;ProposalToGnatt[[#This Row],[Start Date]],CK$27&lt;ProposalToGnatt[[#This Row],[Start Date]]+ProposalToGnatt[[#This Row],[Days]]),$G$5,"")),"")</f>
        <v/>
      </c>
      <c r="CL64" s="36" t="str">
        <f ca="1">IFERROR(+IF(CL$27=ProposalToGnatt[[#This Row],[Start Date]],Milestone_Marker,IF(AND(CL$27&gt;ProposalToGnatt[[#This Row],[Start Date]],CL$27&lt;ProposalToGnatt[[#This Row],[Start Date]]+ProposalToGnatt[[#This Row],[Days]]),$G$5,"")),"")</f>
        <v/>
      </c>
      <c r="CM64" s="36" t="str">
        <f ca="1">IFERROR(+IF(CM$27=ProposalToGnatt[[#This Row],[Start Date]],Milestone_Marker,IF(AND(CM$27&gt;ProposalToGnatt[[#This Row],[Start Date]],CM$27&lt;ProposalToGnatt[[#This Row],[Start Date]]+ProposalToGnatt[[#This Row],[Days]]),$G$5,"")),"")</f>
        <v/>
      </c>
      <c r="CN64" s="36" t="str">
        <f ca="1">IFERROR(+IF(CN$27=ProposalToGnatt[[#This Row],[Start Date]],Milestone_Marker,IF(AND(CN$27&gt;ProposalToGnatt[[#This Row],[Start Date]],CN$27&lt;ProposalToGnatt[[#This Row],[Start Date]]+ProposalToGnatt[[#This Row],[Days]]),$G$5,"")),"")</f>
        <v/>
      </c>
      <c r="CO64" s="36" t="str">
        <f ca="1">IFERROR(+IF(CO$27=ProposalToGnatt[[#This Row],[Start Date]],Milestone_Marker,IF(AND(CO$27&gt;ProposalToGnatt[[#This Row],[Start Date]],CO$27&lt;ProposalToGnatt[[#This Row],[Start Date]]+ProposalToGnatt[[#This Row],[Days]]),$G$5,"")),"")</f>
        <v/>
      </c>
      <c r="CP64" s="36" t="str">
        <f ca="1">IFERROR(+IF(CP$27=ProposalToGnatt[[#This Row],[Start Date]],Milestone_Marker,IF(AND(CP$27&gt;ProposalToGnatt[[#This Row],[Start Date]],CP$27&lt;ProposalToGnatt[[#This Row],[Start Date]]+ProposalToGnatt[[#This Row],[Days]]),$G$5,"")),"")</f>
        <v/>
      </c>
      <c r="CQ64" s="36" t="str">
        <f ca="1">IFERROR(+IF(CQ$27=ProposalToGnatt[[#This Row],[Start Date]],Milestone_Marker,IF(AND(CQ$27&gt;ProposalToGnatt[[#This Row],[Start Date]],CQ$27&lt;ProposalToGnatt[[#This Row],[Start Date]]+ProposalToGnatt[[#This Row],[Days]]),$G$5,"")),"")</f>
        <v/>
      </c>
      <c r="CR64" s="36" t="str">
        <f ca="1">IFERROR(+IF(CR$27=ProposalToGnatt[[#This Row],[Start Date]],Milestone_Marker,IF(AND(CR$27&gt;ProposalToGnatt[[#This Row],[Start Date]],CR$27&lt;ProposalToGnatt[[#This Row],[Start Date]]+ProposalToGnatt[[#This Row],[Days]]),$G$5,"")),"")</f>
        <v/>
      </c>
      <c r="CS64" s="36" t="str">
        <f ca="1">IFERROR(+IF(CS$27=ProposalToGnatt[[#This Row],[Start Date]],Milestone_Marker,IF(AND(CS$27&gt;ProposalToGnatt[[#This Row],[Start Date]],CS$27&lt;ProposalToGnatt[[#This Row],[Start Date]]+ProposalToGnatt[[#This Row],[Days]]),$G$5,"")),"")</f>
        <v/>
      </c>
      <c r="CT64" s="36" t="str">
        <f ca="1">IFERROR(+IF(CT$27=ProposalToGnatt[[#This Row],[Start Date]],Milestone_Marker,IF(AND(CT$27&gt;ProposalToGnatt[[#This Row],[Start Date]],CT$27&lt;ProposalToGnatt[[#This Row],[Start Date]]+ProposalToGnatt[[#This Row],[Days]]),$G$5,"")),"")</f>
        <v/>
      </c>
      <c r="CU64" s="36" t="str">
        <f ca="1">IFERROR(+IF(CU$27=ProposalToGnatt[[#This Row],[Start Date]],Milestone_Marker,IF(AND(CU$27&gt;ProposalToGnatt[[#This Row],[Start Date]],CU$27&lt;ProposalToGnatt[[#This Row],[Start Date]]+ProposalToGnatt[[#This Row],[Days]]),$G$5,"")),"")</f>
        <v/>
      </c>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row>
    <row r="65" spans="1:125" s="41" customFormat="1" ht="15" customHeight="1" x14ac:dyDescent="0.25">
      <c r="A65"/>
      <c r="B65"/>
      <c r="C65"/>
      <c r="D65"/>
      <c r="E65"/>
      <c r="F65"/>
      <c r="G65" s="14"/>
      <c r="H65" s="14"/>
      <c r="I65"/>
      <c r="J65"/>
      <c r="K65" s="261"/>
      <c r="L65"/>
      <c r="M65" s="14"/>
      <c r="N65" s="309"/>
      <c r="O65" s="297"/>
      <c r="P65" s="36" t="str">
        <f ca="1">IFERROR(+IF(P$27=ProposalToGnatt[[#This Row],[Start Date]],Milestone_Marker,IF(AND(P$27&gt;ProposalToGnatt[[#This Row],[Start Date]],P$27&lt;ProposalToGnatt[[#This Row],[Start Date]]+ProposalToGnatt[[#This Row],[Days]]),$G$5,"")),"")</f>
        <v/>
      </c>
      <c r="Q65" s="36" t="str">
        <f ca="1">IFERROR(+IF(Q$27=ProposalToGnatt[[#This Row],[Start Date]],Milestone_Marker,IF(AND(Q$27&gt;ProposalToGnatt[[#This Row],[Start Date]],Q$27&lt;ProposalToGnatt[[#This Row],[Start Date]]+ProposalToGnatt[[#This Row],[Days]]),$G$5,"")),"")</f>
        <v/>
      </c>
      <c r="R65" s="36" t="str">
        <f ca="1">IFERROR(+IF(R$27=ProposalToGnatt[[#This Row],[Start Date]],Milestone_Marker,IF(AND(R$27&gt;ProposalToGnatt[[#This Row],[Start Date]],R$27&lt;ProposalToGnatt[[#This Row],[Start Date]]+ProposalToGnatt[[#This Row],[Days]]),$G$5,"")),"")</f>
        <v/>
      </c>
      <c r="S65" s="36" t="str">
        <f ca="1">IFERROR(+IF(S$27=ProposalToGnatt[[#This Row],[Start Date]],Milestone_Marker,IF(AND(S$27&gt;ProposalToGnatt[[#This Row],[Start Date]],S$27&lt;ProposalToGnatt[[#This Row],[Start Date]]+ProposalToGnatt[[#This Row],[Days]]),$G$5,"")),"")</f>
        <v/>
      </c>
      <c r="T65" s="36" t="str">
        <f ca="1">IFERROR(+IF(T$27=ProposalToGnatt[[#This Row],[Start Date]],Milestone_Marker,IF(AND(T$27&gt;ProposalToGnatt[[#This Row],[Start Date]],T$27&lt;ProposalToGnatt[[#This Row],[Start Date]]+ProposalToGnatt[[#This Row],[Days]]),$G$5,"")),"")</f>
        <v/>
      </c>
      <c r="U65" s="36" t="str">
        <f ca="1">IFERROR(+IF(U$27=ProposalToGnatt[[#This Row],[Start Date]],Milestone_Marker,IF(AND(U$27&gt;ProposalToGnatt[[#This Row],[Start Date]],U$27&lt;ProposalToGnatt[[#This Row],[Start Date]]+ProposalToGnatt[[#This Row],[Days]]),$G$5,"")),"")</f>
        <v/>
      </c>
      <c r="V65" s="36" t="str">
        <f ca="1">IFERROR(+IF(V$27=ProposalToGnatt[[#This Row],[Start Date]],Milestone_Marker,IF(AND(V$27&gt;ProposalToGnatt[[#This Row],[Start Date]],V$27&lt;ProposalToGnatt[[#This Row],[Start Date]]+ProposalToGnatt[[#This Row],[Days]]),$G$5,"")),"")</f>
        <v/>
      </c>
      <c r="W65" s="36" t="str">
        <f ca="1">IFERROR(+IF(W$27=ProposalToGnatt[[#This Row],[Start Date]],Milestone_Marker,IF(AND(W$27&gt;ProposalToGnatt[[#This Row],[Start Date]],W$27&lt;ProposalToGnatt[[#This Row],[Start Date]]+ProposalToGnatt[[#This Row],[Days]]),$G$5,"")),"")</f>
        <v/>
      </c>
      <c r="X65" s="36" t="str">
        <f ca="1">IFERROR(+IF(X$27=ProposalToGnatt[[#This Row],[Start Date]],Milestone_Marker,IF(AND(X$27&gt;ProposalToGnatt[[#This Row],[Start Date]],X$27&lt;ProposalToGnatt[[#This Row],[Start Date]]+ProposalToGnatt[[#This Row],[Days]]),$G$5,"")),"")</f>
        <v/>
      </c>
      <c r="Y65" s="36" t="str">
        <f ca="1">IFERROR(+IF(Y$27=ProposalToGnatt[[#This Row],[Start Date]],Milestone_Marker,IF(AND(Y$27&gt;ProposalToGnatt[[#This Row],[Start Date]],Y$27&lt;ProposalToGnatt[[#This Row],[Start Date]]+ProposalToGnatt[[#This Row],[Days]]),$G$5,"")),"")</f>
        <v/>
      </c>
      <c r="Z65" s="36" t="str">
        <f ca="1">IFERROR(+IF(Z$27=ProposalToGnatt[[#This Row],[Start Date]],Milestone_Marker,IF(AND(Z$27&gt;ProposalToGnatt[[#This Row],[Start Date]],Z$27&lt;ProposalToGnatt[[#This Row],[Start Date]]+ProposalToGnatt[[#This Row],[Days]]),$G$5,"")),"")</f>
        <v/>
      </c>
      <c r="AA65" s="36" t="str">
        <f ca="1">IFERROR(+IF(AA$27=ProposalToGnatt[[#This Row],[Start Date]],Milestone_Marker,IF(AND(AA$27&gt;ProposalToGnatt[[#This Row],[Start Date]],AA$27&lt;ProposalToGnatt[[#This Row],[Start Date]]+ProposalToGnatt[[#This Row],[Days]]),$G$5,"")),"")</f>
        <v/>
      </c>
      <c r="AB65" s="36" t="str">
        <f ca="1">IFERROR(+IF(AB$27=ProposalToGnatt[[#This Row],[Start Date]],Milestone_Marker,IF(AND(AB$27&gt;ProposalToGnatt[[#This Row],[Start Date]],AB$27&lt;ProposalToGnatt[[#This Row],[Start Date]]+ProposalToGnatt[[#This Row],[Days]]),$G$5,"")),"")</f>
        <v/>
      </c>
      <c r="AC65" s="36" t="str">
        <f ca="1">IFERROR(+IF(AC$27=ProposalToGnatt[[#This Row],[Start Date]],Milestone_Marker,IF(AND(AC$27&gt;ProposalToGnatt[[#This Row],[Start Date]],AC$27&lt;ProposalToGnatt[[#This Row],[Start Date]]+ProposalToGnatt[[#This Row],[Days]]),$G$5,"")),"")</f>
        <v/>
      </c>
      <c r="AD65" s="36" t="str">
        <f ca="1">IFERROR(+IF(AD$27=ProposalToGnatt[[#This Row],[Start Date]],Milestone_Marker,IF(AND(AD$27&gt;ProposalToGnatt[[#This Row],[Start Date]],AD$27&lt;ProposalToGnatt[[#This Row],[Start Date]]+ProposalToGnatt[[#This Row],[Days]]),$G$5,"")),"")</f>
        <v/>
      </c>
      <c r="AE65" s="36" t="str">
        <f ca="1">IFERROR(+IF(AE$27=ProposalToGnatt[[#This Row],[Start Date]],Milestone_Marker,IF(AND(AE$27&gt;ProposalToGnatt[[#This Row],[Start Date]],AE$27&lt;ProposalToGnatt[[#This Row],[Start Date]]+ProposalToGnatt[[#This Row],[Days]]),$G$5,"")),"")</f>
        <v/>
      </c>
      <c r="AF65" s="36" t="str">
        <f ca="1">IFERROR(+IF(AF$27=ProposalToGnatt[[#This Row],[Start Date]],Milestone_Marker,IF(AND(AF$27&gt;ProposalToGnatt[[#This Row],[Start Date]],AF$27&lt;ProposalToGnatt[[#This Row],[Start Date]]+ProposalToGnatt[[#This Row],[Days]]),$G$5,"")),"")</f>
        <v/>
      </c>
      <c r="AG65" s="36" t="str">
        <f ca="1">IFERROR(+IF(AG$27=ProposalToGnatt[[#This Row],[Start Date]],Milestone_Marker,IF(AND(AG$27&gt;ProposalToGnatt[[#This Row],[Start Date]],AG$27&lt;ProposalToGnatt[[#This Row],[Start Date]]+ProposalToGnatt[[#This Row],[Days]]),$G$5,"")),"")</f>
        <v/>
      </c>
      <c r="AH65" s="36" t="str">
        <f ca="1">IFERROR(+IF(AH$27=ProposalToGnatt[[#This Row],[Start Date]],Milestone_Marker,IF(AND(AH$27&gt;ProposalToGnatt[[#This Row],[Start Date]],AH$27&lt;ProposalToGnatt[[#This Row],[Start Date]]+ProposalToGnatt[[#This Row],[Days]]),$G$5,"")),"")</f>
        <v/>
      </c>
      <c r="AI65" s="36" t="str">
        <f ca="1">IFERROR(+IF(AI$27=ProposalToGnatt[[#This Row],[Start Date]],Milestone_Marker,IF(AND(AI$27&gt;ProposalToGnatt[[#This Row],[Start Date]],AI$27&lt;ProposalToGnatt[[#This Row],[Start Date]]+ProposalToGnatt[[#This Row],[Days]]),$G$5,"")),"")</f>
        <v/>
      </c>
      <c r="AJ65" s="36" t="str">
        <f ca="1">IFERROR(+IF(AJ$27=ProposalToGnatt[[#This Row],[Start Date]],Milestone_Marker,IF(AND(AJ$27&gt;ProposalToGnatt[[#This Row],[Start Date]],AJ$27&lt;ProposalToGnatt[[#This Row],[Start Date]]+ProposalToGnatt[[#This Row],[Days]]),$G$5,"")),"")</f>
        <v/>
      </c>
      <c r="AK65" s="36" t="str">
        <f ca="1">IFERROR(+IF(AK$27=ProposalToGnatt[[#This Row],[Start Date]],Milestone_Marker,IF(AND(AK$27&gt;ProposalToGnatt[[#This Row],[Start Date]],AK$27&lt;ProposalToGnatt[[#This Row],[Start Date]]+ProposalToGnatt[[#This Row],[Days]]),$G$5,"")),"")</f>
        <v/>
      </c>
      <c r="AL65" s="36" t="str">
        <f ca="1">IFERROR(+IF(AL$27=ProposalToGnatt[[#This Row],[Start Date]],Milestone_Marker,IF(AND(AL$27&gt;ProposalToGnatt[[#This Row],[Start Date]],AL$27&lt;ProposalToGnatt[[#This Row],[Start Date]]+ProposalToGnatt[[#This Row],[Days]]),$G$5,"")),"")</f>
        <v/>
      </c>
      <c r="AM65" s="36" t="str">
        <f ca="1">IFERROR(+IF(AM$27=ProposalToGnatt[[#This Row],[Start Date]],Milestone_Marker,IF(AND(AM$27&gt;ProposalToGnatt[[#This Row],[Start Date]],AM$27&lt;ProposalToGnatt[[#This Row],[Start Date]]+ProposalToGnatt[[#This Row],[Days]]),$G$5,"")),"")</f>
        <v/>
      </c>
      <c r="AN65" s="36" t="str">
        <f ca="1">IFERROR(+IF(AN$27=ProposalToGnatt[[#This Row],[Start Date]],Milestone_Marker,IF(AND(AN$27&gt;ProposalToGnatt[[#This Row],[Start Date]],AN$27&lt;ProposalToGnatt[[#This Row],[Start Date]]+ProposalToGnatt[[#This Row],[Days]]),$G$5,"")),"")</f>
        <v/>
      </c>
      <c r="AO65" s="36" t="str">
        <f ca="1">IFERROR(+IF(AO$27=ProposalToGnatt[[#This Row],[Start Date]],Milestone_Marker,IF(AND(AO$27&gt;ProposalToGnatt[[#This Row],[Start Date]],AO$27&lt;ProposalToGnatt[[#This Row],[Start Date]]+ProposalToGnatt[[#This Row],[Days]]),$G$5,"")),"")</f>
        <v/>
      </c>
      <c r="AP65" s="36" t="str">
        <f ca="1">IFERROR(+IF(AP$27=ProposalToGnatt[[#This Row],[Start Date]],Milestone_Marker,IF(AND(AP$27&gt;ProposalToGnatt[[#This Row],[Start Date]],AP$27&lt;ProposalToGnatt[[#This Row],[Start Date]]+ProposalToGnatt[[#This Row],[Days]]),$G$5,"")),"")</f>
        <v/>
      </c>
      <c r="AQ65" s="36" t="str">
        <f ca="1">IFERROR(+IF(AQ$27=ProposalToGnatt[[#This Row],[Start Date]],Milestone_Marker,IF(AND(AQ$27&gt;ProposalToGnatt[[#This Row],[Start Date]],AQ$27&lt;ProposalToGnatt[[#This Row],[Start Date]]+ProposalToGnatt[[#This Row],[Days]]),$G$5,"")),"")</f>
        <v/>
      </c>
      <c r="AR65" s="36" t="str">
        <f ca="1">IFERROR(+IF(AR$27=ProposalToGnatt[[#This Row],[Start Date]],Milestone_Marker,IF(AND(AR$27&gt;ProposalToGnatt[[#This Row],[Start Date]],AR$27&lt;ProposalToGnatt[[#This Row],[Start Date]]+ProposalToGnatt[[#This Row],[Days]]),$G$5,"")),"")</f>
        <v/>
      </c>
      <c r="AS65" s="36" t="str">
        <f ca="1">IFERROR(+IF(AS$27=ProposalToGnatt[[#This Row],[Start Date]],Milestone_Marker,IF(AND(AS$27&gt;ProposalToGnatt[[#This Row],[Start Date]],AS$27&lt;ProposalToGnatt[[#This Row],[Start Date]]+ProposalToGnatt[[#This Row],[Days]]),$G$5,"")),"")</f>
        <v/>
      </c>
      <c r="AT65" s="36" t="str">
        <f ca="1">IFERROR(+IF(AT$27=ProposalToGnatt[[#This Row],[Start Date]],Milestone_Marker,IF(AND(AT$27&gt;ProposalToGnatt[[#This Row],[Start Date]],AT$27&lt;ProposalToGnatt[[#This Row],[Start Date]]+ProposalToGnatt[[#This Row],[Days]]),$G$5,"")),"")</f>
        <v/>
      </c>
      <c r="AU65" s="36" t="str">
        <f ca="1">IFERROR(+IF(AU$27=ProposalToGnatt[[#This Row],[Start Date]],Milestone_Marker,IF(AND(AU$27&gt;ProposalToGnatt[[#This Row],[Start Date]],AU$27&lt;ProposalToGnatt[[#This Row],[Start Date]]+ProposalToGnatt[[#This Row],[Days]]),$G$5,"")),"")</f>
        <v/>
      </c>
      <c r="AV65" s="36" t="str">
        <f ca="1">IFERROR(+IF(AV$27=ProposalToGnatt[[#This Row],[Start Date]],Milestone_Marker,IF(AND(AV$27&gt;ProposalToGnatt[[#This Row],[Start Date]],AV$27&lt;ProposalToGnatt[[#This Row],[Start Date]]+ProposalToGnatt[[#This Row],[Days]]),$G$5,"")),"")</f>
        <v/>
      </c>
      <c r="AW65" s="36" t="str">
        <f ca="1">IFERROR(+IF(AW$27=ProposalToGnatt[[#This Row],[Start Date]],Milestone_Marker,IF(AND(AW$27&gt;ProposalToGnatt[[#This Row],[Start Date]],AW$27&lt;ProposalToGnatt[[#This Row],[Start Date]]+ProposalToGnatt[[#This Row],[Days]]),$G$5,"")),"")</f>
        <v/>
      </c>
      <c r="AX65" s="36" t="str">
        <f ca="1">IFERROR(+IF(AX$27=ProposalToGnatt[[#This Row],[Start Date]],Milestone_Marker,IF(AND(AX$27&gt;ProposalToGnatt[[#This Row],[Start Date]],AX$27&lt;ProposalToGnatt[[#This Row],[Start Date]]+ProposalToGnatt[[#This Row],[Days]]),$G$5,"")),"")</f>
        <v/>
      </c>
      <c r="AY65" s="36" t="str">
        <f ca="1">IFERROR(+IF(AY$27=ProposalToGnatt[[#This Row],[Start Date]],Milestone_Marker,IF(AND(AY$27&gt;ProposalToGnatt[[#This Row],[Start Date]],AY$27&lt;ProposalToGnatt[[#This Row],[Start Date]]+ProposalToGnatt[[#This Row],[Days]]),$G$5,"")),"")</f>
        <v/>
      </c>
      <c r="AZ65" s="36" t="str">
        <f ca="1">IFERROR(+IF(AZ$27=ProposalToGnatt[[#This Row],[Start Date]],Milestone_Marker,IF(AND(AZ$27&gt;ProposalToGnatt[[#This Row],[Start Date]],AZ$27&lt;ProposalToGnatt[[#This Row],[Start Date]]+ProposalToGnatt[[#This Row],[Days]]),$G$5,"")),"")</f>
        <v/>
      </c>
      <c r="BA65" s="36" t="str">
        <f ca="1">IFERROR(+IF(BA$27=ProposalToGnatt[[#This Row],[Start Date]],Milestone_Marker,IF(AND(BA$27&gt;ProposalToGnatt[[#This Row],[Start Date]],BA$27&lt;ProposalToGnatt[[#This Row],[Start Date]]+ProposalToGnatt[[#This Row],[Days]]),$G$5,"")),"")</f>
        <v/>
      </c>
      <c r="BB65" s="36" t="str">
        <f ca="1">IFERROR(+IF(BB$27=ProposalToGnatt[[#This Row],[Start Date]],Milestone_Marker,IF(AND(BB$27&gt;ProposalToGnatt[[#This Row],[Start Date]],BB$27&lt;ProposalToGnatt[[#This Row],[Start Date]]+ProposalToGnatt[[#This Row],[Days]]),$G$5,"")),"")</f>
        <v/>
      </c>
      <c r="BC65" s="36" t="str">
        <f ca="1">IFERROR(+IF(BC$27=ProposalToGnatt[[#This Row],[Start Date]],Milestone_Marker,IF(AND(BC$27&gt;ProposalToGnatt[[#This Row],[Start Date]],BC$27&lt;ProposalToGnatt[[#This Row],[Start Date]]+ProposalToGnatt[[#This Row],[Days]]),$G$5,"")),"")</f>
        <v/>
      </c>
      <c r="BD65" s="36" t="str">
        <f ca="1">IFERROR(+IF(BD$27=ProposalToGnatt[[#This Row],[Start Date]],Milestone_Marker,IF(AND(BD$27&gt;ProposalToGnatt[[#This Row],[Start Date]],BD$27&lt;ProposalToGnatt[[#This Row],[Start Date]]+ProposalToGnatt[[#This Row],[Days]]),$G$5,"")),"")</f>
        <v/>
      </c>
      <c r="BE65" s="36" t="str">
        <f ca="1">IFERROR(+IF(BE$27=ProposalToGnatt[[#This Row],[Start Date]],Milestone_Marker,IF(AND(BE$27&gt;ProposalToGnatt[[#This Row],[Start Date]],BE$27&lt;ProposalToGnatt[[#This Row],[Start Date]]+ProposalToGnatt[[#This Row],[Days]]),$G$5,"")),"")</f>
        <v/>
      </c>
      <c r="BF65" s="36" t="str">
        <f ca="1">IFERROR(+IF(BF$27=ProposalToGnatt[[#This Row],[Start Date]],Milestone_Marker,IF(AND(BF$27&gt;ProposalToGnatt[[#This Row],[Start Date]],BF$27&lt;ProposalToGnatt[[#This Row],[Start Date]]+ProposalToGnatt[[#This Row],[Days]]),$G$5,"")),"")</f>
        <v/>
      </c>
      <c r="BG65" s="36" t="str">
        <f ca="1">IFERROR(+IF(BG$27=ProposalToGnatt[[#This Row],[Start Date]],Milestone_Marker,IF(AND(BG$27&gt;ProposalToGnatt[[#This Row],[Start Date]],BG$27&lt;ProposalToGnatt[[#This Row],[Start Date]]+ProposalToGnatt[[#This Row],[Days]]),$G$5,"")),"")</f>
        <v/>
      </c>
      <c r="BH65" s="36" t="str">
        <f ca="1">IFERROR(+IF(BH$27=ProposalToGnatt[[#This Row],[Start Date]],Milestone_Marker,IF(AND(BH$27&gt;ProposalToGnatt[[#This Row],[Start Date]],BH$27&lt;ProposalToGnatt[[#This Row],[Start Date]]+ProposalToGnatt[[#This Row],[Days]]),$G$5,"")),"")</f>
        <v/>
      </c>
      <c r="BI65" s="36" t="str">
        <f ca="1">IFERROR(+IF(BI$27=ProposalToGnatt[[#This Row],[Start Date]],Milestone_Marker,IF(AND(BI$27&gt;ProposalToGnatt[[#This Row],[Start Date]],BI$27&lt;ProposalToGnatt[[#This Row],[Start Date]]+ProposalToGnatt[[#This Row],[Days]]),$G$5,"")),"")</f>
        <v/>
      </c>
      <c r="BJ65" s="36" t="str">
        <f ca="1">IFERROR(+IF(BJ$27=ProposalToGnatt[[#This Row],[Start Date]],Milestone_Marker,IF(AND(BJ$27&gt;ProposalToGnatt[[#This Row],[Start Date]],BJ$27&lt;ProposalToGnatt[[#This Row],[Start Date]]+ProposalToGnatt[[#This Row],[Days]]),$G$5,"")),"")</f>
        <v/>
      </c>
      <c r="BK65" s="36" t="str">
        <f ca="1">IFERROR(+IF(BK$27=ProposalToGnatt[[#This Row],[Start Date]],Milestone_Marker,IF(AND(BK$27&gt;ProposalToGnatt[[#This Row],[Start Date]],BK$27&lt;ProposalToGnatt[[#This Row],[Start Date]]+ProposalToGnatt[[#This Row],[Days]]),$G$5,"")),"")</f>
        <v/>
      </c>
      <c r="BL65" s="36" t="str">
        <f ca="1">IFERROR(+IF(BL$27=ProposalToGnatt[[#This Row],[Start Date]],Milestone_Marker,IF(AND(BL$27&gt;ProposalToGnatt[[#This Row],[Start Date]],BL$27&lt;ProposalToGnatt[[#This Row],[Start Date]]+ProposalToGnatt[[#This Row],[Days]]),$G$5,"")),"")</f>
        <v/>
      </c>
      <c r="BM65" s="36" t="str">
        <f ca="1">IFERROR(+IF(BM$27=ProposalToGnatt[[#This Row],[Start Date]],Milestone_Marker,IF(AND(BM$27&gt;ProposalToGnatt[[#This Row],[Start Date]],BM$27&lt;ProposalToGnatt[[#This Row],[Start Date]]+ProposalToGnatt[[#This Row],[Days]]),$G$5,"")),"")</f>
        <v/>
      </c>
      <c r="BN65" s="36" t="str">
        <f ca="1">IFERROR(+IF(BN$27=ProposalToGnatt[[#This Row],[Start Date]],Milestone_Marker,IF(AND(BN$27&gt;ProposalToGnatt[[#This Row],[Start Date]],BN$27&lt;ProposalToGnatt[[#This Row],[Start Date]]+ProposalToGnatt[[#This Row],[Days]]),$G$5,"")),"")</f>
        <v/>
      </c>
      <c r="BO65" s="36" t="str">
        <f ca="1">IFERROR(+IF(BO$27=ProposalToGnatt[[#This Row],[Start Date]],Milestone_Marker,IF(AND(BO$27&gt;ProposalToGnatt[[#This Row],[Start Date]],BO$27&lt;ProposalToGnatt[[#This Row],[Start Date]]+ProposalToGnatt[[#This Row],[Days]]),$G$5,"")),"")</f>
        <v/>
      </c>
      <c r="BP65" s="36" t="str">
        <f ca="1">IFERROR(+IF(BP$27=ProposalToGnatt[[#This Row],[Start Date]],Milestone_Marker,IF(AND(BP$27&gt;ProposalToGnatt[[#This Row],[Start Date]],BP$27&lt;ProposalToGnatt[[#This Row],[Start Date]]+ProposalToGnatt[[#This Row],[Days]]),$G$5,"")),"")</f>
        <v/>
      </c>
      <c r="BQ65" s="36" t="str">
        <f ca="1">IFERROR(+IF(BQ$27=ProposalToGnatt[[#This Row],[Start Date]],Milestone_Marker,IF(AND(BQ$27&gt;ProposalToGnatt[[#This Row],[Start Date]],BQ$27&lt;ProposalToGnatt[[#This Row],[Start Date]]+ProposalToGnatt[[#This Row],[Days]]),$G$5,"")),"")</f>
        <v/>
      </c>
      <c r="BR65" s="36" t="str">
        <f ca="1">IFERROR(+IF(BR$27=ProposalToGnatt[[#This Row],[Start Date]],Milestone_Marker,IF(AND(BR$27&gt;ProposalToGnatt[[#This Row],[Start Date]],BR$27&lt;ProposalToGnatt[[#This Row],[Start Date]]+ProposalToGnatt[[#This Row],[Days]]),$G$5,"")),"")</f>
        <v/>
      </c>
      <c r="BS65" s="36" t="str">
        <f ca="1">IFERROR(+IF(BS$27=ProposalToGnatt[[#This Row],[Start Date]],Milestone_Marker,IF(AND(BS$27&gt;ProposalToGnatt[[#This Row],[Start Date]],BS$27&lt;ProposalToGnatt[[#This Row],[Start Date]]+ProposalToGnatt[[#This Row],[Days]]),$G$5,"")),"")</f>
        <v/>
      </c>
      <c r="BT65" s="36" t="str">
        <f ca="1">IFERROR(+IF(BT$27=ProposalToGnatt[[#This Row],[Start Date]],Milestone_Marker,IF(AND(BT$27&gt;ProposalToGnatt[[#This Row],[Start Date]],BT$27&lt;ProposalToGnatt[[#This Row],[Start Date]]+ProposalToGnatt[[#This Row],[Days]]),$G$5,"")),"")</f>
        <v/>
      </c>
      <c r="BU65" s="36" t="str">
        <f ca="1">IFERROR(+IF(BU$27=ProposalToGnatt[[#This Row],[Start Date]],Milestone_Marker,IF(AND(BU$27&gt;ProposalToGnatt[[#This Row],[Start Date]],BU$27&lt;ProposalToGnatt[[#This Row],[Start Date]]+ProposalToGnatt[[#This Row],[Days]]),$G$5,"")),"")</f>
        <v/>
      </c>
      <c r="BV65" s="36" t="str">
        <f ca="1">IFERROR(+IF(BV$27=ProposalToGnatt[[#This Row],[Start Date]],Milestone_Marker,IF(AND(BV$27&gt;ProposalToGnatt[[#This Row],[Start Date]],BV$27&lt;ProposalToGnatt[[#This Row],[Start Date]]+ProposalToGnatt[[#This Row],[Days]]),$G$5,"")),"")</f>
        <v/>
      </c>
      <c r="BW65" s="36" t="str">
        <f ca="1">IFERROR(+IF(BW$27=ProposalToGnatt[[#This Row],[Start Date]],Milestone_Marker,IF(AND(BW$27&gt;ProposalToGnatt[[#This Row],[Start Date]],BW$27&lt;ProposalToGnatt[[#This Row],[Start Date]]+ProposalToGnatt[[#This Row],[Days]]),$G$5,"")),"")</f>
        <v/>
      </c>
      <c r="BX65" s="36" t="str">
        <f ca="1">IFERROR(+IF(BX$27=ProposalToGnatt[[#This Row],[Start Date]],Milestone_Marker,IF(AND(BX$27&gt;ProposalToGnatt[[#This Row],[Start Date]],BX$27&lt;ProposalToGnatt[[#This Row],[Start Date]]+ProposalToGnatt[[#This Row],[Days]]),$G$5,"")),"")</f>
        <v/>
      </c>
      <c r="BY65" s="36" t="str">
        <f ca="1">IFERROR(+IF(BY$27=ProposalToGnatt[[#This Row],[Start Date]],Milestone_Marker,IF(AND(BY$27&gt;ProposalToGnatt[[#This Row],[Start Date]],BY$27&lt;ProposalToGnatt[[#This Row],[Start Date]]+ProposalToGnatt[[#This Row],[Days]]),$G$5,"")),"")</f>
        <v/>
      </c>
      <c r="BZ65" s="36" t="str">
        <f ca="1">IFERROR(+IF(BZ$27=ProposalToGnatt[[#This Row],[Start Date]],Milestone_Marker,IF(AND(BZ$27&gt;ProposalToGnatt[[#This Row],[Start Date]],BZ$27&lt;ProposalToGnatt[[#This Row],[Start Date]]+ProposalToGnatt[[#This Row],[Days]]),$G$5,"")),"")</f>
        <v/>
      </c>
      <c r="CA65" s="36" t="str">
        <f ca="1">IFERROR(+IF(CA$27=ProposalToGnatt[[#This Row],[Start Date]],Milestone_Marker,IF(AND(CA$27&gt;ProposalToGnatt[[#This Row],[Start Date]],CA$27&lt;ProposalToGnatt[[#This Row],[Start Date]]+ProposalToGnatt[[#This Row],[Days]]),$G$5,"")),"")</f>
        <v/>
      </c>
      <c r="CB65" s="36" t="str">
        <f ca="1">IFERROR(+IF(CB$27=ProposalToGnatt[[#This Row],[Start Date]],Milestone_Marker,IF(AND(CB$27&gt;ProposalToGnatt[[#This Row],[Start Date]],CB$27&lt;ProposalToGnatt[[#This Row],[Start Date]]+ProposalToGnatt[[#This Row],[Days]]),$G$5,"")),"")</f>
        <v/>
      </c>
      <c r="CC65" s="36" t="str">
        <f ca="1">IFERROR(+IF(CC$27=ProposalToGnatt[[#This Row],[Start Date]],Milestone_Marker,IF(AND(CC$27&gt;ProposalToGnatt[[#This Row],[Start Date]],CC$27&lt;ProposalToGnatt[[#This Row],[Start Date]]+ProposalToGnatt[[#This Row],[Days]]),$G$5,"")),"")</f>
        <v/>
      </c>
      <c r="CD65" s="36" t="str">
        <f ca="1">IFERROR(+IF(CD$27=ProposalToGnatt[[#This Row],[Start Date]],Milestone_Marker,IF(AND(CD$27&gt;ProposalToGnatt[[#This Row],[Start Date]],CD$27&lt;ProposalToGnatt[[#This Row],[Start Date]]+ProposalToGnatt[[#This Row],[Days]]),$G$5,"")),"")</f>
        <v/>
      </c>
      <c r="CE65" s="36" t="str">
        <f ca="1">IFERROR(+IF(CE$27=ProposalToGnatt[[#This Row],[Start Date]],Milestone_Marker,IF(AND(CE$27&gt;ProposalToGnatt[[#This Row],[Start Date]],CE$27&lt;ProposalToGnatt[[#This Row],[Start Date]]+ProposalToGnatt[[#This Row],[Days]]),$G$5,"")),"")</f>
        <v/>
      </c>
      <c r="CF65" s="36" t="str">
        <f ca="1">IFERROR(+IF(CF$27=ProposalToGnatt[[#This Row],[Start Date]],Milestone_Marker,IF(AND(CF$27&gt;ProposalToGnatt[[#This Row],[Start Date]],CF$27&lt;ProposalToGnatt[[#This Row],[Start Date]]+ProposalToGnatt[[#This Row],[Days]]),$G$5,"")),"")</f>
        <v/>
      </c>
      <c r="CG65" s="36" t="str">
        <f ca="1">IFERROR(+IF(CG$27=ProposalToGnatt[[#This Row],[Start Date]],Milestone_Marker,IF(AND(CG$27&gt;ProposalToGnatt[[#This Row],[Start Date]],CG$27&lt;ProposalToGnatt[[#This Row],[Start Date]]+ProposalToGnatt[[#This Row],[Days]]),$G$5,"")),"")</f>
        <v/>
      </c>
      <c r="CH65" s="36" t="str">
        <f ca="1">IFERROR(+IF(CH$27=ProposalToGnatt[[#This Row],[Start Date]],Milestone_Marker,IF(AND(CH$27&gt;ProposalToGnatt[[#This Row],[Start Date]],CH$27&lt;ProposalToGnatt[[#This Row],[Start Date]]+ProposalToGnatt[[#This Row],[Days]]),$G$5,"")),"")</f>
        <v/>
      </c>
      <c r="CI65" s="36" t="str">
        <f ca="1">IFERROR(+IF(CI$27=ProposalToGnatt[[#This Row],[Start Date]],Milestone_Marker,IF(AND(CI$27&gt;ProposalToGnatt[[#This Row],[Start Date]],CI$27&lt;ProposalToGnatt[[#This Row],[Start Date]]+ProposalToGnatt[[#This Row],[Days]]),$G$5,"")),"")</f>
        <v/>
      </c>
      <c r="CJ65" s="36" t="str">
        <f ca="1">IFERROR(+IF(CJ$27=ProposalToGnatt[[#This Row],[Start Date]],Milestone_Marker,IF(AND(CJ$27&gt;ProposalToGnatt[[#This Row],[Start Date]],CJ$27&lt;ProposalToGnatt[[#This Row],[Start Date]]+ProposalToGnatt[[#This Row],[Days]]),$G$5,"")),"")</f>
        <v/>
      </c>
      <c r="CK65" s="36" t="str">
        <f ca="1">IFERROR(+IF(CK$27=ProposalToGnatt[[#This Row],[Start Date]],Milestone_Marker,IF(AND(CK$27&gt;ProposalToGnatt[[#This Row],[Start Date]],CK$27&lt;ProposalToGnatt[[#This Row],[Start Date]]+ProposalToGnatt[[#This Row],[Days]]),$G$5,"")),"")</f>
        <v/>
      </c>
      <c r="CL65" s="36" t="str">
        <f ca="1">IFERROR(+IF(CL$27=ProposalToGnatt[[#This Row],[Start Date]],Milestone_Marker,IF(AND(CL$27&gt;ProposalToGnatt[[#This Row],[Start Date]],CL$27&lt;ProposalToGnatt[[#This Row],[Start Date]]+ProposalToGnatt[[#This Row],[Days]]),$G$5,"")),"")</f>
        <v/>
      </c>
      <c r="CM65" s="36" t="str">
        <f ca="1">IFERROR(+IF(CM$27=ProposalToGnatt[[#This Row],[Start Date]],Milestone_Marker,IF(AND(CM$27&gt;ProposalToGnatt[[#This Row],[Start Date]],CM$27&lt;ProposalToGnatt[[#This Row],[Start Date]]+ProposalToGnatt[[#This Row],[Days]]),$G$5,"")),"")</f>
        <v/>
      </c>
      <c r="CN65" s="36" t="str">
        <f ca="1">IFERROR(+IF(CN$27=ProposalToGnatt[[#This Row],[Start Date]],Milestone_Marker,IF(AND(CN$27&gt;ProposalToGnatt[[#This Row],[Start Date]],CN$27&lt;ProposalToGnatt[[#This Row],[Start Date]]+ProposalToGnatt[[#This Row],[Days]]),$G$5,"")),"")</f>
        <v/>
      </c>
      <c r="CO65" s="36" t="str">
        <f ca="1">IFERROR(+IF(CO$27=ProposalToGnatt[[#This Row],[Start Date]],Milestone_Marker,IF(AND(CO$27&gt;ProposalToGnatt[[#This Row],[Start Date]],CO$27&lt;ProposalToGnatt[[#This Row],[Start Date]]+ProposalToGnatt[[#This Row],[Days]]),$G$5,"")),"")</f>
        <v/>
      </c>
      <c r="CP65" s="36" t="str">
        <f ca="1">IFERROR(+IF(CP$27=ProposalToGnatt[[#This Row],[Start Date]],Milestone_Marker,IF(AND(CP$27&gt;ProposalToGnatt[[#This Row],[Start Date]],CP$27&lt;ProposalToGnatt[[#This Row],[Start Date]]+ProposalToGnatt[[#This Row],[Days]]),$G$5,"")),"")</f>
        <v/>
      </c>
      <c r="CQ65" s="36" t="str">
        <f ca="1">IFERROR(+IF(CQ$27=ProposalToGnatt[[#This Row],[Start Date]],Milestone_Marker,IF(AND(CQ$27&gt;ProposalToGnatt[[#This Row],[Start Date]],CQ$27&lt;ProposalToGnatt[[#This Row],[Start Date]]+ProposalToGnatt[[#This Row],[Days]]),$G$5,"")),"")</f>
        <v/>
      </c>
      <c r="CR65" s="36" t="str">
        <f ca="1">IFERROR(+IF(CR$27=ProposalToGnatt[[#This Row],[Start Date]],Milestone_Marker,IF(AND(CR$27&gt;ProposalToGnatt[[#This Row],[Start Date]],CR$27&lt;ProposalToGnatt[[#This Row],[Start Date]]+ProposalToGnatt[[#This Row],[Days]]),$G$5,"")),"")</f>
        <v/>
      </c>
      <c r="CS65" s="36" t="str">
        <f ca="1">IFERROR(+IF(CS$27=ProposalToGnatt[[#This Row],[Start Date]],Milestone_Marker,IF(AND(CS$27&gt;ProposalToGnatt[[#This Row],[Start Date]],CS$27&lt;ProposalToGnatt[[#This Row],[Start Date]]+ProposalToGnatt[[#This Row],[Days]]),$G$5,"")),"")</f>
        <v/>
      </c>
      <c r="CT65" s="36" t="str">
        <f ca="1">IFERROR(+IF(CT$27=ProposalToGnatt[[#This Row],[Start Date]],Milestone_Marker,IF(AND(CT$27&gt;ProposalToGnatt[[#This Row],[Start Date]],CT$27&lt;ProposalToGnatt[[#This Row],[Start Date]]+ProposalToGnatt[[#This Row],[Days]]),$G$5,"")),"")</f>
        <v/>
      </c>
      <c r="CU65" s="36" t="str">
        <f ca="1">IFERROR(+IF(CU$27=ProposalToGnatt[[#This Row],[Start Date]],Milestone_Marker,IF(AND(CU$27&gt;ProposalToGnatt[[#This Row],[Start Date]],CU$27&lt;ProposalToGnatt[[#This Row],[Start Date]]+ProposalToGnatt[[#This Row],[Days]]),$G$5,"")),"")</f>
        <v/>
      </c>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row>
    <row r="66" spans="1:125" s="41" customFormat="1" ht="15" x14ac:dyDescent="0.25">
      <c r="A66"/>
      <c r="B66"/>
      <c r="C66"/>
      <c r="D66"/>
      <c r="E66"/>
      <c r="F66"/>
      <c r="G66" s="14"/>
      <c r="H66" s="14"/>
      <c r="I66"/>
      <c r="J66"/>
      <c r="K66" s="261"/>
      <c r="L66"/>
      <c r="M66" s="14"/>
      <c r="N66" s="309"/>
      <c r="O66" s="297"/>
      <c r="P66" s="36" t="str">
        <f ca="1">IFERROR(+IF(P$27=ProposalToGnatt[[#This Row],[Start Date]],Milestone_Marker,IF(AND(P$27&gt;ProposalToGnatt[[#This Row],[Start Date]],P$27&lt;ProposalToGnatt[[#This Row],[Start Date]]+ProposalToGnatt[[#This Row],[Days]]),$G$5,"")),"")</f>
        <v/>
      </c>
      <c r="Q66" s="36" t="str">
        <f ca="1">IFERROR(+IF(Q$27=ProposalToGnatt[[#This Row],[Start Date]],Milestone_Marker,IF(AND(Q$27&gt;ProposalToGnatt[[#This Row],[Start Date]],Q$27&lt;ProposalToGnatt[[#This Row],[Start Date]]+ProposalToGnatt[[#This Row],[Days]]),$G$5,"")),"")</f>
        <v/>
      </c>
      <c r="R66" s="36" t="str">
        <f ca="1">IFERROR(+IF(R$27=ProposalToGnatt[[#This Row],[Start Date]],Milestone_Marker,IF(AND(R$27&gt;ProposalToGnatt[[#This Row],[Start Date]],R$27&lt;ProposalToGnatt[[#This Row],[Start Date]]+ProposalToGnatt[[#This Row],[Days]]),$G$5,"")),"")</f>
        <v/>
      </c>
      <c r="S66" s="36" t="str">
        <f ca="1">IFERROR(+IF(S$27=ProposalToGnatt[[#This Row],[Start Date]],Milestone_Marker,IF(AND(S$27&gt;ProposalToGnatt[[#This Row],[Start Date]],S$27&lt;ProposalToGnatt[[#This Row],[Start Date]]+ProposalToGnatt[[#This Row],[Days]]),$G$5,"")),"")</f>
        <v/>
      </c>
      <c r="T66" s="36" t="str">
        <f ca="1">IFERROR(+IF(T$27=ProposalToGnatt[[#This Row],[Start Date]],Milestone_Marker,IF(AND(T$27&gt;ProposalToGnatt[[#This Row],[Start Date]],T$27&lt;ProposalToGnatt[[#This Row],[Start Date]]+ProposalToGnatt[[#This Row],[Days]]),$G$5,"")),"")</f>
        <v/>
      </c>
      <c r="U66" s="36" t="str">
        <f ca="1">IFERROR(+IF(U$27=ProposalToGnatt[[#This Row],[Start Date]],Milestone_Marker,IF(AND(U$27&gt;ProposalToGnatt[[#This Row],[Start Date]],U$27&lt;ProposalToGnatt[[#This Row],[Start Date]]+ProposalToGnatt[[#This Row],[Days]]),$G$5,"")),"")</f>
        <v/>
      </c>
      <c r="V66" s="36" t="str">
        <f ca="1">IFERROR(+IF(V$27=ProposalToGnatt[[#This Row],[Start Date]],Milestone_Marker,IF(AND(V$27&gt;ProposalToGnatt[[#This Row],[Start Date]],V$27&lt;ProposalToGnatt[[#This Row],[Start Date]]+ProposalToGnatt[[#This Row],[Days]]),$G$5,"")),"")</f>
        <v/>
      </c>
      <c r="W66" s="36" t="str">
        <f ca="1">IFERROR(+IF(W$27=ProposalToGnatt[[#This Row],[Start Date]],Milestone_Marker,IF(AND(W$27&gt;ProposalToGnatt[[#This Row],[Start Date]],W$27&lt;ProposalToGnatt[[#This Row],[Start Date]]+ProposalToGnatt[[#This Row],[Days]]),$G$5,"")),"")</f>
        <v/>
      </c>
      <c r="X66" s="36" t="str">
        <f ca="1">IFERROR(+IF(X$27=ProposalToGnatt[[#This Row],[Start Date]],Milestone_Marker,IF(AND(X$27&gt;ProposalToGnatt[[#This Row],[Start Date]],X$27&lt;ProposalToGnatt[[#This Row],[Start Date]]+ProposalToGnatt[[#This Row],[Days]]),$G$5,"")),"")</f>
        <v/>
      </c>
      <c r="Y66" s="36" t="str">
        <f ca="1">IFERROR(+IF(Y$27=ProposalToGnatt[[#This Row],[Start Date]],Milestone_Marker,IF(AND(Y$27&gt;ProposalToGnatt[[#This Row],[Start Date]],Y$27&lt;ProposalToGnatt[[#This Row],[Start Date]]+ProposalToGnatt[[#This Row],[Days]]),$G$5,"")),"")</f>
        <v/>
      </c>
      <c r="Z66" s="36" t="str">
        <f ca="1">IFERROR(+IF(Z$27=ProposalToGnatt[[#This Row],[Start Date]],Milestone_Marker,IF(AND(Z$27&gt;ProposalToGnatt[[#This Row],[Start Date]],Z$27&lt;ProposalToGnatt[[#This Row],[Start Date]]+ProposalToGnatt[[#This Row],[Days]]),$G$5,"")),"")</f>
        <v/>
      </c>
      <c r="AA66" s="36" t="str">
        <f ca="1">IFERROR(+IF(AA$27=ProposalToGnatt[[#This Row],[Start Date]],Milestone_Marker,IF(AND(AA$27&gt;ProposalToGnatt[[#This Row],[Start Date]],AA$27&lt;ProposalToGnatt[[#This Row],[Start Date]]+ProposalToGnatt[[#This Row],[Days]]),$G$5,"")),"")</f>
        <v/>
      </c>
      <c r="AB66" s="36" t="str">
        <f ca="1">IFERROR(+IF(AB$27=ProposalToGnatt[[#This Row],[Start Date]],Milestone_Marker,IF(AND(AB$27&gt;ProposalToGnatt[[#This Row],[Start Date]],AB$27&lt;ProposalToGnatt[[#This Row],[Start Date]]+ProposalToGnatt[[#This Row],[Days]]),$G$5,"")),"")</f>
        <v/>
      </c>
      <c r="AC66" s="36" t="str">
        <f ca="1">IFERROR(+IF(AC$27=ProposalToGnatt[[#This Row],[Start Date]],Milestone_Marker,IF(AND(AC$27&gt;ProposalToGnatt[[#This Row],[Start Date]],AC$27&lt;ProposalToGnatt[[#This Row],[Start Date]]+ProposalToGnatt[[#This Row],[Days]]),$G$5,"")),"")</f>
        <v/>
      </c>
      <c r="AD66" s="36" t="str">
        <f ca="1">IFERROR(+IF(AD$27=ProposalToGnatt[[#This Row],[Start Date]],Milestone_Marker,IF(AND(AD$27&gt;ProposalToGnatt[[#This Row],[Start Date]],AD$27&lt;ProposalToGnatt[[#This Row],[Start Date]]+ProposalToGnatt[[#This Row],[Days]]),$G$5,"")),"")</f>
        <v/>
      </c>
      <c r="AE66" s="36" t="str">
        <f ca="1">IFERROR(+IF(AE$27=ProposalToGnatt[[#This Row],[Start Date]],Milestone_Marker,IF(AND(AE$27&gt;ProposalToGnatt[[#This Row],[Start Date]],AE$27&lt;ProposalToGnatt[[#This Row],[Start Date]]+ProposalToGnatt[[#This Row],[Days]]),$G$5,"")),"")</f>
        <v/>
      </c>
      <c r="AF66" s="36" t="str">
        <f ca="1">IFERROR(+IF(AF$27=ProposalToGnatt[[#This Row],[Start Date]],Milestone_Marker,IF(AND(AF$27&gt;ProposalToGnatt[[#This Row],[Start Date]],AF$27&lt;ProposalToGnatt[[#This Row],[Start Date]]+ProposalToGnatt[[#This Row],[Days]]),$G$5,"")),"")</f>
        <v/>
      </c>
      <c r="AG66" s="36" t="str">
        <f ca="1">IFERROR(+IF(AG$27=ProposalToGnatt[[#This Row],[Start Date]],Milestone_Marker,IF(AND(AG$27&gt;ProposalToGnatt[[#This Row],[Start Date]],AG$27&lt;ProposalToGnatt[[#This Row],[Start Date]]+ProposalToGnatt[[#This Row],[Days]]),$G$5,"")),"")</f>
        <v/>
      </c>
      <c r="AH66" s="36" t="str">
        <f ca="1">IFERROR(+IF(AH$27=ProposalToGnatt[[#This Row],[Start Date]],Milestone_Marker,IF(AND(AH$27&gt;ProposalToGnatt[[#This Row],[Start Date]],AH$27&lt;ProposalToGnatt[[#This Row],[Start Date]]+ProposalToGnatt[[#This Row],[Days]]),$G$5,"")),"")</f>
        <v/>
      </c>
      <c r="AI66" s="36" t="str">
        <f ca="1">IFERROR(+IF(AI$27=ProposalToGnatt[[#This Row],[Start Date]],Milestone_Marker,IF(AND(AI$27&gt;ProposalToGnatt[[#This Row],[Start Date]],AI$27&lt;ProposalToGnatt[[#This Row],[Start Date]]+ProposalToGnatt[[#This Row],[Days]]),$G$5,"")),"")</f>
        <v/>
      </c>
      <c r="AJ66" s="36" t="str">
        <f ca="1">IFERROR(+IF(AJ$27=ProposalToGnatt[[#This Row],[Start Date]],Milestone_Marker,IF(AND(AJ$27&gt;ProposalToGnatt[[#This Row],[Start Date]],AJ$27&lt;ProposalToGnatt[[#This Row],[Start Date]]+ProposalToGnatt[[#This Row],[Days]]),$G$5,"")),"")</f>
        <v/>
      </c>
      <c r="AK66" s="36" t="str">
        <f ca="1">IFERROR(+IF(AK$27=ProposalToGnatt[[#This Row],[Start Date]],Milestone_Marker,IF(AND(AK$27&gt;ProposalToGnatt[[#This Row],[Start Date]],AK$27&lt;ProposalToGnatt[[#This Row],[Start Date]]+ProposalToGnatt[[#This Row],[Days]]),$G$5,"")),"")</f>
        <v/>
      </c>
      <c r="AL66" s="36" t="str">
        <f ca="1">IFERROR(+IF(AL$27=ProposalToGnatt[[#This Row],[Start Date]],Milestone_Marker,IF(AND(AL$27&gt;ProposalToGnatt[[#This Row],[Start Date]],AL$27&lt;ProposalToGnatt[[#This Row],[Start Date]]+ProposalToGnatt[[#This Row],[Days]]),$G$5,"")),"")</f>
        <v/>
      </c>
      <c r="AM66" s="36" t="str">
        <f ca="1">IFERROR(+IF(AM$27=ProposalToGnatt[[#This Row],[Start Date]],Milestone_Marker,IF(AND(AM$27&gt;ProposalToGnatt[[#This Row],[Start Date]],AM$27&lt;ProposalToGnatt[[#This Row],[Start Date]]+ProposalToGnatt[[#This Row],[Days]]),$G$5,"")),"")</f>
        <v/>
      </c>
      <c r="AN66" s="36" t="str">
        <f ca="1">IFERROR(+IF(AN$27=ProposalToGnatt[[#This Row],[Start Date]],Milestone_Marker,IF(AND(AN$27&gt;ProposalToGnatt[[#This Row],[Start Date]],AN$27&lt;ProposalToGnatt[[#This Row],[Start Date]]+ProposalToGnatt[[#This Row],[Days]]),$G$5,"")),"")</f>
        <v/>
      </c>
      <c r="AO66" s="36" t="str">
        <f ca="1">IFERROR(+IF(AO$27=ProposalToGnatt[[#This Row],[Start Date]],Milestone_Marker,IF(AND(AO$27&gt;ProposalToGnatt[[#This Row],[Start Date]],AO$27&lt;ProposalToGnatt[[#This Row],[Start Date]]+ProposalToGnatt[[#This Row],[Days]]),$G$5,"")),"")</f>
        <v/>
      </c>
      <c r="AP66" s="36" t="str">
        <f ca="1">IFERROR(+IF(AP$27=ProposalToGnatt[[#This Row],[Start Date]],Milestone_Marker,IF(AND(AP$27&gt;ProposalToGnatt[[#This Row],[Start Date]],AP$27&lt;ProposalToGnatt[[#This Row],[Start Date]]+ProposalToGnatt[[#This Row],[Days]]),$G$5,"")),"")</f>
        <v/>
      </c>
      <c r="AQ66" s="36" t="str">
        <f ca="1">IFERROR(+IF(AQ$27=ProposalToGnatt[[#This Row],[Start Date]],Milestone_Marker,IF(AND(AQ$27&gt;ProposalToGnatt[[#This Row],[Start Date]],AQ$27&lt;ProposalToGnatt[[#This Row],[Start Date]]+ProposalToGnatt[[#This Row],[Days]]),$G$5,"")),"")</f>
        <v/>
      </c>
      <c r="AR66" s="36" t="str">
        <f ca="1">IFERROR(+IF(AR$27=ProposalToGnatt[[#This Row],[Start Date]],Milestone_Marker,IF(AND(AR$27&gt;ProposalToGnatt[[#This Row],[Start Date]],AR$27&lt;ProposalToGnatt[[#This Row],[Start Date]]+ProposalToGnatt[[#This Row],[Days]]),$G$5,"")),"")</f>
        <v/>
      </c>
      <c r="AS66" s="36" t="str">
        <f ca="1">IFERROR(+IF(AS$27=ProposalToGnatt[[#This Row],[Start Date]],Milestone_Marker,IF(AND(AS$27&gt;ProposalToGnatt[[#This Row],[Start Date]],AS$27&lt;ProposalToGnatt[[#This Row],[Start Date]]+ProposalToGnatt[[#This Row],[Days]]),$G$5,"")),"")</f>
        <v/>
      </c>
      <c r="AT66" s="36" t="str">
        <f ca="1">IFERROR(+IF(AT$27=ProposalToGnatt[[#This Row],[Start Date]],Milestone_Marker,IF(AND(AT$27&gt;ProposalToGnatt[[#This Row],[Start Date]],AT$27&lt;ProposalToGnatt[[#This Row],[Start Date]]+ProposalToGnatt[[#This Row],[Days]]),$G$5,"")),"")</f>
        <v/>
      </c>
      <c r="AU66" s="36" t="str">
        <f ca="1">IFERROR(+IF(AU$27=ProposalToGnatt[[#This Row],[Start Date]],Milestone_Marker,IF(AND(AU$27&gt;ProposalToGnatt[[#This Row],[Start Date]],AU$27&lt;ProposalToGnatt[[#This Row],[Start Date]]+ProposalToGnatt[[#This Row],[Days]]),$G$5,"")),"")</f>
        <v/>
      </c>
      <c r="AV66" s="36" t="str">
        <f ca="1">IFERROR(+IF(AV$27=ProposalToGnatt[[#This Row],[Start Date]],Milestone_Marker,IF(AND(AV$27&gt;ProposalToGnatt[[#This Row],[Start Date]],AV$27&lt;ProposalToGnatt[[#This Row],[Start Date]]+ProposalToGnatt[[#This Row],[Days]]),$G$5,"")),"")</f>
        <v/>
      </c>
      <c r="AW66" s="36" t="str">
        <f ca="1">IFERROR(+IF(AW$27=ProposalToGnatt[[#This Row],[Start Date]],Milestone_Marker,IF(AND(AW$27&gt;ProposalToGnatt[[#This Row],[Start Date]],AW$27&lt;ProposalToGnatt[[#This Row],[Start Date]]+ProposalToGnatt[[#This Row],[Days]]),$G$5,"")),"")</f>
        <v/>
      </c>
      <c r="AX66" s="36" t="str">
        <f ca="1">IFERROR(+IF(AX$27=ProposalToGnatt[[#This Row],[Start Date]],Milestone_Marker,IF(AND(AX$27&gt;ProposalToGnatt[[#This Row],[Start Date]],AX$27&lt;ProposalToGnatt[[#This Row],[Start Date]]+ProposalToGnatt[[#This Row],[Days]]),$G$5,"")),"")</f>
        <v/>
      </c>
      <c r="AY66" s="36" t="str">
        <f ca="1">IFERROR(+IF(AY$27=ProposalToGnatt[[#This Row],[Start Date]],Milestone_Marker,IF(AND(AY$27&gt;ProposalToGnatt[[#This Row],[Start Date]],AY$27&lt;ProposalToGnatt[[#This Row],[Start Date]]+ProposalToGnatt[[#This Row],[Days]]),$G$5,"")),"")</f>
        <v/>
      </c>
      <c r="AZ66" s="36" t="str">
        <f ca="1">IFERROR(+IF(AZ$27=ProposalToGnatt[[#This Row],[Start Date]],Milestone_Marker,IF(AND(AZ$27&gt;ProposalToGnatt[[#This Row],[Start Date]],AZ$27&lt;ProposalToGnatt[[#This Row],[Start Date]]+ProposalToGnatt[[#This Row],[Days]]),$G$5,"")),"")</f>
        <v/>
      </c>
      <c r="BA66" s="36" t="str">
        <f ca="1">IFERROR(+IF(BA$27=ProposalToGnatt[[#This Row],[Start Date]],Milestone_Marker,IF(AND(BA$27&gt;ProposalToGnatt[[#This Row],[Start Date]],BA$27&lt;ProposalToGnatt[[#This Row],[Start Date]]+ProposalToGnatt[[#This Row],[Days]]),$G$5,"")),"")</f>
        <v/>
      </c>
      <c r="BB66" s="36" t="str">
        <f ca="1">IFERROR(+IF(BB$27=ProposalToGnatt[[#This Row],[Start Date]],Milestone_Marker,IF(AND(BB$27&gt;ProposalToGnatt[[#This Row],[Start Date]],BB$27&lt;ProposalToGnatt[[#This Row],[Start Date]]+ProposalToGnatt[[#This Row],[Days]]),$G$5,"")),"")</f>
        <v/>
      </c>
      <c r="BC66" s="36" t="str">
        <f ca="1">IFERROR(+IF(BC$27=ProposalToGnatt[[#This Row],[Start Date]],Milestone_Marker,IF(AND(BC$27&gt;ProposalToGnatt[[#This Row],[Start Date]],BC$27&lt;ProposalToGnatt[[#This Row],[Start Date]]+ProposalToGnatt[[#This Row],[Days]]),$G$5,"")),"")</f>
        <v/>
      </c>
      <c r="BD66" s="36" t="str">
        <f ca="1">IFERROR(+IF(BD$27=ProposalToGnatt[[#This Row],[Start Date]],Milestone_Marker,IF(AND(BD$27&gt;ProposalToGnatt[[#This Row],[Start Date]],BD$27&lt;ProposalToGnatt[[#This Row],[Start Date]]+ProposalToGnatt[[#This Row],[Days]]),$G$5,"")),"")</f>
        <v/>
      </c>
      <c r="BE66" s="36" t="str">
        <f ca="1">IFERROR(+IF(BE$27=ProposalToGnatt[[#This Row],[Start Date]],Milestone_Marker,IF(AND(BE$27&gt;ProposalToGnatt[[#This Row],[Start Date]],BE$27&lt;ProposalToGnatt[[#This Row],[Start Date]]+ProposalToGnatt[[#This Row],[Days]]),$G$5,"")),"")</f>
        <v/>
      </c>
      <c r="BF66" s="36" t="str">
        <f ca="1">IFERROR(+IF(BF$27=ProposalToGnatt[[#This Row],[Start Date]],Milestone_Marker,IF(AND(BF$27&gt;ProposalToGnatt[[#This Row],[Start Date]],BF$27&lt;ProposalToGnatt[[#This Row],[Start Date]]+ProposalToGnatt[[#This Row],[Days]]),$G$5,"")),"")</f>
        <v/>
      </c>
      <c r="BG66" s="36" t="str">
        <f ca="1">IFERROR(+IF(BG$27=ProposalToGnatt[[#This Row],[Start Date]],Milestone_Marker,IF(AND(BG$27&gt;ProposalToGnatt[[#This Row],[Start Date]],BG$27&lt;ProposalToGnatt[[#This Row],[Start Date]]+ProposalToGnatt[[#This Row],[Days]]),$G$5,"")),"")</f>
        <v/>
      </c>
      <c r="BH66" s="36" t="str">
        <f ca="1">IFERROR(+IF(BH$27=ProposalToGnatt[[#This Row],[Start Date]],Milestone_Marker,IF(AND(BH$27&gt;ProposalToGnatt[[#This Row],[Start Date]],BH$27&lt;ProposalToGnatt[[#This Row],[Start Date]]+ProposalToGnatt[[#This Row],[Days]]),$G$5,"")),"")</f>
        <v/>
      </c>
      <c r="BI66" s="36" t="str">
        <f ca="1">IFERROR(+IF(BI$27=ProposalToGnatt[[#This Row],[Start Date]],Milestone_Marker,IF(AND(BI$27&gt;ProposalToGnatt[[#This Row],[Start Date]],BI$27&lt;ProposalToGnatt[[#This Row],[Start Date]]+ProposalToGnatt[[#This Row],[Days]]),$G$5,"")),"")</f>
        <v/>
      </c>
      <c r="BJ66" s="36" t="str">
        <f ca="1">IFERROR(+IF(BJ$27=ProposalToGnatt[[#This Row],[Start Date]],Milestone_Marker,IF(AND(BJ$27&gt;ProposalToGnatt[[#This Row],[Start Date]],BJ$27&lt;ProposalToGnatt[[#This Row],[Start Date]]+ProposalToGnatt[[#This Row],[Days]]),$G$5,"")),"")</f>
        <v/>
      </c>
      <c r="BK66" s="36" t="str">
        <f ca="1">IFERROR(+IF(BK$27=ProposalToGnatt[[#This Row],[Start Date]],Milestone_Marker,IF(AND(BK$27&gt;ProposalToGnatt[[#This Row],[Start Date]],BK$27&lt;ProposalToGnatt[[#This Row],[Start Date]]+ProposalToGnatt[[#This Row],[Days]]),$G$5,"")),"")</f>
        <v/>
      </c>
      <c r="BL66" s="36" t="str">
        <f ca="1">IFERROR(+IF(BL$27=ProposalToGnatt[[#This Row],[Start Date]],Milestone_Marker,IF(AND(BL$27&gt;ProposalToGnatt[[#This Row],[Start Date]],BL$27&lt;ProposalToGnatt[[#This Row],[Start Date]]+ProposalToGnatt[[#This Row],[Days]]),$G$5,"")),"")</f>
        <v/>
      </c>
      <c r="BM66" s="36" t="str">
        <f ca="1">IFERROR(+IF(BM$27=ProposalToGnatt[[#This Row],[Start Date]],Milestone_Marker,IF(AND(BM$27&gt;ProposalToGnatt[[#This Row],[Start Date]],BM$27&lt;ProposalToGnatt[[#This Row],[Start Date]]+ProposalToGnatt[[#This Row],[Days]]),$G$5,"")),"")</f>
        <v/>
      </c>
      <c r="BN66" s="36" t="str">
        <f ca="1">IFERROR(+IF(BN$27=ProposalToGnatt[[#This Row],[Start Date]],Milestone_Marker,IF(AND(BN$27&gt;ProposalToGnatt[[#This Row],[Start Date]],BN$27&lt;ProposalToGnatt[[#This Row],[Start Date]]+ProposalToGnatt[[#This Row],[Days]]),$G$5,"")),"")</f>
        <v/>
      </c>
      <c r="BO66" s="36" t="str">
        <f ca="1">IFERROR(+IF(BO$27=ProposalToGnatt[[#This Row],[Start Date]],Milestone_Marker,IF(AND(BO$27&gt;ProposalToGnatt[[#This Row],[Start Date]],BO$27&lt;ProposalToGnatt[[#This Row],[Start Date]]+ProposalToGnatt[[#This Row],[Days]]),$G$5,"")),"")</f>
        <v/>
      </c>
      <c r="BP66" s="36" t="str">
        <f ca="1">IFERROR(+IF(BP$27=ProposalToGnatt[[#This Row],[Start Date]],Milestone_Marker,IF(AND(BP$27&gt;ProposalToGnatt[[#This Row],[Start Date]],BP$27&lt;ProposalToGnatt[[#This Row],[Start Date]]+ProposalToGnatt[[#This Row],[Days]]),$G$5,"")),"")</f>
        <v/>
      </c>
      <c r="BQ66" s="36" t="str">
        <f ca="1">IFERROR(+IF(BQ$27=ProposalToGnatt[[#This Row],[Start Date]],Milestone_Marker,IF(AND(BQ$27&gt;ProposalToGnatt[[#This Row],[Start Date]],BQ$27&lt;ProposalToGnatt[[#This Row],[Start Date]]+ProposalToGnatt[[#This Row],[Days]]),$G$5,"")),"")</f>
        <v/>
      </c>
      <c r="BR66" s="36" t="str">
        <f ca="1">IFERROR(+IF(BR$27=ProposalToGnatt[[#This Row],[Start Date]],Milestone_Marker,IF(AND(BR$27&gt;ProposalToGnatt[[#This Row],[Start Date]],BR$27&lt;ProposalToGnatt[[#This Row],[Start Date]]+ProposalToGnatt[[#This Row],[Days]]),$G$5,"")),"")</f>
        <v/>
      </c>
      <c r="BS66" s="36" t="str">
        <f ca="1">IFERROR(+IF(BS$27=ProposalToGnatt[[#This Row],[Start Date]],Milestone_Marker,IF(AND(BS$27&gt;ProposalToGnatt[[#This Row],[Start Date]],BS$27&lt;ProposalToGnatt[[#This Row],[Start Date]]+ProposalToGnatt[[#This Row],[Days]]),$G$5,"")),"")</f>
        <v/>
      </c>
      <c r="BT66" s="36" t="str">
        <f ca="1">IFERROR(+IF(BT$27=ProposalToGnatt[[#This Row],[Start Date]],Milestone_Marker,IF(AND(BT$27&gt;ProposalToGnatt[[#This Row],[Start Date]],BT$27&lt;ProposalToGnatt[[#This Row],[Start Date]]+ProposalToGnatt[[#This Row],[Days]]),$G$5,"")),"")</f>
        <v/>
      </c>
      <c r="BU66" s="36" t="str">
        <f ca="1">IFERROR(+IF(BU$27=ProposalToGnatt[[#This Row],[Start Date]],Milestone_Marker,IF(AND(BU$27&gt;ProposalToGnatt[[#This Row],[Start Date]],BU$27&lt;ProposalToGnatt[[#This Row],[Start Date]]+ProposalToGnatt[[#This Row],[Days]]),$G$5,"")),"")</f>
        <v/>
      </c>
      <c r="BV66" s="36" t="str">
        <f ca="1">IFERROR(+IF(BV$27=ProposalToGnatt[[#This Row],[Start Date]],Milestone_Marker,IF(AND(BV$27&gt;ProposalToGnatt[[#This Row],[Start Date]],BV$27&lt;ProposalToGnatt[[#This Row],[Start Date]]+ProposalToGnatt[[#This Row],[Days]]),$G$5,"")),"")</f>
        <v/>
      </c>
      <c r="BW66" s="36" t="str">
        <f ca="1">IFERROR(+IF(BW$27=ProposalToGnatt[[#This Row],[Start Date]],Milestone_Marker,IF(AND(BW$27&gt;ProposalToGnatt[[#This Row],[Start Date]],BW$27&lt;ProposalToGnatt[[#This Row],[Start Date]]+ProposalToGnatt[[#This Row],[Days]]),$G$5,"")),"")</f>
        <v/>
      </c>
      <c r="BX66" s="36" t="str">
        <f ca="1">IFERROR(+IF(BX$27=ProposalToGnatt[[#This Row],[Start Date]],Milestone_Marker,IF(AND(BX$27&gt;ProposalToGnatt[[#This Row],[Start Date]],BX$27&lt;ProposalToGnatt[[#This Row],[Start Date]]+ProposalToGnatt[[#This Row],[Days]]),$G$5,"")),"")</f>
        <v/>
      </c>
      <c r="BY66" s="36" t="str">
        <f ca="1">IFERROR(+IF(BY$27=ProposalToGnatt[[#This Row],[Start Date]],Milestone_Marker,IF(AND(BY$27&gt;ProposalToGnatt[[#This Row],[Start Date]],BY$27&lt;ProposalToGnatt[[#This Row],[Start Date]]+ProposalToGnatt[[#This Row],[Days]]),$G$5,"")),"")</f>
        <v/>
      </c>
      <c r="BZ66" s="36" t="str">
        <f ca="1">IFERROR(+IF(BZ$27=ProposalToGnatt[[#This Row],[Start Date]],Milestone_Marker,IF(AND(BZ$27&gt;ProposalToGnatt[[#This Row],[Start Date]],BZ$27&lt;ProposalToGnatt[[#This Row],[Start Date]]+ProposalToGnatt[[#This Row],[Days]]),$G$5,"")),"")</f>
        <v/>
      </c>
      <c r="CA66" s="36" t="str">
        <f ca="1">IFERROR(+IF(CA$27=ProposalToGnatt[[#This Row],[Start Date]],Milestone_Marker,IF(AND(CA$27&gt;ProposalToGnatt[[#This Row],[Start Date]],CA$27&lt;ProposalToGnatt[[#This Row],[Start Date]]+ProposalToGnatt[[#This Row],[Days]]),$G$5,"")),"")</f>
        <v/>
      </c>
      <c r="CB66" s="36" t="str">
        <f ca="1">IFERROR(+IF(CB$27=ProposalToGnatt[[#This Row],[Start Date]],Milestone_Marker,IF(AND(CB$27&gt;ProposalToGnatt[[#This Row],[Start Date]],CB$27&lt;ProposalToGnatt[[#This Row],[Start Date]]+ProposalToGnatt[[#This Row],[Days]]),$G$5,"")),"")</f>
        <v/>
      </c>
      <c r="CC66" s="36" t="str">
        <f ca="1">IFERROR(+IF(CC$27=ProposalToGnatt[[#This Row],[Start Date]],Milestone_Marker,IF(AND(CC$27&gt;ProposalToGnatt[[#This Row],[Start Date]],CC$27&lt;ProposalToGnatt[[#This Row],[Start Date]]+ProposalToGnatt[[#This Row],[Days]]),$G$5,"")),"")</f>
        <v/>
      </c>
      <c r="CD66" s="36" t="str">
        <f ca="1">IFERROR(+IF(CD$27=ProposalToGnatt[[#This Row],[Start Date]],Milestone_Marker,IF(AND(CD$27&gt;ProposalToGnatt[[#This Row],[Start Date]],CD$27&lt;ProposalToGnatt[[#This Row],[Start Date]]+ProposalToGnatt[[#This Row],[Days]]),$G$5,"")),"")</f>
        <v/>
      </c>
      <c r="CE66" s="36" t="str">
        <f ca="1">IFERROR(+IF(CE$27=ProposalToGnatt[[#This Row],[Start Date]],Milestone_Marker,IF(AND(CE$27&gt;ProposalToGnatt[[#This Row],[Start Date]],CE$27&lt;ProposalToGnatt[[#This Row],[Start Date]]+ProposalToGnatt[[#This Row],[Days]]),$G$5,"")),"")</f>
        <v/>
      </c>
      <c r="CF66" s="36" t="str">
        <f ca="1">IFERROR(+IF(CF$27=ProposalToGnatt[[#This Row],[Start Date]],Milestone_Marker,IF(AND(CF$27&gt;ProposalToGnatt[[#This Row],[Start Date]],CF$27&lt;ProposalToGnatt[[#This Row],[Start Date]]+ProposalToGnatt[[#This Row],[Days]]),$G$5,"")),"")</f>
        <v/>
      </c>
      <c r="CG66" s="36" t="str">
        <f ca="1">IFERROR(+IF(CG$27=ProposalToGnatt[[#This Row],[Start Date]],Milestone_Marker,IF(AND(CG$27&gt;ProposalToGnatt[[#This Row],[Start Date]],CG$27&lt;ProposalToGnatt[[#This Row],[Start Date]]+ProposalToGnatt[[#This Row],[Days]]),$G$5,"")),"")</f>
        <v/>
      </c>
      <c r="CH66" s="36" t="str">
        <f ca="1">IFERROR(+IF(CH$27=ProposalToGnatt[[#This Row],[Start Date]],Milestone_Marker,IF(AND(CH$27&gt;ProposalToGnatt[[#This Row],[Start Date]],CH$27&lt;ProposalToGnatt[[#This Row],[Start Date]]+ProposalToGnatt[[#This Row],[Days]]),$G$5,"")),"")</f>
        <v/>
      </c>
      <c r="CI66" s="36" t="str">
        <f ca="1">IFERROR(+IF(CI$27=ProposalToGnatt[[#This Row],[Start Date]],Milestone_Marker,IF(AND(CI$27&gt;ProposalToGnatt[[#This Row],[Start Date]],CI$27&lt;ProposalToGnatt[[#This Row],[Start Date]]+ProposalToGnatt[[#This Row],[Days]]),$G$5,"")),"")</f>
        <v/>
      </c>
      <c r="CJ66" s="36" t="str">
        <f ca="1">IFERROR(+IF(CJ$27=ProposalToGnatt[[#This Row],[Start Date]],Milestone_Marker,IF(AND(CJ$27&gt;ProposalToGnatt[[#This Row],[Start Date]],CJ$27&lt;ProposalToGnatt[[#This Row],[Start Date]]+ProposalToGnatt[[#This Row],[Days]]),$G$5,"")),"")</f>
        <v/>
      </c>
      <c r="CK66" s="36" t="str">
        <f ca="1">IFERROR(+IF(CK$27=ProposalToGnatt[[#This Row],[Start Date]],Milestone_Marker,IF(AND(CK$27&gt;ProposalToGnatt[[#This Row],[Start Date]],CK$27&lt;ProposalToGnatt[[#This Row],[Start Date]]+ProposalToGnatt[[#This Row],[Days]]),$G$5,"")),"")</f>
        <v/>
      </c>
      <c r="CL66" s="36" t="str">
        <f ca="1">IFERROR(+IF(CL$27=ProposalToGnatt[[#This Row],[Start Date]],Milestone_Marker,IF(AND(CL$27&gt;ProposalToGnatt[[#This Row],[Start Date]],CL$27&lt;ProposalToGnatt[[#This Row],[Start Date]]+ProposalToGnatt[[#This Row],[Days]]),$G$5,"")),"")</f>
        <v/>
      </c>
      <c r="CM66" s="36" t="str">
        <f ca="1">IFERROR(+IF(CM$27=ProposalToGnatt[[#This Row],[Start Date]],Milestone_Marker,IF(AND(CM$27&gt;ProposalToGnatt[[#This Row],[Start Date]],CM$27&lt;ProposalToGnatt[[#This Row],[Start Date]]+ProposalToGnatt[[#This Row],[Days]]),$G$5,"")),"")</f>
        <v/>
      </c>
      <c r="CN66" s="36" t="str">
        <f ca="1">IFERROR(+IF(CN$27=ProposalToGnatt[[#This Row],[Start Date]],Milestone_Marker,IF(AND(CN$27&gt;ProposalToGnatt[[#This Row],[Start Date]],CN$27&lt;ProposalToGnatt[[#This Row],[Start Date]]+ProposalToGnatt[[#This Row],[Days]]),$G$5,"")),"")</f>
        <v/>
      </c>
      <c r="CO66" s="36" t="str">
        <f ca="1">IFERROR(+IF(CO$27=ProposalToGnatt[[#This Row],[Start Date]],Milestone_Marker,IF(AND(CO$27&gt;ProposalToGnatt[[#This Row],[Start Date]],CO$27&lt;ProposalToGnatt[[#This Row],[Start Date]]+ProposalToGnatt[[#This Row],[Days]]),$G$5,"")),"")</f>
        <v/>
      </c>
      <c r="CP66" s="36" t="str">
        <f ca="1">IFERROR(+IF(CP$27=ProposalToGnatt[[#This Row],[Start Date]],Milestone_Marker,IF(AND(CP$27&gt;ProposalToGnatt[[#This Row],[Start Date]],CP$27&lt;ProposalToGnatt[[#This Row],[Start Date]]+ProposalToGnatt[[#This Row],[Days]]),$G$5,"")),"")</f>
        <v/>
      </c>
      <c r="CQ66" s="36" t="str">
        <f ca="1">IFERROR(+IF(CQ$27=ProposalToGnatt[[#This Row],[Start Date]],Milestone_Marker,IF(AND(CQ$27&gt;ProposalToGnatt[[#This Row],[Start Date]],CQ$27&lt;ProposalToGnatt[[#This Row],[Start Date]]+ProposalToGnatt[[#This Row],[Days]]),$G$5,"")),"")</f>
        <v/>
      </c>
      <c r="CR66" s="36" t="str">
        <f ca="1">IFERROR(+IF(CR$27=ProposalToGnatt[[#This Row],[Start Date]],Milestone_Marker,IF(AND(CR$27&gt;ProposalToGnatt[[#This Row],[Start Date]],CR$27&lt;ProposalToGnatt[[#This Row],[Start Date]]+ProposalToGnatt[[#This Row],[Days]]),$G$5,"")),"")</f>
        <v/>
      </c>
      <c r="CS66" s="36" t="str">
        <f ca="1">IFERROR(+IF(CS$27=ProposalToGnatt[[#This Row],[Start Date]],Milestone_Marker,IF(AND(CS$27&gt;ProposalToGnatt[[#This Row],[Start Date]],CS$27&lt;ProposalToGnatt[[#This Row],[Start Date]]+ProposalToGnatt[[#This Row],[Days]]),$G$5,"")),"")</f>
        <v/>
      </c>
      <c r="CT66" s="36" t="str">
        <f ca="1">IFERROR(+IF(CT$27=ProposalToGnatt[[#This Row],[Start Date]],Milestone_Marker,IF(AND(CT$27&gt;ProposalToGnatt[[#This Row],[Start Date]],CT$27&lt;ProposalToGnatt[[#This Row],[Start Date]]+ProposalToGnatt[[#This Row],[Days]]),$G$5,"")),"")</f>
        <v/>
      </c>
      <c r="CU66" s="36" t="str">
        <f ca="1">IFERROR(+IF(CU$27=ProposalToGnatt[[#This Row],[Start Date]],Milestone_Marker,IF(AND(CU$27&gt;ProposalToGnatt[[#This Row],[Start Date]],CU$27&lt;ProposalToGnatt[[#This Row],[Start Date]]+ProposalToGnatt[[#This Row],[Days]]),$G$5,"")),"")</f>
        <v/>
      </c>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row>
    <row r="67" spans="1:125" s="41" customFormat="1" ht="15" x14ac:dyDescent="0.25">
      <c r="A67"/>
      <c r="B67"/>
      <c r="C67"/>
      <c r="D67"/>
      <c r="E67"/>
      <c r="F67"/>
      <c r="G67" s="14"/>
      <c r="H67" s="14"/>
      <c r="I67"/>
      <c r="J67"/>
      <c r="K67" s="261"/>
      <c r="L67"/>
      <c r="M67" s="14"/>
      <c r="N67" s="309"/>
      <c r="O67" s="297"/>
      <c r="P67" s="36" t="str">
        <f ca="1">IFERROR(+IF(P$27=ProposalToGnatt[[#This Row],[Start Date]],Milestone_Marker,IF(AND(P$27&gt;ProposalToGnatt[[#This Row],[Start Date]],P$27&lt;ProposalToGnatt[[#This Row],[Start Date]]+ProposalToGnatt[[#This Row],[Days]]),$G$5,"")),"")</f>
        <v/>
      </c>
      <c r="Q67" s="36" t="str">
        <f ca="1">IFERROR(+IF(Q$27=ProposalToGnatt[[#This Row],[Start Date]],Milestone_Marker,IF(AND(Q$27&gt;ProposalToGnatt[[#This Row],[Start Date]],Q$27&lt;ProposalToGnatt[[#This Row],[Start Date]]+ProposalToGnatt[[#This Row],[Days]]),$G$5,"")),"")</f>
        <v/>
      </c>
      <c r="R67" s="36" t="str">
        <f ca="1">IFERROR(+IF(R$27=ProposalToGnatt[[#This Row],[Start Date]],Milestone_Marker,IF(AND(R$27&gt;ProposalToGnatt[[#This Row],[Start Date]],R$27&lt;ProposalToGnatt[[#This Row],[Start Date]]+ProposalToGnatt[[#This Row],[Days]]),$G$5,"")),"")</f>
        <v/>
      </c>
      <c r="S67" s="36" t="str">
        <f ca="1">IFERROR(+IF(S$27=ProposalToGnatt[[#This Row],[Start Date]],Milestone_Marker,IF(AND(S$27&gt;ProposalToGnatt[[#This Row],[Start Date]],S$27&lt;ProposalToGnatt[[#This Row],[Start Date]]+ProposalToGnatt[[#This Row],[Days]]),$G$5,"")),"")</f>
        <v/>
      </c>
      <c r="T67" s="36" t="str">
        <f ca="1">IFERROR(+IF(T$27=ProposalToGnatt[[#This Row],[Start Date]],Milestone_Marker,IF(AND(T$27&gt;ProposalToGnatt[[#This Row],[Start Date]],T$27&lt;ProposalToGnatt[[#This Row],[Start Date]]+ProposalToGnatt[[#This Row],[Days]]),$G$5,"")),"")</f>
        <v/>
      </c>
      <c r="U67" s="36" t="str">
        <f ca="1">IFERROR(+IF(U$27=ProposalToGnatt[[#This Row],[Start Date]],Milestone_Marker,IF(AND(U$27&gt;ProposalToGnatt[[#This Row],[Start Date]],U$27&lt;ProposalToGnatt[[#This Row],[Start Date]]+ProposalToGnatt[[#This Row],[Days]]),$G$5,"")),"")</f>
        <v/>
      </c>
      <c r="V67" s="36" t="str">
        <f ca="1">IFERROR(+IF(V$27=ProposalToGnatt[[#This Row],[Start Date]],Milestone_Marker,IF(AND(V$27&gt;ProposalToGnatt[[#This Row],[Start Date]],V$27&lt;ProposalToGnatt[[#This Row],[Start Date]]+ProposalToGnatt[[#This Row],[Days]]),$G$5,"")),"")</f>
        <v/>
      </c>
      <c r="W67" s="36" t="str">
        <f ca="1">IFERROR(+IF(W$27=ProposalToGnatt[[#This Row],[Start Date]],Milestone_Marker,IF(AND(W$27&gt;ProposalToGnatt[[#This Row],[Start Date]],W$27&lt;ProposalToGnatt[[#This Row],[Start Date]]+ProposalToGnatt[[#This Row],[Days]]),$G$5,"")),"")</f>
        <v/>
      </c>
      <c r="X67" s="36" t="str">
        <f ca="1">IFERROR(+IF(X$27=ProposalToGnatt[[#This Row],[Start Date]],Milestone_Marker,IF(AND(X$27&gt;ProposalToGnatt[[#This Row],[Start Date]],X$27&lt;ProposalToGnatt[[#This Row],[Start Date]]+ProposalToGnatt[[#This Row],[Days]]),$G$5,"")),"")</f>
        <v/>
      </c>
      <c r="Y67" s="36" t="str">
        <f ca="1">IFERROR(+IF(Y$27=ProposalToGnatt[[#This Row],[Start Date]],Milestone_Marker,IF(AND(Y$27&gt;ProposalToGnatt[[#This Row],[Start Date]],Y$27&lt;ProposalToGnatt[[#This Row],[Start Date]]+ProposalToGnatt[[#This Row],[Days]]),$G$5,"")),"")</f>
        <v/>
      </c>
      <c r="Z67" s="36" t="str">
        <f ca="1">IFERROR(+IF(Z$27=ProposalToGnatt[[#This Row],[Start Date]],Milestone_Marker,IF(AND(Z$27&gt;ProposalToGnatt[[#This Row],[Start Date]],Z$27&lt;ProposalToGnatt[[#This Row],[Start Date]]+ProposalToGnatt[[#This Row],[Days]]),$G$5,"")),"")</f>
        <v/>
      </c>
      <c r="AA67" s="36" t="str">
        <f ca="1">IFERROR(+IF(AA$27=ProposalToGnatt[[#This Row],[Start Date]],Milestone_Marker,IF(AND(AA$27&gt;ProposalToGnatt[[#This Row],[Start Date]],AA$27&lt;ProposalToGnatt[[#This Row],[Start Date]]+ProposalToGnatt[[#This Row],[Days]]),$G$5,"")),"")</f>
        <v/>
      </c>
      <c r="AB67" s="36" t="str">
        <f ca="1">IFERROR(+IF(AB$27=ProposalToGnatt[[#This Row],[Start Date]],Milestone_Marker,IF(AND(AB$27&gt;ProposalToGnatt[[#This Row],[Start Date]],AB$27&lt;ProposalToGnatt[[#This Row],[Start Date]]+ProposalToGnatt[[#This Row],[Days]]),$G$5,"")),"")</f>
        <v/>
      </c>
      <c r="AC67" s="36" t="str">
        <f ca="1">IFERROR(+IF(AC$27=ProposalToGnatt[[#This Row],[Start Date]],Milestone_Marker,IF(AND(AC$27&gt;ProposalToGnatt[[#This Row],[Start Date]],AC$27&lt;ProposalToGnatt[[#This Row],[Start Date]]+ProposalToGnatt[[#This Row],[Days]]),$G$5,"")),"")</f>
        <v/>
      </c>
      <c r="AD67" s="36" t="str">
        <f ca="1">IFERROR(+IF(AD$27=ProposalToGnatt[[#This Row],[Start Date]],Milestone_Marker,IF(AND(AD$27&gt;ProposalToGnatt[[#This Row],[Start Date]],AD$27&lt;ProposalToGnatt[[#This Row],[Start Date]]+ProposalToGnatt[[#This Row],[Days]]),$G$5,"")),"")</f>
        <v/>
      </c>
      <c r="AE67" s="36" t="str">
        <f ca="1">IFERROR(+IF(AE$27=ProposalToGnatt[[#This Row],[Start Date]],Milestone_Marker,IF(AND(AE$27&gt;ProposalToGnatt[[#This Row],[Start Date]],AE$27&lt;ProposalToGnatt[[#This Row],[Start Date]]+ProposalToGnatt[[#This Row],[Days]]),$G$5,"")),"")</f>
        <v/>
      </c>
      <c r="AF67" s="36" t="str">
        <f ca="1">IFERROR(+IF(AF$27=ProposalToGnatt[[#This Row],[Start Date]],Milestone_Marker,IF(AND(AF$27&gt;ProposalToGnatt[[#This Row],[Start Date]],AF$27&lt;ProposalToGnatt[[#This Row],[Start Date]]+ProposalToGnatt[[#This Row],[Days]]),$G$5,"")),"")</f>
        <v/>
      </c>
      <c r="AG67" s="36" t="str">
        <f ca="1">IFERROR(+IF(AG$27=ProposalToGnatt[[#This Row],[Start Date]],Milestone_Marker,IF(AND(AG$27&gt;ProposalToGnatt[[#This Row],[Start Date]],AG$27&lt;ProposalToGnatt[[#This Row],[Start Date]]+ProposalToGnatt[[#This Row],[Days]]),$G$5,"")),"")</f>
        <v/>
      </c>
      <c r="AH67" s="36" t="str">
        <f ca="1">IFERROR(+IF(AH$27=ProposalToGnatt[[#This Row],[Start Date]],Milestone_Marker,IF(AND(AH$27&gt;ProposalToGnatt[[#This Row],[Start Date]],AH$27&lt;ProposalToGnatt[[#This Row],[Start Date]]+ProposalToGnatt[[#This Row],[Days]]),$G$5,"")),"")</f>
        <v/>
      </c>
      <c r="AI67" s="36" t="str">
        <f ca="1">IFERROR(+IF(AI$27=ProposalToGnatt[[#This Row],[Start Date]],Milestone_Marker,IF(AND(AI$27&gt;ProposalToGnatt[[#This Row],[Start Date]],AI$27&lt;ProposalToGnatt[[#This Row],[Start Date]]+ProposalToGnatt[[#This Row],[Days]]),$G$5,"")),"")</f>
        <v/>
      </c>
      <c r="AJ67" s="36" t="str">
        <f ca="1">IFERROR(+IF(AJ$27=ProposalToGnatt[[#This Row],[Start Date]],Milestone_Marker,IF(AND(AJ$27&gt;ProposalToGnatt[[#This Row],[Start Date]],AJ$27&lt;ProposalToGnatt[[#This Row],[Start Date]]+ProposalToGnatt[[#This Row],[Days]]),$G$5,"")),"")</f>
        <v/>
      </c>
      <c r="AK67" s="36" t="str">
        <f ca="1">IFERROR(+IF(AK$27=ProposalToGnatt[[#This Row],[Start Date]],Milestone_Marker,IF(AND(AK$27&gt;ProposalToGnatt[[#This Row],[Start Date]],AK$27&lt;ProposalToGnatt[[#This Row],[Start Date]]+ProposalToGnatt[[#This Row],[Days]]),$G$5,"")),"")</f>
        <v/>
      </c>
      <c r="AL67" s="36" t="str">
        <f ca="1">IFERROR(+IF(AL$27=ProposalToGnatt[[#This Row],[Start Date]],Milestone_Marker,IF(AND(AL$27&gt;ProposalToGnatt[[#This Row],[Start Date]],AL$27&lt;ProposalToGnatt[[#This Row],[Start Date]]+ProposalToGnatt[[#This Row],[Days]]),$G$5,"")),"")</f>
        <v/>
      </c>
      <c r="AM67" s="36" t="str">
        <f ca="1">IFERROR(+IF(AM$27=ProposalToGnatt[[#This Row],[Start Date]],Milestone_Marker,IF(AND(AM$27&gt;ProposalToGnatt[[#This Row],[Start Date]],AM$27&lt;ProposalToGnatt[[#This Row],[Start Date]]+ProposalToGnatt[[#This Row],[Days]]),$G$5,"")),"")</f>
        <v/>
      </c>
      <c r="AN67" s="36" t="str">
        <f ca="1">IFERROR(+IF(AN$27=ProposalToGnatt[[#This Row],[Start Date]],Milestone_Marker,IF(AND(AN$27&gt;ProposalToGnatt[[#This Row],[Start Date]],AN$27&lt;ProposalToGnatt[[#This Row],[Start Date]]+ProposalToGnatt[[#This Row],[Days]]),$G$5,"")),"")</f>
        <v/>
      </c>
      <c r="AO67" s="36" t="str">
        <f ca="1">IFERROR(+IF(AO$27=ProposalToGnatt[[#This Row],[Start Date]],Milestone_Marker,IF(AND(AO$27&gt;ProposalToGnatt[[#This Row],[Start Date]],AO$27&lt;ProposalToGnatt[[#This Row],[Start Date]]+ProposalToGnatt[[#This Row],[Days]]),$G$5,"")),"")</f>
        <v/>
      </c>
      <c r="AP67" s="36" t="str">
        <f ca="1">IFERROR(+IF(AP$27=ProposalToGnatt[[#This Row],[Start Date]],Milestone_Marker,IF(AND(AP$27&gt;ProposalToGnatt[[#This Row],[Start Date]],AP$27&lt;ProposalToGnatt[[#This Row],[Start Date]]+ProposalToGnatt[[#This Row],[Days]]),$G$5,"")),"")</f>
        <v/>
      </c>
      <c r="AQ67" s="36" t="str">
        <f ca="1">IFERROR(+IF(AQ$27=ProposalToGnatt[[#This Row],[Start Date]],Milestone_Marker,IF(AND(AQ$27&gt;ProposalToGnatt[[#This Row],[Start Date]],AQ$27&lt;ProposalToGnatt[[#This Row],[Start Date]]+ProposalToGnatt[[#This Row],[Days]]),$G$5,"")),"")</f>
        <v/>
      </c>
      <c r="AR67" s="36" t="str">
        <f ca="1">IFERROR(+IF(AR$27=ProposalToGnatt[[#This Row],[Start Date]],Milestone_Marker,IF(AND(AR$27&gt;ProposalToGnatt[[#This Row],[Start Date]],AR$27&lt;ProposalToGnatt[[#This Row],[Start Date]]+ProposalToGnatt[[#This Row],[Days]]),$G$5,"")),"")</f>
        <v/>
      </c>
      <c r="AS67" s="36" t="str">
        <f ca="1">IFERROR(+IF(AS$27=ProposalToGnatt[[#This Row],[Start Date]],Milestone_Marker,IF(AND(AS$27&gt;ProposalToGnatt[[#This Row],[Start Date]],AS$27&lt;ProposalToGnatt[[#This Row],[Start Date]]+ProposalToGnatt[[#This Row],[Days]]),$G$5,"")),"")</f>
        <v/>
      </c>
      <c r="AT67" s="36" t="str">
        <f ca="1">IFERROR(+IF(AT$27=ProposalToGnatt[[#This Row],[Start Date]],Milestone_Marker,IF(AND(AT$27&gt;ProposalToGnatt[[#This Row],[Start Date]],AT$27&lt;ProposalToGnatt[[#This Row],[Start Date]]+ProposalToGnatt[[#This Row],[Days]]),$G$5,"")),"")</f>
        <v/>
      </c>
      <c r="AU67" s="36" t="str">
        <f ca="1">IFERROR(+IF(AU$27=ProposalToGnatt[[#This Row],[Start Date]],Milestone_Marker,IF(AND(AU$27&gt;ProposalToGnatt[[#This Row],[Start Date]],AU$27&lt;ProposalToGnatt[[#This Row],[Start Date]]+ProposalToGnatt[[#This Row],[Days]]),$G$5,"")),"")</f>
        <v/>
      </c>
      <c r="AV67" s="36" t="str">
        <f ca="1">IFERROR(+IF(AV$27=ProposalToGnatt[[#This Row],[Start Date]],Milestone_Marker,IF(AND(AV$27&gt;ProposalToGnatt[[#This Row],[Start Date]],AV$27&lt;ProposalToGnatt[[#This Row],[Start Date]]+ProposalToGnatt[[#This Row],[Days]]),$G$5,"")),"")</f>
        <v/>
      </c>
      <c r="AW67" s="36" t="str">
        <f ca="1">IFERROR(+IF(AW$27=ProposalToGnatt[[#This Row],[Start Date]],Milestone_Marker,IF(AND(AW$27&gt;ProposalToGnatt[[#This Row],[Start Date]],AW$27&lt;ProposalToGnatt[[#This Row],[Start Date]]+ProposalToGnatt[[#This Row],[Days]]),$G$5,"")),"")</f>
        <v/>
      </c>
      <c r="AX67" s="36" t="str">
        <f ca="1">IFERROR(+IF(AX$27=ProposalToGnatt[[#This Row],[Start Date]],Milestone_Marker,IF(AND(AX$27&gt;ProposalToGnatt[[#This Row],[Start Date]],AX$27&lt;ProposalToGnatt[[#This Row],[Start Date]]+ProposalToGnatt[[#This Row],[Days]]),$G$5,"")),"")</f>
        <v/>
      </c>
      <c r="AY67" s="36" t="str">
        <f ca="1">IFERROR(+IF(AY$27=ProposalToGnatt[[#This Row],[Start Date]],Milestone_Marker,IF(AND(AY$27&gt;ProposalToGnatt[[#This Row],[Start Date]],AY$27&lt;ProposalToGnatt[[#This Row],[Start Date]]+ProposalToGnatt[[#This Row],[Days]]),$G$5,"")),"")</f>
        <v/>
      </c>
      <c r="AZ67" s="36" t="str">
        <f ca="1">IFERROR(+IF(AZ$27=ProposalToGnatt[[#This Row],[Start Date]],Milestone_Marker,IF(AND(AZ$27&gt;ProposalToGnatt[[#This Row],[Start Date]],AZ$27&lt;ProposalToGnatt[[#This Row],[Start Date]]+ProposalToGnatt[[#This Row],[Days]]),$G$5,"")),"")</f>
        <v/>
      </c>
      <c r="BA67" s="36" t="str">
        <f ca="1">IFERROR(+IF(BA$27=ProposalToGnatt[[#This Row],[Start Date]],Milestone_Marker,IF(AND(BA$27&gt;ProposalToGnatt[[#This Row],[Start Date]],BA$27&lt;ProposalToGnatt[[#This Row],[Start Date]]+ProposalToGnatt[[#This Row],[Days]]),$G$5,"")),"")</f>
        <v/>
      </c>
      <c r="BB67" s="36" t="str">
        <f ca="1">IFERROR(+IF(BB$27=ProposalToGnatt[[#This Row],[Start Date]],Milestone_Marker,IF(AND(BB$27&gt;ProposalToGnatt[[#This Row],[Start Date]],BB$27&lt;ProposalToGnatt[[#This Row],[Start Date]]+ProposalToGnatt[[#This Row],[Days]]),$G$5,"")),"")</f>
        <v/>
      </c>
      <c r="BC67" s="36" t="str">
        <f ca="1">IFERROR(+IF(BC$27=ProposalToGnatt[[#This Row],[Start Date]],Milestone_Marker,IF(AND(BC$27&gt;ProposalToGnatt[[#This Row],[Start Date]],BC$27&lt;ProposalToGnatt[[#This Row],[Start Date]]+ProposalToGnatt[[#This Row],[Days]]),$G$5,"")),"")</f>
        <v/>
      </c>
      <c r="BD67" s="36" t="str">
        <f ca="1">IFERROR(+IF(BD$27=ProposalToGnatt[[#This Row],[Start Date]],Milestone_Marker,IF(AND(BD$27&gt;ProposalToGnatt[[#This Row],[Start Date]],BD$27&lt;ProposalToGnatt[[#This Row],[Start Date]]+ProposalToGnatt[[#This Row],[Days]]),$G$5,"")),"")</f>
        <v/>
      </c>
      <c r="BE67" s="36" t="str">
        <f ca="1">IFERROR(+IF(BE$27=ProposalToGnatt[[#This Row],[Start Date]],Milestone_Marker,IF(AND(BE$27&gt;ProposalToGnatt[[#This Row],[Start Date]],BE$27&lt;ProposalToGnatt[[#This Row],[Start Date]]+ProposalToGnatt[[#This Row],[Days]]),$G$5,"")),"")</f>
        <v/>
      </c>
      <c r="BF67" s="36" t="str">
        <f ca="1">IFERROR(+IF(BF$27=ProposalToGnatt[[#This Row],[Start Date]],Milestone_Marker,IF(AND(BF$27&gt;ProposalToGnatt[[#This Row],[Start Date]],BF$27&lt;ProposalToGnatt[[#This Row],[Start Date]]+ProposalToGnatt[[#This Row],[Days]]),$G$5,"")),"")</f>
        <v/>
      </c>
      <c r="BG67" s="36" t="str">
        <f ca="1">IFERROR(+IF(BG$27=ProposalToGnatt[[#This Row],[Start Date]],Milestone_Marker,IF(AND(BG$27&gt;ProposalToGnatt[[#This Row],[Start Date]],BG$27&lt;ProposalToGnatt[[#This Row],[Start Date]]+ProposalToGnatt[[#This Row],[Days]]),$G$5,"")),"")</f>
        <v/>
      </c>
      <c r="BH67" s="36" t="str">
        <f ca="1">IFERROR(+IF(BH$27=ProposalToGnatt[[#This Row],[Start Date]],Milestone_Marker,IF(AND(BH$27&gt;ProposalToGnatt[[#This Row],[Start Date]],BH$27&lt;ProposalToGnatt[[#This Row],[Start Date]]+ProposalToGnatt[[#This Row],[Days]]),$G$5,"")),"")</f>
        <v/>
      </c>
      <c r="BI67" s="36" t="str">
        <f ca="1">IFERROR(+IF(BI$27=ProposalToGnatt[[#This Row],[Start Date]],Milestone_Marker,IF(AND(BI$27&gt;ProposalToGnatt[[#This Row],[Start Date]],BI$27&lt;ProposalToGnatt[[#This Row],[Start Date]]+ProposalToGnatt[[#This Row],[Days]]),$G$5,"")),"")</f>
        <v/>
      </c>
      <c r="BJ67" s="36" t="str">
        <f ca="1">IFERROR(+IF(BJ$27=ProposalToGnatt[[#This Row],[Start Date]],Milestone_Marker,IF(AND(BJ$27&gt;ProposalToGnatt[[#This Row],[Start Date]],BJ$27&lt;ProposalToGnatt[[#This Row],[Start Date]]+ProposalToGnatt[[#This Row],[Days]]),$G$5,"")),"")</f>
        <v/>
      </c>
      <c r="BK67" s="36" t="str">
        <f ca="1">IFERROR(+IF(BK$27=ProposalToGnatt[[#This Row],[Start Date]],Milestone_Marker,IF(AND(BK$27&gt;ProposalToGnatt[[#This Row],[Start Date]],BK$27&lt;ProposalToGnatt[[#This Row],[Start Date]]+ProposalToGnatt[[#This Row],[Days]]),$G$5,"")),"")</f>
        <v/>
      </c>
      <c r="BL67" s="36" t="str">
        <f ca="1">IFERROR(+IF(BL$27=ProposalToGnatt[[#This Row],[Start Date]],Milestone_Marker,IF(AND(BL$27&gt;ProposalToGnatt[[#This Row],[Start Date]],BL$27&lt;ProposalToGnatt[[#This Row],[Start Date]]+ProposalToGnatt[[#This Row],[Days]]),$G$5,"")),"")</f>
        <v/>
      </c>
      <c r="BM67" s="36" t="str">
        <f ca="1">IFERROR(+IF(BM$27=ProposalToGnatt[[#This Row],[Start Date]],Milestone_Marker,IF(AND(BM$27&gt;ProposalToGnatt[[#This Row],[Start Date]],BM$27&lt;ProposalToGnatt[[#This Row],[Start Date]]+ProposalToGnatt[[#This Row],[Days]]),$G$5,"")),"")</f>
        <v/>
      </c>
      <c r="BN67" s="36" t="str">
        <f ca="1">IFERROR(+IF(BN$27=ProposalToGnatt[[#This Row],[Start Date]],Milestone_Marker,IF(AND(BN$27&gt;ProposalToGnatt[[#This Row],[Start Date]],BN$27&lt;ProposalToGnatt[[#This Row],[Start Date]]+ProposalToGnatt[[#This Row],[Days]]),$G$5,"")),"")</f>
        <v/>
      </c>
      <c r="BO67" s="36" t="str">
        <f ca="1">IFERROR(+IF(BO$27=ProposalToGnatt[[#This Row],[Start Date]],Milestone_Marker,IF(AND(BO$27&gt;ProposalToGnatt[[#This Row],[Start Date]],BO$27&lt;ProposalToGnatt[[#This Row],[Start Date]]+ProposalToGnatt[[#This Row],[Days]]),$G$5,"")),"")</f>
        <v/>
      </c>
      <c r="BP67" s="36" t="str">
        <f ca="1">IFERROR(+IF(BP$27=ProposalToGnatt[[#This Row],[Start Date]],Milestone_Marker,IF(AND(BP$27&gt;ProposalToGnatt[[#This Row],[Start Date]],BP$27&lt;ProposalToGnatt[[#This Row],[Start Date]]+ProposalToGnatt[[#This Row],[Days]]),$G$5,"")),"")</f>
        <v/>
      </c>
      <c r="BQ67" s="36" t="str">
        <f ca="1">IFERROR(+IF(BQ$27=ProposalToGnatt[[#This Row],[Start Date]],Milestone_Marker,IF(AND(BQ$27&gt;ProposalToGnatt[[#This Row],[Start Date]],BQ$27&lt;ProposalToGnatt[[#This Row],[Start Date]]+ProposalToGnatt[[#This Row],[Days]]),$G$5,"")),"")</f>
        <v/>
      </c>
      <c r="BR67" s="36" t="str">
        <f ca="1">IFERROR(+IF(BR$27=ProposalToGnatt[[#This Row],[Start Date]],Milestone_Marker,IF(AND(BR$27&gt;ProposalToGnatt[[#This Row],[Start Date]],BR$27&lt;ProposalToGnatt[[#This Row],[Start Date]]+ProposalToGnatt[[#This Row],[Days]]),$G$5,"")),"")</f>
        <v/>
      </c>
      <c r="BS67" s="36" t="str">
        <f ca="1">IFERROR(+IF(BS$27=ProposalToGnatt[[#This Row],[Start Date]],Milestone_Marker,IF(AND(BS$27&gt;ProposalToGnatt[[#This Row],[Start Date]],BS$27&lt;ProposalToGnatt[[#This Row],[Start Date]]+ProposalToGnatt[[#This Row],[Days]]),$G$5,"")),"")</f>
        <v/>
      </c>
      <c r="BT67" s="36" t="str">
        <f ca="1">IFERROR(+IF(BT$27=ProposalToGnatt[[#This Row],[Start Date]],Milestone_Marker,IF(AND(BT$27&gt;ProposalToGnatt[[#This Row],[Start Date]],BT$27&lt;ProposalToGnatt[[#This Row],[Start Date]]+ProposalToGnatt[[#This Row],[Days]]),$G$5,"")),"")</f>
        <v/>
      </c>
      <c r="BU67" s="36" t="str">
        <f ca="1">IFERROR(+IF(BU$27=ProposalToGnatt[[#This Row],[Start Date]],Milestone_Marker,IF(AND(BU$27&gt;ProposalToGnatt[[#This Row],[Start Date]],BU$27&lt;ProposalToGnatt[[#This Row],[Start Date]]+ProposalToGnatt[[#This Row],[Days]]),$G$5,"")),"")</f>
        <v/>
      </c>
      <c r="BV67" s="36" t="str">
        <f ca="1">IFERROR(+IF(BV$27=ProposalToGnatt[[#This Row],[Start Date]],Milestone_Marker,IF(AND(BV$27&gt;ProposalToGnatt[[#This Row],[Start Date]],BV$27&lt;ProposalToGnatt[[#This Row],[Start Date]]+ProposalToGnatt[[#This Row],[Days]]),$G$5,"")),"")</f>
        <v/>
      </c>
      <c r="BW67" s="36" t="str">
        <f ca="1">IFERROR(+IF(BW$27=ProposalToGnatt[[#This Row],[Start Date]],Milestone_Marker,IF(AND(BW$27&gt;ProposalToGnatt[[#This Row],[Start Date]],BW$27&lt;ProposalToGnatt[[#This Row],[Start Date]]+ProposalToGnatt[[#This Row],[Days]]),$G$5,"")),"")</f>
        <v/>
      </c>
      <c r="BX67" s="36" t="str">
        <f ca="1">IFERROR(+IF(BX$27=ProposalToGnatt[[#This Row],[Start Date]],Milestone_Marker,IF(AND(BX$27&gt;ProposalToGnatt[[#This Row],[Start Date]],BX$27&lt;ProposalToGnatt[[#This Row],[Start Date]]+ProposalToGnatt[[#This Row],[Days]]),$G$5,"")),"")</f>
        <v/>
      </c>
      <c r="BY67" s="36" t="str">
        <f ca="1">IFERROR(+IF(BY$27=ProposalToGnatt[[#This Row],[Start Date]],Milestone_Marker,IF(AND(BY$27&gt;ProposalToGnatt[[#This Row],[Start Date]],BY$27&lt;ProposalToGnatt[[#This Row],[Start Date]]+ProposalToGnatt[[#This Row],[Days]]),$G$5,"")),"")</f>
        <v/>
      </c>
      <c r="BZ67" s="36" t="str">
        <f ca="1">IFERROR(+IF(BZ$27=ProposalToGnatt[[#This Row],[Start Date]],Milestone_Marker,IF(AND(BZ$27&gt;ProposalToGnatt[[#This Row],[Start Date]],BZ$27&lt;ProposalToGnatt[[#This Row],[Start Date]]+ProposalToGnatt[[#This Row],[Days]]),$G$5,"")),"")</f>
        <v/>
      </c>
      <c r="CA67" s="36" t="str">
        <f ca="1">IFERROR(+IF(CA$27=ProposalToGnatt[[#This Row],[Start Date]],Milestone_Marker,IF(AND(CA$27&gt;ProposalToGnatt[[#This Row],[Start Date]],CA$27&lt;ProposalToGnatt[[#This Row],[Start Date]]+ProposalToGnatt[[#This Row],[Days]]),$G$5,"")),"")</f>
        <v/>
      </c>
      <c r="CB67" s="36" t="str">
        <f ca="1">IFERROR(+IF(CB$27=ProposalToGnatt[[#This Row],[Start Date]],Milestone_Marker,IF(AND(CB$27&gt;ProposalToGnatt[[#This Row],[Start Date]],CB$27&lt;ProposalToGnatt[[#This Row],[Start Date]]+ProposalToGnatt[[#This Row],[Days]]),$G$5,"")),"")</f>
        <v/>
      </c>
      <c r="CC67" s="36" t="str">
        <f ca="1">IFERROR(+IF(CC$27=ProposalToGnatt[[#This Row],[Start Date]],Milestone_Marker,IF(AND(CC$27&gt;ProposalToGnatt[[#This Row],[Start Date]],CC$27&lt;ProposalToGnatt[[#This Row],[Start Date]]+ProposalToGnatt[[#This Row],[Days]]),$G$5,"")),"")</f>
        <v/>
      </c>
      <c r="CD67" s="36" t="str">
        <f ca="1">IFERROR(+IF(CD$27=ProposalToGnatt[[#This Row],[Start Date]],Milestone_Marker,IF(AND(CD$27&gt;ProposalToGnatt[[#This Row],[Start Date]],CD$27&lt;ProposalToGnatt[[#This Row],[Start Date]]+ProposalToGnatt[[#This Row],[Days]]),$G$5,"")),"")</f>
        <v/>
      </c>
      <c r="CE67" s="36" t="str">
        <f ca="1">IFERROR(+IF(CE$27=ProposalToGnatt[[#This Row],[Start Date]],Milestone_Marker,IF(AND(CE$27&gt;ProposalToGnatt[[#This Row],[Start Date]],CE$27&lt;ProposalToGnatt[[#This Row],[Start Date]]+ProposalToGnatt[[#This Row],[Days]]),$G$5,"")),"")</f>
        <v/>
      </c>
      <c r="CF67" s="36" t="str">
        <f ca="1">IFERROR(+IF(CF$27=ProposalToGnatt[[#This Row],[Start Date]],Milestone_Marker,IF(AND(CF$27&gt;ProposalToGnatt[[#This Row],[Start Date]],CF$27&lt;ProposalToGnatt[[#This Row],[Start Date]]+ProposalToGnatt[[#This Row],[Days]]),$G$5,"")),"")</f>
        <v/>
      </c>
      <c r="CG67" s="36" t="str">
        <f ca="1">IFERROR(+IF(CG$27=ProposalToGnatt[[#This Row],[Start Date]],Milestone_Marker,IF(AND(CG$27&gt;ProposalToGnatt[[#This Row],[Start Date]],CG$27&lt;ProposalToGnatt[[#This Row],[Start Date]]+ProposalToGnatt[[#This Row],[Days]]),$G$5,"")),"")</f>
        <v/>
      </c>
      <c r="CH67" s="36" t="str">
        <f ca="1">IFERROR(+IF(CH$27=ProposalToGnatt[[#This Row],[Start Date]],Milestone_Marker,IF(AND(CH$27&gt;ProposalToGnatt[[#This Row],[Start Date]],CH$27&lt;ProposalToGnatt[[#This Row],[Start Date]]+ProposalToGnatt[[#This Row],[Days]]),$G$5,"")),"")</f>
        <v/>
      </c>
      <c r="CI67" s="36" t="str">
        <f ca="1">IFERROR(+IF(CI$27=ProposalToGnatt[[#This Row],[Start Date]],Milestone_Marker,IF(AND(CI$27&gt;ProposalToGnatt[[#This Row],[Start Date]],CI$27&lt;ProposalToGnatt[[#This Row],[Start Date]]+ProposalToGnatt[[#This Row],[Days]]),$G$5,"")),"")</f>
        <v/>
      </c>
      <c r="CJ67" s="36" t="str">
        <f ca="1">IFERROR(+IF(CJ$27=ProposalToGnatt[[#This Row],[Start Date]],Milestone_Marker,IF(AND(CJ$27&gt;ProposalToGnatt[[#This Row],[Start Date]],CJ$27&lt;ProposalToGnatt[[#This Row],[Start Date]]+ProposalToGnatt[[#This Row],[Days]]),$G$5,"")),"")</f>
        <v/>
      </c>
      <c r="CK67" s="36" t="str">
        <f ca="1">IFERROR(+IF(CK$27=ProposalToGnatt[[#This Row],[Start Date]],Milestone_Marker,IF(AND(CK$27&gt;ProposalToGnatt[[#This Row],[Start Date]],CK$27&lt;ProposalToGnatt[[#This Row],[Start Date]]+ProposalToGnatt[[#This Row],[Days]]),$G$5,"")),"")</f>
        <v/>
      </c>
      <c r="CL67" s="36" t="str">
        <f ca="1">IFERROR(+IF(CL$27=ProposalToGnatt[[#This Row],[Start Date]],Milestone_Marker,IF(AND(CL$27&gt;ProposalToGnatt[[#This Row],[Start Date]],CL$27&lt;ProposalToGnatt[[#This Row],[Start Date]]+ProposalToGnatt[[#This Row],[Days]]),$G$5,"")),"")</f>
        <v/>
      </c>
      <c r="CM67" s="36" t="str">
        <f ca="1">IFERROR(+IF(CM$27=ProposalToGnatt[[#This Row],[Start Date]],Milestone_Marker,IF(AND(CM$27&gt;ProposalToGnatt[[#This Row],[Start Date]],CM$27&lt;ProposalToGnatt[[#This Row],[Start Date]]+ProposalToGnatt[[#This Row],[Days]]),$G$5,"")),"")</f>
        <v/>
      </c>
      <c r="CN67" s="36" t="str">
        <f ca="1">IFERROR(+IF(CN$27=ProposalToGnatt[[#This Row],[Start Date]],Milestone_Marker,IF(AND(CN$27&gt;ProposalToGnatt[[#This Row],[Start Date]],CN$27&lt;ProposalToGnatt[[#This Row],[Start Date]]+ProposalToGnatt[[#This Row],[Days]]),$G$5,"")),"")</f>
        <v/>
      </c>
      <c r="CO67" s="36" t="str">
        <f ca="1">IFERROR(+IF(CO$27=ProposalToGnatt[[#This Row],[Start Date]],Milestone_Marker,IF(AND(CO$27&gt;ProposalToGnatt[[#This Row],[Start Date]],CO$27&lt;ProposalToGnatt[[#This Row],[Start Date]]+ProposalToGnatt[[#This Row],[Days]]),$G$5,"")),"")</f>
        <v/>
      </c>
      <c r="CP67" s="36" t="str">
        <f ca="1">IFERROR(+IF(CP$27=ProposalToGnatt[[#This Row],[Start Date]],Milestone_Marker,IF(AND(CP$27&gt;ProposalToGnatt[[#This Row],[Start Date]],CP$27&lt;ProposalToGnatt[[#This Row],[Start Date]]+ProposalToGnatt[[#This Row],[Days]]),$G$5,"")),"")</f>
        <v/>
      </c>
      <c r="CQ67" s="36" t="str">
        <f ca="1">IFERROR(+IF(CQ$27=ProposalToGnatt[[#This Row],[Start Date]],Milestone_Marker,IF(AND(CQ$27&gt;ProposalToGnatt[[#This Row],[Start Date]],CQ$27&lt;ProposalToGnatt[[#This Row],[Start Date]]+ProposalToGnatt[[#This Row],[Days]]),$G$5,"")),"")</f>
        <v/>
      </c>
      <c r="CR67" s="36" t="str">
        <f ca="1">IFERROR(+IF(CR$27=ProposalToGnatt[[#This Row],[Start Date]],Milestone_Marker,IF(AND(CR$27&gt;ProposalToGnatt[[#This Row],[Start Date]],CR$27&lt;ProposalToGnatt[[#This Row],[Start Date]]+ProposalToGnatt[[#This Row],[Days]]),$G$5,"")),"")</f>
        <v/>
      </c>
      <c r="CS67" s="36" t="str">
        <f ca="1">IFERROR(+IF(CS$27=ProposalToGnatt[[#This Row],[Start Date]],Milestone_Marker,IF(AND(CS$27&gt;ProposalToGnatt[[#This Row],[Start Date]],CS$27&lt;ProposalToGnatt[[#This Row],[Start Date]]+ProposalToGnatt[[#This Row],[Days]]),$G$5,"")),"")</f>
        <v/>
      </c>
      <c r="CT67" s="36" t="str">
        <f ca="1">IFERROR(+IF(CT$27=ProposalToGnatt[[#This Row],[Start Date]],Milestone_Marker,IF(AND(CT$27&gt;ProposalToGnatt[[#This Row],[Start Date]],CT$27&lt;ProposalToGnatt[[#This Row],[Start Date]]+ProposalToGnatt[[#This Row],[Days]]),$G$5,"")),"")</f>
        <v/>
      </c>
      <c r="CU67" s="36" t="str">
        <f ca="1">IFERROR(+IF(CU$27=ProposalToGnatt[[#This Row],[Start Date]],Milestone_Marker,IF(AND(CU$27&gt;ProposalToGnatt[[#This Row],[Start Date]],CU$27&lt;ProposalToGnatt[[#This Row],[Start Date]]+ProposalToGnatt[[#This Row],[Days]]),$G$5,"")),"")</f>
        <v/>
      </c>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row>
    <row r="68" spans="1:125" s="41" customFormat="1" ht="15" customHeight="1" x14ac:dyDescent="0.25">
      <c r="A68"/>
      <c r="B68"/>
      <c r="C68"/>
      <c r="D68"/>
      <c r="E68"/>
      <c r="F68"/>
      <c r="G68" s="14"/>
      <c r="H68" s="14"/>
      <c r="I68"/>
      <c r="J68"/>
      <c r="K68" s="261"/>
      <c r="L68"/>
      <c r="M68" s="14"/>
      <c r="N68" s="309"/>
      <c r="O68" s="297"/>
      <c r="P68" s="36" t="str">
        <f ca="1">IFERROR(+IF(P$27=ProposalToGnatt[[#This Row],[Start Date]],Milestone_Marker,IF(AND(P$27&gt;ProposalToGnatt[[#This Row],[Start Date]],P$27&lt;ProposalToGnatt[[#This Row],[Start Date]]+ProposalToGnatt[[#This Row],[Days]]),$G$5,"")),"")</f>
        <v/>
      </c>
      <c r="Q68" s="36" t="str">
        <f ca="1">IFERROR(+IF(Q$27=ProposalToGnatt[[#This Row],[Start Date]],Milestone_Marker,IF(AND(Q$27&gt;ProposalToGnatt[[#This Row],[Start Date]],Q$27&lt;ProposalToGnatt[[#This Row],[Start Date]]+ProposalToGnatt[[#This Row],[Days]]),$G$5,"")),"")</f>
        <v/>
      </c>
      <c r="R68" s="36" t="str">
        <f ca="1">IFERROR(+IF(R$27=ProposalToGnatt[[#This Row],[Start Date]],Milestone_Marker,IF(AND(R$27&gt;ProposalToGnatt[[#This Row],[Start Date]],R$27&lt;ProposalToGnatt[[#This Row],[Start Date]]+ProposalToGnatt[[#This Row],[Days]]),$G$5,"")),"")</f>
        <v/>
      </c>
      <c r="S68" s="36" t="str">
        <f ca="1">IFERROR(+IF(S$27=ProposalToGnatt[[#This Row],[Start Date]],Milestone_Marker,IF(AND(S$27&gt;ProposalToGnatt[[#This Row],[Start Date]],S$27&lt;ProposalToGnatt[[#This Row],[Start Date]]+ProposalToGnatt[[#This Row],[Days]]),$G$5,"")),"")</f>
        <v/>
      </c>
      <c r="T68" s="36" t="str">
        <f ca="1">IFERROR(+IF(T$27=ProposalToGnatt[[#This Row],[Start Date]],Milestone_Marker,IF(AND(T$27&gt;ProposalToGnatt[[#This Row],[Start Date]],T$27&lt;ProposalToGnatt[[#This Row],[Start Date]]+ProposalToGnatt[[#This Row],[Days]]),$G$5,"")),"")</f>
        <v/>
      </c>
      <c r="U68" s="36" t="str">
        <f ca="1">IFERROR(+IF(U$27=ProposalToGnatt[[#This Row],[Start Date]],Milestone_Marker,IF(AND(U$27&gt;ProposalToGnatt[[#This Row],[Start Date]],U$27&lt;ProposalToGnatt[[#This Row],[Start Date]]+ProposalToGnatt[[#This Row],[Days]]),$G$5,"")),"")</f>
        <v/>
      </c>
      <c r="V68" s="36" t="str">
        <f ca="1">IFERROR(+IF(V$27=ProposalToGnatt[[#This Row],[Start Date]],Milestone_Marker,IF(AND(V$27&gt;ProposalToGnatt[[#This Row],[Start Date]],V$27&lt;ProposalToGnatt[[#This Row],[Start Date]]+ProposalToGnatt[[#This Row],[Days]]),$G$5,"")),"")</f>
        <v/>
      </c>
      <c r="W68" s="36" t="str">
        <f ca="1">IFERROR(+IF(W$27=ProposalToGnatt[[#This Row],[Start Date]],Milestone_Marker,IF(AND(W$27&gt;ProposalToGnatt[[#This Row],[Start Date]],W$27&lt;ProposalToGnatt[[#This Row],[Start Date]]+ProposalToGnatt[[#This Row],[Days]]),$G$5,"")),"")</f>
        <v/>
      </c>
      <c r="X68" s="36" t="str">
        <f ca="1">IFERROR(+IF(X$27=ProposalToGnatt[[#This Row],[Start Date]],Milestone_Marker,IF(AND(X$27&gt;ProposalToGnatt[[#This Row],[Start Date]],X$27&lt;ProposalToGnatt[[#This Row],[Start Date]]+ProposalToGnatt[[#This Row],[Days]]),$G$5,"")),"")</f>
        <v/>
      </c>
      <c r="Y68" s="36" t="str">
        <f ca="1">IFERROR(+IF(Y$27=ProposalToGnatt[[#This Row],[Start Date]],Milestone_Marker,IF(AND(Y$27&gt;ProposalToGnatt[[#This Row],[Start Date]],Y$27&lt;ProposalToGnatt[[#This Row],[Start Date]]+ProposalToGnatt[[#This Row],[Days]]),$G$5,"")),"")</f>
        <v/>
      </c>
      <c r="Z68" s="36" t="str">
        <f ca="1">IFERROR(+IF(Z$27=ProposalToGnatt[[#This Row],[Start Date]],Milestone_Marker,IF(AND(Z$27&gt;ProposalToGnatt[[#This Row],[Start Date]],Z$27&lt;ProposalToGnatt[[#This Row],[Start Date]]+ProposalToGnatt[[#This Row],[Days]]),$G$5,"")),"")</f>
        <v/>
      </c>
      <c r="AA68" s="36" t="str">
        <f ca="1">IFERROR(+IF(AA$27=ProposalToGnatt[[#This Row],[Start Date]],Milestone_Marker,IF(AND(AA$27&gt;ProposalToGnatt[[#This Row],[Start Date]],AA$27&lt;ProposalToGnatt[[#This Row],[Start Date]]+ProposalToGnatt[[#This Row],[Days]]),$G$5,"")),"")</f>
        <v/>
      </c>
      <c r="AB68" s="36" t="str">
        <f ca="1">IFERROR(+IF(AB$27=ProposalToGnatt[[#This Row],[Start Date]],Milestone_Marker,IF(AND(AB$27&gt;ProposalToGnatt[[#This Row],[Start Date]],AB$27&lt;ProposalToGnatt[[#This Row],[Start Date]]+ProposalToGnatt[[#This Row],[Days]]),$G$5,"")),"")</f>
        <v/>
      </c>
      <c r="AC68" s="36" t="str">
        <f ca="1">IFERROR(+IF(AC$27=ProposalToGnatt[[#This Row],[Start Date]],Milestone_Marker,IF(AND(AC$27&gt;ProposalToGnatt[[#This Row],[Start Date]],AC$27&lt;ProposalToGnatt[[#This Row],[Start Date]]+ProposalToGnatt[[#This Row],[Days]]),$G$5,"")),"")</f>
        <v/>
      </c>
      <c r="AD68" s="36" t="str">
        <f ca="1">IFERROR(+IF(AD$27=ProposalToGnatt[[#This Row],[Start Date]],Milestone_Marker,IF(AND(AD$27&gt;ProposalToGnatt[[#This Row],[Start Date]],AD$27&lt;ProposalToGnatt[[#This Row],[Start Date]]+ProposalToGnatt[[#This Row],[Days]]),$G$5,"")),"")</f>
        <v/>
      </c>
      <c r="AE68" s="36" t="str">
        <f ca="1">IFERROR(+IF(AE$27=ProposalToGnatt[[#This Row],[Start Date]],Milestone_Marker,IF(AND(AE$27&gt;ProposalToGnatt[[#This Row],[Start Date]],AE$27&lt;ProposalToGnatt[[#This Row],[Start Date]]+ProposalToGnatt[[#This Row],[Days]]),$G$5,"")),"")</f>
        <v/>
      </c>
      <c r="AF68" s="36" t="str">
        <f ca="1">IFERROR(+IF(AF$27=ProposalToGnatt[[#This Row],[Start Date]],Milestone_Marker,IF(AND(AF$27&gt;ProposalToGnatt[[#This Row],[Start Date]],AF$27&lt;ProposalToGnatt[[#This Row],[Start Date]]+ProposalToGnatt[[#This Row],[Days]]),$G$5,"")),"")</f>
        <v/>
      </c>
      <c r="AG68" s="36" t="str">
        <f ca="1">IFERROR(+IF(AG$27=ProposalToGnatt[[#This Row],[Start Date]],Milestone_Marker,IF(AND(AG$27&gt;ProposalToGnatt[[#This Row],[Start Date]],AG$27&lt;ProposalToGnatt[[#This Row],[Start Date]]+ProposalToGnatt[[#This Row],[Days]]),$G$5,"")),"")</f>
        <v/>
      </c>
      <c r="AH68" s="36" t="str">
        <f ca="1">IFERROR(+IF(AH$27=ProposalToGnatt[[#This Row],[Start Date]],Milestone_Marker,IF(AND(AH$27&gt;ProposalToGnatt[[#This Row],[Start Date]],AH$27&lt;ProposalToGnatt[[#This Row],[Start Date]]+ProposalToGnatt[[#This Row],[Days]]),$G$5,"")),"")</f>
        <v/>
      </c>
      <c r="AI68" s="36" t="str">
        <f ca="1">IFERROR(+IF(AI$27=ProposalToGnatt[[#This Row],[Start Date]],Milestone_Marker,IF(AND(AI$27&gt;ProposalToGnatt[[#This Row],[Start Date]],AI$27&lt;ProposalToGnatt[[#This Row],[Start Date]]+ProposalToGnatt[[#This Row],[Days]]),$G$5,"")),"")</f>
        <v/>
      </c>
      <c r="AJ68" s="36" t="str">
        <f ca="1">IFERROR(+IF(AJ$27=ProposalToGnatt[[#This Row],[Start Date]],Milestone_Marker,IF(AND(AJ$27&gt;ProposalToGnatt[[#This Row],[Start Date]],AJ$27&lt;ProposalToGnatt[[#This Row],[Start Date]]+ProposalToGnatt[[#This Row],[Days]]),$G$5,"")),"")</f>
        <v/>
      </c>
      <c r="AK68" s="36" t="str">
        <f ca="1">IFERROR(+IF(AK$27=ProposalToGnatt[[#This Row],[Start Date]],Milestone_Marker,IF(AND(AK$27&gt;ProposalToGnatt[[#This Row],[Start Date]],AK$27&lt;ProposalToGnatt[[#This Row],[Start Date]]+ProposalToGnatt[[#This Row],[Days]]),$G$5,"")),"")</f>
        <v/>
      </c>
      <c r="AL68" s="36" t="str">
        <f ca="1">IFERROR(+IF(AL$27=ProposalToGnatt[[#This Row],[Start Date]],Milestone_Marker,IF(AND(AL$27&gt;ProposalToGnatt[[#This Row],[Start Date]],AL$27&lt;ProposalToGnatt[[#This Row],[Start Date]]+ProposalToGnatt[[#This Row],[Days]]),$G$5,"")),"")</f>
        <v/>
      </c>
      <c r="AM68" s="36" t="str">
        <f ca="1">IFERROR(+IF(AM$27=ProposalToGnatt[[#This Row],[Start Date]],Milestone_Marker,IF(AND(AM$27&gt;ProposalToGnatt[[#This Row],[Start Date]],AM$27&lt;ProposalToGnatt[[#This Row],[Start Date]]+ProposalToGnatt[[#This Row],[Days]]),$G$5,"")),"")</f>
        <v/>
      </c>
      <c r="AN68" s="36" t="str">
        <f ca="1">IFERROR(+IF(AN$27=ProposalToGnatt[[#This Row],[Start Date]],Milestone_Marker,IF(AND(AN$27&gt;ProposalToGnatt[[#This Row],[Start Date]],AN$27&lt;ProposalToGnatt[[#This Row],[Start Date]]+ProposalToGnatt[[#This Row],[Days]]),$G$5,"")),"")</f>
        <v/>
      </c>
      <c r="AO68" s="36" t="str">
        <f ca="1">IFERROR(+IF(AO$27=ProposalToGnatt[[#This Row],[Start Date]],Milestone_Marker,IF(AND(AO$27&gt;ProposalToGnatt[[#This Row],[Start Date]],AO$27&lt;ProposalToGnatt[[#This Row],[Start Date]]+ProposalToGnatt[[#This Row],[Days]]),$G$5,"")),"")</f>
        <v/>
      </c>
      <c r="AP68" s="36" t="str">
        <f ca="1">IFERROR(+IF(AP$27=ProposalToGnatt[[#This Row],[Start Date]],Milestone_Marker,IF(AND(AP$27&gt;ProposalToGnatt[[#This Row],[Start Date]],AP$27&lt;ProposalToGnatt[[#This Row],[Start Date]]+ProposalToGnatt[[#This Row],[Days]]),$G$5,"")),"")</f>
        <v/>
      </c>
      <c r="AQ68" s="36" t="str">
        <f ca="1">IFERROR(+IF(AQ$27=ProposalToGnatt[[#This Row],[Start Date]],Milestone_Marker,IF(AND(AQ$27&gt;ProposalToGnatt[[#This Row],[Start Date]],AQ$27&lt;ProposalToGnatt[[#This Row],[Start Date]]+ProposalToGnatt[[#This Row],[Days]]),$G$5,"")),"")</f>
        <v/>
      </c>
      <c r="AR68" s="36" t="str">
        <f ca="1">IFERROR(+IF(AR$27=ProposalToGnatt[[#This Row],[Start Date]],Milestone_Marker,IF(AND(AR$27&gt;ProposalToGnatt[[#This Row],[Start Date]],AR$27&lt;ProposalToGnatt[[#This Row],[Start Date]]+ProposalToGnatt[[#This Row],[Days]]),$G$5,"")),"")</f>
        <v/>
      </c>
      <c r="AS68" s="36" t="str">
        <f ca="1">IFERROR(+IF(AS$27=ProposalToGnatt[[#This Row],[Start Date]],Milestone_Marker,IF(AND(AS$27&gt;ProposalToGnatt[[#This Row],[Start Date]],AS$27&lt;ProposalToGnatt[[#This Row],[Start Date]]+ProposalToGnatt[[#This Row],[Days]]),$G$5,"")),"")</f>
        <v/>
      </c>
      <c r="AT68" s="36" t="str">
        <f ca="1">IFERROR(+IF(AT$27=ProposalToGnatt[[#This Row],[Start Date]],Milestone_Marker,IF(AND(AT$27&gt;ProposalToGnatt[[#This Row],[Start Date]],AT$27&lt;ProposalToGnatt[[#This Row],[Start Date]]+ProposalToGnatt[[#This Row],[Days]]),$G$5,"")),"")</f>
        <v/>
      </c>
      <c r="AU68" s="36" t="str">
        <f ca="1">IFERROR(+IF(AU$27=ProposalToGnatt[[#This Row],[Start Date]],Milestone_Marker,IF(AND(AU$27&gt;ProposalToGnatt[[#This Row],[Start Date]],AU$27&lt;ProposalToGnatt[[#This Row],[Start Date]]+ProposalToGnatt[[#This Row],[Days]]),$G$5,"")),"")</f>
        <v/>
      </c>
      <c r="AV68" s="36" t="str">
        <f ca="1">IFERROR(+IF(AV$27=ProposalToGnatt[[#This Row],[Start Date]],Milestone_Marker,IF(AND(AV$27&gt;ProposalToGnatt[[#This Row],[Start Date]],AV$27&lt;ProposalToGnatt[[#This Row],[Start Date]]+ProposalToGnatt[[#This Row],[Days]]),$G$5,"")),"")</f>
        <v/>
      </c>
      <c r="AW68" s="36" t="str">
        <f ca="1">IFERROR(+IF(AW$27=ProposalToGnatt[[#This Row],[Start Date]],Milestone_Marker,IF(AND(AW$27&gt;ProposalToGnatt[[#This Row],[Start Date]],AW$27&lt;ProposalToGnatt[[#This Row],[Start Date]]+ProposalToGnatt[[#This Row],[Days]]),$G$5,"")),"")</f>
        <v/>
      </c>
      <c r="AX68" s="36" t="str">
        <f ca="1">IFERROR(+IF(AX$27=ProposalToGnatt[[#This Row],[Start Date]],Milestone_Marker,IF(AND(AX$27&gt;ProposalToGnatt[[#This Row],[Start Date]],AX$27&lt;ProposalToGnatt[[#This Row],[Start Date]]+ProposalToGnatt[[#This Row],[Days]]),$G$5,"")),"")</f>
        <v/>
      </c>
      <c r="AY68" s="36" t="str">
        <f ca="1">IFERROR(+IF(AY$27=ProposalToGnatt[[#This Row],[Start Date]],Milestone_Marker,IF(AND(AY$27&gt;ProposalToGnatt[[#This Row],[Start Date]],AY$27&lt;ProposalToGnatt[[#This Row],[Start Date]]+ProposalToGnatt[[#This Row],[Days]]),$G$5,"")),"")</f>
        <v/>
      </c>
      <c r="AZ68" s="36" t="str">
        <f ca="1">IFERROR(+IF(AZ$27=ProposalToGnatt[[#This Row],[Start Date]],Milestone_Marker,IF(AND(AZ$27&gt;ProposalToGnatt[[#This Row],[Start Date]],AZ$27&lt;ProposalToGnatt[[#This Row],[Start Date]]+ProposalToGnatt[[#This Row],[Days]]),$G$5,"")),"")</f>
        <v/>
      </c>
      <c r="BA68" s="36" t="str">
        <f ca="1">IFERROR(+IF(BA$27=ProposalToGnatt[[#This Row],[Start Date]],Milestone_Marker,IF(AND(BA$27&gt;ProposalToGnatt[[#This Row],[Start Date]],BA$27&lt;ProposalToGnatt[[#This Row],[Start Date]]+ProposalToGnatt[[#This Row],[Days]]),$G$5,"")),"")</f>
        <v/>
      </c>
      <c r="BB68" s="36" t="str">
        <f ca="1">IFERROR(+IF(BB$27=ProposalToGnatt[[#This Row],[Start Date]],Milestone_Marker,IF(AND(BB$27&gt;ProposalToGnatt[[#This Row],[Start Date]],BB$27&lt;ProposalToGnatt[[#This Row],[Start Date]]+ProposalToGnatt[[#This Row],[Days]]),$G$5,"")),"")</f>
        <v/>
      </c>
      <c r="BC68" s="36" t="str">
        <f ca="1">IFERROR(+IF(BC$27=ProposalToGnatt[[#This Row],[Start Date]],Milestone_Marker,IF(AND(BC$27&gt;ProposalToGnatt[[#This Row],[Start Date]],BC$27&lt;ProposalToGnatt[[#This Row],[Start Date]]+ProposalToGnatt[[#This Row],[Days]]),$G$5,"")),"")</f>
        <v/>
      </c>
      <c r="BD68" s="36" t="str">
        <f ca="1">IFERROR(+IF(BD$27=ProposalToGnatt[[#This Row],[Start Date]],Milestone_Marker,IF(AND(BD$27&gt;ProposalToGnatt[[#This Row],[Start Date]],BD$27&lt;ProposalToGnatt[[#This Row],[Start Date]]+ProposalToGnatt[[#This Row],[Days]]),$G$5,"")),"")</f>
        <v/>
      </c>
      <c r="BE68" s="36" t="str">
        <f ca="1">IFERROR(+IF(BE$27=ProposalToGnatt[[#This Row],[Start Date]],Milestone_Marker,IF(AND(BE$27&gt;ProposalToGnatt[[#This Row],[Start Date]],BE$27&lt;ProposalToGnatt[[#This Row],[Start Date]]+ProposalToGnatt[[#This Row],[Days]]),$G$5,"")),"")</f>
        <v/>
      </c>
      <c r="BF68" s="36" t="str">
        <f ca="1">IFERROR(+IF(BF$27=ProposalToGnatt[[#This Row],[Start Date]],Milestone_Marker,IF(AND(BF$27&gt;ProposalToGnatt[[#This Row],[Start Date]],BF$27&lt;ProposalToGnatt[[#This Row],[Start Date]]+ProposalToGnatt[[#This Row],[Days]]),$G$5,"")),"")</f>
        <v/>
      </c>
      <c r="BG68" s="36" t="str">
        <f ca="1">IFERROR(+IF(BG$27=ProposalToGnatt[[#This Row],[Start Date]],Milestone_Marker,IF(AND(BG$27&gt;ProposalToGnatt[[#This Row],[Start Date]],BG$27&lt;ProposalToGnatt[[#This Row],[Start Date]]+ProposalToGnatt[[#This Row],[Days]]),$G$5,"")),"")</f>
        <v/>
      </c>
      <c r="BH68" s="36" t="str">
        <f ca="1">IFERROR(+IF(BH$27=ProposalToGnatt[[#This Row],[Start Date]],Milestone_Marker,IF(AND(BH$27&gt;ProposalToGnatt[[#This Row],[Start Date]],BH$27&lt;ProposalToGnatt[[#This Row],[Start Date]]+ProposalToGnatt[[#This Row],[Days]]),$G$5,"")),"")</f>
        <v/>
      </c>
      <c r="BI68" s="36" t="str">
        <f ca="1">IFERROR(+IF(BI$27=ProposalToGnatt[[#This Row],[Start Date]],Milestone_Marker,IF(AND(BI$27&gt;ProposalToGnatt[[#This Row],[Start Date]],BI$27&lt;ProposalToGnatt[[#This Row],[Start Date]]+ProposalToGnatt[[#This Row],[Days]]),$G$5,"")),"")</f>
        <v/>
      </c>
      <c r="BJ68" s="36" t="str">
        <f ca="1">IFERROR(+IF(BJ$27=ProposalToGnatt[[#This Row],[Start Date]],Milestone_Marker,IF(AND(BJ$27&gt;ProposalToGnatt[[#This Row],[Start Date]],BJ$27&lt;ProposalToGnatt[[#This Row],[Start Date]]+ProposalToGnatt[[#This Row],[Days]]),$G$5,"")),"")</f>
        <v/>
      </c>
      <c r="BK68" s="36" t="str">
        <f ca="1">IFERROR(+IF(BK$27=ProposalToGnatt[[#This Row],[Start Date]],Milestone_Marker,IF(AND(BK$27&gt;ProposalToGnatt[[#This Row],[Start Date]],BK$27&lt;ProposalToGnatt[[#This Row],[Start Date]]+ProposalToGnatt[[#This Row],[Days]]),$G$5,"")),"")</f>
        <v/>
      </c>
      <c r="BL68" s="36" t="str">
        <f ca="1">IFERROR(+IF(BL$27=ProposalToGnatt[[#This Row],[Start Date]],Milestone_Marker,IF(AND(BL$27&gt;ProposalToGnatt[[#This Row],[Start Date]],BL$27&lt;ProposalToGnatt[[#This Row],[Start Date]]+ProposalToGnatt[[#This Row],[Days]]),$G$5,"")),"")</f>
        <v/>
      </c>
      <c r="BM68" s="36" t="str">
        <f ca="1">IFERROR(+IF(BM$27=ProposalToGnatt[[#This Row],[Start Date]],Milestone_Marker,IF(AND(BM$27&gt;ProposalToGnatt[[#This Row],[Start Date]],BM$27&lt;ProposalToGnatt[[#This Row],[Start Date]]+ProposalToGnatt[[#This Row],[Days]]),$G$5,"")),"")</f>
        <v/>
      </c>
      <c r="BN68" s="36" t="str">
        <f ca="1">IFERROR(+IF(BN$27=ProposalToGnatt[[#This Row],[Start Date]],Milestone_Marker,IF(AND(BN$27&gt;ProposalToGnatt[[#This Row],[Start Date]],BN$27&lt;ProposalToGnatt[[#This Row],[Start Date]]+ProposalToGnatt[[#This Row],[Days]]),$G$5,"")),"")</f>
        <v/>
      </c>
      <c r="BO68" s="36" t="str">
        <f ca="1">IFERROR(+IF(BO$27=ProposalToGnatt[[#This Row],[Start Date]],Milestone_Marker,IF(AND(BO$27&gt;ProposalToGnatt[[#This Row],[Start Date]],BO$27&lt;ProposalToGnatt[[#This Row],[Start Date]]+ProposalToGnatt[[#This Row],[Days]]),$G$5,"")),"")</f>
        <v/>
      </c>
      <c r="BP68" s="36" t="str">
        <f ca="1">IFERROR(+IF(BP$27=ProposalToGnatt[[#This Row],[Start Date]],Milestone_Marker,IF(AND(BP$27&gt;ProposalToGnatt[[#This Row],[Start Date]],BP$27&lt;ProposalToGnatt[[#This Row],[Start Date]]+ProposalToGnatt[[#This Row],[Days]]),$G$5,"")),"")</f>
        <v/>
      </c>
      <c r="BQ68" s="36" t="str">
        <f ca="1">IFERROR(+IF(BQ$27=ProposalToGnatt[[#This Row],[Start Date]],Milestone_Marker,IF(AND(BQ$27&gt;ProposalToGnatt[[#This Row],[Start Date]],BQ$27&lt;ProposalToGnatt[[#This Row],[Start Date]]+ProposalToGnatt[[#This Row],[Days]]),$G$5,"")),"")</f>
        <v/>
      </c>
      <c r="BR68" s="36" t="str">
        <f ca="1">IFERROR(+IF(BR$27=ProposalToGnatt[[#This Row],[Start Date]],Milestone_Marker,IF(AND(BR$27&gt;ProposalToGnatt[[#This Row],[Start Date]],BR$27&lt;ProposalToGnatt[[#This Row],[Start Date]]+ProposalToGnatt[[#This Row],[Days]]),$G$5,"")),"")</f>
        <v/>
      </c>
      <c r="BS68" s="36" t="str">
        <f ca="1">IFERROR(+IF(BS$27=ProposalToGnatt[[#This Row],[Start Date]],Milestone_Marker,IF(AND(BS$27&gt;ProposalToGnatt[[#This Row],[Start Date]],BS$27&lt;ProposalToGnatt[[#This Row],[Start Date]]+ProposalToGnatt[[#This Row],[Days]]),$G$5,"")),"")</f>
        <v/>
      </c>
      <c r="BT68" s="36" t="str">
        <f ca="1">IFERROR(+IF(BT$27=ProposalToGnatt[[#This Row],[Start Date]],Milestone_Marker,IF(AND(BT$27&gt;ProposalToGnatt[[#This Row],[Start Date]],BT$27&lt;ProposalToGnatt[[#This Row],[Start Date]]+ProposalToGnatt[[#This Row],[Days]]),$G$5,"")),"")</f>
        <v/>
      </c>
      <c r="BU68" s="36" t="str">
        <f ca="1">IFERROR(+IF(BU$27=ProposalToGnatt[[#This Row],[Start Date]],Milestone_Marker,IF(AND(BU$27&gt;ProposalToGnatt[[#This Row],[Start Date]],BU$27&lt;ProposalToGnatt[[#This Row],[Start Date]]+ProposalToGnatt[[#This Row],[Days]]),$G$5,"")),"")</f>
        <v/>
      </c>
      <c r="BV68" s="36" t="str">
        <f ca="1">IFERROR(+IF(BV$27=ProposalToGnatt[[#This Row],[Start Date]],Milestone_Marker,IF(AND(BV$27&gt;ProposalToGnatt[[#This Row],[Start Date]],BV$27&lt;ProposalToGnatt[[#This Row],[Start Date]]+ProposalToGnatt[[#This Row],[Days]]),$G$5,"")),"")</f>
        <v/>
      </c>
      <c r="BW68" s="36" t="str">
        <f ca="1">IFERROR(+IF(BW$27=ProposalToGnatt[[#This Row],[Start Date]],Milestone_Marker,IF(AND(BW$27&gt;ProposalToGnatt[[#This Row],[Start Date]],BW$27&lt;ProposalToGnatt[[#This Row],[Start Date]]+ProposalToGnatt[[#This Row],[Days]]),$G$5,"")),"")</f>
        <v/>
      </c>
      <c r="BX68" s="36" t="str">
        <f ca="1">IFERROR(+IF(BX$27=ProposalToGnatt[[#This Row],[Start Date]],Milestone_Marker,IF(AND(BX$27&gt;ProposalToGnatt[[#This Row],[Start Date]],BX$27&lt;ProposalToGnatt[[#This Row],[Start Date]]+ProposalToGnatt[[#This Row],[Days]]),$G$5,"")),"")</f>
        <v/>
      </c>
      <c r="BY68" s="36" t="str">
        <f ca="1">IFERROR(+IF(BY$27=ProposalToGnatt[[#This Row],[Start Date]],Milestone_Marker,IF(AND(BY$27&gt;ProposalToGnatt[[#This Row],[Start Date]],BY$27&lt;ProposalToGnatt[[#This Row],[Start Date]]+ProposalToGnatt[[#This Row],[Days]]),$G$5,"")),"")</f>
        <v/>
      </c>
      <c r="BZ68" s="36" t="str">
        <f ca="1">IFERROR(+IF(BZ$27=ProposalToGnatt[[#This Row],[Start Date]],Milestone_Marker,IF(AND(BZ$27&gt;ProposalToGnatt[[#This Row],[Start Date]],BZ$27&lt;ProposalToGnatt[[#This Row],[Start Date]]+ProposalToGnatt[[#This Row],[Days]]),$G$5,"")),"")</f>
        <v/>
      </c>
      <c r="CA68" s="36" t="str">
        <f ca="1">IFERROR(+IF(CA$27=ProposalToGnatt[[#This Row],[Start Date]],Milestone_Marker,IF(AND(CA$27&gt;ProposalToGnatt[[#This Row],[Start Date]],CA$27&lt;ProposalToGnatt[[#This Row],[Start Date]]+ProposalToGnatt[[#This Row],[Days]]),$G$5,"")),"")</f>
        <v/>
      </c>
      <c r="CB68" s="36" t="str">
        <f ca="1">IFERROR(+IF(CB$27=ProposalToGnatt[[#This Row],[Start Date]],Milestone_Marker,IF(AND(CB$27&gt;ProposalToGnatt[[#This Row],[Start Date]],CB$27&lt;ProposalToGnatt[[#This Row],[Start Date]]+ProposalToGnatt[[#This Row],[Days]]),$G$5,"")),"")</f>
        <v/>
      </c>
      <c r="CC68" s="36" t="str">
        <f ca="1">IFERROR(+IF(CC$27=ProposalToGnatt[[#This Row],[Start Date]],Milestone_Marker,IF(AND(CC$27&gt;ProposalToGnatt[[#This Row],[Start Date]],CC$27&lt;ProposalToGnatt[[#This Row],[Start Date]]+ProposalToGnatt[[#This Row],[Days]]),$G$5,"")),"")</f>
        <v/>
      </c>
      <c r="CD68" s="36" t="str">
        <f ca="1">IFERROR(+IF(CD$27=ProposalToGnatt[[#This Row],[Start Date]],Milestone_Marker,IF(AND(CD$27&gt;ProposalToGnatt[[#This Row],[Start Date]],CD$27&lt;ProposalToGnatt[[#This Row],[Start Date]]+ProposalToGnatt[[#This Row],[Days]]),$G$5,"")),"")</f>
        <v/>
      </c>
      <c r="CE68" s="36" t="str">
        <f ca="1">IFERROR(+IF(CE$27=ProposalToGnatt[[#This Row],[Start Date]],Milestone_Marker,IF(AND(CE$27&gt;ProposalToGnatt[[#This Row],[Start Date]],CE$27&lt;ProposalToGnatt[[#This Row],[Start Date]]+ProposalToGnatt[[#This Row],[Days]]),$G$5,"")),"")</f>
        <v/>
      </c>
      <c r="CF68" s="36" t="str">
        <f ca="1">IFERROR(+IF(CF$27=ProposalToGnatt[[#This Row],[Start Date]],Milestone_Marker,IF(AND(CF$27&gt;ProposalToGnatt[[#This Row],[Start Date]],CF$27&lt;ProposalToGnatt[[#This Row],[Start Date]]+ProposalToGnatt[[#This Row],[Days]]),$G$5,"")),"")</f>
        <v/>
      </c>
      <c r="CG68" s="36" t="str">
        <f ca="1">IFERROR(+IF(CG$27=ProposalToGnatt[[#This Row],[Start Date]],Milestone_Marker,IF(AND(CG$27&gt;ProposalToGnatt[[#This Row],[Start Date]],CG$27&lt;ProposalToGnatt[[#This Row],[Start Date]]+ProposalToGnatt[[#This Row],[Days]]),$G$5,"")),"")</f>
        <v/>
      </c>
      <c r="CH68" s="36" t="str">
        <f ca="1">IFERROR(+IF(CH$27=ProposalToGnatt[[#This Row],[Start Date]],Milestone_Marker,IF(AND(CH$27&gt;ProposalToGnatt[[#This Row],[Start Date]],CH$27&lt;ProposalToGnatt[[#This Row],[Start Date]]+ProposalToGnatt[[#This Row],[Days]]),$G$5,"")),"")</f>
        <v/>
      </c>
      <c r="CI68" s="36" t="str">
        <f ca="1">IFERROR(+IF(CI$27=ProposalToGnatt[[#This Row],[Start Date]],Milestone_Marker,IF(AND(CI$27&gt;ProposalToGnatt[[#This Row],[Start Date]],CI$27&lt;ProposalToGnatt[[#This Row],[Start Date]]+ProposalToGnatt[[#This Row],[Days]]),$G$5,"")),"")</f>
        <v/>
      </c>
      <c r="CJ68" s="36" t="str">
        <f ca="1">IFERROR(+IF(CJ$27=ProposalToGnatt[[#This Row],[Start Date]],Milestone_Marker,IF(AND(CJ$27&gt;ProposalToGnatt[[#This Row],[Start Date]],CJ$27&lt;ProposalToGnatt[[#This Row],[Start Date]]+ProposalToGnatt[[#This Row],[Days]]),$G$5,"")),"")</f>
        <v/>
      </c>
      <c r="CK68" s="36" t="str">
        <f ca="1">IFERROR(+IF(CK$27=ProposalToGnatt[[#This Row],[Start Date]],Milestone_Marker,IF(AND(CK$27&gt;ProposalToGnatt[[#This Row],[Start Date]],CK$27&lt;ProposalToGnatt[[#This Row],[Start Date]]+ProposalToGnatt[[#This Row],[Days]]),$G$5,"")),"")</f>
        <v/>
      </c>
      <c r="CL68" s="36" t="str">
        <f ca="1">IFERROR(+IF(CL$27=ProposalToGnatt[[#This Row],[Start Date]],Milestone_Marker,IF(AND(CL$27&gt;ProposalToGnatt[[#This Row],[Start Date]],CL$27&lt;ProposalToGnatt[[#This Row],[Start Date]]+ProposalToGnatt[[#This Row],[Days]]),$G$5,"")),"")</f>
        <v/>
      </c>
      <c r="CM68" s="36" t="str">
        <f ca="1">IFERROR(+IF(CM$27=ProposalToGnatt[[#This Row],[Start Date]],Milestone_Marker,IF(AND(CM$27&gt;ProposalToGnatt[[#This Row],[Start Date]],CM$27&lt;ProposalToGnatt[[#This Row],[Start Date]]+ProposalToGnatt[[#This Row],[Days]]),$G$5,"")),"")</f>
        <v/>
      </c>
      <c r="CN68" s="36" t="str">
        <f ca="1">IFERROR(+IF(CN$27=ProposalToGnatt[[#This Row],[Start Date]],Milestone_Marker,IF(AND(CN$27&gt;ProposalToGnatt[[#This Row],[Start Date]],CN$27&lt;ProposalToGnatt[[#This Row],[Start Date]]+ProposalToGnatt[[#This Row],[Days]]),$G$5,"")),"")</f>
        <v/>
      </c>
      <c r="CO68" s="36" t="str">
        <f ca="1">IFERROR(+IF(CO$27=ProposalToGnatt[[#This Row],[Start Date]],Milestone_Marker,IF(AND(CO$27&gt;ProposalToGnatt[[#This Row],[Start Date]],CO$27&lt;ProposalToGnatt[[#This Row],[Start Date]]+ProposalToGnatt[[#This Row],[Days]]),$G$5,"")),"")</f>
        <v/>
      </c>
      <c r="CP68" s="36" t="str">
        <f ca="1">IFERROR(+IF(CP$27=ProposalToGnatt[[#This Row],[Start Date]],Milestone_Marker,IF(AND(CP$27&gt;ProposalToGnatt[[#This Row],[Start Date]],CP$27&lt;ProposalToGnatt[[#This Row],[Start Date]]+ProposalToGnatt[[#This Row],[Days]]),$G$5,"")),"")</f>
        <v/>
      </c>
      <c r="CQ68" s="36" t="str">
        <f ca="1">IFERROR(+IF(CQ$27=ProposalToGnatt[[#This Row],[Start Date]],Milestone_Marker,IF(AND(CQ$27&gt;ProposalToGnatt[[#This Row],[Start Date]],CQ$27&lt;ProposalToGnatt[[#This Row],[Start Date]]+ProposalToGnatt[[#This Row],[Days]]),$G$5,"")),"")</f>
        <v/>
      </c>
      <c r="CR68" s="36" t="str">
        <f ca="1">IFERROR(+IF(CR$27=ProposalToGnatt[[#This Row],[Start Date]],Milestone_Marker,IF(AND(CR$27&gt;ProposalToGnatt[[#This Row],[Start Date]],CR$27&lt;ProposalToGnatt[[#This Row],[Start Date]]+ProposalToGnatt[[#This Row],[Days]]),$G$5,"")),"")</f>
        <v/>
      </c>
      <c r="CS68" s="36" t="str">
        <f ca="1">IFERROR(+IF(CS$27=ProposalToGnatt[[#This Row],[Start Date]],Milestone_Marker,IF(AND(CS$27&gt;ProposalToGnatt[[#This Row],[Start Date]],CS$27&lt;ProposalToGnatt[[#This Row],[Start Date]]+ProposalToGnatt[[#This Row],[Days]]),$G$5,"")),"")</f>
        <v/>
      </c>
      <c r="CT68" s="36" t="str">
        <f ca="1">IFERROR(+IF(CT$27=ProposalToGnatt[[#This Row],[Start Date]],Milestone_Marker,IF(AND(CT$27&gt;ProposalToGnatt[[#This Row],[Start Date]],CT$27&lt;ProposalToGnatt[[#This Row],[Start Date]]+ProposalToGnatt[[#This Row],[Days]]),$G$5,"")),"")</f>
        <v/>
      </c>
      <c r="CU68" s="36" t="str">
        <f ca="1">IFERROR(+IF(CU$27=ProposalToGnatt[[#This Row],[Start Date]],Milestone_Marker,IF(AND(CU$27&gt;ProposalToGnatt[[#This Row],[Start Date]],CU$27&lt;ProposalToGnatt[[#This Row],[Start Date]]+ProposalToGnatt[[#This Row],[Days]]),$G$5,"")),"")</f>
        <v/>
      </c>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row>
    <row r="69" spans="1:125" s="41" customFormat="1" ht="15" x14ac:dyDescent="0.25">
      <c r="A69"/>
      <c r="B69"/>
      <c r="C69"/>
      <c r="D69"/>
      <c r="E69"/>
      <c r="F69"/>
      <c r="G69" s="14"/>
      <c r="H69" s="14"/>
      <c r="I69"/>
      <c r="J69"/>
      <c r="K69" s="261"/>
      <c r="L69"/>
      <c r="M69" s="14"/>
      <c r="N69" s="309"/>
      <c r="O69" s="297"/>
      <c r="P69" s="36" t="str">
        <f ca="1">IFERROR(+IF(P$27=ProposalToGnatt[[#This Row],[Start Date]],Milestone_Marker,IF(AND(P$27&gt;ProposalToGnatt[[#This Row],[Start Date]],P$27&lt;ProposalToGnatt[[#This Row],[Start Date]]+ProposalToGnatt[[#This Row],[Days]]),$G$5,"")),"")</f>
        <v/>
      </c>
      <c r="Q69" s="36" t="str">
        <f ca="1">IFERROR(+IF(Q$27=ProposalToGnatt[[#This Row],[Start Date]],Milestone_Marker,IF(AND(Q$27&gt;ProposalToGnatt[[#This Row],[Start Date]],Q$27&lt;ProposalToGnatt[[#This Row],[Start Date]]+ProposalToGnatt[[#This Row],[Days]]),$G$5,"")),"")</f>
        <v/>
      </c>
      <c r="R69" s="36" t="str">
        <f ca="1">IFERROR(+IF(R$27=ProposalToGnatt[[#This Row],[Start Date]],Milestone_Marker,IF(AND(R$27&gt;ProposalToGnatt[[#This Row],[Start Date]],R$27&lt;ProposalToGnatt[[#This Row],[Start Date]]+ProposalToGnatt[[#This Row],[Days]]),$G$5,"")),"")</f>
        <v/>
      </c>
      <c r="S69" s="36" t="str">
        <f ca="1">IFERROR(+IF(S$27=ProposalToGnatt[[#This Row],[Start Date]],Milestone_Marker,IF(AND(S$27&gt;ProposalToGnatt[[#This Row],[Start Date]],S$27&lt;ProposalToGnatt[[#This Row],[Start Date]]+ProposalToGnatt[[#This Row],[Days]]),$G$5,"")),"")</f>
        <v/>
      </c>
      <c r="T69" s="36" t="str">
        <f ca="1">IFERROR(+IF(T$27=ProposalToGnatt[[#This Row],[Start Date]],Milestone_Marker,IF(AND(T$27&gt;ProposalToGnatt[[#This Row],[Start Date]],T$27&lt;ProposalToGnatt[[#This Row],[Start Date]]+ProposalToGnatt[[#This Row],[Days]]),$G$5,"")),"")</f>
        <v/>
      </c>
      <c r="U69" s="36" t="str">
        <f ca="1">IFERROR(+IF(U$27=ProposalToGnatt[[#This Row],[Start Date]],Milestone_Marker,IF(AND(U$27&gt;ProposalToGnatt[[#This Row],[Start Date]],U$27&lt;ProposalToGnatt[[#This Row],[Start Date]]+ProposalToGnatt[[#This Row],[Days]]),$G$5,"")),"")</f>
        <v/>
      </c>
      <c r="V69" s="36" t="str">
        <f ca="1">IFERROR(+IF(V$27=ProposalToGnatt[[#This Row],[Start Date]],Milestone_Marker,IF(AND(V$27&gt;ProposalToGnatt[[#This Row],[Start Date]],V$27&lt;ProposalToGnatt[[#This Row],[Start Date]]+ProposalToGnatt[[#This Row],[Days]]),$G$5,"")),"")</f>
        <v/>
      </c>
      <c r="W69" s="36" t="str">
        <f ca="1">IFERROR(+IF(W$27=ProposalToGnatt[[#This Row],[Start Date]],Milestone_Marker,IF(AND(W$27&gt;ProposalToGnatt[[#This Row],[Start Date]],W$27&lt;ProposalToGnatt[[#This Row],[Start Date]]+ProposalToGnatt[[#This Row],[Days]]),$G$5,"")),"")</f>
        <v/>
      </c>
      <c r="X69" s="36" t="str">
        <f ca="1">IFERROR(+IF(X$27=ProposalToGnatt[[#This Row],[Start Date]],Milestone_Marker,IF(AND(X$27&gt;ProposalToGnatt[[#This Row],[Start Date]],X$27&lt;ProposalToGnatt[[#This Row],[Start Date]]+ProposalToGnatt[[#This Row],[Days]]),$G$5,"")),"")</f>
        <v/>
      </c>
      <c r="Y69" s="36" t="str">
        <f ca="1">IFERROR(+IF(Y$27=ProposalToGnatt[[#This Row],[Start Date]],Milestone_Marker,IF(AND(Y$27&gt;ProposalToGnatt[[#This Row],[Start Date]],Y$27&lt;ProposalToGnatt[[#This Row],[Start Date]]+ProposalToGnatt[[#This Row],[Days]]),$G$5,"")),"")</f>
        <v/>
      </c>
      <c r="Z69" s="36" t="str">
        <f ca="1">IFERROR(+IF(Z$27=ProposalToGnatt[[#This Row],[Start Date]],Milestone_Marker,IF(AND(Z$27&gt;ProposalToGnatt[[#This Row],[Start Date]],Z$27&lt;ProposalToGnatt[[#This Row],[Start Date]]+ProposalToGnatt[[#This Row],[Days]]),$G$5,"")),"")</f>
        <v/>
      </c>
      <c r="AA69" s="36" t="str">
        <f ca="1">IFERROR(+IF(AA$27=ProposalToGnatt[[#This Row],[Start Date]],Milestone_Marker,IF(AND(AA$27&gt;ProposalToGnatt[[#This Row],[Start Date]],AA$27&lt;ProposalToGnatt[[#This Row],[Start Date]]+ProposalToGnatt[[#This Row],[Days]]),$G$5,"")),"")</f>
        <v/>
      </c>
      <c r="AB69" s="36" t="str">
        <f ca="1">IFERROR(+IF(AB$27=ProposalToGnatt[[#This Row],[Start Date]],Milestone_Marker,IF(AND(AB$27&gt;ProposalToGnatt[[#This Row],[Start Date]],AB$27&lt;ProposalToGnatt[[#This Row],[Start Date]]+ProposalToGnatt[[#This Row],[Days]]),$G$5,"")),"")</f>
        <v/>
      </c>
      <c r="AC69" s="36" t="str">
        <f ca="1">IFERROR(+IF(AC$27=ProposalToGnatt[[#This Row],[Start Date]],Milestone_Marker,IF(AND(AC$27&gt;ProposalToGnatt[[#This Row],[Start Date]],AC$27&lt;ProposalToGnatt[[#This Row],[Start Date]]+ProposalToGnatt[[#This Row],[Days]]),$G$5,"")),"")</f>
        <v/>
      </c>
      <c r="AD69" s="36" t="str">
        <f ca="1">IFERROR(+IF(AD$27=ProposalToGnatt[[#This Row],[Start Date]],Milestone_Marker,IF(AND(AD$27&gt;ProposalToGnatt[[#This Row],[Start Date]],AD$27&lt;ProposalToGnatt[[#This Row],[Start Date]]+ProposalToGnatt[[#This Row],[Days]]),$G$5,"")),"")</f>
        <v/>
      </c>
      <c r="AE69" s="36" t="str">
        <f ca="1">IFERROR(+IF(AE$27=ProposalToGnatt[[#This Row],[Start Date]],Milestone_Marker,IF(AND(AE$27&gt;ProposalToGnatt[[#This Row],[Start Date]],AE$27&lt;ProposalToGnatt[[#This Row],[Start Date]]+ProposalToGnatt[[#This Row],[Days]]),$G$5,"")),"")</f>
        <v/>
      </c>
      <c r="AF69" s="36" t="str">
        <f ca="1">IFERROR(+IF(AF$27=ProposalToGnatt[[#This Row],[Start Date]],Milestone_Marker,IF(AND(AF$27&gt;ProposalToGnatt[[#This Row],[Start Date]],AF$27&lt;ProposalToGnatt[[#This Row],[Start Date]]+ProposalToGnatt[[#This Row],[Days]]),$G$5,"")),"")</f>
        <v/>
      </c>
      <c r="AG69" s="36" t="str">
        <f ca="1">IFERROR(+IF(AG$27=ProposalToGnatt[[#This Row],[Start Date]],Milestone_Marker,IF(AND(AG$27&gt;ProposalToGnatt[[#This Row],[Start Date]],AG$27&lt;ProposalToGnatt[[#This Row],[Start Date]]+ProposalToGnatt[[#This Row],[Days]]),$G$5,"")),"")</f>
        <v/>
      </c>
      <c r="AH69" s="36" t="str">
        <f ca="1">IFERROR(+IF(AH$27=ProposalToGnatt[[#This Row],[Start Date]],Milestone_Marker,IF(AND(AH$27&gt;ProposalToGnatt[[#This Row],[Start Date]],AH$27&lt;ProposalToGnatt[[#This Row],[Start Date]]+ProposalToGnatt[[#This Row],[Days]]),$G$5,"")),"")</f>
        <v/>
      </c>
      <c r="AI69" s="36" t="str">
        <f ca="1">IFERROR(+IF(AI$27=ProposalToGnatt[[#This Row],[Start Date]],Milestone_Marker,IF(AND(AI$27&gt;ProposalToGnatt[[#This Row],[Start Date]],AI$27&lt;ProposalToGnatt[[#This Row],[Start Date]]+ProposalToGnatt[[#This Row],[Days]]),$G$5,"")),"")</f>
        <v/>
      </c>
      <c r="AJ69" s="36" t="str">
        <f ca="1">IFERROR(+IF(AJ$27=ProposalToGnatt[[#This Row],[Start Date]],Milestone_Marker,IF(AND(AJ$27&gt;ProposalToGnatt[[#This Row],[Start Date]],AJ$27&lt;ProposalToGnatt[[#This Row],[Start Date]]+ProposalToGnatt[[#This Row],[Days]]),$G$5,"")),"")</f>
        <v/>
      </c>
      <c r="AK69" s="36" t="str">
        <f ca="1">IFERROR(+IF(AK$27=ProposalToGnatt[[#This Row],[Start Date]],Milestone_Marker,IF(AND(AK$27&gt;ProposalToGnatt[[#This Row],[Start Date]],AK$27&lt;ProposalToGnatt[[#This Row],[Start Date]]+ProposalToGnatt[[#This Row],[Days]]),$G$5,"")),"")</f>
        <v/>
      </c>
      <c r="AL69" s="36" t="str">
        <f ca="1">IFERROR(+IF(AL$27=ProposalToGnatt[[#This Row],[Start Date]],Milestone_Marker,IF(AND(AL$27&gt;ProposalToGnatt[[#This Row],[Start Date]],AL$27&lt;ProposalToGnatt[[#This Row],[Start Date]]+ProposalToGnatt[[#This Row],[Days]]),$G$5,"")),"")</f>
        <v/>
      </c>
      <c r="AM69" s="36" t="str">
        <f ca="1">IFERROR(+IF(AM$27=ProposalToGnatt[[#This Row],[Start Date]],Milestone_Marker,IF(AND(AM$27&gt;ProposalToGnatt[[#This Row],[Start Date]],AM$27&lt;ProposalToGnatt[[#This Row],[Start Date]]+ProposalToGnatt[[#This Row],[Days]]),$G$5,"")),"")</f>
        <v/>
      </c>
      <c r="AN69" s="36" t="str">
        <f ca="1">IFERROR(+IF(AN$27=ProposalToGnatt[[#This Row],[Start Date]],Milestone_Marker,IF(AND(AN$27&gt;ProposalToGnatt[[#This Row],[Start Date]],AN$27&lt;ProposalToGnatt[[#This Row],[Start Date]]+ProposalToGnatt[[#This Row],[Days]]),$G$5,"")),"")</f>
        <v/>
      </c>
      <c r="AO69" s="36" t="str">
        <f ca="1">IFERROR(+IF(AO$27=ProposalToGnatt[[#This Row],[Start Date]],Milestone_Marker,IF(AND(AO$27&gt;ProposalToGnatt[[#This Row],[Start Date]],AO$27&lt;ProposalToGnatt[[#This Row],[Start Date]]+ProposalToGnatt[[#This Row],[Days]]),$G$5,"")),"")</f>
        <v/>
      </c>
      <c r="AP69" s="36" t="str">
        <f ca="1">IFERROR(+IF(AP$27=ProposalToGnatt[[#This Row],[Start Date]],Milestone_Marker,IF(AND(AP$27&gt;ProposalToGnatt[[#This Row],[Start Date]],AP$27&lt;ProposalToGnatt[[#This Row],[Start Date]]+ProposalToGnatt[[#This Row],[Days]]),$G$5,"")),"")</f>
        <v/>
      </c>
      <c r="AQ69" s="36" t="str">
        <f ca="1">IFERROR(+IF(AQ$27=ProposalToGnatt[[#This Row],[Start Date]],Milestone_Marker,IF(AND(AQ$27&gt;ProposalToGnatt[[#This Row],[Start Date]],AQ$27&lt;ProposalToGnatt[[#This Row],[Start Date]]+ProposalToGnatt[[#This Row],[Days]]),$G$5,"")),"")</f>
        <v/>
      </c>
      <c r="AR69" s="36" t="str">
        <f ca="1">IFERROR(+IF(AR$27=ProposalToGnatt[[#This Row],[Start Date]],Milestone_Marker,IF(AND(AR$27&gt;ProposalToGnatt[[#This Row],[Start Date]],AR$27&lt;ProposalToGnatt[[#This Row],[Start Date]]+ProposalToGnatt[[#This Row],[Days]]),$G$5,"")),"")</f>
        <v/>
      </c>
      <c r="AS69" s="36" t="str">
        <f ca="1">IFERROR(+IF(AS$27=ProposalToGnatt[[#This Row],[Start Date]],Milestone_Marker,IF(AND(AS$27&gt;ProposalToGnatt[[#This Row],[Start Date]],AS$27&lt;ProposalToGnatt[[#This Row],[Start Date]]+ProposalToGnatt[[#This Row],[Days]]),$G$5,"")),"")</f>
        <v/>
      </c>
      <c r="AT69" s="36" t="str">
        <f ca="1">IFERROR(+IF(AT$27=ProposalToGnatt[[#This Row],[Start Date]],Milestone_Marker,IF(AND(AT$27&gt;ProposalToGnatt[[#This Row],[Start Date]],AT$27&lt;ProposalToGnatt[[#This Row],[Start Date]]+ProposalToGnatt[[#This Row],[Days]]),$G$5,"")),"")</f>
        <v/>
      </c>
      <c r="AU69" s="36" t="str">
        <f ca="1">IFERROR(+IF(AU$27=ProposalToGnatt[[#This Row],[Start Date]],Milestone_Marker,IF(AND(AU$27&gt;ProposalToGnatt[[#This Row],[Start Date]],AU$27&lt;ProposalToGnatt[[#This Row],[Start Date]]+ProposalToGnatt[[#This Row],[Days]]),$G$5,"")),"")</f>
        <v/>
      </c>
      <c r="AV69" s="36" t="str">
        <f ca="1">IFERROR(+IF(AV$27=ProposalToGnatt[[#This Row],[Start Date]],Milestone_Marker,IF(AND(AV$27&gt;ProposalToGnatt[[#This Row],[Start Date]],AV$27&lt;ProposalToGnatt[[#This Row],[Start Date]]+ProposalToGnatt[[#This Row],[Days]]),$G$5,"")),"")</f>
        <v/>
      </c>
      <c r="AW69" s="36" t="str">
        <f ca="1">IFERROR(+IF(AW$27=ProposalToGnatt[[#This Row],[Start Date]],Milestone_Marker,IF(AND(AW$27&gt;ProposalToGnatt[[#This Row],[Start Date]],AW$27&lt;ProposalToGnatt[[#This Row],[Start Date]]+ProposalToGnatt[[#This Row],[Days]]),$G$5,"")),"")</f>
        <v/>
      </c>
      <c r="AX69" s="36" t="str">
        <f ca="1">IFERROR(+IF(AX$27=ProposalToGnatt[[#This Row],[Start Date]],Milestone_Marker,IF(AND(AX$27&gt;ProposalToGnatt[[#This Row],[Start Date]],AX$27&lt;ProposalToGnatt[[#This Row],[Start Date]]+ProposalToGnatt[[#This Row],[Days]]),$G$5,"")),"")</f>
        <v/>
      </c>
      <c r="AY69" s="36" t="str">
        <f ca="1">IFERROR(+IF(AY$27=ProposalToGnatt[[#This Row],[Start Date]],Milestone_Marker,IF(AND(AY$27&gt;ProposalToGnatt[[#This Row],[Start Date]],AY$27&lt;ProposalToGnatt[[#This Row],[Start Date]]+ProposalToGnatt[[#This Row],[Days]]),$G$5,"")),"")</f>
        <v/>
      </c>
      <c r="AZ69" s="36" t="str">
        <f ca="1">IFERROR(+IF(AZ$27=ProposalToGnatt[[#This Row],[Start Date]],Milestone_Marker,IF(AND(AZ$27&gt;ProposalToGnatt[[#This Row],[Start Date]],AZ$27&lt;ProposalToGnatt[[#This Row],[Start Date]]+ProposalToGnatt[[#This Row],[Days]]),$G$5,"")),"")</f>
        <v/>
      </c>
      <c r="BA69" s="36" t="str">
        <f ca="1">IFERROR(+IF(BA$27=ProposalToGnatt[[#This Row],[Start Date]],Milestone_Marker,IF(AND(BA$27&gt;ProposalToGnatt[[#This Row],[Start Date]],BA$27&lt;ProposalToGnatt[[#This Row],[Start Date]]+ProposalToGnatt[[#This Row],[Days]]),$G$5,"")),"")</f>
        <v/>
      </c>
      <c r="BB69" s="36" t="str">
        <f ca="1">IFERROR(+IF(BB$27=ProposalToGnatt[[#This Row],[Start Date]],Milestone_Marker,IF(AND(BB$27&gt;ProposalToGnatt[[#This Row],[Start Date]],BB$27&lt;ProposalToGnatt[[#This Row],[Start Date]]+ProposalToGnatt[[#This Row],[Days]]),$G$5,"")),"")</f>
        <v/>
      </c>
      <c r="BC69" s="36" t="str">
        <f ca="1">IFERROR(+IF(BC$27=ProposalToGnatt[[#This Row],[Start Date]],Milestone_Marker,IF(AND(BC$27&gt;ProposalToGnatt[[#This Row],[Start Date]],BC$27&lt;ProposalToGnatt[[#This Row],[Start Date]]+ProposalToGnatt[[#This Row],[Days]]),$G$5,"")),"")</f>
        <v/>
      </c>
      <c r="BD69" s="36" t="str">
        <f ca="1">IFERROR(+IF(BD$27=ProposalToGnatt[[#This Row],[Start Date]],Milestone_Marker,IF(AND(BD$27&gt;ProposalToGnatt[[#This Row],[Start Date]],BD$27&lt;ProposalToGnatt[[#This Row],[Start Date]]+ProposalToGnatt[[#This Row],[Days]]),$G$5,"")),"")</f>
        <v/>
      </c>
      <c r="BE69" s="36" t="str">
        <f ca="1">IFERROR(+IF(BE$27=ProposalToGnatt[[#This Row],[Start Date]],Milestone_Marker,IF(AND(BE$27&gt;ProposalToGnatt[[#This Row],[Start Date]],BE$27&lt;ProposalToGnatt[[#This Row],[Start Date]]+ProposalToGnatt[[#This Row],[Days]]),$G$5,"")),"")</f>
        <v/>
      </c>
      <c r="BF69" s="36" t="str">
        <f ca="1">IFERROR(+IF(BF$27=ProposalToGnatt[[#This Row],[Start Date]],Milestone_Marker,IF(AND(BF$27&gt;ProposalToGnatt[[#This Row],[Start Date]],BF$27&lt;ProposalToGnatt[[#This Row],[Start Date]]+ProposalToGnatt[[#This Row],[Days]]),$G$5,"")),"")</f>
        <v/>
      </c>
      <c r="BG69" s="36" t="str">
        <f ca="1">IFERROR(+IF(BG$27=ProposalToGnatt[[#This Row],[Start Date]],Milestone_Marker,IF(AND(BG$27&gt;ProposalToGnatt[[#This Row],[Start Date]],BG$27&lt;ProposalToGnatt[[#This Row],[Start Date]]+ProposalToGnatt[[#This Row],[Days]]),$G$5,"")),"")</f>
        <v/>
      </c>
      <c r="BH69" s="36" t="str">
        <f ca="1">IFERROR(+IF(BH$27=ProposalToGnatt[[#This Row],[Start Date]],Milestone_Marker,IF(AND(BH$27&gt;ProposalToGnatt[[#This Row],[Start Date]],BH$27&lt;ProposalToGnatt[[#This Row],[Start Date]]+ProposalToGnatt[[#This Row],[Days]]),$G$5,"")),"")</f>
        <v/>
      </c>
      <c r="BI69" s="36" t="str">
        <f ca="1">IFERROR(+IF(BI$27=ProposalToGnatt[[#This Row],[Start Date]],Milestone_Marker,IF(AND(BI$27&gt;ProposalToGnatt[[#This Row],[Start Date]],BI$27&lt;ProposalToGnatt[[#This Row],[Start Date]]+ProposalToGnatt[[#This Row],[Days]]),$G$5,"")),"")</f>
        <v/>
      </c>
      <c r="BJ69" s="36" t="str">
        <f ca="1">IFERROR(+IF(BJ$27=ProposalToGnatt[[#This Row],[Start Date]],Milestone_Marker,IF(AND(BJ$27&gt;ProposalToGnatt[[#This Row],[Start Date]],BJ$27&lt;ProposalToGnatt[[#This Row],[Start Date]]+ProposalToGnatt[[#This Row],[Days]]),$G$5,"")),"")</f>
        <v/>
      </c>
      <c r="BK69" s="36" t="str">
        <f ca="1">IFERROR(+IF(BK$27=ProposalToGnatt[[#This Row],[Start Date]],Milestone_Marker,IF(AND(BK$27&gt;ProposalToGnatt[[#This Row],[Start Date]],BK$27&lt;ProposalToGnatt[[#This Row],[Start Date]]+ProposalToGnatt[[#This Row],[Days]]),$G$5,"")),"")</f>
        <v/>
      </c>
      <c r="BL69" s="36" t="str">
        <f ca="1">IFERROR(+IF(BL$27=ProposalToGnatt[[#This Row],[Start Date]],Milestone_Marker,IF(AND(BL$27&gt;ProposalToGnatt[[#This Row],[Start Date]],BL$27&lt;ProposalToGnatt[[#This Row],[Start Date]]+ProposalToGnatt[[#This Row],[Days]]),$G$5,"")),"")</f>
        <v/>
      </c>
      <c r="BM69" s="36" t="str">
        <f ca="1">IFERROR(+IF(BM$27=ProposalToGnatt[[#This Row],[Start Date]],Milestone_Marker,IF(AND(BM$27&gt;ProposalToGnatt[[#This Row],[Start Date]],BM$27&lt;ProposalToGnatt[[#This Row],[Start Date]]+ProposalToGnatt[[#This Row],[Days]]),$G$5,"")),"")</f>
        <v/>
      </c>
      <c r="BN69" s="36" t="str">
        <f ca="1">IFERROR(+IF(BN$27=ProposalToGnatt[[#This Row],[Start Date]],Milestone_Marker,IF(AND(BN$27&gt;ProposalToGnatt[[#This Row],[Start Date]],BN$27&lt;ProposalToGnatt[[#This Row],[Start Date]]+ProposalToGnatt[[#This Row],[Days]]),$G$5,"")),"")</f>
        <v/>
      </c>
      <c r="BO69" s="36" t="str">
        <f ca="1">IFERROR(+IF(BO$27=ProposalToGnatt[[#This Row],[Start Date]],Milestone_Marker,IF(AND(BO$27&gt;ProposalToGnatt[[#This Row],[Start Date]],BO$27&lt;ProposalToGnatt[[#This Row],[Start Date]]+ProposalToGnatt[[#This Row],[Days]]),$G$5,"")),"")</f>
        <v/>
      </c>
      <c r="BP69" s="36" t="str">
        <f ca="1">IFERROR(+IF(BP$27=ProposalToGnatt[[#This Row],[Start Date]],Milestone_Marker,IF(AND(BP$27&gt;ProposalToGnatt[[#This Row],[Start Date]],BP$27&lt;ProposalToGnatt[[#This Row],[Start Date]]+ProposalToGnatt[[#This Row],[Days]]),$G$5,"")),"")</f>
        <v/>
      </c>
      <c r="BQ69" s="36" t="str">
        <f ca="1">IFERROR(+IF(BQ$27=ProposalToGnatt[[#This Row],[Start Date]],Milestone_Marker,IF(AND(BQ$27&gt;ProposalToGnatt[[#This Row],[Start Date]],BQ$27&lt;ProposalToGnatt[[#This Row],[Start Date]]+ProposalToGnatt[[#This Row],[Days]]),$G$5,"")),"")</f>
        <v/>
      </c>
      <c r="BR69" s="36" t="str">
        <f ca="1">IFERROR(+IF(BR$27=ProposalToGnatt[[#This Row],[Start Date]],Milestone_Marker,IF(AND(BR$27&gt;ProposalToGnatt[[#This Row],[Start Date]],BR$27&lt;ProposalToGnatt[[#This Row],[Start Date]]+ProposalToGnatt[[#This Row],[Days]]),$G$5,"")),"")</f>
        <v/>
      </c>
      <c r="BS69" s="36" t="str">
        <f ca="1">IFERROR(+IF(BS$27=ProposalToGnatt[[#This Row],[Start Date]],Milestone_Marker,IF(AND(BS$27&gt;ProposalToGnatt[[#This Row],[Start Date]],BS$27&lt;ProposalToGnatt[[#This Row],[Start Date]]+ProposalToGnatt[[#This Row],[Days]]),$G$5,"")),"")</f>
        <v/>
      </c>
      <c r="BT69" s="36" t="str">
        <f ca="1">IFERROR(+IF(BT$27=ProposalToGnatt[[#This Row],[Start Date]],Milestone_Marker,IF(AND(BT$27&gt;ProposalToGnatt[[#This Row],[Start Date]],BT$27&lt;ProposalToGnatt[[#This Row],[Start Date]]+ProposalToGnatt[[#This Row],[Days]]),$G$5,"")),"")</f>
        <v/>
      </c>
      <c r="BU69" s="36" t="str">
        <f ca="1">IFERROR(+IF(BU$27=ProposalToGnatt[[#This Row],[Start Date]],Milestone_Marker,IF(AND(BU$27&gt;ProposalToGnatt[[#This Row],[Start Date]],BU$27&lt;ProposalToGnatt[[#This Row],[Start Date]]+ProposalToGnatt[[#This Row],[Days]]),$G$5,"")),"")</f>
        <v/>
      </c>
      <c r="BV69" s="36" t="str">
        <f ca="1">IFERROR(+IF(BV$27=ProposalToGnatt[[#This Row],[Start Date]],Milestone_Marker,IF(AND(BV$27&gt;ProposalToGnatt[[#This Row],[Start Date]],BV$27&lt;ProposalToGnatt[[#This Row],[Start Date]]+ProposalToGnatt[[#This Row],[Days]]),$G$5,"")),"")</f>
        <v/>
      </c>
      <c r="BW69" s="36" t="str">
        <f ca="1">IFERROR(+IF(BW$27=ProposalToGnatt[[#This Row],[Start Date]],Milestone_Marker,IF(AND(BW$27&gt;ProposalToGnatt[[#This Row],[Start Date]],BW$27&lt;ProposalToGnatt[[#This Row],[Start Date]]+ProposalToGnatt[[#This Row],[Days]]),$G$5,"")),"")</f>
        <v/>
      </c>
      <c r="BX69" s="36" t="str">
        <f ca="1">IFERROR(+IF(BX$27=ProposalToGnatt[[#This Row],[Start Date]],Milestone_Marker,IF(AND(BX$27&gt;ProposalToGnatt[[#This Row],[Start Date]],BX$27&lt;ProposalToGnatt[[#This Row],[Start Date]]+ProposalToGnatt[[#This Row],[Days]]),$G$5,"")),"")</f>
        <v/>
      </c>
      <c r="BY69" s="36" t="str">
        <f ca="1">IFERROR(+IF(BY$27=ProposalToGnatt[[#This Row],[Start Date]],Milestone_Marker,IF(AND(BY$27&gt;ProposalToGnatt[[#This Row],[Start Date]],BY$27&lt;ProposalToGnatt[[#This Row],[Start Date]]+ProposalToGnatt[[#This Row],[Days]]),$G$5,"")),"")</f>
        <v/>
      </c>
      <c r="BZ69" s="36" t="str">
        <f ca="1">IFERROR(+IF(BZ$27=ProposalToGnatt[[#This Row],[Start Date]],Milestone_Marker,IF(AND(BZ$27&gt;ProposalToGnatt[[#This Row],[Start Date]],BZ$27&lt;ProposalToGnatt[[#This Row],[Start Date]]+ProposalToGnatt[[#This Row],[Days]]),$G$5,"")),"")</f>
        <v/>
      </c>
      <c r="CA69" s="36" t="str">
        <f ca="1">IFERROR(+IF(CA$27=ProposalToGnatt[[#This Row],[Start Date]],Milestone_Marker,IF(AND(CA$27&gt;ProposalToGnatt[[#This Row],[Start Date]],CA$27&lt;ProposalToGnatt[[#This Row],[Start Date]]+ProposalToGnatt[[#This Row],[Days]]),$G$5,"")),"")</f>
        <v/>
      </c>
      <c r="CB69" s="36" t="str">
        <f ca="1">IFERROR(+IF(CB$27=ProposalToGnatt[[#This Row],[Start Date]],Milestone_Marker,IF(AND(CB$27&gt;ProposalToGnatt[[#This Row],[Start Date]],CB$27&lt;ProposalToGnatt[[#This Row],[Start Date]]+ProposalToGnatt[[#This Row],[Days]]),$G$5,"")),"")</f>
        <v/>
      </c>
      <c r="CC69" s="36" t="str">
        <f ca="1">IFERROR(+IF(CC$27=ProposalToGnatt[[#This Row],[Start Date]],Milestone_Marker,IF(AND(CC$27&gt;ProposalToGnatt[[#This Row],[Start Date]],CC$27&lt;ProposalToGnatt[[#This Row],[Start Date]]+ProposalToGnatt[[#This Row],[Days]]),$G$5,"")),"")</f>
        <v/>
      </c>
      <c r="CD69" s="36" t="str">
        <f ca="1">IFERROR(+IF(CD$27=ProposalToGnatt[[#This Row],[Start Date]],Milestone_Marker,IF(AND(CD$27&gt;ProposalToGnatt[[#This Row],[Start Date]],CD$27&lt;ProposalToGnatt[[#This Row],[Start Date]]+ProposalToGnatt[[#This Row],[Days]]),$G$5,"")),"")</f>
        <v/>
      </c>
      <c r="CE69" s="36" t="str">
        <f ca="1">IFERROR(+IF(CE$27=ProposalToGnatt[[#This Row],[Start Date]],Milestone_Marker,IF(AND(CE$27&gt;ProposalToGnatt[[#This Row],[Start Date]],CE$27&lt;ProposalToGnatt[[#This Row],[Start Date]]+ProposalToGnatt[[#This Row],[Days]]),$G$5,"")),"")</f>
        <v/>
      </c>
      <c r="CF69" s="36" t="str">
        <f ca="1">IFERROR(+IF(CF$27=ProposalToGnatt[[#This Row],[Start Date]],Milestone_Marker,IF(AND(CF$27&gt;ProposalToGnatt[[#This Row],[Start Date]],CF$27&lt;ProposalToGnatt[[#This Row],[Start Date]]+ProposalToGnatt[[#This Row],[Days]]),$G$5,"")),"")</f>
        <v/>
      </c>
      <c r="CG69" s="36" t="str">
        <f ca="1">IFERROR(+IF(CG$27=ProposalToGnatt[[#This Row],[Start Date]],Milestone_Marker,IF(AND(CG$27&gt;ProposalToGnatt[[#This Row],[Start Date]],CG$27&lt;ProposalToGnatt[[#This Row],[Start Date]]+ProposalToGnatt[[#This Row],[Days]]),$G$5,"")),"")</f>
        <v/>
      </c>
      <c r="CH69" s="36" t="str">
        <f ca="1">IFERROR(+IF(CH$27=ProposalToGnatt[[#This Row],[Start Date]],Milestone_Marker,IF(AND(CH$27&gt;ProposalToGnatt[[#This Row],[Start Date]],CH$27&lt;ProposalToGnatt[[#This Row],[Start Date]]+ProposalToGnatt[[#This Row],[Days]]),$G$5,"")),"")</f>
        <v/>
      </c>
      <c r="CI69" s="36" t="str">
        <f ca="1">IFERROR(+IF(CI$27=ProposalToGnatt[[#This Row],[Start Date]],Milestone_Marker,IF(AND(CI$27&gt;ProposalToGnatt[[#This Row],[Start Date]],CI$27&lt;ProposalToGnatt[[#This Row],[Start Date]]+ProposalToGnatt[[#This Row],[Days]]),$G$5,"")),"")</f>
        <v/>
      </c>
      <c r="CJ69" s="36" t="str">
        <f ca="1">IFERROR(+IF(CJ$27=ProposalToGnatt[[#This Row],[Start Date]],Milestone_Marker,IF(AND(CJ$27&gt;ProposalToGnatt[[#This Row],[Start Date]],CJ$27&lt;ProposalToGnatt[[#This Row],[Start Date]]+ProposalToGnatt[[#This Row],[Days]]),$G$5,"")),"")</f>
        <v/>
      </c>
      <c r="CK69" s="36" t="str">
        <f ca="1">IFERROR(+IF(CK$27=ProposalToGnatt[[#This Row],[Start Date]],Milestone_Marker,IF(AND(CK$27&gt;ProposalToGnatt[[#This Row],[Start Date]],CK$27&lt;ProposalToGnatt[[#This Row],[Start Date]]+ProposalToGnatt[[#This Row],[Days]]),$G$5,"")),"")</f>
        <v/>
      </c>
      <c r="CL69" s="36" t="str">
        <f ca="1">IFERROR(+IF(CL$27=ProposalToGnatt[[#This Row],[Start Date]],Milestone_Marker,IF(AND(CL$27&gt;ProposalToGnatt[[#This Row],[Start Date]],CL$27&lt;ProposalToGnatt[[#This Row],[Start Date]]+ProposalToGnatt[[#This Row],[Days]]),$G$5,"")),"")</f>
        <v/>
      </c>
      <c r="CM69" s="36" t="str">
        <f ca="1">IFERROR(+IF(CM$27=ProposalToGnatt[[#This Row],[Start Date]],Milestone_Marker,IF(AND(CM$27&gt;ProposalToGnatt[[#This Row],[Start Date]],CM$27&lt;ProposalToGnatt[[#This Row],[Start Date]]+ProposalToGnatt[[#This Row],[Days]]),$G$5,"")),"")</f>
        <v/>
      </c>
      <c r="CN69" s="36" t="str">
        <f ca="1">IFERROR(+IF(CN$27=ProposalToGnatt[[#This Row],[Start Date]],Milestone_Marker,IF(AND(CN$27&gt;ProposalToGnatt[[#This Row],[Start Date]],CN$27&lt;ProposalToGnatt[[#This Row],[Start Date]]+ProposalToGnatt[[#This Row],[Days]]),$G$5,"")),"")</f>
        <v/>
      </c>
      <c r="CO69" s="36" t="str">
        <f ca="1">IFERROR(+IF(CO$27=ProposalToGnatt[[#This Row],[Start Date]],Milestone_Marker,IF(AND(CO$27&gt;ProposalToGnatt[[#This Row],[Start Date]],CO$27&lt;ProposalToGnatt[[#This Row],[Start Date]]+ProposalToGnatt[[#This Row],[Days]]),$G$5,"")),"")</f>
        <v/>
      </c>
      <c r="CP69" s="36" t="str">
        <f ca="1">IFERROR(+IF(CP$27=ProposalToGnatt[[#This Row],[Start Date]],Milestone_Marker,IF(AND(CP$27&gt;ProposalToGnatt[[#This Row],[Start Date]],CP$27&lt;ProposalToGnatt[[#This Row],[Start Date]]+ProposalToGnatt[[#This Row],[Days]]),$G$5,"")),"")</f>
        <v/>
      </c>
      <c r="CQ69" s="36" t="str">
        <f ca="1">IFERROR(+IF(CQ$27=ProposalToGnatt[[#This Row],[Start Date]],Milestone_Marker,IF(AND(CQ$27&gt;ProposalToGnatt[[#This Row],[Start Date]],CQ$27&lt;ProposalToGnatt[[#This Row],[Start Date]]+ProposalToGnatt[[#This Row],[Days]]),$G$5,"")),"")</f>
        <v/>
      </c>
      <c r="CR69" s="36" t="str">
        <f ca="1">IFERROR(+IF(CR$27=ProposalToGnatt[[#This Row],[Start Date]],Milestone_Marker,IF(AND(CR$27&gt;ProposalToGnatt[[#This Row],[Start Date]],CR$27&lt;ProposalToGnatt[[#This Row],[Start Date]]+ProposalToGnatt[[#This Row],[Days]]),$G$5,"")),"")</f>
        <v/>
      </c>
      <c r="CS69" s="36" t="str">
        <f ca="1">IFERROR(+IF(CS$27=ProposalToGnatt[[#This Row],[Start Date]],Milestone_Marker,IF(AND(CS$27&gt;ProposalToGnatt[[#This Row],[Start Date]],CS$27&lt;ProposalToGnatt[[#This Row],[Start Date]]+ProposalToGnatt[[#This Row],[Days]]),$G$5,"")),"")</f>
        <v/>
      </c>
      <c r="CT69" s="36" t="str">
        <f ca="1">IFERROR(+IF(CT$27=ProposalToGnatt[[#This Row],[Start Date]],Milestone_Marker,IF(AND(CT$27&gt;ProposalToGnatt[[#This Row],[Start Date]],CT$27&lt;ProposalToGnatt[[#This Row],[Start Date]]+ProposalToGnatt[[#This Row],[Days]]),$G$5,"")),"")</f>
        <v/>
      </c>
      <c r="CU69" s="36" t="str">
        <f ca="1">IFERROR(+IF(CU$27=ProposalToGnatt[[#This Row],[Start Date]],Milestone_Marker,IF(AND(CU$27&gt;ProposalToGnatt[[#This Row],[Start Date]],CU$27&lt;ProposalToGnatt[[#This Row],[Start Date]]+ProposalToGnatt[[#This Row],[Days]]),$G$5,"")),"")</f>
        <v/>
      </c>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row>
    <row r="70" spans="1:125" s="41" customFormat="1" ht="15" x14ac:dyDescent="0.25">
      <c r="A70"/>
      <c r="B70"/>
      <c r="C70"/>
      <c r="D70"/>
      <c r="E70"/>
      <c r="F70"/>
      <c r="G70" s="14"/>
      <c r="H70" s="14"/>
      <c r="I70"/>
      <c r="J70"/>
      <c r="K70" s="261"/>
      <c r="L70"/>
      <c r="M70" s="14"/>
      <c r="N70" s="309"/>
      <c r="O70" s="297"/>
      <c r="P70" s="36" t="str">
        <f ca="1">IFERROR(+IF(P$27=ProposalToGnatt[[#This Row],[Start Date]],Milestone_Marker,IF(AND(P$27&gt;ProposalToGnatt[[#This Row],[Start Date]],P$27&lt;ProposalToGnatt[[#This Row],[Start Date]]+ProposalToGnatt[[#This Row],[Days]]),$G$5,"")),"")</f>
        <v/>
      </c>
      <c r="Q70" s="36" t="str">
        <f ca="1">IFERROR(+IF(Q$27=ProposalToGnatt[[#This Row],[Start Date]],Milestone_Marker,IF(AND(Q$27&gt;ProposalToGnatt[[#This Row],[Start Date]],Q$27&lt;ProposalToGnatt[[#This Row],[Start Date]]+ProposalToGnatt[[#This Row],[Days]]),$G$5,"")),"")</f>
        <v/>
      </c>
      <c r="R70" s="36" t="str">
        <f ca="1">IFERROR(+IF(R$27=ProposalToGnatt[[#This Row],[Start Date]],Milestone_Marker,IF(AND(R$27&gt;ProposalToGnatt[[#This Row],[Start Date]],R$27&lt;ProposalToGnatt[[#This Row],[Start Date]]+ProposalToGnatt[[#This Row],[Days]]),$G$5,"")),"")</f>
        <v/>
      </c>
      <c r="S70" s="36" t="str">
        <f ca="1">IFERROR(+IF(S$27=ProposalToGnatt[[#This Row],[Start Date]],Milestone_Marker,IF(AND(S$27&gt;ProposalToGnatt[[#This Row],[Start Date]],S$27&lt;ProposalToGnatt[[#This Row],[Start Date]]+ProposalToGnatt[[#This Row],[Days]]),$G$5,"")),"")</f>
        <v/>
      </c>
      <c r="T70" s="36" t="str">
        <f ca="1">IFERROR(+IF(T$27=ProposalToGnatt[[#This Row],[Start Date]],Milestone_Marker,IF(AND(T$27&gt;ProposalToGnatt[[#This Row],[Start Date]],T$27&lt;ProposalToGnatt[[#This Row],[Start Date]]+ProposalToGnatt[[#This Row],[Days]]),$G$5,"")),"")</f>
        <v/>
      </c>
      <c r="U70" s="36" t="str">
        <f ca="1">IFERROR(+IF(U$27=ProposalToGnatt[[#This Row],[Start Date]],Milestone_Marker,IF(AND(U$27&gt;ProposalToGnatt[[#This Row],[Start Date]],U$27&lt;ProposalToGnatt[[#This Row],[Start Date]]+ProposalToGnatt[[#This Row],[Days]]),$G$5,"")),"")</f>
        <v/>
      </c>
      <c r="V70" s="36" t="str">
        <f ca="1">IFERROR(+IF(V$27=ProposalToGnatt[[#This Row],[Start Date]],Milestone_Marker,IF(AND(V$27&gt;ProposalToGnatt[[#This Row],[Start Date]],V$27&lt;ProposalToGnatt[[#This Row],[Start Date]]+ProposalToGnatt[[#This Row],[Days]]),$G$5,"")),"")</f>
        <v/>
      </c>
      <c r="W70" s="36" t="str">
        <f ca="1">IFERROR(+IF(W$27=ProposalToGnatt[[#This Row],[Start Date]],Milestone_Marker,IF(AND(W$27&gt;ProposalToGnatt[[#This Row],[Start Date]],W$27&lt;ProposalToGnatt[[#This Row],[Start Date]]+ProposalToGnatt[[#This Row],[Days]]),$G$5,"")),"")</f>
        <v/>
      </c>
      <c r="X70" s="36" t="str">
        <f ca="1">IFERROR(+IF(X$27=ProposalToGnatt[[#This Row],[Start Date]],Milestone_Marker,IF(AND(X$27&gt;ProposalToGnatt[[#This Row],[Start Date]],X$27&lt;ProposalToGnatt[[#This Row],[Start Date]]+ProposalToGnatt[[#This Row],[Days]]),$G$5,"")),"")</f>
        <v/>
      </c>
      <c r="Y70" s="36" t="str">
        <f ca="1">IFERROR(+IF(Y$27=ProposalToGnatt[[#This Row],[Start Date]],Milestone_Marker,IF(AND(Y$27&gt;ProposalToGnatt[[#This Row],[Start Date]],Y$27&lt;ProposalToGnatt[[#This Row],[Start Date]]+ProposalToGnatt[[#This Row],[Days]]),$G$5,"")),"")</f>
        <v/>
      </c>
      <c r="Z70" s="36" t="str">
        <f ca="1">IFERROR(+IF(Z$27=ProposalToGnatt[[#This Row],[Start Date]],Milestone_Marker,IF(AND(Z$27&gt;ProposalToGnatt[[#This Row],[Start Date]],Z$27&lt;ProposalToGnatt[[#This Row],[Start Date]]+ProposalToGnatt[[#This Row],[Days]]),$G$5,"")),"")</f>
        <v/>
      </c>
      <c r="AA70" s="36" t="str">
        <f ca="1">IFERROR(+IF(AA$27=ProposalToGnatt[[#This Row],[Start Date]],Milestone_Marker,IF(AND(AA$27&gt;ProposalToGnatt[[#This Row],[Start Date]],AA$27&lt;ProposalToGnatt[[#This Row],[Start Date]]+ProposalToGnatt[[#This Row],[Days]]),$G$5,"")),"")</f>
        <v/>
      </c>
      <c r="AB70" s="36" t="str">
        <f ca="1">IFERROR(+IF(AB$27=ProposalToGnatt[[#This Row],[Start Date]],Milestone_Marker,IF(AND(AB$27&gt;ProposalToGnatt[[#This Row],[Start Date]],AB$27&lt;ProposalToGnatt[[#This Row],[Start Date]]+ProposalToGnatt[[#This Row],[Days]]),$G$5,"")),"")</f>
        <v/>
      </c>
      <c r="AC70" s="36" t="str">
        <f ca="1">IFERROR(+IF(AC$27=ProposalToGnatt[[#This Row],[Start Date]],Milestone_Marker,IF(AND(AC$27&gt;ProposalToGnatt[[#This Row],[Start Date]],AC$27&lt;ProposalToGnatt[[#This Row],[Start Date]]+ProposalToGnatt[[#This Row],[Days]]),$G$5,"")),"")</f>
        <v/>
      </c>
      <c r="AD70" s="36" t="str">
        <f ca="1">IFERROR(+IF(AD$27=ProposalToGnatt[[#This Row],[Start Date]],Milestone_Marker,IF(AND(AD$27&gt;ProposalToGnatt[[#This Row],[Start Date]],AD$27&lt;ProposalToGnatt[[#This Row],[Start Date]]+ProposalToGnatt[[#This Row],[Days]]),$G$5,"")),"")</f>
        <v/>
      </c>
      <c r="AE70" s="36" t="str">
        <f ca="1">IFERROR(+IF(AE$27=ProposalToGnatt[[#This Row],[Start Date]],Milestone_Marker,IF(AND(AE$27&gt;ProposalToGnatt[[#This Row],[Start Date]],AE$27&lt;ProposalToGnatt[[#This Row],[Start Date]]+ProposalToGnatt[[#This Row],[Days]]),$G$5,"")),"")</f>
        <v/>
      </c>
      <c r="AF70" s="36" t="str">
        <f ca="1">IFERROR(+IF(AF$27=ProposalToGnatt[[#This Row],[Start Date]],Milestone_Marker,IF(AND(AF$27&gt;ProposalToGnatt[[#This Row],[Start Date]],AF$27&lt;ProposalToGnatt[[#This Row],[Start Date]]+ProposalToGnatt[[#This Row],[Days]]),$G$5,"")),"")</f>
        <v/>
      </c>
      <c r="AG70" s="36" t="str">
        <f ca="1">IFERROR(+IF(AG$27=ProposalToGnatt[[#This Row],[Start Date]],Milestone_Marker,IF(AND(AG$27&gt;ProposalToGnatt[[#This Row],[Start Date]],AG$27&lt;ProposalToGnatt[[#This Row],[Start Date]]+ProposalToGnatt[[#This Row],[Days]]),$G$5,"")),"")</f>
        <v/>
      </c>
      <c r="AH70" s="36" t="str">
        <f ca="1">IFERROR(+IF(AH$27=ProposalToGnatt[[#This Row],[Start Date]],Milestone_Marker,IF(AND(AH$27&gt;ProposalToGnatt[[#This Row],[Start Date]],AH$27&lt;ProposalToGnatt[[#This Row],[Start Date]]+ProposalToGnatt[[#This Row],[Days]]),$G$5,"")),"")</f>
        <v/>
      </c>
      <c r="AI70" s="36" t="str">
        <f ca="1">IFERROR(+IF(AI$27=ProposalToGnatt[[#This Row],[Start Date]],Milestone_Marker,IF(AND(AI$27&gt;ProposalToGnatt[[#This Row],[Start Date]],AI$27&lt;ProposalToGnatt[[#This Row],[Start Date]]+ProposalToGnatt[[#This Row],[Days]]),$G$5,"")),"")</f>
        <v/>
      </c>
      <c r="AJ70" s="36" t="str">
        <f ca="1">IFERROR(+IF(AJ$27=ProposalToGnatt[[#This Row],[Start Date]],Milestone_Marker,IF(AND(AJ$27&gt;ProposalToGnatt[[#This Row],[Start Date]],AJ$27&lt;ProposalToGnatt[[#This Row],[Start Date]]+ProposalToGnatt[[#This Row],[Days]]),$G$5,"")),"")</f>
        <v/>
      </c>
      <c r="AK70" s="36" t="str">
        <f ca="1">IFERROR(+IF(AK$27=ProposalToGnatt[[#This Row],[Start Date]],Milestone_Marker,IF(AND(AK$27&gt;ProposalToGnatt[[#This Row],[Start Date]],AK$27&lt;ProposalToGnatt[[#This Row],[Start Date]]+ProposalToGnatt[[#This Row],[Days]]),$G$5,"")),"")</f>
        <v/>
      </c>
      <c r="AL70" s="36" t="str">
        <f ca="1">IFERROR(+IF(AL$27=ProposalToGnatt[[#This Row],[Start Date]],Milestone_Marker,IF(AND(AL$27&gt;ProposalToGnatt[[#This Row],[Start Date]],AL$27&lt;ProposalToGnatt[[#This Row],[Start Date]]+ProposalToGnatt[[#This Row],[Days]]),$G$5,"")),"")</f>
        <v/>
      </c>
      <c r="AM70" s="36" t="str">
        <f ca="1">IFERROR(+IF(AM$27=ProposalToGnatt[[#This Row],[Start Date]],Milestone_Marker,IF(AND(AM$27&gt;ProposalToGnatt[[#This Row],[Start Date]],AM$27&lt;ProposalToGnatt[[#This Row],[Start Date]]+ProposalToGnatt[[#This Row],[Days]]),$G$5,"")),"")</f>
        <v/>
      </c>
      <c r="AN70" s="36" t="str">
        <f ca="1">IFERROR(+IF(AN$27=ProposalToGnatt[[#This Row],[Start Date]],Milestone_Marker,IF(AND(AN$27&gt;ProposalToGnatt[[#This Row],[Start Date]],AN$27&lt;ProposalToGnatt[[#This Row],[Start Date]]+ProposalToGnatt[[#This Row],[Days]]),$G$5,"")),"")</f>
        <v/>
      </c>
      <c r="AO70" s="36" t="str">
        <f ca="1">IFERROR(+IF(AO$27=ProposalToGnatt[[#This Row],[Start Date]],Milestone_Marker,IF(AND(AO$27&gt;ProposalToGnatt[[#This Row],[Start Date]],AO$27&lt;ProposalToGnatt[[#This Row],[Start Date]]+ProposalToGnatt[[#This Row],[Days]]),$G$5,"")),"")</f>
        <v/>
      </c>
      <c r="AP70" s="36" t="str">
        <f ca="1">IFERROR(+IF(AP$27=ProposalToGnatt[[#This Row],[Start Date]],Milestone_Marker,IF(AND(AP$27&gt;ProposalToGnatt[[#This Row],[Start Date]],AP$27&lt;ProposalToGnatt[[#This Row],[Start Date]]+ProposalToGnatt[[#This Row],[Days]]),$G$5,"")),"")</f>
        <v/>
      </c>
      <c r="AQ70" s="36" t="str">
        <f ca="1">IFERROR(+IF(AQ$27=ProposalToGnatt[[#This Row],[Start Date]],Milestone_Marker,IF(AND(AQ$27&gt;ProposalToGnatt[[#This Row],[Start Date]],AQ$27&lt;ProposalToGnatt[[#This Row],[Start Date]]+ProposalToGnatt[[#This Row],[Days]]),$G$5,"")),"")</f>
        <v/>
      </c>
      <c r="AR70" s="36" t="str">
        <f ca="1">IFERROR(+IF(AR$27=ProposalToGnatt[[#This Row],[Start Date]],Milestone_Marker,IF(AND(AR$27&gt;ProposalToGnatt[[#This Row],[Start Date]],AR$27&lt;ProposalToGnatt[[#This Row],[Start Date]]+ProposalToGnatt[[#This Row],[Days]]),$G$5,"")),"")</f>
        <v/>
      </c>
      <c r="AS70" s="36" t="str">
        <f ca="1">IFERROR(+IF(AS$27=ProposalToGnatt[[#This Row],[Start Date]],Milestone_Marker,IF(AND(AS$27&gt;ProposalToGnatt[[#This Row],[Start Date]],AS$27&lt;ProposalToGnatt[[#This Row],[Start Date]]+ProposalToGnatt[[#This Row],[Days]]),$G$5,"")),"")</f>
        <v/>
      </c>
      <c r="AT70" s="36" t="str">
        <f ca="1">IFERROR(+IF(AT$27=ProposalToGnatt[[#This Row],[Start Date]],Milestone_Marker,IF(AND(AT$27&gt;ProposalToGnatt[[#This Row],[Start Date]],AT$27&lt;ProposalToGnatt[[#This Row],[Start Date]]+ProposalToGnatt[[#This Row],[Days]]),$G$5,"")),"")</f>
        <v/>
      </c>
      <c r="AU70" s="36" t="str">
        <f ca="1">IFERROR(+IF(AU$27=ProposalToGnatt[[#This Row],[Start Date]],Milestone_Marker,IF(AND(AU$27&gt;ProposalToGnatt[[#This Row],[Start Date]],AU$27&lt;ProposalToGnatt[[#This Row],[Start Date]]+ProposalToGnatt[[#This Row],[Days]]),$G$5,"")),"")</f>
        <v/>
      </c>
      <c r="AV70" s="36" t="str">
        <f ca="1">IFERROR(+IF(AV$27=ProposalToGnatt[[#This Row],[Start Date]],Milestone_Marker,IF(AND(AV$27&gt;ProposalToGnatt[[#This Row],[Start Date]],AV$27&lt;ProposalToGnatt[[#This Row],[Start Date]]+ProposalToGnatt[[#This Row],[Days]]),$G$5,"")),"")</f>
        <v/>
      </c>
      <c r="AW70" s="36" t="str">
        <f ca="1">IFERROR(+IF(AW$27=ProposalToGnatt[[#This Row],[Start Date]],Milestone_Marker,IF(AND(AW$27&gt;ProposalToGnatt[[#This Row],[Start Date]],AW$27&lt;ProposalToGnatt[[#This Row],[Start Date]]+ProposalToGnatt[[#This Row],[Days]]),$G$5,"")),"")</f>
        <v/>
      </c>
      <c r="AX70" s="36" t="str">
        <f ca="1">IFERROR(+IF(AX$27=ProposalToGnatt[[#This Row],[Start Date]],Milestone_Marker,IF(AND(AX$27&gt;ProposalToGnatt[[#This Row],[Start Date]],AX$27&lt;ProposalToGnatt[[#This Row],[Start Date]]+ProposalToGnatt[[#This Row],[Days]]),$G$5,"")),"")</f>
        <v/>
      </c>
      <c r="AY70" s="36" t="str">
        <f ca="1">IFERROR(+IF(AY$27=ProposalToGnatt[[#This Row],[Start Date]],Milestone_Marker,IF(AND(AY$27&gt;ProposalToGnatt[[#This Row],[Start Date]],AY$27&lt;ProposalToGnatt[[#This Row],[Start Date]]+ProposalToGnatt[[#This Row],[Days]]),$G$5,"")),"")</f>
        <v/>
      </c>
      <c r="AZ70" s="36" t="str">
        <f ca="1">IFERROR(+IF(AZ$27=ProposalToGnatt[[#This Row],[Start Date]],Milestone_Marker,IF(AND(AZ$27&gt;ProposalToGnatt[[#This Row],[Start Date]],AZ$27&lt;ProposalToGnatt[[#This Row],[Start Date]]+ProposalToGnatt[[#This Row],[Days]]),$G$5,"")),"")</f>
        <v/>
      </c>
      <c r="BA70" s="36" t="str">
        <f ca="1">IFERROR(+IF(BA$27=ProposalToGnatt[[#This Row],[Start Date]],Milestone_Marker,IF(AND(BA$27&gt;ProposalToGnatt[[#This Row],[Start Date]],BA$27&lt;ProposalToGnatt[[#This Row],[Start Date]]+ProposalToGnatt[[#This Row],[Days]]),$G$5,"")),"")</f>
        <v/>
      </c>
      <c r="BB70" s="36" t="str">
        <f ca="1">IFERROR(+IF(BB$27=ProposalToGnatt[[#This Row],[Start Date]],Milestone_Marker,IF(AND(BB$27&gt;ProposalToGnatt[[#This Row],[Start Date]],BB$27&lt;ProposalToGnatt[[#This Row],[Start Date]]+ProposalToGnatt[[#This Row],[Days]]),$G$5,"")),"")</f>
        <v/>
      </c>
      <c r="BC70" s="36" t="str">
        <f ca="1">IFERROR(+IF(BC$27=ProposalToGnatt[[#This Row],[Start Date]],Milestone_Marker,IF(AND(BC$27&gt;ProposalToGnatt[[#This Row],[Start Date]],BC$27&lt;ProposalToGnatt[[#This Row],[Start Date]]+ProposalToGnatt[[#This Row],[Days]]),$G$5,"")),"")</f>
        <v/>
      </c>
      <c r="BD70" s="36" t="str">
        <f ca="1">IFERROR(+IF(BD$27=ProposalToGnatt[[#This Row],[Start Date]],Milestone_Marker,IF(AND(BD$27&gt;ProposalToGnatt[[#This Row],[Start Date]],BD$27&lt;ProposalToGnatt[[#This Row],[Start Date]]+ProposalToGnatt[[#This Row],[Days]]),$G$5,"")),"")</f>
        <v/>
      </c>
      <c r="BE70" s="36" t="str">
        <f ca="1">IFERROR(+IF(BE$27=ProposalToGnatt[[#This Row],[Start Date]],Milestone_Marker,IF(AND(BE$27&gt;ProposalToGnatt[[#This Row],[Start Date]],BE$27&lt;ProposalToGnatt[[#This Row],[Start Date]]+ProposalToGnatt[[#This Row],[Days]]),$G$5,"")),"")</f>
        <v/>
      </c>
      <c r="BF70" s="36" t="str">
        <f ca="1">IFERROR(+IF(BF$27=ProposalToGnatt[[#This Row],[Start Date]],Milestone_Marker,IF(AND(BF$27&gt;ProposalToGnatt[[#This Row],[Start Date]],BF$27&lt;ProposalToGnatt[[#This Row],[Start Date]]+ProposalToGnatt[[#This Row],[Days]]),$G$5,"")),"")</f>
        <v/>
      </c>
      <c r="BG70" s="36" t="str">
        <f ca="1">IFERROR(+IF(BG$27=ProposalToGnatt[[#This Row],[Start Date]],Milestone_Marker,IF(AND(BG$27&gt;ProposalToGnatt[[#This Row],[Start Date]],BG$27&lt;ProposalToGnatt[[#This Row],[Start Date]]+ProposalToGnatt[[#This Row],[Days]]),$G$5,"")),"")</f>
        <v/>
      </c>
      <c r="BH70" s="36" t="str">
        <f ca="1">IFERROR(+IF(BH$27=ProposalToGnatt[[#This Row],[Start Date]],Milestone_Marker,IF(AND(BH$27&gt;ProposalToGnatt[[#This Row],[Start Date]],BH$27&lt;ProposalToGnatt[[#This Row],[Start Date]]+ProposalToGnatt[[#This Row],[Days]]),$G$5,"")),"")</f>
        <v/>
      </c>
      <c r="BI70" s="36" t="str">
        <f ca="1">IFERROR(+IF(BI$27=ProposalToGnatt[[#This Row],[Start Date]],Milestone_Marker,IF(AND(BI$27&gt;ProposalToGnatt[[#This Row],[Start Date]],BI$27&lt;ProposalToGnatt[[#This Row],[Start Date]]+ProposalToGnatt[[#This Row],[Days]]),$G$5,"")),"")</f>
        <v/>
      </c>
      <c r="BJ70" s="36" t="str">
        <f ca="1">IFERROR(+IF(BJ$27=ProposalToGnatt[[#This Row],[Start Date]],Milestone_Marker,IF(AND(BJ$27&gt;ProposalToGnatt[[#This Row],[Start Date]],BJ$27&lt;ProposalToGnatt[[#This Row],[Start Date]]+ProposalToGnatt[[#This Row],[Days]]),$G$5,"")),"")</f>
        <v/>
      </c>
      <c r="BK70" s="36" t="str">
        <f ca="1">IFERROR(+IF(BK$27=ProposalToGnatt[[#This Row],[Start Date]],Milestone_Marker,IF(AND(BK$27&gt;ProposalToGnatt[[#This Row],[Start Date]],BK$27&lt;ProposalToGnatt[[#This Row],[Start Date]]+ProposalToGnatt[[#This Row],[Days]]),$G$5,"")),"")</f>
        <v/>
      </c>
      <c r="BL70" s="36" t="str">
        <f ca="1">IFERROR(+IF(BL$27=ProposalToGnatt[[#This Row],[Start Date]],Milestone_Marker,IF(AND(BL$27&gt;ProposalToGnatt[[#This Row],[Start Date]],BL$27&lt;ProposalToGnatt[[#This Row],[Start Date]]+ProposalToGnatt[[#This Row],[Days]]),$G$5,"")),"")</f>
        <v/>
      </c>
      <c r="BM70" s="36" t="str">
        <f ca="1">IFERROR(+IF(BM$27=ProposalToGnatt[[#This Row],[Start Date]],Milestone_Marker,IF(AND(BM$27&gt;ProposalToGnatt[[#This Row],[Start Date]],BM$27&lt;ProposalToGnatt[[#This Row],[Start Date]]+ProposalToGnatt[[#This Row],[Days]]),$G$5,"")),"")</f>
        <v/>
      </c>
      <c r="BN70" s="36" t="str">
        <f ca="1">IFERROR(+IF(BN$27=ProposalToGnatt[[#This Row],[Start Date]],Milestone_Marker,IF(AND(BN$27&gt;ProposalToGnatt[[#This Row],[Start Date]],BN$27&lt;ProposalToGnatt[[#This Row],[Start Date]]+ProposalToGnatt[[#This Row],[Days]]),$G$5,"")),"")</f>
        <v/>
      </c>
      <c r="BO70" s="36" t="str">
        <f ca="1">IFERROR(+IF(BO$27=ProposalToGnatt[[#This Row],[Start Date]],Milestone_Marker,IF(AND(BO$27&gt;ProposalToGnatt[[#This Row],[Start Date]],BO$27&lt;ProposalToGnatt[[#This Row],[Start Date]]+ProposalToGnatt[[#This Row],[Days]]),$G$5,"")),"")</f>
        <v/>
      </c>
      <c r="BP70" s="36" t="str">
        <f ca="1">IFERROR(+IF(BP$27=ProposalToGnatt[[#This Row],[Start Date]],Milestone_Marker,IF(AND(BP$27&gt;ProposalToGnatt[[#This Row],[Start Date]],BP$27&lt;ProposalToGnatt[[#This Row],[Start Date]]+ProposalToGnatt[[#This Row],[Days]]),$G$5,"")),"")</f>
        <v/>
      </c>
      <c r="BQ70" s="36" t="str">
        <f ca="1">IFERROR(+IF(BQ$27=ProposalToGnatt[[#This Row],[Start Date]],Milestone_Marker,IF(AND(BQ$27&gt;ProposalToGnatt[[#This Row],[Start Date]],BQ$27&lt;ProposalToGnatt[[#This Row],[Start Date]]+ProposalToGnatt[[#This Row],[Days]]),$G$5,"")),"")</f>
        <v/>
      </c>
      <c r="BR70" s="36" t="str">
        <f ca="1">IFERROR(+IF(BR$27=ProposalToGnatt[[#This Row],[Start Date]],Milestone_Marker,IF(AND(BR$27&gt;ProposalToGnatt[[#This Row],[Start Date]],BR$27&lt;ProposalToGnatt[[#This Row],[Start Date]]+ProposalToGnatt[[#This Row],[Days]]),$G$5,"")),"")</f>
        <v/>
      </c>
      <c r="BS70" s="36" t="str">
        <f ca="1">IFERROR(+IF(BS$27=ProposalToGnatt[[#This Row],[Start Date]],Milestone_Marker,IF(AND(BS$27&gt;ProposalToGnatt[[#This Row],[Start Date]],BS$27&lt;ProposalToGnatt[[#This Row],[Start Date]]+ProposalToGnatt[[#This Row],[Days]]),$G$5,"")),"")</f>
        <v/>
      </c>
      <c r="BT70" s="36" t="str">
        <f ca="1">IFERROR(+IF(BT$27=ProposalToGnatt[[#This Row],[Start Date]],Milestone_Marker,IF(AND(BT$27&gt;ProposalToGnatt[[#This Row],[Start Date]],BT$27&lt;ProposalToGnatt[[#This Row],[Start Date]]+ProposalToGnatt[[#This Row],[Days]]),$G$5,"")),"")</f>
        <v/>
      </c>
      <c r="BU70" s="36" t="str">
        <f ca="1">IFERROR(+IF(BU$27=ProposalToGnatt[[#This Row],[Start Date]],Milestone_Marker,IF(AND(BU$27&gt;ProposalToGnatt[[#This Row],[Start Date]],BU$27&lt;ProposalToGnatt[[#This Row],[Start Date]]+ProposalToGnatt[[#This Row],[Days]]),$G$5,"")),"")</f>
        <v/>
      </c>
      <c r="BV70" s="36" t="str">
        <f ca="1">IFERROR(+IF(BV$27=ProposalToGnatt[[#This Row],[Start Date]],Milestone_Marker,IF(AND(BV$27&gt;ProposalToGnatt[[#This Row],[Start Date]],BV$27&lt;ProposalToGnatt[[#This Row],[Start Date]]+ProposalToGnatt[[#This Row],[Days]]),$G$5,"")),"")</f>
        <v/>
      </c>
      <c r="BW70" s="36" t="str">
        <f ca="1">IFERROR(+IF(BW$27=ProposalToGnatt[[#This Row],[Start Date]],Milestone_Marker,IF(AND(BW$27&gt;ProposalToGnatt[[#This Row],[Start Date]],BW$27&lt;ProposalToGnatt[[#This Row],[Start Date]]+ProposalToGnatt[[#This Row],[Days]]),$G$5,"")),"")</f>
        <v/>
      </c>
      <c r="BX70" s="36" t="str">
        <f ca="1">IFERROR(+IF(BX$27=ProposalToGnatt[[#This Row],[Start Date]],Milestone_Marker,IF(AND(BX$27&gt;ProposalToGnatt[[#This Row],[Start Date]],BX$27&lt;ProposalToGnatt[[#This Row],[Start Date]]+ProposalToGnatt[[#This Row],[Days]]),$G$5,"")),"")</f>
        <v/>
      </c>
      <c r="BY70" s="36" t="str">
        <f ca="1">IFERROR(+IF(BY$27=ProposalToGnatt[[#This Row],[Start Date]],Milestone_Marker,IF(AND(BY$27&gt;ProposalToGnatt[[#This Row],[Start Date]],BY$27&lt;ProposalToGnatt[[#This Row],[Start Date]]+ProposalToGnatt[[#This Row],[Days]]),$G$5,"")),"")</f>
        <v/>
      </c>
      <c r="BZ70" s="36" t="str">
        <f ca="1">IFERROR(+IF(BZ$27=ProposalToGnatt[[#This Row],[Start Date]],Milestone_Marker,IF(AND(BZ$27&gt;ProposalToGnatt[[#This Row],[Start Date]],BZ$27&lt;ProposalToGnatt[[#This Row],[Start Date]]+ProposalToGnatt[[#This Row],[Days]]),$G$5,"")),"")</f>
        <v/>
      </c>
      <c r="CA70" s="36" t="str">
        <f ca="1">IFERROR(+IF(CA$27=ProposalToGnatt[[#This Row],[Start Date]],Milestone_Marker,IF(AND(CA$27&gt;ProposalToGnatt[[#This Row],[Start Date]],CA$27&lt;ProposalToGnatt[[#This Row],[Start Date]]+ProposalToGnatt[[#This Row],[Days]]),$G$5,"")),"")</f>
        <v/>
      </c>
      <c r="CB70" s="36" t="str">
        <f ca="1">IFERROR(+IF(CB$27=ProposalToGnatt[[#This Row],[Start Date]],Milestone_Marker,IF(AND(CB$27&gt;ProposalToGnatt[[#This Row],[Start Date]],CB$27&lt;ProposalToGnatt[[#This Row],[Start Date]]+ProposalToGnatt[[#This Row],[Days]]),$G$5,"")),"")</f>
        <v/>
      </c>
      <c r="CC70" s="36" t="str">
        <f ca="1">IFERROR(+IF(CC$27=ProposalToGnatt[[#This Row],[Start Date]],Milestone_Marker,IF(AND(CC$27&gt;ProposalToGnatt[[#This Row],[Start Date]],CC$27&lt;ProposalToGnatt[[#This Row],[Start Date]]+ProposalToGnatt[[#This Row],[Days]]),$G$5,"")),"")</f>
        <v/>
      </c>
      <c r="CD70" s="36" t="str">
        <f ca="1">IFERROR(+IF(CD$27=ProposalToGnatt[[#This Row],[Start Date]],Milestone_Marker,IF(AND(CD$27&gt;ProposalToGnatt[[#This Row],[Start Date]],CD$27&lt;ProposalToGnatt[[#This Row],[Start Date]]+ProposalToGnatt[[#This Row],[Days]]),$G$5,"")),"")</f>
        <v/>
      </c>
      <c r="CE70" s="36" t="str">
        <f ca="1">IFERROR(+IF(CE$27=ProposalToGnatt[[#This Row],[Start Date]],Milestone_Marker,IF(AND(CE$27&gt;ProposalToGnatt[[#This Row],[Start Date]],CE$27&lt;ProposalToGnatt[[#This Row],[Start Date]]+ProposalToGnatt[[#This Row],[Days]]),$G$5,"")),"")</f>
        <v/>
      </c>
      <c r="CF70" s="36" t="str">
        <f ca="1">IFERROR(+IF(CF$27=ProposalToGnatt[[#This Row],[Start Date]],Milestone_Marker,IF(AND(CF$27&gt;ProposalToGnatt[[#This Row],[Start Date]],CF$27&lt;ProposalToGnatt[[#This Row],[Start Date]]+ProposalToGnatt[[#This Row],[Days]]),$G$5,"")),"")</f>
        <v/>
      </c>
      <c r="CG70" s="36" t="str">
        <f ca="1">IFERROR(+IF(CG$27=ProposalToGnatt[[#This Row],[Start Date]],Milestone_Marker,IF(AND(CG$27&gt;ProposalToGnatt[[#This Row],[Start Date]],CG$27&lt;ProposalToGnatt[[#This Row],[Start Date]]+ProposalToGnatt[[#This Row],[Days]]),$G$5,"")),"")</f>
        <v/>
      </c>
      <c r="CH70" s="36" t="str">
        <f ca="1">IFERROR(+IF(CH$27=ProposalToGnatt[[#This Row],[Start Date]],Milestone_Marker,IF(AND(CH$27&gt;ProposalToGnatt[[#This Row],[Start Date]],CH$27&lt;ProposalToGnatt[[#This Row],[Start Date]]+ProposalToGnatt[[#This Row],[Days]]),$G$5,"")),"")</f>
        <v/>
      </c>
      <c r="CI70" s="36" t="str">
        <f ca="1">IFERROR(+IF(CI$27=ProposalToGnatt[[#This Row],[Start Date]],Milestone_Marker,IF(AND(CI$27&gt;ProposalToGnatt[[#This Row],[Start Date]],CI$27&lt;ProposalToGnatt[[#This Row],[Start Date]]+ProposalToGnatt[[#This Row],[Days]]),$G$5,"")),"")</f>
        <v/>
      </c>
      <c r="CJ70" s="36" t="str">
        <f ca="1">IFERROR(+IF(CJ$27=ProposalToGnatt[[#This Row],[Start Date]],Milestone_Marker,IF(AND(CJ$27&gt;ProposalToGnatt[[#This Row],[Start Date]],CJ$27&lt;ProposalToGnatt[[#This Row],[Start Date]]+ProposalToGnatt[[#This Row],[Days]]),$G$5,"")),"")</f>
        <v/>
      </c>
      <c r="CK70" s="36" t="str">
        <f ca="1">IFERROR(+IF(CK$27=ProposalToGnatt[[#This Row],[Start Date]],Milestone_Marker,IF(AND(CK$27&gt;ProposalToGnatt[[#This Row],[Start Date]],CK$27&lt;ProposalToGnatt[[#This Row],[Start Date]]+ProposalToGnatt[[#This Row],[Days]]),$G$5,"")),"")</f>
        <v/>
      </c>
      <c r="CL70" s="36" t="str">
        <f ca="1">IFERROR(+IF(CL$27=ProposalToGnatt[[#This Row],[Start Date]],Milestone_Marker,IF(AND(CL$27&gt;ProposalToGnatt[[#This Row],[Start Date]],CL$27&lt;ProposalToGnatt[[#This Row],[Start Date]]+ProposalToGnatt[[#This Row],[Days]]),$G$5,"")),"")</f>
        <v/>
      </c>
      <c r="CM70" s="36" t="str">
        <f ca="1">IFERROR(+IF(CM$27=ProposalToGnatt[[#This Row],[Start Date]],Milestone_Marker,IF(AND(CM$27&gt;ProposalToGnatt[[#This Row],[Start Date]],CM$27&lt;ProposalToGnatt[[#This Row],[Start Date]]+ProposalToGnatt[[#This Row],[Days]]),$G$5,"")),"")</f>
        <v/>
      </c>
      <c r="CN70" s="36" t="str">
        <f ca="1">IFERROR(+IF(CN$27=ProposalToGnatt[[#This Row],[Start Date]],Milestone_Marker,IF(AND(CN$27&gt;ProposalToGnatt[[#This Row],[Start Date]],CN$27&lt;ProposalToGnatt[[#This Row],[Start Date]]+ProposalToGnatt[[#This Row],[Days]]),$G$5,"")),"")</f>
        <v/>
      </c>
      <c r="CO70" s="36" t="str">
        <f ca="1">IFERROR(+IF(CO$27=ProposalToGnatt[[#This Row],[Start Date]],Milestone_Marker,IF(AND(CO$27&gt;ProposalToGnatt[[#This Row],[Start Date]],CO$27&lt;ProposalToGnatt[[#This Row],[Start Date]]+ProposalToGnatt[[#This Row],[Days]]),$G$5,"")),"")</f>
        <v/>
      </c>
      <c r="CP70" s="36" t="str">
        <f ca="1">IFERROR(+IF(CP$27=ProposalToGnatt[[#This Row],[Start Date]],Milestone_Marker,IF(AND(CP$27&gt;ProposalToGnatt[[#This Row],[Start Date]],CP$27&lt;ProposalToGnatt[[#This Row],[Start Date]]+ProposalToGnatt[[#This Row],[Days]]),$G$5,"")),"")</f>
        <v/>
      </c>
      <c r="CQ70" s="36" t="str">
        <f ca="1">IFERROR(+IF(CQ$27=ProposalToGnatt[[#This Row],[Start Date]],Milestone_Marker,IF(AND(CQ$27&gt;ProposalToGnatt[[#This Row],[Start Date]],CQ$27&lt;ProposalToGnatt[[#This Row],[Start Date]]+ProposalToGnatt[[#This Row],[Days]]),$G$5,"")),"")</f>
        <v/>
      </c>
      <c r="CR70" s="36" t="str">
        <f ca="1">IFERROR(+IF(CR$27=ProposalToGnatt[[#This Row],[Start Date]],Milestone_Marker,IF(AND(CR$27&gt;ProposalToGnatt[[#This Row],[Start Date]],CR$27&lt;ProposalToGnatt[[#This Row],[Start Date]]+ProposalToGnatt[[#This Row],[Days]]),$G$5,"")),"")</f>
        <v/>
      </c>
      <c r="CS70" s="36" t="str">
        <f ca="1">IFERROR(+IF(CS$27=ProposalToGnatt[[#This Row],[Start Date]],Milestone_Marker,IF(AND(CS$27&gt;ProposalToGnatt[[#This Row],[Start Date]],CS$27&lt;ProposalToGnatt[[#This Row],[Start Date]]+ProposalToGnatt[[#This Row],[Days]]),$G$5,"")),"")</f>
        <v/>
      </c>
      <c r="CT70" s="36" t="str">
        <f ca="1">IFERROR(+IF(CT$27=ProposalToGnatt[[#This Row],[Start Date]],Milestone_Marker,IF(AND(CT$27&gt;ProposalToGnatt[[#This Row],[Start Date]],CT$27&lt;ProposalToGnatt[[#This Row],[Start Date]]+ProposalToGnatt[[#This Row],[Days]]),$G$5,"")),"")</f>
        <v/>
      </c>
      <c r="CU70" s="36" t="str">
        <f ca="1">IFERROR(+IF(CU$27=ProposalToGnatt[[#This Row],[Start Date]],Milestone_Marker,IF(AND(CU$27&gt;ProposalToGnatt[[#This Row],[Start Date]],CU$27&lt;ProposalToGnatt[[#This Row],[Start Date]]+ProposalToGnatt[[#This Row],[Days]]),$G$5,"")),"")</f>
        <v/>
      </c>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row>
    <row r="71" spans="1:125" s="41" customFormat="1" ht="15" x14ac:dyDescent="0.25">
      <c r="A71"/>
      <c r="B71"/>
      <c r="C71"/>
      <c r="D71"/>
      <c r="E71"/>
      <c r="F71"/>
      <c r="G71" s="14"/>
      <c r="H71" s="14"/>
      <c r="I71"/>
      <c r="J71"/>
      <c r="K71" s="261"/>
      <c r="L71"/>
      <c r="M71" s="14"/>
      <c r="N71" s="309"/>
      <c r="O71" s="297"/>
      <c r="P71" s="36" t="str">
        <f ca="1">IFERROR(+IF(P$27=ProposalToGnatt[[#This Row],[Start Date]],Milestone_Marker,IF(AND(P$27&gt;ProposalToGnatt[[#This Row],[Start Date]],P$27&lt;ProposalToGnatt[[#This Row],[Start Date]]+ProposalToGnatt[[#This Row],[Days]]),$G$5,"")),"")</f>
        <v/>
      </c>
      <c r="Q71" s="36" t="str">
        <f ca="1">IFERROR(+IF(Q$27=ProposalToGnatt[[#This Row],[Start Date]],Milestone_Marker,IF(AND(Q$27&gt;ProposalToGnatt[[#This Row],[Start Date]],Q$27&lt;ProposalToGnatt[[#This Row],[Start Date]]+ProposalToGnatt[[#This Row],[Days]]),$G$5,"")),"")</f>
        <v/>
      </c>
      <c r="R71" s="36" t="str">
        <f ca="1">IFERROR(+IF(R$27=ProposalToGnatt[[#This Row],[Start Date]],Milestone_Marker,IF(AND(R$27&gt;ProposalToGnatt[[#This Row],[Start Date]],R$27&lt;ProposalToGnatt[[#This Row],[Start Date]]+ProposalToGnatt[[#This Row],[Days]]),$G$5,"")),"")</f>
        <v/>
      </c>
      <c r="S71" s="36" t="str">
        <f ca="1">IFERROR(+IF(S$27=ProposalToGnatt[[#This Row],[Start Date]],Milestone_Marker,IF(AND(S$27&gt;ProposalToGnatt[[#This Row],[Start Date]],S$27&lt;ProposalToGnatt[[#This Row],[Start Date]]+ProposalToGnatt[[#This Row],[Days]]),$G$5,"")),"")</f>
        <v/>
      </c>
      <c r="T71" s="36" t="str">
        <f ca="1">IFERROR(+IF(T$27=ProposalToGnatt[[#This Row],[Start Date]],Milestone_Marker,IF(AND(T$27&gt;ProposalToGnatt[[#This Row],[Start Date]],T$27&lt;ProposalToGnatt[[#This Row],[Start Date]]+ProposalToGnatt[[#This Row],[Days]]),$G$5,"")),"")</f>
        <v/>
      </c>
      <c r="U71" s="36" t="str">
        <f ca="1">IFERROR(+IF(U$27=ProposalToGnatt[[#This Row],[Start Date]],Milestone_Marker,IF(AND(U$27&gt;ProposalToGnatt[[#This Row],[Start Date]],U$27&lt;ProposalToGnatt[[#This Row],[Start Date]]+ProposalToGnatt[[#This Row],[Days]]),$G$5,"")),"")</f>
        <v/>
      </c>
      <c r="V71" s="36" t="str">
        <f ca="1">IFERROR(+IF(V$27=ProposalToGnatt[[#This Row],[Start Date]],Milestone_Marker,IF(AND(V$27&gt;ProposalToGnatt[[#This Row],[Start Date]],V$27&lt;ProposalToGnatt[[#This Row],[Start Date]]+ProposalToGnatt[[#This Row],[Days]]),$G$5,"")),"")</f>
        <v/>
      </c>
      <c r="W71" s="36" t="str">
        <f ca="1">IFERROR(+IF(W$27=ProposalToGnatt[[#This Row],[Start Date]],Milestone_Marker,IF(AND(W$27&gt;ProposalToGnatt[[#This Row],[Start Date]],W$27&lt;ProposalToGnatt[[#This Row],[Start Date]]+ProposalToGnatt[[#This Row],[Days]]),$G$5,"")),"")</f>
        <v/>
      </c>
      <c r="X71" s="36" t="str">
        <f ca="1">IFERROR(+IF(X$27=ProposalToGnatt[[#This Row],[Start Date]],Milestone_Marker,IF(AND(X$27&gt;ProposalToGnatt[[#This Row],[Start Date]],X$27&lt;ProposalToGnatt[[#This Row],[Start Date]]+ProposalToGnatt[[#This Row],[Days]]),$G$5,"")),"")</f>
        <v/>
      </c>
      <c r="Y71" s="36" t="str">
        <f ca="1">IFERROR(+IF(Y$27=ProposalToGnatt[[#This Row],[Start Date]],Milestone_Marker,IF(AND(Y$27&gt;ProposalToGnatt[[#This Row],[Start Date]],Y$27&lt;ProposalToGnatt[[#This Row],[Start Date]]+ProposalToGnatt[[#This Row],[Days]]),$G$5,"")),"")</f>
        <v/>
      </c>
      <c r="Z71" s="36" t="str">
        <f ca="1">IFERROR(+IF(Z$27=ProposalToGnatt[[#This Row],[Start Date]],Milestone_Marker,IF(AND(Z$27&gt;ProposalToGnatt[[#This Row],[Start Date]],Z$27&lt;ProposalToGnatt[[#This Row],[Start Date]]+ProposalToGnatt[[#This Row],[Days]]),$G$5,"")),"")</f>
        <v/>
      </c>
      <c r="AA71" s="36" t="str">
        <f ca="1">IFERROR(+IF(AA$27=ProposalToGnatt[[#This Row],[Start Date]],Milestone_Marker,IF(AND(AA$27&gt;ProposalToGnatt[[#This Row],[Start Date]],AA$27&lt;ProposalToGnatt[[#This Row],[Start Date]]+ProposalToGnatt[[#This Row],[Days]]),$G$5,"")),"")</f>
        <v/>
      </c>
      <c r="AB71" s="36" t="str">
        <f ca="1">IFERROR(+IF(AB$27=ProposalToGnatt[[#This Row],[Start Date]],Milestone_Marker,IF(AND(AB$27&gt;ProposalToGnatt[[#This Row],[Start Date]],AB$27&lt;ProposalToGnatt[[#This Row],[Start Date]]+ProposalToGnatt[[#This Row],[Days]]),$G$5,"")),"")</f>
        <v/>
      </c>
      <c r="AC71" s="36" t="str">
        <f ca="1">IFERROR(+IF(AC$27=ProposalToGnatt[[#This Row],[Start Date]],Milestone_Marker,IF(AND(AC$27&gt;ProposalToGnatt[[#This Row],[Start Date]],AC$27&lt;ProposalToGnatt[[#This Row],[Start Date]]+ProposalToGnatt[[#This Row],[Days]]),$G$5,"")),"")</f>
        <v/>
      </c>
      <c r="AD71" s="36" t="str">
        <f ca="1">IFERROR(+IF(AD$27=ProposalToGnatt[[#This Row],[Start Date]],Milestone_Marker,IF(AND(AD$27&gt;ProposalToGnatt[[#This Row],[Start Date]],AD$27&lt;ProposalToGnatt[[#This Row],[Start Date]]+ProposalToGnatt[[#This Row],[Days]]),$G$5,"")),"")</f>
        <v/>
      </c>
      <c r="AE71" s="36" t="str">
        <f ca="1">IFERROR(+IF(AE$27=ProposalToGnatt[[#This Row],[Start Date]],Milestone_Marker,IF(AND(AE$27&gt;ProposalToGnatt[[#This Row],[Start Date]],AE$27&lt;ProposalToGnatt[[#This Row],[Start Date]]+ProposalToGnatt[[#This Row],[Days]]),$G$5,"")),"")</f>
        <v/>
      </c>
      <c r="AF71" s="36" t="str">
        <f ca="1">IFERROR(+IF(AF$27=ProposalToGnatt[[#This Row],[Start Date]],Milestone_Marker,IF(AND(AF$27&gt;ProposalToGnatt[[#This Row],[Start Date]],AF$27&lt;ProposalToGnatt[[#This Row],[Start Date]]+ProposalToGnatt[[#This Row],[Days]]),$G$5,"")),"")</f>
        <v/>
      </c>
      <c r="AG71" s="36" t="str">
        <f ca="1">IFERROR(+IF(AG$27=ProposalToGnatt[[#This Row],[Start Date]],Milestone_Marker,IF(AND(AG$27&gt;ProposalToGnatt[[#This Row],[Start Date]],AG$27&lt;ProposalToGnatt[[#This Row],[Start Date]]+ProposalToGnatt[[#This Row],[Days]]),$G$5,"")),"")</f>
        <v/>
      </c>
      <c r="AH71" s="36" t="str">
        <f ca="1">IFERROR(+IF(AH$27=ProposalToGnatt[[#This Row],[Start Date]],Milestone_Marker,IF(AND(AH$27&gt;ProposalToGnatt[[#This Row],[Start Date]],AH$27&lt;ProposalToGnatt[[#This Row],[Start Date]]+ProposalToGnatt[[#This Row],[Days]]),$G$5,"")),"")</f>
        <v/>
      </c>
      <c r="AI71" s="36" t="str">
        <f ca="1">IFERROR(+IF(AI$27=ProposalToGnatt[[#This Row],[Start Date]],Milestone_Marker,IF(AND(AI$27&gt;ProposalToGnatt[[#This Row],[Start Date]],AI$27&lt;ProposalToGnatt[[#This Row],[Start Date]]+ProposalToGnatt[[#This Row],[Days]]),$G$5,"")),"")</f>
        <v/>
      </c>
      <c r="AJ71" s="36" t="str">
        <f ca="1">IFERROR(+IF(AJ$27=ProposalToGnatt[[#This Row],[Start Date]],Milestone_Marker,IF(AND(AJ$27&gt;ProposalToGnatt[[#This Row],[Start Date]],AJ$27&lt;ProposalToGnatt[[#This Row],[Start Date]]+ProposalToGnatt[[#This Row],[Days]]),$G$5,"")),"")</f>
        <v/>
      </c>
      <c r="AK71" s="36" t="str">
        <f ca="1">IFERROR(+IF(AK$27=ProposalToGnatt[[#This Row],[Start Date]],Milestone_Marker,IF(AND(AK$27&gt;ProposalToGnatt[[#This Row],[Start Date]],AK$27&lt;ProposalToGnatt[[#This Row],[Start Date]]+ProposalToGnatt[[#This Row],[Days]]),$G$5,"")),"")</f>
        <v/>
      </c>
      <c r="AL71" s="36" t="str">
        <f ca="1">IFERROR(+IF(AL$27=ProposalToGnatt[[#This Row],[Start Date]],Milestone_Marker,IF(AND(AL$27&gt;ProposalToGnatt[[#This Row],[Start Date]],AL$27&lt;ProposalToGnatt[[#This Row],[Start Date]]+ProposalToGnatt[[#This Row],[Days]]),$G$5,"")),"")</f>
        <v/>
      </c>
      <c r="AM71" s="36" t="str">
        <f ca="1">IFERROR(+IF(AM$27=ProposalToGnatt[[#This Row],[Start Date]],Milestone_Marker,IF(AND(AM$27&gt;ProposalToGnatt[[#This Row],[Start Date]],AM$27&lt;ProposalToGnatt[[#This Row],[Start Date]]+ProposalToGnatt[[#This Row],[Days]]),$G$5,"")),"")</f>
        <v/>
      </c>
      <c r="AN71" s="36" t="str">
        <f ca="1">IFERROR(+IF(AN$27=ProposalToGnatt[[#This Row],[Start Date]],Milestone_Marker,IF(AND(AN$27&gt;ProposalToGnatt[[#This Row],[Start Date]],AN$27&lt;ProposalToGnatt[[#This Row],[Start Date]]+ProposalToGnatt[[#This Row],[Days]]),$G$5,"")),"")</f>
        <v/>
      </c>
      <c r="AO71" s="36" t="str">
        <f ca="1">IFERROR(+IF(AO$27=ProposalToGnatt[[#This Row],[Start Date]],Milestone_Marker,IF(AND(AO$27&gt;ProposalToGnatt[[#This Row],[Start Date]],AO$27&lt;ProposalToGnatt[[#This Row],[Start Date]]+ProposalToGnatt[[#This Row],[Days]]),$G$5,"")),"")</f>
        <v/>
      </c>
      <c r="AP71" s="36" t="str">
        <f ca="1">IFERROR(+IF(AP$27=ProposalToGnatt[[#This Row],[Start Date]],Milestone_Marker,IF(AND(AP$27&gt;ProposalToGnatt[[#This Row],[Start Date]],AP$27&lt;ProposalToGnatt[[#This Row],[Start Date]]+ProposalToGnatt[[#This Row],[Days]]),$G$5,"")),"")</f>
        <v/>
      </c>
      <c r="AQ71" s="36" t="str">
        <f ca="1">IFERROR(+IF(AQ$27=ProposalToGnatt[[#This Row],[Start Date]],Milestone_Marker,IF(AND(AQ$27&gt;ProposalToGnatt[[#This Row],[Start Date]],AQ$27&lt;ProposalToGnatt[[#This Row],[Start Date]]+ProposalToGnatt[[#This Row],[Days]]),$G$5,"")),"")</f>
        <v/>
      </c>
      <c r="AR71" s="36" t="str">
        <f ca="1">IFERROR(+IF(AR$27=ProposalToGnatt[[#This Row],[Start Date]],Milestone_Marker,IF(AND(AR$27&gt;ProposalToGnatt[[#This Row],[Start Date]],AR$27&lt;ProposalToGnatt[[#This Row],[Start Date]]+ProposalToGnatt[[#This Row],[Days]]),$G$5,"")),"")</f>
        <v/>
      </c>
      <c r="AS71" s="36" t="str">
        <f ca="1">IFERROR(+IF(AS$27=ProposalToGnatt[[#This Row],[Start Date]],Milestone_Marker,IF(AND(AS$27&gt;ProposalToGnatt[[#This Row],[Start Date]],AS$27&lt;ProposalToGnatt[[#This Row],[Start Date]]+ProposalToGnatt[[#This Row],[Days]]),$G$5,"")),"")</f>
        <v/>
      </c>
      <c r="AT71" s="36" t="str">
        <f ca="1">IFERROR(+IF(AT$27=ProposalToGnatt[[#This Row],[Start Date]],Milestone_Marker,IF(AND(AT$27&gt;ProposalToGnatt[[#This Row],[Start Date]],AT$27&lt;ProposalToGnatt[[#This Row],[Start Date]]+ProposalToGnatt[[#This Row],[Days]]),$G$5,"")),"")</f>
        <v/>
      </c>
      <c r="AU71" s="36" t="str">
        <f ca="1">IFERROR(+IF(AU$27=ProposalToGnatt[[#This Row],[Start Date]],Milestone_Marker,IF(AND(AU$27&gt;ProposalToGnatt[[#This Row],[Start Date]],AU$27&lt;ProposalToGnatt[[#This Row],[Start Date]]+ProposalToGnatt[[#This Row],[Days]]),$G$5,"")),"")</f>
        <v/>
      </c>
      <c r="AV71" s="36" t="str">
        <f ca="1">IFERROR(+IF(AV$27=ProposalToGnatt[[#This Row],[Start Date]],Milestone_Marker,IF(AND(AV$27&gt;ProposalToGnatt[[#This Row],[Start Date]],AV$27&lt;ProposalToGnatt[[#This Row],[Start Date]]+ProposalToGnatt[[#This Row],[Days]]),$G$5,"")),"")</f>
        <v/>
      </c>
      <c r="AW71" s="36" t="str">
        <f ca="1">IFERROR(+IF(AW$27=ProposalToGnatt[[#This Row],[Start Date]],Milestone_Marker,IF(AND(AW$27&gt;ProposalToGnatt[[#This Row],[Start Date]],AW$27&lt;ProposalToGnatt[[#This Row],[Start Date]]+ProposalToGnatt[[#This Row],[Days]]),$G$5,"")),"")</f>
        <v/>
      </c>
      <c r="AX71" s="36" t="str">
        <f ca="1">IFERROR(+IF(AX$27=ProposalToGnatt[[#This Row],[Start Date]],Milestone_Marker,IF(AND(AX$27&gt;ProposalToGnatt[[#This Row],[Start Date]],AX$27&lt;ProposalToGnatt[[#This Row],[Start Date]]+ProposalToGnatt[[#This Row],[Days]]),$G$5,"")),"")</f>
        <v/>
      </c>
      <c r="AY71" s="36" t="str">
        <f ca="1">IFERROR(+IF(AY$27=ProposalToGnatt[[#This Row],[Start Date]],Milestone_Marker,IF(AND(AY$27&gt;ProposalToGnatt[[#This Row],[Start Date]],AY$27&lt;ProposalToGnatt[[#This Row],[Start Date]]+ProposalToGnatt[[#This Row],[Days]]),$G$5,"")),"")</f>
        <v/>
      </c>
      <c r="AZ71" s="36" t="str">
        <f ca="1">IFERROR(+IF(AZ$27=ProposalToGnatt[[#This Row],[Start Date]],Milestone_Marker,IF(AND(AZ$27&gt;ProposalToGnatt[[#This Row],[Start Date]],AZ$27&lt;ProposalToGnatt[[#This Row],[Start Date]]+ProposalToGnatt[[#This Row],[Days]]),$G$5,"")),"")</f>
        <v/>
      </c>
      <c r="BA71" s="36" t="str">
        <f ca="1">IFERROR(+IF(BA$27=ProposalToGnatt[[#This Row],[Start Date]],Milestone_Marker,IF(AND(BA$27&gt;ProposalToGnatt[[#This Row],[Start Date]],BA$27&lt;ProposalToGnatt[[#This Row],[Start Date]]+ProposalToGnatt[[#This Row],[Days]]),$G$5,"")),"")</f>
        <v/>
      </c>
      <c r="BB71" s="36" t="str">
        <f ca="1">IFERROR(+IF(BB$27=ProposalToGnatt[[#This Row],[Start Date]],Milestone_Marker,IF(AND(BB$27&gt;ProposalToGnatt[[#This Row],[Start Date]],BB$27&lt;ProposalToGnatt[[#This Row],[Start Date]]+ProposalToGnatt[[#This Row],[Days]]),$G$5,"")),"")</f>
        <v/>
      </c>
      <c r="BC71" s="36" t="str">
        <f ca="1">IFERROR(+IF(BC$27=ProposalToGnatt[[#This Row],[Start Date]],Milestone_Marker,IF(AND(BC$27&gt;ProposalToGnatt[[#This Row],[Start Date]],BC$27&lt;ProposalToGnatt[[#This Row],[Start Date]]+ProposalToGnatt[[#This Row],[Days]]),$G$5,"")),"")</f>
        <v/>
      </c>
      <c r="BD71" s="36" t="str">
        <f ca="1">IFERROR(+IF(BD$27=ProposalToGnatt[[#This Row],[Start Date]],Milestone_Marker,IF(AND(BD$27&gt;ProposalToGnatt[[#This Row],[Start Date]],BD$27&lt;ProposalToGnatt[[#This Row],[Start Date]]+ProposalToGnatt[[#This Row],[Days]]),$G$5,"")),"")</f>
        <v/>
      </c>
      <c r="BE71" s="36" t="str">
        <f ca="1">IFERROR(+IF(BE$27=ProposalToGnatt[[#This Row],[Start Date]],Milestone_Marker,IF(AND(BE$27&gt;ProposalToGnatt[[#This Row],[Start Date]],BE$27&lt;ProposalToGnatt[[#This Row],[Start Date]]+ProposalToGnatt[[#This Row],[Days]]),$G$5,"")),"")</f>
        <v/>
      </c>
      <c r="BF71" s="36" t="str">
        <f ca="1">IFERROR(+IF(BF$27=ProposalToGnatt[[#This Row],[Start Date]],Milestone_Marker,IF(AND(BF$27&gt;ProposalToGnatt[[#This Row],[Start Date]],BF$27&lt;ProposalToGnatt[[#This Row],[Start Date]]+ProposalToGnatt[[#This Row],[Days]]),$G$5,"")),"")</f>
        <v/>
      </c>
      <c r="BG71" s="36" t="str">
        <f ca="1">IFERROR(+IF(BG$27=ProposalToGnatt[[#This Row],[Start Date]],Milestone_Marker,IF(AND(BG$27&gt;ProposalToGnatt[[#This Row],[Start Date]],BG$27&lt;ProposalToGnatt[[#This Row],[Start Date]]+ProposalToGnatt[[#This Row],[Days]]),$G$5,"")),"")</f>
        <v/>
      </c>
      <c r="BH71" s="36" t="str">
        <f ca="1">IFERROR(+IF(BH$27=ProposalToGnatt[[#This Row],[Start Date]],Milestone_Marker,IF(AND(BH$27&gt;ProposalToGnatt[[#This Row],[Start Date]],BH$27&lt;ProposalToGnatt[[#This Row],[Start Date]]+ProposalToGnatt[[#This Row],[Days]]),$G$5,"")),"")</f>
        <v/>
      </c>
      <c r="BI71" s="36" t="str">
        <f ca="1">IFERROR(+IF(BI$27=ProposalToGnatt[[#This Row],[Start Date]],Milestone_Marker,IF(AND(BI$27&gt;ProposalToGnatt[[#This Row],[Start Date]],BI$27&lt;ProposalToGnatt[[#This Row],[Start Date]]+ProposalToGnatt[[#This Row],[Days]]),$G$5,"")),"")</f>
        <v/>
      </c>
      <c r="BJ71" s="36" t="str">
        <f ca="1">IFERROR(+IF(BJ$27=ProposalToGnatt[[#This Row],[Start Date]],Milestone_Marker,IF(AND(BJ$27&gt;ProposalToGnatt[[#This Row],[Start Date]],BJ$27&lt;ProposalToGnatt[[#This Row],[Start Date]]+ProposalToGnatt[[#This Row],[Days]]),$G$5,"")),"")</f>
        <v/>
      </c>
      <c r="BK71" s="36" t="str">
        <f ca="1">IFERROR(+IF(BK$27=ProposalToGnatt[[#This Row],[Start Date]],Milestone_Marker,IF(AND(BK$27&gt;ProposalToGnatt[[#This Row],[Start Date]],BK$27&lt;ProposalToGnatt[[#This Row],[Start Date]]+ProposalToGnatt[[#This Row],[Days]]),$G$5,"")),"")</f>
        <v/>
      </c>
      <c r="BL71" s="36" t="str">
        <f ca="1">IFERROR(+IF(BL$27=ProposalToGnatt[[#This Row],[Start Date]],Milestone_Marker,IF(AND(BL$27&gt;ProposalToGnatt[[#This Row],[Start Date]],BL$27&lt;ProposalToGnatt[[#This Row],[Start Date]]+ProposalToGnatt[[#This Row],[Days]]),$G$5,"")),"")</f>
        <v/>
      </c>
      <c r="BM71" s="36" t="str">
        <f ca="1">IFERROR(+IF(BM$27=ProposalToGnatt[[#This Row],[Start Date]],Milestone_Marker,IF(AND(BM$27&gt;ProposalToGnatt[[#This Row],[Start Date]],BM$27&lt;ProposalToGnatt[[#This Row],[Start Date]]+ProposalToGnatt[[#This Row],[Days]]),$G$5,"")),"")</f>
        <v/>
      </c>
      <c r="BN71" s="36" t="str">
        <f ca="1">IFERROR(+IF(BN$27=ProposalToGnatt[[#This Row],[Start Date]],Milestone_Marker,IF(AND(BN$27&gt;ProposalToGnatt[[#This Row],[Start Date]],BN$27&lt;ProposalToGnatt[[#This Row],[Start Date]]+ProposalToGnatt[[#This Row],[Days]]),$G$5,"")),"")</f>
        <v/>
      </c>
      <c r="BO71" s="36" t="str">
        <f ca="1">IFERROR(+IF(BO$27=ProposalToGnatt[[#This Row],[Start Date]],Milestone_Marker,IF(AND(BO$27&gt;ProposalToGnatt[[#This Row],[Start Date]],BO$27&lt;ProposalToGnatt[[#This Row],[Start Date]]+ProposalToGnatt[[#This Row],[Days]]),$G$5,"")),"")</f>
        <v/>
      </c>
      <c r="BP71" s="36" t="str">
        <f ca="1">IFERROR(+IF(BP$27=ProposalToGnatt[[#This Row],[Start Date]],Milestone_Marker,IF(AND(BP$27&gt;ProposalToGnatt[[#This Row],[Start Date]],BP$27&lt;ProposalToGnatt[[#This Row],[Start Date]]+ProposalToGnatt[[#This Row],[Days]]),$G$5,"")),"")</f>
        <v/>
      </c>
      <c r="BQ71" s="36" t="str">
        <f ca="1">IFERROR(+IF(BQ$27=ProposalToGnatt[[#This Row],[Start Date]],Milestone_Marker,IF(AND(BQ$27&gt;ProposalToGnatt[[#This Row],[Start Date]],BQ$27&lt;ProposalToGnatt[[#This Row],[Start Date]]+ProposalToGnatt[[#This Row],[Days]]),$G$5,"")),"")</f>
        <v/>
      </c>
      <c r="BR71" s="36" t="str">
        <f ca="1">IFERROR(+IF(BR$27=ProposalToGnatt[[#This Row],[Start Date]],Milestone_Marker,IF(AND(BR$27&gt;ProposalToGnatt[[#This Row],[Start Date]],BR$27&lt;ProposalToGnatt[[#This Row],[Start Date]]+ProposalToGnatt[[#This Row],[Days]]),$G$5,"")),"")</f>
        <v/>
      </c>
      <c r="BS71" s="36" t="str">
        <f ca="1">IFERROR(+IF(BS$27=ProposalToGnatt[[#This Row],[Start Date]],Milestone_Marker,IF(AND(BS$27&gt;ProposalToGnatt[[#This Row],[Start Date]],BS$27&lt;ProposalToGnatt[[#This Row],[Start Date]]+ProposalToGnatt[[#This Row],[Days]]),$G$5,"")),"")</f>
        <v/>
      </c>
      <c r="BT71" s="36" t="str">
        <f ca="1">IFERROR(+IF(BT$27=ProposalToGnatt[[#This Row],[Start Date]],Milestone_Marker,IF(AND(BT$27&gt;ProposalToGnatt[[#This Row],[Start Date]],BT$27&lt;ProposalToGnatt[[#This Row],[Start Date]]+ProposalToGnatt[[#This Row],[Days]]),$G$5,"")),"")</f>
        <v/>
      </c>
      <c r="BU71" s="36" t="str">
        <f ca="1">IFERROR(+IF(BU$27=ProposalToGnatt[[#This Row],[Start Date]],Milestone_Marker,IF(AND(BU$27&gt;ProposalToGnatt[[#This Row],[Start Date]],BU$27&lt;ProposalToGnatt[[#This Row],[Start Date]]+ProposalToGnatt[[#This Row],[Days]]),$G$5,"")),"")</f>
        <v/>
      </c>
      <c r="BV71" s="36" t="str">
        <f ca="1">IFERROR(+IF(BV$27=ProposalToGnatt[[#This Row],[Start Date]],Milestone_Marker,IF(AND(BV$27&gt;ProposalToGnatt[[#This Row],[Start Date]],BV$27&lt;ProposalToGnatt[[#This Row],[Start Date]]+ProposalToGnatt[[#This Row],[Days]]),$G$5,"")),"")</f>
        <v/>
      </c>
      <c r="BW71" s="36" t="str">
        <f ca="1">IFERROR(+IF(BW$27=ProposalToGnatt[[#This Row],[Start Date]],Milestone_Marker,IF(AND(BW$27&gt;ProposalToGnatt[[#This Row],[Start Date]],BW$27&lt;ProposalToGnatt[[#This Row],[Start Date]]+ProposalToGnatt[[#This Row],[Days]]),$G$5,"")),"")</f>
        <v/>
      </c>
      <c r="BX71" s="36" t="str">
        <f ca="1">IFERROR(+IF(BX$27=ProposalToGnatt[[#This Row],[Start Date]],Milestone_Marker,IF(AND(BX$27&gt;ProposalToGnatt[[#This Row],[Start Date]],BX$27&lt;ProposalToGnatt[[#This Row],[Start Date]]+ProposalToGnatt[[#This Row],[Days]]),$G$5,"")),"")</f>
        <v/>
      </c>
      <c r="BY71" s="36" t="str">
        <f ca="1">IFERROR(+IF(BY$27=ProposalToGnatt[[#This Row],[Start Date]],Milestone_Marker,IF(AND(BY$27&gt;ProposalToGnatt[[#This Row],[Start Date]],BY$27&lt;ProposalToGnatt[[#This Row],[Start Date]]+ProposalToGnatt[[#This Row],[Days]]),$G$5,"")),"")</f>
        <v/>
      </c>
      <c r="BZ71" s="36" t="str">
        <f ca="1">IFERROR(+IF(BZ$27=ProposalToGnatt[[#This Row],[Start Date]],Milestone_Marker,IF(AND(BZ$27&gt;ProposalToGnatt[[#This Row],[Start Date]],BZ$27&lt;ProposalToGnatt[[#This Row],[Start Date]]+ProposalToGnatt[[#This Row],[Days]]),$G$5,"")),"")</f>
        <v/>
      </c>
      <c r="CA71" s="36" t="str">
        <f ca="1">IFERROR(+IF(CA$27=ProposalToGnatt[[#This Row],[Start Date]],Milestone_Marker,IF(AND(CA$27&gt;ProposalToGnatt[[#This Row],[Start Date]],CA$27&lt;ProposalToGnatt[[#This Row],[Start Date]]+ProposalToGnatt[[#This Row],[Days]]),$G$5,"")),"")</f>
        <v/>
      </c>
      <c r="CB71" s="36" t="str">
        <f ca="1">IFERROR(+IF(CB$27=ProposalToGnatt[[#This Row],[Start Date]],Milestone_Marker,IF(AND(CB$27&gt;ProposalToGnatt[[#This Row],[Start Date]],CB$27&lt;ProposalToGnatt[[#This Row],[Start Date]]+ProposalToGnatt[[#This Row],[Days]]),$G$5,"")),"")</f>
        <v/>
      </c>
      <c r="CC71" s="36" t="str">
        <f ca="1">IFERROR(+IF(CC$27=ProposalToGnatt[[#This Row],[Start Date]],Milestone_Marker,IF(AND(CC$27&gt;ProposalToGnatt[[#This Row],[Start Date]],CC$27&lt;ProposalToGnatt[[#This Row],[Start Date]]+ProposalToGnatt[[#This Row],[Days]]),$G$5,"")),"")</f>
        <v/>
      </c>
      <c r="CD71" s="36" t="str">
        <f ca="1">IFERROR(+IF(CD$27=ProposalToGnatt[[#This Row],[Start Date]],Milestone_Marker,IF(AND(CD$27&gt;ProposalToGnatt[[#This Row],[Start Date]],CD$27&lt;ProposalToGnatt[[#This Row],[Start Date]]+ProposalToGnatt[[#This Row],[Days]]),$G$5,"")),"")</f>
        <v/>
      </c>
      <c r="CE71" s="36" t="str">
        <f ca="1">IFERROR(+IF(CE$27=ProposalToGnatt[[#This Row],[Start Date]],Milestone_Marker,IF(AND(CE$27&gt;ProposalToGnatt[[#This Row],[Start Date]],CE$27&lt;ProposalToGnatt[[#This Row],[Start Date]]+ProposalToGnatt[[#This Row],[Days]]),$G$5,"")),"")</f>
        <v/>
      </c>
      <c r="CF71" s="36" t="str">
        <f ca="1">IFERROR(+IF(CF$27=ProposalToGnatt[[#This Row],[Start Date]],Milestone_Marker,IF(AND(CF$27&gt;ProposalToGnatt[[#This Row],[Start Date]],CF$27&lt;ProposalToGnatt[[#This Row],[Start Date]]+ProposalToGnatt[[#This Row],[Days]]),$G$5,"")),"")</f>
        <v/>
      </c>
      <c r="CG71" s="36" t="str">
        <f ca="1">IFERROR(+IF(CG$27=ProposalToGnatt[[#This Row],[Start Date]],Milestone_Marker,IF(AND(CG$27&gt;ProposalToGnatt[[#This Row],[Start Date]],CG$27&lt;ProposalToGnatt[[#This Row],[Start Date]]+ProposalToGnatt[[#This Row],[Days]]),$G$5,"")),"")</f>
        <v/>
      </c>
      <c r="CH71" s="36" t="str">
        <f ca="1">IFERROR(+IF(CH$27=ProposalToGnatt[[#This Row],[Start Date]],Milestone_Marker,IF(AND(CH$27&gt;ProposalToGnatt[[#This Row],[Start Date]],CH$27&lt;ProposalToGnatt[[#This Row],[Start Date]]+ProposalToGnatt[[#This Row],[Days]]),$G$5,"")),"")</f>
        <v/>
      </c>
      <c r="CI71" s="36" t="str">
        <f ca="1">IFERROR(+IF(CI$27=ProposalToGnatt[[#This Row],[Start Date]],Milestone_Marker,IF(AND(CI$27&gt;ProposalToGnatt[[#This Row],[Start Date]],CI$27&lt;ProposalToGnatt[[#This Row],[Start Date]]+ProposalToGnatt[[#This Row],[Days]]),$G$5,"")),"")</f>
        <v/>
      </c>
      <c r="CJ71" s="36" t="str">
        <f ca="1">IFERROR(+IF(CJ$27=ProposalToGnatt[[#This Row],[Start Date]],Milestone_Marker,IF(AND(CJ$27&gt;ProposalToGnatt[[#This Row],[Start Date]],CJ$27&lt;ProposalToGnatt[[#This Row],[Start Date]]+ProposalToGnatt[[#This Row],[Days]]),$G$5,"")),"")</f>
        <v/>
      </c>
      <c r="CK71" s="36" t="str">
        <f ca="1">IFERROR(+IF(CK$27=ProposalToGnatt[[#This Row],[Start Date]],Milestone_Marker,IF(AND(CK$27&gt;ProposalToGnatt[[#This Row],[Start Date]],CK$27&lt;ProposalToGnatt[[#This Row],[Start Date]]+ProposalToGnatt[[#This Row],[Days]]),$G$5,"")),"")</f>
        <v/>
      </c>
      <c r="CL71" s="36" t="str">
        <f ca="1">IFERROR(+IF(CL$27=ProposalToGnatt[[#This Row],[Start Date]],Milestone_Marker,IF(AND(CL$27&gt;ProposalToGnatt[[#This Row],[Start Date]],CL$27&lt;ProposalToGnatt[[#This Row],[Start Date]]+ProposalToGnatt[[#This Row],[Days]]),$G$5,"")),"")</f>
        <v/>
      </c>
      <c r="CM71" s="36" t="str">
        <f ca="1">IFERROR(+IF(CM$27=ProposalToGnatt[[#This Row],[Start Date]],Milestone_Marker,IF(AND(CM$27&gt;ProposalToGnatt[[#This Row],[Start Date]],CM$27&lt;ProposalToGnatt[[#This Row],[Start Date]]+ProposalToGnatt[[#This Row],[Days]]),$G$5,"")),"")</f>
        <v/>
      </c>
      <c r="CN71" s="36" t="str">
        <f ca="1">IFERROR(+IF(CN$27=ProposalToGnatt[[#This Row],[Start Date]],Milestone_Marker,IF(AND(CN$27&gt;ProposalToGnatt[[#This Row],[Start Date]],CN$27&lt;ProposalToGnatt[[#This Row],[Start Date]]+ProposalToGnatt[[#This Row],[Days]]),$G$5,"")),"")</f>
        <v/>
      </c>
      <c r="CO71" s="36" t="str">
        <f ca="1">IFERROR(+IF(CO$27=ProposalToGnatt[[#This Row],[Start Date]],Milestone_Marker,IF(AND(CO$27&gt;ProposalToGnatt[[#This Row],[Start Date]],CO$27&lt;ProposalToGnatt[[#This Row],[Start Date]]+ProposalToGnatt[[#This Row],[Days]]),$G$5,"")),"")</f>
        <v/>
      </c>
      <c r="CP71" s="36" t="str">
        <f ca="1">IFERROR(+IF(CP$27=ProposalToGnatt[[#This Row],[Start Date]],Milestone_Marker,IF(AND(CP$27&gt;ProposalToGnatt[[#This Row],[Start Date]],CP$27&lt;ProposalToGnatt[[#This Row],[Start Date]]+ProposalToGnatt[[#This Row],[Days]]),$G$5,"")),"")</f>
        <v/>
      </c>
      <c r="CQ71" s="36" t="str">
        <f ca="1">IFERROR(+IF(CQ$27=ProposalToGnatt[[#This Row],[Start Date]],Milestone_Marker,IF(AND(CQ$27&gt;ProposalToGnatt[[#This Row],[Start Date]],CQ$27&lt;ProposalToGnatt[[#This Row],[Start Date]]+ProposalToGnatt[[#This Row],[Days]]),$G$5,"")),"")</f>
        <v/>
      </c>
      <c r="CR71" s="36" t="str">
        <f ca="1">IFERROR(+IF(CR$27=ProposalToGnatt[[#This Row],[Start Date]],Milestone_Marker,IF(AND(CR$27&gt;ProposalToGnatt[[#This Row],[Start Date]],CR$27&lt;ProposalToGnatt[[#This Row],[Start Date]]+ProposalToGnatt[[#This Row],[Days]]),$G$5,"")),"")</f>
        <v/>
      </c>
      <c r="CS71" s="36" t="str">
        <f ca="1">IFERROR(+IF(CS$27=ProposalToGnatt[[#This Row],[Start Date]],Milestone_Marker,IF(AND(CS$27&gt;ProposalToGnatt[[#This Row],[Start Date]],CS$27&lt;ProposalToGnatt[[#This Row],[Start Date]]+ProposalToGnatt[[#This Row],[Days]]),$G$5,"")),"")</f>
        <v/>
      </c>
      <c r="CT71" s="36" t="str">
        <f ca="1">IFERROR(+IF(CT$27=ProposalToGnatt[[#This Row],[Start Date]],Milestone_Marker,IF(AND(CT$27&gt;ProposalToGnatt[[#This Row],[Start Date]],CT$27&lt;ProposalToGnatt[[#This Row],[Start Date]]+ProposalToGnatt[[#This Row],[Days]]),$G$5,"")),"")</f>
        <v/>
      </c>
      <c r="CU71" s="36" t="str">
        <f ca="1">IFERROR(+IF(CU$27=ProposalToGnatt[[#This Row],[Start Date]],Milestone_Marker,IF(AND(CU$27&gt;ProposalToGnatt[[#This Row],[Start Date]],CU$27&lt;ProposalToGnatt[[#This Row],[Start Date]]+ProposalToGnatt[[#This Row],[Days]]),$G$5,"")),"")</f>
        <v/>
      </c>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row>
    <row r="72" spans="1:125" ht="15" x14ac:dyDescent="0.25">
      <c r="A72"/>
      <c r="B72"/>
      <c r="C72"/>
      <c r="D72"/>
      <c r="E72"/>
      <c r="F72"/>
      <c r="G72" s="14"/>
      <c r="H72" s="14"/>
      <c r="I72"/>
      <c r="J72"/>
      <c r="K72" s="261"/>
      <c r="L72"/>
      <c r="M72" s="14"/>
      <c r="N72" s="309"/>
      <c r="O72" s="297"/>
      <c r="P72" s="36" t="str">
        <f ca="1">IFERROR(+IF(P$27=ProposalToGnatt[[#This Row],[Start Date]],Milestone_Marker,IF(AND(P$27&gt;ProposalToGnatt[[#This Row],[Start Date]],P$27&lt;ProposalToGnatt[[#This Row],[Start Date]]+ProposalToGnatt[[#This Row],[Days]]),$G$5,"")),"")</f>
        <v/>
      </c>
      <c r="Q72" s="36" t="str">
        <f ca="1">IFERROR(+IF(Q$27=ProposalToGnatt[[#This Row],[Start Date]],Milestone_Marker,IF(AND(Q$27&gt;ProposalToGnatt[[#This Row],[Start Date]],Q$27&lt;ProposalToGnatt[[#This Row],[Start Date]]+ProposalToGnatt[[#This Row],[Days]]),$G$5,"")),"")</f>
        <v/>
      </c>
      <c r="R72" s="36" t="str">
        <f ca="1">IFERROR(+IF(R$27=ProposalToGnatt[[#This Row],[Start Date]],Milestone_Marker,IF(AND(R$27&gt;ProposalToGnatt[[#This Row],[Start Date]],R$27&lt;ProposalToGnatt[[#This Row],[Start Date]]+ProposalToGnatt[[#This Row],[Days]]),$G$5,"")),"")</f>
        <v/>
      </c>
      <c r="S72" s="36" t="str">
        <f ca="1">IFERROR(+IF(S$27=ProposalToGnatt[[#This Row],[Start Date]],Milestone_Marker,IF(AND(S$27&gt;ProposalToGnatt[[#This Row],[Start Date]],S$27&lt;ProposalToGnatt[[#This Row],[Start Date]]+ProposalToGnatt[[#This Row],[Days]]),$G$5,"")),"")</f>
        <v/>
      </c>
      <c r="T72" s="36" t="str">
        <f ca="1">IFERROR(+IF(T$27=ProposalToGnatt[[#This Row],[Start Date]],Milestone_Marker,IF(AND(T$27&gt;ProposalToGnatt[[#This Row],[Start Date]],T$27&lt;ProposalToGnatt[[#This Row],[Start Date]]+ProposalToGnatt[[#This Row],[Days]]),$G$5,"")),"")</f>
        <v/>
      </c>
      <c r="U72" s="36" t="str">
        <f ca="1">IFERROR(+IF(U$27=ProposalToGnatt[[#This Row],[Start Date]],Milestone_Marker,IF(AND(U$27&gt;ProposalToGnatt[[#This Row],[Start Date]],U$27&lt;ProposalToGnatt[[#This Row],[Start Date]]+ProposalToGnatt[[#This Row],[Days]]),$G$5,"")),"")</f>
        <v/>
      </c>
      <c r="V72" s="36" t="str">
        <f ca="1">IFERROR(+IF(V$27=ProposalToGnatt[[#This Row],[Start Date]],Milestone_Marker,IF(AND(V$27&gt;ProposalToGnatt[[#This Row],[Start Date]],V$27&lt;ProposalToGnatt[[#This Row],[Start Date]]+ProposalToGnatt[[#This Row],[Days]]),$G$5,"")),"")</f>
        <v/>
      </c>
      <c r="W72" s="36" t="str">
        <f ca="1">IFERROR(+IF(W$27=ProposalToGnatt[[#This Row],[Start Date]],Milestone_Marker,IF(AND(W$27&gt;ProposalToGnatt[[#This Row],[Start Date]],W$27&lt;ProposalToGnatt[[#This Row],[Start Date]]+ProposalToGnatt[[#This Row],[Days]]),$G$5,"")),"")</f>
        <v/>
      </c>
      <c r="X72" s="36" t="str">
        <f ca="1">IFERROR(+IF(X$27=ProposalToGnatt[[#This Row],[Start Date]],Milestone_Marker,IF(AND(X$27&gt;ProposalToGnatt[[#This Row],[Start Date]],X$27&lt;ProposalToGnatt[[#This Row],[Start Date]]+ProposalToGnatt[[#This Row],[Days]]),$G$5,"")),"")</f>
        <v/>
      </c>
      <c r="Y72" s="36" t="str">
        <f ca="1">IFERROR(+IF(Y$27=ProposalToGnatt[[#This Row],[Start Date]],Milestone_Marker,IF(AND(Y$27&gt;ProposalToGnatt[[#This Row],[Start Date]],Y$27&lt;ProposalToGnatt[[#This Row],[Start Date]]+ProposalToGnatt[[#This Row],[Days]]),$G$5,"")),"")</f>
        <v/>
      </c>
      <c r="Z72" s="36" t="str">
        <f ca="1">IFERROR(+IF(Z$27=ProposalToGnatt[[#This Row],[Start Date]],Milestone_Marker,IF(AND(Z$27&gt;ProposalToGnatt[[#This Row],[Start Date]],Z$27&lt;ProposalToGnatt[[#This Row],[Start Date]]+ProposalToGnatt[[#This Row],[Days]]),$G$5,"")),"")</f>
        <v/>
      </c>
      <c r="AA72" s="36" t="str">
        <f ca="1">IFERROR(+IF(AA$27=ProposalToGnatt[[#This Row],[Start Date]],Milestone_Marker,IF(AND(AA$27&gt;ProposalToGnatt[[#This Row],[Start Date]],AA$27&lt;ProposalToGnatt[[#This Row],[Start Date]]+ProposalToGnatt[[#This Row],[Days]]),$G$5,"")),"")</f>
        <v/>
      </c>
      <c r="AB72" s="36" t="str">
        <f ca="1">IFERROR(+IF(AB$27=ProposalToGnatt[[#This Row],[Start Date]],Milestone_Marker,IF(AND(AB$27&gt;ProposalToGnatt[[#This Row],[Start Date]],AB$27&lt;ProposalToGnatt[[#This Row],[Start Date]]+ProposalToGnatt[[#This Row],[Days]]),$G$5,"")),"")</f>
        <v/>
      </c>
      <c r="AC72" s="36" t="str">
        <f ca="1">IFERROR(+IF(AC$27=ProposalToGnatt[[#This Row],[Start Date]],Milestone_Marker,IF(AND(AC$27&gt;ProposalToGnatt[[#This Row],[Start Date]],AC$27&lt;ProposalToGnatt[[#This Row],[Start Date]]+ProposalToGnatt[[#This Row],[Days]]),$G$5,"")),"")</f>
        <v/>
      </c>
      <c r="AD72" s="36" t="str">
        <f ca="1">IFERROR(+IF(AD$27=ProposalToGnatt[[#This Row],[Start Date]],Milestone_Marker,IF(AND(AD$27&gt;ProposalToGnatt[[#This Row],[Start Date]],AD$27&lt;ProposalToGnatt[[#This Row],[Start Date]]+ProposalToGnatt[[#This Row],[Days]]),$G$5,"")),"")</f>
        <v/>
      </c>
      <c r="AE72" s="36" t="str">
        <f ca="1">IFERROR(+IF(AE$27=ProposalToGnatt[[#This Row],[Start Date]],Milestone_Marker,IF(AND(AE$27&gt;ProposalToGnatt[[#This Row],[Start Date]],AE$27&lt;ProposalToGnatt[[#This Row],[Start Date]]+ProposalToGnatt[[#This Row],[Days]]),$G$5,"")),"")</f>
        <v/>
      </c>
      <c r="AF72" s="36" t="str">
        <f ca="1">IFERROR(+IF(AF$27=ProposalToGnatt[[#This Row],[Start Date]],Milestone_Marker,IF(AND(AF$27&gt;ProposalToGnatt[[#This Row],[Start Date]],AF$27&lt;ProposalToGnatt[[#This Row],[Start Date]]+ProposalToGnatt[[#This Row],[Days]]),$G$5,"")),"")</f>
        <v/>
      </c>
      <c r="AG72" s="36" t="str">
        <f ca="1">IFERROR(+IF(AG$27=ProposalToGnatt[[#This Row],[Start Date]],Milestone_Marker,IF(AND(AG$27&gt;ProposalToGnatt[[#This Row],[Start Date]],AG$27&lt;ProposalToGnatt[[#This Row],[Start Date]]+ProposalToGnatt[[#This Row],[Days]]),$G$5,"")),"")</f>
        <v/>
      </c>
      <c r="AH72" s="36" t="str">
        <f ca="1">IFERROR(+IF(AH$27=ProposalToGnatt[[#This Row],[Start Date]],Milestone_Marker,IF(AND(AH$27&gt;ProposalToGnatt[[#This Row],[Start Date]],AH$27&lt;ProposalToGnatt[[#This Row],[Start Date]]+ProposalToGnatt[[#This Row],[Days]]),$G$5,"")),"")</f>
        <v/>
      </c>
      <c r="AI72" s="36" t="str">
        <f ca="1">IFERROR(+IF(AI$27=ProposalToGnatt[[#This Row],[Start Date]],Milestone_Marker,IF(AND(AI$27&gt;ProposalToGnatt[[#This Row],[Start Date]],AI$27&lt;ProposalToGnatt[[#This Row],[Start Date]]+ProposalToGnatt[[#This Row],[Days]]),$G$5,"")),"")</f>
        <v/>
      </c>
      <c r="AJ72" s="36" t="str">
        <f ca="1">IFERROR(+IF(AJ$27=ProposalToGnatt[[#This Row],[Start Date]],Milestone_Marker,IF(AND(AJ$27&gt;ProposalToGnatt[[#This Row],[Start Date]],AJ$27&lt;ProposalToGnatt[[#This Row],[Start Date]]+ProposalToGnatt[[#This Row],[Days]]),$G$5,"")),"")</f>
        <v/>
      </c>
      <c r="AK72" s="36" t="str">
        <f ca="1">IFERROR(+IF(AK$27=ProposalToGnatt[[#This Row],[Start Date]],Milestone_Marker,IF(AND(AK$27&gt;ProposalToGnatt[[#This Row],[Start Date]],AK$27&lt;ProposalToGnatt[[#This Row],[Start Date]]+ProposalToGnatt[[#This Row],[Days]]),$G$5,"")),"")</f>
        <v/>
      </c>
      <c r="AL72" s="36" t="str">
        <f ca="1">IFERROR(+IF(AL$27=ProposalToGnatt[[#This Row],[Start Date]],Milestone_Marker,IF(AND(AL$27&gt;ProposalToGnatt[[#This Row],[Start Date]],AL$27&lt;ProposalToGnatt[[#This Row],[Start Date]]+ProposalToGnatt[[#This Row],[Days]]),$G$5,"")),"")</f>
        <v/>
      </c>
      <c r="AM72" s="36" t="str">
        <f ca="1">IFERROR(+IF(AM$27=ProposalToGnatt[[#This Row],[Start Date]],Milestone_Marker,IF(AND(AM$27&gt;ProposalToGnatt[[#This Row],[Start Date]],AM$27&lt;ProposalToGnatt[[#This Row],[Start Date]]+ProposalToGnatt[[#This Row],[Days]]),$G$5,"")),"")</f>
        <v/>
      </c>
      <c r="AN72" s="36" t="str">
        <f ca="1">IFERROR(+IF(AN$27=ProposalToGnatt[[#This Row],[Start Date]],Milestone_Marker,IF(AND(AN$27&gt;ProposalToGnatt[[#This Row],[Start Date]],AN$27&lt;ProposalToGnatt[[#This Row],[Start Date]]+ProposalToGnatt[[#This Row],[Days]]),$G$5,"")),"")</f>
        <v/>
      </c>
      <c r="AO72" s="36" t="str">
        <f ca="1">IFERROR(+IF(AO$27=ProposalToGnatt[[#This Row],[Start Date]],Milestone_Marker,IF(AND(AO$27&gt;ProposalToGnatt[[#This Row],[Start Date]],AO$27&lt;ProposalToGnatt[[#This Row],[Start Date]]+ProposalToGnatt[[#This Row],[Days]]),$G$5,"")),"")</f>
        <v/>
      </c>
      <c r="AP72" s="36" t="str">
        <f ca="1">IFERROR(+IF(AP$27=ProposalToGnatt[[#This Row],[Start Date]],Milestone_Marker,IF(AND(AP$27&gt;ProposalToGnatt[[#This Row],[Start Date]],AP$27&lt;ProposalToGnatt[[#This Row],[Start Date]]+ProposalToGnatt[[#This Row],[Days]]),$G$5,"")),"")</f>
        <v/>
      </c>
      <c r="AQ72" s="36" t="str">
        <f ca="1">IFERROR(+IF(AQ$27=ProposalToGnatt[[#This Row],[Start Date]],Milestone_Marker,IF(AND(AQ$27&gt;ProposalToGnatt[[#This Row],[Start Date]],AQ$27&lt;ProposalToGnatt[[#This Row],[Start Date]]+ProposalToGnatt[[#This Row],[Days]]),$G$5,"")),"")</f>
        <v/>
      </c>
      <c r="AR72" s="36" t="str">
        <f ca="1">IFERROR(+IF(AR$27=ProposalToGnatt[[#This Row],[Start Date]],Milestone_Marker,IF(AND(AR$27&gt;ProposalToGnatt[[#This Row],[Start Date]],AR$27&lt;ProposalToGnatt[[#This Row],[Start Date]]+ProposalToGnatt[[#This Row],[Days]]),$G$5,"")),"")</f>
        <v/>
      </c>
      <c r="AS72" s="36" t="str">
        <f ca="1">IFERROR(+IF(AS$27=ProposalToGnatt[[#This Row],[Start Date]],Milestone_Marker,IF(AND(AS$27&gt;ProposalToGnatt[[#This Row],[Start Date]],AS$27&lt;ProposalToGnatt[[#This Row],[Start Date]]+ProposalToGnatt[[#This Row],[Days]]),$G$5,"")),"")</f>
        <v/>
      </c>
      <c r="AT72" s="36" t="str">
        <f ca="1">IFERROR(+IF(AT$27=ProposalToGnatt[[#This Row],[Start Date]],Milestone_Marker,IF(AND(AT$27&gt;ProposalToGnatt[[#This Row],[Start Date]],AT$27&lt;ProposalToGnatt[[#This Row],[Start Date]]+ProposalToGnatt[[#This Row],[Days]]),$G$5,"")),"")</f>
        <v/>
      </c>
      <c r="AU72" s="36" t="str">
        <f ca="1">IFERROR(+IF(AU$27=ProposalToGnatt[[#This Row],[Start Date]],Milestone_Marker,IF(AND(AU$27&gt;ProposalToGnatt[[#This Row],[Start Date]],AU$27&lt;ProposalToGnatt[[#This Row],[Start Date]]+ProposalToGnatt[[#This Row],[Days]]),$G$5,"")),"")</f>
        <v/>
      </c>
      <c r="AV72" s="36" t="str">
        <f ca="1">IFERROR(+IF(AV$27=ProposalToGnatt[[#This Row],[Start Date]],Milestone_Marker,IF(AND(AV$27&gt;ProposalToGnatt[[#This Row],[Start Date]],AV$27&lt;ProposalToGnatt[[#This Row],[Start Date]]+ProposalToGnatt[[#This Row],[Days]]),$G$5,"")),"")</f>
        <v/>
      </c>
      <c r="AW72" s="36" t="str">
        <f ca="1">IFERROR(+IF(AW$27=ProposalToGnatt[[#This Row],[Start Date]],Milestone_Marker,IF(AND(AW$27&gt;ProposalToGnatt[[#This Row],[Start Date]],AW$27&lt;ProposalToGnatt[[#This Row],[Start Date]]+ProposalToGnatt[[#This Row],[Days]]),$G$5,"")),"")</f>
        <v/>
      </c>
      <c r="AX72" s="36" t="str">
        <f ca="1">IFERROR(+IF(AX$27=ProposalToGnatt[[#This Row],[Start Date]],Milestone_Marker,IF(AND(AX$27&gt;ProposalToGnatt[[#This Row],[Start Date]],AX$27&lt;ProposalToGnatt[[#This Row],[Start Date]]+ProposalToGnatt[[#This Row],[Days]]),$G$5,"")),"")</f>
        <v/>
      </c>
      <c r="AY72" s="36" t="str">
        <f ca="1">IFERROR(+IF(AY$27=ProposalToGnatt[[#This Row],[Start Date]],Milestone_Marker,IF(AND(AY$27&gt;ProposalToGnatt[[#This Row],[Start Date]],AY$27&lt;ProposalToGnatt[[#This Row],[Start Date]]+ProposalToGnatt[[#This Row],[Days]]),$G$5,"")),"")</f>
        <v/>
      </c>
      <c r="AZ72" s="36" t="str">
        <f ca="1">IFERROR(+IF(AZ$27=ProposalToGnatt[[#This Row],[Start Date]],Milestone_Marker,IF(AND(AZ$27&gt;ProposalToGnatt[[#This Row],[Start Date]],AZ$27&lt;ProposalToGnatt[[#This Row],[Start Date]]+ProposalToGnatt[[#This Row],[Days]]),$G$5,"")),"")</f>
        <v/>
      </c>
      <c r="BA72" s="36" t="str">
        <f ca="1">IFERROR(+IF(BA$27=ProposalToGnatt[[#This Row],[Start Date]],Milestone_Marker,IF(AND(BA$27&gt;ProposalToGnatt[[#This Row],[Start Date]],BA$27&lt;ProposalToGnatt[[#This Row],[Start Date]]+ProposalToGnatt[[#This Row],[Days]]),$G$5,"")),"")</f>
        <v/>
      </c>
      <c r="BB72" s="36" t="str">
        <f ca="1">IFERROR(+IF(BB$27=ProposalToGnatt[[#This Row],[Start Date]],Milestone_Marker,IF(AND(BB$27&gt;ProposalToGnatt[[#This Row],[Start Date]],BB$27&lt;ProposalToGnatt[[#This Row],[Start Date]]+ProposalToGnatt[[#This Row],[Days]]),$G$5,"")),"")</f>
        <v/>
      </c>
      <c r="BC72" s="36" t="str">
        <f ca="1">IFERROR(+IF(BC$27=ProposalToGnatt[[#This Row],[Start Date]],Milestone_Marker,IF(AND(BC$27&gt;ProposalToGnatt[[#This Row],[Start Date]],BC$27&lt;ProposalToGnatt[[#This Row],[Start Date]]+ProposalToGnatt[[#This Row],[Days]]),$G$5,"")),"")</f>
        <v/>
      </c>
      <c r="BD72" s="36" t="str">
        <f ca="1">IFERROR(+IF(BD$27=ProposalToGnatt[[#This Row],[Start Date]],Milestone_Marker,IF(AND(BD$27&gt;ProposalToGnatt[[#This Row],[Start Date]],BD$27&lt;ProposalToGnatt[[#This Row],[Start Date]]+ProposalToGnatt[[#This Row],[Days]]),$G$5,"")),"")</f>
        <v/>
      </c>
      <c r="BE72" s="36" t="str">
        <f ca="1">IFERROR(+IF(BE$27=ProposalToGnatt[[#This Row],[Start Date]],Milestone_Marker,IF(AND(BE$27&gt;ProposalToGnatt[[#This Row],[Start Date]],BE$27&lt;ProposalToGnatt[[#This Row],[Start Date]]+ProposalToGnatt[[#This Row],[Days]]),$G$5,"")),"")</f>
        <v/>
      </c>
      <c r="BF72" s="36" t="str">
        <f ca="1">IFERROR(+IF(BF$27=ProposalToGnatt[[#This Row],[Start Date]],Milestone_Marker,IF(AND(BF$27&gt;ProposalToGnatt[[#This Row],[Start Date]],BF$27&lt;ProposalToGnatt[[#This Row],[Start Date]]+ProposalToGnatt[[#This Row],[Days]]),$G$5,"")),"")</f>
        <v/>
      </c>
      <c r="BG72" s="36" t="str">
        <f ca="1">IFERROR(+IF(BG$27=ProposalToGnatt[[#This Row],[Start Date]],Milestone_Marker,IF(AND(BG$27&gt;ProposalToGnatt[[#This Row],[Start Date]],BG$27&lt;ProposalToGnatt[[#This Row],[Start Date]]+ProposalToGnatt[[#This Row],[Days]]),$G$5,"")),"")</f>
        <v/>
      </c>
      <c r="BH72" s="36" t="str">
        <f ca="1">IFERROR(+IF(BH$27=ProposalToGnatt[[#This Row],[Start Date]],Milestone_Marker,IF(AND(BH$27&gt;ProposalToGnatt[[#This Row],[Start Date]],BH$27&lt;ProposalToGnatt[[#This Row],[Start Date]]+ProposalToGnatt[[#This Row],[Days]]),$G$5,"")),"")</f>
        <v/>
      </c>
      <c r="BI72" s="36" t="str">
        <f ca="1">IFERROR(+IF(BI$27=ProposalToGnatt[[#This Row],[Start Date]],Milestone_Marker,IF(AND(BI$27&gt;ProposalToGnatt[[#This Row],[Start Date]],BI$27&lt;ProposalToGnatt[[#This Row],[Start Date]]+ProposalToGnatt[[#This Row],[Days]]),$G$5,"")),"")</f>
        <v/>
      </c>
      <c r="BJ72" s="36" t="str">
        <f ca="1">IFERROR(+IF(BJ$27=ProposalToGnatt[[#This Row],[Start Date]],Milestone_Marker,IF(AND(BJ$27&gt;ProposalToGnatt[[#This Row],[Start Date]],BJ$27&lt;ProposalToGnatt[[#This Row],[Start Date]]+ProposalToGnatt[[#This Row],[Days]]),$G$5,"")),"")</f>
        <v/>
      </c>
      <c r="BK72" s="36" t="str">
        <f ca="1">IFERROR(+IF(BK$27=ProposalToGnatt[[#This Row],[Start Date]],Milestone_Marker,IF(AND(BK$27&gt;ProposalToGnatt[[#This Row],[Start Date]],BK$27&lt;ProposalToGnatt[[#This Row],[Start Date]]+ProposalToGnatt[[#This Row],[Days]]),$G$5,"")),"")</f>
        <v/>
      </c>
      <c r="BL72" s="36" t="str">
        <f ca="1">IFERROR(+IF(BL$27=ProposalToGnatt[[#This Row],[Start Date]],Milestone_Marker,IF(AND(BL$27&gt;ProposalToGnatt[[#This Row],[Start Date]],BL$27&lt;ProposalToGnatt[[#This Row],[Start Date]]+ProposalToGnatt[[#This Row],[Days]]),$G$5,"")),"")</f>
        <v/>
      </c>
      <c r="BM72" s="36" t="str">
        <f ca="1">IFERROR(+IF(BM$27=ProposalToGnatt[[#This Row],[Start Date]],Milestone_Marker,IF(AND(BM$27&gt;ProposalToGnatt[[#This Row],[Start Date]],BM$27&lt;ProposalToGnatt[[#This Row],[Start Date]]+ProposalToGnatt[[#This Row],[Days]]),$G$5,"")),"")</f>
        <v/>
      </c>
      <c r="BN72" s="36" t="str">
        <f ca="1">IFERROR(+IF(BN$27=ProposalToGnatt[[#This Row],[Start Date]],Milestone_Marker,IF(AND(BN$27&gt;ProposalToGnatt[[#This Row],[Start Date]],BN$27&lt;ProposalToGnatt[[#This Row],[Start Date]]+ProposalToGnatt[[#This Row],[Days]]),$G$5,"")),"")</f>
        <v/>
      </c>
      <c r="BO72" s="36" t="str">
        <f ca="1">IFERROR(+IF(BO$27=ProposalToGnatt[[#This Row],[Start Date]],Milestone_Marker,IF(AND(BO$27&gt;ProposalToGnatt[[#This Row],[Start Date]],BO$27&lt;ProposalToGnatt[[#This Row],[Start Date]]+ProposalToGnatt[[#This Row],[Days]]),$G$5,"")),"")</f>
        <v/>
      </c>
      <c r="BP72" s="36" t="str">
        <f ca="1">IFERROR(+IF(BP$27=ProposalToGnatt[[#This Row],[Start Date]],Milestone_Marker,IF(AND(BP$27&gt;ProposalToGnatt[[#This Row],[Start Date]],BP$27&lt;ProposalToGnatt[[#This Row],[Start Date]]+ProposalToGnatt[[#This Row],[Days]]),$G$5,"")),"")</f>
        <v/>
      </c>
      <c r="BQ72" s="36" t="str">
        <f ca="1">IFERROR(+IF(BQ$27=ProposalToGnatt[[#This Row],[Start Date]],Milestone_Marker,IF(AND(BQ$27&gt;ProposalToGnatt[[#This Row],[Start Date]],BQ$27&lt;ProposalToGnatt[[#This Row],[Start Date]]+ProposalToGnatt[[#This Row],[Days]]),$G$5,"")),"")</f>
        <v/>
      </c>
      <c r="BR72" s="36" t="str">
        <f ca="1">IFERROR(+IF(BR$27=ProposalToGnatt[[#This Row],[Start Date]],Milestone_Marker,IF(AND(BR$27&gt;ProposalToGnatt[[#This Row],[Start Date]],BR$27&lt;ProposalToGnatt[[#This Row],[Start Date]]+ProposalToGnatt[[#This Row],[Days]]),$G$5,"")),"")</f>
        <v/>
      </c>
      <c r="BS72" s="36" t="str">
        <f ca="1">IFERROR(+IF(BS$27=ProposalToGnatt[[#This Row],[Start Date]],Milestone_Marker,IF(AND(BS$27&gt;ProposalToGnatt[[#This Row],[Start Date]],BS$27&lt;ProposalToGnatt[[#This Row],[Start Date]]+ProposalToGnatt[[#This Row],[Days]]),$G$5,"")),"")</f>
        <v/>
      </c>
      <c r="BT72" s="36" t="str">
        <f ca="1">IFERROR(+IF(BT$27=ProposalToGnatt[[#This Row],[Start Date]],Milestone_Marker,IF(AND(BT$27&gt;ProposalToGnatt[[#This Row],[Start Date]],BT$27&lt;ProposalToGnatt[[#This Row],[Start Date]]+ProposalToGnatt[[#This Row],[Days]]),$G$5,"")),"")</f>
        <v/>
      </c>
      <c r="BU72" s="36" t="str">
        <f ca="1">IFERROR(+IF(BU$27=ProposalToGnatt[[#This Row],[Start Date]],Milestone_Marker,IF(AND(BU$27&gt;ProposalToGnatt[[#This Row],[Start Date]],BU$27&lt;ProposalToGnatt[[#This Row],[Start Date]]+ProposalToGnatt[[#This Row],[Days]]),$G$5,"")),"")</f>
        <v/>
      </c>
      <c r="BV72" s="36" t="str">
        <f ca="1">IFERROR(+IF(BV$27=ProposalToGnatt[[#This Row],[Start Date]],Milestone_Marker,IF(AND(BV$27&gt;ProposalToGnatt[[#This Row],[Start Date]],BV$27&lt;ProposalToGnatt[[#This Row],[Start Date]]+ProposalToGnatt[[#This Row],[Days]]),$G$5,"")),"")</f>
        <v/>
      </c>
      <c r="BW72" s="36" t="str">
        <f ca="1">IFERROR(+IF(BW$27=ProposalToGnatt[[#This Row],[Start Date]],Milestone_Marker,IF(AND(BW$27&gt;ProposalToGnatt[[#This Row],[Start Date]],BW$27&lt;ProposalToGnatt[[#This Row],[Start Date]]+ProposalToGnatt[[#This Row],[Days]]),$G$5,"")),"")</f>
        <v/>
      </c>
      <c r="BX72" s="36" t="str">
        <f ca="1">IFERROR(+IF(BX$27=ProposalToGnatt[[#This Row],[Start Date]],Milestone_Marker,IF(AND(BX$27&gt;ProposalToGnatt[[#This Row],[Start Date]],BX$27&lt;ProposalToGnatt[[#This Row],[Start Date]]+ProposalToGnatt[[#This Row],[Days]]),$G$5,"")),"")</f>
        <v/>
      </c>
      <c r="BY72" s="36" t="str">
        <f ca="1">IFERROR(+IF(BY$27=ProposalToGnatt[[#This Row],[Start Date]],Milestone_Marker,IF(AND(BY$27&gt;ProposalToGnatt[[#This Row],[Start Date]],BY$27&lt;ProposalToGnatt[[#This Row],[Start Date]]+ProposalToGnatt[[#This Row],[Days]]),$G$5,"")),"")</f>
        <v/>
      </c>
      <c r="BZ72" s="36" t="str">
        <f ca="1">IFERROR(+IF(BZ$27=ProposalToGnatt[[#This Row],[Start Date]],Milestone_Marker,IF(AND(BZ$27&gt;ProposalToGnatt[[#This Row],[Start Date]],BZ$27&lt;ProposalToGnatt[[#This Row],[Start Date]]+ProposalToGnatt[[#This Row],[Days]]),$G$5,"")),"")</f>
        <v/>
      </c>
      <c r="CA72" s="36" t="str">
        <f ca="1">IFERROR(+IF(CA$27=ProposalToGnatt[[#This Row],[Start Date]],Milestone_Marker,IF(AND(CA$27&gt;ProposalToGnatt[[#This Row],[Start Date]],CA$27&lt;ProposalToGnatt[[#This Row],[Start Date]]+ProposalToGnatt[[#This Row],[Days]]),$G$5,"")),"")</f>
        <v/>
      </c>
      <c r="CB72" s="36" t="str">
        <f ca="1">IFERROR(+IF(CB$27=ProposalToGnatt[[#This Row],[Start Date]],Milestone_Marker,IF(AND(CB$27&gt;ProposalToGnatt[[#This Row],[Start Date]],CB$27&lt;ProposalToGnatt[[#This Row],[Start Date]]+ProposalToGnatt[[#This Row],[Days]]),$G$5,"")),"")</f>
        <v/>
      </c>
      <c r="CC72" s="36" t="str">
        <f ca="1">IFERROR(+IF(CC$27=ProposalToGnatt[[#This Row],[Start Date]],Milestone_Marker,IF(AND(CC$27&gt;ProposalToGnatt[[#This Row],[Start Date]],CC$27&lt;ProposalToGnatt[[#This Row],[Start Date]]+ProposalToGnatt[[#This Row],[Days]]),$G$5,"")),"")</f>
        <v/>
      </c>
      <c r="CD72" s="36" t="str">
        <f ca="1">IFERROR(+IF(CD$27=ProposalToGnatt[[#This Row],[Start Date]],Milestone_Marker,IF(AND(CD$27&gt;ProposalToGnatt[[#This Row],[Start Date]],CD$27&lt;ProposalToGnatt[[#This Row],[Start Date]]+ProposalToGnatt[[#This Row],[Days]]),$G$5,"")),"")</f>
        <v/>
      </c>
      <c r="CE72" s="36" t="str">
        <f ca="1">IFERROR(+IF(CE$27=ProposalToGnatt[[#This Row],[Start Date]],Milestone_Marker,IF(AND(CE$27&gt;ProposalToGnatt[[#This Row],[Start Date]],CE$27&lt;ProposalToGnatt[[#This Row],[Start Date]]+ProposalToGnatt[[#This Row],[Days]]),$G$5,"")),"")</f>
        <v/>
      </c>
      <c r="CF72" s="36" t="str">
        <f ca="1">IFERROR(+IF(CF$27=ProposalToGnatt[[#This Row],[Start Date]],Milestone_Marker,IF(AND(CF$27&gt;ProposalToGnatt[[#This Row],[Start Date]],CF$27&lt;ProposalToGnatt[[#This Row],[Start Date]]+ProposalToGnatt[[#This Row],[Days]]),$G$5,"")),"")</f>
        <v/>
      </c>
      <c r="CG72" s="36" t="str">
        <f ca="1">IFERROR(+IF(CG$27=ProposalToGnatt[[#This Row],[Start Date]],Milestone_Marker,IF(AND(CG$27&gt;ProposalToGnatt[[#This Row],[Start Date]],CG$27&lt;ProposalToGnatt[[#This Row],[Start Date]]+ProposalToGnatt[[#This Row],[Days]]),$G$5,"")),"")</f>
        <v/>
      </c>
      <c r="CH72" s="36" t="str">
        <f ca="1">IFERROR(+IF(CH$27=ProposalToGnatt[[#This Row],[Start Date]],Milestone_Marker,IF(AND(CH$27&gt;ProposalToGnatt[[#This Row],[Start Date]],CH$27&lt;ProposalToGnatt[[#This Row],[Start Date]]+ProposalToGnatt[[#This Row],[Days]]),$G$5,"")),"")</f>
        <v/>
      </c>
      <c r="CI72" s="36" t="str">
        <f ca="1">IFERROR(+IF(CI$27=ProposalToGnatt[[#This Row],[Start Date]],Milestone_Marker,IF(AND(CI$27&gt;ProposalToGnatt[[#This Row],[Start Date]],CI$27&lt;ProposalToGnatt[[#This Row],[Start Date]]+ProposalToGnatt[[#This Row],[Days]]),$G$5,"")),"")</f>
        <v/>
      </c>
      <c r="CJ72" s="36" t="str">
        <f ca="1">IFERROR(+IF(CJ$27=ProposalToGnatt[[#This Row],[Start Date]],Milestone_Marker,IF(AND(CJ$27&gt;ProposalToGnatt[[#This Row],[Start Date]],CJ$27&lt;ProposalToGnatt[[#This Row],[Start Date]]+ProposalToGnatt[[#This Row],[Days]]),$G$5,"")),"")</f>
        <v/>
      </c>
      <c r="CK72" s="36" t="str">
        <f ca="1">IFERROR(+IF(CK$27=ProposalToGnatt[[#This Row],[Start Date]],Milestone_Marker,IF(AND(CK$27&gt;ProposalToGnatt[[#This Row],[Start Date]],CK$27&lt;ProposalToGnatt[[#This Row],[Start Date]]+ProposalToGnatt[[#This Row],[Days]]),$G$5,"")),"")</f>
        <v/>
      </c>
      <c r="CL72" s="36" t="str">
        <f ca="1">IFERROR(+IF(CL$27=ProposalToGnatt[[#This Row],[Start Date]],Milestone_Marker,IF(AND(CL$27&gt;ProposalToGnatt[[#This Row],[Start Date]],CL$27&lt;ProposalToGnatt[[#This Row],[Start Date]]+ProposalToGnatt[[#This Row],[Days]]),$G$5,"")),"")</f>
        <v/>
      </c>
      <c r="CM72" s="36" t="str">
        <f ca="1">IFERROR(+IF(CM$27=ProposalToGnatt[[#This Row],[Start Date]],Milestone_Marker,IF(AND(CM$27&gt;ProposalToGnatt[[#This Row],[Start Date]],CM$27&lt;ProposalToGnatt[[#This Row],[Start Date]]+ProposalToGnatt[[#This Row],[Days]]),$G$5,"")),"")</f>
        <v/>
      </c>
      <c r="CN72" s="36" t="str">
        <f ca="1">IFERROR(+IF(CN$27=ProposalToGnatt[[#This Row],[Start Date]],Milestone_Marker,IF(AND(CN$27&gt;ProposalToGnatt[[#This Row],[Start Date]],CN$27&lt;ProposalToGnatt[[#This Row],[Start Date]]+ProposalToGnatt[[#This Row],[Days]]),$G$5,"")),"")</f>
        <v/>
      </c>
      <c r="CO72" s="36" t="str">
        <f ca="1">IFERROR(+IF(CO$27=ProposalToGnatt[[#This Row],[Start Date]],Milestone_Marker,IF(AND(CO$27&gt;ProposalToGnatt[[#This Row],[Start Date]],CO$27&lt;ProposalToGnatt[[#This Row],[Start Date]]+ProposalToGnatt[[#This Row],[Days]]),$G$5,"")),"")</f>
        <v/>
      </c>
      <c r="CP72" s="36" t="str">
        <f ca="1">IFERROR(+IF(CP$27=ProposalToGnatt[[#This Row],[Start Date]],Milestone_Marker,IF(AND(CP$27&gt;ProposalToGnatt[[#This Row],[Start Date]],CP$27&lt;ProposalToGnatt[[#This Row],[Start Date]]+ProposalToGnatt[[#This Row],[Days]]),$G$5,"")),"")</f>
        <v/>
      </c>
      <c r="CQ72" s="36" t="str">
        <f ca="1">IFERROR(+IF(CQ$27=ProposalToGnatt[[#This Row],[Start Date]],Milestone_Marker,IF(AND(CQ$27&gt;ProposalToGnatt[[#This Row],[Start Date]],CQ$27&lt;ProposalToGnatt[[#This Row],[Start Date]]+ProposalToGnatt[[#This Row],[Days]]),$G$5,"")),"")</f>
        <v/>
      </c>
      <c r="CR72" s="36" t="str">
        <f ca="1">IFERROR(+IF(CR$27=ProposalToGnatt[[#This Row],[Start Date]],Milestone_Marker,IF(AND(CR$27&gt;ProposalToGnatt[[#This Row],[Start Date]],CR$27&lt;ProposalToGnatt[[#This Row],[Start Date]]+ProposalToGnatt[[#This Row],[Days]]),$G$5,"")),"")</f>
        <v/>
      </c>
      <c r="CS72" s="36" t="str">
        <f ca="1">IFERROR(+IF(CS$27=ProposalToGnatt[[#This Row],[Start Date]],Milestone_Marker,IF(AND(CS$27&gt;ProposalToGnatt[[#This Row],[Start Date]],CS$27&lt;ProposalToGnatt[[#This Row],[Start Date]]+ProposalToGnatt[[#This Row],[Days]]),$G$5,"")),"")</f>
        <v/>
      </c>
      <c r="CT72" s="36" t="str">
        <f ca="1">IFERROR(+IF(CT$27=ProposalToGnatt[[#This Row],[Start Date]],Milestone_Marker,IF(AND(CT$27&gt;ProposalToGnatt[[#This Row],[Start Date]],CT$27&lt;ProposalToGnatt[[#This Row],[Start Date]]+ProposalToGnatt[[#This Row],[Days]]),$G$5,"")),"")</f>
        <v/>
      </c>
      <c r="CU72" s="36" t="str">
        <f ca="1">IFERROR(+IF(CU$27=ProposalToGnatt[[#This Row],[Start Date]],Milestone_Marker,IF(AND(CU$27&gt;ProposalToGnatt[[#This Row],[Start Date]],CU$27&lt;ProposalToGnatt[[#This Row],[Start Date]]+ProposalToGnatt[[#This Row],[Days]]),$G$5,"")),"")</f>
        <v/>
      </c>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row>
    <row r="73" spans="1:125" ht="15" x14ac:dyDescent="0.25">
      <c r="A73"/>
      <c r="B73"/>
      <c r="C73"/>
      <c r="D73"/>
      <c r="E73"/>
      <c r="F73"/>
      <c r="G73" s="14"/>
      <c r="H73" s="14"/>
      <c r="I73"/>
      <c r="J73"/>
      <c r="K73" s="261"/>
      <c r="L73"/>
      <c r="M73" s="14"/>
      <c r="N73" s="309"/>
      <c r="O73" s="297"/>
      <c r="P73" s="36" t="str">
        <f ca="1">IFERROR(+IF(P$27=ProposalToGnatt[[#This Row],[Start Date]],Milestone_Marker,IF(AND(P$27&gt;ProposalToGnatt[[#This Row],[Start Date]],P$27&lt;ProposalToGnatt[[#This Row],[Start Date]]+ProposalToGnatt[[#This Row],[Days]]),$G$5,"")),"")</f>
        <v/>
      </c>
      <c r="Q73" s="36" t="str">
        <f ca="1">IFERROR(+IF(Q$27=ProposalToGnatt[[#This Row],[Start Date]],Milestone_Marker,IF(AND(Q$27&gt;ProposalToGnatt[[#This Row],[Start Date]],Q$27&lt;ProposalToGnatt[[#This Row],[Start Date]]+ProposalToGnatt[[#This Row],[Days]]),$G$5,"")),"")</f>
        <v/>
      </c>
      <c r="R73" s="36" t="str">
        <f ca="1">IFERROR(+IF(R$27=ProposalToGnatt[[#This Row],[Start Date]],Milestone_Marker,IF(AND(R$27&gt;ProposalToGnatt[[#This Row],[Start Date]],R$27&lt;ProposalToGnatt[[#This Row],[Start Date]]+ProposalToGnatt[[#This Row],[Days]]),$G$5,"")),"")</f>
        <v/>
      </c>
      <c r="S73" s="36" t="str">
        <f ca="1">IFERROR(+IF(S$27=ProposalToGnatt[[#This Row],[Start Date]],Milestone_Marker,IF(AND(S$27&gt;ProposalToGnatt[[#This Row],[Start Date]],S$27&lt;ProposalToGnatt[[#This Row],[Start Date]]+ProposalToGnatt[[#This Row],[Days]]),$G$5,"")),"")</f>
        <v/>
      </c>
      <c r="T73" s="36" t="str">
        <f ca="1">IFERROR(+IF(T$27=ProposalToGnatt[[#This Row],[Start Date]],Milestone_Marker,IF(AND(T$27&gt;ProposalToGnatt[[#This Row],[Start Date]],T$27&lt;ProposalToGnatt[[#This Row],[Start Date]]+ProposalToGnatt[[#This Row],[Days]]),$G$5,"")),"")</f>
        <v/>
      </c>
      <c r="U73" s="36" t="str">
        <f ca="1">IFERROR(+IF(U$27=ProposalToGnatt[[#This Row],[Start Date]],Milestone_Marker,IF(AND(U$27&gt;ProposalToGnatt[[#This Row],[Start Date]],U$27&lt;ProposalToGnatt[[#This Row],[Start Date]]+ProposalToGnatt[[#This Row],[Days]]),$G$5,"")),"")</f>
        <v/>
      </c>
      <c r="V73" s="36" t="str">
        <f ca="1">IFERROR(+IF(V$27=ProposalToGnatt[[#This Row],[Start Date]],Milestone_Marker,IF(AND(V$27&gt;ProposalToGnatt[[#This Row],[Start Date]],V$27&lt;ProposalToGnatt[[#This Row],[Start Date]]+ProposalToGnatt[[#This Row],[Days]]),$G$5,"")),"")</f>
        <v/>
      </c>
      <c r="W73" s="36" t="str">
        <f ca="1">IFERROR(+IF(W$27=ProposalToGnatt[[#This Row],[Start Date]],Milestone_Marker,IF(AND(W$27&gt;ProposalToGnatt[[#This Row],[Start Date]],W$27&lt;ProposalToGnatt[[#This Row],[Start Date]]+ProposalToGnatt[[#This Row],[Days]]),$G$5,"")),"")</f>
        <v/>
      </c>
      <c r="X73" s="36" t="str">
        <f ca="1">IFERROR(+IF(X$27=ProposalToGnatt[[#This Row],[Start Date]],Milestone_Marker,IF(AND(X$27&gt;ProposalToGnatt[[#This Row],[Start Date]],X$27&lt;ProposalToGnatt[[#This Row],[Start Date]]+ProposalToGnatt[[#This Row],[Days]]),$G$5,"")),"")</f>
        <v/>
      </c>
      <c r="Y73" s="36" t="str">
        <f ca="1">IFERROR(+IF(Y$27=ProposalToGnatt[[#This Row],[Start Date]],Milestone_Marker,IF(AND(Y$27&gt;ProposalToGnatt[[#This Row],[Start Date]],Y$27&lt;ProposalToGnatt[[#This Row],[Start Date]]+ProposalToGnatt[[#This Row],[Days]]),$G$5,"")),"")</f>
        <v/>
      </c>
      <c r="Z73" s="36" t="str">
        <f ca="1">IFERROR(+IF(Z$27=ProposalToGnatt[[#This Row],[Start Date]],Milestone_Marker,IF(AND(Z$27&gt;ProposalToGnatt[[#This Row],[Start Date]],Z$27&lt;ProposalToGnatt[[#This Row],[Start Date]]+ProposalToGnatt[[#This Row],[Days]]),$G$5,"")),"")</f>
        <v/>
      </c>
      <c r="AA73" s="36" t="str">
        <f ca="1">IFERROR(+IF(AA$27=ProposalToGnatt[[#This Row],[Start Date]],Milestone_Marker,IF(AND(AA$27&gt;ProposalToGnatt[[#This Row],[Start Date]],AA$27&lt;ProposalToGnatt[[#This Row],[Start Date]]+ProposalToGnatt[[#This Row],[Days]]),$G$5,"")),"")</f>
        <v/>
      </c>
      <c r="AB73" s="36" t="str">
        <f ca="1">IFERROR(+IF(AB$27=ProposalToGnatt[[#This Row],[Start Date]],Milestone_Marker,IF(AND(AB$27&gt;ProposalToGnatt[[#This Row],[Start Date]],AB$27&lt;ProposalToGnatt[[#This Row],[Start Date]]+ProposalToGnatt[[#This Row],[Days]]),$G$5,"")),"")</f>
        <v/>
      </c>
      <c r="AC73" s="36" t="str">
        <f ca="1">IFERROR(+IF(AC$27=ProposalToGnatt[[#This Row],[Start Date]],Milestone_Marker,IF(AND(AC$27&gt;ProposalToGnatt[[#This Row],[Start Date]],AC$27&lt;ProposalToGnatt[[#This Row],[Start Date]]+ProposalToGnatt[[#This Row],[Days]]),$G$5,"")),"")</f>
        <v/>
      </c>
      <c r="AD73" s="36" t="str">
        <f ca="1">IFERROR(+IF(AD$27=ProposalToGnatt[[#This Row],[Start Date]],Milestone_Marker,IF(AND(AD$27&gt;ProposalToGnatt[[#This Row],[Start Date]],AD$27&lt;ProposalToGnatt[[#This Row],[Start Date]]+ProposalToGnatt[[#This Row],[Days]]),$G$5,"")),"")</f>
        <v/>
      </c>
      <c r="AE73" s="36" t="str">
        <f ca="1">IFERROR(+IF(AE$27=ProposalToGnatt[[#This Row],[Start Date]],Milestone_Marker,IF(AND(AE$27&gt;ProposalToGnatt[[#This Row],[Start Date]],AE$27&lt;ProposalToGnatt[[#This Row],[Start Date]]+ProposalToGnatt[[#This Row],[Days]]),$G$5,"")),"")</f>
        <v/>
      </c>
      <c r="AF73" s="36" t="str">
        <f ca="1">IFERROR(+IF(AF$27=ProposalToGnatt[[#This Row],[Start Date]],Milestone_Marker,IF(AND(AF$27&gt;ProposalToGnatt[[#This Row],[Start Date]],AF$27&lt;ProposalToGnatt[[#This Row],[Start Date]]+ProposalToGnatt[[#This Row],[Days]]),$G$5,"")),"")</f>
        <v/>
      </c>
      <c r="AG73" s="36" t="str">
        <f ca="1">IFERROR(+IF(AG$27=ProposalToGnatt[[#This Row],[Start Date]],Milestone_Marker,IF(AND(AG$27&gt;ProposalToGnatt[[#This Row],[Start Date]],AG$27&lt;ProposalToGnatt[[#This Row],[Start Date]]+ProposalToGnatt[[#This Row],[Days]]),$G$5,"")),"")</f>
        <v/>
      </c>
      <c r="AH73" s="36" t="str">
        <f ca="1">IFERROR(+IF(AH$27=ProposalToGnatt[[#This Row],[Start Date]],Milestone_Marker,IF(AND(AH$27&gt;ProposalToGnatt[[#This Row],[Start Date]],AH$27&lt;ProposalToGnatt[[#This Row],[Start Date]]+ProposalToGnatt[[#This Row],[Days]]),$G$5,"")),"")</f>
        <v/>
      </c>
      <c r="AI73" s="36" t="str">
        <f ca="1">IFERROR(+IF(AI$27=ProposalToGnatt[[#This Row],[Start Date]],Milestone_Marker,IF(AND(AI$27&gt;ProposalToGnatt[[#This Row],[Start Date]],AI$27&lt;ProposalToGnatt[[#This Row],[Start Date]]+ProposalToGnatt[[#This Row],[Days]]),$G$5,"")),"")</f>
        <v/>
      </c>
      <c r="AJ73" s="36" t="str">
        <f ca="1">IFERROR(+IF(AJ$27=ProposalToGnatt[[#This Row],[Start Date]],Milestone_Marker,IF(AND(AJ$27&gt;ProposalToGnatt[[#This Row],[Start Date]],AJ$27&lt;ProposalToGnatt[[#This Row],[Start Date]]+ProposalToGnatt[[#This Row],[Days]]),$G$5,"")),"")</f>
        <v/>
      </c>
      <c r="AK73" s="36" t="str">
        <f ca="1">IFERROR(+IF(AK$27=ProposalToGnatt[[#This Row],[Start Date]],Milestone_Marker,IF(AND(AK$27&gt;ProposalToGnatt[[#This Row],[Start Date]],AK$27&lt;ProposalToGnatt[[#This Row],[Start Date]]+ProposalToGnatt[[#This Row],[Days]]),$G$5,"")),"")</f>
        <v/>
      </c>
      <c r="AL73" s="36" t="str">
        <f ca="1">IFERROR(+IF(AL$27=ProposalToGnatt[[#This Row],[Start Date]],Milestone_Marker,IF(AND(AL$27&gt;ProposalToGnatt[[#This Row],[Start Date]],AL$27&lt;ProposalToGnatt[[#This Row],[Start Date]]+ProposalToGnatt[[#This Row],[Days]]),$G$5,"")),"")</f>
        <v/>
      </c>
      <c r="AM73" s="36" t="str">
        <f ca="1">IFERROR(+IF(AM$27=ProposalToGnatt[[#This Row],[Start Date]],Milestone_Marker,IF(AND(AM$27&gt;ProposalToGnatt[[#This Row],[Start Date]],AM$27&lt;ProposalToGnatt[[#This Row],[Start Date]]+ProposalToGnatt[[#This Row],[Days]]),$G$5,"")),"")</f>
        <v/>
      </c>
      <c r="AN73" s="36" t="str">
        <f ca="1">IFERROR(+IF(AN$27=ProposalToGnatt[[#This Row],[Start Date]],Milestone_Marker,IF(AND(AN$27&gt;ProposalToGnatt[[#This Row],[Start Date]],AN$27&lt;ProposalToGnatt[[#This Row],[Start Date]]+ProposalToGnatt[[#This Row],[Days]]),$G$5,"")),"")</f>
        <v/>
      </c>
      <c r="AO73" s="36" t="str">
        <f ca="1">IFERROR(+IF(AO$27=ProposalToGnatt[[#This Row],[Start Date]],Milestone_Marker,IF(AND(AO$27&gt;ProposalToGnatt[[#This Row],[Start Date]],AO$27&lt;ProposalToGnatt[[#This Row],[Start Date]]+ProposalToGnatt[[#This Row],[Days]]),$G$5,"")),"")</f>
        <v/>
      </c>
      <c r="AP73" s="36" t="str">
        <f ca="1">IFERROR(+IF(AP$27=ProposalToGnatt[[#This Row],[Start Date]],Milestone_Marker,IF(AND(AP$27&gt;ProposalToGnatt[[#This Row],[Start Date]],AP$27&lt;ProposalToGnatt[[#This Row],[Start Date]]+ProposalToGnatt[[#This Row],[Days]]),$G$5,"")),"")</f>
        <v/>
      </c>
      <c r="AQ73" s="36" t="str">
        <f ca="1">IFERROR(+IF(AQ$27=ProposalToGnatt[[#This Row],[Start Date]],Milestone_Marker,IF(AND(AQ$27&gt;ProposalToGnatt[[#This Row],[Start Date]],AQ$27&lt;ProposalToGnatt[[#This Row],[Start Date]]+ProposalToGnatt[[#This Row],[Days]]),$G$5,"")),"")</f>
        <v/>
      </c>
      <c r="AR73" s="36" t="str">
        <f ca="1">IFERROR(+IF(AR$27=ProposalToGnatt[[#This Row],[Start Date]],Milestone_Marker,IF(AND(AR$27&gt;ProposalToGnatt[[#This Row],[Start Date]],AR$27&lt;ProposalToGnatt[[#This Row],[Start Date]]+ProposalToGnatt[[#This Row],[Days]]),$G$5,"")),"")</f>
        <v/>
      </c>
      <c r="AS73" s="36" t="str">
        <f ca="1">IFERROR(+IF(AS$27=ProposalToGnatt[[#This Row],[Start Date]],Milestone_Marker,IF(AND(AS$27&gt;ProposalToGnatt[[#This Row],[Start Date]],AS$27&lt;ProposalToGnatt[[#This Row],[Start Date]]+ProposalToGnatt[[#This Row],[Days]]),$G$5,"")),"")</f>
        <v/>
      </c>
      <c r="AT73" s="36" t="str">
        <f ca="1">IFERROR(+IF(AT$27=ProposalToGnatt[[#This Row],[Start Date]],Milestone_Marker,IF(AND(AT$27&gt;ProposalToGnatt[[#This Row],[Start Date]],AT$27&lt;ProposalToGnatt[[#This Row],[Start Date]]+ProposalToGnatt[[#This Row],[Days]]),$G$5,"")),"")</f>
        <v/>
      </c>
      <c r="AU73" s="36" t="str">
        <f ca="1">IFERROR(+IF(AU$27=ProposalToGnatt[[#This Row],[Start Date]],Milestone_Marker,IF(AND(AU$27&gt;ProposalToGnatt[[#This Row],[Start Date]],AU$27&lt;ProposalToGnatt[[#This Row],[Start Date]]+ProposalToGnatt[[#This Row],[Days]]),$G$5,"")),"")</f>
        <v/>
      </c>
      <c r="AV73" s="36" t="str">
        <f ca="1">IFERROR(+IF(AV$27=ProposalToGnatt[[#This Row],[Start Date]],Milestone_Marker,IF(AND(AV$27&gt;ProposalToGnatt[[#This Row],[Start Date]],AV$27&lt;ProposalToGnatt[[#This Row],[Start Date]]+ProposalToGnatt[[#This Row],[Days]]),$G$5,"")),"")</f>
        <v/>
      </c>
      <c r="AW73" s="36" t="str">
        <f ca="1">IFERROR(+IF(AW$27=ProposalToGnatt[[#This Row],[Start Date]],Milestone_Marker,IF(AND(AW$27&gt;ProposalToGnatt[[#This Row],[Start Date]],AW$27&lt;ProposalToGnatt[[#This Row],[Start Date]]+ProposalToGnatt[[#This Row],[Days]]),$G$5,"")),"")</f>
        <v/>
      </c>
      <c r="AX73" s="36" t="str">
        <f ca="1">IFERROR(+IF(AX$27=ProposalToGnatt[[#This Row],[Start Date]],Milestone_Marker,IF(AND(AX$27&gt;ProposalToGnatt[[#This Row],[Start Date]],AX$27&lt;ProposalToGnatt[[#This Row],[Start Date]]+ProposalToGnatt[[#This Row],[Days]]),$G$5,"")),"")</f>
        <v/>
      </c>
      <c r="AY73" s="36" t="str">
        <f ca="1">IFERROR(+IF(AY$27=ProposalToGnatt[[#This Row],[Start Date]],Milestone_Marker,IF(AND(AY$27&gt;ProposalToGnatt[[#This Row],[Start Date]],AY$27&lt;ProposalToGnatt[[#This Row],[Start Date]]+ProposalToGnatt[[#This Row],[Days]]),$G$5,"")),"")</f>
        <v/>
      </c>
      <c r="AZ73" s="36" t="str">
        <f ca="1">IFERROR(+IF(AZ$27=ProposalToGnatt[[#This Row],[Start Date]],Milestone_Marker,IF(AND(AZ$27&gt;ProposalToGnatt[[#This Row],[Start Date]],AZ$27&lt;ProposalToGnatt[[#This Row],[Start Date]]+ProposalToGnatt[[#This Row],[Days]]),$G$5,"")),"")</f>
        <v/>
      </c>
      <c r="BA73" s="36" t="str">
        <f ca="1">IFERROR(+IF(BA$27=ProposalToGnatt[[#This Row],[Start Date]],Milestone_Marker,IF(AND(BA$27&gt;ProposalToGnatt[[#This Row],[Start Date]],BA$27&lt;ProposalToGnatt[[#This Row],[Start Date]]+ProposalToGnatt[[#This Row],[Days]]),$G$5,"")),"")</f>
        <v/>
      </c>
      <c r="BB73" s="36" t="str">
        <f ca="1">IFERROR(+IF(BB$27=ProposalToGnatt[[#This Row],[Start Date]],Milestone_Marker,IF(AND(BB$27&gt;ProposalToGnatt[[#This Row],[Start Date]],BB$27&lt;ProposalToGnatt[[#This Row],[Start Date]]+ProposalToGnatt[[#This Row],[Days]]),$G$5,"")),"")</f>
        <v/>
      </c>
      <c r="BC73" s="36" t="str">
        <f ca="1">IFERROR(+IF(BC$27=ProposalToGnatt[[#This Row],[Start Date]],Milestone_Marker,IF(AND(BC$27&gt;ProposalToGnatt[[#This Row],[Start Date]],BC$27&lt;ProposalToGnatt[[#This Row],[Start Date]]+ProposalToGnatt[[#This Row],[Days]]),$G$5,"")),"")</f>
        <v/>
      </c>
      <c r="BD73" s="36" t="str">
        <f ca="1">IFERROR(+IF(BD$27=ProposalToGnatt[[#This Row],[Start Date]],Milestone_Marker,IF(AND(BD$27&gt;ProposalToGnatt[[#This Row],[Start Date]],BD$27&lt;ProposalToGnatt[[#This Row],[Start Date]]+ProposalToGnatt[[#This Row],[Days]]),$G$5,"")),"")</f>
        <v/>
      </c>
      <c r="BE73" s="36" t="str">
        <f ca="1">IFERROR(+IF(BE$27=ProposalToGnatt[[#This Row],[Start Date]],Milestone_Marker,IF(AND(BE$27&gt;ProposalToGnatt[[#This Row],[Start Date]],BE$27&lt;ProposalToGnatt[[#This Row],[Start Date]]+ProposalToGnatt[[#This Row],[Days]]),$G$5,"")),"")</f>
        <v/>
      </c>
      <c r="BF73" s="36" t="str">
        <f ca="1">IFERROR(+IF(BF$27=ProposalToGnatt[[#This Row],[Start Date]],Milestone_Marker,IF(AND(BF$27&gt;ProposalToGnatt[[#This Row],[Start Date]],BF$27&lt;ProposalToGnatt[[#This Row],[Start Date]]+ProposalToGnatt[[#This Row],[Days]]),$G$5,"")),"")</f>
        <v/>
      </c>
      <c r="BG73" s="36" t="str">
        <f ca="1">IFERROR(+IF(BG$27=ProposalToGnatt[[#This Row],[Start Date]],Milestone_Marker,IF(AND(BG$27&gt;ProposalToGnatt[[#This Row],[Start Date]],BG$27&lt;ProposalToGnatt[[#This Row],[Start Date]]+ProposalToGnatt[[#This Row],[Days]]),$G$5,"")),"")</f>
        <v/>
      </c>
      <c r="BH73" s="36" t="str">
        <f ca="1">IFERROR(+IF(BH$27=ProposalToGnatt[[#This Row],[Start Date]],Milestone_Marker,IF(AND(BH$27&gt;ProposalToGnatt[[#This Row],[Start Date]],BH$27&lt;ProposalToGnatt[[#This Row],[Start Date]]+ProposalToGnatt[[#This Row],[Days]]),$G$5,"")),"")</f>
        <v/>
      </c>
      <c r="BI73" s="36" t="str">
        <f ca="1">IFERROR(+IF(BI$27=ProposalToGnatt[[#This Row],[Start Date]],Milestone_Marker,IF(AND(BI$27&gt;ProposalToGnatt[[#This Row],[Start Date]],BI$27&lt;ProposalToGnatt[[#This Row],[Start Date]]+ProposalToGnatt[[#This Row],[Days]]),$G$5,"")),"")</f>
        <v/>
      </c>
      <c r="BJ73" s="36" t="str">
        <f ca="1">IFERROR(+IF(BJ$27=ProposalToGnatt[[#This Row],[Start Date]],Milestone_Marker,IF(AND(BJ$27&gt;ProposalToGnatt[[#This Row],[Start Date]],BJ$27&lt;ProposalToGnatt[[#This Row],[Start Date]]+ProposalToGnatt[[#This Row],[Days]]),$G$5,"")),"")</f>
        <v/>
      </c>
      <c r="BK73" s="36" t="str">
        <f ca="1">IFERROR(+IF(BK$27=ProposalToGnatt[[#This Row],[Start Date]],Milestone_Marker,IF(AND(BK$27&gt;ProposalToGnatt[[#This Row],[Start Date]],BK$27&lt;ProposalToGnatt[[#This Row],[Start Date]]+ProposalToGnatt[[#This Row],[Days]]),$G$5,"")),"")</f>
        <v/>
      </c>
      <c r="BL73" s="36" t="str">
        <f ca="1">IFERROR(+IF(BL$27=ProposalToGnatt[[#This Row],[Start Date]],Milestone_Marker,IF(AND(BL$27&gt;ProposalToGnatt[[#This Row],[Start Date]],BL$27&lt;ProposalToGnatt[[#This Row],[Start Date]]+ProposalToGnatt[[#This Row],[Days]]),$G$5,"")),"")</f>
        <v/>
      </c>
      <c r="BM73" s="36" t="str">
        <f ca="1">IFERROR(+IF(BM$27=ProposalToGnatt[[#This Row],[Start Date]],Milestone_Marker,IF(AND(BM$27&gt;ProposalToGnatt[[#This Row],[Start Date]],BM$27&lt;ProposalToGnatt[[#This Row],[Start Date]]+ProposalToGnatt[[#This Row],[Days]]),$G$5,"")),"")</f>
        <v/>
      </c>
      <c r="BN73" s="36" t="str">
        <f ca="1">IFERROR(+IF(BN$27=ProposalToGnatt[[#This Row],[Start Date]],Milestone_Marker,IF(AND(BN$27&gt;ProposalToGnatt[[#This Row],[Start Date]],BN$27&lt;ProposalToGnatt[[#This Row],[Start Date]]+ProposalToGnatt[[#This Row],[Days]]),$G$5,"")),"")</f>
        <v/>
      </c>
      <c r="BO73" s="36" t="str">
        <f ca="1">IFERROR(+IF(BO$27=ProposalToGnatt[[#This Row],[Start Date]],Milestone_Marker,IF(AND(BO$27&gt;ProposalToGnatt[[#This Row],[Start Date]],BO$27&lt;ProposalToGnatt[[#This Row],[Start Date]]+ProposalToGnatt[[#This Row],[Days]]),$G$5,"")),"")</f>
        <v/>
      </c>
      <c r="BP73" s="36" t="str">
        <f ca="1">IFERROR(+IF(BP$27=ProposalToGnatt[[#This Row],[Start Date]],Milestone_Marker,IF(AND(BP$27&gt;ProposalToGnatt[[#This Row],[Start Date]],BP$27&lt;ProposalToGnatt[[#This Row],[Start Date]]+ProposalToGnatt[[#This Row],[Days]]),$G$5,"")),"")</f>
        <v/>
      </c>
      <c r="BQ73" s="36" t="str">
        <f ca="1">IFERROR(+IF(BQ$27=ProposalToGnatt[[#This Row],[Start Date]],Milestone_Marker,IF(AND(BQ$27&gt;ProposalToGnatt[[#This Row],[Start Date]],BQ$27&lt;ProposalToGnatt[[#This Row],[Start Date]]+ProposalToGnatt[[#This Row],[Days]]),$G$5,"")),"")</f>
        <v/>
      </c>
      <c r="BR73" s="36" t="str">
        <f ca="1">IFERROR(+IF(BR$27=ProposalToGnatt[[#This Row],[Start Date]],Milestone_Marker,IF(AND(BR$27&gt;ProposalToGnatt[[#This Row],[Start Date]],BR$27&lt;ProposalToGnatt[[#This Row],[Start Date]]+ProposalToGnatt[[#This Row],[Days]]),$G$5,"")),"")</f>
        <v/>
      </c>
      <c r="BS73" s="36" t="str">
        <f ca="1">IFERROR(+IF(BS$27=ProposalToGnatt[[#This Row],[Start Date]],Milestone_Marker,IF(AND(BS$27&gt;ProposalToGnatt[[#This Row],[Start Date]],BS$27&lt;ProposalToGnatt[[#This Row],[Start Date]]+ProposalToGnatt[[#This Row],[Days]]),$G$5,"")),"")</f>
        <v/>
      </c>
      <c r="BT73" s="36" t="str">
        <f ca="1">IFERROR(+IF(BT$27=ProposalToGnatt[[#This Row],[Start Date]],Milestone_Marker,IF(AND(BT$27&gt;ProposalToGnatt[[#This Row],[Start Date]],BT$27&lt;ProposalToGnatt[[#This Row],[Start Date]]+ProposalToGnatt[[#This Row],[Days]]),$G$5,"")),"")</f>
        <v/>
      </c>
      <c r="BU73" s="36" t="str">
        <f ca="1">IFERROR(+IF(BU$27=ProposalToGnatt[[#This Row],[Start Date]],Milestone_Marker,IF(AND(BU$27&gt;ProposalToGnatt[[#This Row],[Start Date]],BU$27&lt;ProposalToGnatt[[#This Row],[Start Date]]+ProposalToGnatt[[#This Row],[Days]]),$G$5,"")),"")</f>
        <v/>
      </c>
      <c r="BV73" s="36" t="str">
        <f ca="1">IFERROR(+IF(BV$27=ProposalToGnatt[[#This Row],[Start Date]],Milestone_Marker,IF(AND(BV$27&gt;ProposalToGnatt[[#This Row],[Start Date]],BV$27&lt;ProposalToGnatt[[#This Row],[Start Date]]+ProposalToGnatt[[#This Row],[Days]]),$G$5,"")),"")</f>
        <v/>
      </c>
      <c r="BW73" s="36" t="str">
        <f ca="1">IFERROR(+IF(BW$27=ProposalToGnatt[[#This Row],[Start Date]],Milestone_Marker,IF(AND(BW$27&gt;ProposalToGnatt[[#This Row],[Start Date]],BW$27&lt;ProposalToGnatt[[#This Row],[Start Date]]+ProposalToGnatt[[#This Row],[Days]]),$G$5,"")),"")</f>
        <v/>
      </c>
      <c r="BX73" s="36" t="str">
        <f ca="1">IFERROR(+IF(BX$27=ProposalToGnatt[[#This Row],[Start Date]],Milestone_Marker,IF(AND(BX$27&gt;ProposalToGnatt[[#This Row],[Start Date]],BX$27&lt;ProposalToGnatt[[#This Row],[Start Date]]+ProposalToGnatt[[#This Row],[Days]]),$G$5,"")),"")</f>
        <v/>
      </c>
      <c r="BY73" s="36" t="str">
        <f ca="1">IFERROR(+IF(BY$27=ProposalToGnatt[[#This Row],[Start Date]],Milestone_Marker,IF(AND(BY$27&gt;ProposalToGnatt[[#This Row],[Start Date]],BY$27&lt;ProposalToGnatt[[#This Row],[Start Date]]+ProposalToGnatt[[#This Row],[Days]]),$G$5,"")),"")</f>
        <v/>
      </c>
      <c r="BZ73" s="36" t="str">
        <f ca="1">IFERROR(+IF(BZ$27=ProposalToGnatt[[#This Row],[Start Date]],Milestone_Marker,IF(AND(BZ$27&gt;ProposalToGnatt[[#This Row],[Start Date]],BZ$27&lt;ProposalToGnatt[[#This Row],[Start Date]]+ProposalToGnatt[[#This Row],[Days]]),$G$5,"")),"")</f>
        <v/>
      </c>
      <c r="CA73" s="36" t="str">
        <f ca="1">IFERROR(+IF(CA$27=ProposalToGnatt[[#This Row],[Start Date]],Milestone_Marker,IF(AND(CA$27&gt;ProposalToGnatt[[#This Row],[Start Date]],CA$27&lt;ProposalToGnatt[[#This Row],[Start Date]]+ProposalToGnatt[[#This Row],[Days]]),$G$5,"")),"")</f>
        <v/>
      </c>
      <c r="CB73" s="36" t="str">
        <f ca="1">IFERROR(+IF(CB$27=ProposalToGnatt[[#This Row],[Start Date]],Milestone_Marker,IF(AND(CB$27&gt;ProposalToGnatt[[#This Row],[Start Date]],CB$27&lt;ProposalToGnatt[[#This Row],[Start Date]]+ProposalToGnatt[[#This Row],[Days]]),$G$5,"")),"")</f>
        <v/>
      </c>
      <c r="CC73" s="36" t="str">
        <f ca="1">IFERROR(+IF(CC$27=ProposalToGnatt[[#This Row],[Start Date]],Milestone_Marker,IF(AND(CC$27&gt;ProposalToGnatt[[#This Row],[Start Date]],CC$27&lt;ProposalToGnatt[[#This Row],[Start Date]]+ProposalToGnatt[[#This Row],[Days]]),$G$5,"")),"")</f>
        <v/>
      </c>
      <c r="CD73" s="36" t="str">
        <f ca="1">IFERROR(+IF(CD$27=ProposalToGnatt[[#This Row],[Start Date]],Milestone_Marker,IF(AND(CD$27&gt;ProposalToGnatt[[#This Row],[Start Date]],CD$27&lt;ProposalToGnatt[[#This Row],[Start Date]]+ProposalToGnatt[[#This Row],[Days]]),$G$5,"")),"")</f>
        <v/>
      </c>
      <c r="CE73" s="36" t="str">
        <f ca="1">IFERROR(+IF(CE$27=ProposalToGnatt[[#This Row],[Start Date]],Milestone_Marker,IF(AND(CE$27&gt;ProposalToGnatt[[#This Row],[Start Date]],CE$27&lt;ProposalToGnatt[[#This Row],[Start Date]]+ProposalToGnatt[[#This Row],[Days]]),$G$5,"")),"")</f>
        <v/>
      </c>
      <c r="CF73" s="36" t="str">
        <f ca="1">IFERROR(+IF(CF$27=ProposalToGnatt[[#This Row],[Start Date]],Milestone_Marker,IF(AND(CF$27&gt;ProposalToGnatt[[#This Row],[Start Date]],CF$27&lt;ProposalToGnatt[[#This Row],[Start Date]]+ProposalToGnatt[[#This Row],[Days]]),$G$5,"")),"")</f>
        <v/>
      </c>
      <c r="CG73" s="36" t="str">
        <f ca="1">IFERROR(+IF(CG$27=ProposalToGnatt[[#This Row],[Start Date]],Milestone_Marker,IF(AND(CG$27&gt;ProposalToGnatt[[#This Row],[Start Date]],CG$27&lt;ProposalToGnatt[[#This Row],[Start Date]]+ProposalToGnatt[[#This Row],[Days]]),$G$5,"")),"")</f>
        <v/>
      </c>
      <c r="CH73" s="36" t="str">
        <f ca="1">IFERROR(+IF(CH$27=ProposalToGnatt[[#This Row],[Start Date]],Milestone_Marker,IF(AND(CH$27&gt;ProposalToGnatt[[#This Row],[Start Date]],CH$27&lt;ProposalToGnatt[[#This Row],[Start Date]]+ProposalToGnatt[[#This Row],[Days]]),$G$5,"")),"")</f>
        <v/>
      </c>
      <c r="CI73" s="36" t="str">
        <f ca="1">IFERROR(+IF(CI$27=ProposalToGnatt[[#This Row],[Start Date]],Milestone_Marker,IF(AND(CI$27&gt;ProposalToGnatt[[#This Row],[Start Date]],CI$27&lt;ProposalToGnatt[[#This Row],[Start Date]]+ProposalToGnatt[[#This Row],[Days]]),$G$5,"")),"")</f>
        <v/>
      </c>
      <c r="CJ73" s="36" t="str">
        <f ca="1">IFERROR(+IF(CJ$27=ProposalToGnatt[[#This Row],[Start Date]],Milestone_Marker,IF(AND(CJ$27&gt;ProposalToGnatt[[#This Row],[Start Date]],CJ$27&lt;ProposalToGnatt[[#This Row],[Start Date]]+ProposalToGnatt[[#This Row],[Days]]),$G$5,"")),"")</f>
        <v/>
      </c>
      <c r="CK73" s="36" t="str">
        <f ca="1">IFERROR(+IF(CK$27=ProposalToGnatt[[#This Row],[Start Date]],Milestone_Marker,IF(AND(CK$27&gt;ProposalToGnatt[[#This Row],[Start Date]],CK$27&lt;ProposalToGnatt[[#This Row],[Start Date]]+ProposalToGnatt[[#This Row],[Days]]),$G$5,"")),"")</f>
        <v/>
      </c>
      <c r="CL73" s="36" t="str">
        <f ca="1">IFERROR(+IF(CL$27=ProposalToGnatt[[#This Row],[Start Date]],Milestone_Marker,IF(AND(CL$27&gt;ProposalToGnatt[[#This Row],[Start Date]],CL$27&lt;ProposalToGnatt[[#This Row],[Start Date]]+ProposalToGnatt[[#This Row],[Days]]),$G$5,"")),"")</f>
        <v/>
      </c>
      <c r="CM73" s="36" t="str">
        <f ca="1">IFERROR(+IF(CM$27=ProposalToGnatt[[#This Row],[Start Date]],Milestone_Marker,IF(AND(CM$27&gt;ProposalToGnatt[[#This Row],[Start Date]],CM$27&lt;ProposalToGnatt[[#This Row],[Start Date]]+ProposalToGnatt[[#This Row],[Days]]),$G$5,"")),"")</f>
        <v/>
      </c>
      <c r="CN73" s="36" t="str">
        <f ca="1">IFERROR(+IF(CN$27=ProposalToGnatt[[#This Row],[Start Date]],Milestone_Marker,IF(AND(CN$27&gt;ProposalToGnatt[[#This Row],[Start Date]],CN$27&lt;ProposalToGnatt[[#This Row],[Start Date]]+ProposalToGnatt[[#This Row],[Days]]),$G$5,"")),"")</f>
        <v/>
      </c>
      <c r="CO73" s="36" t="str">
        <f ca="1">IFERROR(+IF(CO$27=ProposalToGnatt[[#This Row],[Start Date]],Milestone_Marker,IF(AND(CO$27&gt;ProposalToGnatt[[#This Row],[Start Date]],CO$27&lt;ProposalToGnatt[[#This Row],[Start Date]]+ProposalToGnatt[[#This Row],[Days]]),$G$5,"")),"")</f>
        <v/>
      </c>
      <c r="CP73" s="36" t="str">
        <f ca="1">IFERROR(+IF(CP$27=ProposalToGnatt[[#This Row],[Start Date]],Milestone_Marker,IF(AND(CP$27&gt;ProposalToGnatt[[#This Row],[Start Date]],CP$27&lt;ProposalToGnatt[[#This Row],[Start Date]]+ProposalToGnatt[[#This Row],[Days]]),$G$5,"")),"")</f>
        <v/>
      </c>
      <c r="CQ73" s="36" t="str">
        <f ca="1">IFERROR(+IF(CQ$27=ProposalToGnatt[[#This Row],[Start Date]],Milestone_Marker,IF(AND(CQ$27&gt;ProposalToGnatt[[#This Row],[Start Date]],CQ$27&lt;ProposalToGnatt[[#This Row],[Start Date]]+ProposalToGnatt[[#This Row],[Days]]),$G$5,"")),"")</f>
        <v/>
      </c>
      <c r="CR73" s="36" t="str">
        <f ca="1">IFERROR(+IF(CR$27=ProposalToGnatt[[#This Row],[Start Date]],Milestone_Marker,IF(AND(CR$27&gt;ProposalToGnatt[[#This Row],[Start Date]],CR$27&lt;ProposalToGnatt[[#This Row],[Start Date]]+ProposalToGnatt[[#This Row],[Days]]),$G$5,"")),"")</f>
        <v/>
      </c>
      <c r="CS73" s="36" t="str">
        <f ca="1">IFERROR(+IF(CS$27=ProposalToGnatt[[#This Row],[Start Date]],Milestone_Marker,IF(AND(CS$27&gt;ProposalToGnatt[[#This Row],[Start Date]],CS$27&lt;ProposalToGnatt[[#This Row],[Start Date]]+ProposalToGnatt[[#This Row],[Days]]),$G$5,"")),"")</f>
        <v/>
      </c>
      <c r="CT73" s="36" t="str">
        <f ca="1">IFERROR(+IF(CT$27=ProposalToGnatt[[#This Row],[Start Date]],Milestone_Marker,IF(AND(CT$27&gt;ProposalToGnatt[[#This Row],[Start Date]],CT$27&lt;ProposalToGnatt[[#This Row],[Start Date]]+ProposalToGnatt[[#This Row],[Days]]),$G$5,"")),"")</f>
        <v/>
      </c>
      <c r="CU73" s="36" t="str">
        <f ca="1">IFERROR(+IF(CU$27=ProposalToGnatt[[#This Row],[Start Date]],Milestone_Marker,IF(AND(CU$27&gt;ProposalToGnatt[[#This Row],[Start Date]],CU$27&lt;ProposalToGnatt[[#This Row],[Start Date]]+ProposalToGnatt[[#This Row],[Days]]),$G$5,"")),"")</f>
        <v/>
      </c>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row>
    <row r="74" spans="1:125" ht="15" x14ac:dyDescent="0.25">
      <c r="A74"/>
      <c r="B74"/>
      <c r="C74"/>
      <c r="D74"/>
      <c r="E74"/>
      <c r="F74"/>
      <c r="G74" s="14"/>
      <c r="H74" s="14"/>
      <c r="I74"/>
      <c r="J74"/>
      <c r="K74" s="261"/>
      <c r="L74"/>
      <c r="M74" s="14"/>
      <c r="N74" s="309"/>
      <c r="O74" s="297"/>
      <c r="P74" s="36" t="str">
        <f ca="1">IFERROR(+IF(P$27=ProposalToGnatt[[#This Row],[Start Date]],Milestone_Marker,IF(AND(P$27&gt;ProposalToGnatt[[#This Row],[Start Date]],P$27&lt;ProposalToGnatt[[#This Row],[Start Date]]+ProposalToGnatt[[#This Row],[Days]]),$G$5,"")),"")</f>
        <v/>
      </c>
      <c r="Q74" s="36" t="str">
        <f ca="1">IFERROR(+IF(Q$27=ProposalToGnatt[[#This Row],[Start Date]],Milestone_Marker,IF(AND(Q$27&gt;ProposalToGnatt[[#This Row],[Start Date]],Q$27&lt;ProposalToGnatt[[#This Row],[Start Date]]+ProposalToGnatt[[#This Row],[Days]]),$G$5,"")),"")</f>
        <v/>
      </c>
      <c r="R74" s="36" t="str">
        <f ca="1">IFERROR(+IF(R$27=ProposalToGnatt[[#This Row],[Start Date]],Milestone_Marker,IF(AND(R$27&gt;ProposalToGnatt[[#This Row],[Start Date]],R$27&lt;ProposalToGnatt[[#This Row],[Start Date]]+ProposalToGnatt[[#This Row],[Days]]),$G$5,"")),"")</f>
        <v/>
      </c>
      <c r="S74" s="36" t="str">
        <f ca="1">IFERROR(+IF(S$27=ProposalToGnatt[[#This Row],[Start Date]],Milestone_Marker,IF(AND(S$27&gt;ProposalToGnatt[[#This Row],[Start Date]],S$27&lt;ProposalToGnatt[[#This Row],[Start Date]]+ProposalToGnatt[[#This Row],[Days]]),$G$5,"")),"")</f>
        <v/>
      </c>
      <c r="T74" s="36" t="str">
        <f ca="1">IFERROR(+IF(T$27=ProposalToGnatt[[#This Row],[Start Date]],Milestone_Marker,IF(AND(T$27&gt;ProposalToGnatt[[#This Row],[Start Date]],T$27&lt;ProposalToGnatt[[#This Row],[Start Date]]+ProposalToGnatt[[#This Row],[Days]]),$G$5,"")),"")</f>
        <v/>
      </c>
      <c r="U74" s="36" t="str">
        <f ca="1">IFERROR(+IF(U$27=ProposalToGnatt[[#This Row],[Start Date]],Milestone_Marker,IF(AND(U$27&gt;ProposalToGnatt[[#This Row],[Start Date]],U$27&lt;ProposalToGnatt[[#This Row],[Start Date]]+ProposalToGnatt[[#This Row],[Days]]),$G$5,"")),"")</f>
        <v/>
      </c>
      <c r="V74" s="36" t="str">
        <f ca="1">IFERROR(+IF(V$27=ProposalToGnatt[[#This Row],[Start Date]],Milestone_Marker,IF(AND(V$27&gt;ProposalToGnatt[[#This Row],[Start Date]],V$27&lt;ProposalToGnatt[[#This Row],[Start Date]]+ProposalToGnatt[[#This Row],[Days]]),$G$5,"")),"")</f>
        <v/>
      </c>
      <c r="W74" s="36" t="str">
        <f ca="1">IFERROR(+IF(W$27=ProposalToGnatt[[#This Row],[Start Date]],Milestone_Marker,IF(AND(W$27&gt;ProposalToGnatt[[#This Row],[Start Date]],W$27&lt;ProposalToGnatt[[#This Row],[Start Date]]+ProposalToGnatt[[#This Row],[Days]]),$G$5,"")),"")</f>
        <v/>
      </c>
      <c r="X74" s="36" t="str">
        <f ca="1">IFERROR(+IF(X$27=ProposalToGnatt[[#This Row],[Start Date]],Milestone_Marker,IF(AND(X$27&gt;ProposalToGnatt[[#This Row],[Start Date]],X$27&lt;ProposalToGnatt[[#This Row],[Start Date]]+ProposalToGnatt[[#This Row],[Days]]),$G$5,"")),"")</f>
        <v/>
      </c>
      <c r="Y74" s="36" t="str">
        <f ca="1">IFERROR(+IF(Y$27=ProposalToGnatt[[#This Row],[Start Date]],Milestone_Marker,IF(AND(Y$27&gt;ProposalToGnatt[[#This Row],[Start Date]],Y$27&lt;ProposalToGnatt[[#This Row],[Start Date]]+ProposalToGnatt[[#This Row],[Days]]),$G$5,"")),"")</f>
        <v/>
      </c>
      <c r="Z74" s="36" t="str">
        <f ca="1">IFERROR(+IF(Z$27=ProposalToGnatt[[#This Row],[Start Date]],Milestone_Marker,IF(AND(Z$27&gt;ProposalToGnatt[[#This Row],[Start Date]],Z$27&lt;ProposalToGnatt[[#This Row],[Start Date]]+ProposalToGnatt[[#This Row],[Days]]),$G$5,"")),"")</f>
        <v/>
      </c>
      <c r="AA74" s="36" t="str">
        <f ca="1">IFERROR(+IF(AA$27=ProposalToGnatt[[#This Row],[Start Date]],Milestone_Marker,IF(AND(AA$27&gt;ProposalToGnatt[[#This Row],[Start Date]],AA$27&lt;ProposalToGnatt[[#This Row],[Start Date]]+ProposalToGnatt[[#This Row],[Days]]),$G$5,"")),"")</f>
        <v/>
      </c>
      <c r="AB74" s="36" t="str">
        <f ca="1">IFERROR(+IF(AB$27=ProposalToGnatt[[#This Row],[Start Date]],Milestone_Marker,IF(AND(AB$27&gt;ProposalToGnatt[[#This Row],[Start Date]],AB$27&lt;ProposalToGnatt[[#This Row],[Start Date]]+ProposalToGnatt[[#This Row],[Days]]),$G$5,"")),"")</f>
        <v/>
      </c>
      <c r="AC74" s="36" t="str">
        <f ca="1">IFERROR(+IF(AC$27=ProposalToGnatt[[#This Row],[Start Date]],Milestone_Marker,IF(AND(AC$27&gt;ProposalToGnatt[[#This Row],[Start Date]],AC$27&lt;ProposalToGnatt[[#This Row],[Start Date]]+ProposalToGnatt[[#This Row],[Days]]),$G$5,"")),"")</f>
        <v/>
      </c>
      <c r="AD74" s="36" t="str">
        <f ca="1">IFERROR(+IF(AD$27=ProposalToGnatt[[#This Row],[Start Date]],Milestone_Marker,IF(AND(AD$27&gt;ProposalToGnatt[[#This Row],[Start Date]],AD$27&lt;ProposalToGnatt[[#This Row],[Start Date]]+ProposalToGnatt[[#This Row],[Days]]),$G$5,"")),"")</f>
        <v/>
      </c>
      <c r="AE74" s="36" t="str">
        <f ca="1">IFERROR(+IF(AE$27=ProposalToGnatt[[#This Row],[Start Date]],Milestone_Marker,IF(AND(AE$27&gt;ProposalToGnatt[[#This Row],[Start Date]],AE$27&lt;ProposalToGnatt[[#This Row],[Start Date]]+ProposalToGnatt[[#This Row],[Days]]),$G$5,"")),"")</f>
        <v/>
      </c>
      <c r="AF74" s="36" t="str">
        <f ca="1">IFERROR(+IF(AF$27=ProposalToGnatt[[#This Row],[Start Date]],Milestone_Marker,IF(AND(AF$27&gt;ProposalToGnatt[[#This Row],[Start Date]],AF$27&lt;ProposalToGnatt[[#This Row],[Start Date]]+ProposalToGnatt[[#This Row],[Days]]),$G$5,"")),"")</f>
        <v/>
      </c>
      <c r="AG74" s="36" t="str">
        <f ca="1">IFERROR(+IF(AG$27=ProposalToGnatt[[#This Row],[Start Date]],Milestone_Marker,IF(AND(AG$27&gt;ProposalToGnatt[[#This Row],[Start Date]],AG$27&lt;ProposalToGnatt[[#This Row],[Start Date]]+ProposalToGnatt[[#This Row],[Days]]),$G$5,"")),"")</f>
        <v/>
      </c>
      <c r="AH74" s="36" t="str">
        <f ca="1">IFERROR(+IF(AH$27=ProposalToGnatt[[#This Row],[Start Date]],Milestone_Marker,IF(AND(AH$27&gt;ProposalToGnatt[[#This Row],[Start Date]],AH$27&lt;ProposalToGnatt[[#This Row],[Start Date]]+ProposalToGnatt[[#This Row],[Days]]),$G$5,"")),"")</f>
        <v/>
      </c>
      <c r="AI74" s="36" t="str">
        <f ca="1">IFERROR(+IF(AI$27=ProposalToGnatt[[#This Row],[Start Date]],Milestone_Marker,IF(AND(AI$27&gt;ProposalToGnatt[[#This Row],[Start Date]],AI$27&lt;ProposalToGnatt[[#This Row],[Start Date]]+ProposalToGnatt[[#This Row],[Days]]),$G$5,"")),"")</f>
        <v/>
      </c>
      <c r="AJ74" s="36" t="str">
        <f ca="1">IFERROR(+IF(AJ$27=ProposalToGnatt[[#This Row],[Start Date]],Milestone_Marker,IF(AND(AJ$27&gt;ProposalToGnatt[[#This Row],[Start Date]],AJ$27&lt;ProposalToGnatt[[#This Row],[Start Date]]+ProposalToGnatt[[#This Row],[Days]]),$G$5,"")),"")</f>
        <v/>
      </c>
      <c r="AK74" s="36" t="str">
        <f ca="1">IFERROR(+IF(AK$27=ProposalToGnatt[[#This Row],[Start Date]],Milestone_Marker,IF(AND(AK$27&gt;ProposalToGnatt[[#This Row],[Start Date]],AK$27&lt;ProposalToGnatt[[#This Row],[Start Date]]+ProposalToGnatt[[#This Row],[Days]]),$G$5,"")),"")</f>
        <v/>
      </c>
      <c r="AL74" s="36" t="str">
        <f ca="1">IFERROR(+IF(AL$27=ProposalToGnatt[[#This Row],[Start Date]],Milestone_Marker,IF(AND(AL$27&gt;ProposalToGnatt[[#This Row],[Start Date]],AL$27&lt;ProposalToGnatt[[#This Row],[Start Date]]+ProposalToGnatt[[#This Row],[Days]]),$G$5,"")),"")</f>
        <v/>
      </c>
      <c r="AM74" s="36" t="str">
        <f ca="1">IFERROR(+IF(AM$27=ProposalToGnatt[[#This Row],[Start Date]],Milestone_Marker,IF(AND(AM$27&gt;ProposalToGnatt[[#This Row],[Start Date]],AM$27&lt;ProposalToGnatt[[#This Row],[Start Date]]+ProposalToGnatt[[#This Row],[Days]]),$G$5,"")),"")</f>
        <v/>
      </c>
      <c r="AN74" s="36" t="str">
        <f ca="1">IFERROR(+IF(AN$27=ProposalToGnatt[[#This Row],[Start Date]],Milestone_Marker,IF(AND(AN$27&gt;ProposalToGnatt[[#This Row],[Start Date]],AN$27&lt;ProposalToGnatt[[#This Row],[Start Date]]+ProposalToGnatt[[#This Row],[Days]]),$G$5,"")),"")</f>
        <v/>
      </c>
      <c r="AO74" s="36" t="str">
        <f ca="1">IFERROR(+IF(AO$27=ProposalToGnatt[[#This Row],[Start Date]],Milestone_Marker,IF(AND(AO$27&gt;ProposalToGnatt[[#This Row],[Start Date]],AO$27&lt;ProposalToGnatt[[#This Row],[Start Date]]+ProposalToGnatt[[#This Row],[Days]]),$G$5,"")),"")</f>
        <v/>
      </c>
      <c r="AP74" s="36" t="str">
        <f ca="1">IFERROR(+IF(AP$27=ProposalToGnatt[[#This Row],[Start Date]],Milestone_Marker,IF(AND(AP$27&gt;ProposalToGnatt[[#This Row],[Start Date]],AP$27&lt;ProposalToGnatt[[#This Row],[Start Date]]+ProposalToGnatt[[#This Row],[Days]]),$G$5,"")),"")</f>
        <v/>
      </c>
      <c r="AQ74" s="36" t="str">
        <f ca="1">IFERROR(+IF(AQ$27=ProposalToGnatt[[#This Row],[Start Date]],Milestone_Marker,IF(AND(AQ$27&gt;ProposalToGnatt[[#This Row],[Start Date]],AQ$27&lt;ProposalToGnatt[[#This Row],[Start Date]]+ProposalToGnatt[[#This Row],[Days]]),$G$5,"")),"")</f>
        <v/>
      </c>
      <c r="AR74" s="36" t="str">
        <f ca="1">IFERROR(+IF(AR$27=ProposalToGnatt[[#This Row],[Start Date]],Milestone_Marker,IF(AND(AR$27&gt;ProposalToGnatt[[#This Row],[Start Date]],AR$27&lt;ProposalToGnatt[[#This Row],[Start Date]]+ProposalToGnatt[[#This Row],[Days]]),$G$5,"")),"")</f>
        <v/>
      </c>
      <c r="AS74" s="36" t="str">
        <f ca="1">IFERROR(+IF(AS$27=ProposalToGnatt[[#This Row],[Start Date]],Milestone_Marker,IF(AND(AS$27&gt;ProposalToGnatt[[#This Row],[Start Date]],AS$27&lt;ProposalToGnatt[[#This Row],[Start Date]]+ProposalToGnatt[[#This Row],[Days]]),$G$5,"")),"")</f>
        <v/>
      </c>
      <c r="AT74" s="36" t="str">
        <f ca="1">IFERROR(+IF(AT$27=ProposalToGnatt[[#This Row],[Start Date]],Milestone_Marker,IF(AND(AT$27&gt;ProposalToGnatt[[#This Row],[Start Date]],AT$27&lt;ProposalToGnatt[[#This Row],[Start Date]]+ProposalToGnatt[[#This Row],[Days]]),$G$5,"")),"")</f>
        <v/>
      </c>
      <c r="AU74" s="36" t="str">
        <f ca="1">IFERROR(+IF(AU$27=ProposalToGnatt[[#This Row],[Start Date]],Milestone_Marker,IF(AND(AU$27&gt;ProposalToGnatt[[#This Row],[Start Date]],AU$27&lt;ProposalToGnatt[[#This Row],[Start Date]]+ProposalToGnatt[[#This Row],[Days]]),$G$5,"")),"")</f>
        <v/>
      </c>
      <c r="AV74" s="36" t="str">
        <f ca="1">IFERROR(+IF(AV$27=ProposalToGnatt[[#This Row],[Start Date]],Milestone_Marker,IF(AND(AV$27&gt;ProposalToGnatt[[#This Row],[Start Date]],AV$27&lt;ProposalToGnatt[[#This Row],[Start Date]]+ProposalToGnatt[[#This Row],[Days]]),$G$5,"")),"")</f>
        <v/>
      </c>
      <c r="AW74" s="36" t="str">
        <f ca="1">IFERROR(+IF(AW$27=ProposalToGnatt[[#This Row],[Start Date]],Milestone_Marker,IF(AND(AW$27&gt;ProposalToGnatt[[#This Row],[Start Date]],AW$27&lt;ProposalToGnatt[[#This Row],[Start Date]]+ProposalToGnatt[[#This Row],[Days]]),$G$5,"")),"")</f>
        <v/>
      </c>
      <c r="AX74" s="36" t="str">
        <f ca="1">IFERROR(+IF(AX$27=ProposalToGnatt[[#This Row],[Start Date]],Milestone_Marker,IF(AND(AX$27&gt;ProposalToGnatt[[#This Row],[Start Date]],AX$27&lt;ProposalToGnatt[[#This Row],[Start Date]]+ProposalToGnatt[[#This Row],[Days]]),$G$5,"")),"")</f>
        <v/>
      </c>
      <c r="AY74" s="36" t="str">
        <f ca="1">IFERROR(+IF(AY$27=ProposalToGnatt[[#This Row],[Start Date]],Milestone_Marker,IF(AND(AY$27&gt;ProposalToGnatt[[#This Row],[Start Date]],AY$27&lt;ProposalToGnatt[[#This Row],[Start Date]]+ProposalToGnatt[[#This Row],[Days]]),$G$5,"")),"")</f>
        <v/>
      </c>
      <c r="AZ74" s="36" t="str">
        <f ca="1">IFERROR(+IF(AZ$27=ProposalToGnatt[[#This Row],[Start Date]],Milestone_Marker,IF(AND(AZ$27&gt;ProposalToGnatt[[#This Row],[Start Date]],AZ$27&lt;ProposalToGnatt[[#This Row],[Start Date]]+ProposalToGnatt[[#This Row],[Days]]),$G$5,"")),"")</f>
        <v/>
      </c>
      <c r="BA74" s="36" t="str">
        <f ca="1">IFERROR(+IF(BA$27=ProposalToGnatt[[#This Row],[Start Date]],Milestone_Marker,IF(AND(BA$27&gt;ProposalToGnatt[[#This Row],[Start Date]],BA$27&lt;ProposalToGnatt[[#This Row],[Start Date]]+ProposalToGnatt[[#This Row],[Days]]),$G$5,"")),"")</f>
        <v/>
      </c>
      <c r="BB74" s="36" t="str">
        <f ca="1">IFERROR(+IF(BB$27=ProposalToGnatt[[#This Row],[Start Date]],Milestone_Marker,IF(AND(BB$27&gt;ProposalToGnatt[[#This Row],[Start Date]],BB$27&lt;ProposalToGnatt[[#This Row],[Start Date]]+ProposalToGnatt[[#This Row],[Days]]),$G$5,"")),"")</f>
        <v/>
      </c>
      <c r="BC74" s="36" t="str">
        <f ca="1">IFERROR(+IF(BC$27=ProposalToGnatt[[#This Row],[Start Date]],Milestone_Marker,IF(AND(BC$27&gt;ProposalToGnatt[[#This Row],[Start Date]],BC$27&lt;ProposalToGnatt[[#This Row],[Start Date]]+ProposalToGnatt[[#This Row],[Days]]),$G$5,"")),"")</f>
        <v/>
      </c>
      <c r="BD74" s="36" t="str">
        <f ca="1">IFERROR(+IF(BD$27=ProposalToGnatt[[#This Row],[Start Date]],Milestone_Marker,IF(AND(BD$27&gt;ProposalToGnatt[[#This Row],[Start Date]],BD$27&lt;ProposalToGnatt[[#This Row],[Start Date]]+ProposalToGnatt[[#This Row],[Days]]),$G$5,"")),"")</f>
        <v/>
      </c>
      <c r="BE74" s="36" t="str">
        <f ca="1">IFERROR(+IF(BE$27=ProposalToGnatt[[#This Row],[Start Date]],Milestone_Marker,IF(AND(BE$27&gt;ProposalToGnatt[[#This Row],[Start Date]],BE$27&lt;ProposalToGnatt[[#This Row],[Start Date]]+ProposalToGnatt[[#This Row],[Days]]),$G$5,"")),"")</f>
        <v/>
      </c>
      <c r="BF74" s="36" t="str">
        <f ca="1">IFERROR(+IF(BF$27=ProposalToGnatt[[#This Row],[Start Date]],Milestone_Marker,IF(AND(BF$27&gt;ProposalToGnatt[[#This Row],[Start Date]],BF$27&lt;ProposalToGnatt[[#This Row],[Start Date]]+ProposalToGnatt[[#This Row],[Days]]),$G$5,"")),"")</f>
        <v/>
      </c>
      <c r="BG74" s="36" t="str">
        <f ca="1">IFERROR(+IF(BG$27=ProposalToGnatt[[#This Row],[Start Date]],Milestone_Marker,IF(AND(BG$27&gt;ProposalToGnatt[[#This Row],[Start Date]],BG$27&lt;ProposalToGnatt[[#This Row],[Start Date]]+ProposalToGnatt[[#This Row],[Days]]),$G$5,"")),"")</f>
        <v/>
      </c>
      <c r="BH74" s="36" t="str">
        <f ca="1">IFERROR(+IF(BH$27=ProposalToGnatt[[#This Row],[Start Date]],Milestone_Marker,IF(AND(BH$27&gt;ProposalToGnatt[[#This Row],[Start Date]],BH$27&lt;ProposalToGnatt[[#This Row],[Start Date]]+ProposalToGnatt[[#This Row],[Days]]),$G$5,"")),"")</f>
        <v/>
      </c>
      <c r="BI74" s="36" t="str">
        <f ca="1">IFERROR(+IF(BI$27=ProposalToGnatt[[#This Row],[Start Date]],Milestone_Marker,IF(AND(BI$27&gt;ProposalToGnatt[[#This Row],[Start Date]],BI$27&lt;ProposalToGnatt[[#This Row],[Start Date]]+ProposalToGnatt[[#This Row],[Days]]),$G$5,"")),"")</f>
        <v/>
      </c>
      <c r="BJ74" s="36" t="str">
        <f ca="1">IFERROR(+IF(BJ$27=ProposalToGnatt[[#This Row],[Start Date]],Milestone_Marker,IF(AND(BJ$27&gt;ProposalToGnatt[[#This Row],[Start Date]],BJ$27&lt;ProposalToGnatt[[#This Row],[Start Date]]+ProposalToGnatt[[#This Row],[Days]]),$G$5,"")),"")</f>
        <v/>
      </c>
      <c r="BK74" s="36" t="str">
        <f ca="1">IFERROR(+IF(BK$27=ProposalToGnatt[[#This Row],[Start Date]],Milestone_Marker,IF(AND(BK$27&gt;ProposalToGnatt[[#This Row],[Start Date]],BK$27&lt;ProposalToGnatt[[#This Row],[Start Date]]+ProposalToGnatt[[#This Row],[Days]]),$G$5,"")),"")</f>
        <v/>
      </c>
      <c r="BL74" s="36" t="str">
        <f ca="1">IFERROR(+IF(BL$27=ProposalToGnatt[[#This Row],[Start Date]],Milestone_Marker,IF(AND(BL$27&gt;ProposalToGnatt[[#This Row],[Start Date]],BL$27&lt;ProposalToGnatt[[#This Row],[Start Date]]+ProposalToGnatt[[#This Row],[Days]]),$G$5,"")),"")</f>
        <v/>
      </c>
      <c r="BM74" s="36" t="str">
        <f ca="1">IFERROR(+IF(BM$27=ProposalToGnatt[[#This Row],[Start Date]],Milestone_Marker,IF(AND(BM$27&gt;ProposalToGnatt[[#This Row],[Start Date]],BM$27&lt;ProposalToGnatt[[#This Row],[Start Date]]+ProposalToGnatt[[#This Row],[Days]]),$G$5,"")),"")</f>
        <v/>
      </c>
      <c r="BN74" s="36" t="str">
        <f ca="1">IFERROR(+IF(BN$27=ProposalToGnatt[[#This Row],[Start Date]],Milestone_Marker,IF(AND(BN$27&gt;ProposalToGnatt[[#This Row],[Start Date]],BN$27&lt;ProposalToGnatt[[#This Row],[Start Date]]+ProposalToGnatt[[#This Row],[Days]]),$G$5,"")),"")</f>
        <v/>
      </c>
      <c r="BO74" s="36" t="str">
        <f ca="1">IFERROR(+IF(BO$27=ProposalToGnatt[[#This Row],[Start Date]],Milestone_Marker,IF(AND(BO$27&gt;ProposalToGnatt[[#This Row],[Start Date]],BO$27&lt;ProposalToGnatt[[#This Row],[Start Date]]+ProposalToGnatt[[#This Row],[Days]]),$G$5,"")),"")</f>
        <v/>
      </c>
      <c r="BP74" s="36" t="str">
        <f ca="1">IFERROR(+IF(BP$27=ProposalToGnatt[[#This Row],[Start Date]],Milestone_Marker,IF(AND(BP$27&gt;ProposalToGnatt[[#This Row],[Start Date]],BP$27&lt;ProposalToGnatt[[#This Row],[Start Date]]+ProposalToGnatt[[#This Row],[Days]]),$G$5,"")),"")</f>
        <v/>
      </c>
      <c r="BQ74" s="36" t="str">
        <f ca="1">IFERROR(+IF(BQ$27=ProposalToGnatt[[#This Row],[Start Date]],Milestone_Marker,IF(AND(BQ$27&gt;ProposalToGnatt[[#This Row],[Start Date]],BQ$27&lt;ProposalToGnatt[[#This Row],[Start Date]]+ProposalToGnatt[[#This Row],[Days]]),$G$5,"")),"")</f>
        <v/>
      </c>
      <c r="BR74" s="36" t="str">
        <f ca="1">IFERROR(+IF(BR$27=ProposalToGnatt[[#This Row],[Start Date]],Milestone_Marker,IF(AND(BR$27&gt;ProposalToGnatt[[#This Row],[Start Date]],BR$27&lt;ProposalToGnatt[[#This Row],[Start Date]]+ProposalToGnatt[[#This Row],[Days]]),$G$5,"")),"")</f>
        <v/>
      </c>
      <c r="BS74" s="36" t="str">
        <f ca="1">IFERROR(+IF(BS$27=ProposalToGnatt[[#This Row],[Start Date]],Milestone_Marker,IF(AND(BS$27&gt;ProposalToGnatt[[#This Row],[Start Date]],BS$27&lt;ProposalToGnatt[[#This Row],[Start Date]]+ProposalToGnatt[[#This Row],[Days]]),$G$5,"")),"")</f>
        <v/>
      </c>
      <c r="BT74" s="36" t="str">
        <f ca="1">IFERROR(+IF(BT$27=ProposalToGnatt[[#This Row],[Start Date]],Milestone_Marker,IF(AND(BT$27&gt;ProposalToGnatt[[#This Row],[Start Date]],BT$27&lt;ProposalToGnatt[[#This Row],[Start Date]]+ProposalToGnatt[[#This Row],[Days]]),$G$5,"")),"")</f>
        <v/>
      </c>
      <c r="BU74" s="36" t="str">
        <f ca="1">IFERROR(+IF(BU$27=ProposalToGnatt[[#This Row],[Start Date]],Milestone_Marker,IF(AND(BU$27&gt;ProposalToGnatt[[#This Row],[Start Date]],BU$27&lt;ProposalToGnatt[[#This Row],[Start Date]]+ProposalToGnatt[[#This Row],[Days]]),$G$5,"")),"")</f>
        <v/>
      </c>
      <c r="BV74" s="36" t="str">
        <f ca="1">IFERROR(+IF(BV$27=ProposalToGnatt[[#This Row],[Start Date]],Milestone_Marker,IF(AND(BV$27&gt;ProposalToGnatt[[#This Row],[Start Date]],BV$27&lt;ProposalToGnatt[[#This Row],[Start Date]]+ProposalToGnatt[[#This Row],[Days]]),$G$5,"")),"")</f>
        <v/>
      </c>
      <c r="BW74" s="36" t="str">
        <f ca="1">IFERROR(+IF(BW$27=ProposalToGnatt[[#This Row],[Start Date]],Milestone_Marker,IF(AND(BW$27&gt;ProposalToGnatt[[#This Row],[Start Date]],BW$27&lt;ProposalToGnatt[[#This Row],[Start Date]]+ProposalToGnatt[[#This Row],[Days]]),$G$5,"")),"")</f>
        <v/>
      </c>
      <c r="BX74" s="36" t="str">
        <f ca="1">IFERROR(+IF(BX$27=ProposalToGnatt[[#This Row],[Start Date]],Milestone_Marker,IF(AND(BX$27&gt;ProposalToGnatt[[#This Row],[Start Date]],BX$27&lt;ProposalToGnatt[[#This Row],[Start Date]]+ProposalToGnatt[[#This Row],[Days]]),$G$5,"")),"")</f>
        <v/>
      </c>
      <c r="BY74" s="36" t="str">
        <f ca="1">IFERROR(+IF(BY$27=ProposalToGnatt[[#This Row],[Start Date]],Milestone_Marker,IF(AND(BY$27&gt;ProposalToGnatt[[#This Row],[Start Date]],BY$27&lt;ProposalToGnatt[[#This Row],[Start Date]]+ProposalToGnatt[[#This Row],[Days]]),$G$5,"")),"")</f>
        <v/>
      </c>
      <c r="BZ74" s="36" t="str">
        <f ca="1">IFERROR(+IF(BZ$27=ProposalToGnatt[[#This Row],[Start Date]],Milestone_Marker,IF(AND(BZ$27&gt;ProposalToGnatt[[#This Row],[Start Date]],BZ$27&lt;ProposalToGnatt[[#This Row],[Start Date]]+ProposalToGnatt[[#This Row],[Days]]),$G$5,"")),"")</f>
        <v/>
      </c>
      <c r="CA74" s="36" t="str">
        <f ca="1">IFERROR(+IF(CA$27=ProposalToGnatt[[#This Row],[Start Date]],Milestone_Marker,IF(AND(CA$27&gt;ProposalToGnatt[[#This Row],[Start Date]],CA$27&lt;ProposalToGnatt[[#This Row],[Start Date]]+ProposalToGnatt[[#This Row],[Days]]),$G$5,"")),"")</f>
        <v/>
      </c>
      <c r="CB74" s="36" t="str">
        <f ca="1">IFERROR(+IF(CB$27=ProposalToGnatt[[#This Row],[Start Date]],Milestone_Marker,IF(AND(CB$27&gt;ProposalToGnatt[[#This Row],[Start Date]],CB$27&lt;ProposalToGnatt[[#This Row],[Start Date]]+ProposalToGnatt[[#This Row],[Days]]),$G$5,"")),"")</f>
        <v/>
      </c>
      <c r="CC74" s="36" t="str">
        <f ca="1">IFERROR(+IF(CC$27=ProposalToGnatt[[#This Row],[Start Date]],Milestone_Marker,IF(AND(CC$27&gt;ProposalToGnatt[[#This Row],[Start Date]],CC$27&lt;ProposalToGnatt[[#This Row],[Start Date]]+ProposalToGnatt[[#This Row],[Days]]),$G$5,"")),"")</f>
        <v/>
      </c>
      <c r="CD74" s="36" t="str">
        <f ca="1">IFERROR(+IF(CD$27=ProposalToGnatt[[#This Row],[Start Date]],Milestone_Marker,IF(AND(CD$27&gt;ProposalToGnatt[[#This Row],[Start Date]],CD$27&lt;ProposalToGnatt[[#This Row],[Start Date]]+ProposalToGnatt[[#This Row],[Days]]),$G$5,"")),"")</f>
        <v/>
      </c>
      <c r="CE74" s="36" t="str">
        <f ca="1">IFERROR(+IF(CE$27=ProposalToGnatt[[#This Row],[Start Date]],Milestone_Marker,IF(AND(CE$27&gt;ProposalToGnatt[[#This Row],[Start Date]],CE$27&lt;ProposalToGnatt[[#This Row],[Start Date]]+ProposalToGnatt[[#This Row],[Days]]),$G$5,"")),"")</f>
        <v/>
      </c>
      <c r="CF74" s="36" t="str">
        <f ca="1">IFERROR(+IF(CF$27=ProposalToGnatt[[#This Row],[Start Date]],Milestone_Marker,IF(AND(CF$27&gt;ProposalToGnatt[[#This Row],[Start Date]],CF$27&lt;ProposalToGnatt[[#This Row],[Start Date]]+ProposalToGnatt[[#This Row],[Days]]),$G$5,"")),"")</f>
        <v/>
      </c>
      <c r="CG74" s="36" t="str">
        <f ca="1">IFERROR(+IF(CG$27=ProposalToGnatt[[#This Row],[Start Date]],Milestone_Marker,IF(AND(CG$27&gt;ProposalToGnatt[[#This Row],[Start Date]],CG$27&lt;ProposalToGnatt[[#This Row],[Start Date]]+ProposalToGnatt[[#This Row],[Days]]),$G$5,"")),"")</f>
        <v/>
      </c>
      <c r="CH74" s="36" t="str">
        <f ca="1">IFERROR(+IF(CH$27=ProposalToGnatt[[#This Row],[Start Date]],Milestone_Marker,IF(AND(CH$27&gt;ProposalToGnatt[[#This Row],[Start Date]],CH$27&lt;ProposalToGnatt[[#This Row],[Start Date]]+ProposalToGnatt[[#This Row],[Days]]),$G$5,"")),"")</f>
        <v/>
      </c>
      <c r="CI74" s="36" t="str">
        <f ca="1">IFERROR(+IF(CI$27=ProposalToGnatt[[#This Row],[Start Date]],Milestone_Marker,IF(AND(CI$27&gt;ProposalToGnatt[[#This Row],[Start Date]],CI$27&lt;ProposalToGnatt[[#This Row],[Start Date]]+ProposalToGnatt[[#This Row],[Days]]),$G$5,"")),"")</f>
        <v/>
      </c>
      <c r="CJ74" s="36" t="str">
        <f ca="1">IFERROR(+IF(CJ$27=ProposalToGnatt[[#This Row],[Start Date]],Milestone_Marker,IF(AND(CJ$27&gt;ProposalToGnatt[[#This Row],[Start Date]],CJ$27&lt;ProposalToGnatt[[#This Row],[Start Date]]+ProposalToGnatt[[#This Row],[Days]]),$G$5,"")),"")</f>
        <v/>
      </c>
      <c r="CK74" s="36" t="str">
        <f ca="1">IFERROR(+IF(CK$27=ProposalToGnatt[[#This Row],[Start Date]],Milestone_Marker,IF(AND(CK$27&gt;ProposalToGnatt[[#This Row],[Start Date]],CK$27&lt;ProposalToGnatt[[#This Row],[Start Date]]+ProposalToGnatt[[#This Row],[Days]]),$G$5,"")),"")</f>
        <v/>
      </c>
      <c r="CL74" s="36" t="str">
        <f ca="1">IFERROR(+IF(CL$27=ProposalToGnatt[[#This Row],[Start Date]],Milestone_Marker,IF(AND(CL$27&gt;ProposalToGnatt[[#This Row],[Start Date]],CL$27&lt;ProposalToGnatt[[#This Row],[Start Date]]+ProposalToGnatt[[#This Row],[Days]]),$G$5,"")),"")</f>
        <v/>
      </c>
      <c r="CM74" s="36" t="str">
        <f ca="1">IFERROR(+IF(CM$27=ProposalToGnatt[[#This Row],[Start Date]],Milestone_Marker,IF(AND(CM$27&gt;ProposalToGnatt[[#This Row],[Start Date]],CM$27&lt;ProposalToGnatt[[#This Row],[Start Date]]+ProposalToGnatt[[#This Row],[Days]]),$G$5,"")),"")</f>
        <v/>
      </c>
      <c r="CN74" s="36" t="str">
        <f ca="1">IFERROR(+IF(CN$27=ProposalToGnatt[[#This Row],[Start Date]],Milestone_Marker,IF(AND(CN$27&gt;ProposalToGnatt[[#This Row],[Start Date]],CN$27&lt;ProposalToGnatt[[#This Row],[Start Date]]+ProposalToGnatt[[#This Row],[Days]]),$G$5,"")),"")</f>
        <v/>
      </c>
      <c r="CO74" s="36" t="str">
        <f ca="1">IFERROR(+IF(CO$27=ProposalToGnatt[[#This Row],[Start Date]],Milestone_Marker,IF(AND(CO$27&gt;ProposalToGnatt[[#This Row],[Start Date]],CO$27&lt;ProposalToGnatt[[#This Row],[Start Date]]+ProposalToGnatt[[#This Row],[Days]]),$G$5,"")),"")</f>
        <v/>
      </c>
      <c r="CP74" s="36" t="str">
        <f ca="1">IFERROR(+IF(CP$27=ProposalToGnatt[[#This Row],[Start Date]],Milestone_Marker,IF(AND(CP$27&gt;ProposalToGnatt[[#This Row],[Start Date]],CP$27&lt;ProposalToGnatt[[#This Row],[Start Date]]+ProposalToGnatt[[#This Row],[Days]]),$G$5,"")),"")</f>
        <v/>
      </c>
      <c r="CQ74" s="36" t="str">
        <f ca="1">IFERROR(+IF(CQ$27=ProposalToGnatt[[#This Row],[Start Date]],Milestone_Marker,IF(AND(CQ$27&gt;ProposalToGnatt[[#This Row],[Start Date]],CQ$27&lt;ProposalToGnatt[[#This Row],[Start Date]]+ProposalToGnatt[[#This Row],[Days]]),$G$5,"")),"")</f>
        <v/>
      </c>
      <c r="CR74" s="36" t="str">
        <f ca="1">IFERROR(+IF(CR$27=ProposalToGnatt[[#This Row],[Start Date]],Milestone_Marker,IF(AND(CR$27&gt;ProposalToGnatt[[#This Row],[Start Date]],CR$27&lt;ProposalToGnatt[[#This Row],[Start Date]]+ProposalToGnatt[[#This Row],[Days]]),$G$5,"")),"")</f>
        <v/>
      </c>
      <c r="CS74" s="36" t="str">
        <f ca="1">IFERROR(+IF(CS$27=ProposalToGnatt[[#This Row],[Start Date]],Milestone_Marker,IF(AND(CS$27&gt;ProposalToGnatt[[#This Row],[Start Date]],CS$27&lt;ProposalToGnatt[[#This Row],[Start Date]]+ProposalToGnatt[[#This Row],[Days]]),$G$5,"")),"")</f>
        <v/>
      </c>
      <c r="CT74" s="36" t="str">
        <f ca="1">IFERROR(+IF(CT$27=ProposalToGnatt[[#This Row],[Start Date]],Milestone_Marker,IF(AND(CT$27&gt;ProposalToGnatt[[#This Row],[Start Date]],CT$27&lt;ProposalToGnatt[[#This Row],[Start Date]]+ProposalToGnatt[[#This Row],[Days]]),$G$5,"")),"")</f>
        <v/>
      </c>
      <c r="CU74" s="36" t="str">
        <f ca="1">IFERROR(+IF(CU$27=ProposalToGnatt[[#This Row],[Start Date]],Milestone_Marker,IF(AND(CU$27&gt;ProposalToGnatt[[#This Row],[Start Date]],CU$27&lt;ProposalToGnatt[[#This Row],[Start Date]]+ProposalToGnatt[[#This Row],[Days]]),$G$5,"")),"")</f>
        <v/>
      </c>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row>
    <row r="75" spans="1:125" ht="15" x14ac:dyDescent="0.25">
      <c r="A75"/>
      <c r="B75"/>
      <c r="C75"/>
      <c r="D75"/>
      <c r="E75"/>
      <c r="F75"/>
      <c r="G75" s="14"/>
      <c r="H75" s="14"/>
      <c r="I75"/>
      <c r="J75"/>
      <c r="K75" s="261"/>
      <c r="L75"/>
      <c r="M75" s="14"/>
      <c r="N75" s="309"/>
      <c r="O75" s="297"/>
      <c r="P75" s="36" t="str">
        <f ca="1">IFERROR(+IF(P$27=ProposalToGnatt[[#This Row],[Start Date]],Milestone_Marker,IF(AND(P$27&gt;ProposalToGnatt[[#This Row],[Start Date]],P$27&lt;ProposalToGnatt[[#This Row],[Start Date]]+ProposalToGnatt[[#This Row],[Days]]),$G$5,"")),"")</f>
        <v/>
      </c>
      <c r="Q75" s="36" t="str">
        <f ca="1">IFERROR(+IF(Q$27=ProposalToGnatt[[#This Row],[Start Date]],Milestone_Marker,IF(AND(Q$27&gt;ProposalToGnatt[[#This Row],[Start Date]],Q$27&lt;ProposalToGnatt[[#This Row],[Start Date]]+ProposalToGnatt[[#This Row],[Days]]),$G$5,"")),"")</f>
        <v/>
      </c>
      <c r="R75" s="36" t="str">
        <f ca="1">IFERROR(+IF(R$27=ProposalToGnatt[[#This Row],[Start Date]],Milestone_Marker,IF(AND(R$27&gt;ProposalToGnatt[[#This Row],[Start Date]],R$27&lt;ProposalToGnatt[[#This Row],[Start Date]]+ProposalToGnatt[[#This Row],[Days]]),$G$5,"")),"")</f>
        <v/>
      </c>
      <c r="S75" s="36" t="str">
        <f ca="1">IFERROR(+IF(S$27=ProposalToGnatt[[#This Row],[Start Date]],Milestone_Marker,IF(AND(S$27&gt;ProposalToGnatt[[#This Row],[Start Date]],S$27&lt;ProposalToGnatt[[#This Row],[Start Date]]+ProposalToGnatt[[#This Row],[Days]]),$G$5,"")),"")</f>
        <v/>
      </c>
      <c r="T75" s="36" t="str">
        <f ca="1">IFERROR(+IF(T$27=ProposalToGnatt[[#This Row],[Start Date]],Milestone_Marker,IF(AND(T$27&gt;ProposalToGnatt[[#This Row],[Start Date]],T$27&lt;ProposalToGnatt[[#This Row],[Start Date]]+ProposalToGnatt[[#This Row],[Days]]),$G$5,"")),"")</f>
        <v/>
      </c>
      <c r="U75" s="36" t="str">
        <f ca="1">IFERROR(+IF(U$27=ProposalToGnatt[[#This Row],[Start Date]],Milestone_Marker,IF(AND(U$27&gt;ProposalToGnatt[[#This Row],[Start Date]],U$27&lt;ProposalToGnatt[[#This Row],[Start Date]]+ProposalToGnatt[[#This Row],[Days]]),$G$5,"")),"")</f>
        <v/>
      </c>
      <c r="V75" s="36" t="str">
        <f ca="1">IFERROR(+IF(V$27=ProposalToGnatt[[#This Row],[Start Date]],Milestone_Marker,IF(AND(V$27&gt;ProposalToGnatt[[#This Row],[Start Date]],V$27&lt;ProposalToGnatt[[#This Row],[Start Date]]+ProposalToGnatt[[#This Row],[Days]]),$G$5,"")),"")</f>
        <v/>
      </c>
      <c r="W75" s="36" t="str">
        <f ca="1">IFERROR(+IF(W$27=ProposalToGnatt[[#This Row],[Start Date]],Milestone_Marker,IF(AND(W$27&gt;ProposalToGnatt[[#This Row],[Start Date]],W$27&lt;ProposalToGnatt[[#This Row],[Start Date]]+ProposalToGnatt[[#This Row],[Days]]),$G$5,"")),"")</f>
        <v/>
      </c>
      <c r="X75" s="36" t="str">
        <f ca="1">IFERROR(+IF(X$27=ProposalToGnatt[[#This Row],[Start Date]],Milestone_Marker,IF(AND(X$27&gt;ProposalToGnatt[[#This Row],[Start Date]],X$27&lt;ProposalToGnatt[[#This Row],[Start Date]]+ProposalToGnatt[[#This Row],[Days]]),$G$5,"")),"")</f>
        <v/>
      </c>
      <c r="Y75" s="36" t="str">
        <f ca="1">IFERROR(+IF(Y$27=ProposalToGnatt[[#This Row],[Start Date]],Milestone_Marker,IF(AND(Y$27&gt;ProposalToGnatt[[#This Row],[Start Date]],Y$27&lt;ProposalToGnatt[[#This Row],[Start Date]]+ProposalToGnatt[[#This Row],[Days]]),$G$5,"")),"")</f>
        <v/>
      </c>
      <c r="Z75" s="36" t="str">
        <f ca="1">IFERROR(+IF(Z$27=ProposalToGnatt[[#This Row],[Start Date]],Milestone_Marker,IF(AND(Z$27&gt;ProposalToGnatt[[#This Row],[Start Date]],Z$27&lt;ProposalToGnatt[[#This Row],[Start Date]]+ProposalToGnatt[[#This Row],[Days]]),$G$5,"")),"")</f>
        <v/>
      </c>
      <c r="AA75" s="36" t="str">
        <f ca="1">IFERROR(+IF(AA$27=ProposalToGnatt[[#This Row],[Start Date]],Milestone_Marker,IF(AND(AA$27&gt;ProposalToGnatt[[#This Row],[Start Date]],AA$27&lt;ProposalToGnatt[[#This Row],[Start Date]]+ProposalToGnatt[[#This Row],[Days]]),$G$5,"")),"")</f>
        <v/>
      </c>
      <c r="AB75" s="36" t="str">
        <f ca="1">IFERROR(+IF(AB$27=ProposalToGnatt[[#This Row],[Start Date]],Milestone_Marker,IF(AND(AB$27&gt;ProposalToGnatt[[#This Row],[Start Date]],AB$27&lt;ProposalToGnatt[[#This Row],[Start Date]]+ProposalToGnatt[[#This Row],[Days]]),$G$5,"")),"")</f>
        <v/>
      </c>
      <c r="AC75" s="36" t="str">
        <f ca="1">IFERROR(+IF(AC$27=ProposalToGnatt[[#This Row],[Start Date]],Milestone_Marker,IF(AND(AC$27&gt;ProposalToGnatt[[#This Row],[Start Date]],AC$27&lt;ProposalToGnatt[[#This Row],[Start Date]]+ProposalToGnatt[[#This Row],[Days]]),$G$5,"")),"")</f>
        <v/>
      </c>
      <c r="AD75" s="36" t="str">
        <f ca="1">IFERROR(+IF(AD$27=ProposalToGnatt[[#This Row],[Start Date]],Milestone_Marker,IF(AND(AD$27&gt;ProposalToGnatt[[#This Row],[Start Date]],AD$27&lt;ProposalToGnatt[[#This Row],[Start Date]]+ProposalToGnatt[[#This Row],[Days]]),$G$5,"")),"")</f>
        <v/>
      </c>
      <c r="AE75" s="36" t="str">
        <f ca="1">IFERROR(+IF(AE$27=ProposalToGnatt[[#This Row],[Start Date]],Milestone_Marker,IF(AND(AE$27&gt;ProposalToGnatt[[#This Row],[Start Date]],AE$27&lt;ProposalToGnatt[[#This Row],[Start Date]]+ProposalToGnatt[[#This Row],[Days]]),$G$5,"")),"")</f>
        <v/>
      </c>
      <c r="AF75" s="36" t="str">
        <f ca="1">IFERROR(+IF(AF$27=ProposalToGnatt[[#This Row],[Start Date]],Milestone_Marker,IF(AND(AF$27&gt;ProposalToGnatt[[#This Row],[Start Date]],AF$27&lt;ProposalToGnatt[[#This Row],[Start Date]]+ProposalToGnatt[[#This Row],[Days]]),$G$5,"")),"")</f>
        <v/>
      </c>
      <c r="AG75" s="36" t="str">
        <f ca="1">IFERROR(+IF(AG$27=ProposalToGnatt[[#This Row],[Start Date]],Milestone_Marker,IF(AND(AG$27&gt;ProposalToGnatt[[#This Row],[Start Date]],AG$27&lt;ProposalToGnatt[[#This Row],[Start Date]]+ProposalToGnatt[[#This Row],[Days]]),$G$5,"")),"")</f>
        <v/>
      </c>
      <c r="AH75" s="36" t="str">
        <f ca="1">IFERROR(+IF(AH$27=ProposalToGnatt[[#This Row],[Start Date]],Milestone_Marker,IF(AND(AH$27&gt;ProposalToGnatt[[#This Row],[Start Date]],AH$27&lt;ProposalToGnatt[[#This Row],[Start Date]]+ProposalToGnatt[[#This Row],[Days]]),$G$5,"")),"")</f>
        <v/>
      </c>
      <c r="AI75" s="36" t="str">
        <f ca="1">IFERROR(+IF(AI$27=ProposalToGnatt[[#This Row],[Start Date]],Milestone_Marker,IF(AND(AI$27&gt;ProposalToGnatt[[#This Row],[Start Date]],AI$27&lt;ProposalToGnatt[[#This Row],[Start Date]]+ProposalToGnatt[[#This Row],[Days]]),$G$5,"")),"")</f>
        <v/>
      </c>
      <c r="AJ75" s="36" t="str">
        <f ca="1">IFERROR(+IF(AJ$27=ProposalToGnatt[[#This Row],[Start Date]],Milestone_Marker,IF(AND(AJ$27&gt;ProposalToGnatt[[#This Row],[Start Date]],AJ$27&lt;ProposalToGnatt[[#This Row],[Start Date]]+ProposalToGnatt[[#This Row],[Days]]),$G$5,"")),"")</f>
        <v/>
      </c>
      <c r="AK75" s="36" t="str">
        <f ca="1">IFERROR(+IF(AK$27=ProposalToGnatt[[#This Row],[Start Date]],Milestone_Marker,IF(AND(AK$27&gt;ProposalToGnatt[[#This Row],[Start Date]],AK$27&lt;ProposalToGnatt[[#This Row],[Start Date]]+ProposalToGnatt[[#This Row],[Days]]),$G$5,"")),"")</f>
        <v/>
      </c>
      <c r="AL75" s="36" t="str">
        <f ca="1">IFERROR(+IF(AL$27=ProposalToGnatt[[#This Row],[Start Date]],Milestone_Marker,IF(AND(AL$27&gt;ProposalToGnatt[[#This Row],[Start Date]],AL$27&lt;ProposalToGnatt[[#This Row],[Start Date]]+ProposalToGnatt[[#This Row],[Days]]),$G$5,"")),"")</f>
        <v/>
      </c>
      <c r="AM75" s="36" t="str">
        <f ca="1">IFERROR(+IF(AM$27=ProposalToGnatt[[#This Row],[Start Date]],Milestone_Marker,IF(AND(AM$27&gt;ProposalToGnatt[[#This Row],[Start Date]],AM$27&lt;ProposalToGnatt[[#This Row],[Start Date]]+ProposalToGnatt[[#This Row],[Days]]),$G$5,"")),"")</f>
        <v/>
      </c>
      <c r="AN75" s="36" t="str">
        <f ca="1">IFERROR(+IF(AN$27=ProposalToGnatt[[#This Row],[Start Date]],Milestone_Marker,IF(AND(AN$27&gt;ProposalToGnatt[[#This Row],[Start Date]],AN$27&lt;ProposalToGnatt[[#This Row],[Start Date]]+ProposalToGnatt[[#This Row],[Days]]),$G$5,"")),"")</f>
        <v/>
      </c>
      <c r="AO75" s="36" t="str">
        <f ca="1">IFERROR(+IF(AO$27=ProposalToGnatt[[#This Row],[Start Date]],Milestone_Marker,IF(AND(AO$27&gt;ProposalToGnatt[[#This Row],[Start Date]],AO$27&lt;ProposalToGnatt[[#This Row],[Start Date]]+ProposalToGnatt[[#This Row],[Days]]),$G$5,"")),"")</f>
        <v/>
      </c>
      <c r="AP75" s="36" t="str">
        <f ca="1">IFERROR(+IF(AP$27=ProposalToGnatt[[#This Row],[Start Date]],Milestone_Marker,IF(AND(AP$27&gt;ProposalToGnatt[[#This Row],[Start Date]],AP$27&lt;ProposalToGnatt[[#This Row],[Start Date]]+ProposalToGnatt[[#This Row],[Days]]),$G$5,"")),"")</f>
        <v/>
      </c>
      <c r="AQ75" s="36" t="str">
        <f ca="1">IFERROR(+IF(AQ$27=ProposalToGnatt[[#This Row],[Start Date]],Milestone_Marker,IF(AND(AQ$27&gt;ProposalToGnatt[[#This Row],[Start Date]],AQ$27&lt;ProposalToGnatt[[#This Row],[Start Date]]+ProposalToGnatt[[#This Row],[Days]]),$G$5,"")),"")</f>
        <v/>
      </c>
      <c r="AR75" s="36" t="str">
        <f ca="1">IFERROR(+IF(AR$27=ProposalToGnatt[[#This Row],[Start Date]],Milestone_Marker,IF(AND(AR$27&gt;ProposalToGnatt[[#This Row],[Start Date]],AR$27&lt;ProposalToGnatt[[#This Row],[Start Date]]+ProposalToGnatt[[#This Row],[Days]]),$G$5,"")),"")</f>
        <v/>
      </c>
      <c r="AS75" s="36" t="str">
        <f ca="1">IFERROR(+IF(AS$27=ProposalToGnatt[[#This Row],[Start Date]],Milestone_Marker,IF(AND(AS$27&gt;ProposalToGnatt[[#This Row],[Start Date]],AS$27&lt;ProposalToGnatt[[#This Row],[Start Date]]+ProposalToGnatt[[#This Row],[Days]]),$G$5,"")),"")</f>
        <v/>
      </c>
      <c r="AT75" s="36" t="str">
        <f ca="1">IFERROR(+IF(AT$27=ProposalToGnatt[[#This Row],[Start Date]],Milestone_Marker,IF(AND(AT$27&gt;ProposalToGnatt[[#This Row],[Start Date]],AT$27&lt;ProposalToGnatt[[#This Row],[Start Date]]+ProposalToGnatt[[#This Row],[Days]]),$G$5,"")),"")</f>
        <v/>
      </c>
      <c r="AU75" s="36" t="str">
        <f ca="1">IFERROR(+IF(AU$27=ProposalToGnatt[[#This Row],[Start Date]],Milestone_Marker,IF(AND(AU$27&gt;ProposalToGnatt[[#This Row],[Start Date]],AU$27&lt;ProposalToGnatt[[#This Row],[Start Date]]+ProposalToGnatt[[#This Row],[Days]]),$G$5,"")),"")</f>
        <v/>
      </c>
      <c r="AV75" s="36" t="str">
        <f ca="1">IFERROR(+IF(AV$27=ProposalToGnatt[[#This Row],[Start Date]],Milestone_Marker,IF(AND(AV$27&gt;ProposalToGnatt[[#This Row],[Start Date]],AV$27&lt;ProposalToGnatt[[#This Row],[Start Date]]+ProposalToGnatt[[#This Row],[Days]]),$G$5,"")),"")</f>
        <v/>
      </c>
      <c r="AW75" s="36" t="str">
        <f ca="1">IFERROR(+IF(AW$27=ProposalToGnatt[[#This Row],[Start Date]],Milestone_Marker,IF(AND(AW$27&gt;ProposalToGnatt[[#This Row],[Start Date]],AW$27&lt;ProposalToGnatt[[#This Row],[Start Date]]+ProposalToGnatt[[#This Row],[Days]]),$G$5,"")),"")</f>
        <v/>
      </c>
      <c r="AX75" s="36" t="str">
        <f ca="1">IFERROR(+IF(AX$27=ProposalToGnatt[[#This Row],[Start Date]],Milestone_Marker,IF(AND(AX$27&gt;ProposalToGnatt[[#This Row],[Start Date]],AX$27&lt;ProposalToGnatt[[#This Row],[Start Date]]+ProposalToGnatt[[#This Row],[Days]]),$G$5,"")),"")</f>
        <v/>
      </c>
      <c r="AY75" s="36" t="str">
        <f ca="1">IFERROR(+IF(AY$27=ProposalToGnatt[[#This Row],[Start Date]],Milestone_Marker,IF(AND(AY$27&gt;ProposalToGnatt[[#This Row],[Start Date]],AY$27&lt;ProposalToGnatt[[#This Row],[Start Date]]+ProposalToGnatt[[#This Row],[Days]]),$G$5,"")),"")</f>
        <v/>
      </c>
      <c r="AZ75" s="36" t="str">
        <f ca="1">IFERROR(+IF(AZ$27=ProposalToGnatt[[#This Row],[Start Date]],Milestone_Marker,IF(AND(AZ$27&gt;ProposalToGnatt[[#This Row],[Start Date]],AZ$27&lt;ProposalToGnatt[[#This Row],[Start Date]]+ProposalToGnatt[[#This Row],[Days]]),$G$5,"")),"")</f>
        <v/>
      </c>
      <c r="BA75" s="36" t="str">
        <f ca="1">IFERROR(+IF(BA$27=ProposalToGnatt[[#This Row],[Start Date]],Milestone_Marker,IF(AND(BA$27&gt;ProposalToGnatt[[#This Row],[Start Date]],BA$27&lt;ProposalToGnatt[[#This Row],[Start Date]]+ProposalToGnatt[[#This Row],[Days]]),$G$5,"")),"")</f>
        <v/>
      </c>
      <c r="BB75" s="36" t="str">
        <f ca="1">IFERROR(+IF(BB$27=ProposalToGnatt[[#This Row],[Start Date]],Milestone_Marker,IF(AND(BB$27&gt;ProposalToGnatt[[#This Row],[Start Date]],BB$27&lt;ProposalToGnatt[[#This Row],[Start Date]]+ProposalToGnatt[[#This Row],[Days]]),$G$5,"")),"")</f>
        <v/>
      </c>
      <c r="BC75" s="36" t="str">
        <f ca="1">IFERROR(+IF(BC$27=ProposalToGnatt[[#This Row],[Start Date]],Milestone_Marker,IF(AND(BC$27&gt;ProposalToGnatt[[#This Row],[Start Date]],BC$27&lt;ProposalToGnatt[[#This Row],[Start Date]]+ProposalToGnatt[[#This Row],[Days]]),$G$5,"")),"")</f>
        <v/>
      </c>
      <c r="BD75" s="36" t="str">
        <f ca="1">IFERROR(+IF(BD$27=ProposalToGnatt[[#This Row],[Start Date]],Milestone_Marker,IF(AND(BD$27&gt;ProposalToGnatt[[#This Row],[Start Date]],BD$27&lt;ProposalToGnatt[[#This Row],[Start Date]]+ProposalToGnatt[[#This Row],[Days]]),$G$5,"")),"")</f>
        <v/>
      </c>
      <c r="BE75" s="36" t="str">
        <f ca="1">IFERROR(+IF(BE$27=ProposalToGnatt[[#This Row],[Start Date]],Milestone_Marker,IF(AND(BE$27&gt;ProposalToGnatt[[#This Row],[Start Date]],BE$27&lt;ProposalToGnatt[[#This Row],[Start Date]]+ProposalToGnatt[[#This Row],[Days]]),$G$5,"")),"")</f>
        <v/>
      </c>
      <c r="BF75" s="36" t="str">
        <f ca="1">IFERROR(+IF(BF$27=ProposalToGnatt[[#This Row],[Start Date]],Milestone_Marker,IF(AND(BF$27&gt;ProposalToGnatt[[#This Row],[Start Date]],BF$27&lt;ProposalToGnatt[[#This Row],[Start Date]]+ProposalToGnatt[[#This Row],[Days]]),$G$5,"")),"")</f>
        <v/>
      </c>
      <c r="BG75" s="36" t="str">
        <f ca="1">IFERROR(+IF(BG$27=ProposalToGnatt[[#This Row],[Start Date]],Milestone_Marker,IF(AND(BG$27&gt;ProposalToGnatt[[#This Row],[Start Date]],BG$27&lt;ProposalToGnatt[[#This Row],[Start Date]]+ProposalToGnatt[[#This Row],[Days]]),$G$5,"")),"")</f>
        <v/>
      </c>
      <c r="BH75" s="36" t="str">
        <f ca="1">IFERROR(+IF(BH$27=ProposalToGnatt[[#This Row],[Start Date]],Milestone_Marker,IF(AND(BH$27&gt;ProposalToGnatt[[#This Row],[Start Date]],BH$27&lt;ProposalToGnatt[[#This Row],[Start Date]]+ProposalToGnatt[[#This Row],[Days]]),$G$5,"")),"")</f>
        <v/>
      </c>
      <c r="BI75" s="36" t="str">
        <f ca="1">IFERROR(+IF(BI$27=ProposalToGnatt[[#This Row],[Start Date]],Milestone_Marker,IF(AND(BI$27&gt;ProposalToGnatt[[#This Row],[Start Date]],BI$27&lt;ProposalToGnatt[[#This Row],[Start Date]]+ProposalToGnatt[[#This Row],[Days]]),$G$5,"")),"")</f>
        <v/>
      </c>
      <c r="BJ75" s="36" t="str">
        <f ca="1">IFERROR(+IF(BJ$27=ProposalToGnatt[[#This Row],[Start Date]],Milestone_Marker,IF(AND(BJ$27&gt;ProposalToGnatt[[#This Row],[Start Date]],BJ$27&lt;ProposalToGnatt[[#This Row],[Start Date]]+ProposalToGnatt[[#This Row],[Days]]),$G$5,"")),"")</f>
        <v/>
      </c>
      <c r="BK75" s="36" t="str">
        <f ca="1">IFERROR(+IF(BK$27=ProposalToGnatt[[#This Row],[Start Date]],Milestone_Marker,IF(AND(BK$27&gt;ProposalToGnatt[[#This Row],[Start Date]],BK$27&lt;ProposalToGnatt[[#This Row],[Start Date]]+ProposalToGnatt[[#This Row],[Days]]),$G$5,"")),"")</f>
        <v/>
      </c>
      <c r="BL75" s="36" t="str">
        <f ca="1">IFERROR(+IF(BL$27=ProposalToGnatt[[#This Row],[Start Date]],Milestone_Marker,IF(AND(BL$27&gt;ProposalToGnatt[[#This Row],[Start Date]],BL$27&lt;ProposalToGnatt[[#This Row],[Start Date]]+ProposalToGnatt[[#This Row],[Days]]),$G$5,"")),"")</f>
        <v/>
      </c>
      <c r="BM75" s="36" t="str">
        <f ca="1">IFERROR(+IF(BM$27=ProposalToGnatt[[#This Row],[Start Date]],Milestone_Marker,IF(AND(BM$27&gt;ProposalToGnatt[[#This Row],[Start Date]],BM$27&lt;ProposalToGnatt[[#This Row],[Start Date]]+ProposalToGnatt[[#This Row],[Days]]),$G$5,"")),"")</f>
        <v/>
      </c>
      <c r="BN75" s="36" t="str">
        <f ca="1">IFERROR(+IF(BN$27=ProposalToGnatt[[#This Row],[Start Date]],Milestone_Marker,IF(AND(BN$27&gt;ProposalToGnatt[[#This Row],[Start Date]],BN$27&lt;ProposalToGnatt[[#This Row],[Start Date]]+ProposalToGnatt[[#This Row],[Days]]),$G$5,"")),"")</f>
        <v/>
      </c>
      <c r="BO75" s="36" t="str">
        <f ca="1">IFERROR(+IF(BO$27=ProposalToGnatt[[#This Row],[Start Date]],Milestone_Marker,IF(AND(BO$27&gt;ProposalToGnatt[[#This Row],[Start Date]],BO$27&lt;ProposalToGnatt[[#This Row],[Start Date]]+ProposalToGnatt[[#This Row],[Days]]),$G$5,"")),"")</f>
        <v/>
      </c>
      <c r="BP75" s="36" t="str">
        <f ca="1">IFERROR(+IF(BP$27=ProposalToGnatt[[#This Row],[Start Date]],Milestone_Marker,IF(AND(BP$27&gt;ProposalToGnatt[[#This Row],[Start Date]],BP$27&lt;ProposalToGnatt[[#This Row],[Start Date]]+ProposalToGnatt[[#This Row],[Days]]),$G$5,"")),"")</f>
        <v/>
      </c>
      <c r="BQ75" s="36" t="str">
        <f ca="1">IFERROR(+IF(BQ$27=ProposalToGnatt[[#This Row],[Start Date]],Milestone_Marker,IF(AND(BQ$27&gt;ProposalToGnatt[[#This Row],[Start Date]],BQ$27&lt;ProposalToGnatt[[#This Row],[Start Date]]+ProposalToGnatt[[#This Row],[Days]]),$G$5,"")),"")</f>
        <v/>
      </c>
      <c r="BR75" s="36" t="str">
        <f ca="1">IFERROR(+IF(BR$27=ProposalToGnatt[[#This Row],[Start Date]],Milestone_Marker,IF(AND(BR$27&gt;ProposalToGnatt[[#This Row],[Start Date]],BR$27&lt;ProposalToGnatt[[#This Row],[Start Date]]+ProposalToGnatt[[#This Row],[Days]]),$G$5,"")),"")</f>
        <v/>
      </c>
      <c r="BS75" s="36" t="str">
        <f ca="1">IFERROR(+IF(BS$27=ProposalToGnatt[[#This Row],[Start Date]],Milestone_Marker,IF(AND(BS$27&gt;ProposalToGnatt[[#This Row],[Start Date]],BS$27&lt;ProposalToGnatt[[#This Row],[Start Date]]+ProposalToGnatt[[#This Row],[Days]]),$G$5,"")),"")</f>
        <v/>
      </c>
      <c r="BT75" s="36" t="str">
        <f ca="1">IFERROR(+IF(BT$27=ProposalToGnatt[[#This Row],[Start Date]],Milestone_Marker,IF(AND(BT$27&gt;ProposalToGnatt[[#This Row],[Start Date]],BT$27&lt;ProposalToGnatt[[#This Row],[Start Date]]+ProposalToGnatt[[#This Row],[Days]]),$G$5,"")),"")</f>
        <v/>
      </c>
      <c r="BU75" s="36" t="str">
        <f ca="1">IFERROR(+IF(BU$27=ProposalToGnatt[[#This Row],[Start Date]],Milestone_Marker,IF(AND(BU$27&gt;ProposalToGnatt[[#This Row],[Start Date]],BU$27&lt;ProposalToGnatt[[#This Row],[Start Date]]+ProposalToGnatt[[#This Row],[Days]]),$G$5,"")),"")</f>
        <v/>
      </c>
      <c r="BV75" s="36" t="str">
        <f ca="1">IFERROR(+IF(BV$27=ProposalToGnatt[[#This Row],[Start Date]],Milestone_Marker,IF(AND(BV$27&gt;ProposalToGnatt[[#This Row],[Start Date]],BV$27&lt;ProposalToGnatt[[#This Row],[Start Date]]+ProposalToGnatt[[#This Row],[Days]]),$G$5,"")),"")</f>
        <v/>
      </c>
      <c r="BW75" s="36" t="str">
        <f ca="1">IFERROR(+IF(BW$27=ProposalToGnatt[[#This Row],[Start Date]],Milestone_Marker,IF(AND(BW$27&gt;ProposalToGnatt[[#This Row],[Start Date]],BW$27&lt;ProposalToGnatt[[#This Row],[Start Date]]+ProposalToGnatt[[#This Row],[Days]]),$G$5,"")),"")</f>
        <v/>
      </c>
      <c r="BX75" s="36" t="str">
        <f ca="1">IFERROR(+IF(BX$27=ProposalToGnatt[[#This Row],[Start Date]],Milestone_Marker,IF(AND(BX$27&gt;ProposalToGnatt[[#This Row],[Start Date]],BX$27&lt;ProposalToGnatt[[#This Row],[Start Date]]+ProposalToGnatt[[#This Row],[Days]]),$G$5,"")),"")</f>
        <v/>
      </c>
      <c r="BY75" s="36" t="str">
        <f ca="1">IFERROR(+IF(BY$27=ProposalToGnatt[[#This Row],[Start Date]],Milestone_Marker,IF(AND(BY$27&gt;ProposalToGnatt[[#This Row],[Start Date]],BY$27&lt;ProposalToGnatt[[#This Row],[Start Date]]+ProposalToGnatt[[#This Row],[Days]]),$G$5,"")),"")</f>
        <v/>
      </c>
      <c r="BZ75" s="36" t="str">
        <f ca="1">IFERROR(+IF(BZ$27=ProposalToGnatt[[#This Row],[Start Date]],Milestone_Marker,IF(AND(BZ$27&gt;ProposalToGnatt[[#This Row],[Start Date]],BZ$27&lt;ProposalToGnatt[[#This Row],[Start Date]]+ProposalToGnatt[[#This Row],[Days]]),$G$5,"")),"")</f>
        <v/>
      </c>
      <c r="CA75" s="36" t="str">
        <f ca="1">IFERROR(+IF(CA$27=ProposalToGnatt[[#This Row],[Start Date]],Milestone_Marker,IF(AND(CA$27&gt;ProposalToGnatt[[#This Row],[Start Date]],CA$27&lt;ProposalToGnatt[[#This Row],[Start Date]]+ProposalToGnatt[[#This Row],[Days]]),$G$5,"")),"")</f>
        <v/>
      </c>
      <c r="CB75" s="36" t="str">
        <f ca="1">IFERROR(+IF(CB$27=ProposalToGnatt[[#This Row],[Start Date]],Milestone_Marker,IF(AND(CB$27&gt;ProposalToGnatt[[#This Row],[Start Date]],CB$27&lt;ProposalToGnatt[[#This Row],[Start Date]]+ProposalToGnatt[[#This Row],[Days]]),$G$5,"")),"")</f>
        <v/>
      </c>
      <c r="CC75" s="36" t="str">
        <f ca="1">IFERROR(+IF(CC$27=ProposalToGnatt[[#This Row],[Start Date]],Milestone_Marker,IF(AND(CC$27&gt;ProposalToGnatt[[#This Row],[Start Date]],CC$27&lt;ProposalToGnatt[[#This Row],[Start Date]]+ProposalToGnatt[[#This Row],[Days]]),$G$5,"")),"")</f>
        <v/>
      </c>
      <c r="CD75" s="36" t="str">
        <f ca="1">IFERROR(+IF(CD$27=ProposalToGnatt[[#This Row],[Start Date]],Milestone_Marker,IF(AND(CD$27&gt;ProposalToGnatt[[#This Row],[Start Date]],CD$27&lt;ProposalToGnatt[[#This Row],[Start Date]]+ProposalToGnatt[[#This Row],[Days]]),$G$5,"")),"")</f>
        <v/>
      </c>
      <c r="CE75" s="36" t="str">
        <f ca="1">IFERROR(+IF(CE$27=ProposalToGnatt[[#This Row],[Start Date]],Milestone_Marker,IF(AND(CE$27&gt;ProposalToGnatt[[#This Row],[Start Date]],CE$27&lt;ProposalToGnatt[[#This Row],[Start Date]]+ProposalToGnatt[[#This Row],[Days]]),$G$5,"")),"")</f>
        <v/>
      </c>
      <c r="CF75" s="36" t="str">
        <f ca="1">IFERROR(+IF(CF$27=ProposalToGnatt[[#This Row],[Start Date]],Milestone_Marker,IF(AND(CF$27&gt;ProposalToGnatt[[#This Row],[Start Date]],CF$27&lt;ProposalToGnatt[[#This Row],[Start Date]]+ProposalToGnatt[[#This Row],[Days]]),$G$5,"")),"")</f>
        <v/>
      </c>
      <c r="CG75" s="36" t="str">
        <f ca="1">IFERROR(+IF(CG$27=ProposalToGnatt[[#This Row],[Start Date]],Milestone_Marker,IF(AND(CG$27&gt;ProposalToGnatt[[#This Row],[Start Date]],CG$27&lt;ProposalToGnatt[[#This Row],[Start Date]]+ProposalToGnatt[[#This Row],[Days]]),$G$5,"")),"")</f>
        <v/>
      </c>
      <c r="CH75" s="36" t="str">
        <f ca="1">IFERROR(+IF(CH$27=ProposalToGnatt[[#This Row],[Start Date]],Milestone_Marker,IF(AND(CH$27&gt;ProposalToGnatt[[#This Row],[Start Date]],CH$27&lt;ProposalToGnatt[[#This Row],[Start Date]]+ProposalToGnatt[[#This Row],[Days]]),$G$5,"")),"")</f>
        <v/>
      </c>
      <c r="CI75" s="36" t="str">
        <f ca="1">IFERROR(+IF(CI$27=ProposalToGnatt[[#This Row],[Start Date]],Milestone_Marker,IF(AND(CI$27&gt;ProposalToGnatt[[#This Row],[Start Date]],CI$27&lt;ProposalToGnatt[[#This Row],[Start Date]]+ProposalToGnatt[[#This Row],[Days]]),$G$5,"")),"")</f>
        <v/>
      </c>
      <c r="CJ75" s="36" t="str">
        <f ca="1">IFERROR(+IF(CJ$27=ProposalToGnatt[[#This Row],[Start Date]],Milestone_Marker,IF(AND(CJ$27&gt;ProposalToGnatt[[#This Row],[Start Date]],CJ$27&lt;ProposalToGnatt[[#This Row],[Start Date]]+ProposalToGnatt[[#This Row],[Days]]),$G$5,"")),"")</f>
        <v/>
      </c>
      <c r="CK75" s="36" t="str">
        <f ca="1">IFERROR(+IF(CK$27=ProposalToGnatt[[#This Row],[Start Date]],Milestone_Marker,IF(AND(CK$27&gt;ProposalToGnatt[[#This Row],[Start Date]],CK$27&lt;ProposalToGnatt[[#This Row],[Start Date]]+ProposalToGnatt[[#This Row],[Days]]),$G$5,"")),"")</f>
        <v/>
      </c>
      <c r="CL75" s="36" t="str">
        <f ca="1">IFERROR(+IF(CL$27=ProposalToGnatt[[#This Row],[Start Date]],Milestone_Marker,IF(AND(CL$27&gt;ProposalToGnatt[[#This Row],[Start Date]],CL$27&lt;ProposalToGnatt[[#This Row],[Start Date]]+ProposalToGnatt[[#This Row],[Days]]),$G$5,"")),"")</f>
        <v/>
      </c>
      <c r="CM75" s="36" t="str">
        <f ca="1">IFERROR(+IF(CM$27=ProposalToGnatt[[#This Row],[Start Date]],Milestone_Marker,IF(AND(CM$27&gt;ProposalToGnatt[[#This Row],[Start Date]],CM$27&lt;ProposalToGnatt[[#This Row],[Start Date]]+ProposalToGnatt[[#This Row],[Days]]),$G$5,"")),"")</f>
        <v/>
      </c>
      <c r="CN75" s="36" t="str">
        <f ca="1">IFERROR(+IF(CN$27=ProposalToGnatt[[#This Row],[Start Date]],Milestone_Marker,IF(AND(CN$27&gt;ProposalToGnatt[[#This Row],[Start Date]],CN$27&lt;ProposalToGnatt[[#This Row],[Start Date]]+ProposalToGnatt[[#This Row],[Days]]),$G$5,"")),"")</f>
        <v/>
      </c>
      <c r="CO75" s="36" t="str">
        <f ca="1">IFERROR(+IF(CO$27=ProposalToGnatt[[#This Row],[Start Date]],Milestone_Marker,IF(AND(CO$27&gt;ProposalToGnatt[[#This Row],[Start Date]],CO$27&lt;ProposalToGnatt[[#This Row],[Start Date]]+ProposalToGnatt[[#This Row],[Days]]),$G$5,"")),"")</f>
        <v/>
      </c>
      <c r="CP75" s="36" t="str">
        <f ca="1">IFERROR(+IF(CP$27=ProposalToGnatt[[#This Row],[Start Date]],Milestone_Marker,IF(AND(CP$27&gt;ProposalToGnatt[[#This Row],[Start Date]],CP$27&lt;ProposalToGnatt[[#This Row],[Start Date]]+ProposalToGnatt[[#This Row],[Days]]),$G$5,"")),"")</f>
        <v/>
      </c>
      <c r="CQ75" s="36" t="str">
        <f ca="1">IFERROR(+IF(CQ$27=ProposalToGnatt[[#This Row],[Start Date]],Milestone_Marker,IF(AND(CQ$27&gt;ProposalToGnatt[[#This Row],[Start Date]],CQ$27&lt;ProposalToGnatt[[#This Row],[Start Date]]+ProposalToGnatt[[#This Row],[Days]]),$G$5,"")),"")</f>
        <v/>
      </c>
      <c r="CR75" s="36" t="str">
        <f ca="1">IFERROR(+IF(CR$27=ProposalToGnatt[[#This Row],[Start Date]],Milestone_Marker,IF(AND(CR$27&gt;ProposalToGnatt[[#This Row],[Start Date]],CR$27&lt;ProposalToGnatt[[#This Row],[Start Date]]+ProposalToGnatt[[#This Row],[Days]]),$G$5,"")),"")</f>
        <v/>
      </c>
      <c r="CS75" s="36" t="str">
        <f ca="1">IFERROR(+IF(CS$27=ProposalToGnatt[[#This Row],[Start Date]],Milestone_Marker,IF(AND(CS$27&gt;ProposalToGnatt[[#This Row],[Start Date]],CS$27&lt;ProposalToGnatt[[#This Row],[Start Date]]+ProposalToGnatt[[#This Row],[Days]]),$G$5,"")),"")</f>
        <v/>
      </c>
      <c r="CT75" s="36" t="str">
        <f ca="1">IFERROR(+IF(CT$27=ProposalToGnatt[[#This Row],[Start Date]],Milestone_Marker,IF(AND(CT$27&gt;ProposalToGnatt[[#This Row],[Start Date]],CT$27&lt;ProposalToGnatt[[#This Row],[Start Date]]+ProposalToGnatt[[#This Row],[Days]]),$G$5,"")),"")</f>
        <v/>
      </c>
      <c r="CU75" s="36" t="str">
        <f ca="1">IFERROR(+IF(CU$27=ProposalToGnatt[[#This Row],[Start Date]],Milestone_Marker,IF(AND(CU$27&gt;ProposalToGnatt[[#This Row],[Start Date]],CU$27&lt;ProposalToGnatt[[#This Row],[Start Date]]+ProposalToGnatt[[#This Row],[Days]]),$G$5,"")),"")</f>
        <v/>
      </c>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row>
    <row r="76" spans="1:125" ht="15" x14ac:dyDescent="0.25">
      <c r="A76"/>
      <c r="B76"/>
      <c r="C76"/>
      <c r="D76"/>
      <c r="E76"/>
      <c r="F76"/>
      <c r="G76" s="14"/>
      <c r="H76" s="14"/>
      <c r="I76"/>
      <c r="J76"/>
      <c r="K76" s="261"/>
      <c r="L76"/>
      <c r="M76" s="14"/>
      <c r="N76" s="309"/>
      <c r="O76" s="297"/>
      <c r="P76" s="36" t="str">
        <f ca="1">IFERROR(+IF(P$27=ProposalToGnatt[[#This Row],[Start Date]],Milestone_Marker,IF(AND(P$27&gt;ProposalToGnatt[[#This Row],[Start Date]],P$27&lt;ProposalToGnatt[[#This Row],[Start Date]]+ProposalToGnatt[[#This Row],[Days]]),$G$5,"")),"")</f>
        <v/>
      </c>
      <c r="Q76" s="36" t="str">
        <f ca="1">IFERROR(+IF(Q$27=ProposalToGnatt[[#This Row],[Start Date]],Milestone_Marker,IF(AND(Q$27&gt;ProposalToGnatt[[#This Row],[Start Date]],Q$27&lt;ProposalToGnatt[[#This Row],[Start Date]]+ProposalToGnatt[[#This Row],[Days]]),$G$5,"")),"")</f>
        <v/>
      </c>
      <c r="R76" s="36" t="str">
        <f ca="1">IFERROR(+IF(R$27=ProposalToGnatt[[#This Row],[Start Date]],Milestone_Marker,IF(AND(R$27&gt;ProposalToGnatt[[#This Row],[Start Date]],R$27&lt;ProposalToGnatt[[#This Row],[Start Date]]+ProposalToGnatt[[#This Row],[Days]]),$G$5,"")),"")</f>
        <v/>
      </c>
      <c r="S76" s="36" t="str">
        <f ca="1">IFERROR(+IF(S$27=ProposalToGnatt[[#This Row],[Start Date]],Milestone_Marker,IF(AND(S$27&gt;ProposalToGnatt[[#This Row],[Start Date]],S$27&lt;ProposalToGnatt[[#This Row],[Start Date]]+ProposalToGnatt[[#This Row],[Days]]),$G$5,"")),"")</f>
        <v/>
      </c>
      <c r="T76" s="36" t="str">
        <f ca="1">IFERROR(+IF(T$27=ProposalToGnatt[[#This Row],[Start Date]],Milestone_Marker,IF(AND(T$27&gt;ProposalToGnatt[[#This Row],[Start Date]],T$27&lt;ProposalToGnatt[[#This Row],[Start Date]]+ProposalToGnatt[[#This Row],[Days]]),$G$5,"")),"")</f>
        <v/>
      </c>
      <c r="U76" s="36" t="str">
        <f ca="1">IFERROR(+IF(U$27=ProposalToGnatt[[#This Row],[Start Date]],Milestone_Marker,IF(AND(U$27&gt;ProposalToGnatt[[#This Row],[Start Date]],U$27&lt;ProposalToGnatt[[#This Row],[Start Date]]+ProposalToGnatt[[#This Row],[Days]]),$G$5,"")),"")</f>
        <v/>
      </c>
      <c r="V76" s="36" t="str">
        <f ca="1">IFERROR(+IF(V$27=ProposalToGnatt[[#This Row],[Start Date]],Milestone_Marker,IF(AND(V$27&gt;ProposalToGnatt[[#This Row],[Start Date]],V$27&lt;ProposalToGnatt[[#This Row],[Start Date]]+ProposalToGnatt[[#This Row],[Days]]),$G$5,"")),"")</f>
        <v/>
      </c>
      <c r="W76" s="36" t="str">
        <f ca="1">IFERROR(+IF(W$27=ProposalToGnatt[[#This Row],[Start Date]],Milestone_Marker,IF(AND(W$27&gt;ProposalToGnatt[[#This Row],[Start Date]],W$27&lt;ProposalToGnatt[[#This Row],[Start Date]]+ProposalToGnatt[[#This Row],[Days]]),$G$5,"")),"")</f>
        <v/>
      </c>
      <c r="X76" s="36" t="str">
        <f ca="1">IFERROR(+IF(X$27=ProposalToGnatt[[#This Row],[Start Date]],Milestone_Marker,IF(AND(X$27&gt;ProposalToGnatt[[#This Row],[Start Date]],X$27&lt;ProposalToGnatt[[#This Row],[Start Date]]+ProposalToGnatt[[#This Row],[Days]]),$G$5,"")),"")</f>
        <v/>
      </c>
      <c r="Y76" s="36" t="str">
        <f ca="1">IFERROR(+IF(Y$27=ProposalToGnatt[[#This Row],[Start Date]],Milestone_Marker,IF(AND(Y$27&gt;ProposalToGnatt[[#This Row],[Start Date]],Y$27&lt;ProposalToGnatt[[#This Row],[Start Date]]+ProposalToGnatt[[#This Row],[Days]]),$G$5,"")),"")</f>
        <v/>
      </c>
      <c r="Z76" s="36" t="str">
        <f ca="1">IFERROR(+IF(Z$27=ProposalToGnatt[[#This Row],[Start Date]],Milestone_Marker,IF(AND(Z$27&gt;ProposalToGnatt[[#This Row],[Start Date]],Z$27&lt;ProposalToGnatt[[#This Row],[Start Date]]+ProposalToGnatt[[#This Row],[Days]]),$G$5,"")),"")</f>
        <v/>
      </c>
      <c r="AA76" s="36" t="str">
        <f ca="1">IFERROR(+IF(AA$27=ProposalToGnatt[[#This Row],[Start Date]],Milestone_Marker,IF(AND(AA$27&gt;ProposalToGnatt[[#This Row],[Start Date]],AA$27&lt;ProposalToGnatt[[#This Row],[Start Date]]+ProposalToGnatt[[#This Row],[Days]]),$G$5,"")),"")</f>
        <v/>
      </c>
      <c r="AB76" s="36" t="str">
        <f ca="1">IFERROR(+IF(AB$27=ProposalToGnatt[[#This Row],[Start Date]],Milestone_Marker,IF(AND(AB$27&gt;ProposalToGnatt[[#This Row],[Start Date]],AB$27&lt;ProposalToGnatt[[#This Row],[Start Date]]+ProposalToGnatt[[#This Row],[Days]]),$G$5,"")),"")</f>
        <v/>
      </c>
      <c r="AC76" s="36" t="str">
        <f ca="1">IFERROR(+IF(AC$27=ProposalToGnatt[[#This Row],[Start Date]],Milestone_Marker,IF(AND(AC$27&gt;ProposalToGnatt[[#This Row],[Start Date]],AC$27&lt;ProposalToGnatt[[#This Row],[Start Date]]+ProposalToGnatt[[#This Row],[Days]]),$G$5,"")),"")</f>
        <v/>
      </c>
      <c r="AD76" s="36" t="str">
        <f ca="1">IFERROR(+IF(AD$27=ProposalToGnatt[[#This Row],[Start Date]],Milestone_Marker,IF(AND(AD$27&gt;ProposalToGnatt[[#This Row],[Start Date]],AD$27&lt;ProposalToGnatt[[#This Row],[Start Date]]+ProposalToGnatt[[#This Row],[Days]]),$G$5,"")),"")</f>
        <v/>
      </c>
      <c r="AE76" s="36" t="str">
        <f ca="1">IFERROR(+IF(AE$27=ProposalToGnatt[[#This Row],[Start Date]],Milestone_Marker,IF(AND(AE$27&gt;ProposalToGnatt[[#This Row],[Start Date]],AE$27&lt;ProposalToGnatt[[#This Row],[Start Date]]+ProposalToGnatt[[#This Row],[Days]]),$G$5,"")),"")</f>
        <v/>
      </c>
      <c r="AF76" s="36" t="str">
        <f ca="1">IFERROR(+IF(AF$27=ProposalToGnatt[[#This Row],[Start Date]],Milestone_Marker,IF(AND(AF$27&gt;ProposalToGnatt[[#This Row],[Start Date]],AF$27&lt;ProposalToGnatt[[#This Row],[Start Date]]+ProposalToGnatt[[#This Row],[Days]]),$G$5,"")),"")</f>
        <v/>
      </c>
      <c r="AG76" s="36" t="str">
        <f ca="1">IFERROR(+IF(AG$27=ProposalToGnatt[[#This Row],[Start Date]],Milestone_Marker,IF(AND(AG$27&gt;ProposalToGnatt[[#This Row],[Start Date]],AG$27&lt;ProposalToGnatt[[#This Row],[Start Date]]+ProposalToGnatt[[#This Row],[Days]]),$G$5,"")),"")</f>
        <v/>
      </c>
      <c r="AH76" s="36" t="str">
        <f ca="1">IFERROR(+IF(AH$27=ProposalToGnatt[[#This Row],[Start Date]],Milestone_Marker,IF(AND(AH$27&gt;ProposalToGnatt[[#This Row],[Start Date]],AH$27&lt;ProposalToGnatt[[#This Row],[Start Date]]+ProposalToGnatt[[#This Row],[Days]]),$G$5,"")),"")</f>
        <v/>
      </c>
      <c r="AI76" s="36" t="str">
        <f ca="1">IFERROR(+IF(AI$27=ProposalToGnatt[[#This Row],[Start Date]],Milestone_Marker,IF(AND(AI$27&gt;ProposalToGnatt[[#This Row],[Start Date]],AI$27&lt;ProposalToGnatt[[#This Row],[Start Date]]+ProposalToGnatt[[#This Row],[Days]]),$G$5,"")),"")</f>
        <v/>
      </c>
      <c r="AJ76" s="36" t="str">
        <f ca="1">IFERROR(+IF(AJ$27=ProposalToGnatt[[#This Row],[Start Date]],Milestone_Marker,IF(AND(AJ$27&gt;ProposalToGnatt[[#This Row],[Start Date]],AJ$27&lt;ProposalToGnatt[[#This Row],[Start Date]]+ProposalToGnatt[[#This Row],[Days]]),$G$5,"")),"")</f>
        <v/>
      </c>
      <c r="AK76" s="36" t="str">
        <f ca="1">IFERROR(+IF(AK$27=ProposalToGnatt[[#This Row],[Start Date]],Milestone_Marker,IF(AND(AK$27&gt;ProposalToGnatt[[#This Row],[Start Date]],AK$27&lt;ProposalToGnatt[[#This Row],[Start Date]]+ProposalToGnatt[[#This Row],[Days]]),$G$5,"")),"")</f>
        <v/>
      </c>
      <c r="AL76" s="36" t="str">
        <f ca="1">IFERROR(+IF(AL$27=ProposalToGnatt[[#This Row],[Start Date]],Milestone_Marker,IF(AND(AL$27&gt;ProposalToGnatt[[#This Row],[Start Date]],AL$27&lt;ProposalToGnatt[[#This Row],[Start Date]]+ProposalToGnatt[[#This Row],[Days]]),$G$5,"")),"")</f>
        <v/>
      </c>
      <c r="AM76" s="36" t="str">
        <f ca="1">IFERROR(+IF(AM$27=ProposalToGnatt[[#This Row],[Start Date]],Milestone_Marker,IF(AND(AM$27&gt;ProposalToGnatt[[#This Row],[Start Date]],AM$27&lt;ProposalToGnatt[[#This Row],[Start Date]]+ProposalToGnatt[[#This Row],[Days]]),$G$5,"")),"")</f>
        <v/>
      </c>
      <c r="AN76" s="36" t="str">
        <f ca="1">IFERROR(+IF(AN$27=ProposalToGnatt[[#This Row],[Start Date]],Milestone_Marker,IF(AND(AN$27&gt;ProposalToGnatt[[#This Row],[Start Date]],AN$27&lt;ProposalToGnatt[[#This Row],[Start Date]]+ProposalToGnatt[[#This Row],[Days]]),$G$5,"")),"")</f>
        <v/>
      </c>
      <c r="AO76" s="36" t="str">
        <f ca="1">IFERROR(+IF(AO$27=ProposalToGnatt[[#This Row],[Start Date]],Milestone_Marker,IF(AND(AO$27&gt;ProposalToGnatt[[#This Row],[Start Date]],AO$27&lt;ProposalToGnatt[[#This Row],[Start Date]]+ProposalToGnatt[[#This Row],[Days]]),$G$5,"")),"")</f>
        <v/>
      </c>
      <c r="AP76" s="36" t="str">
        <f ca="1">IFERROR(+IF(AP$27=ProposalToGnatt[[#This Row],[Start Date]],Milestone_Marker,IF(AND(AP$27&gt;ProposalToGnatt[[#This Row],[Start Date]],AP$27&lt;ProposalToGnatt[[#This Row],[Start Date]]+ProposalToGnatt[[#This Row],[Days]]),$G$5,"")),"")</f>
        <v/>
      </c>
      <c r="AQ76" s="36" t="str">
        <f ca="1">IFERROR(+IF(AQ$27=ProposalToGnatt[[#This Row],[Start Date]],Milestone_Marker,IF(AND(AQ$27&gt;ProposalToGnatt[[#This Row],[Start Date]],AQ$27&lt;ProposalToGnatt[[#This Row],[Start Date]]+ProposalToGnatt[[#This Row],[Days]]),$G$5,"")),"")</f>
        <v/>
      </c>
      <c r="AR76" s="36" t="str">
        <f ca="1">IFERROR(+IF(AR$27=ProposalToGnatt[[#This Row],[Start Date]],Milestone_Marker,IF(AND(AR$27&gt;ProposalToGnatt[[#This Row],[Start Date]],AR$27&lt;ProposalToGnatt[[#This Row],[Start Date]]+ProposalToGnatt[[#This Row],[Days]]),$G$5,"")),"")</f>
        <v/>
      </c>
      <c r="AS76" s="36" t="str">
        <f ca="1">IFERROR(+IF(AS$27=ProposalToGnatt[[#This Row],[Start Date]],Milestone_Marker,IF(AND(AS$27&gt;ProposalToGnatt[[#This Row],[Start Date]],AS$27&lt;ProposalToGnatt[[#This Row],[Start Date]]+ProposalToGnatt[[#This Row],[Days]]),$G$5,"")),"")</f>
        <v/>
      </c>
      <c r="AT76" s="36" t="str">
        <f ca="1">IFERROR(+IF(AT$27=ProposalToGnatt[[#This Row],[Start Date]],Milestone_Marker,IF(AND(AT$27&gt;ProposalToGnatt[[#This Row],[Start Date]],AT$27&lt;ProposalToGnatt[[#This Row],[Start Date]]+ProposalToGnatt[[#This Row],[Days]]),$G$5,"")),"")</f>
        <v/>
      </c>
      <c r="AU76" s="36" t="str">
        <f ca="1">IFERROR(+IF(AU$27=ProposalToGnatt[[#This Row],[Start Date]],Milestone_Marker,IF(AND(AU$27&gt;ProposalToGnatt[[#This Row],[Start Date]],AU$27&lt;ProposalToGnatt[[#This Row],[Start Date]]+ProposalToGnatt[[#This Row],[Days]]),$G$5,"")),"")</f>
        <v/>
      </c>
      <c r="AV76" s="36" t="str">
        <f ca="1">IFERROR(+IF(AV$27=ProposalToGnatt[[#This Row],[Start Date]],Milestone_Marker,IF(AND(AV$27&gt;ProposalToGnatt[[#This Row],[Start Date]],AV$27&lt;ProposalToGnatt[[#This Row],[Start Date]]+ProposalToGnatt[[#This Row],[Days]]),$G$5,"")),"")</f>
        <v/>
      </c>
      <c r="AW76" s="36" t="str">
        <f ca="1">IFERROR(+IF(AW$27=ProposalToGnatt[[#This Row],[Start Date]],Milestone_Marker,IF(AND(AW$27&gt;ProposalToGnatt[[#This Row],[Start Date]],AW$27&lt;ProposalToGnatt[[#This Row],[Start Date]]+ProposalToGnatt[[#This Row],[Days]]),$G$5,"")),"")</f>
        <v/>
      </c>
      <c r="AX76" s="36" t="str">
        <f ca="1">IFERROR(+IF(AX$27=ProposalToGnatt[[#This Row],[Start Date]],Milestone_Marker,IF(AND(AX$27&gt;ProposalToGnatt[[#This Row],[Start Date]],AX$27&lt;ProposalToGnatt[[#This Row],[Start Date]]+ProposalToGnatt[[#This Row],[Days]]),$G$5,"")),"")</f>
        <v/>
      </c>
      <c r="AY76" s="36" t="str">
        <f ca="1">IFERROR(+IF(AY$27=ProposalToGnatt[[#This Row],[Start Date]],Milestone_Marker,IF(AND(AY$27&gt;ProposalToGnatt[[#This Row],[Start Date]],AY$27&lt;ProposalToGnatt[[#This Row],[Start Date]]+ProposalToGnatt[[#This Row],[Days]]),$G$5,"")),"")</f>
        <v/>
      </c>
      <c r="AZ76" s="36" t="str">
        <f ca="1">IFERROR(+IF(AZ$27=ProposalToGnatt[[#This Row],[Start Date]],Milestone_Marker,IF(AND(AZ$27&gt;ProposalToGnatt[[#This Row],[Start Date]],AZ$27&lt;ProposalToGnatt[[#This Row],[Start Date]]+ProposalToGnatt[[#This Row],[Days]]),$G$5,"")),"")</f>
        <v/>
      </c>
      <c r="BA76" s="36" t="str">
        <f ca="1">IFERROR(+IF(BA$27=ProposalToGnatt[[#This Row],[Start Date]],Milestone_Marker,IF(AND(BA$27&gt;ProposalToGnatt[[#This Row],[Start Date]],BA$27&lt;ProposalToGnatt[[#This Row],[Start Date]]+ProposalToGnatt[[#This Row],[Days]]),$G$5,"")),"")</f>
        <v/>
      </c>
      <c r="BB76" s="36" t="str">
        <f ca="1">IFERROR(+IF(BB$27=ProposalToGnatt[[#This Row],[Start Date]],Milestone_Marker,IF(AND(BB$27&gt;ProposalToGnatt[[#This Row],[Start Date]],BB$27&lt;ProposalToGnatt[[#This Row],[Start Date]]+ProposalToGnatt[[#This Row],[Days]]),$G$5,"")),"")</f>
        <v/>
      </c>
      <c r="BC76" s="36" t="str">
        <f ca="1">IFERROR(+IF(BC$27=ProposalToGnatt[[#This Row],[Start Date]],Milestone_Marker,IF(AND(BC$27&gt;ProposalToGnatt[[#This Row],[Start Date]],BC$27&lt;ProposalToGnatt[[#This Row],[Start Date]]+ProposalToGnatt[[#This Row],[Days]]),$G$5,"")),"")</f>
        <v/>
      </c>
      <c r="BD76" s="36" t="str">
        <f ca="1">IFERROR(+IF(BD$27=ProposalToGnatt[[#This Row],[Start Date]],Milestone_Marker,IF(AND(BD$27&gt;ProposalToGnatt[[#This Row],[Start Date]],BD$27&lt;ProposalToGnatt[[#This Row],[Start Date]]+ProposalToGnatt[[#This Row],[Days]]),$G$5,"")),"")</f>
        <v/>
      </c>
      <c r="BE76" s="36" t="str">
        <f ca="1">IFERROR(+IF(BE$27=ProposalToGnatt[[#This Row],[Start Date]],Milestone_Marker,IF(AND(BE$27&gt;ProposalToGnatt[[#This Row],[Start Date]],BE$27&lt;ProposalToGnatt[[#This Row],[Start Date]]+ProposalToGnatt[[#This Row],[Days]]),$G$5,"")),"")</f>
        <v/>
      </c>
      <c r="BF76" s="36" t="str">
        <f ca="1">IFERROR(+IF(BF$27=ProposalToGnatt[[#This Row],[Start Date]],Milestone_Marker,IF(AND(BF$27&gt;ProposalToGnatt[[#This Row],[Start Date]],BF$27&lt;ProposalToGnatt[[#This Row],[Start Date]]+ProposalToGnatt[[#This Row],[Days]]),$G$5,"")),"")</f>
        <v/>
      </c>
      <c r="BG76" s="36" t="str">
        <f ca="1">IFERROR(+IF(BG$27=ProposalToGnatt[[#This Row],[Start Date]],Milestone_Marker,IF(AND(BG$27&gt;ProposalToGnatt[[#This Row],[Start Date]],BG$27&lt;ProposalToGnatt[[#This Row],[Start Date]]+ProposalToGnatt[[#This Row],[Days]]),$G$5,"")),"")</f>
        <v/>
      </c>
      <c r="BH76" s="36" t="str">
        <f ca="1">IFERROR(+IF(BH$27=ProposalToGnatt[[#This Row],[Start Date]],Milestone_Marker,IF(AND(BH$27&gt;ProposalToGnatt[[#This Row],[Start Date]],BH$27&lt;ProposalToGnatt[[#This Row],[Start Date]]+ProposalToGnatt[[#This Row],[Days]]),$G$5,"")),"")</f>
        <v/>
      </c>
      <c r="BI76" s="36" t="str">
        <f ca="1">IFERROR(+IF(BI$27=ProposalToGnatt[[#This Row],[Start Date]],Milestone_Marker,IF(AND(BI$27&gt;ProposalToGnatt[[#This Row],[Start Date]],BI$27&lt;ProposalToGnatt[[#This Row],[Start Date]]+ProposalToGnatt[[#This Row],[Days]]),$G$5,"")),"")</f>
        <v/>
      </c>
      <c r="BJ76" s="36" t="str">
        <f ca="1">IFERROR(+IF(BJ$27=ProposalToGnatt[[#This Row],[Start Date]],Milestone_Marker,IF(AND(BJ$27&gt;ProposalToGnatt[[#This Row],[Start Date]],BJ$27&lt;ProposalToGnatt[[#This Row],[Start Date]]+ProposalToGnatt[[#This Row],[Days]]),$G$5,"")),"")</f>
        <v/>
      </c>
      <c r="BK76" s="36" t="str">
        <f ca="1">IFERROR(+IF(BK$27=ProposalToGnatt[[#This Row],[Start Date]],Milestone_Marker,IF(AND(BK$27&gt;ProposalToGnatt[[#This Row],[Start Date]],BK$27&lt;ProposalToGnatt[[#This Row],[Start Date]]+ProposalToGnatt[[#This Row],[Days]]),$G$5,"")),"")</f>
        <v/>
      </c>
      <c r="BL76" s="36" t="str">
        <f ca="1">IFERROR(+IF(BL$27=ProposalToGnatt[[#This Row],[Start Date]],Milestone_Marker,IF(AND(BL$27&gt;ProposalToGnatt[[#This Row],[Start Date]],BL$27&lt;ProposalToGnatt[[#This Row],[Start Date]]+ProposalToGnatt[[#This Row],[Days]]),$G$5,"")),"")</f>
        <v/>
      </c>
      <c r="BM76" s="36" t="str">
        <f ca="1">IFERROR(+IF(BM$27=ProposalToGnatt[[#This Row],[Start Date]],Milestone_Marker,IF(AND(BM$27&gt;ProposalToGnatt[[#This Row],[Start Date]],BM$27&lt;ProposalToGnatt[[#This Row],[Start Date]]+ProposalToGnatt[[#This Row],[Days]]),$G$5,"")),"")</f>
        <v/>
      </c>
      <c r="BN76" s="36" t="str">
        <f ca="1">IFERROR(+IF(BN$27=ProposalToGnatt[[#This Row],[Start Date]],Milestone_Marker,IF(AND(BN$27&gt;ProposalToGnatt[[#This Row],[Start Date]],BN$27&lt;ProposalToGnatt[[#This Row],[Start Date]]+ProposalToGnatt[[#This Row],[Days]]),$G$5,"")),"")</f>
        <v/>
      </c>
      <c r="BO76" s="36" t="str">
        <f ca="1">IFERROR(+IF(BO$27=ProposalToGnatt[[#This Row],[Start Date]],Milestone_Marker,IF(AND(BO$27&gt;ProposalToGnatt[[#This Row],[Start Date]],BO$27&lt;ProposalToGnatt[[#This Row],[Start Date]]+ProposalToGnatt[[#This Row],[Days]]),$G$5,"")),"")</f>
        <v/>
      </c>
      <c r="BP76" s="36" t="str">
        <f ca="1">IFERROR(+IF(BP$27=ProposalToGnatt[[#This Row],[Start Date]],Milestone_Marker,IF(AND(BP$27&gt;ProposalToGnatt[[#This Row],[Start Date]],BP$27&lt;ProposalToGnatt[[#This Row],[Start Date]]+ProposalToGnatt[[#This Row],[Days]]),$G$5,"")),"")</f>
        <v/>
      </c>
      <c r="BQ76" s="36" t="str">
        <f ca="1">IFERROR(+IF(BQ$27=ProposalToGnatt[[#This Row],[Start Date]],Milestone_Marker,IF(AND(BQ$27&gt;ProposalToGnatt[[#This Row],[Start Date]],BQ$27&lt;ProposalToGnatt[[#This Row],[Start Date]]+ProposalToGnatt[[#This Row],[Days]]),$G$5,"")),"")</f>
        <v/>
      </c>
      <c r="BR76" s="36" t="str">
        <f ca="1">IFERROR(+IF(BR$27=ProposalToGnatt[[#This Row],[Start Date]],Milestone_Marker,IF(AND(BR$27&gt;ProposalToGnatt[[#This Row],[Start Date]],BR$27&lt;ProposalToGnatt[[#This Row],[Start Date]]+ProposalToGnatt[[#This Row],[Days]]),$G$5,"")),"")</f>
        <v/>
      </c>
      <c r="BS76" s="36" t="str">
        <f ca="1">IFERROR(+IF(BS$27=ProposalToGnatt[[#This Row],[Start Date]],Milestone_Marker,IF(AND(BS$27&gt;ProposalToGnatt[[#This Row],[Start Date]],BS$27&lt;ProposalToGnatt[[#This Row],[Start Date]]+ProposalToGnatt[[#This Row],[Days]]),$G$5,"")),"")</f>
        <v/>
      </c>
      <c r="BT76" s="36" t="str">
        <f ca="1">IFERROR(+IF(BT$27=ProposalToGnatt[[#This Row],[Start Date]],Milestone_Marker,IF(AND(BT$27&gt;ProposalToGnatt[[#This Row],[Start Date]],BT$27&lt;ProposalToGnatt[[#This Row],[Start Date]]+ProposalToGnatt[[#This Row],[Days]]),$G$5,"")),"")</f>
        <v/>
      </c>
      <c r="BU76" s="36" t="str">
        <f ca="1">IFERROR(+IF(BU$27=ProposalToGnatt[[#This Row],[Start Date]],Milestone_Marker,IF(AND(BU$27&gt;ProposalToGnatt[[#This Row],[Start Date]],BU$27&lt;ProposalToGnatt[[#This Row],[Start Date]]+ProposalToGnatt[[#This Row],[Days]]),$G$5,"")),"")</f>
        <v/>
      </c>
      <c r="BV76" s="36" t="str">
        <f ca="1">IFERROR(+IF(BV$27=ProposalToGnatt[[#This Row],[Start Date]],Milestone_Marker,IF(AND(BV$27&gt;ProposalToGnatt[[#This Row],[Start Date]],BV$27&lt;ProposalToGnatt[[#This Row],[Start Date]]+ProposalToGnatt[[#This Row],[Days]]),$G$5,"")),"")</f>
        <v/>
      </c>
      <c r="BW76" s="36" t="str">
        <f ca="1">IFERROR(+IF(BW$27=ProposalToGnatt[[#This Row],[Start Date]],Milestone_Marker,IF(AND(BW$27&gt;ProposalToGnatt[[#This Row],[Start Date]],BW$27&lt;ProposalToGnatt[[#This Row],[Start Date]]+ProposalToGnatt[[#This Row],[Days]]),$G$5,"")),"")</f>
        <v/>
      </c>
      <c r="BX76" s="36" t="str">
        <f ca="1">IFERROR(+IF(BX$27=ProposalToGnatt[[#This Row],[Start Date]],Milestone_Marker,IF(AND(BX$27&gt;ProposalToGnatt[[#This Row],[Start Date]],BX$27&lt;ProposalToGnatt[[#This Row],[Start Date]]+ProposalToGnatt[[#This Row],[Days]]),$G$5,"")),"")</f>
        <v/>
      </c>
      <c r="BY76" s="36" t="str">
        <f ca="1">IFERROR(+IF(BY$27=ProposalToGnatt[[#This Row],[Start Date]],Milestone_Marker,IF(AND(BY$27&gt;ProposalToGnatt[[#This Row],[Start Date]],BY$27&lt;ProposalToGnatt[[#This Row],[Start Date]]+ProposalToGnatt[[#This Row],[Days]]),$G$5,"")),"")</f>
        <v/>
      </c>
      <c r="BZ76" s="36" t="str">
        <f ca="1">IFERROR(+IF(BZ$27=ProposalToGnatt[[#This Row],[Start Date]],Milestone_Marker,IF(AND(BZ$27&gt;ProposalToGnatt[[#This Row],[Start Date]],BZ$27&lt;ProposalToGnatt[[#This Row],[Start Date]]+ProposalToGnatt[[#This Row],[Days]]),$G$5,"")),"")</f>
        <v/>
      </c>
      <c r="CA76" s="36" t="str">
        <f ca="1">IFERROR(+IF(CA$27=ProposalToGnatt[[#This Row],[Start Date]],Milestone_Marker,IF(AND(CA$27&gt;ProposalToGnatt[[#This Row],[Start Date]],CA$27&lt;ProposalToGnatt[[#This Row],[Start Date]]+ProposalToGnatt[[#This Row],[Days]]),$G$5,"")),"")</f>
        <v/>
      </c>
      <c r="CB76" s="36" t="str">
        <f ca="1">IFERROR(+IF(CB$27=ProposalToGnatt[[#This Row],[Start Date]],Milestone_Marker,IF(AND(CB$27&gt;ProposalToGnatt[[#This Row],[Start Date]],CB$27&lt;ProposalToGnatt[[#This Row],[Start Date]]+ProposalToGnatt[[#This Row],[Days]]),$G$5,"")),"")</f>
        <v/>
      </c>
      <c r="CC76" s="36" t="str">
        <f ca="1">IFERROR(+IF(CC$27=ProposalToGnatt[[#This Row],[Start Date]],Milestone_Marker,IF(AND(CC$27&gt;ProposalToGnatt[[#This Row],[Start Date]],CC$27&lt;ProposalToGnatt[[#This Row],[Start Date]]+ProposalToGnatt[[#This Row],[Days]]),$G$5,"")),"")</f>
        <v/>
      </c>
      <c r="CD76" s="36" t="str">
        <f ca="1">IFERROR(+IF(CD$27=ProposalToGnatt[[#This Row],[Start Date]],Milestone_Marker,IF(AND(CD$27&gt;ProposalToGnatt[[#This Row],[Start Date]],CD$27&lt;ProposalToGnatt[[#This Row],[Start Date]]+ProposalToGnatt[[#This Row],[Days]]),$G$5,"")),"")</f>
        <v/>
      </c>
      <c r="CE76" s="36" t="str">
        <f ca="1">IFERROR(+IF(CE$27=ProposalToGnatt[[#This Row],[Start Date]],Milestone_Marker,IF(AND(CE$27&gt;ProposalToGnatt[[#This Row],[Start Date]],CE$27&lt;ProposalToGnatt[[#This Row],[Start Date]]+ProposalToGnatt[[#This Row],[Days]]),$G$5,"")),"")</f>
        <v/>
      </c>
      <c r="CF76" s="36" t="str">
        <f ca="1">IFERROR(+IF(CF$27=ProposalToGnatt[[#This Row],[Start Date]],Milestone_Marker,IF(AND(CF$27&gt;ProposalToGnatt[[#This Row],[Start Date]],CF$27&lt;ProposalToGnatt[[#This Row],[Start Date]]+ProposalToGnatt[[#This Row],[Days]]),$G$5,"")),"")</f>
        <v/>
      </c>
      <c r="CG76" s="36" t="str">
        <f ca="1">IFERROR(+IF(CG$27=ProposalToGnatt[[#This Row],[Start Date]],Milestone_Marker,IF(AND(CG$27&gt;ProposalToGnatt[[#This Row],[Start Date]],CG$27&lt;ProposalToGnatt[[#This Row],[Start Date]]+ProposalToGnatt[[#This Row],[Days]]),$G$5,"")),"")</f>
        <v/>
      </c>
      <c r="CH76" s="36" t="str">
        <f ca="1">IFERROR(+IF(CH$27=ProposalToGnatt[[#This Row],[Start Date]],Milestone_Marker,IF(AND(CH$27&gt;ProposalToGnatt[[#This Row],[Start Date]],CH$27&lt;ProposalToGnatt[[#This Row],[Start Date]]+ProposalToGnatt[[#This Row],[Days]]),$G$5,"")),"")</f>
        <v/>
      </c>
      <c r="CI76" s="36" t="str">
        <f ca="1">IFERROR(+IF(CI$27=ProposalToGnatt[[#This Row],[Start Date]],Milestone_Marker,IF(AND(CI$27&gt;ProposalToGnatt[[#This Row],[Start Date]],CI$27&lt;ProposalToGnatt[[#This Row],[Start Date]]+ProposalToGnatt[[#This Row],[Days]]),$G$5,"")),"")</f>
        <v/>
      </c>
      <c r="CJ76" s="36" t="str">
        <f ca="1">IFERROR(+IF(CJ$27=ProposalToGnatt[[#This Row],[Start Date]],Milestone_Marker,IF(AND(CJ$27&gt;ProposalToGnatt[[#This Row],[Start Date]],CJ$27&lt;ProposalToGnatt[[#This Row],[Start Date]]+ProposalToGnatt[[#This Row],[Days]]),$G$5,"")),"")</f>
        <v/>
      </c>
      <c r="CK76" s="36" t="str">
        <f ca="1">IFERROR(+IF(CK$27=ProposalToGnatt[[#This Row],[Start Date]],Milestone_Marker,IF(AND(CK$27&gt;ProposalToGnatt[[#This Row],[Start Date]],CK$27&lt;ProposalToGnatt[[#This Row],[Start Date]]+ProposalToGnatt[[#This Row],[Days]]),$G$5,"")),"")</f>
        <v/>
      </c>
      <c r="CL76" s="36" t="str">
        <f ca="1">IFERROR(+IF(CL$27=ProposalToGnatt[[#This Row],[Start Date]],Milestone_Marker,IF(AND(CL$27&gt;ProposalToGnatt[[#This Row],[Start Date]],CL$27&lt;ProposalToGnatt[[#This Row],[Start Date]]+ProposalToGnatt[[#This Row],[Days]]),$G$5,"")),"")</f>
        <v/>
      </c>
      <c r="CM76" s="36" t="str">
        <f ca="1">IFERROR(+IF(CM$27=ProposalToGnatt[[#This Row],[Start Date]],Milestone_Marker,IF(AND(CM$27&gt;ProposalToGnatt[[#This Row],[Start Date]],CM$27&lt;ProposalToGnatt[[#This Row],[Start Date]]+ProposalToGnatt[[#This Row],[Days]]),$G$5,"")),"")</f>
        <v/>
      </c>
      <c r="CN76" s="36" t="str">
        <f ca="1">IFERROR(+IF(CN$27=ProposalToGnatt[[#This Row],[Start Date]],Milestone_Marker,IF(AND(CN$27&gt;ProposalToGnatt[[#This Row],[Start Date]],CN$27&lt;ProposalToGnatt[[#This Row],[Start Date]]+ProposalToGnatt[[#This Row],[Days]]),$G$5,"")),"")</f>
        <v/>
      </c>
      <c r="CO76" s="36" t="str">
        <f ca="1">IFERROR(+IF(CO$27=ProposalToGnatt[[#This Row],[Start Date]],Milestone_Marker,IF(AND(CO$27&gt;ProposalToGnatt[[#This Row],[Start Date]],CO$27&lt;ProposalToGnatt[[#This Row],[Start Date]]+ProposalToGnatt[[#This Row],[Days]]),$G$5,"")),"")</f>
        <v/>
      </c>
      <c r="CP76" s="36" t="str">
        <f ca="1">IFERROR(+IF(CP$27=ProposalToGnatt[[#This Row],[Start Date]],Milestone_Marker,IF(AND(CP$27&gt;ProposalToGnatt[[#This Row],[Start Date]],CP$27&lt;ProposalToGnatt[[#This Row],[Start Date]]+ProposalToGnatt[[#This Row],[Days]]),$G$5,"")),"")</f>
        <v/>
      </c>
      <c r="CQ76" s="36" t="str">
        <f ca="1">IFERROR(+IF(CQ$27=ProposalToGnatt[[#This Row],[Start Date]],Milestone_Marker,IF(AND(CQ$27&gt;ProposalToGnatt[[#This Row],[Start Date]],CQ$27&lt;ProposalToGnatt[[#This Row],[Start Date]]+ProposalToGnatt[[#This Row],[Days]]),$G$5,"")),"")</f>
        <v/>
      </c>
      <c r="CR76" s="36" t="str">
        <f ca="1">IFERROR(+IF(CR$27=ProposalToGnatt[[#This Row],[Start Date]],Milestone_Marker,IF(AND(CR$27&gt;ProposalToGnatt[[#This Row],[Start Date]],CR$27&lt;ProposalToGnatt[[#This Row],[Start Date]]+ProposalToGnatt[[#This Row],[Days]]),$G$5,"")),"")</f>
        <v/>
      </c>
      <c r="CS76" s="36" t="str">
        <f ca="1">IFERROR(+IF(CS$27=ProposalToGnatt[[#This Row],[Start Date]],Milestone_Marker,IF(AND(CS$27&gt;ProposalToGnatt[[#This Row],[Start Date]],CS$27&lt;ProposalToGnatt[[#This Row],[Start Date]]+ProposalToGnatt[[#This Row],[Days]]),$G$5,"")),"")</f>
        <v/>
      </c>
      <c r="CT76" s="36" t="str">
        <f ca="1">IFERROR(+IF(CT$27=ProposalToGnatt[[#This Row],[Start Date]],Milestone_Marker,IF(AND(CT$27&gt;ProposalToGnatt[[#This Row],[Start Date]],CT$27&lt;ProposalToGnatt[[#This Row],[Start Date]]+ProposalToGnatt[[#This Row],[Days]]),$G$5,"")),"")</f>
        <v/>
      </c>
      <c r="CU76" s="36" t="str">
        <f ca="1">IFERROR(+IF(CU$27=ProposalToGnatt[[#This Row],[Start Date]],Milestone_Marker,IF(AND(CU$27&gt;ProposalToGnatt[[#This Row],[Start Date]],CU$27&lt;ProposalToGnatt[[#This Row],[Start Date]]+ProposalToGnatt[[#This Row],[Days]]),$G$5,"")),"")</f>
        <v/>
      </c>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row>
    <row r="77" spans="1:125" ht="15" x14ac:dyDescent="0.25">
      <c r="A77"/>
      <c r="B77"/>
      <c r="C77"/>
      <c r="D77"/>
      <c r="E77"/>
      <c r="F77"/>
      <c r="G77" s="14"/>
      <c r="H77" s="14"/>
      <c r="I77"/>
      <c r="J77"/>
      <c r="K77" s="261"/>
      <c r="L77"/>
      <c r="M77" s="14"/>
      <c r="N77" s="309"/>
      <c r="O77" s="297"/>
      <c r="P77" s="36" t="str">
        <f ca="1">IFERROR(+IF(P$27=ProposalToGnatt[[#This Row],[Start Date]],Milestone_Marker,IF(AND(P$27&gt;ProposalToGnatt[[#This Row],[Start Date]],P$27&lt;ProposalToGnatt[[#This Row],[Start Date]]+ProposalToGnatt[[#This Row],[Days]]),$G$5,"")),"")</f>
        <v/>
      </c>
      <c r="Q77" s="36" t="str">
        <f ca="1">IFERROR(+IF(Q$27=ProposalToGnatt[[#This Row],[Start Date]],Milestone_Marker,IF(AND(Q$27&gt;ProposalToGnatt[[#This Row],[Start Date]],Q$27&lt;ProposalToGnatt[[#This Row],[Start Date]]+ProposalToGnatt[[#This Row],[Days]]),$G$5,"")),"")</f>
        <v/>
      </c>
      <c r="R77" s="36" t="str">
        <f ca="1">IFERROR(+IF(R$27=ProposalToGnatt[[#This Row],[Start Date]],Milestone_Marker,IF(AND(R$27&gt;ProposalToGnatt[[#This Row],[Start Date]],R$27&lt;ProposalToGnatt[[#This Row],[Start Date]]+ProposalToGnatt[[#This Row],[Days]]),$G$5,"")),"")</f>
        <v/>
      </c>
      <c r="S77" s="36" t="str">
        <f ca="1">IFERROR(+IF(S$27=ProposalToGnatt[[#This Row],[Start Date]],Milestone_Marker,IF(AND(S$27&gt;ProposalToGnatt[[#This Row],[Start Date]],S$27&lt;ProposalToGnatt[[#This Row],[Start Date]]+ProposalToGnatt[[#This Row],[Days]]),$G$5,"")),"")</f>
        <v/>
      </c>
      <c r="T77" s="36" t="str">
        <f ca="1">IFERROR(+IF(T$27=ProposalToGnatt[[#This Row],[Start Date]],Milestone_Marker,IF(AND(T$27&gt;ProposalToGnatt[[#This Row],[Start Date]],T$27&lt;ProposalToGnatt[[#This Row],[Start Date]]+ProposalToGnatt[[#This Row],[Days]]),$G$5,"")),"")</f>
        <v/>
      </c>
      <c r="U77" s="36" t="str">
        <f ca="1">IFERROR(+IF(U$27=ProposalToGnatt[[#This Row],[Start Date]],Milestone_Marker,IF(AND(U$27&gt;ProposalToGnatt[[#This Row],[Start Date]],U$27&lt;ProposalToGnatt[[#This Row],[Start Date]]+ProposalToGnatt[[#This Row],[Days]]),$G$5,"")),"")</f>
        <v/>
      </c>
      <c r="V77" s="36" t="str">
        <f ca="1">IFERROR(+IF(V$27=ProposalToGnatt[[#This Row],[Start Date]],Milestone_Marker,IF(AND(V$27&gt;ProposalToGnatt[[#This Row],[Start Date]],V$27&lt;ProposalToGnatt[[#This Row],[Start Date]]+ProposalToGnatt[[#This Row],[Days]]),$G$5,"")),"")</f>
        <v/>
      </c>
      <c r="W77" s="36" t="str">
        <f ca="1">IFERROR(+IF(W$27=ProposalToGnatt[[#This Row],[Start Date]],Milestone_Marker,IF(AND(W$27&gt;ProposalToGnatt[[#This Row],[Start Date]],W$27&lt;ProposalToGnatt[[#This Row],[Start Date]]+ProposalToGnatt[[#This Row],[Days]]),$G$5,"")),"")</f>
        <v/>
      </c>
      <c r="X77" s="36" t="str">
        <f ca="1">IFERROR(+IF(X$27=ProposalToGnatt[[#This Row],[Start Date]],Milestone_Marker,IF(AND(X$27&gt;ProposalToGnatt[[#This Row],[Start Date]],X$27&lt;ProposalToGnatt[[#This Row],[Start Date]]+ProposalToGnatt[[#This Row],[Days]]),$G$5,"")),"")</f>
        <v/>
      </c>
      <c r="Y77" s="36" t="str">
        <f ca="1">IFERROR(+IF(Y$27=ProposalToGnatt[[#This Row],[Start Date]],Milestone_Marker,IF(AND(Y$27&gt;ProposalToGnatt[[#This Row],[Start Date]],Y$27&lt;ProposalToGnatt[[#This Row],[Start Date]]+ProposalToGnatt[[#This Row],[Days]]),$G$5,"")),"")</f>
        <v/>
      </c>
      <c r="Z77" s="36" t="str">
        <f ca="1">IFERROR(+IF(Z$27=ProposalToGnatt[[#This Row],[Start Date]],Milestone_Marker,IF(AND(Z$27&gt;ProposalToGnatt[[#This Row],[Start Date]],Z$27&lt;ProposalToGnatt[[#This Row],[Start Date]]+ProposalToGnatt[[#This Row],[Days]]),$G$5,"")),"")</f>
        <v/>
      </c>
      <c r="AA77" s="36" t="str">
        <f ca="1">IFERROR(+IF(AA$27=ProposalToGnatt[[#This Row],[Start Date]],Milestone_Marker,IF(AND(AA$27&gt;ProposalToGnatt[[#This Row],[Start Date]],AA$27&lt;ProposalToGnatt[[#This Row],[Start Date]]+ProposalToGnatt[[#This Row],[Days]]),$G$5,"")),"")</f>
        <v/>
      </c>
      <c r="AB77" s="36" t="str">
        <f ca="1">IFERROR(+IF(AB$27=ProposalToGnatt[[#This Row],[Start Date]],Milestone_Marker,IF(AND(AB$27&gt;ProposalToGnatt[[#This Row],[Start Date]],AB$27&lt;ProposalToGnatt[[#This Row],[Start Date]]+ProposalToGnatt[[#This Row],[Days]]),$G$5,"")),"")</f>
        <v/>
      </c>
      <c r="AC77" s="36" t="str">
        <f ca="1">IFERROR(+IF(AC$27=ProposalToGnatt[[#This Row],[Start Date]],Milestone_Marker,IF(AND(AC$27&gt;ProposalToGnatt[[#This Row],[Start Date]],AC$27&lt;ProposalToGnatt[[#This Row],[Start Date]]+ProposalToGnatt[[#This Row],[Days]]),$G$5,"")),"")</f>
        <v/>
      </c>
      <c r="AD77" s="36" t="str">
        <f ca="1">IFERROR(+IF(AD$27=ProposalToGnatt[[#This Row],[Start Date]],Milestone_Marker,IF(AND(AD$27&gt;ProposalToGnatt[[#This Row],[Start Date]],AD$27&lt;ProposalToGnatt[[#This Row],[Start Date]]+ProposalToGnatt[[#This Row],[Days]]),$G$5,"")),"")</f>
        <v/>
      </c>
      <c r="AE77" s="36" t="str">
        <f ca="1">IFERROR(+IF(AE$27=ProposalToGnatt[[#This Row],[Start Date]],Milestone_Marker,IF(AND(AE$27&gt;ProposalToGnatt[[#This Row],[Start Date]],AE$27&lt;ProposalToGnatt[[#This Row],[Start Date]]+ProposalToGnatt[[#This Row],[Days]]),$G$5,"")),"")</f>
        <v/>
      </c>
      <c r="AF77" s="36" t="str">
        <f ca="1">IFERROR(+IF(AF$27=ProposalToGnatt[[#This Row],[Start Date]],Milestone_Marker,IF(AND(AF$27&gt;ProposalToGnatt[[#This Row],[Start Date]],AF$27&lt;ProposalToGnatt[[#This Row],[Start Date]]+ProposalToGnatt[[#This Row],[Days]]),$G$5,"")),"")</f>
        <v/>
      </c>
      <c r="AG77" s="36" t="str">
        <f ca="1">IFERROR(+IF(AG$27=ProposalToGnatt[[#This Row],[Start Date]],Milestone_Marker,IF(AND(AG$27&gt;ProposalToGnatt[[#This Row],[Start Date]],AG$27&lt;ProposalToGnatt[[#This Row],[Start Date]]+ProposalToGnatt[[#This Row],[Days]]),$G$5,"")),"")</f>
        <v/>
      </c>
      <c r="AH77" s="36" t="str">
        <f ca="1">IFERROR(+IF(AH$27=ProposalToGnatt[[#This Row],[Start Date]],Milestone_Marker,IF(AND(AH$27&gt;ProposalToGnatt[[#This Row],[Start Date]],AH$27&lt;ProposalToGnatt[[#This Row],[Start Date]]+ProposalToGnatt[[#This Row],[Days]]),$G$5,"")),"")</f>
        <v/>
      </c>
      <c r="AI77" s="36" t="str">
        <f ca="1">IFERROR(+IF(AI$27=ProposalToGnatt[[#This Row],[Start Date]],Milestone_Marker,IF(AND(AI$27&gt;ProposalToGnatt[[#This Row],[Start Date]],AI$27&lt;ProposalToGnatt[[#This Row],[Start Date]]+ProposalToGnatt[[#This Row],[Days]]),$G$5,"")),"")</f>
        <v/>
      </c>
      <c r="AJ77" s="36" t="str">
        <f ca="1">IFERROR(+IF(AJ$27=ProposalToGnatt[[#This Row],[Start Date]],Milestone_Marker,IF(AND(AJ$27&gt;ProposalToGnatt[[#This Row],[Start Date]],AJ$27&lt;ProposalToGnatt[[#This Row],[Start Date]]+ProposalToGnatt[[#This Row],[Days]]),$G$5,"")),"")</f>
        <v/>
      </c>
      <c r="AK77" s="36" t="str">
        <f ca="1">IFERROR(+IF(AK$27=ProposalToGnatt[[#This Row],[Start Date]],Milestone_Marker,IF(AND(AK$27&gt;ProposalToGnatt[[#This Row],[Start Date]],AK$27&lt;ProposalToGnatt[[#This Row],[Start Date]]+ProposalToGnatt[[#This Row],[Days]]),$G$5,"")),"")</f>
        <v/>
      </c>
      <c r="AL77" s="36" t="str">
        <f ca="1">IFERROR(+IF(AL$27=ProposalToGnatt[[#This Row],[Start Date]],Milestone_Marker,IF(AND(AL$27&gt;ProposalToGnatt[[#This Row],[Start Date]],AL$27&lt;ProposalToGnatt[[#This Row],[Start Date]]+ProposalToGnatt[[#This Row],[Days]]),$G$5,"")),"")</f>
        <v/>
      </c>
      <c r="AM77" s="36" t="str">
        <f ca="1">IFERROR(+IF(AM$27=ProposalToGnatt[[#This Row],[Start Date]],Milestone_Marker,IF(AND(AM$27&gt;ProposalToGnatt[[#This Row],[Start Date]],AM$27&lt;ProposalToGnatt[[#This Row],[Start Date]]+ProposalToGnatt[[#This Row],[Days]]),$G$5,"")),"")</f>
        <v/>
      </c>
      <c r="AN77" s="36" t="str">
        <f ca="1">IFERROR(+IF(AN$27=ProposalToGnatt[[#This Row],[Start Date]],Milestone_Marker,IF(AND(AN$27&gt;ProposalToGnatt[[#This Row],[Start Date]],AN$27&lt;ProposalToGnatt[[#This Row],[Start Date]]+ProposalToGnatt[[#This Row],[Days]]),$G$5,"")),"")</f>
        <v/>
      </c>
      <c r="AO77" s="36" t="str">
        <f ca="1">IFERROR(+IF(AO$27=ProposalToGnatt[[#This Row],[Start Date]],Milestone_Marker,IF(AND(AO$27&gt;ProposalToGnatt[[#This Row],[Start Date]],AO$27&lt;ProposalToGnatt[[#This Row],[Start Date]]+ProposalToGnatt[[#This Row],[Days]]),$G$5,"")),"")</f>
        <v/>
      </c>
      <c r="AP77" s="36" t="str">
        <f ca="1">IFERROR(+IF(AP$27=ProposalToGnatt[[#This Row],[Start Date]],Milestone_Marker,IF(AND(AP$27&gt;ProposalToGnatt[[#This Row],[Start Date]],AP$27&lt;ProposalToGnatt[[#This Row],[Start Date]]+ProposalToGnatt[[#This Row],[Days]]),$G$5,"")),"")</f>
        <v/>
      </c>
      <c r="AQ77" s="36" t="str">
        <f ca="1">IFERROR(+IF(AQ$27=ProposalToGnatt[[#This Row],[Start Date]],Milestone_Marker,IF(AND(AQ$27&gt;ProposalToGnatt[[#This Row],[Start Date]],AQ$27&lt;ProposalToGnatt[[#This Row],[Start Date]]+ProposalToGnatt[[#This Row],[Days]]),$G$5,"")),"")</f>
        <v/>
      </c>
      <c r="AR77" s="36" t="str">
        <f ca="1">IFERROR(+IF(AR$27=ProposalToGnatt[[#This Row],[Start Date]],Milestone_Marker,IF(AND(AR$27&gt;ProposalToGnatt[[#This Row],[Start Date]],AR$27&lt;ProposalToGnatt[[#This Row],[Start Date]]+ProposalToGnatt[[#This Row],[Days]]),$G$5,"")),"")</f>
        <v/>
      </c>
      <c r="AS77" s="36" t="str">
        <f ca="1">IFERROR(+IF(AS$27=ProposalToGnatt[[#This Row],[Start Date]],Milestone_Marker,IF(AND(AS$27&gt;ProposalToGnatt[[#This Row],[Start Date]],AS$27&lt;ProposalToGnatt[[#This Row],[Start Date]]+ProposalToGnatt[[#This Row],[Days]]),$G$5,"")),"")</f>
        <v/>
      </c>
      <c r="AT77" s="36" t="str">
        <f ca="1">IFERROR(+IF(AT$27=ProposalToGnatt[[#This Row],[Start Date]],Milestone_Marker,IF(AND(AT$27&gt;ProposalToGnatt[[#This Row],[Start Date]],AT$27&lt;ProposalToGnatt[[#This Row],[Start Date]]+ProposalToGnatt[[#This Row],[Days]]),$G$5,"")),"")</f>
        <v/>
      </c>
      <c r="AU77" s="36" t="str">
        <f ca="1">IFERROR(+IF(AU$27=ProposalToGnatt[[#This Row],[Start Date]],Milestone_Marker,IF(AND(AU$27&gt;ProposalToGnatt[[#This Row],[Start Date]],AU$27&lt;ProposalToGnatt[[#This Row],[Start Date]]+ProposalToGnatt[[#This Row],[Days]]),$G$5,"")),"")</f>
        <v/>
      </c>
      <c r="AV77" s="36" t="str">
        <f ca="1">IFERROR(+IF(AV$27=ProposalToGnatt[[#This Row],[Start Date]],Milestone_Marker,IF(AND(AV$27&gt;ProposalToGnatt[[#This Row],[Start Date]],AV$27&lt;ProposalToGnatt[[#This Row],[Start Date]]+ProposalToGnatt[[#This Row],[Days]]),$G$5,"")),"")</f>
        <v/>
      </c>
      <c r="AW77" s="36" t="str">
        <f ca="1">IFERROR(+IF(AW$27=ProposalToGnatt[[#This Row],[Start Date]],Milestone_Marker,IF(AND(AW$27&gt;ProposalToGnatt[[#This Row],[Start Date]],AW$27&lt;ProposalToGnatt[[#This Row],[Start Date]]+ProposalToGnatt[[#This Row],[Days]]),$G$5,"")),"")</f>
        <v/>
      </c>
      <c r="AX77" s="36" t="str">
        <f ca="1">IFERROR(+IF(AX$27=ProposalToGnatt[[#This Row],[Start Date]],Milestone_Marker,IF(AND(AX$27&gt;ProposalToGnatt[[#This Row],[Start Date]],AX$27&lt;ProposalToGnatt[[#This Row],[Start Date]]+ProposalToGnatt[[#This Row],[Days]]),$G$5,"")),"")</f>
        <v/>
      </c>
      <c r="AY77" s="36" t="str">
        <f ca="1">IFERROR(+IF(AY$27=ProposalToGnatt[[#This Row],[Start Date]],Milestone_Marker,IF(AND(AY$27&gt;ProposalToGnatt[[#This Row],[Start Date]],AY$27&lt;ProposalToGnatt[[#This Row],[Start Date]]+ProposalToGnatt[[#This Row],[Days]]),$G$5,"")),"")</f>
        <v/>
      </c>
      <c r="AZ77" s="36" t="str">
        <f ca="1">IFERROR(+IF(AZ$27=ProposalToGnatt[[#This Row],[Start Date]],Milestone_Marker,IF(AND(AZ$27&gt;ProposalToGnatt[[#This Row],[Start Date]],AZ$27&lt;ProposalToGnatt[[#This Row],[Start Date]]+ProposalToGnatt[[#This Row],[Days]]),$G$5,"")),"")</f>
        <v/>
      </c>
      <c r="BA77" s="36" t="str">
        <f ca="1">IFERROR(+IF(BA$27=ProposalToGnatt[[#This Row],[Start Date]],Milestone_Marker,IF(AND(BA$27&gt;ProposalToGnatt[[#This Row],[Start Date]],BA$27&lt;ProposalToGnatt[[#This Row],[Start Date]]+ProposalToGnatt[[#This Row],[Days]]),$G$5,"")),"")</f>
        <v/>
      </c>
      <c r="BB77" s="36" t="str">
        <f ca="1">IFERROR(+IF(BB$27=ProposalToGnatt[[#This Row],[Start Date]],Milestone_Marker,IF(AND(BB$27&gt;ProposalToGnatt[[#This Row],[Start Date]],BB$27&lt;ProposalToGnatt[[#This Row],[Start Date]]+ProposalToGnatt[[#This Row],[Days]]),$G$5,"")),"")</f>
        <v/>
      </c>
      <c r="BC77" s="36" t="str">
        <f ca="1">IFERROR(+IF(BC$27=ProposalToGnatt[[#This Row],[Start Date]],Milestone_Marker,IF(AND(BC$27&gt;ProposalToGnatt[[#This Row],[Start Date]],BC$27&lt;ProposalToGnatt[[#This Row],[Start Date]]+ProposalToGnatt[[#This Row],[Days]]),$G$5,"")),"")</f>
        <v/>
      </c>
      <c r="BD77" s="36" t="str">
        <f ca="1">IFERROR(+IF(BD$27=ProposalToGnatt[[#This Row],[Start Date]],Milestone_Marker,IF(AND(BD$27&gt;ProposalToGnatt[[#This Row],[Start Date]],BD$27&lt;ProposalToGnatt[[#This Row],[Start Date]]+ProposalToGnatt[[#This Row],[Days]]),$G$5,"")),"")</f>
        <v/>
      </c>
      <c r="BE77" s="36" t="str">
        <f ca="1">IFERROR(+IF(BE$27=ProposalToGnatt[[#This Row],[Start Date]],Milestone_Marker,IF(AND(BE$27&gt;ProposalToGnatt[[#This Row],[Start Date]],BE$27&lt;ProposalToGnatt[[#This Row],[Start Date]]+ProposalToGnatt[[#This Row],[Days]]),$G$5,"")),"")</f>
        <v/>
      </c>
      <c r="BF77" s="36" t="str">
        <f ca="1">IFERROR(+IF(BF$27=ProposalToGnatt[[#This Row],[Start Date]],Milestone_Marker,IF(AND(BF$27&gt;ProposalToGnatt[[#This Row],[Start Date]],BF$27&lt;ProposalToGnatt[[#This Row],[Start Date]]+ProposalToGnatt[[#This Row],[Days]]),$G$5,"")),"")</f>
        <v/>
      </c>
      <c r="BG77" s="36" t="str">
        <f ca="1">IFERROR(+IF(BG$27=ProposalToGnatt[[#This Row],[Start Date]],Milestone_Marker,IF(AND(BG$27&gt;ProposalToGnatt[[#This Row],[Start Date]],BG$27&lt;ProposalToGnatt[[#This Row],[Start Date]]+ProposalToGnatt[[#This Row],[Days]]),$G$5,"")),"")</f>
        <v/>
      </c>
      <c r="BH77" s="36" t="str">
        <f ca="1">IFERROR(+IF(BH$27=ProposalToGnatt[[#This Row],[Start Date]],Milestone_Marker,IF(AND(BH$27&gt;ProposalToGnatt[[#This Row],[Start Date]],BH$27&lt;ProposalToGnatt[[#This Row],[Start Date]]+ProposalToGnatt[[#This Row],[Days]]),$G$5,"")),"")</f>
        <v/>
      </c>
      <c r="BI77" s="36" t="str">
        <f ca="1">IFERROR(+IF(BI$27=ProposalToGnatt[[#This Row],[Start Date]],Milestone_Marker,IF(AND(BI$27&gt;ProposalToGnatt[[#This Row],[Start Date]],BI$27&lt;ProposalToGnatt[[#This Row],[Start Date]]+ProposalToGnatt[[#This Row],[Days]]),$G$5,"")),"")</f>
        <v/>
      </c>
      <c r="BJ77" s="36" t="str">
        <f ca="1">IFERROR(+IF(BJ$27=ProposalToGnatt[[#This Row],[Start Date]],Milestone_Marker,IF(AND(BJ$27&gt;ProposalToGnatt[[#This Row],[Start Date]],BJ$27&lt;ProposalToGnatt[[#This Row],[Start Date]]+ProposalToGnatt[[#This Row],[Days]]),$G$5,"")),"")</f>
        <v/>
      </c>
      <c r="BK77" s="36" t="str">
        <f ca="1">IFERROR(+IF(BK$27=ProposalToGnatt[[#This Row],[Start Date]],Milestone_Marker,IF(AND(BK$27&gt;ProposalToGnatt[[#This Row],[Start Date]],BK$27&lt;ProposalToGnatt[[#This Row],[Start Date]]+ProposalToGnatt[[#This Row],[Days]]),$G$5,"")),"")</f>
        <v/>
      </c>
      <c r="BL77" s="36" t="str">
        <f ca="1">IFERROR(+IF(BL$27=ProposalToGnatt[[#This Row],[Start Date]],Milestone_Marker,IF(AND(BL$27&gt;ProposalToGnatt[[#This Row],[Start Date]],BL$27&lt;ProposalToGnatt[[#This Row],[Start Date]]+ProposalToGnatt[[#This Row],[Days]]),$G$5,"")),"")</f>
        <v/>
      </c>
      <c r="BM77" s="36" t="str">
        <f ca="1">IFERROR(+IF(BM$27=ProposalToGnatt[[#This Row],[Start Date]],Milestone_Marker,IF(AND(BM$27&gt;ProposalToGnatt[[#This Row],[Start Date]],BM$27&lt;ProposalToGnatt[[#This Row],[Start Date]]+ProposalToGnatt[[#This Row],[Days]]),$G$5,"")),"")</f>
        <v/>
      </c>
      <c r="BN77" s="36" t="str">
        <f ca="1">IFERROR(+IF(BN$27=ProposalToGnatt[[#This Row],[Start Date]],Milestone_Marker,IF(AND(BN$27&gt;ProposalToGnatt[[#This Row],[Start Date]],BN$27&lt;ProposalToGnatt[[#This Row],[Start Date]]+ProposalToGnatt[[#This Row],[Days]]),$G$5,"")),"")</f>
        <v/>
      </c>
      <c r="BO77" s="36" t="str">
        <f ca="1">IFERROR(+IF(BO$27=ProposalToGnatt[[#This Row],[Start Date]],Milestone_Marker,IF(AND(BO$27&gt;ProposalToGnatt[[#This Row],[Start Date]],BO$27&lt;ProposalToGnatt[[#This Row],[Start Date]]+ProposalToGnatt[[#This Row],[Days]]),$G$5,"")),"")</f>
        <v/>
      </c>
      <c r="BP77" s="36" t="str">
        <f ca="1">IFERROR(+IF(BP$27=ProposalToGnatt[[#This Row],[Start Date]],Milestone_Marker,IF(AND(BP$27&gt;ProposalToGnatt[[#This Row],[Start Date]],BP$27&lt;ProposalToGnatt[[#This Row],[Start Date]]+ProposalToGnatt[[#This Row],[Days]]),$G$5,"")),"")</f>
        <v/>
      </c>
      <c r="BQ77" s="36" t="str">
        <f ca="1">IFERROR(+IF(BQ$27=ProposalToGnatt[[#This Row],[Start Date]],Milestone_Marker,IF(AND(BQ$27&gt;ProposalToGnatt[[#This Row],[Start Date]],BQ$27&lt;ProposalToGnatt[[#This Row],[Start Date]]+ProposalToGnatt[[#This Row],[Days]]),$G$5,"")),"")</f>
        <v/>
      </c>
      <c r="BR77" s="36" t="str">
        <f ca="1">IFERROR(+IF(BR$27=ProposalToGnatt[[#This Row],[Start Date]],Milestone_Marker,IF(AND(BR$27&gt;ProposalToGnatt[[#This Row],[Start Date]],BR$27&lt;ProposalToGnatt[[#This Row],[Start Date]]+ProposalToGnatt[[#This Row],[Days]]),$G$5,"")),"")</f>
        <v/>
      </c>
      <c r="BS77" s="36" t="str">
        <f ca="1">IFERROR(+IF(BS$27=ProposalToGnatt[[#This Row],[Start Date]],Milestone_Marker,IF(AND(BS$27&gt;ProposalToGnatt[[#This Row],[Start Date]],BS$27&lt;ProposalToGnatt[[#This Row],[Start Date]]+ProposalToGnatt[[#This Row],[Days]]),$G$5,"")),"")</f>
        <v/>
      </c>
      <c r="BT77" s="36" t="str">
        <f ca="1">IFERROR(+IF(BT$27=ProposalToGnatt[[#This Row],[Start Date]],Milestone_Marker,IF(AND(BT$27&gt;ProposalToGnatt[[#This Row],[Start Date]],BT$27&lt;ProposalToGnatt[[#This Row],[Start Date]]+ProposalToGnatt[[#This Row],[Days]]),$G$5,"")),"")</f>
        <v/>
      </c>
      <c r="BU77" s="36" t="str">
        <f ca="1">IFERROR(+IF(BU$27=ProposalToGnatt[[#This Row],[Start Date]],Milestone_Marker,IF(AND(BU$27&gt;ProposalToGnatt[[#This Row],[Start Date]],BU$27&lt;ProposalToGnatt[[#This Row],[Start Date]]+ProposalToGnatt[[#This Row],[Days]]),$G$5,"")),"")</f>
        <v/>
      </c>
      <c r="BV77" s="36" t="str">
        <f ca="1">IFERROR(+IF(BV$27=ProposalToGnatt[[#This Row],[Start Date]],Milestone_Marker,IF(AND(BV$27&gt;ProposalToGnatt[[#This Row],[Start Date]],BV$27&lt;ProposalToGnatt[[#This Row],[Start Date]]+ProposalToGnatt[[#This Row],[Days]]),$G$5,"")),"")</f>
        <v/>
      </c>
      <c r="BW77" s="36" t="str">
        <f ca="1">IFERROR(+IF(BW$27=ProposalToGnatt[[#This Row],[Start Date]],Milestone_Marker,IF(AND(BW$27&gt;ProposalToGnatt[[#This Row],[Start Date]],BW$27&lt;ProposalToGnatt[[#This Row],[Start Date]]+ProposalToGnatt[[#This Row],[Days]]),$G$5,"")),"")</f>
        <v/>
      </c>
      <c r="BX77" s="36" t="str">
        <f ca="1">IFERROR(+IF(BX$27=ProposalToGnatt[[#This Row],[Start Date]],Milestone_Marker,IF(AND(BX$27&gt;ProposalToGnatt[[#This Row],[Start Date]],BX$27&lt;ProposalToGnatt[[#This Row],[Start Date]]+ProposalToGnatt[[#This Row],[Days]]),$G$5,"")),"")</f>
        <v/>
      </c>
      <c r="BY77" s="36" t="str">
        <f ca="1">IFERROR(+IF(BY$27=ProposalToGnatt[[#This Row],[Start Date]],Milestone_Marker,IF(AND(BY$27&gt;ProposalToGnatt[[#This Row],[Start Date]],BY$27&lt;ProposalToGnatt[[#This Row],[Start Date]]+ProposalToGnatt[[#This Row],[Days]]),$G$5,"")),"")</f>
        <v/>
      </c>
      <c r="BZ77" s="36" t="str">
        <f ca="1">IFERROR(+IF(BZ$27=ProposalToGnatt[[#This Row],[Start Date]],Milestone_Marker,IF(AND(BZ$27&gt;ProposalToGnatt[[#This Row],[Start Date]],BZ$27&lt;ProposalToGnatt[[#This Row],[Start Date]]+ProposalToGnatt[[#This Row],[Days]]),$G$5,"")),"")</f>
        <v/>
      </c>
      <c r="CA77" s="36" t="str">
        <f ca="1">IFERROR(+IF(CA$27=ProposalToGnatt[[#This Row],[Start Date]],Milestone_Marker,IF(AND(CA$27&gt;ProposalToGnatt[[#This Row],[Start Date]],CA$27&lt;ProposalToGnatt[[#This Row],[Start Date]]+ProposalToGnatt[[#This Row],[Days]]),$G$5,"")),"")</f>
        <v/>
      </c>
      <c r="CB77" s="36" t="str">
        <f ca="1">IFERROR(+IF(CB$27=ProposalToGnatt[[#This Row],[Start Date]],Milestone_Marker,IF(AND(CB$27&gt;ProposalToGnatt[[#This Row],[Start Date]],CB$27&lt;ProposalToGnatt[[#This Row],[Start Date]]+ProposalToGnatt[[#This Row],[Days]]),$G$5,"")),"")</f>
        <v/>
      </c>
      <c r="CC77" s="36" t="str">
        <f ca="1">IFERROR(+IF(CC$27=ProposalToGnatt[[#This Row],[Start Date]],Milestone_Marker,IF(AND(CC$27&gt;ProposalToGnatt[[#This Row],[Start Date]],CC$27&lt;ProposalToGnatt[[#This Row],[Start Date]]+ProposalToGnatt[[#This Row],[Days]]),$G$5,"")),"")</f>
        <v/>
      </c>
      <c r="CD77" s="36" t="str">
        <f ca="1">IFERROR(+IF(CD$27=ProposalToGnatt[[#This Row],[Start Date]],Milestone_Marker,IF(AND(CD$27&gt;ProposalToGnatt[[#This Row],[Start Date]],CD$27&lt;ProposalToGnatt[[#This Row],[Start Date]]+ProposalToGnatt[[#This Row],[Days]]),$G$5,"")),"")</f>
        <v/>
      </c>
      <c r="CE77" s="36" t="str">
        <f ca="1">IFERROR(+IF(CE$27=ProposalToGnatt[[#This Row],[Start Date]],Milestone_Marker,IF(AND(CE$27&gt;ProposalToGnatt[[#This Row],[Start Date]],CE$27&lt;ProposalToGnatt[[#This Row],[Start Date]]+ProposalToGnatt[[#This Row],[Days]]),$G$5,"")),"")</f>
        <v/>
      </c>
      <c r="CF77" s="36" t="str">
        <f ca="1">IFERROR(+IF(CF$27=ProposalToGnatt[[#This Row],[Start Date]],Milestone_Marker,IF(AND(CF$27&gt;ProposalToGnatt[[#This Row],[Start Date]],CF$27&lt;ProposalToGnatt[[#This Row],[Start Date]]+ProposalToGnatt[[#This Row],[Days]]),$G$5,"")),"")</f>
        <v/>
      </c>
      <c r="CG77" s="36" t="str">
        <f ca="1">IFERROR(+IF(CG$27=ProposalToGnatt[[#This Row],[Start Date]],Milestone_Marker,IF(AND(CG$27&gt;ProposalToGnatt[[#This Row],[Start Date]],CG$27&lt;ProposalToGnatt[[#This Row],[Start Date]]+ProposalToGnatt[[#This Row],[Days]]),$G$5,"")),"")</f>
        <v/>
      </c>
      <c r="CH77" s="36" t="str">
        <f ca="1">IFERROR(+IF(CH$27=ProposalToGnatt[[#This Row],[Start Date]],Milestone_Marker,IF(AND(CH$27&gt;ProposalToGnatt[[#This Row],[Start Date]],CH$27&lt;ProposalToGnatt[[#This Row],[Start Date]]+ProposalToGnatt[[#This Row],[Days]]),$G$5,"")),"")</f>
        <v/>
      </c>
      <c r="CI77" s="36" t="str">
        <f ca="1">IFERROR(+IF(CI$27=ProposalToGnatt[[#This Row],[Start Date]],Milestone_Marker,IF(AND(CI$27&gt;ProposalToGnatt[[#This Row],[Start Date]],CI$27&lt;ProposalToGnatt[[#This Row],[Start Date]]+ProposalToGnatt[[#This Row],[Days]]),$G$5,"")),"")</f>
        <v/>
      </c>
      <c r="CJ77" s="36" t="str">
        <f ca="1">IFERROR(+IF(CJ$27=ProposalToGnatt[[#This Row],[Start Date]],Milestone_Marker,IF(AND(CJ$27&gt;ProposalToGnatt[[#This Row],[Start Date]],CJ$27&lt;ProposalToGnatt[[#This Row],[Start Date]]+ProposalToGnatt[[#This Row],[Days]]),$G$5,"")),"")</f>
        <v/>
      </c>
      <c r="CK77" s="36" t="str">
        <f ca="1">IFERROR(+IF(CK$27=ProposalToGnatt[[#This Row],[Start Date]],Milestone_Marker,IF(AND(CK$27&gt;ProposalToGnatt[[#This Row],[Start Date]],CK$27&lt;ProposalToGnatt[[#This Row],[Start Date]]+ProposalToGnatt[[#This Row],[Days]]),$G$5,"")),"")</f>
        <v/>
      </c>
      <c r="CL77" s="36" t="str">
        <f ca="1">IFERROR(+IF(CL$27=ProposalToGnatt[[#This Row],[Start Date]],Milestone_Marker,IF(AND(CL$27&gt;ProposalToGnatt[[#This Row],[Start Date]],CL$27&lt;ProposalToGnatt[[#This Row],[Start Date]]+ProposalToGnatt[[#This Row],[Days]]),$G$5,"")),"")</f>
        <v/>
      </c>
      <c r="CM77" s="36" t="str">
        <f ca="1">IFERROR(+IF(CM$27=ProposalToGnatt[[#This Row],[Start Date]],Milestone_Marker,IF(AND(CM$27&gt;ProposalToGnatt[[#This Row],[Start Date]],CM$27&lt;ProposalToGnatt[[#This Row],[Start Date]]+ProposalToGnatt[[#This Row],[Days]]),$G$5,"")),"")</f>
        <v/>
      </c>
      <c r="CN77" s="36" t="str">
        <f ca="1">IFERROR(+IF(CN$27=ProposalToGnatt[[#This Row],[Start Date]],Milestone_Marker,IF(AND(CN$27&gt;ProposalToGnatt[[#This Row],[Start Date]],CN$27&lt;ProposalToGnatt[[#This Row],[Start Date]]+ProposalToGnatt[[#This Row],[Days]]),$G$5,"")),"")</f>
        <v/>
      </c>
      <c r="CO77" s="36" t="str">
        <f ca="1">IFERROR(+IF(CO$27=ProposalToGnatt[[#This Row],[Start Date]],Milestone_Marker,IF(AND(CO$27&gt;ProposalToGnatt[[#This Row],[Start Date]],CO$27&lt;ProposalToGnatt[[#This Row],[Start Date]]+ProposalToGnatt[[#This Row],[Days]]),$G$5,"")),"")</f>
        <v/>
      </c>
      <c r="CP77" s="36" t="str">
        <f ca="1">IFERROR(+IF(CP$27=ProposalToGnatt[[#This Row],[Start Date]],Milestone_Marker,IF(AND(CP$27&gt;ProposalToGnatt[[#This Row],[Start Date]],CP$27&lt;ProposalToGnatt[[#This Row],[Start Date]]+ProposalToGnatt[[#This Row],[Days]]),$G$5,"")),"")</f>
        <v/>
      </c>
      <c r="CQ77" s="36" t="str">
        <f ca="1">IFERROR(+IF(CQ$27=ProposalToGnatt[[#This Row],[Start Date]],Milestone_Marker,IF(AND(CQ$27&gt;ProposalToGnatt[[#This Row],[Start Date]],CQ$27&lt;ProposalToGnatt[[#This Row],[Start Date]]+ProposalToGnatt[[#This Row],[Days]]),$G$5,"")),"")</f>
        <v/>
      </c>
      <c r="CR77" s="36" t="str">
        <f ca="1">IFERROR(+IF(CR$27=ProposalToGnatt[[#This Row],[Start Date]],Milestone_Marker,IF(AND(CR$27&gt;ProposalToGnatt[[#This Row],[Start Date]],CR$27&lt;ProposalToGnatt[[#This Row],[Start Date]]+ProposalToGnatt[[#This Row],[Days]]),$G$5,"")),"")</f>
        <v/>
      </c>
      <c r="CS77" s="36" t="str">
        <f ca="1">IFERROR(+IF(CS$27=ProposalToGnatt[[#This Row],[Start Date]],Milestone_Marker,IF(AND(CS$27&gt;ProposalToGnatt[[#This Row],[Start Date]],CS$27&lt;ProposalToGnatt[[#This Row],[Start Date]]+ProposalToGnatt[[#This Row],[Days]]),$G$5,"")),"")</f>
        <v/>
      </c>
      <c r="CT77" s="36" t="str">
        <f ca="1">IFERROR(+IF(CT$27=ProposalToGnatt[[#This Row],[Start Date]],Milestone_Marker,IF(AND(CT$27&gt;ProposalToGnatt[[#This Row],[Start Date]],CT$27&lt;ProposalToGnatt[[#This Row],[Start Date]]+ProposalToGnatt[[#This Row],[Days]]),$G$5,"")),"")</f>
        <v/>
      </c>
      <c r="CU77" s="36" t="str">
        <f ca="1">IFERROR(+IF(CU$27=ProposalToGnatt[[#This Row],[Start Date]],Milestone_Marker,IF(AND(CU$27&gt;ProposalToGnatt[[#This Row],[Start Date]],CU$27&lt;ProposalToGnatt[[#This Row],[Start Date]]+ProposalToGnatt[[#This Row],[Days]]),$G$5,"")),"")</f>
        <v/>
      </c>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row>
    <row r="78" spans="1:125" ht="15" x14ac:dyDescent="0.25">
      <c r="A78"/>
      <c r="B78"/>
      <c r="C78"/>
      <c r="D78"/>
      <c r="E78"/>
      <c r="F78"/>
      <c r="G78" s="14"/>
      <c r="H78" s="14"/>
      <c r="I78"/>
      <c r="J78"/>
      <c r="K78" s="261"/>
      <c r="L78"/>
      <c r="M78" s="14"/>
      <c r="N78" s="309"/>
      <c r="O78" s="297"/>
      <c r="P78" s="36" t="str">
        <f ca="1">IFERROR(+IF(P$27=ProposalToGnatt[[#This Row],[Start Date]],Milestone_Marker,IF(AND(P$27&gt;ProposalToGnatt[[#This Row],[Start Date]],P$27&lt;ProposalToGnatt[[#This Row],[Start Date]]+ProposalToGnatt[[#This Row],[Days]]),$G$5,"")),"")</f>
        <v/>
      </c>
      <c r="Q78" s="36" t="str">
        <f ca="1">IFERROR(+IF(Q$27=ProposalToGnatt[[#This Row],[Start Date]],Milestone_Marker,IF(AND(Q$27&gt;ProposalToGnatt[[#This Row],[Start Date]],Q$27&lt;ProposalToGnatt[[#This Row],[Start Date]]+ProposalToGnatt[[#This Row],[Days]]),$G$5,"")),"")</f>
        <v/>
      </c>
      <c r="R78" s="36" t="str">
        <f ca="1">IFERROR(+IF(R$27=ProposalToGnatt[[#This Row],[Start Date]],Milestone_Marker,IF(AND(R$27&gt;ProposalToGnatt[[#This Row],[Start Date]],R$27&lt;ProposalToGnatt[[#This Row],[Start Date]]+ProposalToGnatt[[#This Row],[Days]]),$G$5,"")),"")</f>
        <v/>
      </c>
      <c r="S78" s="36" t="str">
        <f ca="1">IFERROR(+IF(S$27=ProposalToGnatt[[#This Row],[Start Date]],Milestone_Marker,IF(AND(S$27&gt;ProposalToGnatt[[#This Row],[Start Date]],S$27&lt;ProposalToGnatt[[#This Row],[Start Date]]+ProposalToGnatt[[#This Row],[Days]]),$G$5,"")),"")</f>
        <v/>
      </c>
      <c r="T78" s="36" t="str">
        <f ca="1">IFERROR(+IF(T$27=ProposalToGnatt[[#This Row],[Start Date]],Milestone_Marker,IF(AND(T$27&gt;ProposalToGnatt[[#This Row],[Start Date]],T$27&lt;ProposalToGnatt[[#This Row],[Start Date]]+ProposalToGnatt[[#This Row],[Days]]),$G$5,"")),"")</f>
        <v/>
      </c>
      <c r="U78" s="36" t="str">
        <f ca="1">IFERROR(+IF(U$27=ProposalToGnatt[[#This Row],[Start Date]],Milestone_Marker,IF(AND(U$27&gt;ProposalToGnatt[[#This Row],[Start Date]],U$27&lt;ProposalToGnatt[[#This Row],[Start Date]]+ProposalToGnatt[[#This Row],[Days]]),$G$5,"")),"")</f>
        <v/>
      </c>
      <c r="V78" s="36" t="str">
        <f ca="1">IFERROR(+IF(V$27=ProposalToGnatt[[#This Row],[Start Date]],Milestone_Marker,IF(AND(V$27&gt;ProposalToGnatt[[#This Row],[Start Date]],V$27&lt;ProposalToGnatt[[#This Row],[Start Date]]+ProposalToGnatt[[#This Row],[Days]]),$G$5,"")),"")</f>
        <v/>
      </c>
      <c r="W78" s="36" t="str">
        <f ca="1">IFERROR(+IF(W$27=ProposalToGnatt[[#This Row],[Start Date]],Milestone_Marker,IF(AND(W$27&gt;ProposalToGnatt[[#This Row],[Start Date]],W$27&lt;ProposalToGnatt[[#This Row],[Start Date]]+ProposalToGnatt[[#This Row],[Days]]),$G$5,"")),"")</f>
        <v/>
      </c>
      <c r="X78" s="36" t="str">
        <f ca="1">IFERROR(+IF(X$27=ProposalToGnatt[[#This Row],[Start Date]],Milestone_Marker,IF(AND(X$27&gt;ProposalToGnatt[[#This Row],[Start Date]],X$27&lt;ProposalToGnatt[[#This Row],[Start Date]]+ProposalToGnatt[[#This Row],[Days]]),$G$5,"")),"")</f>
        <v/>
      </c>
      <c r="Y78" s="36" t="str">
        <f ca="1">IFERROR(+IF(Y$27=ProposalToGnatt[[#This Row],[Start Date]],Milestone_Marker,IF(AND(Y$27&gt;ProposalToGnatt[[#This Row],[Start Date]],Y$27&lt;ProposalToGnatt[[#This Row],[Start Date]]+ProposalToGnatt[[#This Row],[Days]]),$G$5,"")),"")</f>
        <v/>
      </c>
      <c r="Z78" s="36" t="str">
        <f ca="1">IFERROR(+IF(Z$27=ProposalToGnatt[[#This Row],[Start Date]],Milestone_Marker,IF(AND(Z$27&gt;ProposalToGnatt[[#This Row],[Start Date]],Z$27&lt;ProposalToGnatt[[#This Row],[Start Date]]+ProposalToGnatt[[#This Row],[Days]]),$G$5,"")),"")</f>
        <v/>
      </c>
      <c r="AA78" s="36" t="str">
        <f ca="1">IFERROR(+IF(AA$27=ProposalToGnatt[[#This Row],[Start Date]],Milestone_Marker,IF(AND(AA$27&gt;ProposalToGnatt[[#This Row],[Start Date]],AA$27&lt;ProposalToGnatt[[#This Row],[Start Date]]+ProposalToGnatt[[#This Row],[Days]]),$G$5,"")),"")</f>
        <v/>
      </c>
      <c r="AB78" s="36" t="str">
        <f ca="1">IFERROR(+IF(AB$27=ProposalToGnatt[[#This Row],[Start Date]],Milestone_Marker,IF(AND(AB$27&gt;ProposalToGnatt[[#This Row],[Start Date]],AB$27&lt;ProposalToGnatt[[#This Row],[Start Date]]+ProposalToGnatt[[#This Row],[Days]]),$G$5,"")),"")</f>
        <v/>
      </c>
      <c r="AC78" s="36" t="str">
        <f ca="1">IFERROR(+IF(AC$27=ProposalToGnatt[[#This Row],[Start Date]],Milestone_Marker,IF(AND(AC$27&gt;ProposalToGnatt[[#This Row],[Start Date]],AC$27&lt;ProposalToGnatt[[#This Row],[Start Date]]+ProposalToGnatt[[#This Row],[Days]]),$G$5,"")),"")</f>
        <v/>
      </c>
      <c r="AD78" s="36" t="str">
        <f ca="1">IFERROR(+IF(AD$27=ProposalToGnatt[[#This Row],[Start Date]],Milestone_Marker,IF(AND(AD$27&gt;ProposalToGnatt[[#This Row],[Start Date]],AD$27&lt;ProposalToGnatt[[#This Row],[Start Date]]+ProposalToGnatt[[#This Row],[Days]]),$G$5,"")),"")</f>
        <v/>
      </c>
      <c r="AE78" s="36" t="str">
        <f ca="1">IFERROR(+IF(AE$27=ProposalToGnatt[[#This Row],[Start Date]],Milestone_Marker,IF(AND(AE$27&gt;ProposalToGnatt[[#This Row],[Start Date]],AE$27&lt;ProposalToGnatt[[#This Row],[Start Date]]+ProposalToGnatt[[#This Row],[Days]]),$G$5,"")),"")</f>
        <v/>
      </c>
      <c r="AF78" s="36" t="str">
        <f ca="1">IFERROR(+IF(AF$27=ProposalToGnatt[[#This Row],[Start Date]],Milestone_Marker,IF(AND(AF$27&gt;ProposalToGnatt[[#This Row],[Start Date]],AF$27&lt;ProposalToGnatt[[#This Row],[Start Date]]+ProposalToGnatt[[#This Row],[Days]]),$G$5,"")),"")</f>
        <v/>
      </c>
      <c r="AG78" s="36" t="str">
        <f ca="1">IFERROR(+IF(AG$27=ProposalToGnatt[[#This Row],[Start Date]],Milestone_Marker,IF(AND(AG$27&gt;ProposalToGnatt[[#This Row],[Start Date]],AG$27&lt;ProposalToGnatt[[#This Row],[Start Date]]+ProposalToGnatt[[#This Row],[Days]]),$G$5,"")),"")</f>
        <v/>
      </c>
      <c r="AH78" s="36" t="str">
        <f ca="1">IFERROR(+IF(AH$27=ProposalToGnatt[[#This Row],[Start Date]],Milestone_Marker,IF(AND(AH$27&gt;ProposalToGnatt[[#This Row],[Start Date]],AH$27&lt;ProposalToGnatt[[#This Row],[Start Date]]+ProposalToGnatt[[#This Row],[Days]]),$G$5,"")),"")</f>
        <v/>
      </c>
      <c r="AI78" s="36" t="str">
        <f ca="1">IFERROR(+IF(AI$27=ProposalToGnatt[[#This Row],[Start Date]],Milestone_Marker,IF(AND(AI$27&gt;ProposalToGnatt[[#This Row],[Start Date]],AI$27&lt;ProposalToGnatt[[#This Row],[Start Date]]+ProposalToGnatt[[#This Row],[Days]]),$G$5,"")),"")</f>
        <v/>
      </c>
      <c r="AJ78" s="36" t="str">
        <f ca="1">IFERROR(+IF(AJ$27=ProposalToGnatt[[#This Row],[Start Date]],Milestone_Marker,IF(AND(AJ$27&gt;ProposalToGnatt[[#This Row],[Start Date]],AJ$27&lt;ProposalToGnatt[[#This Row],[Start Date]]+ProposalToGnatt[[#This Row],[Days]]),$G$5,"")),"")</f>
        <v/>
      </c>
      <c r="AK78" s="36" t="str">
        <f ca="1">IFERROR(+IF(AK$27=ProposalToGnatt[[#This Row],[Start Date]],Milestone_Marker,IF(AND(AK$27&gt;ProposalToGnatt[[#This Row],[Start Date]],AK$27&lt;ProposalToGnatt[[#This Row],[Start Date]]+ProposalToGnatt[[#This Row],[Days]]),$G$5,"")),"")</f>
        <v/>
      </c>
      <c r="AL78" s="36" t="str">
        <f ca="1">IFERROR(+IF(AL$27=ProposalToGnatt[[#This Row],[Start Date]],Milestone_Marker,IF(AND(AL$27&gt;ProposalToGnatt[[#This Row],[Start Date]],AL$27&lt;ProposalToGnatt[[#This Row],[Start Date]]+ProposalToGnatt[[#This Row],[Days]]),$G$5,"")),"")</f>
        <v/>
      </c>
      <c r="AM78" s="36" t="str">
        <f ca="1">IFERROR(+IF(AM$27=ProposalToGnatt[[#This Row],[Start Date]],Milestone_Marker,IF(AND(AM$27&gt;ProposalToGnatt[[#This Row],[Start Date]],AM$27&lt;ProposalToGnatt[[#This Row],[Start Date]]+ProposalToGnatt[[#This Row],[Days]]),$G$5,"")),"")</f>
        <v/>
      </c>
      <c r="AN78" s="36" t="str">
        <f ca="1">IFERROR(+IF(AN$27=ProposalToGnatt[[#This Row],[Start Date]],Milestone_Marker,IF(AND(AN$27&gt;ProposalToGnatt[[#This Row],[Start Date]],AN$27&lt;ProposalToGnatt[[#This Row],[Start Date]]+ProposalToGnatt[[#This Row],[Days]]),$G$5,"")),"")</f>
        <v/>
      </c>
      <c r="AO78" s="36" t="str">
        <f ca="1">IFERROR(+IF(AO$27=ProposalToGnatt[[#This Row],[Start Date]],Milestone_Marker,IF(AND(AO$27&gt;ProposalToGnatt[[#This Row],[Start Date]],AO$27&lt;ProposalToGnatt[[#This Row],[Start Date]]+ProposalToGnatt[[#This Row],[Days]]),$G$5,"")),"")</f>
        <v/>
      </c>
      <c r="AP78" s="36" t="str">
        <f ca="1">IFERROR(+IF(AP$27=ProposalToGnatt[[#This Row],[Start Date]],Milestone_Marker,IF(AND(AP$27&gt;ProposalToGnatt[[#This Row],[Start Date]],AP$27&lt;ProposalToGnatt[[#This Row],[Start Date]]+ProposalToGnatt[[#This Row],[Days]]),$G$5,"")),"")</f>
        <v/>
      </c>
      <c r="AQ78" s="36" t="str">
        <f ca="1">IFERROR(+IF(AQ$27=ProposalToGnatt[[#This Row],[Start Date]],Milestone_Marker,IF(AND(AQ$27&gt;ProposalToGnatt[[#This Row],[Start Date]],AQ$27&lt;ProposalToGnatt[[#This Row],[Start Date]]+ProposalToGnatt[[#This Row],[Days]]),$G$5,"")),"")</f>
        <v/>
      </c>
      <c r="AR78" s="36" t="str">
        <f ca="1">IFERROR(+IF(AR$27=ProposalToGnatt[[#This Row],[Start Date]],Milestone_Marker,IF(AND(AR$27&gt;ProposalToGnatt[[#This Row],[Start Date]],AR$27&lt;ProposalToGnatt[[#This Row],[Start Date]]+ProposalToGnatt[[#This Row],[Days]]),$G$5,"")),"")</f>
        <v/>
      </c>
      <c r="AS78" s="36" t="str">
        <f ca="1">IFERROR(+IF(AS$27=ProposalToGnatt[[#This Row],[Start Date]],Milestone_Marker,IF(AND(AS$27&gt;ProposalToGnatt[[#This Row],[Start Date]],AS$27&lt;ProposalToGnatt[[#This Row],[Start Date]]+ProposalToGnatt[[#This Row],[Days]]),$G$5,"")),"")</f>
        <v/>
      </c>
      <c r="AT78" s="36" t="str">
        <f ca="1">IFERROR(+IF(AT$27=ProposalToGnatt[[#This Row],[Start Date]],Milestone_Marker,IF(AND(AT$27&gt;ProposalToGnatt[[#This Row],[Start Date]],AT$27&lt;ProposalToGnatt[[#This Row],[Start Date]]+ProposalToGnatt[[#This Row],[Days]]),$G$5,"")),"")</f>
        <v/>
      </c>
      <c r="AU78" s="36" t="str">
        <f ca="1">IFERROR(+IF(AU$27=ProposalToGnatt[[#This Row],[Start Date]],Milestone_Marker,IF(AND(AU$27&gt;ProposalToGnatt[[#This Row],[Start Date]],AU$27&lt;ProposalToGnatt[[#This Row],[Start Date]]+ProposalToGnatt[[#This Row],[Days]]),$G$5,"")),"")</f>
        <v/>
      </c>
      <c r="AV78" s="36" t="str">
        <f ca="1">IFERROR(+IF(AV$27=ProposalToGnatt[[#This Row],[Start Date]],Milestone_Marker,IF(AND(AV$27&gt;ProposalToGnatt[[#This Row],[Start Date]],AV$27&lt;ProposalToGnatt[[#This Row],[Start Date]]+ProposalToGnatt[[#This Row],[Days]]),$G$5,"")),"")</f>
        <v/>
      </c>
      <c r="AW78" s="36" t="str">
        <f ca="1">IFERROR(+IF(AW$27=ProposalToGnatt[[#This Row],[Start Date]],Milestone_Marker,IF(AND(AW$27&gt;ProposalToGnatt[[#This Row],[Start Date]],AW$27&lt;ProposalToGnatt[[#This Row],[Start Date]]+ProposalToGnatt[[#This Row],[Days]]),$G$5,"")),"")</f>
        <v/>
      </c>
      <c r="AX78" s="36" t="str">
        <f ca="1">IFERROR(+IF(AX$27=ProposalToGnatt[[#This Row],[Start Date]],Milestone_Marker,IF(AND(AX$27&gt;ProposalToGnatt[[#This Row],[Start Date]],AX$27&lt;ProposalToGnatt[[#This Row],[Start Date]]+ProposalToGnatt[[#This Row],[Days]]),$G$5,"")),"")</f>
        <v/>
      </c>
      <c r="AY78" s="36" t="str">
        <f ca="1">IFERROR(+IF(AY$27=ProposalToGnatt[[#This Row],[Start Date]],Milestone_Marker,IF(AND(AY$27&gt;ProposalToGnatt[[#This Row],[Start Date]],AY$27&lt;ProposalToGnatt[[#This Row],[Start Date]]+ProposalToGnatt[[#This Row],[Days]]),$G$5,"")),"")</f>
        <v/>
      </c>
      <c r="AZ78" s="36" t="str">
        <f ca="1">IFERROR(+IF(AZ$27=ProposalToGnatt[[#This Row],[Start Date]],Milestone_Marker,IF(AND(AZ$27&gt;ProposalToGnatt[[#This Row],[Start Date]],AZ$27&lt;ProposalToGnatt[[#This Row],[Start Date]]+ProposalToGnatt[[#This Row],[Days]]),$G$5,"")),"")</f>
        <v/>
      </c>
      <c r="BA78" s="36" t="str">
        <f ca="1">IFERROR(+IF(BA$27=ProposalToGnatt[[#This Row],[Start Date]],Milestone_Marker,IF(AND(BA$27&gt;ProposalToGnatt[[#This Row],[Start Date]],BA$27&lt;ProposalToGnatt[[#This Row],[Start Date]]+ProposalToGnatt[[#This Row],[Days]]),$G$5,"")),"")</f>
        <v/>
      </c>
      <c r="BB78" s="36" t="str">
        <f ca="1">IFERROR(+IF(BB$27=ProposalToGnatt[[#This Row],[Start Date]],Milestone_Marker,IF(AND(BB$27&gt;ProposalToGnatt[[#This Row],[Start Date]],BB$27&lt;ProposalToGnatt[[#This Row],[Start Date]]+ProposalToGnatt[[#This Row],[Days]]),$G$5,"")),"")</f>
        <v/>
      </c>
      <c r="BC78" s="36" t="str">
        <f ca="1">IFERROR(+IF(BC$27=ProposalToGnatt[[#This Row],[Start Date]],Milestone_Marker,IF(AND(BC$27&gt;ProposalToGnatt[[#This Row],[Start Date]],BC$27&lt;ProposalToGnatt[[#This Row],[Start Date]]+ProposalToGnatt[[#This Row],[Days]]),$G$5,"")),"")</f>
        <v/>
      </c>
      <c r="BD78" s="36" t="str">
        <f ca="1">IFERROR(+IF(BD$27=ProposalToGnatt[[#This Row],[Start Date]],Milestone_Marker,IF(AND(BD$27&gt;ProposalToGnatt[[#This Row],[Start Date]],BD$27&lt;ProposalToGnatt[[#This Row],[Start Date]]+ProposalToGnatt[[#This Row],[Days]]),$G$5,"")),"")</f>
        <v/>
      </c>
      <c r="BE78" s="36" t="str">
        <f ca="1">IFERROR(+IF(BE$27=ProposalToGnatt[[#This Row],[Start Date]],Milestone_Marker,IF(AND(BE$27&gt;ProposalToGnatt[[#This Row],[Start Date]],BE$27&lt;ProposalToGnatt[[#This Row],[Start Date]]+ProposalToGnatt[[#This Row],[Days]]),$G$5,"")),"")</f>
        <v/>
      </c>
      <c r="BF78" s="36" t="str">
        <f ca="1">IFERROR(+IF(BF$27=ProposalToGnatt[[#This Row],[Start Date]],Milestone_Marker,IF(AND(BF$27&gt;ProposalToGnatt[[#This Row],[Start Date]],BF$27&lt;ProposalToGnatt[[#This Row],[Start Date]]+ProposalToGnatt[[#This Row],[Days]]),$G$5,"")),"")</f>
        <v/>
      </c>
      <c r="BG78" s="36" t="str">
        <f ca="1">IFERROR(+IF(BG$27=ProposalToGnatt[[#This Row],[Start Date]],Milestone_Marker,IF(AND(BG$27&gt;ProposalToGnatt[[#This Row],[Start Date]],BG$27&lt;ProposalToGnatt[[#This Row],[Start Date]]+ProposalToGnatt[[#This Row],[Days]]),$G$5,"")),"")</f>
        <v/>
      </c>
      <c r="BH78" s="36" t="str">
        <f ca="1">IFERROR(+IF(BH$27=ProposalToGnatt[[#This Row],[Start Date]],Milestone_Marker,IF(AND(BH$27&gt;ProposalToGnatt[[#This Row],[Start Date]],BH$27&lt;ProposalToGnatt[[#This Row],[Start Date]]+ProposalToGnatt[[#This Row],[Days]]),$G$5,"")),"")</f>
        <v/>
      </c>
      <c r="BI78" s="36" t="str">
        <f ca="1">IFERROR(+IF(BI$27=ProposalToGnatt[[#This Row],[Start Date]],Milestone_Marker,IF(AND(BI$27&gt;ProposalToGnatt[[#This Row],[Start Date]],BI$27&lt;ProposalToGnatt[[#This Row],[Start Date]]+ProposalToGnatt[[#This Row],[Days]]),$G$5,"")),"")</f>
        <v/>
      </c>
      <c r="BJ78" s="36" t="str">
        <f ca="1">IFERROR(+IF(BJ$27=ProposalToGnatt[[#This Row],[Start Date]],Milestone_Marker,IF(AND(BJ$27&gt;ProposalToGnatt[[#This Row],[Start Date]],BJ$27&lt;ProposalToGnatt[[#This Row],[Start Date]]+ProposalToGnatt[[#This Row],[Days]]),$G$5,"")),"")</f>
        <v/>
      </c>
      <c r="BK78" s="36" t="str">
        <f ca="1">IFERROR(+IF(BK$27=ProposalToGnatt[[#This Row],[Start Date]],Milestone_Marker,IF(AND(BK$27&gt;ProposalToGnatt[[#This Row],[Start Date]],BK$27&lt;ProposalToGnatt[[#This Row],[Start Date]]+ProposalToGnatt[[#This Row],[Days]]),$G$5,"")),"")</f>
        <v/>
      </c>
      <c r="BL78" s="36" t="str">
        <f ca="1">IFERROR(+IF(BL$27=ProposalToGnatt[[#This Row],[Start Date]],Milestone_Marker,IF(AND(BL$27&gt;ProposalToGnatt[[#This Row],[Start Date]],BL$27&lt;ProposalToGnatt[[#This Row],[Start Date]]+ProposalToGnatt[[#This Row],[Days]]),$G$5,"")),"")</f>
        <v/>
      </c>
      <c r="BM78" s="36" t="str">
        <f ca="1">IFERROR(+IF(BM$27=ProposalToGnatt[[#This Row],[Start Date]],Milestone_Marker,IF(AND(BM$27&gt;ProposalToGnatt[[#This Row],[Start Date]],BM$27&lt;ProposalToGnatt[[#This Row],[Start Date]]+ProposalToGnatt[[#This Row],[Days]]),$G$5,"")),"")</f>
        <v/>
      </c>
      <c r="BN78" s="36" t="str">
        <f ca="1">IFERROR(+IF(BN$27=ProposalToGnatt[[#This Row],[Start Date]],Milestone_Marker,IF(AND(BN$27&gt;ProposalToGnatt[[#This Row],[Start Date]],BN$27&lt;ProposalToGnatt[[#This Row],[Start Date]]+ProposalToGnatt[[#This Row],[Days]]),$G$5,"")),"")</f>
        <v/>
      </c>
      <c r="BO78" s="36" t="str">
        <f ca="1">IFERROR(+IF(BO$27=ProposalToGnatt[[#This Row],[Start Date]],Milestone_Marker,IF(AND(BO$27&gt;ProposalToGnatt[[#This Row],[Start Date]],BO$27&lt;ProposalToGnatt[[#This Row],[Start Date]]+ProposalToGnatt[[#This Row],[Days]]),$G$5,"")),"")</f>
        <v/>
      </c>
      <c r="BP78" s="36" t="str">
        <f ca="1">IFERROR(+IF(BP$27=ProposalToGnatt[[#This Row],[Start Date]],Milestone_Marker,IF(AND(BP$27&gt;ProposalToGnatt[[#This Row],[Start Date]],BP$27&lt;ProposalToGnatt[[#This Row],[Start Date]]+ProposalToGnatt[[#This Row],[Days]]),$G$5,"")),"")</f>
        <v/>
      </c>
      <c r="BQ78" s="36" t="str">
        <f ca="1">IFERROR(+IF(BQ$27=ProposalToGnatt[[#This Row],[Start Date]],Milestone_Marker,IF(AND(BQ$27&gt;ProposalToGnatt[[#This Row],[Start Date]],BQ$27&lt;ProposalToGnatt[[#This Row],[Start Date]]+ProposalToGnatt[[#This Row],[Days]]),$G$5,"")),"")</f>
        <v/>
      </c>
      <c r="BR78" s="36" t="str">
        <f ca="1">IFERROR(+IF(BR$27=ProposalToGnatt[[#This Row],[Start Date]],Milestone_Marker,IF(AND(BR$27&gt;ProposalToGnatt[[#This Row],[Start Date]],BR$27&lt;ProposalToGnatt[[#This Row],[Start Date]]+ProposalToGnatt[[#This Row],[Days]]),$G$5,"")),"")</f>
        <v/>
      </c>
      <c r="BS78" s="36" t="str">
        <f ca="1">IFERROR(+IF(BS$27=ProposalToGnatt[[#This Row],[Start Date]],Milestone_Marker,IF(AND(BS$27&gt;ProposalToGnatt[[#This Row],[Start Date]],BS$27&lt;ProposalToGnatt[[#This Row],[Start Date]]+ProposalToGnatt[[#This Row],[Days]]),$G$5,"")),"")</f>
        <v/>
      </c>
      <c r="BT78" s="36" t="str">
        <f ca="1">IFERROR(+IF(BT$27=ProposalToGnatt[[#This Row],[Start Date]],Milestone_Marker,IF(AND(BT$27&gt;ProposalToGnatt[[#This Row],[Start Date]],BT$27&lt;ProposalToGnatt[[#This Row],[Start Date]]+ProposalToGnatt[[#This Row],[Days]]),$G$5,"")),"")</f>
        <v/>
      </c>
      <c r="BU78" s="36" t="str">
        <f ca="1">IFERROR(+IF(BU$27=ProposalToGnatt[[#This Row],[Start Date]],Milestone_Marker,IF(AND(BU$27&gt;ProposalToGnatt[[#This Row],[Start Date]],BU$27&lt;ProposalToGnatt[[#This Row],[Start Date]]+ProposalToGnatt[[#This Row],[Days]]),$G$5,"")),"")</f>
        <v/>
      </c>
      <c r="BV78" s="36" t="str">
        <f ca="1">IFERROR(+IF(BV$27=ProposalToGnatt[[#This Row],[Start Date]],Milestone_Marker,IF(AND(BV$27&gt;ProposalToGnatt[[#This Row],[Start Date]],BV$27&lt;ProposalToGnatt[[#This Row],[Start Date]]+ProposalToGnatt[[#This Row],[Days]]),$G$5,"")),"")</f>
        <v/>
      </c>
      <c r="BW78" s="36" t="str">
        <f ca="1">IFERROR(+IF(BW$27=ProposalToGnatt[[#This Row],[Start Date]],Milestone_Marker,IF(AND(BW$27&gt;ProposalToGnatt[[#This Row],[Start Date]],BW$27&lt;ProposalToGnatt[[#This Row],[Start Date]]+ProposalToGnatt[[#This Row],[Days]]),$G$5,"")),"")</f>
        <v/>
      </c>
      <c r="BX78" s="36" t="str">
        <f ca="1">IFERROR(+IF(BX$27=ProposalToGnatt[[#This Row],[Start Date]],Milestone_Marker,IF(AND(BX$27&gt;ProposalToGnatt[[#This Row],[Start Date]],BX$27&lt;ProposalToGnatt[[#This Row],[Start Date]]+ProposalToGnatt[[#This Row],[Days]]),$G$5,"")),"")</f>
        <v/>
      </c>
      <c r="BY78" s="36" t="str">
        <f ca="1">IFERROR(+IF(BY$27=ProposalToGnatt[[#This Row],[Start Date]],Milestone_Marker,IF(AND(BY$27&gt;ProposalToGnatt[[#This Row],[Start Date]],BY$27&lt;ProposalToGnatt[[#This Row],[Start Date]]+ProposalToGnatt[[#This Row],[Days]]),$G$5,"")),"")</f>
        <v/>
      </c>
      <c r="BZ78" s="36" t="str">
        <f ca="1">IFERROR(+IF(BZ$27=ProposalToGnatt[[#This Row],[Start Date]],Milestone_Marker,IF(AND(BZ$27&gt;ProposalToGnatt[[#This Row],[Start Date]],BZ$27&lt;ProposalToGnatt[[#This Row],[Start Date]]+ProposalToGnatt[[#This Row],[Days]]),$G$5,"")),"")</f>
        <v/>
      </c>
      <c r="CA78" s="36" t="str">
        <f ca="1">IFERROR(+IF(CA$27=ProposalToGnatt[[#This Row],[Start Date]],Milestone_Marker,IF(AND(CA$27&gt;ProposalToGnatt[[#This Row],[Start Date]],CA$27&lt;ProposalToGnatt[[#This Row],[Start Date]]+ProposalToGnatt[[#This Row],[Days]]),$G$5,"")),"")</f>
        <v/>
      </c>
      <c r="CB78" s="36" t="str">
        <f ca="1">IFERROR(+IF(CB$27=ProposalToGnatt[[#This Row],[Start Date]],Milestone_Marker,IF(AND(CB$27&gt;ProposalToGnatt[[#This Row],[Start Date]],CB$27&lt;ProposalToGnatt[[#This Row],[Start Date]]+ProposalToGnatt[[#This Row],[Days]]),$G$5,"")),"")</f>
        <v/>
      </c>
      <c r="CC78" s="36" t="str">
        <f ca="1">IFERROR(+IF(CC$27=ProposalToGnatt[[#This Row],[Start Date]],Milestone_Marker,IF(AND(CC$27&gt;ProposalToGnatt[[#This Row],[Start Date]],CC$27&lt;ProposalToGnatt[[#This Row],[Start Date]]+ProposalToGnatt[[#This Row],[Days]]),$G$5,"")),"")</f>
        <v/>
      </c>
      <c r="CD78" s="36" t="str">
        <f ca="1">IFERROR(+IF(CD$27=ProposalToGnatt[[#This Row],[Start Date]],Milestone_Marker,IF(AND(CD$27&gt;ProposalToGnatt[[#This Row],[Start Date]],CD$27&lt;ProposalToGnatt[[#This Row],[Start Date]]+ProposalToGnatt[[#This Row],[Days]]),$G$5,"")),"")</f>
        <v/>
      </c>
      <c r="CE78" s="36" t="str">
        <f ca="1">IFERROR(+IF(CE$27=ProposalToGnatt[[#This Row],[Start Date]],Milestone_Marker,IF(AND(CE$27&gt;ProposalToGnatt[[#This Row],[Start Date]],CE$27&lt;ProposalToGnatt[[#This Row],[Start Date]]+ProposalToGnatt[[#This Row],[Days]]),$G$5,"")),"")</f>
        <v/>
      </c>
      <c r="CF78" s="36" t="str">
        <f ca="1">IFERROR(+IF(CF$27=ProposalToGnatt[[#This Row],[Start Date]],Milestone_Marker,IF(AND(CF$27&gt;ProposalToGnatt[[#This Row],[Start Date]],CF$27&lt;ProposalToGnatt[[#This Row],[Start Date]]+ProposalToGnatt[[#This Row],[Days]]),$G$5,"")),"")</f>
        <v/>
      </c>
      <c r="CG78" s="36" t="str">
        <f ca="1">IFERROR(+IF(CG$27=ProposalToGnatt[[#This Row],[Start Date]],Milestone_Marker,IF(AND(CG$27&gt;ProposalToGnatt[[#This Row],[Start Date]],CG$27&lt;ProposalToGnatt[[#This Row],[Start Date]]+ProposalToGnatt[[#This Row],[Days]]),$G$5,"")),"")</f>
        <v/>
      </c>
      <c r="CH78" s="36" t="str">
        <f ca="1">IFERROR(+IF(CH$27=ProposalToGnatt[[#This Row],[Start Date]],Milestone_Marker,IF(AND(CH$27&gt;ProposalToGnatt[[#This Row],[Start Date]],CH$27&lt;ProposalToGnatt[[#This Row],[Start Date]]+ProposalToGnatt[[#This Row],[Days]]),$G$5,"")),"")</f>
        <v/>
      </c>
      <c r="CI78" s="36" t="str">
        <f ca="1">IFERROR(+IF(CI$27=ProposalToGnatt[[#This Row],[Start Date]],Milestone_Marker,IF(AND(CI$27&gt;ProposalToGnatt[[#This Row],[Start Date]],CI$27&lt;ProposalToGnatt[[#This Row],[Start Date]]+ProposalToGnatt[[#This Row],[Days]]),$G$5,"")),"")</f>
        <v/>
      </c>
      <c r="CJ78" s="36" t="str">
        <f ca="1">IFERROR(+IF(CJ$27=ProposalToGnatt[[#This Row],[Start Date]],Milestone_Marker,IF(AND(CJ$27&gt;ProposalToGnatt[[#This Row],[Start Date]],CJ$27&lt;ProposalToGnatt[[#This Row],[Start Date]]+ProposalToGnatt[[#This Row],[Days]]),$G$5,"")),"")</f>
        <v/>
      </c>
      <c r="CK78" s="36" t="str">
        <f ca="1">IFERROR(+IF(CK$27=ProposalToGnatt[[#This Row],[Start Date]],Milestone_Marker,IF(AND(CK$27&gt;ProposalToGnatt[[#This Row],[Start Date]],CK$27&lt;ProposalToGnatt[[#This Row],[Start Date]]+ProposalToGnatt[[#This Row],[Days]]),$G$5,"")),"")</f>
        <v/>
      </c>
      <c r="CL78" s="36" t="str">
        <f ca="1">IFERROR(+IF(CL$27=ProposalToGnatt[[#This Row],[Start Date]],Milestone_Marker,IF(AND(CL$27&gt;ProposalToGnatt[[#This Row],[Start Date]],CL$27&lt;ProposalToGnatt[[#This Row],[Start Date]]+ProposalToGnatt[[#This Row],[Days]]),$G$5,"")),"")</f>
        <v/>
      </c>
      <c r="CM78" s="36" t="str">
        <f ca="1">IFERROR(+IF(CM$27=ProposalToGnatt[[#This Row],[Start Date]],Milestone_Marker,IF(AND(CM$27&gt;ProposalToGnatt[[#This Row],[Start Date]],CM$27&lt;ProposalToGnatt[[#This Row],[Start Date]]+ProposalToGnatt[[#This Row],[Days]]),$G$5,"")),"")</f>
        <v/>
      </c>
      <c r="CN78" s="36" t="str">
        <f ca="1">IFERROR(+IF(CN$27=ProposalToGnatt[[#This Row],[Start Date]],Milestone_Marker,IF(AND(CN$27&gt;ProposalToGnatt[[#This Row],[Start Date]],CN$27&lt;ProposalToGnatt[[#This Row],[Start Date]]+ProposalToGnatt[[#This Row],[Days]]),$G$5,"")),"")</f>
        <v/>
      </c>
      <c r="CO78" s="36" t="str">
        <f ca="1">IFERROR(+IF(CO$27=ProposalToGnatt[[#This Row],[Start Date]],Milestone_Marker,IF(AND(CO$27&gt;ProposalToGnatt[[#This Row],[Start Date]],CO$27&lt;ProposalToGnatt[[#This Row],[Start Date]]+ProposalToGnatt[[#This Row],[Days]]),$G$5,"")),"")</f>
        <v/>
      </c>
      <c r="CP78" s="36" t="str">
        <f ca="1">IFERROR(+IF(CP$27=ProposalToGnatt[[#This Row],[Start Date]],Milestone_Marker,IF(AND(CP$27&gt;ProposalToGnatt[[#This Row],[Start Date]],CP$27&lt;ProposalToGnatt[[#This Row],[Start Date]]+ProposalToGnatt[[#This Row],[Days]]),$G$5,"")),"")</f>
        <v/>
      </c>
      <c r="CQ78" s="36" t="str">
        <f ca="1">IFERROR(+IF(CQ$27=ProposalToGnatt[[#This Row],[Start Date]],Milestone_Marker,IF(AND(CQ$27&gt;ProposalToGnatt[[#This Row],[Start Date]],CQ$27&lt;ProposalToGnatt[[#This Row],[Start Date]]+ProposalToGnatt[[#This Row],[Days]]),$G$5,"")),"")</f>
        <v/>
      </c>
      <c r="CR78" s="36" t="str">
        <f ca="1">IFERROR(+IF(CR$27=ProposalToGnatt[[#This Row],[Start Date]],Milestone_Marker,IF(AND(CR$27&gt;ProposalToGnatt[[#This Row],[Start Date]],CR$27&lt;ProposalToGnatt[[#This Row],[Start Date]]+ProposalToGnatt[[#This Row],[Days]]),$G$5,"")),"")</f>
        <v/>
      </c>
      <c r="CS78" s="36" t="str">
        <f ca="1">IFERROR(+IF(CS$27=ProposalToGnatt[[#This Row],[Start Date]],Milestone_Marker,IF(AND(CS$27&gt;ProposalToGnatt[[#This Row],[Start Date]],CS$27&lt;ProposalToGnatt[[#This Row],[Start Date]]+ProposalToGnatt[[#This Row],[Days]]),$G$5,"")),"")</f>
        <v/>
      </c>
      <c r="CT78" s="36" t="str">
        <f ca="1">IFERROR(+IF(CT$27=ProposalToGnatt[[#This Row],[Start Date]],Milestone_Marker,IF(AND(CT$27&gt;ProposalToGnatt[[#This Row],[Start Date]],CT$27&lt;ProposalToGnatt[[#This Row],[Start Date]]+ProposalToGnatt[[#This Row],[Days]]),$G$5,"")),"")</f>
        <v/>
      </c>
      <c r="CU78" s="36" t="str">
        <f ca="1">IFERROR(+IF(CU$27=ProposalToGnatt[[#This Row],[Start Date]],Milestone_Marker,IF(AND(CU$27&gt;ProposalToGnatt[[#This Row],[Start Date]],CU$27&lt;ProposalToGnatt[[#This Row],[Start Date]]+ProposalToGnatt[[#This Row],[Days]]),$G$5,"")),"")</f>
        <v/>
      </c>
      <c r="CV78" s="36" t="str">
        <f ca="1">IFERROR(+IF(CT$27=#REF!,Milestone_Marker,IF(AND(CT$27&gt;#REF!,CT$27&lt;=#REF!+#REF!),$G$5,"")),"")</f>
        <v/>
      </c>
      <c r="CW78" s="36" t="str">
        <f ca="1">IFERROR(+IF(CU$27=#REF!,Milestone_Marker,IF(AND(CU$27&gt;#REF!,CU$27&lt;=#REF!+#REF!),$G$5,"")),"")</f>
        <v/>
      </c>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row>
    <row r="79" spans="1:125" ht="15" x14ac:dyDescent="0.25">
      <c r="A79"/>
      <c r="B79"/>
      <c r="C79"/>
      <c r="D79"/>
      <c r="E79"/>
      <c r="F79"/>
      <c r="G79" s="14"/>
      <c r="H79" s="14"/>
      <c r="I79"/>
      <c r="J79"/>
      <c r="K79" s="261"/>
      <c r="L79"/>
      <c r="M79" s="14"/>
      <c r="N79" s="309"/>
      <c r="O79" s="297"/>
      <c r="P79" s="36" t="str">
        <f ca="1">IFERROR(+IF(P$27=ProposalToGnatt[[#This Row],[Start Date]],Milestone_Marker,IF(AND(P$27&gt;ProposalToGnatt[[#This Row],[Start Date]],P$27&lt;ProposalToGnatt[[#This Row],[Start Date]]+ProposalToGnatt[[#This Row],[Days]]),$G$5,"")),"")</f>
        <v/>
      </c>
      <c r="Q79" s="36" t="str">
        <f ca="1">IFERROR(+IF(Q$27=ProposalToGnatt[[#This Row],[Start Date]],Milestone_Marker,IF(AND(Q$27&gt;ProposalToGnatt[[#This Row],[Start Date]],Q$27&lt;ProposalToGnatt[[#This Row],[Start Date]]+ProposalToGnatt[[#This Row],[Days]]),$G$5,"")),"")</f>
        <v/>
      </c>
      <c r="R79" s="36" t="str">
        <f ca="1">IFERROR(+IF(R$27=ProposalToGnatt[[#This Row],[Start Date]],Milestone_Marker,IF(AND(R$27&gt;ProposalToGnatt[[#This Row],[Start Date]],R$27&lt;ProposalToGnatt[[#This Row],[Start Date]]+ProposalToGnatt[[#This Row],[Days]]),$G$5,"")),"")</f>
        <v/>
      </c>
      <c r="S79" s="36" t="str">
        <f ca="1">IFERROR(+IF(S$27=ProposalToGnatt[[#This Row],[Start Date]],Milestone_Marker,IF(AND(S$27&gt;ProposalToGnatt[[#This Row],[Start Date]],S$27&lt;ProposalToGnatt[[#This Row],[Start Date]]+ProposalToGnatt[[#This Row],[Days]]),$G$5,"")),"")</f>
        <v/>
      </c>
      <c r="T79" s="36" t="str">
        <f ca="1">IFERROR(+IF(T$27=ProposalToGnatt[[#This Row],[Start Date]],Milestone_Marker,IF(AND(T$27&gt;ProposalToGnatt[[#This Row],[Start Date]],T$27&lt;ProposalToGnatt[[#This Row],[Start Date]]+ProposalToGnatt[[#This Row],[Days]]),$G$5,"")),"")</f>
        <v/>
      </c>
      <c r="U79" s="36" t="str">
        <f ca="1">IFERROR(+IF(U$27=ProposalToGnatt[[#This Row],[Start Date]],Milestone_Marker,IF(AND(U$27&gt;ProposalToGnatt[[#This Row],[Start Date]],U$27&lt;ProposalToGnatt[[#This Row],[Start Date]]+ProposalToGnatt[[#This Row],[Days]]),$G$5,"")),"")</f>
        <v/>
      </c>
      <c r="V79" s="36" t="str">
        <f ca="1">IFERROR(+IF(V$27=ProposalToGnatt[[#This Row],[Start Date]],Milestone_Marker,IF(AND(V$27&gt;ProposalToGnatt[[#This Row],[Start Date]],V$27&lt;ProposalToGnatt[[#This Row],[Start Date]]+ProposalToGnatt[[#This Row],[Days]]),$G$5,"")),"")</f>
        <v/>
      </c>
      <c r="W79" s="36" t="str">
        <f ca="1">IFERROR(+IF(W$27=ProposalToGnatt[[#This Row],[Start Date]],Milestone_Marker,IF(AND(W$27&gt;ProposalToGnatt[[#This Row],[Start Date]],W$27&lt;ProposalToGnatt[[#This Row],[Start Date]]+ProposalToGnatt[[#This Row],[Days]]),$G$5,"")),"")</f>
        <v/>
      </c>
      <c r="X79" s="36" t="str">
        <f ca="1">IFERROR(+IF(X$27=ProposalToGnatt[[#This Row],[Start Date]],Milestone_Marker,IF(AND(X$27&gt;ProposalToGnatt[[#This Row],[Start Date]],X$27&lt;ProposalToGnatt[[#This Row],[Start Date]]+ProposalToGnatt[[#This Row],[Days]]),$G$5,"")),"")</f>
        <v/>
      </c>
      <c r="Y79" s="36" t="str">
        <f ca="1">IFERROR(+IF(Y$27=ProposalToGnatt[[#This Row],[Start Date]],Milestone_Marker,IF(AND(Y$27&gt;ProposalToGnatt[[#This Row],[Start Date]],Y$27&lt;ProposalToGnatt[[#This Row],[Start Date]]+ProposalToGnatt[[#This Row],[Days]]),$G$5,"")),"")</f>
        <v/>
      </c>
      <c r="Z79" s="36" t="str">
        <f ca="1">IFERROR(+IF(Z$27=ProposalToGnatt[[#This Row],[Start Date]],Milestone_Marker,IF(AND(Z$27&gt;ProposalToGnatt[[#This Row],[Start Date]],Z$27&lt;ProposalToGnatt[[#This Row],[Start Date]]+ProposalToGnatt[[#This Row],[Days]]),$G$5,"")),"")</f>
        <v/>
      </c>
      <c r="AA79" s="36" t="str">
        <f ca="1">IFERROR(+IF(AA$27=ProposalToGnatt[[#This Row],[Start Date]],Milestone_Marker,IF(AND(AA$27&gt;ProposalToGnatt[[#This Row],[Start Date]],AA$27&lt;ProposalToGnatt[[#This Row],[Start Date]]+ProposalToGnatt[[#This Row],[Days]]),$G$5,"")),"")</f>
        <v/>
      </c>
      <c r="AB79" s="36" t="str">
        <f ca="1">IFERROR(+IF(AB$27=ProposalToGnatt[[#This Row],[Start Date]],Milestone_Marker,IF(AND(AB$27&gt;ProposalToGnatt[[#This Row],[Start Date]],AB$27&lt;ProposalToGnatt[[#This Row],[Start Date]]+ProposalToGnatt[[#This Row],[Days]]),$G$5,"")),"")</f>
        <v/>
      </c>
      <c r="AC79" s="36" t="str">
        <f ca="1">IFERROR(+IF(AC$27=ProposalToGnatt[[#This Row],[Start Date]],Milestone_Marker,IF(AND(AC$27&gt;ProposalToGnatt[[#This Row],[Start Date]],AC$27&lt;ProposalToGnatt[[#This Row],[Start Date]]+ProposalToGnatt[[#This Row],[Days]]),$G$5,"")),"")</f>
        <v/>
      </c>
      <c r="AD79" s="36" t="str">
        <f ca="1">IFERROR(+IF(AD$27=ProposalToGnatt[[#This Row],[Start Date]],Milestone_Marker,IF(AND(AD$27&gt;ProposalToGnatt[[#This Row],[Start Date]],AD$27&lt;ProposalToGnatt[[#This Row],[Start Date]]+ProposalToGnatt[[#This Row],[Days]]),$G$5,"")),"")</f>
        <v/>
      </c>
      <c r="AE79" s="36" t="str">
        <f ca="1">IFERROR(+IF(AE$27=ProposalToGnatt[[#This Row],[Start Date]],Milestone_Marker,IF(AND(AE$27&gt;ProposalToGnatt[[#This Row],[Start Date]],AE$27&lt;ProposalToGnatt[[#This Row],[Start Date]]+ProposalToGnatt[[#This Row],[Days]]),$G$5,"")),"")</f>
        <v/>
      </c>
      <c r="AF79" s="36" t="str">
        <f ca="1">IFERROR(+IF(AF$27=ProposalToGnatt[[#This Row],[Start Date]],Milestone_Marker,IF(AND(AF$27&gt;ProposalToGnatt[[#This Row],[Start Date]],AF$27&lt;ProposalToGnatt[[#This Row],[Start Date]]+ProposalToGnatt[[#This Row],[Days]]),$G$5,"")),"")</f>
        <v/>
      </c>
      <c r="AG79" s="36" t="str">
        <f ca="1">IFERROR(+IF(AG$27=ProposalToGnatt[[#This Row],[Start Date]],Milestone_Marker,IF(AND(AG$27&gt;ProposalToGnatt[[#This Row],[Start Date]],AG$27&lt;ProposalToGnatt[[#This Row],[Start Date]]+ProposalToGnatt[[#This Row],[Days]]),$G$5,"")),"")</f>
        <v/>
      </c>
      <c r="AH79" s="36" t="str">
        <f ca="1">IFERROR(+IF(AH$27=ProposalToGnatt[[#This Row],[Start Date]],Milestone_Marker,IF(AND(AH$27&gt;ProposalToGnatt[[#This Row],[Start Date]],AH$27&lt;ProposalToGnatt[[#This Row],[Start Date]]+ProposalToGnatt[[#This Row],[Days]]),$G$5,"")),"")</f>
        <v/>
      </c>
      <c r="AI79" s="36" t="str">
        <f ca="1">IFERROR(+IF(AI$27=ProposalToGnatt[[#This Row],[Start Date]],Milestone_Marker,IF(AND(AI$27&gt;ProposalToGnatt[[#This Row],[Start Date]],AI$27&lt;ProposalToGnatt[[#This Row],[Start Date]]+ProposalToGnatt[[#This Row],[Days]]),$G$5,"")),"")</f>
        <v/>
      </c>
      <c r="AJ79" s="36" t="str">
        <f ca="1">IFERROR(+IF(AJ$27=ProposalToGnatt[[#This Row],[Start Date]],Milestone_Marker,IF(AND(AJ$27&gt;ProposalToGnatt[[#This Row],[Start Date]],AJ$27&lt;ProposalToGnatt[[#This Row],[Start Date]]+ProposalToGnatt[[#This Row],[Days]]),$G$5,"")),"")</f>
        <v/>
      </c>
      <c r="AK79" s="36" t="str">
        <f ca="1">IFERROR(+IF(AK$27=ProposalToGnatt[[#This Row],[Start Date]],Milestone_Marker,IF(AND(AK$27&gt;ProposalToGnatt[[#This Row],[Start Date]],AK$27&lt;ProposalToGnatt[[#This Row],[Start Date]]+ProposalToGnatt[[#This Row],[Days]]),$G$5,"")),"")</f>
        <v/>
      </c>
      <c r="AL79" s="36" t="str">
        <f ca="1">IFERROR(+IF(AL$27=ProposalToGnatt[[#This Row],[Start Date]],Milestone_Marker,IF(AND(AL$27&gt;ProposalToGnatt[[#This Row],[Start Date]],AL$27&lt;ProposalToGnatt[[#This Row],[Start Date]]+ProposalToGnatt[[#This Row],[Days]]),$G$5,"")),"")</f>
        <v/>
      </c>
      <c r="AM79" s="36" t="str">
        <f ca="1">IFERROR(+IF(AM$27=ProposalToGnatt[[#This Row],[Start Date]],Milestone_Marker,IF(AND(AM$27&gt;ProposalToGnatt[[#This Row],[Start Date]],AM$27&lt;ProposalToGnatt[[#This Row],[Start Date]]+ProposalToGnatt[[#This Row],[Days]]),$G$5,"")),"")</f>
        <v/>
      </c>
      <c r="AN79" s="36" t="str">
        <f ca="1">IFERROR(+IF(AN$27=ProposalToGnatt[[#This Row],[Start Date]],Milestone_Marker,IF(AND(AN$27&gt;ProposalToGnatt[[#This Row],[Start Date]],AN$27&lt;ProposalToGnatt[[#This Row],[Start Date]]+ProposalToGnatt[[#This Row],[Days]]),$G$5,"")),"")</f>
        <v/>
      </c>
      <c r="AO79" s="36" t="str">
        <f ca="1">IFERROR(+IF(AO$27=ProposalToGnatt[[#This Row],[Start Date]],Milestone_Marker,IF(AND(AO$27&gt;ProposalToGnatt[[#This Row],[Start Date]],AO$27&lt;ProposalToGnatt[[#This Row],[Start Date]]+ProposalToGnatt[[#This Row],[Days]]),$G$5,"")),"")</f>
        <v/>
      </c>
      <c r="AP79" s="36" t="str">
        <f ca="1">IFERROR(+IF(AP$27=ProposalToGnatt[[#This Row],[Start Date]],Milestone_Marker,IF(AND(AP$27&gt;ProposalToGnatt[[#This Row],[Start Date]],AP$27&lt;ProposalToGnatt[[#This Row],[Start Date]]+ProposalToGnatt[[#This Row],[Days]]),$G$5,"")),"")</f>
        <v/>
      </c>
      <c r="AQ79" s="36" t="str">
        <f ca="1">IFERROR(+IF(AQ$27=ProposalToGnatt[[#This Row],[Start Date]],Milestone_Marker,IF(AND(AQ$27&gt;ProposalToGnatt[[#This Row],[Start Date]],AQ$27&lt;ProposalToGnatt[[#This Row],[Start Date]]+ProposalToGnatt[[#This Row],[Days]]),$G$5,"")),"")</f>
        <v/>
      </c>
      <c r="AR79" s="36" t="str">
        <f ca="1">IFERROR(+IF(AR$27=ProposalToGnatt[[#This Row],[Start Date]],Milestone_Marker,IF(AND(AR$27&gt;ProposalToGnatt[[#This Row],[Start Date]],AR$27&lt;ProposalToGnatt[[#This Row],[Start Date]]+ProposalToGnatt[[#This Row],[Days]]),$G$5,"")),"")</f>
        <v/>
      </c>
      <c r="AS79" s="36" t="str">
        <f ca="1">IFERROR(+IF(AS$27=ProposalToGnatt[[#This Row],[Start Date]],Milestone_Marker,IF(AND(AS$27&gt;ProposalToGnatt[[#This Row],[Start Date]],AS$27&lt;ProposalToGnatt[[#This Row],[Start Date]]+ProposalToGnatt[[#This Row],[Days]]),$G$5,"")),"")</f>
        <v/>
      </c>
      <c r="AT79" s="36" t="str">
        <f ca="1">IFERROR(+IF(AT$27=ProposalToGnatt[[#This Row],[Start Date]],Milestone_Marker,IF(AND(AT$27&gt;ProposalToGnatt[[#This Row],[Start Date]],AT$27&lt;ProposalToGnatt[[#This Row],[Start Date]]+ProposalToGnatt[[#This Row],[Days]]),$G$5,"")),"")</f>
        <v/>
      </c>
      <c r="AU79" s="36" t="str">
        <f ca="1">IFERROR(+IF(AU$27=ProposalToGnatt[[#This Row],[Start Date]],Milestone_Marker,IF(AND(AU$27&gt;ProposalToGnatt[[#This Row],[Start Date]],AU$27&lt;ProposalToGnatt[[#This Row],[Start Date]]+ProposalToGnatt[[#This Row],[Days]]),$G$5,"")),"")</f>
        <v/>
      </c>
      <c r="AV79" s="36" t="str">
        <f ca="1">IFERROR(+IF(AV$27=ProposalToGnatt[[#This Row],[Start Date]],Milestone_Marker,IF(AND(AV$27&gt;ProposalToGnatt[[#This Row],[Start Date]],AV$27&lt;ProposalToGnatt[[#This Row],[Start Date]]+ProposalToGnatt[[#This Row],[Days]]),$G$5,"")),"")</f>
        <v/>
      </c>
      <c r="AW79" s="36" t="str">
        <f ca="1">IFERROR(+IF(AW$27=ProposalToGnatt[[#This Row],[Start Date]],Milestone_Marker,IF(AND(AW$27&gt;ProposalToGnatt[[#This Row],[Start Date]],AW$27&lt;ProposalToGnatt[[#This Row],[Start Date]]+ProposalToGnatt[[#This Row],[Days]]),$G$5,"")),"")</f>
        <v/>
      </c>
      <c r="AX79" s="36" t="str">
        <f ca="1">IFERROR(+IF(AX$27=ProposalToGnatt[[#This Row],[Start Date]],Milestone_Marker,IF(AND(AX$27&gt;ProposalToGnatt[[#This Row],[Start Date]],AX$27&lt;ProposalToGnatt[[#This Row],[Start Date]]+ProposalToGnatt[[#This Row],[Days]]),$G$5,"")),"")</f>
        <v/>
      </c>
      <c r="AY79" s="36" t="str">
        <f ca="1">IFERROR(+IF(AY$27=ProposalToGnatt[[#This Row],[Start Date]],Milestone_Marker,IF(AND(AY$27&gt;ProposalToGnatt[[#This Row],[Start Date]],AY$27&lt;ProposalToGnatt[[#This Row],[Start Date]]+ProposalToGnatt[[#This Row],[Days]]),$G$5,"")),"")</f>
        <v/>
      </c>
      <c r="AZ79" s="36" t="str">
        <f ca="1">IFERROR(+IF(AZ$27=ProposalToGnatt[[#This Row],[Start Date]],Milestone_Marker,IF(AND(AZ$27&gt;ProposalToGnatt[[#This Row],[Start Date]],AZ$27&lt;ProposalToGnatt[[#This Row],[Start Date]]+ProposalToGnatt[[#This Row],[Days]]),$G$5,"")),"")</f>
        <v/>
      </c>
      <c r="BA79" s="36" t="str">
        <f ca="1">IFERROR(+IF(BA$27=ProposalToGnatt[[#This Row],[Start Date]],Milestone_Marker,IF(AND(BA$27&gt;ProposalToGnatt[[#This Row],[Start Date]],BA$27&lt;ProposalToGnatt[[#This Row],[Start Date]]+ProposalToGnatt[[#This Row],[Days]]),$G$5,"")),"")</f>
        <v/>
      </c>
      <c r="BB79" s="36" t="str">
        <f ca="1">IFERROR(+IF(BB$27=ProposalToGnatt[[#This Row],[Start Date]],Milestone_Marker,IF(AND(BB$27&gt;ProposalToGnatt[[#This Row],[Start Date]],BB$27&lt;ProposalToGnatt[[#This Row],[Start Date]]+ProposalToGnatt[[#This Row],[Days]]),$G$5,"")),"")</f>
        <v/>
      </c>
      <c r="BC79" s="36" t="str">
        <f ca="1">IFERROR(+IF(BC$27=ProposalToGnatt[[#This Row],[Start Date]],Milestone_Marker,IF(AND(BC$27&gt;ProposalToGnatt[[#This Row],[Start Date]],BC$27&lt;ProposalToGnatt[[#This Row],[Start Date]]+ProposalToGnatt[[#This Row],[Days]]),$G$5,"")),"")</f>
        <v/>
      </c>
      <c r="BD79" s="36" t="str">
        <f ca="1">IFERROR(+IF(BD$27=ProposalToGnatt[[#This Row],[Start Date]],Milestone_Marker,IF(AND(BD$27&gt;ProposalToGnatt[[#This Row],[Start Date]],BD$27&lt;ProposalToGnatt[[#This Row],[Start Date]]+ProposalToGnatt[[#This Row],[Days]]),$G$5,"")),"")</f>
        <v/>
      </c>
      <c r="BE79" s="36" t="str">
        <f ca="1">IFERROR(+IF(BE$27=ProposalToGnatt[[#This Row],[Start Date]],Milestone_Marker,IF(AND(BE$27&gt;ProposalToGnatt[[#This Row],[Start Date]],BE$27&lt;ProposalToGnatt[[#This Row],[Start Date]]+ProposalToGnatt[[#This Row],[Days]]),$G$5,"")),"")</f>
        <v/>
      </c>
      <c r="BF79" s="36" t="str">
        <f ca="1">IFERROR(+IF(BF$27=ProposalToGnatt[[#This Row],[Start Date]],Milestone_Marker,IF(AND(BF$27&gt;ProposalToGnatt[[#This Row],[Start Date]],BF$27&lt;ProposalToGnatt[[#This Row],[Start Date]]+ProposalToGnatt[[#This Row],[Days]]),$G$5,"")),"")</f>
        <v/>
      </c>
      <c r="BG79" s="36" t="str">
        <f ca="1">IFERROR(+IF(BG$27=ProposalToGnatt[[#This Row],[Start Date]],Milestone_Marker,IF(AND(BG$27&gt;ProposalToGnatt[[#This Row],[Start Date]],BG$27&lt;ProposalToGnatt[[#This Row],[Start Date]]+ProposalToGnatt[[#This Row],[Days]]),$G$5,"")),"")</f>
        <v/>
      </c>
      <c r="BH79" s="36" t="str">
        <f ca="1">IFERROR(+IF(BH$27=ProposalToGnatt[[#This Row],[Start Date]],Milestone_Marker,IF(AND(BH$27&gt;ProposalToGnatt[[#This Row],[Start Date]],BH$27&lt;ProposalToGnatt[[#This Row],[Start Date]]+ProposalToGnatt[[#This Row],[Days]]),$G$5,"")),"")</f>
        <v/>
      </c>
      <c r="BI79" s="36" t="str">
        <f ca="1">IFERROR(+IF(BI$27=ProposalToGnatt[[#This Row],[Start Date]],Milestone_Marker,IF(AND(BI$27&gt;ProposalToGnatt[[#This Row],[Start Date]],BI$27&lt;ProposalToGnatt[[#This Row],[Start Date]]+ProposalToGnatt[[#This Row],[Days]]),$G$5,"")),"")</f>
        <v/>
      </c>
      <c r="BJ79" s="36" t="str">
        <f ca="1">IFERROR(+IF(BJ$27=ProposalToGnatt[[#This Row],[Start Date]],Milestone_Marker,IF(AND(BJ$27&gt;ProposalToGnatt[[#This Row],[Start Date]],BJ$27&lt;ProposalToGnatt[[#This Row],[Start Date]]+ProposalToGnatt[[#This Row],[Days]]),$G$5,"")),"")</f>
        <v/>
      </c>
      <c r="BK79" s="36" t="str">
        <f ca="1">IFERROR(+IF(BK$27=ProposalToGnatt[[#This Row],[Start Date]],Milestone_Marker,IF(AND(BK$27&gt;ProposalToGnatt[[#This Row],[Start Date]],BK$27&lt;ProposalToGnatt[[#This Row],[Start Date]]+ProposalToGnatt[[#This Row],[Days]]),$G$5,"")),"")</f>
        <v/>
      </c>
      <c r="BL79" s="36" t="str">
        <f ca="1">IFERROR(+IF(BL$27=ProposalToGnatt[[#This Row],[Start Date]],Milestone_Marker,IF(AND(BL$27&gt;ProposalToGnatt[[#This Row],[Start Date]],BL$27&lt;ProposalToGnatt[[#This Row],[Start Date]]+ProposalToGnatt[[#This Row],[Days]]),$G$5,"")),"")</f>
        <v/>
      </c>
      <c r="BM79" s="36" t="str">
        <f ca="1">IFERROR(+IF(BM$27=ProposalToGnatt[[#This Row],[Start Date]],Milestone_Marker,IF(AND(BM$27&gt;ProposalToGnatt[[#This Row],[Start Date]],BM$27&lt;ProposalToGnatt[[#This Row],[Start Date]]+ProposalToGnatt[[#This Row],[Days]]),$G$5,"")),"")</f>
        <v/>
      </c>
      <c r="BN79" s="36" t="str">
        <f ca="1">IFERROR(+IF(BN$27=ProposalToGnatt[[#This Row],[Start Date]],Milestone_Marker,IF(AND(BN$27&gt;ProposalToGnatt[[#This Row],[Start Date]],BN$27&lt;ProposalToGnatt[[#This Row],[Start Date]]+ProposalToGnatt[[#This Row],[Days]]),$G$5,"")),"")</f>
        <v/>
      </c>
      <c r="BO79" s="36" t="str">
        <f ca="1">IFERROR(+IF(BO$27=ProposalToGnatt[[#This Row],[Start Date]],Milestone_Marker,IF(AND(BO$27&gt;ProposalToGnatt[[#This Row],[Start Date]],BO$27&lt;ProposalToGnatt[[#This Row],[Start Date]]+ProposalToGnatt[[#This Row],[Days]]),$G$5,"")),"")</f>
        <v/>
      </c>
      <c r="BP79" s="36" t="str">
        <f ca="1">IFERROR(+IF(BP$27=ProposalToGnatt[[#This Row],[Start Date]],Milestone_Marker,IF(AND(BP$27&gt;ProposalToGnatt[[#This Row],[Start Date]],BP$27&lt;ProposalToGnatt[[#This Row],[Start Date]]+ProposalToGnatt[[#This Row],[Days]]),$G$5,"")),"")</f>
        <v/>
      </c>
      <c r="BQ79" s="36" t="str">
        <f ca="1">IFERROR(+IF(BQ$27=ProposalToGnatt[[#This Row],[Start Date]],Milestone_Marker,IF(AND(BQ$27&gt;ProposalToGnatt[[#This Row],[Start Date]],BQ$27&lt;ProposalToGnatt[[#This Row],[Start Date]]+ProposalToGnatt[[#This Row],[Days]]),$G$5,"")),"")</f>
        <v/>
      </c>
      <c r="BR79" s="36" t="str">
        <f ca="1">IFERROR(+IF(BR$27=ProposalToGnatt[[#This Row],[Start Date]],Milestone_Marker,IF(AND(BR$27&gt;ProposalToGnatt[[#This Row],[Start Date]],BR$27&lt;ProposalToGnatt[[#This Row],[Start Date]]+ProposalToGnatt[[#This Row],[Days]]),$G$5,"")),"")</f>
        <v/>
      </c>
      <c r="BS79" s="36" t="str">
        <f ca="1">IFERROR(+IF(BS$27=ProposalToGnatt[[#This Row],[Start Date]],Milestone_Marker,IF(AND(BS$27&gt;ProposalToGnatt[[#This Row],[Start Date]],BS$27&lt;ProposalToGnatt[[#This Row],[Start Date]]+ProposalToGnatt[[#This Row],[Days]]),$G$5,"")),"")</f>
        <v/>
      </c>
      <c r="BT79" s="36" t="str">
        <f ca="1">IFERROR(+IF(BT$27=ProposalToGnatt[[#This Row],[Start Date]],Milestone_Marker,IF(AND(BT$27&gt;ProposalToGnatt[[#This Row],[Start Date]],BT$27&lt;ProposalToGnatt[[#This Row],[Start Date]]+ProposalToGnatt[[#This Row],[Days]]),$G$5,"")),"")</f>
        <v/>
      </c>
      <c r="BU79" s="36" t="str">
        <f ca="1">IFERROR(+IF(BU$27=ProposalToGnatt[[#This Row],[Start Date]],Milestone_Marker,IF(AND(BU$27&gt;ProposalToGnatt[[#This Row],[Start Date]],BU$27&lt;ProposalToGnatt[[#This Row],[Start Date]]+ProposalToGnatt[[#This Row],[Days]]),$G$5,"")),"")</f>
        <v/>
      </c>
      <c r="BV79" s="36" t="str">
        <f ca="1">IFERROR(+IF(BV$27=ProposalToGnatt[[#This Row],[Start Date]],Milestone_Marker,IF(AND(BV$27&gt;ProposalToGnatt[[#This Row],[Start Date]],BV$27&lt;ProposalToGnatt[[#This Row],[Start Date]]+ProposalToGnatt[[#This Row],[Days]]),$G$5,"")),"")</f>
        <v/>
      </c>
      <c r="BW79" s="36" t="str">
        <f ca="1">IFERROR(+IF(BW$27=ProposalToGnatt[[#This Row],[Start Date]],Milestone_Marker,IF(AND(BW$27&gt;ProposalToGnatt[[#This Row],[Start Date]],BW$27&lt;ProposalToGnatt[[#This Row],[Start Date]]+ProposalToGnatt[[#This Row],[Days]]),$G$5,"")),"")</f>
        <v/>
      </c>
      <c r="BX79" s="36" t="str">
        <f ca="1">IFERROR(+IF(BX$27=ProposalToGnatt[[#This Row],[Start Date]],Milestone_Marker,IF(AND(BX$27&gt;ProposalToGnatt[[#This Row],[Start Date]],BX$27&lt;ProposalToGnatt[[#This Row],[Start Date]]+ProposalToGnatt[[#This Row],[Days]]),$G$5,"")),"")</f>
        <v/>
      </c>
      <c r="BY79" s="36" t="str">
        <f ca="1">IFERROR(+IF(BY$27=ProposalToGnatt[[#This Row],[Start Date]],Milestone_Marker,IF(AND(BY$27&gt;ProposalToGnatt[[#This Row],[Start Date]],BY$27&lt;ProposalToGnatt[[#This Row],[Start Date]]+ProposalToGnatt[[#This Row],[Days]]),$G$5,"")),"")</f>
        <v/>
      </c>
      <c r="BZ79" s="36" t="str">
        <f ca="1">IFERROR(+IF(BZ$27=ProposalToGnatt[[#This Row],[Start Date]],Milestone_Marker,IF(AND(BZ$27&gt;ProposalToGnatt[[#This Row],[Start Date]],BZ$27&lt;ProposalToGnatt[[#This Row],[Start Date]]+ProposalToGnatt[[#This Row],[Days]]),$G$5,"")),"")</f>
        <v/>
      </c>
      <c r="CA79" s="36" t="str">
        <f ca="1">IFERROR(+IF(CA$27=ProposalToGnatt[[#This Row],[Start Date]],Milestone_Marker,IF(AND(CA$27&gt;ProposalToGnatt[[#This Row],[Start Date]],CA$27&lt;ProposalToGnatt[[#This Row],[Start Date]]+ProposalToGnatt[[#This Row],[Days]]),$G$5,"")),"")</f>
        <v/>
      </c>
      <c r="CB79" s="36" t="str">
        <f ca="1">IFERROR(+IF(CB$27=ProposalToGnatt[[#This Row],[Start Date]],Milestone_Marker,IF(AND(CB$27&gt;ProposalToGnatt[[#This Row],[Start Date]],CB$27&lt;ProposalToGnatt[[#This Row],[Start Date]]+ProposalToGnatt[[#This Row],[Days]]),$G$5,"")),"")</f>
        <v/>
      </c>
      <c r="CC79" s="36" t="str">
        <f ca="1">IFERROR(+IF(CC$27=ProposalToGnatt[[#This Row],[Start Date]],Milestone_Marker,IF(AND(CC$27&gt;ProposalToGnatt[[#This Row],[Start Date]],CC$27&lt;ProposalToGnatt[[#This Row],[Start Date]]+ProposalToGnatt[[#This Row],[Days]]),$G$5,"")),"")</f>
        <v/>
      </c>
      <c r="CD79" s="36" t="str">
        <f ca="1">IFERROR(+IF(CD$27=ProposalToGnatt[[#This Row],[Start Date]],Milestone_Marker,IF(AND(CD$27&gt;ProposalToGnatt[[#This Row],[Start Date]],CD$27&lt;ProposalToGnatt[[#This Row],[Start Date]]+ProposalToGnatt[[#This Row],[Days]]),$G$5,"")),"")</f>
        <v/>
      </c>
      <c r="CE79" s="36" t="str">
        <f ca="1">IFERROR(+IF(CE$27=ProposalToGnatt[[#This Row],[Start Date]],Milestone_Marker,IF(AND(CE$27&gt;ProposalToGnatt[[#This Row],[Start Date]],CE$27&lt;ProposalToGnatt[[#This Row],[Start Date]]+ProposalToGnatt[[#This Row],[Days]]),$G$5,"")),"")</f>
        <v/>
      </c>
      <c r="CF79" s="36" t="str">
        <f ca="1">IFERROR(+IF(CF$27=ProposalToGnatt[[#This Row],[Start Date]],Milestone_Marker,IF(AND(CF$27&gt;ProposalToGnatt[[#This Row],[Start Date]],CF$27&lt;ProposalToGnatt[[#This Row],[Start Date]]+ProposalToGnatt[[#This Row],[Days]]),$G$5,"")),"")</f>
        <v/>
      </c>
      <c r="CG79" s="36" t="str">
        <f ca="1">IFERROR(+IF(CG$27=ProposalToGnatt[[#This Row],[Start Date]],Milestone_Marker,IF(AND(CG$27&gt;ProposalToGnatt[[#This Row],[Start Date]],CG$27&lt;ProposalToGnatt[[#This Row],[Start Date]]+ProposalToGnatt[[#This Row],[Days]]),$G$5,"")),"")</f>
        <v/>
      </c>
      <c r="CH79" s="36" t="str">
        <f ca="1">IFERROR(+IF(CH$27=ProposalToGnatt[[#This Row],[Start Date]],Milestone_Marker,IF(AND(CH$27&gt;ProposalToGnatt[[#This Row],[Start Date]],CH$27&lt;ProposalToGnatt[[#This Row],[Start Date]]+ProposalToGnatt[[#This Row],[Days]]),$G$5,"")),"")</f>
        <v/>
      </c>
      <c r="CI79" s="36" t="str">
        <f ca="1">IFERROR(+IF(CI$27=ProposalToGnatt[[#This Row],[Start Date]],Milestone_Marker,IF(AND(CI$27&gt;ProposalToGnatt[[#This Row],[Start Date]],CI$27&lt;ProposalToGnatt[[#This Row],[Start Date]]+ProposalToGnatt[[#This Row],[Days]]),$G$5,"")),"")</f>
        <v/>
      </c>
      <c r="CJ79" s="36" t="str">
        <f ca="1">IFERROR(+IF(CJ$27=ProposalToGnatt[[#This Row],[Start Date]],Milestone_Marker,IF(AND(CJ$27&gt;ProposalToGnatt[[#This Row],[Start Date]],CJ$27&lt;ProposalToGnatt[[#This Row],[Start Date]]+ProposalToGnatt[[#This Row],[Days]]),$G$5,"")),"")</f>
        <v/>
      </c>
      <c r="CK79" s="36" t="str">
        <f ca="1">IFERROR(+IF(CK$27=ProposalToGnatt[[#This Row],[Start Date]],Milestone_Marker,IF(AND(CK$27&gt;ProposalToGnatt[[#This Row],[Start Date]],CK$27&lt;ProposalToGnatt[[#This Row],[Start Date]]+ProposalToGnatt[[#This Row],[Days]]),$G$5,"")),"")</f>
        <v/>
      </c>
      <c r="CL79" s="36" t="str">
        <f ca="1">IFERROR(+IF(CL$27=ProposalToGnatt[[#This Row],[Start Date]],Milestone_Marker,IF(AND(CL$27&gt;ProposalToGnatt[[#This Row],[Start Date]],CL$27&lt;ProposalToGnatt[[#This Row],[Start Date]]+ProposalToGnatt[[#This Row],[Days]]),$G$5,"")),"")</f>
        <v/>
      </c>
      <c r="CM79" s="36" t="str">
        <f ca="1">IFERROR(+IF(CM$27=ProposalToGnatt[[#This Row],[Start Date]],Milestone_Marker,IF(AND(CM$27&gt;ProposalToGnatt[[#This Row],[Start Date]],CM$27&lt;ProposalToGnatt[[#This Row],[Start Date]]+ProposalToGnatt[[#This Row],[Days]]),$G$5,"")),"")</f>
        <v/>
      </c>
      <c r="CN79" s="36" t="str">
        <f ca="1">IFERROR(+IF(CN$27=ProposalToGnatt[[#This Row],[Start Date]],Milestone_Marker,IF(AND(CN$27&gt;ProposalToGnatt[[#This Row],[Start Date]],CN$27&lt;ProposalToGnatt[[#This Row],[Start Date]]+ProposalToGnatt[[#This Row],[Days]]),$G$5,"")),"")</f>
        <v/>
      </c>
      <c r="CO79" s="36" t="str">
        <f ca="1">IFERROR(+IF(CO$27=ProposalToGnatt[[#This Row],[Start Date]],Milestone_Marker,IF(AND(CO$27&gt;ProposalToGnatt[[#This Row],[Start Date]],CO$27&lt;ProposalToGnatt[[#This Row],[Start Date]]+ProposalToGnatt[[#This Row],[Days]]),$G$5,"")),"")</f>
        <v/>
      </c>
      <c r="CP79" s="36" t="str">
        <f ca="1">IFERROR(+IF(CP$27=ProposalToGnatt[[#This Row],[Start Date]],Milestone_Marker,IF(AND(CP$27&gt;ProposalToGnatt[[#This Row],[Start Date]],CP$27&lt;ProposalToGnatt[[#This Row],[Start Date]]+ProposalToGnatt[[#This Row],[Days]]),$G$5,"")),"")</f>
        <v/>
      </c>
      <c r="CQ79" s="36" t="str">
        <f ca="1">IFERROR(+IF(CQ$27=ProposalToGnatt[[#This Row],[Start Date]],Milestone_Marker,IF(AND(CQ$27&gt;ProposalToGnatt[[#This Row],[Start Date]],CQ$27&lt;ProposalToGnatt[[#This Row],[Start Date]]+ProposalToGnatt[[#This Row],[Days]]),$G$5,"")),"")</f>
        <v/>
      </c>
      <c r="CR79" s="36" t="str">
        <f ca="1">IFERROR(+IF(CR$27=ProposalToGnatt[[#This Row],[Start Date]],Milestone_Marker,IF(AND(CR$27&gt;ProposalToGnatt[[#This Row],[Start Date]],CR$27&lt;ProposalToGnatt[[#This Row],[Start Date]]+ProposalToGnatt[[#This Row],[Days]]),$G$5,"")),"")</f>
        <v/>
      </c>
      <c r="CS79" s="36" t="str">
        <f ca="1">IFERROR(+IF(CS$27=ProposalToGnatt[[#This Row],[Start Date]],Milestone_Marker,IF(AND(CS$27&gt;ProposalToGnatt[[#This Row],[Start Date]],CS$27&lt;ProposalToGnatt[[#This Row],[Start Date]]+ProposalToGnatt[[#This Row],[Days]]),$G$5,"")),"")</f>
        <v/>
      </c>
      <c r="CT79" s="36" t="str">
        <f ca="1">IFERROR(+IF(CT$27=ProposalToGnatt[[#This Row],[Start Date]],Milestone_Marker,IF(AND(CT$27&gt;ProposalToGnatt[[#This Row],[Start Date]],CT$27&lt;ProposalToGnatt[[#This Row],[Start Date]]+ProposalToGnatt[[#This Row],[Days]]),$G$5,"")),"")</f>
        <v/>
      </c>
      <c r="CU79" s="36" t="str">
        <f ca="1">IFERROR(+IF(CU$27=ProposalToGnatt[[#This Row],[Start Date]],Milestone_Marker,IF(AND(CU$27&gt;ProposalToGnatt[[#This Row],[Start Date]],CU$27&lt;ProposalToGnatt[[#This Row],[Start Date]]+ProposalToGnatt[[#This Row],[Days]]),$G$5,"")),"")</f>
        <v/>
      </c>
      <c r="CV79" s="36" t="str">
        <f ca="1">IFERROR(+IF(CT$27=#REF!,Milestone_Marker,IF(AND(CT$27&gt;#REF!,CT$27&lt;=#REF!+#REF!),$G$5,"")),"")</f>
        <v/>
      </c>
      <c r="CW79" s="36" t="str">
        <f ca="1">IFERROR(+IF(CU$27=#REF!,Milestone_Marker,IF(AND(CU$27&gt;#REF!,CU$27&lt;=#REF!+#REF!),$G$5,"")),"")</f>
        <v/>
      </c>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row>
    <row r="80" spans="1:125" ht="15" x14ac:dyDescent="0.25">
      <c r="A80"/>
      <c r="B80"/>
      <c r="C80"/>
      <c r="D80"/>
      <c r="E80"/>
      <c r="F80"/>
      <c r="G80" s="14"/>
      <c r="H80" s="14"/>
      <c r="I80"/>
      <c r="J80"/>
      <c r="K80" s="261"/>
      <c r="L80"/>
      <c r="M80" s="14"/>
      <c r="N80" s="309"/>
      <c r="O80" s="297"/>
      <c r="P80" s="36" t="str">
        <f ca="1">IFERROR(+IF(P$27=ProposalToGnatt[[#This Row],[Start Date]],Milestone_Marker,IF(AND(P$27&gt;ProposalToGnatt[[#This Row],[Start Date]],P$27&lt;ProposalToGnatt[[#This Row],[Start Date]]+ProposalToGnatt[[#This Row],[Days]]),$G$5,"")),"")</f>
        <v/>
      </c>
      <c r="Q80" s="36" t="str">
        <f ca="1">IFERROR(+IF(Q$27=ProposalToGnatt[[#This Row],[Start Date]],Milestone_Marker,IF(AND(Q$27&gt;ProposalToGnatt[[#This Row],[Start Date]],Q$27&lt;ProposalToGnatt[[#This Row],[Start Date]]+ProposalToGnatt[[#This Row],[Days]]),$G$5,"")),"")</f>
        <v/>
      </c>
      <c r="R80" s="36" t="str">
        <f ca="1">IFERROR(+IF(R$27=ProposalToGnatt[[#This Row],[Start Date]],Milestone_Marker,IF(AND(R$27&gt;ProposalToGnatt[[#This Row],[Start Date]],R$27&lt;ProposalToGnatt[[#This Row],[Start Date]]+ProposalToGnatt[[#This Row],[Days]]),$G$5,"")),"")</f>
        <v/>
      </c>
      <c r="S80" s="36" t="str">
        <f ca="1">IFERROR(+IF(S$27=ProposalToGnatt[[#This Row],[Start Date]],Milestone_Marker,IF(AND(S$27&gt;ProposalToGnatt[[#This Row],[Start Date]],S$27&lt;ProposalToGnatt[[#This Row],[Start Date]]+ProposalToGnatt[[#This Row],[Days]]),$G$5,"")),"")</f>
        <v/>
      </c>
      <c r="T80" s="36" t="str">
        <f ca="1">IFERROR(+IF(T$27=ProposalToGnatt[[#This Row],[Start Date]],Milestone_Marker,IF(AND(T$27&gt;ProposalToGnatt[[#This Row],[Start Date]],T$27&lt;ProposalToGnatt[[#This Row],[Start Date]]+ProposalToGnatt[[#This Row],[Days]]),$G$5,"")),"")</f>
        <v/>
      </c>
      <c r="U80" s="36" t="str">
        <f ca="1">IFERROR(+IF(U$27=ProposalToGnatt[[#This Row],[Start Date]],Milestone_Marker,IF(AND(U$27&gt;ProposalToGnatt[[#This Row],[Start Date]],U$27&lt;ProposalToGnatt[[#This Row],[Start Date]]+ProposalToGnatt[[#This Row],[Days]]),$G$5,"")),"")</f>
        <v/>
      </c>
      <c r="V80" s="36" t="str">
        <f ca="1">IFERROR(+IF(V$27=ProposalToGnatt[[#This Row],[Start Date]],Milestone_Marker,IF(AND(V$27&gt;ProposalToGnatt[[#This Row],[Start Date]],V$27&lt;ProposalToGnatt[[#This Row],[Start Date]]+ProposalToGnatt[[#This Row],[Days]]),$G$5,"")),"")</f>
        <v/>
      </c>
      <c r="W80" s="36" t="str">
        <f ca="1">IFERROR(+IF(W$27=ProposalToGnatt[[#This Row],[Start Date]],Milestone_Marker,IF(AND(W$27&gt;ProposalToGnatt[[#This Row],[Start Date]],W$27&lt;ProposalToGnatt[[#This Row],[Start Date]]+ProposalToGnatt[[#This Row],[Days]]),$G$5,"")),"")</f>
        <v/>
      </c>
      <c r="X80" s="36" t="str">
        <f ca="1">IFERROR(+IF(X$27=ProposalToGnatt[[#This Row],[Start Date]],Milestone_Marker,IF(AND(X$27&gt;ProposalToGnatt[[#This Row],[Start Date]],X$27&lt;ProposalToGnatt[[#This Row],[Start Date]]+ProposalToGnatt[[#This Row],[Days]]),$G$5,"")),"")</f>
        <v/>
      </c>
      <c r="Y80" s="36" t="str">
        <f ca="1">IFERROR(+IF(Y$27=ProposalToGnatt[[#This Row],[Start Date]],Milestone_Marker,IF(AND(Y$27&gt;ProposalToGnatt[[#This Row],[Start Date]],Y$27&lt;ProposalToGnatt[[#This Row],[Start Date]]+ProposalToGnatt[[#This Row],[Days]]),$G$5,"")),"")</f>
        <v/>
      </c>
      <c r="Z80" s="36" t="str">
        <f ca="1">IFERROR(+IF(Z$27=ProposalToGnatt[[#This Row],[Start Date]],Milestone_Marker,IF(AND(Z$27&gt;ProposalToGnatt[[#This Row],[Start Date]],Z$27&lt;ProposalToGnatt[[#This Row],[Start Date]]+ProposalToGnatt[[#This Row],[Days]]),$G$5,"")),"")</f>
        <v/>
      </c>
      <c r="AA80" s="36" t="str">
        <f ca="1">IFERROR(+IF(AA$27=ProposalToGnatt[[#This Row],[Start Date]],Milestone_Marker,IF(AND(AA$27&gt;ProposalToGnatt[[#This Row],[Start Date]],AA$27&lt;ProposalToGnatt[[#This Row],[Start Date]]+ProposalToGnatt[[#This Row],[Days]]),$G$5,"")),"")</f>
        <v/>
      </c>
      <c r="AB80" s="36" t="str">
        <f ca="1">IFERROR(+IF(AB$27=ProposalToGnatt[[#This Row],[Start Date]],Milestone_Marker,IF(AND(AB$27&gt;ProposalToGnatt[[#This Row],[Start Date]],AB$27&lt;ProposalToGnatt[[#This Row],[Start Date]]+ProposalToGnatt[[#This Row],[Days]]),$G$5,"")),"")</f>
        <v/>
      </c>
      <c r="AC80" s="36" t="str">
        <f ca="1">IFERROR(+IF(AC$27=ProposalToGnatt[[#This Row],[Start Date]],Milestone_Marker,IF(AND(AC$27&gt;ProposalToGnatt[[#This Row],[Start Date]],AC$27&lt;ProposalToGnatt[[#This Row],[Start Date]]+ProposalToGnatt[[#This Row],[Days]]),$G$5,"")),"")</f>
        <v/>
      </c>
      <c r="AD80" s="36" t="str">
        <f ca="1">IFERROR(+IF(AD$27=ProposalToGnatt[[#This Row],[Start Date]],Milestone_Marker,IF(AND(AD$27&gt;ProposalToGnatt[[#This Row],[Start Date]],AD$27&lt;ProposalToGnatt[[#This Row],[Start Date]]+ProposalToGnatt[[#This Row],[Days]]),$G$5,"")),"")</f>
        <v/>
      </c>
      <c r="AE80" s="36" t="str">
        <f ca="1">IFERROR(+IF(AE$27=ProposalToGnatt[[#This Row],[Start Date]],Milestone_Marker,IF(AND(AE$27&gt;ProposalToGnatt[[#This Row],[Start Date]],AE$27&lt;ProposalToGnatt[[#This Row],[Start Date]]+ProposalToGnatt[[#This Row],[Days]]),$G$5,"")),"")</f>
        <v/>
      </c>
      <c r="AF80" s="36" t="str">
        <f ca="1">IFERROR(+IF(AF$27=ProposalToGnatt[[#This Row],[Start Date]],Milestone_Marker,IF(AND(AF$27&gt;ProposalToGnatt[[#This Row],[Start Date]],AF$27&lt;ProposalToGnatt[[#This Row],[Start Date]]+ProposalToGnatt[[#This Row],[Days]]),$G$5,"")),"")</f>
        <v/>
      </c>
      <c r="AG80" s="36" t="str">
        <f ca="1">IFERROR(+IF(AG$27=ProposalToGnatt[[#This Row],[Start Date]],Milestone_Marker,IF(AND(AG$27&gt;ProposalToGnatt[[#This Row],[Start Date]],AG$27&lt;ProposalToGnatt[[#This Row],[Start Date]]+ProposalToGnatt[[#This Row],[Days]]),$G$5,"")),"")</f>
        <v/>
      </c>
      <c r="AH80" s="36" t="str">
        <f ca="1">IFERROR(+IF(AH$27=ProposalToGnatt[[#This Row],[Start Date]],Milestone_Marker,IF(AND(AH$27&gt;ProposalToGnatt[[#This Row],[Start Date]],AH$27&lt;ProposalToGnatt[[#This Row],[Start Date]]+ProposalToGnatt[[#This Row],[Days]]),$G$5,"")),"")</f>
        <v/>
      </c>
      <c r="AI80" s="36" t="str">
        <f ca="1">IFERROR(+IF(AI$27=ProposalToGnatt[[#This Row],[Start Date]],Milestone_Marker,IF(AND(AI$27&gt;ProposalToGnatt[[#This Row],[Start Date]],AI$27&lt;ProposalToGnatt[[#This Row],[Start Date]]+ProposalToGnatt[[#This Row],[Days]]),$G$5,"")),"")</f>
        <v/>
      </c>
      <c r="AJ80" s="36" t="str">
        <f ca="1">IFERROR(+IF(AJ$27=ProposalToGnatt[[#This Row],[Start Date]],Milestone_Marker,IF(AND(AJ$27&gt;ProposalToGnatt[[#This Row],[Start Date]],AJ$27&lt;ProposalToGnatt[[#This Row],[Start Date]]+ProposalToGnatt[[#This Row],[Days]]),$G$5,"")),"")</f>
        <v/>
      </c>
      <c r="AK80" s="36" t="str">
        <f ca="1">IFERROR(+IF(AK$27=ProposalToGnatt[[#This Row],[Start Date]],Milestone_Marker,IF(AND(AK$27&gt;ProposalToGnatt[[#This Row],[Start Date]],AK$27&lt;ProposalToGnatt[[#This Row],[Start Date]]+ProposalToGnatt[[#This Row],[Days]]),$G$5,"")),"")</f>
        <v/>
      </c>
      <c r="AL80" s="36" t="str">
        <f ca="1">IFERROR(+IF(AL$27=ProposalToGnatt[[#This Row],[Start Date]],Milestone_Marker,IF(AND(AL$27&gt;ProposalToGnatt[[#This Row],[Start Date]],AL$27&lt;ProposalToGnatt[[#This Row],[Start Date]]+ProposalToGnatt[[#This Row],[Days]]),$G$5,"")),"")</f>
        <v/>
      </c>
      <c r="AM80" s="36" t="str">
        <f ca="1">IFERROR(+IF(AM$27=ProposalToGnatt[[#This Row],[Start Date]],Milestone_Marker,IF(AND(AM$27&gt;ProposalToGnatt[[#This Row],[Start Date]],AM$27&lt;ProposalToGnatt[[#This Row],[Start Date]]+ProposalToGnatt[[#This Row],[Days]]),$G$5,"")),"")</f>
        <v/>
      </c>
      <c r="AN80" s="36" t="str">
        <f ca="1">IFERROR(+IF(AN$27=ProposalToGnatt[[#This Row],[Start Date]],Milestone_Marker,IF(AND(AN$27&gt;ProposalToGnatt[[#This Row],[Start Date]],AN$27&lt;ProposalToGnatt[[#This Row],[Start Date]]+ProposalToGnatt[[#This Row],[Days]]),$G$5,"")),"")</f>
        <v/>
      </c>
      <c r="AO80" s="36" t="str">
        <f ca="1">IFERROR(+IF(AO$27=ProposalToGnatt[[#This Row],[Start Date]],Milestone_Marker,IF(AND(AO$27&gt;ProposalToGnatt[[#This Row],[Start Date]],AO$27&lt;ProposalToGnatt[[#This Row],[Start Date]]+ProposalToGnatt[[#This Row],[Days]]),$G$5,"")),"")</f>
        <v/>
      </c>
      <c r="AP80" s="36" t="str">
        <f ca="1">IFERROR(+IF(AP$27=ProposalToGnatt[[#This Row],[Start Date]],Milestone_Marker,IF(AND(AP$27&gt;ProposalToGnatt[[#This Row],[Start Date]],AP$27&lt;ProposalToGnatt[[#This Row],[Start Date]]+ProposalToGnatt[[#This Row],[Days]]),$G$5,"")),"")</f>
        <v/>
      </c>
      <c r="AQ80" s="36" t="str">
        <f ca="1">IFERROR(+IF(AQ$27=ProposalToGnatt[[#This Row],[Start Date]],Milestone_Marker,IF(AND(AQ$27&gt;ProposalToGnatt[[#This Row],[Start Date]],AQ$27&lt;ProposalToGnatt[[#This Row],[Start Date]]+ProposalToGnatt[[#This Row],[Days]]),$G$5,"")),"")</f>
        <v/>
      </c>
      <c r="AR80" s="36" t="str">
        <f ca="1">IFERROR(+IF(AR$27=ProposalToGnatt[[#This Row],[Start Date]],Milestone_Marker,IF(AND(AR$27&gt;ProposalToGnatt[[#This Row],[Start Date]],AR$27&lt;ProposalToGnatt[[#This Row],[Start Date]]+ProposalToGnatt[[#This Row],[Days]]),$G$5,"")),"")</f>
        <v/>
      </c>
      <c r="AS80" s="36" t="str">
        <f ca="1">IFERROR(+IF(AS$27=ProposalToGnatt[[#This Row],[Start Date]],Milestone_Marker,IF(AND(AS$27&gt;ProposalToGnatt[[#This Row],[Start Date]],AS$27&lt;ProposalToGnatt[[#This Row],[Start Date]]+ProposalToGnatt[[#This Row],[Days]]),$G$5,"")),"")</f>
        <v/>
      </c>
      <c r="AT80" s="36" t="str">
        <f ca="1">IFERROR(+IF(AT$27=ProposalToGnatt[[#This Row],[Start Date]],Milestone_Marker,IF(AND(AT$27&gt;ProposalToGnatt[[#This Row],[Start Date]],AT$27&lt;ProposalToGnatt[[#This Row],[Start Date]]+ProposalToGnatt[[#This Row],[Days]]),$G$5,"")),"")</f>
        <v/>
      </c>
      <c r="AU80" s="36" t="str">
        <f ca="1">IFERROR(+IF(AU$27=ProposalToGnatt[[#This Row],[Start Date]],Milestone_Marker,IF(AND(AU$27&gt;ProposalToGnatt[[#This Row],[Start Date]],AU$27&lt;ProposalToGnatt[[#This Row],[Start Date]]+ProposalToGnatt[[#This Row],[Days]]),$G$5,"")),"")</f>
        <v/>
      </c>
      <c r="AV80" s="36" t="str">
        <f ca="1">IFERROR(+IF(AV$27=ProposalToGnatt[[#This Row],[Start Date]],Milestone_Marker,IF(AND(AV$27&gt;ProposalToGnatt[[#This Row],[Start Date]],AV$27&lt;ProposalToGnatt[[#This Row],[Start Date]]+ProposalToGnatt[[#This Row],[Days]]),$G$5,"")),"")</f>
        <v/>
      </c>
      <c r="AW80" s="36" t="str">
        <f ca="1">IFERROR(+IF(AW$27=ProposalToGnatt[[#This Row],[Start Date]],Milestone_Marker,IF(AND(AW$27&gt;ProposalToGnatt[[#This Row],[Start Date]],AW$27&lt;ProposalToGnatt[[#This Row],[Start Date]]+ProposalToGnatt[[#This Row],[Days]]),$G$5,"")),"")</f>
        <v/>
      </c>
      <c r="AX80" s="36" t="str">
        <f ca="1">IFERROR(+IF(AX$27=ProposalToGnatt[[#This Row],[Start Date]],Milestone_Marker,IF(AND(AX$27&gt;ProposalToGnatt[[#This Row],[Start Date]],AX$27&lt;ProposalToGnatt[[#This Row],[Start Date]]+ProposalToGnatt[[#This Row],[Days]]),$G$5,"")),"")</f>
        <v/>
      </c>
      <c r="AY80" s="36" t="str">
        <f ca="1">IFERROR(+IF(AY$27=ProposalToGnatt[[#This Row],[Start Date]],Milestone_Marker,IF(AND(AY$27&gt;ProposalToGnatt[[#This Row],[Start Date]],AY$27&lt;ProposalToGnatt[[#This Row],[Start Date]]+ProposalToGnatt[[#This Row],[Days]]),$G$5,"")),"")</f>
        <v/>
      </c>
      <c r="AZ80" s="36" t="str">
        <f ca="1">IFERROR(+IF(AZ$27=ProposalToGnatt[[#This Row],[Start Date]],Milestone_Marker,IF(AND(AZ$27&gt;ProposalToGnatt[[#This Row],[Start Date]],AZ$27&lt;ProposalToGnatt[[#This Row],[Start Date]]+ProposalToGnatt[[#This Row],[Days]]),$G$5,"")),"")</f>
        <v/>
      </c>
      <c r="BA80" s="36" t="str">
        <f ca="1">IFERROR(+IF(BA$27=ProposalToGnatt[[#This Row],[Start Date]],Milestone_Marker,IF(AND(BA$27&gt;ProposalToGnatt[[#This Row],[Start Date]],BA$27&lt;ProposalToGnatt[[#This Row],[Start Date]]+ProposalToGnatt[[#This Row],[Days]]),$G$5,"")),"")</f>
        <v/>
      </c>
      <c r="BB80" s="36" t="str">
        <f ca="1">IFERROR(+IF(BB$27=ProposalToGnatt[[#This Row],[Start Date]],Milestone_Marker,IF(AND(BB$27&gt;ProposalToGnatt[[#This Row],[Start Date]],BB$27&lt;ProposalToGnatt[[#This Row],[Start Date]]+ProposalToGnatt[[#This Row],[Days]]),$G$5,"")),"")</f>
        <v/>
      </c>
      <c r="BC80" s="36" t="str">
        <f ca="1">IFERROR(+IF(BC$27=ProposalToGnatt[[#This Row],[Start Date]],Milestone_Marker,IF(AND(BC$27&gt;ProposalToGnatt[[#This Row],[Start Date]],BC$27&lt;ProposalToGnatt[[#This Row],[Start Date]]+ProposalToGnatt[[#This Row],[Days]]),$G$5,"")),"")</f>
        <v/>
      </c>
      <c r="BD80" s="36" t="str">
        <f ca="1">IFERROR(+IF(BD$27=ProposalToGnatt[[#This Row],[Start Date]],Milestone_Marker,IF(AND(BD$27&gt;ProposalToGnatt[[#This Row],[Start Date]],BD$27&lt;ProposalToGnatt[[#This Row],[Start Date]]+ProposalToGnatt[[#This Row],[Days]]),$G$5,"")),"")</f>
        <v/>
      </c>
      <c r="BE80" s="36" t="str">
        <f ca="1">IFERROR(+IF(BE$27=ProposalToGnatt[[#This Row],[Start Date]],Milestone_Marker,IF(AND(BE$27&gt;ProposalToGnatt[[#This Row],[Start Date]],BE$27&lt;ProposalToGnatt[[#This Row],[Start Date]]+ProposalToGnatt[[#This Row],[Days]]),$G$5,"")),"")</f>
        <v/>
      </c>
      <c r="BF80" s="36" t="str">
        <f ca="1">IFERROR(+IF(BF$27=ProposalToGnatt[[#This Row],[Start Date]],Milestone_Marker,IF(AND(BF$27&gt;ProposalToGnatt[[#This Row],[Start Date]],BF$27&lt;ProposalToGnatt[[#This Row],[Start Date]]+ProposalToGnatt[[#This Row],[Days]]),$G$5,"")),"")</f>
        <v/>
      </c>
      <c r="BG80" s="36" t="str">
        <f ca="1">IFERROR(+IF(BG$27=ProposalToGnatt[[#This Row],[Start Date]],Milestone_Marker,IF(AND(BG$27&gt;ProposalToGnatt[[#This Row],[Start Date]],BG$27&lt;ProposalToGnatt[[#This Row],[Start Date]]+ProposalToGnatt[[#This Row],[Days]]),$G$5,"")),"")</f>
        <v/>
      </c>
      <c r="BH80" s="36" t="str">
        <f ca="1">IFERROR(+IF(BH$27=ProposalToGnatt[[#This Row],[Start Date]],Milestone_Marker,IF(AND(BH$27&gt;ProposalToGnatt[[#This Row],[Start Date]],BH$27&lt;ProposalToGnatt[[#This Row],[Start Date]]+ProposalToGnatt[[#This Row],[Days]]),$G$5,"")),"")</f>
        <v/>
      </c>
      <c r="BI80" s="36" t="str">
        <f ca="1">IFERROR(+IF(BI$27=ProposalToGnatt[[#This Row],[Start Date]],Milestone_Marker,IF(AND(BI$27&gt;ProposalToGnatt[[#This Row],[Start Date]],BI$27&lt;ProposalToGnatt[[#This Row],[Start Date]]+ProposalToGnatt[[#This Row],[Days]]),$G$5,"")),"")</f>
        <v/>
      </c>
      <c r="BJ80" s="36" t="str">
        <f ca="1">IFERROR(+IF(BJ$27=ProposalToGnatt[[#This Row],[Start Date]],Milestone_Marker,IF(AND(BJ$27&gt;ProposalToGnatt[[#This Row],[Start Date]],BJ$27&lt;ProposalToGnatt[[#This Row],[Start Date]]+ProposalToGnatt[[#This Row],[Days]]),$G$5,"")),"")</f>
        <v/>
      </c>
      <c r="BK80" s="36" t="str">
        <f ca="1">IFERROR(+IF(BK$27=ProposalToGnatt[[#This Row],[Start Date]],Milestone_Marker,IF(AND(BK$27&gt;ProposalToGnatt[[#This Row],[Start Date]],BK$27&lt;ProposalToGnatt[[#This Row],[Start Date]]+ProposalToGnatt[[#This Row],[Days]]),$G$5,"")),"")</f>
        <v/>
      </c>
      <c r="BL80" s="36" t="str">
        <f ca="1">IFERROR(+IF(BL$27=ProposalToGnatt[[#This Row],[Start Date]],Milestone_Marker,IF(AND(BL$27&gt;ProposalToGnatt[[#This Row],[Start Date]],BL$27&lt;ProposalToGnatt[[#This Row],[Start Date]]+ProposalToGnatt[[#This Row],[Days]]),$G$5,"")),"")</f>
        <v/>
      </c>
      <c r="BM80" s="36" t="str">
        <f ca="1">IFERROR(+IF(BM$27=ProposalToGnatt[[#This Row],[Start Date]],Milestone_Marker,IF(AND(BM$27&gt;ProposalToGnatt[[#This Row],[Start Date]],BM$27&lt;ProposalToGnatt[[#This Row],[Start Date]]+ProposalToGnatt[[#This Row],[Days]]),$G$5,"")),"")</f>
        <v/>
      </c>
      <c r="BN80" s="36" t="str">
        <f ca="1">IFERROR(+IF(BN$27=ProposalToGnatt[[#This Row],[Start Date]],Milestone_Marker,IF(AND(BN$27&gt;ProposalToGnatt[[#This Row],[Start Date]],BN$27&lt;ProposalToGnatt[[#This Row],[Start Date]]+ProposalToGnatt[[#This Row],[Days]]),$G$5,"")),"")</f>
        <v/>
      </c>
      <c r="BO80" s="36" t="str">
        <f ca="1">IFERROR(+IF(BO$27=ProposalToGnatt[[#This Row],[Start Date]],Milestone_Marker,IF(AND(BO$27&gt;ProposalToGnatt[[#This Row],[Start Date]],BO$27&lt;ProposalToGnatt[[#This Row],[Start Date]]+ProposalToGnatt[[#This Row],[Days]]),$G$5,"")),"")</f>
        <v/>
      </c>
      <c r="BP80" s="36" t="str">
        <f ca="1">IFERROR(+IF(BP$27=ProposalToGnatt[[#This Row],[Start Date]],Milestone_Marker,IF(AND(BP$27&gt;ProposalToGnatt[[#This Row],[Start Date]],BP$27&lt;ProposalToGnatt[[#This Row],[Start Date]]+ProposalToGnatt[[#This Row],[Days]]),$G$5,"")),"")</f>
        <v/>
      </c>
      <c r="BQ80" s="36" t="str">
        <f ca="1">IFERROR(+IF(BQ$27=ProposalToGnatt[[#This Row],[Start Date]],Milestone_Marker,IF(AND(BQ$27&gt;ProposalToGnatt[[#This Row],[Start Date]],BQ$27&lt;ProposalToGnatt[[#This Row],[Start Date]]+ProposalToGnatt[[#This Row],[Days]]),$G$5,"")),"")</f>
        <v/>
      </c>
      <c r="BR80" s="36" t="str">
        <f ca="1">IFERROR(+IF(BR$27=ProposalToGnatt[[#This Row],[Start Date]],Milestone_Marker,IF(AND(BR$27&gt;ProposalToGnatt[[#This Row],[Start Date]],BR$27&lt;ProposalToGnatt[[#This Row],[Start Date]]+ProposalToGnatt[[#This Row],[Days]]),$G$5,"")),"")</f>
        <v/>
      </c>
      <c r="BS80" s="36" t="str">
        <f ca="1">IFERROR(+IF(BS$27=ProposalToGnatt[[#This Row],[Start Date]],Milestone_Marker,IF(AND(BS$27&gt;ProposalToGnatt[[#This Row],[Start Date]],BS$27&lt;ProposalToGnatt[[#This Row],[Start Date]]+ProposalToGnatt[[#This Row],[Days]]),$G$5,"")),"")</f>
        <v/>
      </c>
      <c r="BT80" s="36" t="str">
        <f ca="1">IFERROR(+IF(BT$27=ProposalToGnatt[[#This Row],[Start Date]],Milestone_Marker,IF(AND(BT$27&gt;ProposalToGnatt[[#This Row],[Start Date]],BT$27&lt;ProposalToGnatt[[#This Row],[Start Date]]+ProposalToGnatt[[#This Row],[Days]]),$G$5,"")),"")</f>
        <v/>
      </c>
      <c r="BU80" s="36" t="str">
        <f ca="1">IFERROR(+IF(BU$27=ProposalToGnatt[[#This Row],[Start Date]],Milestone_Marker,IF(AND(BU$27&gt;ProposalToGnatt[[#This Row],[Start Date]],BU$27&lt;ProposalToGnatt[[#This Row],[Start Date]]+ProposalToGnatt[[#This Row],[Days]]),$G$5,"")),"")</f>
        <v/>
      </c>
      <c r="BV80" s="36" t="str">
        <f ca="1">IFERROR(+IF(BV$27=ProposalToGnatt[[#This Row],[Start Date]],Milestone_Marker,IF(AND(BV$27&gt;ProposalToGnatt[[#This Row],[Start Date]],BV$27&lt;ProposalToGnatt[[#This Row],[Start Date]]+ProposalToGnatt[[#This Row],[Days]]),$G$5,"")),"")</f>
        <v/>
      </c>
      <c r="BW80" s="36" t="str">
        <f ca="1">IFERROR(+IF(BW$27=ProposalToGnatt[[#This Row],[Start Date]],Milestone_Marker,IF(AND(BW$27&gt;ProposalToGnatt[[#This Row],[Start Date]],BW$27&lt;ProposalToGnatt[[#This Row],[Start Date]]+ProposalToGnatt[[#This Row],[Days]]),$G$5,"")),"")</f>
        <v/>
      </c>
      <c r="BX80" s="36" t="str">
        <f ca="1">IFERROR(+IF(BX$27=ProposalToGnatt[[#This Row],[Start Date]],Milestone_Marker,IF(AND(BX$27&gt;ProposalToGnatt[[#This Row],[Start Date]],BX$27&lt;ProposalToGnatt[[#This Row],[Start Date]]+ProposalToGnatt[[#This Row],[Days]]),$G$5,"")),"")</f>
        <v/>
      </c>
      <c r="BY80" s="36" t="str">
        <f ca="1">IFERROR(+IF(BY$27=ProposalToGnatt[[#This Row],[Start Date]],Milestone_Marker,IF(AND(BY$27&gt;ProposalToGnatt[[#This Row],[Start Date]],BY$27&lt;ProposalToGnatt[[#This Row],[Start Date]]+ProposalToGnatt[[#This Row],[Days]]),$G$5,"")),"")</f>
        <v/>
      </c>
      <c r="BZ80" s="36" t="str">
        <f ca="1">IFERROR(+IF(BZ$27=ProposalToGnatt[[#This Row],[Start Date]],Milestone_Marker,IF(AND(BZ$27&gt;ProposalToGnatt[[#This Row],[Start Date]],BZ$27&lt;ProposalToGnatt[[#This Row],[Start Date]]+ProposalToGnatt[[#This Row],[Days]]),$G$5,"")),"")</f>
        <v/>
      </c>
      <c r="CA80" s="36" t="str">
        <f ca="1">IFERROR(+IF(CA$27=ProposalToGnatt[[#This Row],[Start Date]],Milestone_Marker,IF(AND(CA$27&gt;ProposalToGnatt[[#This Row],[Start Date]],CA$27&lt;ProposalToGnatt[[#This Row],[Start Date]]+ProposalToGnatt[[#This Row],[Days]]),$G$5,"")),"")</f>
        <v/>
      </c>
      <c r="CB80" s="36" t="str">
        <f ca="1">IFERROR(+IF(CB$27=ProposalToGnatt[[#This Row],[Start Date]],Milestone_Marker,IF(AND(CB$27&gt;ProposalToGnatt[[#This Row],[Start Date]],CB$27&lt;ProposalToGnatt[[#This Row],[Start Date]]+ProposalToGnatt[[#This Row],[Days]]),$G$5,"")),"")</f>
        <v/>
      </c>
      <c r="CC80" s="36" t="str">
        <f ca="1">IFERROR(+IF(CC$27=ProposalToGnatt[[#This Row],[Start Date]],Milestone_Marker,IF(AND(CC$27&gt;ProposalToGnatt[[#This Row],[Start Date]],CC$27&lt;ProposalToGnatt[[#This Row],[Start Date]]+ProposalToGnatt[[#This Row],[Days]]),$G$5,"")),"")</f>
        <v/>
      </c>
      <c r="CD80" s="36" t="str">
        <f ca="1">IFERROR(+IF(CD$27=ProposalToGnatt[[#This Row],[Start Date]],Milestone_Marker,IF(AND(CD$27&gt;ProposalToGnatt[[#This Row],[Start Date]],CD$27&lt;ProposalToGnatt[[#This Row],[Start Date]]+ProposalToGnatt[[#This Row],[Days]]),$G$5,"")),"")</f>
        <v/>
      </c>
      <c r="CE80" s="36" t="str">
        <f ca="1">IFERROR(+IF(CE$27=ProposalToGnatt[[#This Row],[Start Date]],Milestone_Marker,IF(AND(CE$27&gt;ProposalToGnatt[[#This Row],[Start Date]],CE$27&lt;ProposalToGnatt[[#This Row],[Start Date]]+ProposalToGnatt[[#This Row],[Days]]),$G$5,"")),"")</f>
        <v/>
      </c>
      <c r="CF80" s="36" t="str">
        <f ca="1">IFERROR(+IF(CF$27=ProposalToGnatt[[#This Row],[Start Date]],Milestone_Marker,IF(AND(CF$27&gt;ProposalToGnatt[[#This Row],[Start Date]],CF$27&lt;ProposalToGnatt[[#This Row],[Start Date]]+ProposalToGnatt[[#This Row],[Days]]),$G$5,"")),"")</f>
        <v/>
      </c>
      <c r="CG80" s="36" t="str">
        <f ca="1">IFERROR(+IF(CG$27=ProposalToGnatt[[#This Row],[Start Date]],Milestone_Marker,IF(AND(CG$27&gt;ProposalToGnatt[[#This Row],[Start Date]],CG$27&lt;ProposalToGnatt[[#This Row],[Start Date]]+ProposalToGnatt[[#This Row],[Days]]),$G$5,"")),"")</f>
        <v/>
      </c>
      <c r="CH80" s="36" t="str">
        <f ca="1">IFERROR(+IF(CH$27=ProposalToGnatt[[#This Row],[Start Date]],Milestone_Marker,IF(AND(CH$27&gt;ProposalToGnatt[[#This Row],[Start Date]],CH$27&lt;ProposalToGnatt[[#This Row],[Start Date]]+ProposalToGnatt[[#This Row],[Days]]),$G$5,"")),"")</f>
        <v/>
      </c>
      <c r="CI80" s="36" t="str">
        <f ca="1">IFERROR(+IF(CI$27=ProposalToGnatt[[#This Row],[Start Date]],Milestone_Marker,IF(AND(CI$27&gt;ProposalToGnatt[[#This Row],[Start Date]],CI$27&lt;ProposalToGnatt[[#This Row],[Start Date]]+ProposalToGnatt[[#This Row],[Days]]),$G$5,"")),"")</f>
        <v/>
      </c>
      <c r="CJ80" s="36" t="str">
        <f ca="1">IFERROR(+IF(CJ$27=ProposalToGnatt[[#This Row],[Start Date]],Milestone_Marker,IF(AND(CJ$27&gt;ProposalToGnatt[[#This Row],[Start Date]],CJ$27&lt;ProposalToGnatt[[#This Row],[Start Date]]+ProposalToGnatt[[#This Row],[Days]]),$G$5,"")),"")</f>
        <v/>
      </c>
      <c r="CK80" s="36" t="str">
        <f ca="1">IFERROR(+IF(CK$27=ProposalToGnatt[[#This Row],[Start Date]],Milestone_Marker,IF(AND(CK$27&gt;ProposalToGnatt[[#This Row],[Start Date]],CK$27&lt;ProposalToGnatt[[#This Row],[Start Date]]+ProposalToGnatt[[#This Row],[Days]]),$G$5,"")),"")</f>
        <v/>
      </c>
      <c r="CL80" s="36" t="str">
        <f ca="1">IFERROR(+IF(CL$27=ProposalToGnatt[[#This Row],[Start Date]],Milestone_Marker,IF(AND(CL$27&gt;ProposalToGnatt[[#This Row],[Start Date]],CL$27&lt;ProposalToGnatt[[#This Row],[Start Date]]+ProposalToGnatt[[#This Row],[Days]]),$G$5,"")),"")</f>
        <v/>
      </c>
      <c r="CM80" s="36" t="str">
        <f ca="1">IFERROR(+IF(CM$27=ProposalToGnatt[[#This Row],[Start Date]],Milestone_Marker,IF(AND(CM$27&gt;ProposalToGnatt[[#This Row],[Start Date]],CM$27&lt;ProposalToGnatt[[#This Row],[Start Date]]+ProposalToGnatt[[#This Row],[Days]]),$G$5,"")),"")</f>
        <v/>
      </c>
      <c r="CN80" s="36" t="str">
        <f ca="1">IFERROR(+IF(CN$27=ProposalToGnatt[[#This Row],[Start Date]],Milestone_Marker,IF(AND(CN$27&gt;ProposalToGnatt[[#This Row],[Start Date]],CN$27&lt;ProposalToGnatt[[#This Row],[Start Date]]+ProposalToGnatt[[#This Row],[Days]]),$G$5,"")),"")</f>
        <v/>
      </c>
      <c r="CO80" s="36" t="str">
        <f ca="1">IFERROR(+IF(CO$27=ProposalToGnatt[[#This Row],[Start Date]],Milestone_Marker,IF(AND(CO$27&gt;ProposalToGnatt[[#This Row],[Start Date]],CO$27&lt;ProposalToGnatt[[#This Row],[Start Date]]+ProposalToGnatt[[#This Row],[Days]]),$G$5,"")),"")</f>
        <v/>
      </c>
      <c r="CP80" s="36" t="str">
        <f ca="1">IFERROR(+IF(CP$27=ProposalToGnatt[[#This Row],[Start Date]],Milestone_Marker,IF(AND(CP$27&gt;ProposalToGnatt[[#This Row],[Start Date]],CP$27&lt;ProposalToGnatt[[#This Row],[Start Date]]+ProposalToGnatt[[#This Row],[Days]]),$G$5,"")),"")</f>
        <v/>
      </c>
      <c r="CQ80" s="36" t="str">
        <f ca="1">IFERROR(+IF(CQ$27=ProposalToGnatt[[#This Row],[Start Date]],Milestone_Marker,IF(AND(CQ$27&gt;ProposalToGnatt[[#This Row],[Start Date]],CQ$27&lt;ProposalToGnatt[[#This Row],[Start Date]]+ProposalToGnatt[[#This Row],[Days]]),$G$5,"")),"")</f>
        <v/>
      </c>
      <c r="CR80" s="36" t="str">
        <f ca="1">IFERROR(+IF(CR$27=ProposalToGnatt[[#This Row],[Start Date]],Milestone_Marker,IF(AND(CR$27&gt;ProposalToGnatt[[#This Row],[Start Date]],CR$27&lt;ProposalToGnatt[[#This Row],[Start Date]]+ProposalToGnatt[[#This Row],[Days]]),$G$5,"")),"")</f>
        <v/>
      </c>
      <c r="CS80" s="36" t="str">
        <f ca="1">IFERROR(+IF(CS$27=ProposalToGnatt[[#This Row],[Start Date]],Milestone_Marker,IF(AND(CS$27&gt;ProposalToGnatt[[#This Row],[Start Date]],CS$27&lt;ProposalToGnatt[[#This Row],[Start Date]]+ProposalToGnatt[[#This Row],[Days]]),$G$5,"")),"")</f>
        <v/>
      </c>
      <c r="CT80" s="36" t="str">
        <f ca="1">IFERROR(+IF(CT$27=ProposalToGnatt[[#This Row],[Start Date]],Milestone_Marker,IF(AND(CT$27&gt;ProposalToGnatt[[#This Row],[Start Date]],CT$27&lt;ProposalToGnatt[[#This Row],[Start Date]]+ProposalToGnatt[[#This Row],[Days]]),$G$5,"")),"")</f>
        <v/>
      </c>
      <c r="CU80" s="36" t="str">
        <f ca="1">IFERROR(+IF(CU$27=ProposalToGnatt[[#This Row],[Start Date]],Milestone_Marker,IF(AND(CU$27&gt;ProposalToGnatt[[#This Row],[Start Date]],CU$27&lt;ProposalToGnatt[[#This Row],[Start Date]]+ProposalToGnatt[[#This Row],[Days]]),$G$5,"")),"")</f>
        <v/>
      </c>
      <c r="CV80" s="36" t="str">
        <f ca="1">IFERROR(+IF(CT$27=#REF!,Milestone_Marker,IF(AND(CT$27&gt;#REF!,CT$27&lt;=#REF!+#REF!),$G$5,"")),"")</f>
        <v/>
      </c>
      <c r="CW80" s="36" t="str">
        <f ca="1">IFERROR(+IF(CU$27=#REF!,Milestone_Marker,IF(AND(CU$27&gt;#REF!,CU$27&lt;=#REF!+#REF!),$G$5,"")),"")</f>
        <v/>
      </c>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row>
    <row r="81" spans="1:125" ht="15" x14ac:dyDescent="0.25">
      <c r="A81"/>
      <c r="B81"/>
      <c r="C81"/>
      <c r="D81"/>
      <c r="E81"/>
      <c r="F81"/>
      <c r="G81" s="14"/>
      <c r="H81" s="14"/>
      <c r="I81"/>
      <c r="J81"/>
      <c r="K81" s="261"/>
      <c r="L81"/>
      <c r="M81" s="14"/>
      <c r="N81" s="309"/>
      <c r="O81" s="297"/>
      <c r="P81" s="36" t="str">
        <f ca="1">IFERROR(+IF(P$27=ProposalToGnatt[[#This Row],[Start Date]],Milestone_Marker,IF(AND(P$27&gt;ProposalToGnatt[[#This Row],[Start Date]],P$27&lt;ProposalToGnatt[[#This Row],[Start Date]]+ProposalToGnatt[[#This Row],[Days]]),$G$5,"")),"")</f>
        <v/>
      </c>
      <c r="Q81" s="36" t="str">
        <f ca="1">IFERROR(+IF(Q$27=ProposalToGnatt[[#This Row],[Start Date]],Milestone_Marker,IF(AND(Q$27&gt;ProposalToGnatt[[#This Row],[Start Date]],Q$27&lt;ProposalToGnatt[[#This Row],[Start Date]]+ProposalToGnatt[[#This Row],[Days]]),$G$5,"")),"")</f>
        <v/>
      </c>
      <c r="R81" s="36" t="str">
        <f ca="1">IFERROR(+IF(R$27=ProposalToGnatt[[#This Row],[Start Date]],Milestone_Marker,IF(AND(R$27&gt;ProposalToGnatt[[#This Row],[Start Date]],R$27&lt;ProposalToGnatt[[#This Row],[Start Date]]+ProposalToGnatt[[#This Row],[Days]]),$G$5,"")),"")</f>
        <v/>
      </c>
      <c r="S81" s="36" t="str">
        <f ca="1">IFERROR(+IF(S$27=ProposalToGnatt[[#This Row],[Start Date]],Milestone_Marker,IF(AND(S$27&gt;ProposalToGnatt[[#This Row],[Start Date]],S$27&lt;ProposalToGnatt[[#This Row],[Start Date]]+ProposalToGnatt[[#This Row],[Days]]),$G$5,"")),"")</f>
        <v/>
      </c>
      <c r="T81" s="36" t="str">
        <f ca="1">IFERROR(+IF(T$27=ProposalToGnatt[[#This Row],[Start Date]],Milestone_Marker,IF(AND(T$27&gt;ProposalToGnatt[[#This Row],[Start Date]],T$27&lt;ProposalToGnatt[[#This Row],[Start Date]]+ProposalToGnatt[[#This Row],[Days]]),$G$5,"")),"")</f>
        <v/>
      </c>
      <c r="U81" s="36" t="str">
        <f ca="1">IFERROR(+IF(U$27=ProposalToGnatt[[#This Row],[Start Date]],Milestone_Marker,IF(AND(U$27&gt;ProposalToGnatt[[#This Row],[Start Date]],U$27&lt;ProposalToGnatt[[#This Row],[Start Date]]+ProposalToGnatt[[#This Row],[Days]]),$G$5,"")),"")</f>
        <v/>
      </c>
      <c r="V81" s="36" t="str">
        <f ca="1">IFERROR(+IF(V$27=ProposalToGnatt[[#This Row],[Start Date]],Milestone_Marker,IF(AND(V$27&gt;ProposalToGnatt[[#This Row],[Start Date]],V$27&lt;ProposalToGnatt[[#This Row],[Start Date]]+ProposalToGnatt[[#This Row],[Days]]),$G$5,"")),"")</f>
        <v/>
      </c>
      <c r="W81" s="36" t="str">
        <f ca="1">IFERROR(+IF(W$27=ProposalToGnatt[[#This Row],[Start Date]],Milestone_Marker,IF(AND(W$27&gt;ProposalToGnatt[[#This Row],[Start Date]],W$27&lt;ProposalToGnatt[[#This Row],[Start Date]]+ProposalToGnatt[[#This Row],[Days]]),$G$5,"")),"")</f>
        <v/>
      </c>
      <c r="X81" s="36" t="str">
        <f ca="1">IFERROR(+IF(X$27=ProposalToGnatt[[#This Row],[Start Date]],Milestone_Marker,IF(AND(X$27&gt;ProposalToGnatt[[#This Row],[Start Date]],X$27&lt;ProposalToGnatt[[#This Row],[Start Date]]+ProposalToGnatt[[#This Row],[Days]]),$G$5,"")),"")</f>
        <v/>
      </c>
      <c r="Y81" s="36" t="str">
        <f ca="1">IFERROR(+IF(Y$27=ProposalToGnatt[[#This Row],[Start Date]],Milestone_Marker,IF(AND(Y$27&gt;ProposalToGnatt[[#This Row],[Start Date]],Y$27&lt;ProposalToGnatt[[#This Row],[Start Date]]+ProposalToGnatt[[#This Row],[Days]]),$G$5,"")),"")</f>
        <v/>
      </c>
      <c r="Z81" s="36" t="str">
        <f ca="1">IFERROR(+IF(Z$27=ProposalToGnatt[[#This Row],[Start Date]],Milestone_Marker,IF(AND(Z$27&gt;ProposalToGnatt[[#This Row],[Start Date]],Z$27&lt;ProposalToGnatt[[#This Row],[Start Date]]+ProposalToGnatt[[#This Row],[Days]]),$G$5,"")),"")</f>
        <v/>
      </c>
      <c r="AA81" s="36" t="str">
        <f ca="1">IFERROR(+IF(AA$27=ProposalToGnatt[[#This Row],[Start Date]],Milestone_Marker,IF(AND(AA$27&gt;ProposalToGnatt[[#This Row],[Start Date]],AA$27&lt;ProposalToGnatt[[#This Row],[Start Date]]+ProposalToGnatt[[#This Row],[Days]]),$G$5,"")),"")</f>
        <v/>
      </c>
      <c r="AB81" s="36" t="str">
        <f ca="1">IFERROR(+IF(AB$27=ProposalToGnatt[[#This Row],[Start Date]],Milestone_Marker,IF(AND(AB$27&gt;ProposalToGnatt[[#This Row],[Start Date]],AB$27&lt;ProposalToGnatt[[#This Row],[Start Date]]+ProposalToGnatt[[#This Row],[Days]]),$G$5,"")),"")</f>
        <v/>
      </c>
      <c r="AC81" s="36" t="str">
        <f ca="1">IFERROR(+IF(AC$27=ProposalToGnatt[[#This Row],[Start Date]],Milestone_Marker,IF(AND(AC$27&gt;ProposalToGnatt[[#This Row],[Start Date]],AC$27&lt;ProposalToGnatt[[#This Row],[Start Date]]+ProposalToGnatt[[#This Row],[Days]]),$G$5,"")),"")</f>
        <v/>
      </c>
      <c r="AD81" s="36" t="str">
        <f ca="1">IFERROR(+IF(AD$27=ProposalToGnatt[[#This Row],[Start Date]],Milestone_Marker,IF(AND(AD$27&gt;ProposalToGnatt[[#This Row],[Start Date]],AD$27&lt;ProposalToGnatt[[#This Row],[Start Date]]+ProposalToGnatt[[#This Row],[Days]]),$G$5,"")),"")</f>
        <v/>
      </c>
      <c r="AE81" s="36" t="str">
        <f ca="1">IFERROR(+IF(AE$27=ProposalToGnatt[[#This Row],[Start Date]],Milestone_Marker,IF(AND(AE$27&gt;ProposalToGnatt[[#This Row],[Start Date]],AE$27&lt;ProposalToGnatt[[#This Row],[Start Date]]+ProposalToGnatt[[#This Row],[Days]]),$G$5,"")),"")</f>
        <v/>
      </c>
      <c r="AF81" s="36" t="str">
        <f ca="1">IFERROR(+IF(AF$27=ProposalToGnatt[[#This Row],[Start Date]],Milestone_Marker,IF(AND(AF$27&gt;ProposalToGnatt[[#This Row],[Start Date]],AF$27&lt;ProposalToGnatt[[#This Row],[Start Date]]+ProposalToGnatt[[#This Row],[Days]]),$G$5,"")),"")</f>
        <v/>
      </c>
      <c r="AG81" s="36" t="str">
        <f ca="1">IFERROR(+IF(AG$27=ProposalToGnatt[[#This Row],[Start Date]],Milestone_Marker,IF(AND(AG$27&gt;ProposalToGnatt[[#This Row],[Start Date]],AG$27&lt;ProposalToGnatt[[#This Row],[Start Date]]+ProposalToGnatt[[#This Row],[Days]]),$G$5,"")),"")</f>
        <v/>
      </c>
      <c r="AH81" s="36" t="str">
        <f ca="1">IFERROR(+IF(AH$27=ProposalToGnatt[[#This Row],[Start Date]],Milestone_Marker,IF(AND(AH$27&gt;ProposalToGnatt[[#This Row],[Start Date]],AH$27&lt;ProposalToGnatt[[#This Row],[Start Date]]+ProposalToGnatt[[#This Row],[Days]]),$G$5,"")),"")</f>
        <v/>
      </c>
      <c r="AI81" s="36" t="str">
        <f ca="1">IFERROR(+IF(AI$27=ProposalToGnatt[[#This Row],[Start Date]],Milestone_Marker,IF(AND(AI$27&gt;ProposalToGnatt[[#This Row],[Start Date]],AI$27&lt;ProposalToGnatt[[#This Row],[Start Date]]+ProposalToGnatt[[#This Row],[Days]]),$G$5,"")),"")</f>
        <v/>
      </c>
      <c r="AJ81" s="36" t="str">
        <f ca="1">IFERROR(+IF(AJ$27=ProposalToGnatt[[#This Row],[Start Date]],Milestone_Marker,IF(AND(AJ$27&gt;ProposalToGnatt[[#This Row],[Start Date]],AJ$27&lt;ProposalToGnatt[[#This Row],[Start Date]]+ProposalToGnatt[[#This Row],[Days]]),$G$5,"")),"")</f>
        <v/>
      </c>
      <c r="AK81" s="36" t="str">
        <f ca="1">IFERROR(+IF(AK$27=ProposalToGnatt[[#This Row],[Start Date]],Milestone_Marker,IF(AND(AK$27&gt;ProposalToGnatt[[#This Row],[Start Date]],AK$27&lt;ProposalToGnatt[[#This Row],[Start Date]]+ProposalToGnatt[[#This Row],[Days]]),$G$5,"")),"")</f>
        <v/>
      </c>
      <c r="AL81" s="36" t="str">
        <f ca="1">IFERROR(+IF(AL$27=ProposalToGnatt[[#This Row],[Start Date]],Milestone_Marker,IF(AND(AL$27&gt;ProposalToGnatt[[#This Row],[Start Date]],AL$27&lt;ProposalToGnatt[[#This Row],[Start Date]]+ProposalToGnatt[[#This Row],[Days]]),$G$5,"")),"")</f>
        <v/>
      </c>
      <c r="AM81" s="36" t="str">
        <f ca="1">IFERROR(+IF(AM$27=ProposalToGnatt[[#This Row],[Start Date]],Milestone_Marker,IF(AND(AM$27&gt;ProposalToGnatt[[#This Row],[Start Date]],AM$27&lt;ProposalToGnatt[[#This Row],[Start Date]]+ProposalToGnatt[[#This Row],[Days]]),$G$5,"")),"")</f>
        <v/>
      </c>
      <c r="AN81" s="36" t="str">
        <f ca="1">IFERROR(+IF(AN$27=ProposalToGnatt[[#This Row],[Start Date]],Milestone_Marker,IF(AND(AN$27&gt;ProposalToGnatt[[#This Row],[Start Date]],AN$27&lt;ProposalToGnatt[[#This Row],[Start Date]]+ProposalToGnatt[[#This Row],[Days]]),$G$5,"")),"")</f>
        <v/>
      </c>
      <c r="AO81" s="36" t="str">
        <f ca="1">IFERROR(+IF(AO$27=ProposalToGnatt[[#This Row],[Start Date]],Milestone_Marker,IF(AND(AO$27&gt;ProposalToGnatt[[#This Row],[Start Date]],AO$27&lt;ProposalToGnatt[[#This Row],[Start Date]]+ProposalToGnatt[[#This Row],[Days]]),$G$5,"")),"")</f>
        <v/>
      </c>
      <c r="AP81" s="36" t="str">
        <f ca="1">IFERROR(+IF(AP$27=ProposalToGnatt[[#This Row],[Start Date]],Milestone_Marker,IF(AND(AP$27&gt;ProposalToGnatt[[#This Row],[Start Date]],AP$27&lt;ProposalToGnatt[[#This Row],[Start Date]]+ProposalToGnatt[[#This Row],[Days]]),$G$5,"")),"")</f>
        <v/>
      </c>
      <c r="AQ81" s="36" t="str">
        <f ca="1">IFERROR(+IF(AQ$27=ProposalToGnatt[[#This Row],[Start Date]],Milestone_Marker,IF(AND(AQ$27&gt;ProposalToGnatt[[#This Row],[Start Date]],AQ$27&lt;ProposalToGnatt[[#This Row],[Start Date]]+ProposalToGnatt[[#This Row],[Days]]),$G$5,"")),"")</f>
        <v/>
      </c>
      <c r="AR81" s="36" t="str">
        <f ca="1">IFERROR(+IF(AR$27=ProposalToGnatt[[#This Row],[Start Date]],Milestone_Marker,IF(AND(AR$27&gt;ProposalToGnatt[[#This Row],[Start Date]],AR$27&lt;ProposalToGnatt[[#This Row],[Start Date]]+ProposalToGnatt[[#This Row],[Days]]),$G$5,"")),"")</f>
        <v/>
      </c>
      <c r="AS81" s="36" t="str">
        <f ca="1">IFERROR(+IF(AS$27=ProposalToGnatt[[#This Row],[Start Date]],Milestone_Marker,IF(AND(AS$27&gt;ProposalToGnatt[[#This Row],[Start Date]],AS$27&lt;ProposalToGnatt[[#This Row],[Start Date]]+ProposalToGnatt[[#This Row],[Days]]),$G$5,"")),"")</f>
        <v/>
      </c>
      <c r="AT81" s="36" t="str">
        <f ca="1">IFERROR(+IF(AT$27=ProposalToGnatt[[#This Row],[Start Date]],Milestone_Marker,IF(AND(AT$27&gt;ProposalToGnatt[[#This Row],[Start Date]],AT$27&lt;ProposalToGnatt[[#This Row],[Start Date]]+ProposalToGnatt[[#This Row],[Days]]),$G$5,"")),"")</f>
        <v/>
      </c>
      <c r="AU81" s="36" t="str">
        <f ca="1">IFERROR(+IF(AU$27=ProposalToGnatt[[#This Row],[Start Date]],Milestone_Marker,IF(AND(AU$27&gt;ProposalToGnatt[[#This Row],[Start Date]],AU$27&lt;ProposalToGnatt[[#This Row],[Start Date]]+ProposalToGnatt[[#This Row],[Days]]),$G$5,"")),"")</f>
        <v/>
      </c>
      <c r="AV81" s="36" t="str">
        <f ca="1">IFERROR(+IF(AV$27=ProposalToGnatt[[#This Row],[Start Date]],Milestone_Marker,IF(AND(AV$27&gt;ProposalToGnatt[[#This Row],[Start Date]],AV$27&lt;ProposalToGnatt[[#This Row],[Start Date]]+ProposalToGnatt[[#This Row],[Days]]),$G$5,"")),"")</f>
        <v/>
      </c>
      <c r="AW81" s="36" t="str">
        <f ca="1">IFERROR(+IF(AW$27=ProposalToGnatt[[#This Row],[Start Date]],Milestone_Marker,IF(AND(AW$27&gt;ProposalToGnatt[[#This Row],[Start Date]],AW$27&lt;ProposalToGnatt[[#This Row],[Start Date]]+ProposalToGnatt[[#This Row],[Days]]),$G$5,"")),"")</f>
        <v/>
      </c>
      <c r="AX81" s="36" t="str">
        <f ca="1">IFERROR(+IF(AX$27=ProposalToGnatt[[#This Row],[Start Date]],Milestone_Marker,IF(AND(AX$27&gt;ProposalToGnatt[[#This Row],[Start Date]],AX$27&lt;ProposalToGnatt[[#This Row],[Start Date]]+ProposalToGnatt[[#This Row],[Days]]),$G$5,"")),"")</f>
        <v/>
      </c>
      <c r="AY81" s="36" t="str">
        <f ca="1">IFERROR(+IF(AY$27=ProposalToGnatt[[#This Row],[Start Date]],Milestone_Marker,IF(AND(AY$27&gt;ProposalToGnatt[[#This Row],[Start Date]],AY$27&lt;ProposalToGnatt[[#This Row],[Start Date]]+ProposalToGnatt[[#This Row],[Days]]),$G$5,"")),"")</f>
        <v/>
      </c>
      <c r="AZ81" s="36" t="str">
        <f ca="1">IFERROR(+IF(AZ$27=ProposalToGnatt[[#This Row],[Start Date]],Milestone_Marker,IF(AND(AZ$27&gt;ProposalToGnatt[[#This Row],[Start Date]],AZ$27&lt;ProposalToGnatt[[#This Row],[Start Date]]+ProposalToGnatt[[#This Row],[Days]]),$G$5,"")),"")</f>
        <v/>
      </c>
      <c r="BA81" s="36" t="str">
        <f ca="1">IFERROR(+IF(BA$27=ProposalToGnatt[[#This Row],[Start Date]],Milestone_Marker,IF(AND(BA$27&gt;ProposalToGnatt[[#This Row],[Start Date]],BA$27&lt;ProposalToGnatt[[#This Row],[Start Date]]+ProposalToGnatt[[#This Row],[Days]]),$G$5,"")),"")</f>
        <v/>
      </c>
      <c r="BB81" s="36" t="str">
        <f ca="1">IFERROR(+IF(BB$27=ProposalToGnatt[[#This Row],[Start Date]],Milestone_Marker,IF(AND(BB$27&gt;ProposalToGnatt[[#This Row],[Start Date]],BB$27&lt;ProposalToGnatt[[#This Row],[Start Date]]+ProposalToGnatt[[#This Row],[Days]]),$G$5,"")),"")</f>
        <v/>
      </c>
      <c r="BC81" s="36" t="str">
        <f ca="1">IFERROR(+IF(BC$27=ProposalToGnatt[[#This Row],[Start Date]],Milestone_Marker,IF(AND(BC$27&gt;ProposalToGnatt[[#This Row],[Start Date]],BC$27&lt;ProposalToGnatt[[#This Row],[Start Date]]+ProposalToGnatt[[#This Row],[Days]]),$G$5,"")),"")</f>
        <v/>
      </c>
      <c r="BD81" s="36" t="str">
        <f ca="1">IFERROR(+IF(BD$27=ProposalToGnatt[[#This Row],[Start Date]],Milestone_Marker,IF(AND(BD$27&gt;ProposalToGnatt[[#This Row],[Start Date]],BD$27&lt;ProposalToGnatt[[#This Row],[Start Date]]+ProposalToGnatt[[#This Row],[Days]]),$G$5,"")),"")</f>
        <v/>
      </c>
      <c r="BE81" s="36" t="str">
        <f ca="1">IFERROR(+IF(BE$27=ProposalToGnatt[[#This Row],[Start Date]],Milestone_Marker,IF(AND(BE$27&gt;ProposalToGnatt[[#This Row],[Start Date]],BE$27&lt;ProposalToGnatt[[#This Row],[Start Date]]+ProposalToGnatt[[#This Row],[Days]]),$G$5,"")),"")</f>
        <v/>
      </c>
      <c r="BF81" s="36" t="str">
        <f ca="1">IFERROR(+IF(BF$27=ProposalToGnatt[[#This Row],[Start Date]],Milestone_Marker,IF(AND(BF$27&gt;ProposalToGnatt[[#This Row],[Start Date]],BF$27&lt;ProposalToGnatt[[#This Row],[Start Date]]+ProposalToGnatt[[#This Row],[Days]]),$G$5,"")),"")</f>
        <v/>
      </c>
      <c r="BG81" s="36" t="str">
        <f ca="1">IFERROR(+IF(BG$27=ProposalToGnatt[[#This Row],[Start Date]],Milestone_Marker,IF(AND(BG$27&gt;ProposalToGnatt[[#This Row],[Start Date]],BG$27&lt;ProposalToGnatt[[#This Row],[Start Date]]+ProposalToGnatt[[#This Row],[Days]]),$G$5,"")),"")</f>
        <v/>
      </c>
      <c r="BH81" s="36" t="str">
        <f ca="1">IFERROR(+IF(BH$27=ProposalToGnatt[[#This Row],[Start Date]],Milestone_Marker,IF(AND(BH$27&gt;ProposalToGnatt[[#This Row],[Start Date]],BH$27&lt;ProposalToGnatt[[#This Row],[Start Date]]+ProposalToGnatt[[#This Row],[Days]]),$G$5,"")),"")</f>
        <v/>
      </c>
      <c r="BI81" s="36" t="str">
        <f ca="1">IFERROR(+IF(BI$27=ProposalToGnatt[[#This Row],[Start Date]],Milestone_Marker,IF(AND(BI$27&gt;ProposalToGnatt[[#This Row],[Start Date]],BI$27&lt;ProposalToGnatt[[#This Row],[Start Date]]+ProposalToGnatt[[#This Row],[Days]]),$G$5,"")),"")</f>
        <v/>
      </c>
      <c r="BJ81" s="36" t="str">
        <f ca="1">IFERROR(+IF(BJ$27=ProposalToGnatt[[#This Row],[Start Date]],Milestone_Marker,IF(AND(BJ$27&gt;ProposalToGnatt[[#This Row],[Start Date]],BJ$27&lt;ProposalToGnatt[[#This Row],[Start Date]]+ProposalToGnatt[[#This Row],[Days]]),$G$5,"")),"")</f>
        <v/>
      </c>
      <c r="BK81" s="36" t="str">
        <f ca="1">IFERROR(+IF(BK$27=ProposalToGnatt[[#This Row],[Start Date]],Milestone_Marker,IF(AND(BK$27&gt;ProposalToGnatt[[#This Row],[Start Date]],BK$27&lt;ProposalToGnatt[[#This Row],[Start Date]]+ProposalToGnatt[[#This Row],[Days]]),$G$5,"")),"")</f>
        <v/>
      </c>
      <c r="BL81" s="36" t="str">
        <f ca="1">IFERROR(+IF(BL$27=ProposalToGnatt[[#This Row],[Start Date]],Milestone_Marker,IF(AND(BL$27&gt;ProposalToGnatt[[#This Row],[Start Date]],BL$27&lt;ProposalToGnatt[[#This Row],[Start Date]]+ProposalToGnatt[[#This Row],[Days]]),$G$5,"")),"")</f>
        <v/>
      </c>
      <c r="BM81" s="36" t="str">
        <f ca="1">IFERROR(+IF(BM$27=ProposalToGnatt[[#This Row],[Start Date]],Milestone_Marker,IF(AND(BM$27&gt;ProposalToGnatt[[#This Row],[Start Date]],BM$27&lt;ProposalToGnatt[[#This Row],[Start Date]]+ProposalToGnatt[[#This Row],[Days]]),$G$5,"")),"")</f>
        <v/>
      </c>
      <c r="BN81" s="36" t="str">
        <f ca="1">IFERROR(+IF(BN$27=ProposalToGnatt[[#This Row],[Start Date]],Milestone_Marker,IF(AND(BN$27&gt;ProposalToGnatt[[#This Row],[Start Date]],BN$27&lt;ProposalToGnatt[[#This Row],[Start Date]]+ProposalToGnatt[[#This Row],[Days]]),$G$5,"")),"")</f>
        <v/>
      </c>
      <c r="BO81" s="36" t="str">
        <f ca="1">IFERROR(+IF(BO$27=ProposalToGnatt[[#This Row],[Start Date]],Milestone_Marker,IF(AND(BO$27&gt;ProposalToGnatt[[#This Row],[Start Date]],BO$27&lt;ProposalToGnatt[[#This Row],[Start Date]]+ProposalToGnatt[[#This Row],[Days]]),$G$5,"")),"")</f>
        <v/>
      </c>
      <c r="BP81" s="36" t="str">
        <f ca="1">IFERROR(+IF(BP$27=ProposalToGnatt[[#This Row],[Start Date]],Milestone_Marker,IF(AND(BP$27&gt;ProposalToGnatt[[#This Row],[Start Date]],BP$27&lt;ProposalToGnatt[[#This Row],[Start Date]]+ProposalToGnatt[[#This Row],[Days]]),$G$5,"")),"")</f>
        <v/>
      </c>
      <c r="BQ81" s="36" t="str">
        <f ca="1">IFERROR(+IF(BQ$27=ProposalToGnatt[[#This Row],[Start Date]],Milestone_Marker,IF(AND(BQ$27&gt;ProposalToGnatt[[#This Row],[Start Date]],BQ$27&lt;ProposalToGnatt[[#This Row],[Start Date]]+ProposalToGnatt[[#This Row],[Days]]),$G$5,"")),"")</f>
        <v/>
      </c>
      <c r="BR81" s="36" t="str">
        <f ca="1">IFERROR(+IF(BR$27=ProposalToGnatt[[#This Row],[Start Date]],Milestone_Marker,IF(AND(BR$27&gt;ProposalToGnatt[[#This Row],[Start Date]],BR$27&lt;ProposalToGnatt[[#This Row],[Start Date]]+ProposalToGnatt[[#This Row],[Days]]),$G$5,"")),"")</f>
        <v/>
      </c>
      <c r="BS81" s="36" t="str">
        <f ca="1">IFERROR(+IF(BS$27=ProposalToGnatt[[#This Row],[Start Date]],Milestone_Marker,IF(AND(BS$27&gt;ProposalToGnatt[[#This Row],[Start Date]],BS$27&lt;ProposalToGnatt[[#This Row],[Start Date]]+ProposalToGnatt[[#This Row],[Days]]),$G$5,"")),"")</f>
        <v/>
      </c>
      <c r="BT81" s="36" t="str">
        <f ca="1">IFERROR(+IF(BT$27=ProposalToGnatt[[#This Row],[Start Date]],Milestone_Marker,IF(AND(BT$27&gt;ProposalToGnatt[[#This Row],[Start Date]],BT$27&lt;ProposalToGnatt[[#This Row],[Start Date]]+ProposalToGnatt[[#This Row],[Days]]),$G$5,"")),"")</f>
        <v/>
      </c>
      <c r="BU81" s="36" t="str">
        <f ca="1">IFERROR(+IF(BU$27=ProposalToGnatt[[#This Row],[Start Date]],Milestone_Marker,IF(AND(BU$27&gt;ProposalToGnatt[[#This Row],[Start Date]],BU$27&lt;ProposalToGnatt[[#This Row],[Start Date]]+ProposalToGnatt[[#This Row],[Days]]),$G$5,"")),"")</f>
        <v/>
      </c>
      <c r="BV81" s="36" t="str">
        <f ca="1">IFERROR(+IF(BV$27=ProposalToGnatt[[#This Row],[Start Date]],Milestone_Marker,IF(AND(BV$27&gt;ProposalToGnatt[[#This Row],[Start Date]],BV$27&lt;ProposalToGnatt[[#This Row],[Start Date]]+ProposalToGnatt[[#This Row],[Days]]),$G$5,"")),"")</f>
        <v/>
      </c>
      <c r="BW81" s="36" t="str">
        <f ca="1">IFERROR(+IF(BW$27=ProposalToGnatt[[#This Row],[Start Date]],Milestone_Marker,IF(AND(BW$27&gt;ProposalToGnatt[[#This Row],[Start Date]],BW$27&lt;ProposalToGnatt[[#This Row],[Start Date]]+ProposalToGnatt[[#This Row],[Days]]),$G$5,"")),"")</f>
        <v/>
      </c>
      <c r="BX81" s="36" t="str">
        <f ca="1">IFERROR(+IF(BX$27=ProposalToGnatt[[#This Row],[Start Date]],Milestone_Marker,IF(AND(BX$27&gt;ProposalToGnatt[[#This Row],[Start Date]],BX$27&lt;ProposalToGnatt[[#This Row],[Start Date]]+ProposalToGnatt[[#This Row],[Days]]),$G$5,"")),"")</f>
        <v/>
      </c>
      <c r="BY81" s="36" t="str">
        <f ca="1">IFERROR(+IF(BY$27=ProposalToGnatt[[#This Row],[Start Date]],Milestone_Marker,IF(AND(BY$27&gt;ProposalToGnatt[[#This Row],[Start Date]],BY$27&lt;ProposalToGnatt[[#This Row],[Start Date]]+ProposalToGnatt[[#This Row],[Days]]),$G$5,"")),"")</f>
        <v/>
      </c>
      <c r="BZ81" s="36" t="str">
        <f ca="1">IFERROR(+IF(BZ$27=ProposalToGnatt[[#This Row],[Start Date]],Milestone_Marker,IF(AND(BZ$27&gt;ProposalToGnatt[[#This Row],[Start Date]],BZ$27&lt;ProposalToGnatt[[#This Row],[Start Date]]+ProposalToGnatt[[#This Row],[Days]]),$G$5,"")),"")</f>
        <v/>
      </c>
      <c r="CA81" s="36" t="str">
        <f ca="1">IFERROR(+IF(CA$27=ProposalToGnatt[[#This Row],[Start Date]],Milestone_Marker,IF(AND(CA$27&gt;ProposalToGnatt[[#This Row],[Start Date]],CA$27&lt;ProposalToGnatt[[#This Row],[Start Date]]+ProposalToGnatt[[#This Row],[Days]]),$G$5,"")),"")</f>
        <v/>
      </c>
      <c r="CB81" s="36" t="str">
        <f ca="1">IFERROR(+IF(CB$27=ProposalToGnatt[[#This Row],[Start Date]],Milestone_Marker,IF(AND(CB$27&gt;ProposalToGnatt[[#This Row],[Start Date]],CB$27&lt;ProposalToGnatt[[#This Row],[Start Date]]+ProposalToGnatt[[#This Row],[Days]]),$G$5,"")),"")</f>
        <v/>
      </c>
      <c r="CC81" s="36" t="str">
        <f ca="1">IFERROR(+IF(CC$27=ProposalToGnatt[[#This Row],[Start Date]],Milestone_Marker,IF(AND(CC$27&gt;ProposalToGnatt[[#This Row],[Start Date]],CC$27&lt;ProposalToGnatt[[#This Row],[Start Date]]+ProposalToGnatt[[#This Row],[Days]]),$G$5,"")),"")</f>
        <v/>
      </c>
      <c r="CD81" s="36" t="str">
        <f ca="1">IFERROR(+IF(CD$27=ProposalToGnatt[[#This Row],[Start Date]],Milestone_Marker,IF(AND(CD$27&gt;ProposalToGnatt[[#This Row],[Start Date]],CD$27&lt;ProposalToGnatt[[#This Row],[Start Date]]+ProposalToGnatt[[#This Row],[Days]]),$G$5,"")),"")</f>
        <v/>
      </c>
      <c r="CE81" s="36" t="str">
        <f ca="1">IFERROR(+IF(CE$27=ProposalToGnatt[[#This Row],[Start Date]],Milestone_Marker,IF(AND(CE$27&gt;ProposalToGnatt[[#This Row],[Start Date]],CE$27&lt;ProposalToGnatt[[#This Row],[Start Date]]+ProposalToGnatt[[#This Row],[Days]]),$G$5,"")),"")</f>
        <v/>
      </c>
      <c r="CF81" s="36" t="str">
        <f ca="1">IFERROR(+IF(CF$27=ProposalToGnatt[[#This Row],[Start Date]],Milestone_Marker,IF(AND(CF$27&gt;ProposalToGnatt[[#This Row],[Start Date]],CF$27&lt;ProposalToGnatt[[#This Row],[Start Date]]+ProposalToGnatt[[#This Row],[Days]]),$G$5,"")),"")</f>
        <v/>
      </c>
      <c r="CG81" s="36" t="str">
        <f ca="1">IFERROR(+IF(CG$27=ProposalToGnatt[[#This Row],[Start Date]],Milestone_Marker,IF(AND(CG$27&gt;ProposalToGnatt[[#This Row],[Start Date]],CG$27&lt;ProposalToGnatt[[#This Row],[Start Date]]+ProposalToGnatt[[#This Row],[Days]]),$G$5,"")),"")</f>
        <v/>
      </c>
      <c r="CH81" s="36" t="str">
        <f ca="1">IFERROR(+IF(CH$27=ProposalToGnatt[[#This Row],[Start Date]],Milestone_Marker,IF(AND(CH$27&gt;ProposalToGnatt[[#This Row],[Start Date]],CH$27&lt;ProposalToGnatt[[#This Row],[Start Date]]+ProposalToGnatt[[#This Row],[Days]]),$G$5,"")),"")</f>
        <v/>
      </c>
      <c r="CI81" s="36" t="str">
        <f ca="1">IFERROR(+IF(CI$27=ProposalToGnatt[[#This Row],[Start Date]],Milestone_Marker,IF(AND(CI$27&gt;ProposalToGnatt[[#This Row],[Start Date]],CI$27&lt;ProposalToGnatt[[#This Row],[Start Date]]+ProposalToGnatt[[#This Row],[Days]]),$G$5,"")),"")</f>
        <v/>
      </c>
      <c r="CJ81" s="36" t="str">
        <f ca="1">IFERROR(+IF(CJ$27=ProposalToGnatt[[#This Row],[Start Date]],Milestone_Marker,IF(AND(CJ$27&gt;ProposalToGnatt[[#This Row],[Start Date]],CJ$27&lt;ProposalToGnatt[[#This Row],[Start Date]]+ProposalToGnatt[[#This Row],[Days]]),$G$5,"")),"")</f>
        <v/>
      </c>
      <c r="CK81" s="36" t="str">
        <f ca="1">IFERROR(+IF(CK$27=ProposalToGnatt[[#This Row],[Start Date]],Milestone_Marker,IF(AND(CK$27&gt;ProposalToGnatt[[#This Row],[Start Date]],CK$27&lt;ProposalToGnatt[[#This Row],[Start Date]]+ProposalToGnatt[[#This Row],[Days]]),$G$5,"")),"")</f>
        <v/>
      </c>
      <c r="CL81" s="36" t="str">
        <f ca="1">IFERROR(+IF(CL$27=ProposalToGnatt[[#This Row],[Start Date]],Milestone_Marker,IF(AND(CL$27&gt;ProposalToGnatt[[#This Row],[Start Date]],CL$27&lt;ProposalToGnatt[[#This Row],[Start Date]]+ProposalToGnatt[[#This Row],[Days]]),$G$5,"")),"")</f>
        <v/>
      </c>
      <c r="CM81" s="36" t="str">
        <f ca="1">IFERROR(+IF(CM$27=ProposalToGnatt[[#This Row],[Start Date]],Milestone_Marker,IF(AND(CM$27&gt;ProposalToGnatt[[#This Row],[Start Date]],CM$27&lt;ProposalToGnatt[[#This Row],[Start Date]]+ProposalToGnatt[[#This Row],[Days]]),$G$5,"")),"")</f>
        <v/>
      </c>
      <c r="CN81" s="36" t="str">
        <f ca="1">IFERROR(+IF(CN$27=ProposalToGnatt[[#This Row],[Start Date]],Milestone_Marker,IF(AND(CN$27&gt;ProposalToGnatt[[#This Row],[Start Date]],CN$27&lt;ProposalToGnatt[[#This Row],[Start Date]]+ProposalToGnatt[[#This Row],[Days]]),$G$5,"")),"")</f>
        <v/>
      </c>
      <c r="CO81" s="36" t="str">
        <f ca="1">IFERROR(+IF(CO$27=ProposalToGnatt[[#This Row],[Start Date]],Milestone_Marker,IF(AND(CO$27&gt;ProposalToGnatt[[#This Row],[Start Date]],CO$27&lt;ProposalToGnatt[[#This Row],[Start Date]]+ProposalToGnatt[[#This Row],[Days]]),$G$5,"")),"")</f>
        <v/>
      </c>
      <c r="CP81" s="36" t="str">
        <f ca="1">IFERROR(+IF(CP$27=ProposalToGnatt[[#This Row],[Start Date]],Milestone_Marker,IF(AND(CP$27&gt;ProposalToGnatt[[#This Row],[Start Date]],CP$27&lt;ProposalToGnatt[[#This Row],[Start Date]]+ProposalToGnatt[[#This Row],[Days]]),$G$5,"")),"")</f>
        <v/>
      </c>
      <c r="CQ81" s="36" t="str">
        <f ca="1">IFERROR(+IF(CQ$27=ProposalToGnatt[[#This Row],[Start Date]],Milestone_Marker,IF(AND(CQ$27&gt;ProposalToGnatt[[#This Row],[Start Date]],CQ$27&lt;ProposalToGnatt[[#This Row],[Start Date]]+ProposalToGnatt[[#This Row],[Days]]),$G$5,"")),"")</f>
        <v/>
      </c>
      <c r="CR81" s="36" t="str">
        <f ca="1">IFERROR(+IF(CR$27=ProposalToGnatt[[#This Row],[Start Date]],Milestone_Marker,IF(AND(CR$27&gt;ProposalToGnatt[[#This Row],[Start Date]],CR$27&lt;ProposalToGnatt[[#This Row],[Start Date]]+ProposalToGnatt[[#This Row],[Days]]),$G$5,"")),"")</f>
        <v/>
      </c>
      <c r="CS81" s="36" t="str">
        <f ca="1">IFERROR(+IF(CS$27=ProposalToGnatt[[#This Row],[Start Date]],Milestone_Marker,IF(AND(CS$27&gt;ProposalToGnatt[[#This Row],[Start Date]],CS$27&lt;ProposalToGnatt[[#This Row],[Start Date]]+ProposalToGnatt[[#This Row],[Days]]),$G$5,"")),"")</f>
        <v/>
      </c>
      <c r="CT81" s="36" t="str">
        <f ca="1">IFERROR(+IF(CT$27=ProposalToGnatt[[#This Row],[Start Date]],Milestone_Marker,IF(AND(CT$27&gt;ProposalToGnatt[[#This Row],[Start Date]],CT$27&lt;ProposalToGnatt[[#This Row],[Start Date]]+ProposalToGnatt[[#This Row],[Days]]),$G$5,"")),"")</f>
        <v/>
      </c>
      <c r="CU81" s="36" t="str">
        <f ca="1">IFERROR(+IF(CU$27=ProposalToGnatt[[#This Row],[Start Date]],Milestone_Marker,IF(AND(CU$27&gt;ProposalToGnatt[[#This Row],[Start Date]],CU$27&lt;ProposalToGnatt[[#This Row],[Start Date]]+ProposalToGnatt[[#This Row],[Days]]),$G$5,"")),"")</f>
        <v/>
      </c>
      <c r="CV81" s="36" t="str">
        <f ca="1">IFERROR(+IF(CT$27=#REF!,Milestone_Marker,IF(AND(CT$27&gt;#REF!,CT$27&lt;=#REF!+#REF!),$G$5,"")),"")</f>
        <v/>
      </c>
      <c r="CW81" s="36" t="str">
        <f ca="1">IFERROR(+IF(CU$27=#REF!,Milestone_Marker,IF(AND(CU$27&gt;#REF!,CU$27&lt;=#REF!+#REF!),$G$5,"")),"")</f>
        <v/>
      </c>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row>
    <row r="82" spans="1:125" ht="15" x14ac:dyDescent="0.25">
      <c r="A82"/>
      <c r="B82"/>
      <c r="C82"/>
      <c r="D82"/>
      <c r="E82"/>
      <c r="F82"/>
      <c r="G82" s="14"/>
      <c r="H82" s="14"/>
      <c r="I82"/>
      <c r="J82"/>
      <c r="K82" s="261"/>
      <c r="L82"/>
      <c r="M82" s="14"/>
      <c r="N82" s="309"/>
      <c r="O82" s="297"/>
      <c r="P82" s="36" t="str">
        <f ca="1">IFERROR(+IF(P$27=ProposalToGnatt[[#This Row],[Start Date]],Milestone_Marker,IF(AND(P$27&gt;ProposalToGnatt[[#This Row],[Start Date]],P$27&lt;ProposalToGnatt[[#This Row],[Start Date]]+ProposalToGnatt[[#This Row],[Days]]),$G$5,"")),"")</f>
        <v/>
      </c>
      <c r="Q82" s="36" t="str">
        <f ca="1">IFERROR(+IF(Q$27=ProposalToGnatt[[#This Row],[Start Date]],Milestone_Marker,IF(AND(Q$27&gt;ProposalToGnatt[[#This Row],[Start Date]],Q$27&lt;ProposalToGnatt[[#This Row],[Start Date]]+ProposalToGnatt[[#This Row],[Days]]),$G$5,"")),"")</f>
        <v/>
      </c>
      <c r="R82" s="36" t="str">
        <f ca="1">IFERROR(+IF(R$27=ProposalToGnatt[[#This Row],[Start Date]],Milestone_Marker,IF(AND(R$27&gt;ProposalToGnatt[[#This Row],[Start Date]],R$27&lt;ProposalToGnatt[[#This Row],[Start Date]]+ProposalToGnatt[[#This Row],[Days]]),$G$5,"")),"")</f>
        <v/>
      </c>
      <c r="S82" s="36" t="str">
        <f ca="1">IFERROR(+IF(S$27=ProposalToGnatt[[#This Row],[Start Date]],Milestone_Marker,IF(AND(S$27&gt;ProposalToGnatt[[#This Row],[Start Date]],S$27&lt;ProposalToGnatt[[#This Row],[Start Date]]+ProposalToGnatt[[#This Row],[Days]]),$G$5,"")),"")</f>
        <v/>
      </c>
      <c r="T82" s="36" t="str">
        <f ca="1">IFERROR(+IF(T$27=ProposalToGnatt[[#This Row],[Start Date]],Milestone_Marker,IF(AND(T$27&gt;ProposalToGnatt[[#This Row],[Start Date]],T$27&lt;ProposalToGnatt[[#This Row],[Start Date]]+ProposalToGnatt[[#This Row],[Days]]),$G$5,"")),"")</f>
        <v/>
      </c>
      <c r="U82" s="36" t="str">
        <f ca="1">IFERROR(+IF(U$27=ProposalToGnatt[[#This Row],[Start Date]],Milestone_Marker,IF(AND(U$27&gt;ProposalToGnatt[[#This Row],[Start Date]],U$27&lt;ProposalToGnatt[[#This Row],[Start Date]]+ProposalToGnatt[[#This Row],[Days]]),$G$5,"")),"")</f>
        <v/>
      </c>
      <c r="V82" s="36" t="str">
        <f ca="1">IFERROR(+IF(V$27=ProposalToGnatt[[#This Row],[Start Date]],Milestone_Marker,IF(AND(V$27&gt;ProposalToGnatt[[#This Row],[Start Date]],V$27&lt;ProposalToGnatt[[#This Row],[Start Date]]+ProposalToGnatt[[#This Row],[Days]]),$G$5,"")),"")</f>
        <v/>
      </c>
      <c r="W82" s="36" t="str">
        <f ca="1">IFERROR(+IF(W$27=ProposalToGnatt[[#This Row],[Start Date]],Milestone_Marker,IF(AND(W$27&gt;ProposalToGnatt[[#This Row],[Start Date]],W$27&lt;ProposalToGnatt[[#This Row],[Start Date]]+ProposalToGnatt[[#This Row],[Days]]),$G$5,"")),"")</f>
        <v/>
      </c>
      <c r="X82" s="36" t="str">
        <f ca="1">IFERROR(+IF(X$27=ProposalToGnatt[[#This Row],[Start Date]],Milestone_Marker,IF(AND(X$27&gt;ProposalToGnatt[[#This Row],[Start Date]],X$27&lt;ProposalToGnatt[[#This Row],[Start Date]]+ProposalToGnatt[[#This Row],[Days]]),$G$5,"")),"")</f>
        <v/>
      </c>
      <c r="Y82" s="36" t="str">
        <f ca="1">IFERROR(+IF(Y$27=ProposalToGnatt[[#This Row],[Start Date]],Milestone_Marker,IF(AND(Y$27&gt;ProposalToGnatt[[#This Row],[Start Date]],Y$27&lt;ProposalToGnatt[[#This Row],[Start Date]]+ProposalToGnatt[[#This Row],[Days]]),$G$5,"")),"")</f>
        <v/>
      </c>
      <c r="Z82" s="36" t="str">
        <f ca="1">IFERROR(+IF(Z$27=ProposalToGnatt[[#This Row],[Start Date]],Milestone_Marker,IF(AND(Z$27&gt;ProposalToGnatt[[#This Row],[Start Date]],Z$27&lt;ProposalToGnatt[[#This Row],[Start Date]]+ProposalToGnatt[[#This Row],[Days]]),$G$5,"")),"")</f>
        <v/>
      </c>
      <c r="AA82" s="36" t="str">
        <f ca="1">IFERROR(+IF(AA$27=ProposalToGnatt[[#This Row],[Start Date]],Milestone_Marker,IF(AND(AA$27&gt;ProposalToGnatt[[#This Row],[Start Date]],AA$27&lt;ProposalToGnatt[[#This Row],[Start Date]]+ProposalToGnatt[[#This Row],[Days]]),$G$5,"")),"")</f>
        <v/>
      </c>
      <c r="AB82" s="36" t="str">
        <f ca="1">IFERROR(+IF(AB$27=ProposalToGnatt[[#This Row],[Start Date]],Milestone_Marker,IF(AND(AB$27&gt;ProposalToGnatt[[#This Row],[Start Date]],AB$27&lt;ProposalToGnatt[[#This Row],[Start Date]]+ProposalToGnatt[[#This Row],[Days]]),$G$5,"")),"")</f>
        <v/>
      </c>
      <c r="AC82" s="36" t="str">
        <f ca="1">IFERROR(+IF(AC$27=ProposalToGnatt[[#This Row],[Start Date]],Milestone_Marker,IF(AND(AC$27&gt;ProposalToGnatt[[#This Row],[Start Date]],AC$27&lt;ProposalToGnatt[[#This Row],[Start Date]]+ProposalToGnatt[[#This Row],[Days]]),$G$5,"")),"")</f>
        <v/>
      </c>
      <c r="AD82" s="36" t="str">
        <f ca="1">IFERROR(+IF(AD$27=ProposalToGnatt[[#This Row],[Start Date]],Milestone_Marker,IF(AND(AD$27&gt;ProposalToGnatt[[#This Row],[Start Date]],AD$27&lt;ProposalToGnatt[[#This Row],[Start Date]]+ProposalToGnatt[[#This Row],[Days]]),$G$5,"")),"")</f>
        <v/>
      </c>
      <c r="AE82" s="36" t="str">
        <f ca="1">IFERROR(+IF(AE$27=ProposalToGnatt[[#This Row],[Start Date]],Milestone_Marker,IF(AND(AE$27&gt;ProposalToGnatt[[#This Row],[Start Date]],AE$27&lt;ProposalToGnatt[[#This Row],[Start Date]]+ProposalToGnatt[[#This Row],[Days]]),$G$5,"")),"")</f>
        <v/>
      </c>
      <c r="AF82" s="36" t="str">
        <f ca="1">IFERROR(+IF(AF$27=ProposalToGnatt[[#This Row],[Start Date]],Milestone_Marker,IF(AND(AF$27&gt;ProposalToGnatt[[#This Row],[Start Date]],AF$27&lt;ProposalToGnatt[[#This Row],[Start Date]]+ProposalToGnatt[[#This Row],[Days]]),$G$5,"")),"")</f>
        <v/>
      </c>
      <c r="AG82" s="36" t="str">
        <f ca="1">IFERROR(+IF(AG$27=ProposalToGnatt[[#This Row],[Start Date]],Milestone_Marker,IF(AND(AG$27&gt;ProposalToGnatt[[#This Row],[Start Date]],AG$27&lt;ProposalToGnatt[[#This Row],[Start Date]]+ProposalToGnatt[[#This Row],[Days]]),$G$5,"")),"")</f>
        <v/>
      </c>
      <c r="AH82" s="36" t="str">
        <f ca="1">IFERROR(+IF(AH$27=ProposalToGnatt[[#This Row],[Start Date]],Milestone_Marker,IF(AND(AH$27&gt;ProposalToGnatt[[#This Row],[Start Date]],AH$27&lt;ProposalToGnatt[[#This Row],[Start Date]]+ProposalToGnatt[[#This Row],[Days]]),$G$5,"")),"")</f>
        <v/>
      </c>
      <c r="AI82" s="36" t="str">
        <f ca="1">IFERROR(+IF(AI$27=ProposalToGnatt[[#This Row],[Start Date]],Milestone_Marker,IF(AND(AI$27&gt;ProposalToGnatt[[#This Row],[Start Date]],AI$27&lt;ProposalToGnatt[[#This Row],[Start Date]]+ProposalToGnatt[[#This Row],[Days]]),$G$5,"")),"")</f>
        <v/>
      </c>
      <c r="AJ82" s="36" t="str">
        <f ca="1">IFERROR(+IF(AJ$27=ProposalToGnatt[[#This Row],[Start Date]],Milestone_Marker,IF(AND(AJ$27&gt;ProposalToGnatt[[#This Row],[Start Date]],AJ$27&lt;ProposalToGnatt[[#This Row],[Start Date]]+ProposalToGnatt[[#This Row],[Days]]),$G$5,"")),"")</f>
        <v/>
      </c>
      <c r="AK82" s="36" t="str">
        <f ca="1">IFERROR(+IF(AK$27=ProposalToGnatt[[#This Row],[Start Date]],Milestone_Marker,IF(AND(AK$27&gt;ProposalToGnatt[[#This Row],[Start Date]],AK$27&lt;ProposalToGnatt[[#This Row],[Start Date]]+ProposalToGnatt[[#This Row],[Days]]),$G$5,"")),"")</f>
        <v/>
      </c>
      <c r="AL82" s="36" t="str">
        <f ca="1">IFERROR(+IF(AL$27=ProposalToGnatt[[#This Row],[Start Date]],Milestone_Marker,IF(AND(AL$27&gt;ProposalToGnatt[[#This Row],[Start Date]],AL$27&lt;ProposalToGnatt[[#This Row],[Start Date]]+ProposalToGnatt[[#This Row],[Days]]),$G$5,"")),"")</f>
        <v/>
      </c>
      <c r="AM82" s="36" t="str">
        <f ca="1">IFERROR(+IF(AM$27=ProposalToGnatt[[#This Row],[Start Date]],Milestone_Marker,IF(AND(AM$27&gt;ProposalToGnatt[[#This Row],[Start Date]],AM$27&lt;ProposalToGnatt[[#This Row],[Start Date]]+ProposalToGnatt[[#This Row],[Days]]),$G$5,"")),"")</f>
        <v/>
      </c>
      <c r="AN82" s="36" t="str">
        <f ca="1">IFERROR(+IF(AN$27=ProposalToGnatt[[#This Row],[Start Date]],Milestone_Marker,IF(AND(AN$27&gt;ProposalToGnatt[[#This Row],[Start Date]],AN$27&lt;ProposalToGnatt[[#This Row],[Start Date]]+ProposalToGnatt[[#This Row],[Days]]),$G$5,"")),"")</f>
        <v/>
      </c>
      <c r="AO82" s="36" t="str">
        <f ca="1">IFERROR(+IF(AO$27=ProposalToGnatt[[#This Row],[Start Date]],Milestone_Marker,IF(AND(AO$27&gt;ProposalToGnatt[[#This Row],[Start Date]],AO$27&lt;ProposalToGnatt[[#This Row],[Start Date]]+ProposalToGnatt[[#This Row],[Days]]),$G$5,"")),"")</f>
        <v/>
      </c>
      <c r="AP82" s="36" t="str">
        <f ca="1">IFERROR(+IF(AP$27=ProposalToGnatt[[#This Row],[Start Date]],Milestone_Marker,IF(AND(AP$27&gt;ProposalToGnatt[[#This Row],[Start Date]],AP$27&lt;ProposalToGnatt[[#This Row],[Start Date]]+ProposalToGnatt[[#This Row],[Days]]),$G$5,"")),"")</f>
        <v/>
      </c>
      <c r="AQ82" s="36" t="str">
        <f ca="1">IFERROR(+IF(AQ$27=ProposalToGnatt[[#This Row],[Start Date]],Milestone_Marker,IF(AND(AQ$27&gt;ProposalToGnatt[[#This Row],[Start Date]],AQ$27&lt;ProposalToGnatt[[#This Row],[Start Date]]+ProposalToGnatt[[#This Row],[Days]]),$G$5,"")),"")</f>
        <v/>
      </c>
      <c r="AR82" s="36" t="str">
        <f ca="1">IFERROR(+IF(AR$27=ProposalToGnatt[[#This Row],[Start Date]],Milestone_Marker,IF(AND(AR$27&gt;ProposalToGnatt[[#This Row],[Start Date]],AR$27&lt;ProposalToGnatt[[#This Row],[Start Date]]+ProposalToGnatt[[#This Row],[Days]]),$G$5,"")),"")</f>
        <v/>
      </c>
      <c r="AS82" s="36" t="str">
        <f ca="1">IFERROR(+IF(AS$27=ProposalToGnatt[[#This Row],[Start Date]],Milestone_Marker,IF(AND(AS$27&gt;ProposalToGnatt[[#This Row],[Start Date]],AS$27&lt;ProposalToGnatt[[#This Row],[Start Date]]+ProposalToGnatt[[#This Row],[Days]]),$G$5,"")),"")</f>
        <v/>
      </c>
      <c r="AT82" s="36" t="str">
        <f ca="1">IFERROR(+IF(AT$27=ProposalToGnatt[[#This Row],[Start Date]],Milestone_Marker,IF(AND(AT$27&gt;ProposalToGnatt[[#This Row],[Start Date]],AT$27&lt;ProposalToGnatt[[#This Row],[Start Date]]+ProposalToGnatt[[#This Row],[Days]]),$G$5,"")),"")</f>
        <v/>
      </c>
      <c r="AU82" s="36" t="str">
        <f ca="1">IFERROR(+IF(AU$27=ProposalToGnatt[[#This Row],[Start Date]],Milestone_Marker,IF(AND(AU$27&gt;ProposalToGnatt[[#This Row],[Start Date]],AU$27&lt;ProposalToGnatt[[#This Row],[Start Date]]+ProposalToGnatt[[#This Row],[Days]]),$G$5,"")),"")</f>
        <v/>
      </c>
      <c r="AV82" s="36" t="str">
        <f ca="1">IFERROR(+IF(AV$27=ProposalToGnatt[[#This Row],[Start Date]],Milestone_Marker,IF(AND(AV$27&gt;ProposalToGnatt[[#This Row],[Start Date]],AV$27&lt;ProposalToGnatt[[#This Row],[Start Date]]+ProposalToGnatt[[#This Row],[Days]]),$G$5,"")),"")</f>
        <v/>
      </c>
      <c r="AW82" s="36" t="str">
        <f ca="1">IFERROR(+IF(AW$27=ProposalToGnatt[[#This Row],[Start Date]],Milestone_Marker,IF(AND(AW$27&gt;ProposalToGnatt[[#This Row],[Start Date]],AW$27&lt;ProposalToGnatt[[#This Row],[Start Date]]+ProposalToGnatt[[#This Row],[Days]]),$G$5,"")),"")</f>
        <v/>
      </c>
      <c r="AX82" s="36" t="str">
        <f ca="1">IFERROR(+IF(AX$27=ProposalToGnatt[[#This Row],[Start Date]],Milestone_Marker,IF(AND(AX$27&gt;ProposalToGnatt[[#This Row],[Start Date]],AX$27&lt;ProposalToGnatt[[#This Row],[Start Date]]+ProposalToGnatt[[#This Row],[Days]]),$G$5,"")),"")</f>
        <v/>
      </c>
      <c r="AY82" s="36" t="str">
        <f ca="1">IFERROR(+IF(AY$27=ProposalToGnatt[[#This Row],[Start Date]],Milestone_Marker,IF(AND(AY$27&gt;ProposalToGnatt[[#This Row],[Start Date]],AY$27&lt;ProposalToGnatt[[#This Row],[Start Date]]+ProposalToGnatt[[#This Row],[Days]]),$G$5,"")),"")</f>
        <v/>
      </c>
      <c r="AZ82" s="36" t="str">
        <f ca="1">IFERROR(+IF(AZ$27=ProposalToGnatt[[#This Row],[Start Date]],Milestone_Marker,IF(AND(AZ$27&gt;ProposalToGnatt[[#This Row],[Start Date]],AZ$27&lt;ProposalToGnatt[[#This Row],[Start Date]]+ProposalToGnatt[[#This Row],[Days]]),$G$5,"")),"")</f>
        <v/>
      </c>
      <c r="BA82" s="36" t="str">
        <f ca="1">IFERROR(+IF(BA$27=ProposalToGnatt[[#This Row],[Start Date]],Milestone_Marker,IF(AND(BA$27&gt;ProposalToGnatt[[#This Row],[Start Date]],BA$27&lt;ProposalToGnatt[[#This Row],[Start Date]]+ProposalToGnatt[[#This Row],[Days]]),$G$5,"")),"")</f>
        <v/>
      </c>
      <c r="BB82" s="36" t="str">
        <f ca="1">IFERROR(+IF(BB$27=ProposalToGnatt[[#This Row],[Start Date]],Milestone_Marker,IF(AND(BB$27&gt;ProposalToGnatt[[#This Row],[Start Date]],BB$27&lt;ProposalToGnatt[[#This Row],[Start Date]]+ProposalToGnatt[[#This Row],[Days]]),$G$5,"")),"")</f>
        <v/>
      </c>
      <c r="BC82" s="36" t="str">
        <f ca="1">IFERROR(+IF(BC$27=ProposalToGnatt[[#This Row],[Start Date]],Milestone_Marker,IF(AND(BC$27&gt;ProposalToGnatt[[#This Row],[Start Date]],BC$27&lt;ProposalToGnatt[[#This Row],[Start Date]]+ProposalToGnatt[[#This Row],[Days]]),$G$5,"")),"")</f>
        <v/>
      </c>
      <c r="BD82" s="36" t="str">
        <f ca="1">IFERROR(+IF(BD$27=ProposalToGnatt[[#This Row],[Start Date]],Milestone_Marker,IF(AND(BD$27&gt;ProposalToGnatt[[#This Row],[Start Date]],BD$27&lt;ProposalToGnatt[[#This Row],[Start Date]]+ProposalToGnatt[[#This Row],[Days]]),$G$5,"")),"")</f>
        <v/>
      </c>
      <c r="BE82" s="36" t="str">
        <f ca="1">IFERROR(+IF(BE$27=ProposalToGnatt[[#This Row],[Start Date]],Milestone_Marker,IF(AND(BE$27&gt;ProposalToGnatt[[#This Row],[Start Date]],BE$27&lt;ProposalToGnatt[[#This Row],[Start Date]]+ProposalToGnatt[[#This Row],[Days]]),$G$5,"")),"")</f>
        <v/>
      </c>
      <c r="BF82" s="36" t="str">
        <f ca="1">IFERROR(+IF(BF$27=ProposalToGnatt[[#This Row],[Start Date]],Milestone_Marker,IF(AND(BF$27&gt;ProposalToGnatt[[#This Row],[Start Date]],BF$27&lt;ProposalToGnatt[[#This Row],[Start Date]]+ProposalToGnatt[[#This Row],[Days]]),$G$5,"")),"")</f>
        <v/>
      </c>
      <c r="BG82" s="36" t="str">
        <f ca="1">IFERROR(+IF(BG$27=ProposalToGnatt[[#This Row],[Start Date]],Milestone_Marker,IF(AND(BG$27&gt;ProposalToGnatt[[#This Row],[Start Date]],BG$27&lt;ProposalToGnatt[[#This Row],[Start Date]]+ProposalToGnatt[[#This Row],[Days]]),$G$5,"")),"")</f>
        <v/>
      </c>
      <c r="BH82" s="36" t="str">
        <f ca="1">IFERROR(+IF(BH$27=ProposalToGnatt[[#This Row],[Start Date]],Milestone_Marker,IF(AND(BH$27&gt;ProposalToGnatt[[#This Row],[Start Date]],BH$27&lt;ProposalToGnatt[[#This Row],[Start Date]]+ProposalToGnatt[[#This Row],[Days]]),$G$5,"")),"")</f>
        <v/>
      </c>
      <c r="BI82" s="36" t="str">
        <f ca="1">IFERROR(+IF(BI$27=ProposalToGnatt[[#This Row],[Start Date]],Milestone_Marker,IF(AND(BI$27&gt;ProposalToGnatt[[#This Row],[Start Date]],BI$27&lt;ProposalToGnatt[[#This Row],[Start Date]]+ProposalToGnatt[[#This Row],[Days]]),$G$5,"")),"")</f>
        <v/>
      </c>
      <c r="BJ82" s="36" t="str">
        <f ca="1">IFERROR(+IF(BJ$27=ProposalToGnatt[[#This Row],[Start Date]],Milestone_Marker,IF(AND(BJ$27&gt;ProposalToGnatt[[#This Row],[Start Date]],BJ$27&lt;ProposalToGnatt[[#This Row],[Start Date]]+ProposalToGnatt[[#This Row],[Days]]),$G$5,"")),"")</f>
        <v/>
      </c>
      <c r="BK82" s="36" t="str">
        <f ca="1">IFERROR(+IF(BK$27=ProposalToGnatt[[#This Row],[Start Date]],Milestone_Marker,IF(AND(BK$27&gt;ProposalToGnatt[[#This Row],[Start Date]],BK$27&lt;ProposalToGnatt[[#This Row],[Start Date]]+ProposalToGnatt[[#This Row],[Days]]),$G$5,"")),"")</f>
        <v/>
      </c>
      <c r="BL82" s="36" t="str">
        <f ca="1">IFERROR(+IF(BL$27=ProposalToGnatt[[#This Row],[Start Date]],Milestone_Marker,IF(AND(BL$27&gt;ProposalToGnatt[[#This Row],[Start Date]],BL$27&lt;ProposalToGnatt[[#This Row],[Start Date]]+ProposalToGnatt[[#This Row],[Days]]),$G$5,"")),"")</f>
        <v/>
      </c>
      <c r="BM82" s="36" t="str">
        <f ca="1">IFERROR(+IF(BM$27=ProposalToGnatt[[#This Row],[Start Date]],Milestone_Marker,IF(AND(BM$27&gt;ProposalToGnatt[[#This Row],[Start Date]],BM$27&lt;ProposalToGnatt[[#This Row],[Start Date]]+ProposalToGnatt[[#This Row],[Days]]),$G$5,"")),"")</f>
        <v/>
      </c>
      <c r="BN82" s="36" t="str">
        <f ca="1">IFERROR(+IF(BN$27=ProposalToGnatt[[#This Row],[Start Date]],Milestone_Marker,IF(AND(BN$27&gt;ProposalToGnatt[[#This Row],[Start Date]],BN$27&lt;ProposalToGnatt[[#This Row],[Start Date]]+ProposalToGnatt[[#This Row],[Days]]),$G$5,"")),"")</f>
        <v/>
      </c>
      <c r="BO82" s="36" t="str">
        <f ca="1">IFERROR(+IF(BO$27=ProposalToGnatt[[#This Row],[Start Date]],Milestone_Marker,IF(AND(BO$27&gt;ProposalToGnatt[[#This Row],[Start Date]],BO$27&lt;ProposalToGnatt[[#This Row],[Start Date]]+ProposalToGnatt[[#This Row],[Days]]),$G$5,"")),"")</f>
        <v/>
      </c>
      <c r="BP82" s="36" t="str">
        <f ca="1">IFERROR(+IF(BP$27=ProposalToGnatt[[#This Row],[Start Date]],Milestone_Marker,IF(AND(BP$27&gt;ProposalToGnatt[[#This Row],[Start Date]],BP$27&lt;ProposalToGnatt[[#This Row],[Start Date]]+ProposalToGnatt[[#This Row],[Days]]),$G$5,"")),"")</f>
        <v/>
      </c>
      <c r="BQ82" s="36" t="str">
        <f ca="1">IFERROR(+IF(BQ$27=ProposalToGnatt[[#This Row],[Start Date]],Milestone_Marker,IF(AND(BQ$27&gt;ProposalToGnatt[[#This Row],[Start Date]],BQ$27&lt;ProposalToGnatt[[#This Row],[Start Date]]+ProposalToGnatt[[#This Row],[Days]]),$G$5,"")),"")</f>
        <v/>
      </c>
      <c r="BR82" s="36" t="str">
        <f ca="1">IFERROR(+IF(BR$27=ProposalToGnatt[[#This Row],[Start Date]],Milestone_Marker,IF(AND(BR$27&gt;ProposalToGnatt[[#This Row],[Start Date]],BR$27&lt;ProposalToGnatt[[#This Row],[Start Date]]+ProposalToGnatt[[#This Row],[Days]]),$G$5,"")),"")</f>
        <v/>
      </c>
      <c r="BS82" s="36" t="str">
        <f ca="1">IFERROR(+IF(BS$27=ProposalToGnatt[[#This Row],[Start Date]],Milestone_Marker,IF(AND(BS$27&gt;ProposalToGnatt[[#This Row],[Start Date]],BS$27&lt;ProposalToGnatt[[#This Row],[Start Date]]+ProposalToGnatt[[#This Row],[Days]]),$G$5,"")),"")</f>
        <v/>
      </c>
      <c r="BT82" s="36" t="str">
        <f ca="1">IFERROR(+IF(BT$27=ProposalToGnatt[[#This Row],[Start Date]],Milestone_Marker,IF(AND(BT$27&gt;ProposalToGnatt[[#This Row],[Start Date]],BT$27&lt;ProposalToGnatt[[#This Row],[Start Date]]+ProposalToGnatt[[#This Row],[Days]]),$G$5,"")),"")</f>
        <v/>
      </c>
      <c r="BU82" s="36" t="str">
        <f ca="1">IFERROR(+IF(BU$27=ProposalToGnatt[[#This Row],[Start Date]],Milestone_Marker,IF(AND(BU$27&gt;ProposalToGnatt[[#This Row],[Start Date]],BU$27&lt;ProposalToGnatt[[#This Row],[Start Date]]+ProposalToGnatt[[#This Row],[Days]]),$G$5,"")),"")</f>
        <v/>
      </c>
      <c r="BV82" s="36" t="str">
        <f ca="1">IFERROR(+IF(BV$27=ProposalToGnatt[[#This Row],[Start Date]],Milestone_Marker,IF(AND(BV$27&gt;ProposalToGnatt[[#This Row],[Start Date]],BV$27&lt;ProposalToGnatt[[#This Row],[Start Date]]+ProposalToGnatt[[#This Row],[Days]]),$G$5,"")),"")</f>
        <v/>
      </c>
      <c r="BW82" s="36" t="str">
        <f ca="1">IFERROR(+IF(BW$27=ProposalToGnatt[[#This Row],[Start Date]],Milestone_Marker,IF(AND(BW$27&gt;ProposalToGnatt[[#This Row],[Start Date]],BW$27&lt;ProposalToGnatt[[#This Row],[Start Date]]+ProposalToGnatt[[#This Row],[Days]]),$G$5,"")),"")</f>
        <v/>
      </c>
      <c r="BX82" s="36" t="str">
        <f ca="1">IFERROR(+IF(BX$27=ProposalToGnatt[[#This Row],[Start Date]],Milestone_Marker,IF(AND(BX$27&gt;ProposalToGnatt[[#This Row],[Start Date]],BX$27&lt;ProposalToGnatt[[#This Row],[Start Date]]+ProposalToGnatt[[#This Row],[Days]]),$G$5,"")),"")</f>
        <v/>
      </c>
      <c r="BY82" s="36" t="str">
        <f ca="1">IFERROR(+IF(BY$27=ProposalToGnatt[[#This Row],[Start Date]],Milestone_Marker,IF(AND(BY$27&gt;ProposalToGnatt[[#This Row],[Start Date]],BY$27&lt;ProposalToGnatt[[#This Row],[Start Date]]+ProposalToGnatt[[#This Row],[Days]]),$G$5,"")),"")</f>
        <v/>
      </c>
      <c r="BZ82" s="36" t="str">
        <f ca="1">IFERROR(+IF(BZ$27=ProposalToGnatt[[#This Row],[Start Date]],Milestone_Marker,IF(AND(BZ$27&gt;ProposalToGnatt[[#This Row],[Start Date]],BZ$27&lt;ProposalToGnatt[[#This Row],[Start Date]]+ProposalToGnatt[[#This Row],[Days]]),$G$5,"")),"")</f>
        <v/>
      </c>
      <c r="CA82" s="36" t="str">
        <f ca="1">IFERROR(+IF(CA$27=ProposalToGnatt[[#This Row],[Start Date]],Milestone_Marker,IF(AND(CA$27&gt;ProposalToGnatt[[#This Row],[Start Date]],CA$27&lt;ProposalToGnatt[[#This Row],[Start Date]]+ProposalToGnatt[[#This Row],[Days]]),$G$5,"")),"")</f>
        <v/>
      </c>
      <c r="CB82" s="36" t="str">
        <f ca="1">IFERROR(+IF(CB$27=ProposalToGnatt[[#This Row],[Start Date]],Milestone_Marker,IF(AND(CB$27&gt;ProposalToGnatt[[#This Row],[Start Date]],CB$27&lt;ProposalToGnatt[[#This Row],[Start Date]]+ProposalToGnatt[[#This Row],[Days]]),$G$5,"")),"")</f>
        <v/>
      </c>
      <c r="CC82" s="36" t="str">
        <f ca="1">IFERROR(+IF(CC$27=ProposalToGnatt[[#This Row],[Start Date]],Milestone_Marker,IF(AND(CC$27&gt;ProposalToGnatt[[#This Row],[Start Date]],CC$27&lt;ProposalToGnatt[[#This Row],[Start Date]]+ProposalToGnatt[[#This Row],[Days]]),$G$5,"")),"")</f>
        <v/>
      </c>
      <c r="CD82" s="36" t="str">
        <f ca="1">IFERROR(+IF(CD$27=ProposalToGnatt[[#This Row],[Start Date]],Milestone_Marker,IF(AND(CD$27&gt;ProposalToGnatt[[#This Row],[Start Date]],CD$27&lt;ProposalToGnatt[[#This Row],[Start Date]]+ProposalToGnatt[[#This Row],[Days]]),$G$5,"")),"")</f>
        <v/>
      </c>
      <c r="CE82" s="36" t="str">
        <f ca="1">IFERROR(+IF(CE$27=ProposalToGnatt[[#This Row],[Start Date]],Milestone_Marker,IF(AND(CE$27&gt;ProposalToGnatt[[#This Row],[Start Date]],CE$27&lt;ProposalToGnatt[[#This Row],[Start Date]]+ProposalToGnatt[[#This Row],[Days]]),$G$5,"")),"")</f>
        <v/>
      </c>
      <c r="CF82" s="36" t="str">
        <f ca="1">IFERROR(+IF(CF$27=ProposalToGnatt[[#This Row],[Start Date]],Milestone_Marker,IF(AND(CF$27&gt;ProposalToGnatt[[#This Row],[Start Date]],CF$27&lt;ProposalToGnatt[[#This Row],[Start Date]]+ProposalToGnatt[[#This Row],[Days]]),$G$5,"")),"")</f>
        <v/>
      </c>
      <c r="CG82" s="36" t="str">
        <f ca="1">IFERROR(+IF(CG$27=ProposalToGnatt[[#This Row],[Start Date]],Milestone_Marker,IF(AND(CG$27&gt;ProposalToGnatt[[#This Row],[Start Date]],CG$27&lt;ProposalToGnatt[[#This Row],[Start Date]]+ProposalToGnatt[[#This Row],[Days]]),$G$5,"")),"")</f>
        <v/>
      </c>
      <c r="CH82" s="36" t="str">
        <f ca="1">IFERROR(+IF(CH$27=ProposalToGnatt[[#This Row],[Start Date]],Milestone_Marker,IF(AND(CH$27&gt;ProposalToGnatt[[#This Row],[Start Date]],CH$27&lt;ProposalToGnatt[[#This Row],[Start Date]]+ProposalToGnatt[[#This Row],[Days]]),$G$5,"")),"")</f>
        <v/>
      </c>
      <c r="CI82" s="36" t="str">
        <f ca="1">IFERROR(+IF(CI$27=ProposalToGnatt[[#This Row],[Start Date]],Milestone_Marker,IF(AND(CI$27&gt;ProposalToGnatt[[#This Row],[Start Date]],CI$27&lt;ProposalToGnatt[[#This Row],[Start Date]]+ProposalToGnatt[[#This Row],[Days]]),$G$5,"")),"")</f>
        <v/>
      </c>
      <c r="CJ82" s="36" t="str">
        <f ca="1">IFERROR(+IF(CJ$27=ProposalToGnatt[[#This Row],[Start Date]],Milestone_Marker,IF(AND(CJ$27&gt;ProposalToGnatt[[#This Row],[Start Date]],CJ$27&lt;ProposalToGnatt[[#This Row],[Start Date]]+ProposalToGnatt[[#This Row],[Days]]),$G$5,"")),"")</f>
        <v/>
      </c>
      <c r="CK82" s="36" t="str">
        <f ca="1">IFERROR(+IF(CK$27=ProposalToGnatt[[#This Row],[Start Date]],Milestone_Marker,IF(AND(CK$27&gt;ProposalToGnatt[[#This Row],[Start Date]],CK$27&lt;ProposalToGnatt[[#This Row],[Start Date]]+ProposalToGnatt[[#This Row],[Days]]),$G$5,"")),"")</f>
        <v/>
      </c>
      <c r="CL82" s="36" t="str">
        <f ca="1">IFERROR(+IF(CL$27=ProposalToGnatt[[#This Row],[Start Date]],Milestone_Marker,IF(AND(CL$27&gt;ProposalToGnatt[[#This Row],[Start Date]],CL$27&lt;ProposalToGnatt[[#This Row],[Start Date]]+ProposalToGnatt[[#This Row],[Days]]),$G$5,"")),"")</f>
        <v/>
      </c>
      <c r="CM82" s="36" t="str">
        <f ca="1">IFERROR(+IF(CM$27=ProposalToGnatt[[#This Row],[Start Date]],Milestone_Marker,IF(AND(CM$27&gt;ProposalToGnatt[[#This Row],[Start Date]],CM$27&lt;ProposalToGnatt[[#This Row],[Start Date]]+ProposalToGnatt[[#This Row],[Days]]),$G$5,"")),"")</f>
        <v/>
      </c>
      <c r="CN82" s="36" t="str">
        <f ca="1">IFERROR(+IF(CN$27=ProposalToGnatt[[#This Row],[Start Date]],Milestone_Marker,IF(AND(CN$27&gt;ProposalToGnatt[[#This Row],[Start Date]],CN$27&lt;ProposalToGnatt[[#This Row],[Start Date]]+ProposalToGnatt[[#This Row],[Days]]),$G$5,"")),"")</f>
        <v/>
      </c>
      <c r="CO82" s="36" t="str">
        <f ca="1">IFERROR(+IF(CO$27=ProposalToGnatt[[#This Row],[Start Date]],Milestone_Marker,IF(AND(CO$27&gt;ProposalToGnatt[[#This Row],[Start Date]],CO$27&lt;ProposalToGnatt[[#This Row],[Start Date]]+ProposalToGnatt[[#This Row],[Days]]),$G$5,"")),"")</f>
        <v/>
      </c>
      <c r="CP82" s="36" t="str">
        <f ca="1">IFERROR(+IF(CP$27=ProposalToGnatt[[#This Row],[Start Date]],Milestone_Marker,IF(AND(CP$27&gt;ProposalToGnatt[[#This Row],[Start Date]],CP$27&lt;ProposalToGnatt[[#This Row],[Start Date]]+ProposalToGnatt[[#This Row],[Days]]),$G$5,"")),"")</f>
        <v/>
      </c>
      <c r="CQ82" s="36" t="str">
        <f ca="1">IFERROR(+IF(CQ$27=ProposalToGnatt[[#This Row],[Start Date]],Milestone_Marker,IF(AND(CQ$27&gt;ProposalToGnatt[[#This Row],[Start Date]],CQ$27&lt;ProposalToGnatt[[#This Row],[Start Date]]+ProposalToGnatt[[#This Row],[Days]]),$G$5,"")),"")</f>
        <v/>
      </c>
      <c r="CR82" s="36" t="str">
        <f ca="1">IFERROR(+IF(CR$27=ProposalToGnatt[[#This Row],[Start Date]],Milestone_Marker,IF(AND(CR$27&gt;ProposalToGnatt[[#This Row],[Start Date]],CR$27&lt;ProposalToGnatt[[#This Row],[Start Date]]+ProposalToGnatt[[#This Row],[Days]]),$G$5,"")),"")</f>
        <v/>
      </c>
      <c r="CS82" s="36" t="str">
        <f ca="1">IFERROR(+IF(CS$27=ProposalToGnatt[[#This Row],[Start Date]],Milestone_Marker,IF(AND(CS$27&gt;ProposalToGnatt[[#This Row],[Start Date]],CS$27&lt;ProposalToGnatt[[#This Row],[Start Date]]+ProposalToGnatt[[#This Row],[Days]]),$G$5,"")),"")</f>
        <v/>
      </c>
      <c r="CT82" s="36" t="str">
        <f ca="1">IFERROR(+IF(CT$27=ProposalToGnatt[[#This Row],[Start Date]],Milestone_Marker,IF(AND(CT$27&gt;ProposalToGnatt[[#This Row],[Start Date]],CT$27&lt;ProposalToGnatt[[#This Row],[Start Date]]+ProposalToGnatt[[#This Row],[Days]]),$G$5,"")),"")</f>
        <v/>
      </c>
      <c r="CU82" s="36" t="str">
        <f ca="1">IFERROR(+IF(CU$27=ProposalToGnatt[[#This Row],[Start Date]],Milestone_Marker,IF(AND(CU$27&gt;ProposalToGnatt[[#This Row],[Start Date]],CU$27&lt;ProposalToGnatt[[#This Row],[Start Date]]+ProposalToGnatt[[#This Row],[Days]]),$G$5,"")),"")</f>
        <v/>
      </c>
      <c r="CV82" s="36" t="str">
        <f ca="1">IFERROR(+IF(CT$27=#REF!,Milestone_Marker,IF(AND(CT$27&gt;#REF!,CT$27&lt;=#REF!+#REF!),$G$5,"")),"")</f>
        <v/>
      </c>
      <c r="CW82" s="36" t="str">
        <f ca="1">IFERROR(+IF(CU$27=#REF!,Milestone_Marker,IF(AND(CU$27&gt;#REF!,CU$27&lt;=#REF!+#REF!),$G$5,"")),"")</f>
        <v/>
      </c>
    </row>
    <row r="83" spans="1:125" ht="15" x14ac:dyDescent="0.25">
      <c r="A83"/>
      <c r="B83"/>
      <c r="C83"/>
      <c r="D83"/>
      <c r="E83"/>
      <c r="F83"/>
      <c r="G83" s="14"/>
      <c r="H83" s="14"/>
      <c r="I83"/>
      <c r="J83"/>
      <c r="K83" s="261"/>
      <c r="L83"/>
      <c r="M83" s="14"/>
      <c r="N83" s="309"/>
      <c r="O83" s="297"/>
      <c r="P83" s="36" t="str">
        <f ca="1">IFERROR(+IF(Q$27=#REF!,Milestone_Marker,IF(AND(Q$27&gt;#REF!,Q$27&lt;=#REF!+#REF!),$G$5,"")),"")</f>
        <v/>
      </c>
      <c r="Q83" s="36" t="str">
        <f ca="1">IFERROR(+IF(R$27=#REF!,Milestone_Marker,IF(AND(R$27&gt;#REF!,R$27&lt;=#REF!+#REF!),$G$5,"")),"")</f>
        <v/>
      </c>
      <c r="R83" s="36" t="str">
        <f ca="1">IFERROR(+IF(S$27=#REF!,Milestone_Marker,IF(AND(S$27&gt;#REF!,S$27&lt;=#REF!+#REF!),$G$5,"")),"")</f>
        <v/>
      </c>
      <c r="S83" s="36" t="str">
        <f ca="1">IFERROR(+IF(T$27=#REF!,Milestone_Marker,IF(AND(T$27&gt;#REF!,T$27&lt;=#REF!+#REF!),$G$5,"")),"")</f>
        <v/>
      </c>
      <c r="T83" s="36" t="str">
        <f ca="1">IFERROR(+IF(U$27=#REF!,Milestone_Marker,IF(AND(U$27&gt;#REF!,U$27&lt;=#REF!+#REF!),$G$5,"")),"")</f>
        <v/>
      </c>
      <c r="U83" s="36" t="str">
        <f ca="1">IFERROR(+IF(V$27=#REF!,Milestone_Marker,IF(AND(V$27&gt;#REF!,V$27&lt;=#REF!+#REF!),$G$5,"")),"")</f>
        <v/>
      </c>
      <c r="V83" s="36" t="str">
        <f ca="1">IFERROR(+IF(W$27=#REF!,Milestone_Marker,IF(AND(W$27&gt;#REF!,W$27&lt;=#REF!+#REF!),$G$5,"")),"")</f>
        <v/>
      </c>
      <c r="W83" s="36" t="str">
        <f ca="1">IFERROR(+IF(X$27=#REF!,Milestone_Marker,IF(AND(X$27&gt;#REF!,X$27&lt;=#REF!+#REF!),$G$5,"")),"")</f>
        <v/>
      </c>
      <c r="X83" s="36" t="str">
        <f ca="1">IFERROR(+IF(Y$27=#REF!,Milestone_Marker,IF(AND(Y$27&gt;#REF!,Y$27&lt;=#REF!+#REF!),$G$5,"")),"")</f>
        <v/>
      </c>
      <c r="Y83" s="36" t="str">
        <f ca="1">IFERROR(+IF(Z$27=#REF!,Milestone_Marker,IF(AND(Z$27&gt;#REF!,Z$27&lt;=#REF!+#REF!),$G$5,"")),"")</f>
        <v/>
      </c>
      <c r="Z83" s="36" t="str">
        <f ca="1">IFERROR(+IF(AA$27=#REF!,Milestone_Marker,IF(AND(AA$27&gt;#REF!,AA$27&lt;=#REF!+#REF!),$G$5,"")),"")</f>
        <v/>
      </c>
      <c r="AA83" s="36" t="str">
        <f ca="1">IFERROR(+IF(AB$27=#REF!,Milestone_Marker,IF(AND(AB$27&gt;#REF!,AB$27&lt;=#REF!+#REF!),$G$5,"")),"")</f>
        <v/>
      </c>
      <c r="AB83" s="36" t="str">
        <f ca="1">IFERROR(+IF(AC$27=#REF!,Milestone_Marker,IF(AND(AC$27&gt;#REF!,AC$27&lt;=#REF!+#REF!),$G$5,"")),"")</f>
        <v/>
      </c>
      <c r="AC83" s="36" t="str">
        <f ca="1">IFERROR(+IF(AD$27=#REF!,Milestone_Marker,IF(AND(AD$27&gt;#REF!,AD$27&lt;=#REF!+#REF!),$G$5,"")),"")</f>
        <v/>
      </c>
      <c r="AD83" s="36" t="str">
        <f ca="1">IFERROR(+IF(AE$27=#REF!,Milestone_Marker,IF(AND(AE$27&gt;#REF!,AE$27&lt;=#REF!+#REF!),$G$5,"")),"")</f>
        <v/>
      </c>
      <c r="AE83" s="36" t="str">
        <f ca="1">IFERROR(+IF(AF$27=#REF!,Milestone_Marker,IF(AND(AF$27&gt;#REF!,AF$27&lt;=#REF!+#REF!),$G$5,"")),"")</f>
        <v/>
      </c>
      <c r="AF83" s="36" t="str">
        <f ca="1">IFERROR(+IF(AG$27=#REF!,Milestone_Marker,IF(AND(AG$27&gt;#REF!,AG$27&lt;=#REF!+#REF!),$G$5,"")),"")</f>
        <v/>
      </c>
      <c r="AG83" s="36" t="str">
        <f ca="1">IFERROR(+IF(AH$27=#REF!,Milestone_Marker,IF(AND(AH$27&gt;#REF!,AH$27&lt;=#REF!+#REF!),$G$5,"")),"")</f>
        <v/>
      </c>
      <c r="AH83" s="36" t="str">
        <f ca="1">IFERROR(+IF(AI$27=#REF!,Milestone_Marker,IF(AND(AI$27&gt;#REF!,AI$27&lt;=#REF!+#REF!),$G$5,"")),"")</f>
        <v/>
      </c>
      <c r="AI83" s="36" t="str">
        <f ca="1">IFERROR(+IF(AJ$27=#REF!,Milestone_Marker,IF(AND(AJ$27&gt;#REF!,AJ$27&lt;=#REF!+#REF!),$G$5,"")),"")</f>
        <v/>
      </c>
      <c r="AJ83" s="36" t="str">
        <f ca="1">IFERROR(+IF(AK$27=#REF!,Milestone_Marker,IF(AND(AK$27&gt;#REF!,AK$27&lt;=#REF!+#REF!),$G$5,"")),"")</f>
        <v/>
      </c>
      <c r="AK83" s="36" t="str">
        <f ca="1">IFERROR(+IF(AL$27=#REF!,Milestone_Marker,IF(AND(AL$27&gt;#REF!,AL$27&lt;=#REF!+#REF!),$G$5,"")),"")</f>
        <v/>
      </c>
      <c r="AL83" s="36" t="str">
        <f ca="1">IFERROR(+IF(AM$27=#REF!,Milestone_Marker,IF(AND(AM$27&gt;#REF!,AM$27&lt;=#REF!+#REF!),$G$5,"")),"")</f>
        <v/>
      </c>
      <c r="AM83" s="36" t="str">
        <f ca="1">IFERROR(+IF(AN$27=#REF!,Milestone_Marker,IF(AND(AN$27&gt;#REF!,AN$27&lt;=#REF!+#REF!),$G$5,"")),"")</f>
        <v/>
      </c>
      <c r="AN83" s="36" t="str">
        <f ca="1">IFERROR(+IF(AO$27=#REF!,Milestone_Marker,IF(AND(AO$27&gt;#REF!,AO$27&lt;=#REF!+#REF!),$G$5,"")),"")</f>
        <v/>
      </c>
      <c r="AO83" s="36" t="str">
        <f ca="1">IFERROR(+IF(AP$27=#REF!,Milestone_Marker,IF(AND(AP$27&gt;#REF!,AP$27&lt;=#REF!+#REF!),$G$5,"")),"")</f>
        <v/>
      </c>
      <c r="AP83" s="36" t="str">
        <f ca="1">IFERROR(+IF(AQ$27=#REF!,Milestone_Marker,IF(AND(AQ$27&gt;#REF!,AQ$27&lt;=#REF!+#REF!),$G$5,"")),"")</f>
        <v/>
      </c>
      <c r="AQ83" s="36" t="str">
        <f ca="1">IFERROR(+IF(AR$27=#REF!,Milestone_Marker,IF(AND(AR$27&gt;#REF!,AR$27&lt;=#REF!+#REF!),$G$5,"")),"")</f>
        <v/>
      </c>
      <c r="AR83" s="36" t="str">
        <f ca="1">IFERROR(+IF(AS$27=#REF!,Milestone_Marker,IF(AND(AS$27&gt;#REF!,AS$27&lt;=#REF!+#REF!),$G$5,"")),"")</f>
        <v/>
      </c>
      <c r="AS83" s="36" t="str">
        <f ca="1">IFERROR(+IF(AT$27=#REF!,Milestone_Marker,IF(AND(AT$27&gt;#REF!,AT$27&lt;=#REF!+#REF!),$G$5,"")),"")</f>
        <v/>
      </c>
      <c r="AT83" s="36" t="str">
        <f ca="1">IFERROR(+IF(AU$27=#REF!,Milestone_Marker,IF(AND(AU$27&gt;#REF!,AU$27&lt;=#REF!+#REF!),$G$5,"")),"")</f>
        <v/>
      </c>
      <c r="AU83" s="36" t="str">
        <f ca="1">IFERROR(+IF(AV$27=#REF!,Milestone_Marker,IF(AND(AV$27&gt;#REF!,AV$27&lt;=#REF!+#REF!),$G$5,"")),"")</f>
        <v/>
      </c>
      <c r="AV83" s="36" t="str">
        <f ca="1">IFERROR(+IF(AW$27=#REF!,Milestone_Marker,IF(AND(AW$27&gt;#REF!,AW$27&lt;=#REF!+#REF!),$G$5,"")),"")</f>
        <v/>
      </c>
      <c r="AW83" s="36" t="str">
        <f ca="1">IFERROR(+IF(AX$27=#REF!,Milestone_Marker,IF(AND(AX$27&gt;#REF!,AX$27&lt;=#REF!+#REF!),$G$5,"")),"")</f>
        <v/>
      </c>
      <c r="AX83" s="36" t="str">
        <f ca="1">IFERROR(+IF(AY$27=#REF!,Milestone_Marker,IF(AND(AY$27&gt;#REF!,AY$27&lt;=#REF!+#REF!),$G$5,"")),"")</f>
        <v/>
      </c>
      <c r="AY83" s="36" t="str">
        <f ca="1">IFERROR(+IF(AZ$27=#REF!,Milestone_Marker,IF(AND(AZ$27&gt;#REF!,AZ$27&lt;=#REF!+#REF!),$G$5,"")),"")</f>
        <v/>
      </c>
      <c r="AZ83" s="36" t="str">
        <f ca="1">IFERROR(+IF(BA$27=#REF!,Milestone_Marker,IF(AND(BA$27&gt;#REF!,BA$27&lt;=#REF!+#REF!),$G$5,"")),"")</f>
        <v/>
      </c>
      <c r="BA83" s="36" t="str">
        <f ca="1">IFERROR(+IF(BB$27=#REF!,Milestone_Marker,IF(AND(BB$27&gt;#REF!,BB$27&lt;=#REF!+#REF!),$G$5,"")),"")</f>
        <v/>
      </c>
      <c r="BB83" s="36" t="str">
        <f ca="1">IFERROR(+IF(BC$27=#REF!,Milestone_Marker,IF(AND(BC$27&gt;#REF!,BC$27&lt;=#REF!+#REF!),$G$5,"")),"")</f>
        <v/>
      </c>
      <c r="BC83" s="36" t="str">
        <f ca="1">IFERROR(+IF(BD$27=#REF!,Milestone_Marker,IF(AND(BD$27&gt;#REF!,BD$27&lt;=#REF!+#REF!),$G$5,"")),"")</f>
        <v/>
      </c>
      <c r="BD83" s="36" t="str">
        <f ca="1">IFERROR(+IF(BE$27=#REF!,Milestone_Marker,IF(AND(BE$27&gt;#REF!,BE$27&lt;=#REF!+#REF!),$G$5,"")),"")</f>
        <v/>
      </c>
      <c r="BE83" s="36" t="str">
        <f ca="1">IFERROR(+IF(BF$27=#REF!,Milestone_Marker,IF(AND(BF$27&gt;#REF!,BF$27&lt;=#REF!+#REF!),$G$5,"")),"")</f>
        <v/>
      </c>
      <c r="BF83" s="36" t="str">
        <f ca="1">IFERROR(+IF(BG$27=#REF!,Milestone_Marker,IF(AND(BG$27&gt;#REF!,BG$27&lt;=#REF!+#REF!),$G$5,"")),"")</f>
        <v/>
      </c>
      <c r="BG83" s="36" t="str">
        <f ca="1">IFERROR(+IF(BH$27=#REF!,Milestone_Marker,IF(AND(BH$27&gt;#REF!,BH$27&lt;=#REF!+#REF!),$G$5,"")),"")</f>
        <v/>
      </c>
      <c r="BH83" s="36" t="str">
        <f ca="1">IFERROR(+IF(BI$27=#REF!,Milestone_Marker,IF(AND(BI$27&gt;#REF!,BI$27&lt;=#REF!+#REF!),$G$5,"")),"")</f>
        <v/>
      </c>
      <c r="BI83" s="36" t="str">
        <f ca="1">IFERROR(+IF(BJ$27=#REF!,Milestone_Marker,IF(AND(BJ$27&gt;#REF!,BJ$27&lt;=#REF!+#REF!),$G$5,"")),"")</f>
        <v/>
      </c>
      <c r="BJ83" s="36" t="str">
        <f ca="1">IFERROR(+IF(BK$27=#REF!,Milestone_Marker,IF(AND(BK$27&gt;#REF!,BK$27&lt;=#REF!+#REF!),$G$5,"")),"")</f>
        <v/>
      </c>
      <c r="BK83" s="36" t="str">
        <f ca="1">IFERROR(+IF(BL$27=#REF!,Milestone_Marker,IF(AND(BL$27&gt;#REF!,BL$27&lt;=#REF!+#REF!),$G$5,"")),"")</f>
        <v/>
      </c>
      <c r="BL83" s="36" t="str">
        <f ca="1">IFERROR(+IF(BM$27=#REF!,Milestone_Marker,IF(AND(BM$27&gt;#REF!,BM$27&lt;=#REF!+#REF!),$G$5,"")),"")</f>
        <v/>
      </c>
      <c r="BM83" s="36" t="str">
        <f ca="1">IFERROR(+IF(BN$27=#REF!,Milestone_Marker,IF(AND(BN$27&gt;#REF!,BN$27&lt;=#REF!+#REF!),$G$5,"")),"")</f>
        <v/>
      </c>
      <c r="BN83" s="36" t="str">
        <f ca="1">IFERROR(+IF(BO$27=#REF!,Milestone_Marker,IF(AND(BO$27&gt;#REF!,BO$27&lt;=#REF!+#REF!),$G$5,"")),"")</f>
        <v/>
      </c>
      <c r="BO83" s="36" t="str">
        <f ca="1">IFERROR(+IF(BP$27=#REF!,Milestone_Marker,IF(AND(BP$27&gt;#REF!,BP$27&lt;=#REF!+#REF!),$G$5,"")),"")</f>
        <v/>
      </c>
      <c r="BP83" s="36" t="str">
        <f ca="1">IFERROR(+IF(BQ$27=#REF!,Milestone_Marker,IF(AND(BQ$27&gt;#REF!,BQ$27&lt;=#REF!+#REF!),$G$5,"")),"")</f>
        <v/>
      </c>
      <c r="BQ83" s="36" t="str">
        <f ca="1">IFERROR(+IF(BR$27=#REF!,Milestone_Marker,IF(AND(BR$27&gt;#REF!,BR$27&lt;=#REF!+#REF!),$G$5,"")),"")</f>
        <v/>
      </c>
      <c r="BR83" s="36" t="str">
        <f ca="1">IFERROR(+IF(BS$27=#REF!,Milestone_Marker,IF(AND(BS$27&gt;#REF!,BS$27&lt;=#REF!+#REF!),$G$5,"")),"")</f>
        <v/>
      </c>
      <c r="BS83" s="36" t="str">
        <f ca="1">IFERROR(+IF(BT$27=#REF!,Milestone_Marker,IF(AND(BT$27&gt;#REF!,BT$27&lt;=#REF!+#REF!),$G$5,"")),"")</f>
        <v/>
      </c>
      <c r="BT83" s="36" t="str">
        <f ca="1">IFERROR(+IF(BU$27=#REF!,Milestone_Marker,IF(AND(BU$27&gt;#REF!,BU$27&lt;=#REF!+#REF!),$G$5,"")),"")</f>
        <v/>
      </c>
      <c r="BU83" s="36" t="str">
        <f ca="1">IFERROR(+IF(BV$27=#REF!,Milestone_Marker,IF(AND(BV$27&gt;#REF!,BV$27&lt;=#REF!+#REF!),$G$5,"")),"")</f>
        <v/>
      </c>
      <c r="BV83" s="36" t="str">
        <f ca="1">IFERROR(+IF(BW$27=#REF!,Milestone_Marker,IF(AND(BW$27&gt;#REF!,BW$27&lt;=#REF!+#REF!),$G$5,"")),"")</f>
        <v/>
      </c>
      <c r="BW83" s="36" t="str">
        <f ca="1">IFERROR(+IF(BX$27=#REF!,Milestone_Marker,IF(AND(BX$27&gt;#REF!,BX$27&lt;=#REF!+#REF!),$G$5,"")),"")</f>
        <v/>
      </c>
      <c r="BX83" s="36" t="str">
        <f ca="1">IFERROR(+IF(BY$27=#REF!,Milestone_Marker,IF(AND(BY$27&gt;#REF!,BY$27&lt;=#REF!+#REF!),$G$5,"")),"")</f>
        <v/>
      </c>
      <c r="BY83" s="36" t="str">
        <f ca="1">IFERROR(+IF(BZ$27=#REF!,Milestone_Marker,IF(AND(BZ$27&gt;#REF!,BZ$27&lt;=#REF!+#REF!),$G$5,"")),"")</f>
        <v/>
      </c>
      <c r="BZ83" s="36" t="str">
        <f ca="1">IFERROR(+IF(CA$27=#REF!,Milestone_Marker,IF(AND(CA$27&gt;#REF!,CA$27&lt;=#REF!+#REF!),$G$5,"")),"")</f>
        <v/>
      </c>
      <c r="CA83" s="36" t="str">
        <f ca="1">IFERROR(+IF(CB$27=#REF!,Milestone_Marker,IF(AND(CB$27&gt;#REF!,CB$27&lt;=#REF!+#REF!),$G$5,"")),"")</f>
        <v/>
      </c>
      <c r="CB83" s="36" t="str">
        <f ca="1">IFERROR(+IF(CC$27=#REF!,Milestone_Marker,IF(AND(CC$27&gt;#REF!,CC$27&lt;=#REF!+#REF!),$G$5,"")),"")</f>
        <v/>
      </c>
      <c r="CC83" s="36" t="str">
        <f ca="1">IFERROR(+IF(CD$27=#REF!,Milestone_Marker,IF(AND(CD$27&gt;#REF!,CD$27&lt;=#REF!+#REF!),$G$5,"")),"")</f>
        <v/>
      </c>
      <c r="CD83" s="36" t="str">
        <f ca="1">IFERROR(+IF(CE$27=#REF!,Milestone_Marker,IF(AND(CE$27&gt;#REF!,CE$27&lt;=#REF!+#REF!),$G$5,"")),"")</f>
        <v/>
      </c>
      <c r="CE83" s="36" t="str">
        <f ca="1">IFERROR(+IF(CF$27=#REF!,Milestone_Marker,IF(AND(CF$27&gt;#REF!,CF$27&lt;=#REF!+#REF!),$G$5,"")),"")</f>
        <v/>
      </c>
      <c r="CF83" s="36" t="str">
        <f ca="1">IFERROR(+IF(CG$27=#REF!,Milestone_Marker,IF(AND(CG$27&gt;#REF!,CG$27&lt;=#REF!+#REF!),$G$5,"")),"")</f>
        <v/>
      </c>
      <c r="CG83" s="36" t="str">
        <f ca="1">IFERROR(+IF(CH$27=#REF!,Milestone_Marker,IF(AND(CH$27&gt;#REF!,CH$27&lt;=#REF!+#REF!),$G$5,"")),"")</f>
        <v/>
      </c>
      <c r="CH83" s="36" t="str">
        <f ca="1">IFERROR(+IF(CI$27=#REF!,Milestone_Marker,IF(AND(CI$27&gt;#REF!,CI$27&lt;=#REF!+#REF!),$G$5,"")),"")</f>
        <v/>
      </c>
      <c r="CI83" s="36" t="str">
        <f ca="1">IFERROR(+IF(CJ$27=#REF!,Milestone_Marker,IF(AND(CJ$27&gt;#REF!,CJ$27&lt;=#REF!+#REF!),$G$5,"")),"")</f>
        <v/>
      </c>
      <c r="CJ83" s="36" t="str">
        <f ca="1">IFERROR(+IF(CK$27=#REF!,Milestone_Marker,IF(AND(CK$27&gt;#REF!,CK$27&lt;=#REF!+#REF!),$G$5,"")),"")</f>
        <v/>
      </c>
      <c r="CK83" s="36" t="str">
        <f ca="1">IFERROR(+IF(CL$27=#REF!,Milestone_Marker,IF(AND(CL$27&gt;#REF!,CL$27&lt;=#REF!+#REF!),$G$5,"")),"")</f>
        <v/>
      </c>
      <c r="CL83" s="36" t="str">
        <f ca="1">IFERROR(+IF(CM$27=#REF!,Milestone_Marker,IF(AND(CM$27&gt;#REF!,CM$27&lt;=#REF!+#REF!),$G$5,"")),"")</f>
        <v/>
      </c>
      <c r="CM83" s="36" t="str">
        <f ca="1">IFERROR(+IF(CN$27=#REF!,Milestone_Marker,IF(AND(CN$27&gt;#REF!,CN$27&lt;=#REF!+#REF!),$G$5,"")),"")</f>
        <v/>
      </c>
      <c r="CN83" s="36" t="str">
        <f ca="1">IFERROR(+IF(CO$27=#REF!,Milestone_Marker,IF(AND(CO$27&gt;#REF!,CO$27&lt;=#REF!+#REF!),$G$5,"")),"")</f>
        <v/>
      </c>
      <c r="CO83" s="36" t="str">
        <f ca="1">IFERROR(+IF(CP$27=#REF!,Milestone_Marker,IF(AND(CP$27&gt;#REF!,CP$27&lt;=#REF!+#REF!),$G$5,"")),"")</f>
        <v/>
      </c>
      <c r="CP83" s="36" t="str">
        <f ca="1">IFERROR(+IF(CQ$27=#REF!,Milestone_Marker,IF(AND(CQ$27&gt;#REF!,CQ$27&lt;=#REF!+#REF!),$G$5,"")),"")</f>
        <v/>
      </c>
      <c r="CQ83" s="36" t="str">
        <f ca="1">IFERROR(+IF(CR$27=#REF!,Milestone_Marker,IF(AND(CR$27&gt;#REF!,CR$27&lt;=#REF!+#REF!),$G$5,"")),"")</f>
        <v/>
      </c>
      <c r="CR83" s="36" t="str">
        <f ca="1">IFERROR(+IF(CS$27=#REF!,Milestone_Marker,IF(AND(CS$27&gt;#REF!,CS$27&lt;=#REF!+#REF!),$G$5,"")),"")</f>
        <v/>
      </c>
      <c r="CS83" s="36" t="str">
        <f ca="1">IFERROR(+IF(CT$27=#REF!,Milestone_Marker,IF(AND(CT$27&gt;#REF!,CT$27&lt;=#REF!+#REF!),$G$5,"")),"")</f>
        <v/>
      </c>
      <c r="CT83" s="36" t="str">
        <f ca="1">IFERROR(+IF(CU$27=#REF!,Milestone_Marker,IF(AND(CU$27&gt;#REF!,CU$27&lt;=#REF!+#REF!),$G$5,"")),"")</f>
        <v/>
      </c>
    </row>
    <row r="84" spans="1:125" ht="15" x14ac:dyDescent="0.25">
      <c r="A84"/>
      <c r="B84"/>
      <c r="C84"/>
      <c r="D84"/>
      <c r="E84"/>
      <c r="F84"/>
      <c r="G84" s="14"/>
      <c r="H84" s="14"/>
      <c r="I84"/>
      <c r="J84"/>
      <c r="K84" s="261"/>
      <c r="L84"/>
      <c r="M84" s="14"/>
      <c r="N84" s="309"/>
      <c r="O84" s="297"/>
      <c r="P84" s="36" t="str">
        <f ca="1">IFERROR(+IF(Q$27=#REF!,Milestone_Marker,IF(AND(Q$27&gt;#REF!,Q$27&lt;=#REF!+#REF!),$G$5,"")),"")</f>
        <v/>
      </c>
      <c r="Q84" s="36" t="str">
        <f ca="1">IFERROR(+IF(R$27=#REF!,Milestone_Marker,IF(AND(R$27&gt;#REF!,R$27&lt;=#REF!+#REF!),$G$5,"")),"")</f>
        <v/>
      </c>
      <c r="R84" s="36" t="str">
        <f ca="1">IFERROR(+IF(S$27=#REF!,Milestone_Marker,IF(AND(S$27&gt;#REF!,S$27&lt;=#REF!+#REF!),$G$5,"")),"")</f>
        <v/>
      </c>
      <c r="S84" s="36" t="str">
        <f ca="1">IFERROR(+IF(T$27=#REF!,Milestone_Marker,IF(AND(T$27&gt;#REF!,T$27&lt;=#REF!+#REF!),$G$5,"")),"")</f>
        <v/>
      </c>
      <c r="T84" s="36" t="str">
        <f ca="1">IFERROR(+IF(U$27=#REF!,Milestone_Marker,IF(AND(U$27&gt;#REF!,U$27&lt;=#REF!+#REF!),$G$5,"")),"")</f>
        <v/>
      </c>
      <c r="U84" s="36" t="str">
        <f ca="1">IFERROR(+IF(V$27=#REF!,Milestone_Marker,IF(AND(V$27&gt;#REF!,V$27&lt;=#REF!+#REF!),$G$5,"")),"")</f>
        <v/>
      </c>
      <c r="V84" s="36" t="str">
        <f ca="1">IFERROR(+IF(W$27=#REF!,Milestone_Marker,IF(AND(W$27&gt;#REF!,W$27&lt;=#REF!+#REF!),$G$5,"")),"")</f>
        <v/>
      </c>
      <c r="W84" s="36" t="str">
        <f ca="1">IFERROR(+IF(X$27=#REF!,Milestone_Marker,IF(AND(X$27&gt;#REF!,X$27&lt;=#REF!+#REF!),$G$5,"")),"")</f>
        <v/>
      </c>
      <c r="X84" s="36" t="str">
        <f ca="1">IFERROR(+IF(Y$27=#REF!,Milestone_Marker,IF(AND(Y$27&gt;#REF!,Y$27&lt;=#REF!+#REF!),$G$5,"")),"")</f>
        <v/>
      </c>
      <c r="Y84" s="36" t="str">
        <f ca="1">IFERROR(+IF(Z$27=#REF!,Milestone_Marker,IF(AND(Z$27&gt;#REF!,Z$27&lt;=#REF!+#REF!),$G$5,"")),"")</f>
        <v/>
      </c>
      <c r="Z84" s="36" t="str">
        <f ca="1">IFERROR(+IF(AA$27=#REF!,Milestone_Marker,IF(AND(AA$27&gt;#REF!,AA$27&lt;=#REF!+#REF!),$G$5,"")),"")</f>
        <v/>
      </c>
      <c r="AA84" s="36" t="str">
        <f ca="1">IFERROR(+IF(AB$27=#REF!,Milestone_Marker,IF(AND(AB$27&gt;#REF!,AB$27&lt;=#REF!+#REF!),$G$5,"")),"")</f>
        <v/>
      </c>
      <c r="AB84" s="36" t="str">
        <f ca="1">IFERROR(+IF(AC$27=#REF!,Milestone_Marker,IF(AND(AC$27&gt;#REF!,AC$27&lt;=#REF!+#REF!),$G$5,"")),"")</f>
        <v/>
      </c>
      <c r="AC84" s="36" t="str">
        <f ca="1">IFERROR(+IF(AD$27=#REF!,Milestone_Marker,IF(AND(AD$27&gt;#REF!,AD$27&lt;=#REF!+#REF!),$G$5,"")),"")</f>
        <v/>
      </c>
      <c r="AD84" s="36" t="str">
        <f ca="1">IFERROR(+IF(AE$27=#REF!,Milestone_Marker,IF(AND(AE$27&gt;#REF!,AE$27&lt;=#REF!+#REF!),$G$5,"")),"")</f>
        <v/>
      </c>
      <c r="AE84" s="36" t="str">
        <f ca="1">IFERROR(+IF(AF$27=#REF!,Milestone_Marker,IF(AND(AF$27&gt;#REF!,AF$27&lt;=#REF!+#REF!),$G$5,"")),"")</f>
        <v/>
      </c>
      <c r="AF84" s="36" t="str">
        <f ca="1">IFERROR(+IF(AG$27=#REF!,Milestone_Marker,IF(AND(AG$27&gt;#REF!,AG$27&lt;=#REF!+#REF!),$G$5,"")),"")</f>
        <v/>
      </c>
      <c r="AG84" s="36" t="str">
        <f ca="1">IFERROR(+IF(AH$27=#REF!,Milestone_Marker,IF(AND(AH$27&gt;#REF!,AH$27&lt;=#REF!+#REF!),$G$5,"")),"")</f>
        <v/>
      </c>
      <c r="AH84" s="36" t="str">
        <f ca="1">IFERROR(+IF(AI$27=#REF!,Milestone_Marker,IF(AND(AI$27&gt;#REF!,AI$27&lt;=#REF!+#REF!),$G$5,"")),"")</f>
        <v/>
      </c>
      <c r="AI84" s="36" t="str">
        <f ca="1">IFERROR(+IF(AJ$27=#REF!,Milestone_Marker,IF(AND(AJ$27&gt;#REF!,AJ$27&lt;=#REF!+#REF!),$G$5,"")),"")</f>
        <v/>
      </c>
      <c r="AJ84" s="36" t="str">
        <f ca="1">IFERROR(+IF(AK$27=#REF!,Milestone_Marker,IF(AND(AK$27&gt;#REF!,AK$27&lt;=#REF!+#REF!),$G$5,"")),"")</f>
        <v/>
      </c>
      <c r="AK84" s="36" t="str">
        <f ca="1">IFERROR(+IF(AL$27=#REF!,Milestone_Marker,IF(AND(AL$27&gt;#REF!,AL$27&lt;=#REF!+#REF!),$G$5,"")),"")</f>
        <v/>
      </c>
      <c r="AL84" s="36" t="str">
        <f ca="1">IFERROR(+IF(AM$27=#REF!,Milestone_Marker,IF(AND(AM$27&gt;#REF!,AM$27&lt;=#REF!+#REF!),$G$5,"")),"")</f>
        <v/>
      </c>
      <c r="AM84" s="36" t="str">
        <f ca="1">IFERROR(+IF(AN$27=#REF!,Milestone_Marker,IF(AND(AN$27&gt;#REF!,AN$27&lt;=#REF!+#REF!),$G$5,"")),"")</f>
        <v/>
      </c>
      <c r="AN84" s="36" t="str">
        <f ca="1">IFERROR(+IF(AO$27=#REF!,Milestone_Marker,IF(AND(AO$27&gt;#REF!,AO$27&lt;=#REF!+#REF!),$G$5,"")),"")</f>
        <v/>
      </c>
      <c r="AO84" s="36" t="str">
        <f ca="1">IFERROR(+IF(AP$27=#REF!,Milestone_Marker,IF(AND(AP$27&gt;#REF!,AP$27&lt;=#REF!+#REF!),$G$5,"")),"")</f>
        <v/>
      </c>
      <c r="AP84" s="36" t="str">
        <f ca="1">IFERROR(+IF(AQ$27=#REF!,Milestone_Marker,IF(AND(AQ$27&gt;#REF!,AQ$27&lt;=#REF!+#REF!),$G$5,"")),"")</f>
        <v/>
      </c>
      <c r="AQ84" s="36" t="str">
        <f ca="1">IFERROR(+IF(AR$27=#REF!,Milestone_Marker,IF(AND(AR$27&gt;#REF!,AR$27&lt;=#REF!+#REF!),$G$5,"")),"")</f>
        <v/>
      </c>
      <c r="AR84" s="36" t="str">
        <f ca="1">IFERROR(+IF(AS$27=#REF!,Milestone_Marker,IF(AND(AS$27&gt;#REF!,AS$27&lt;=#REF!+#REF!),$G$5,"")),"")</f>
        <v/>
      </c>
      <c r="AS84" s="36" t="str">
        <f ca="1">IFERROR(+IF(AT$27=#REF!,Milestone_Marker,IF(AND(AT$27&gt;#REF!,AT$27&lt;=#REF!+#REF!),$G$5,"")),"")</f>
        <v/>
      </c>
      <c r="AT84" s="36" t="str">
        <f ca="1">IFERROR(+IF(AU$27=#REF!,Milestone_Marker,IF(AND(AU$27&gt;#REF!,AU$27&lt;=#REF!+#REF!),$G$5,"")),"")</f>
        <v/>
      </c>
      <c r="AU84" s="36" t="str">
        <f ca="1">IFERROR(+IF(AV$27=#REF!,Milestone_Marker,IF(AND(AV$27&gt;#REF!,AV$27&lt;=#REF!+#REF!),$G$5,"")),"")</f>
        <v/>
      </c>
      <c r="AV84" s="36" t="str">
        <f ca="1">IFERROR(+IF(AW$27=#REF!,Milestone_Marker,IF(AND(AW$27&gt;#REF!,AW$27&lt;=#REF!+#REF!),$G$5,"")),"")</f>
        <v/>
      </c>
      <c r="AW84" s="36" t="str">
        <f ca="1">IFERROR(+IF(AX$27=#REF!,Milestone_Marker,IF(AND(AX$27&gt;#REF!,AX$27&lt;=#REF!+#REF!),$G$5,"")),"")</f>
        <v/>
      </c>
      <c r="AX84" s="36" t="str">
        <f ca="1">IFERROR(+IF(AY$27=#REF!,Milestone_Marker,IF(AND(AY$27&gt;#REF!,AY$27&lt;=#REF!+#REF!),$G$5,"")),"")</f>
        <v/>
      </c>
      <c r="AY84" s="36" t="str">
        <f ca="1">IFERROR(+IF(AZ$27=#REF!,Milestone_Marker,IF(AND(AZ$27&gt;#REF!,AZ$27&lt;=#REF!+#REF!),$G$5,"")),"")</f>
        <v/>
      </c>
      <c r="AZ84" s="36" t="str">
        <f ca="1">IFERROR(+IF(BA$27=#REF!,Milestone_Marker,IF(AND(BA$27&gt;#REF!,BA$27&lt;=#REF!+#REF!),$G$5,"")),"")</f>
        <v/>
      </c>
      <c r="BA84" s="36" t="str">
        <f ca="1">IFERROR(+IF(BB$27=#REF!,Milestone_Marker,IF(AND(BB$27&gt;#REF!,BB$27&lt;=#REF!+#REF!),$G$5,"")),"")</f>
        <v/>
      </c>
      <c r="BB84" s="36" t="str">
        <f ca="1">IFERROR(+IF(BC$27=#REF!,Milestone_Marker,IF(AND(BC$27&gt;#REF!,BC$27&lt;=#REF!+#REF!),$G$5,"")),"")</f>
        <v/>
      </c>
      <c r="BC84" s="36" t="str">
        <f ca="1">IFERROR(+IF(BD$27=#REF!,Milestone_Marker,IF(AND(BD$27&gt;#REF!,BD$27&lt;=#REF!+#REF!),$G$5,"")),"")</f>
        <v/>
      </c>
      <c r="BD84" s="36" t="str">
        <f ca="1">IFERROR(+IF(BE$27=#REF!,Milestone_Marker,IF(AND(BE$27&gt;#REF!,BE$27&lt;=#REF!+#REF!),$G$5,"")),"")</f>
        <v/>
      </c>
      <c r="BE84" s="36" t="str">
        <f ca="1">IFERROR(+IF(BF$27=#REF!,Milestone_Marker,IF(AND(BF$27&gt;#REF!,BF$27&lt;=#REF!+#REF!),$G$5,"")),"")</f>
        <v/>
      </c>
      <c r="BF84" s="36" t="str">
        <f ca="1">IFERROR(+IF(BG$27=#REF!,Milestone_Marker,IF(AND(BG$27&gt;#REF!,BG$27&lt;=#REF!+#REF!),$G$5,"")),"")</f>
        <v/>
      </c>
      <c r="BG84" s="36" t="str">
        <f ca="1">IFERROR(+IF(BH$27=#REF!,Milestone_Marker,IF(AND(BH$27&gt;#REF!,BH$27&lt;=#REF!+#REF!),$G$5,"")),"")</f>
        <v/>
      </c>
      <c r="BH84" s="36" t="str">
        <f ca="1">IFERROR(+IF(BI$27=#REF!,Milestone_Marker,IF(AND(BI$27&gt;#REF!,BI$27&lt;=#REF!+#REF!),$G$5,"")),"")</f>
        <v/>
      </c>
      <c r="BI84" s="36" t="str">
        <f ca="1">IFERROR(+IF(BJ$27=#REF!,Milestone_Marker,IF(AND(BJ$27&gt;#REF!,BJ$27&lt;=#REF!+#REF!),$G$5,"")),"")</f>
        <v/>
      </c>
      <c r="BJ84" s="36" t="str">
        <f ca="1">IFERROR(+IF(BK$27=#REF!,Milestone_Marker,IF(AND(BK$27&gt;#REF!,BK$27&lt;=#REF!+#REF!),$G$5,"")),"")</f>
        <v/>
      </c>
      <c r="BK84" s="36" t="str">
        <f ca="1">IFERROR(+IF(BL$27=#REF!,Milestone_Marker,IF(AND(BL$27&gt;#REF!,BL$27&lt;=#REF!+#REF!),$G$5,"")),"")</f>
        <v/>
      </c>
      <c r="BL84" s="36" t="str">
        <f ca="1">IFERROR(+IF(BM$27=#REF!,Milestone_Marker,IF(AND(BM$27&gt;#REF!,BM$27&lt;=#REF!+#REF!),$G$5,"")),"")</f>
        <v/>
      </c>
      <c r="BM84" s="36" t="str">
        <f ca="1">IFERROR(+IF(BN$27=#REF!,Milestone_Marker,IF(AND(BN$27&gt;#REF!,BN$27&lt;=#REF!+#REF!),$G$5,"")),"")</f>
        <v/>
      </c>
      <c r="BN84" s="36" t="str">
        <f ca="1">IFERROR(+IF(BO$27=#REF!,Milestone_Marker,IF(AND(BO$27&gt;#REF!,BO$27&lt;=#REF!+#REF!),$G$5,"")),"")</f>
        <v/>
      </c>
      <c r="BO84" s="36" t="str">
        <f ca="1">IFERROR(+IF(BP$27=#REF!,Milestone_Marker,IF(AND(BP$27&gt;#REF!,BP$27&lt;=#REF!+#REF!),$G$5,"")),"")</f>
        <v/>
      </c>
      <c r="BP84" s="36" t="str">
        <f ca="1">IFERROR(+IF(BQ$27=#REF!,Milestone_Marker,IF(AND(BQ$27&gt;#REF!,BQ$27&lt;=#REF!+#REF!),$G$5,"")),"")</f>
        <v/>
      </c>
      <c r="BQ84" s="36" t="str">
        <f ca="1">IFERROR(+IF(BR$27=#REF!,Milestone_Marker,IF(AND(BR$27&gt;#REF!,BR$27&lt;=#REF!+#REF!),$G$5,"")),"")</f>
        <v/>
      </c>
      <c r="BR84" s="36" t="str">
        <f ca="1">IFERROR(+IF(BS$27=#REF!,Milestone_Marker,IF(AND(BS$27&gt;#REF!,BS$27&lt;=#REF!+#REF!),$G$5,"")),"")</f>
        <v/>
      </c>
      <c r="BS84" s="36" t="str">
        <f ca="1">IFERROR(+IF(BT$27=#REF!,Milestone_Marker,IF(AND(BT$27&gt;#REF!,BT$27&lt;=#REF!+#REF!),$G$5,"")),"")</f>
        <v/>
      </c>
      <c r="BT84" s="36" t="str">
        <f ca="1">IFERROR(+IF(BU$27=#REF!,Milestone_Marker,IF(AND(BU$27&gt;#REF!,BU$27&lt;=#REF!+#REF!),$G$5,"")),"")</f>
        <v/>
      </c>
      <c r="BU84" s="36" t="str">
        <f ca="1">IFERROR(+IF(BV$27=#REF!,Milestone_Marker,IF(AND(BV$27&gt;#REF!,BV$27&lt;=#REF!+#REF!),$G$5,"")),"")</f>
        <v/>
      </c>
      <c r="BV84" s="36" t="str">
        <f ca="1">IFERROR(+IF(BW$27=#REF!,Milestone_Marker,IF(AND(BW$27&gt;#REF!,BW$27&lt;=#REF!+#REF!),$G$5,"")),"")</f>
        <v/>
      </c>
      <c r="BW84" s="36" t="str">
        <f ca="1">IFERROR(+IF(BX$27=#REF!,Milestone_Marker,IF(AND(BX$27&gt;#REF!,BX$27&lt;=#REF!+#REF!),$G$5,"")),"")</f>
        <v/>
      </c>
      <c r="BX84" s="36" t="str">
        <f ca="1">IFERROR(+IF(BY$27=#REF!,Milestone_Marker,IF(AND(BY$27&gt;#REF!,BY$27&lt;=#REF!+#REF!),$G$5,"")),"")</f>
        <v/>
      </c>
      <c r="BY84" s="36" t="str">
        <f ca="1">IFERROR(+IF(BZ$27=#REF!,Milestone_Marker,IF(AND(BZ$27&gt;#REF!,BZ$27&lt;=#REF!+#REF!),$G$5,"")),"")</f>
        <v/>
      </c>
      <c r="BZ84" s="36" t="str">
        <f ca="1">IFERROR(+IF(CA$27=#REF!,Milestone_Marker,IF(AND(CA$27&gt;#REF!,CA$27&lt;=#REF!+#REF!),$G$5,"")),"")</f>
        <v/>
      </c>
      <c r="CA84" s="36" t="str">
        <f ca="1">IFERROR(+IF(CB$27=#REF!,Milestone_Marker,IF(AND(CB$27&gt;#REF!,CB$27&lt;=#REF!+#REF!),$G$5,"")),"")</f>
        <v/>
      </c>
      <c r="CB84" s="36" t="str">
        <f ca="1">IFERROR(+IF(CC$27=#REF!,Milestone_Marker,IF(AND(CC$27&gt;#REF!,CC$27&lt;=#REF!+#REF!),$G$5,"")),"")</f>
        <v/>
      </c>
      <c r="CC84" s="36" t="str">
        <f ca="1">IFERROR(+IF(CD$27=#REF!,Milestone_Marker,IF(AND(CD$27&gt;#REF!,CD$27&lt;=#REF!+#REF!),$G$5,"")),"")</f>
        <v/>
      </c>
      <c r="CD84" s="36" t="str">
        <f ca="1">IFERROR(+IF(CE$27=#REF!,Milestone_Marker,IF(AND(CE$27&gt;#REF!,CE$27&lt;=#REF!+#REF!),$G$5,"")),"")</f>
        <v/>
      </c>
      <c r="CE84" s="36" t="str">
        <f ca="1">IFERROR(+IF(CF$27=#REF!,Milestone_Marker,IF(AND(CF$27&gt;#REF!,CF$27&lt;=#REF!+#REF!),$G$5,"")),"")</f>
        <v/>
      </c>
      <c r="CF84" s="36" t="str">
        <f ca="1">IFERROR(+IF(CG$27=#REF!,Milestone_Marker,IF(AND(CG$27&gt;#REF!,CG$27&lt;=#REF!+#REF!),$G$5,"")),"")</f>
        <v/>
      </c>
      <c r="CG84" s="36" t="str">
        <f ca="1">IFERROR(+IF(CH$27=#REF!,Milestone_Marker,IF(AND(CH$27&gt;#REF!,CH$27&lt;=#REF!+#REF!),$G$5,"")),"")</f>
        <v/>
      </c>
      <c r="CH84" s="36" t="str">
        <f ca="1">IFERROR(+IF(CI$27=#REF!,Milestone_Marker,IF(AND(CI$27&gt;#REF!,CI$27&lt;=#REF!+#REF!),$G$5,"")),"")</f>
        <v/>
      </c>
      <c r="CI84" s="36" t="str">
        <f ca="1">IFERROR(+IF(CJ$27=#REF!,Milestone_Marker,IF(AND(CJ$27&gt;#REF!,CJ$27&lt;=#REF!+#REF!),$G$5,"")),"")</f>
        <v/>
      </c>
      <c r="CJ84" s="36" t="str">
        <f ca="1">IFERROR(+IF(CK$27=#REF!,Milestone_Marker,IF(AND(CK$27&gt;#REF!,CK$27&lt;=#REF!+#REF!),$G$5,"")),"")</f>
        <v/>
      </c>
      <c r="CK84" s="36" t="str">
        <f ca="1">IFERROR(+IF(CL$27=#REF!,Milestone_Marker,IF(AND(CL$27&gt;#REF!,CL$27&lt;=#REF!+#REF!),$G$5,"")),"")</f>
        <v/>
      </c>
      <c r="CL84" s="36" t="str">
        <f ca="1">IFERROR(+IF(CM$27=#REF!,Milestone_Marker,IF(AND(CM$27&gt;#REF!,CM$27&lt;=#REF!+#REF!),$G$5,"")),"")</f>
        <v/>
      </c>
      <c r="CM84" s="36" t="str">
        <f ca="1">IFERROR(+IF(CN$27=#REF!,Milestone_Marker,IF(AND(CN$27&gt;#REF!,CN$27&lt;=#REF!+#REF!),$G$5,"")),"")</f>
        <v/>
      </c>
      <c r="CN84" s="36" t="str">
        <f ca="1">IFERROR(+IF(CO$27=#REF!,Milestone_Marker,IF(AND(CO$27&gt;#REF!,CO$27&lt;=#REF!+#REF!),$G$5,"")),"")</f>
        <v/>
      </c>
      <c r="CO84" s="36" t="str">
        <f ca="1">IFERROR(+IF(CP$27=#REF!,Milestone_Marker,IF(AND(CP$27&gt;#REF!,CP$27&lt;=#REF!+#REF!),$G$5,"")),"")</f>
        <v/>
      </c>
      <c r="CP84" s="36" t="str">
        <f ca="1">IFERROR(+IF(CQ$27=#REF!,Milestone_Marker,IF(AND(CQ$27&gt;#REF!,CQ$27&lt;=#REF!+#REF!),$G$5,"")),"")</f>
        <v/>
      </c>
      <c r="CQ84" s="36" t="str">
        <f ca="1">IFERROR(+IF(CR$27=#REF!,Milestone_Marker,IF(AND(CR$27&gt;#REF!,CR$27&lt;=#REF!+#REF!),$G$5,"")),"")</f>
        <v/>
      </c>
      <c r="CR84" s="36" t="str">
        <f ca="1">IFERROR(+IF(CS$27=#REF!,Milestone_Marker,IF(AND(CS$27&gt;#REF!,CS$27&lt;=#REF!+#REF!),$G$5,"")),"")</f>
        <v/>
      </c>
      <c r="CS84" s="36" t="str">
        <f ca="1">IFERROR(+IF(CT$27=#REF!,Milestone_Marker,IF(AND(CT$27&gt;#REF!,CT$27&lt;=#REF!+#REF!),$G$5,"")),"")</f>
        <v/>
      </c>
      <c r="CT84" s="36" t="str">
        <f ca="1">IFERROR(+IF(CU$27=#REF!,Milestone_Marker,IF(AND(CU$27&gt;#REF!,CU$27&lt;=#REF!+#REF!),$G$5,"")),"")</f>
        <v/>
      </c>
    </row>
    <row r="85" spans="1:125" ht="15" x14ac:dyDescent="0.25">
      <c r="A85"/>
      <c r="B85"/>
      <c r="C85"/>
      <c r="D85"/>
      <c r="E85"/>
      <c r="F85"/>
      <c r="G85" s="14"/>
      <c r="H85" s="14"/>
      <c r="I85"/>
      <c r="J85"/>
      <c r="K85" s="261"/>
      <c r="L85"/>
      <c r="M85" s="14"/>
      <c r="N85" s="309"/>
      <c r="O85" s="297"/>
      <c r="P85" s="36" t="str">
        <f ca="1">IFERROR(+IF(Q$27=#REF!,Milestone_Marker,IF(AND(Q$27&gt;#REF!,Q$27&lt;=#REF!+#REF!),$G$5,"")),"")</f>
        <v/>
      </c>
      <c r="Q85" s="36" t="str">
        <f ca="1">IFERROR(+IF(R$27=#REF!,Milestone_Marker,IF(AND(R$27&gt;#REF!,R$27&lt;=#REF!+#REF!),$G$5,"")),"")</f>
        <v/>
      </c>
      <c r="R85" s="36" t="str">
        <f ca="1">IFERROR(+IF(S$27=#REF!,Milestone_Marker,IF(AND(S$27&gt;#REF!,S$27&lt;=#REF!+#REF!),$G$5,"")),"")</f>
        <v/>
      </c>
      <c r="S85" s="36" t="str">
        <f ca="1">IFERROR(+IF(T$27=#REF!,Milestone_Marker,IF(AND(T$27&gt;#REF!,T$27&lt;=#REF!+#REF!),$G$5,"")),"")</f>
        <v/>
      </c>
      <c r="T85" s="36" t="str">
        <f ca="1">IFERROR(+IF(U$27=#REF!,Milestone_Marker,IF(AND(U$27&gt;#REF!,U$27&lt;=#REF!+#REF!),$G$5,"")),"")</f>
        <v/>
      </c>
      <c r="U85" s="36" t="str">
        <f ca="1">IFERROR(+IF(V$27=#REF!,Milestone_Marker,IF(AND(V$27&gt;#REF!,V$27&lt;=#REF!+#REF!),$G$5,"")),"")</f>
        <v/>
      </c>
      <c r="V85" s="36" t="str">
        <f ca="1">IFERROR(+IF(W$27=#REF!,Milestone_Marker,IF(AND(W$27&gt;#REF!,W$27&lt;=#REF!+#REF!),$G$5,"")),"")</f>
        <v/>
      </c>
      <c r="W85" s="36" t="str">
        <f ca="1">IFERROR(+IF(X$27=#REF!,Milestone_Marker,IF(AND(X$27&gt;#REF!,X$27&lt;=#REF!+#REF!),$G$5,"")),"")</f>
        <v/>
      </c>
      <c r="X85" s="36" t="str">
        <f ca="1">IFERROR(+IF(Y$27=#REF!,Milestone_Marker,IF(AND(Y$27&gt;#REF!,Y$27&lt;=#REF!+#REF!),$G$5,"")),"")</f>
        <v/>
      </c>
      <c r="Y85" s="36" t="str">
        <f ca="1">IFERROR(+IF(Z$27=#REF!,Milestone_Marker,IF(AND(Z$27&gt;#REF!,Z$27&lt;=#REF!+#REF!),$G$5,"")),"")</f>
        <v/>
      </c>
      <c r="Z85" s="36" t="str">
        <f ca="1">IFERROR(+IF(AA$27=#REF!,Milestone_Marker,IF(AND(AA$27&gt;#REF!,AA$27&lt;=#REF!+#REF!),$G$5,"")),"")</f>
        <v/>
      </c>
      <c r="AA85" s="36" t="str">
        <f ca="1">IFERROR(+IF(AB$27=#REF!,Milestone_Marker,IF(AND(AB$27&gt;#REF!,AB$27&lt;=#REF!+#REF!),$G$5,"")),"")</f>
        <v/>
      </c>
      <c r="AB85" s="36" t="str">
        <f ca="1">IFERROR(+IF(AC$27=#REF!,Milestone_Marker,IF(AND(AC$27&gt;#REF!,AC$27&lt;=#REF!+#REF!),$G$5,"")),"")</f>
        <v/>
      </c>
      <c r="AC85" s="36" t="str">
        <f ca="1">IFERROR(+IF(AD$27=#REF!,Milestone_Marker,IF(AND(AD$27&gt;#REF!,AD$27&lt;=#REF!+#REF!),$G$5,"")),"")</f>
        <v/>
      </c>
      <c r="AD85" s="36" t="str">
        <f ca="1">IFERROR(+IF(AE$27=#REF!,Milestone_Marker,IF(AND(AE$27&gt;#REF!,AE$27&lt;=#REF!+#REF!),$G$5,"")),"")</f>
        <v/>
      </c>
      <c r="AE85" s="36" t="str">
        <f ca="1">IFERROR(+IF(AF$27=#REF!,Milestone_Marker,IF(AND(AF$27&gt;#REF!,AF$27&lt;=#REF!+#REF!),$G$5,"")),"")</f>
        <v/>
      </c>
      <c r="AF85" s="36" t="str">
        <f ca="1">IFERROR(+IF(AG$27=#REF!,Milestone_Marker,IF(AND(AG$27&gt;#REF!,AG$27&lt;=#REF!+#REF!),$G$5,"")),"")</f>
        <v/>
      </c>
      <c r="AG85" s="36" t="str">
        <f ca="1">IFERROR(+IF(AH$27=#REF!,Milestone_Marker,IF(AND(AH$27&gt;#REF!,AH$27&lt;=#REF!+#REF!),$G$5,"")),"")</f>
        <v/>
      </c>
      <c r="AH85" s="36" t="str">
        <f ca="1">IFERROR(+IF(AI$27=#REF!,Milestone_Marker,IF(AND(AI$27&gt;#REF!,AI$27&lt;=#REF!+#REF!),$G$5,"")),"")</f>
        <v/>
      </c>
      <c r="AI85" s="36" t="str">
        <f ca="1">IFERROR(+IF(AJ$27=#REF!,Milestone_Marker,IF(AND(AJ$27&gt;#REF!,AJ$27&lt;=#REF!+#REF!),$G$5,"")),"")</f>
        <v/>
      </c>
      <c r="AJ85" s="36" t="str">
        <f ca="1">IFERROR(+IF(AK$27=#REF!,Milestone_Marker,IF(AND(AK$27&gt;#REF!,AK$27&lt;=#REF!+#REF!),$G$5,"")),"")</f>
        <v/>
      </c>
      <c r="AK85" s="36" t="str">
        <f ca="1">IFERROR(+IF(AL$27=#REF!,Milestone_Marker,IF(AND(AL$27&gt;#REF!,AL$27&lt;=#REF!+#REF!),$G$5,"")),"")</f>
        <v/>
      </c>
      <c r="AL85" s="36" t="str">
        <f ca="1">IFERROR(+IF(AM$27=#REF!,Milestone_Marker,IF(AND(AM$27&gt;#REF!,AM$27&lt;=#REF!+#REF!),$G$5,"")),"")</f>
        <v/>
      </c>
      <c r="AM85" s="36" t="str">
        <f ca="1">IFERROR(+IF(AN$27=#REF!,Milestone_Marker,IF(AND(AN$27&gt;#REF!,AN$27&lt;=#REF!+#REF!),$G$5,"")),"")</f>
        <v/>
      </c>
      <c r="AN85" s="36" t="str">
        <f ca="1">IFERROR(+IF(AO$27=#REF!,Milestone_Marker,IF(AND(AO$27&gt;#REF!,AO$27&lt;=#REF!+#REF!),$G$5,"")),"")</f>
        <v/>
      </c>
      <c r="AO85" s="36" t="str">
        <f ca="1">IFERROR(+IF(AP$27=#REF!,Milestone_Marker,IF(AND(AP$27&gt;#REF!,AP$27&lt;=#REF!+#REF!),$G$5,"")),"")</f>
        <v/>
      </c>
      <c r="AP85" s="36" t="str">
        <f ca="1">IFERROR(+IF(AQ$27=#REF!,Milestone_Marker,IF(AND(AQ$27&gt;#REF!,AQ$27&lt;=#REF!+#REF!),$G$5,"")),"")</f>
        <v/>
      </c>
      <c r="AQ85" s="36" t="str">
        <f ca="1">IFERROR(+IF(AR$27=#REF!,Milestone_Marker,IF(AND(AR$27&gt;#REF!,AR$27&lt;=#REF!+#REF!),$G$5,"")),"")</f>
        <v/>
      </c>
      <c r="AR85" s="36" t="str">
        <f ca="1">IFERROR(+IF(AS$27=#REF!,Milestone_Marker,IF(AND(AS$27&gt;#REF!,AS$27&lt;=#REF!+#REF!),$G$5,"")),"")</f>
        <v/>
      </c>
      <c r="AS85" s="36" t="str">
        <f ca="1">IFERROR(+IF(AT$27=#REF!,Milestone_Marker,IF(AND(AT$27&gt;#REF!,AT$27&lt;=#REF!+#REF!),$G$5,"")),"")</f>
        <v/>
      </c>
      <c r="AT85" s="36" t="str">
        <f ca="1">IFERROR(+IF(AU$27=#REF!,Milestone_Marker,IF(AND(AU$27&gt;#REF!,AU$27&lt;=#REF!+#REF!),$G$5,"")),"")</f>
        <v/>
      </c>
      <c r="AU85" s="36" t="str">
        <f ca="1">IFERROR(+IF(AV$27=#REF!,Milestone_Marker,IF(AND(AV$27&gt;#REF!,AV$27&lt;=#REF!+#REF!),$G$5,"")),"")</f>
        <v/>
      </c>
      <c r="AV85" s="36" t="str">
        <f ca="1">IFERROR(+IF(AW$27=#REF!,Milestone_Marker,IF(AND(AW$27&gt;#REF!,AW$27&lt;=#REF!+#REF!),$G$5,"")),"")</f>
        <v/>
      </c>
      <c r="AW85" s="36" t="str">
        <f ca="1">IFERROR(+IF(AX$27=#REF!,Milestone_Marker,IF(AND(AX$27&gt;#REF!,AX$27&lt;=#REF!+#REF!),$G$5,"")),"")</f>
        <v/>
      </c>
      <c r="AX85" s="36" t="str">
        <f ca="1">IFERROR(+IF(AY$27=#REF!,Milestone_Marker,IF(AND(AY$27&gt;#REF!,AY$27&lt;=#REF!+#REF!),$G$5,"")),"")</f>
        <v/>
      </c>
      <c r="AY85" s="36" t="str">
        <f ca="1">IFERROR(+IF(AZ$27=#REF!,Milestone_Marker,IF(AND(AZ$27&gt;#REF!,AZ$27&lt;=#REF!+#REF!),$G$5,"")),"")</f>
        <v/>
      </c>
      <c r="AZ85" s="36" t="str">
        <f ca="1">IFERROR(+IF(BA$27=#REF!,Milestone_Marker,IF(AND(BA$27&gt;#REF!,BA$27&lt;=#REF!+#REF!),$G$5,"")),"")</f>
        <v/>
      </c>
      <c r="BA85" s="36" t="str">
        <f ca="1">IFERROR(+IF(BB$27=#REF!,Milestone_Marker,IF(AND(BB$27&gt;#REF!,BB$27&lt;=#REF!+#REF!),$G$5,"")),"")</f>
        <v/>
      </c>
      <c r="BB85" s="36" t="str">
        <f ca="1">IFERROR(+IF(BC$27=#REF!,Milestone_Marker,IF(AND(BC$27&gt;#REF!,BC$27&lt;=#REF!+#REF!),$G$5,"")),"")</f>
        <v/>
      </c>
      <c r="BC85" s="36" t="str">
        <f ca="1">IFERROR(+IF(BD$27=#REF!,Milestone_Marker,IF(AND(BD$27&gt;#REF!,BD$27&lt;=#REF!+#REF!),$G$5,"")),"")</f>
        <v/>
      </c>
      <c r="BD85" s="36" t="str">
        <f ca="1">IFERROR(+IF(BE$27=#REF!,Milestone_Marker,IF(AND(BE$27&gt;#REF!,BE$27&lt;=#REF!+#REF!),$G$5,"")),"")</f>
        <v/>
      </c>
      <c r="BE85" s="36" t="str">
        <f ca="1">IFERROR(+IF(BF$27=#REF!,Milestone_Marker,IF(AND(BF$27&gt;#REF!,BF$27&lt;=#REF!+#REF!),$G$5,"")),"")</f>
        <v/>
      </c>
      <c r="BF85" s="36" t="str">
        <f ca="1">IFERROR(+IF(BG$27=#REF!,Milestone_Marker,IF(AND(BG$27&gt;#REF!,BG$27&lt;=#REF!+#REF!),$G$5,"")),"")</f>
        <v/>
      </c>
      <c r="BG85" s="36" t="str">
        <f ca="1">IFERROR(+IF(BH$27=#REF!,Milestone_Marker,IF(AND(BH$27&gt;#REF!,BH$27&lt;=#REF!+#REF!),$G$5,"")),"")</f>
        <v/>
      </c>
      <c r="BH85" s="36" t="str">
        <f ca="1">IFERROR(+IF(BI$27=#REF!,Milestone_Marker,IF(AND(BI$27&gt;#REF!,BI$27&lt;=#REF!+#REF!),$G$5,"")),"")</f>
        <v/>
      </c>
      <c r="BI85" s="36" t="str">
        <f ca="1">IFERROR(+IF(BJ$27=#REF!,Milestone_Marker,IF(AND(BJ$27&gt;#REF!,BJ$27&lt;=#REF!+#REF!),$G$5,"")),"")</f>
        <v/>
      </c>
      <c r="BJ85" s="36" t="str">
        <f ca="1">IFERROR(+IF(BK$27=#REF!,Milestone_Marker,IF(AND(BK$27&gt;#REF!,BK$27&lt;=#REF!+#REF!),$G$5,"")),"")</f>
        <v/>
      </c>
      <c r="BK85" s="36" t="str">
        <f ca="1">IFERROR(+IF(BL$27=#REF!,Milestone_Marker,IF(AND(BL$27&gt;#REF!,BL$27&lt;=#REF!+#REF!),$G$5,"")),"")</f>
        <v/>
      </c>
      <c r="BL85" s="36" t="str">
        <f ca="1">IFERROR(+IF(BM$27=#REF!,Milestone_Marker,IF(AND(BM$27&gt;#REF!,BM$27&lt;=#REF!+#REF!),$G$5,"")),"")</f>
        <v/>
      </c>
      <c r="BM85" s="36" t="str">
        <f ca="1">IFERROR(+IF(BN$27=#REF!,Milestone_Marker,IF(AND(BN$27&gt;#REF!,BN$27&lt;=#REF!+#REF!),$G$5,"")),"")</f>
        <v/>
      </c>
      <c r="BN85" s="36" t="str">
        <f ca="1">IFERROR(+IF(BO$27=#REF!,Milestone_Marker,IF(AND(BO$27&gt;#REF!,BO$27&lt;=#REF!+#REF!),$G$5,"")),"")</f>
        <v/>
      </c>
      <c r="BO85" s="36" t="str">
        <f ca="1">IFERROR(+IF(BP$27=#REF!,Milestone_Marker,IF(AND(BP$27&gt;#REF!,BP$27&lt;=#REF!+#REF!),$G$5,"")),"")</f>
        <v/>
      </c>
      <c r="BP85" s="36" t="str">
        <f ca="1">IFERROR(+IF(BQ$27=#REF!,Milestone_Marker,IF(AND(BQ$27&gt;#REF!,BQ$27&lt;=#REF!+#REF!),$G$5,"")),"")</f>
        <v/>
      </c>
      <c r="BQ85" s="36" t="str">
        <f ca="1">IFERROR(+IF(BR$27=#REF!,Milestone_Marker,IF(AND(BR$27&gt;#REF!,BR$27&lt;=#REF!+#REF!),$G$5,"")),"")</f>
        <v/>
      </c>
      <c r="BR85" s="36" t="str">
        <f ca="1">IFERROR(+IF(BS$27=#REF!,Milestone_Marker,IF(AND(BS$27&gt;#REF!,BS$27&lt;=#REF!+#REF!),$G$5,"")),"")</f>
        <v/>
      </c>
      <c r="BS85" s="36" t="str">
        <f ca="1">IFERROR(+IF(BT$27=#REF!,Milestone_Marker,IF(AND(BT$27&gt;#REF!,BT$27&lt;=#REF!+#REF!),$G$5,"")),"")</f>
        <v/>
      </c>
      <c r="BT85" s="36" t="str">
        <f ca="1">IFERROR(+IF(BU$27=#REF!,Milestone_Marker,IF(AND(BU$27&gt;#REF!,BU$27&lt;=#REF!+#REF!),$G$5,"")),"")</f>
        <v/>
      </c>
      <c r="BU85" s="36" t="str">
        <f ca="1">IFERROR(+IF(BV$27=#REF!,Milestone_Marker,IF(AND(BV$27&gt;#REF!,BV$27&lt;=#REF!+#REF!),$G$5,"")),"")</f>
        <v/>
      </c>
      <c r="BV85" s="36" t="str">
        <f ca="1">IFERROR(+IF(BW$27=#REF!,Milestone_Marker,IF(AND(BW$27&gt;#REF!,BW$27&lt;=#REF!+#REF!),$G$5,"")),"")</f>
        <v/>
      </c>
      <c r="BW85" s="36" t="str">
        <f ca="1">IFERROR(+IF(BX$27=#REF!,Milestone_Marker,IF(AND(BX$27&gt;#REF!,BX$27&lt;=#REF!+#REF!),$G$5,"")),"")</f>
        <v/>
      </c>
      <c r="BX85" s="36" t="str">
        <f ca="1">IFERROR(+IF(BY$27=#REF!,Milestone_Marker,IF(AND(BY$27&gt;#REF!,BY$27&lt;=#REF!+#REF!),$G$5,"")),"")</f>
        <v/>
      </c>
      <c r="BY85" s="36" t="str">
        <f ca="1">IFERROR(+IF(BZ$27=#REF!,Milestone_Marker,IF(AND(BZ$27&gt;#REF!,BZ$27&lt;=#REF!+#REF!),$G$5,"")),"")</f>
        <v/>
      </c>
      <c r="BZ85" s="36" t="str">
        <f ca="1">IFERROR(+IF(CA$27=#REF!,Milestone_Marker,IF(AND(CA$27&gt;#REF!,CA$27&lt;=#REF!+#REF!),$G$5,"")),"")</f>
        <v/>
      </c>
      <c r="CA85" s="36" t="str">
        <f ca="1">IFERROR(+IF(CB$27=#REF!,Milestone_Marker,IF(AND(CB$27&gt;#REF!,CB$27&lt;=#REF!+#REF!),$G$5,"")),"")</f>
        <v/>
      </c>
      <c r="CB85" s="36" t="str">
        <f ca="1">IFERROR(+IF(CC$27=#REF!,Milestone_Marker,IF(AND(CC$27&gt;#REF!,CC$27&lt;=#REF!+#REF!),$G$5,"")),"")</f>
        <v/>
      </c>
      <c r="CC85" s="36" t="str">
        <f ca="1">IFERROR(+IF(CD$27=#REF!,Milestone_Marker,IF(AND(CD$27&gt;#REF!,CD$27&lt;=#REF!+#REF!),$G$5,"")),"")</f>
        <v/>
      </c>
      <c r="CD85" s="36" t="str">
        <f ca="1">IFERROR(+IF(CE$27=#REF!,Milestone_Marker,IF(AND(CE$27&gt;#REF!,CE$27&lt;=#REF!+#REF!),$G$5,"")),"")</f>
        <v/>
      </c>
      <c r="CE85" s="36" t="str">
        <f ca="1">IFERROR(+IF(CF$27=#REF!,Milestone_Marker,IF(AND(CF$27&gt;#REF!,CF$27&lt;=#REF!+#REF!),$G$5,"")),"")</f>
        <v/>
      </c>
      <c r="CF85" s="36" t="str">
        <f ca="1">IFERROR(+IF(CG$27=#REF!,Milestone_Marker,IF(AND(CG$27&gt;#REF!,CG$27&lt;=#REF!+#REF!),$G$5,"")),"")</f>
        <v/>
      </c>
      <c r="CG85" s="36" t="str">
        <f ca="1">IFERROR(+IF(CH$27=#REF!,Milestone_Marker,IF(AND(CH$27&gt;#REF!,CH$27&lt;=#REF!+#REF!),$G$5,"")),"")</f>
        <v/>
      </c>
      <c r="CH85" s="36" t="str">
        <f ca="1">IFERROR(+IF(CI$27=#REF!,Milestone_Marker,IF(AND(CI$27&gt;#REF!,CI$27&lt;=#REF!+#REF!),$G$5,"")),"")</f>
        <v/>
      </c>
      <c r="CI85" s="36" t="str">
        <f ca="1">IFERROR(+IF(CJ$27=#REF!,Milestone_Marker,IF(AND(CJ$27&gt;#REF!,CJ$27&lt;=#REF!+#REF!),$G$5,"")),"")</f>
        <v/>
      </c>
      <c r="CJ85" s="36" t="str">
        <f ca="1">IFERROR(+IF(CK$27=#REF!,Milestone_Marker,IF(AND(CK$27&gt;#REF!,CK$27&lt;=#REF!+#REF!),$G$5,"")),"")</f>
        <v/>
      </c>
      <c r="CK85" s="36" t="str">
        <f ca="1">IFERROR(+IF(CL$27=#REF!,Milestone_Marker,IF(AND(CL$27&gt;#REF!,CL$27&lt;=#REF!+#REF!),$G$5,"")),"")</f>
        <v/>
      </c>
      <c r="CL85" s="36" t="str">
        <f ca="1">IFERROR(+IF(CM$27=#REF!,Milestone_Marker,IF(AND(CM$27&gt;#REF!,CM$27&lt;=#REF!+#REF!),$G$5,"")),"")</f>
        <v/>
      </c>
      <c r="CM85" s="36" t="str">
        <f ca="1">IFERROR(+IF(CN$27=#REF!,Milestone_Marker,IF(AND(CN$27&gt;#REF!,CN$27&lt;=#REF!+#REF!),$G$5,"")),"")</f>
        <v/>
      </c>
      <c r="CN85" s="36" t="str">
        <f ca="1">IFERROR(+IF(CO$27=#REF!,Milestone_Marker,IF(AND(CO$27&gt;#REF!,CO$27&lt;=#REF!+#REF!),$G$5,"")),"")</f>
        <v/>
      </c>
      <c r="CO85" s="36" t="str">
        <f ca="1">IFERROR(+IF(CP$27=#REF!,Milestone_Marker,IF(AND(CP$27&gt;#REF!,CP$27&lt;=#REF!+#REF!),$G$5,"")),"")</f>
        <v/>
      </c>
      <c r="CP85" s="36" t="str">
        <f ca="1">IFERROR(+IF(CQ$27=#REF!,Milestone_Marker,IF(AND(CQ$27&gt;#REF!,CQ$27&lt;=#REF!+#REF!),$G$5,"")),"")</f>
        <v/>
      </c>
      <c r="CQ85" s="36" t="str">
        <f ca="1">IFERROR(+IF(CR$27=#REF!,Milestone_Marker,IF(AND(CR$27&gt;#REF!,CR$27&lt;=#REF!+#REF!),$G$5,"")),"")</f>
        <v/>
      </c>
      <c r="CR85" s="36" t="str">
        <f ca="1">IFERROR(+IF(CS$27=#REF!,Milestone_Marker,IF(AND(CS$27&gt;#REF!,CS$27&lt;=#REF!+#REF!),$G$5,"")),"")</f>
        <v/>
      </c>
      <c r="CS85" s="36" t="str">
        <f ca="1">IFERROR(+IF(CT$27=#REF!,Milestone_Marker,IF(AND(CT$27&gt;#REF!,CT$27&lt;=#REF!+#REF!),$G$5,"")),"")</f>
        <v/>
      </c>
      <c r="CT85" s="36" t="str">
        <f ca="1">IFERROR(+IF(CU$27=#REF!,Milestone_Marker,IF(AND(CU$27&gt;#REF!,CU$27&lt;=#REF!+#REF!),$G$5,"")),"")</f>
        <v/>
      </c>
    </row>
    <row r="86" spans="1:125" ht="15" x14ac:dyDescent="0.25">
      <c r="A86"/>
      <c r="B86"/>
      <c r="C86"/>
      <c r="D86"/>
      <c r="E86"/>
      <c r="F86"/>
      <c r="G86" s="14"/>
      <c r="H86" s="14"/>
      <c r="I86"/>
      <c r="J86"/>
      <c r="K86" s="261"/>
      <c r="L86"/>
      <c r="M86" s="14"/>
      <c r="N86" s="309"/>
      <c r="O86" s="297"/>
      <c r="P86" s="36" t="str">
        <f ca="1">IFERROR(+IF(Q$27=#REF!,Milestone_Marker,IF(AND(Q$27&gt;#REF!,Q$27&lt;=#REF!+#REF!),$G$5,"")),"")</f>
        <v/>
      </c>
      <c r="Q86" s="36" t="str">
        <f ca="1">IFERROR(+IF(R$27=#REF!,Milestone_Marker,IF(AND(R$27&gt;#REF!,R$27&lt;=#REF!+#REF!),$G$5,"")),"")</f>
        <v/>
      </c>
      <c r="R86" s="36" t="str">
        <f ca="1">IFERROR(+IF(S$27=#REF!,Milestone_Marker,IF(AND(S$27&gt;#REF!,S$27&lt;=#REF!+#REF!),$G$5,"")),"")</f>
        <v/>
      </c>
      <c r="S86" s="36" t="str">
        <f ca="1">IFERROR(+IF(T$27=#REF!,Milestone_Marker,IF(AND(T$27&gt;#REF!,T$27&lt;=#REF!+#REF!),$G$5,"")),"")</f>
        <v/>
      </c>
      <c r="T86" s="36" t="str">
        <f ca="1">IFERROR(+IF(U$27=#REF!,Milestone_Marker,IF(AND(U$27&gt;#REF!,U$27&lt;=#REF!+#REF!),$G$5,"")),"")</f>
        <v/>
      </c>
      <c r="U86" s="36" t="str">
        <f ca="1">IFERROR(+IF(V$27=#REF!,Milestone_Marker,IF(AND(V$27&gt;#REF!,V$27&lt;=#REF!+#REF!),$G$5,"")),"")</f>
        <v/>
      </c>
      <c r="V86" s="36" t="str">
        <f ca="1">IFERROR(+IF(W$27=#REF!,Milestone_Marker,IF(AND(W$27&gt;#REF!,W$27&lt;=#REF!+#REF!),$G$5,"")),"")</f>
        <v/>
      </c>
      <c r="W86" s="36" t="str">
        <f ca="1">IFERROR(+IF(X$27=#REF!,Milestone_Marker,IF(AND(X$27&gt;#REF!,X$27&lt;=#REF!+#REF!),$G$5,"")),"")</f>
        <v/>
      </c>
      <c r="X86" s="36" t="str">
        <f ca="1">IFERROR(+IF(Y$27=#REF!,Milestone_Marker,IF(AND(Y$27&gt;#REF!,Y$27&lt;=#REF!+#REF!),$G$5,"")),"")</f>
        <v/>
      </c>
      <c r="Y86" s="36" t="str">
        <f ca="1">IFERROR(+IF(Z$27=#REF!,Milestone_Marker,IF(AND(Z$27&gt;#REF!,Z$27&lt;=#REF!+#REF!),$G$5,"")),"")</f>
        <v/>
      </c>
      <c r="Z86" s="36" t="str">
        <f ca="1">IFERROR(+IF(AA$27=#REF!,Milestone_Marker,IF(AND(AA$27&gt;#REF!,AA$27&lt;=#REF!+#REF!),$G$5,"")),"")</f>
        <v/>
      </c>
      <c r="AA86" s="36" t="str">
        <f ca="1">IFERROR(+IF(AB$27=#REF!,Milestone_Marker,IF(AND(AB$27&gt;#REF!,AB$27&lt;=#REF!+#REF!),$G$5,"")),"")</f>
        <v/>
      </c>
      <c r="AB86" s="36" t="str">
        <f ca="1">IFERROR(+IF(AC$27=#REF!,Milestone_Marker,IF(AND(AC$27&gt;#REF!,AC$27&lt;=#REF!+#REF!),$G$5,"")),"")</f>
        <v/>
      </c>
      <c r="AC86" s="36" t="str">
        <f ca="1">IFERROR(+IF(AD$27=#REF!,Milestone_Marker,IF(AND(AD$27&gt;#REF!,AD$27&lt;=#REF!+#REF!),$G$5,"")),"")</f>
        <v/>
      </c>
      <c r="AD86" s="36" t="str">
        <f ca="1">IFERROR(+IF(AE$27=#REF!,Milestone_Marker,IF(AND(AE$27&gt;#REF!,AE$27&lt;=#REF!+#REF!),$G$5,"")),"")</f>
        <v/>
      </c>
      <c r="AE86" s="36" t="str">
        <f ca="1">IFERROR(+IF(AF$27=#REF!,Milestone_Marker,IF(AND(AF$27&gt;#REF!,AF$27&lt;=#REF!+#REF!),$G$5,"")),"")</f>
        <v/>
      </c>
      <c r="AF86" s="36" t="str">
        <f ca="1">IFERROR(+IF(AG$27=#REF!,Milestone_Marker,IF(AND(AG$27&gt;#REF!,AG$27&lt;=#REF!+#REF!),$G$5,"")),"")</f>
        <v/>
      </c>
      <c r="AG86" s="36" t="str">
        <f ca="1">IFERROR(+IF(AH$27=#REF!,Milestone_Marker,IF(AND(AH$27&gt;#REF!,AH$27&lt;=#REF!+#REF!),$G$5,"")),"")</f>
        <v/>
      </c>
      <c r="AH86" s="36" t="str">
        <f ca="1">IFERROR(+IF(AI$27=#REF!,Milestone_Marker,IF(AND(AI$27&gt;#REF!,AI$27&lt;=#REF!+#REF!),$G$5,"")),"")</f>
        <v/>
      </c>
      <c r="AI86" s="36" t="str">
        <f ca="1">IFERROR(+IF(AJ$27=#REF!,Milestone_Marker,IF(AND(AJ$27&gt;#REF!,AJ$27&lt;=#REF!+#REF!),$G$5,"")),"")</f>
        <v/>
      </c>
      <c r="AJ86" s="36" t="str">
        <f ca="1">IFERROR(+IF(AK$27=#REF!,Milestone_Marker,IF(AND(AK$27&gt;#REF!,AK$27&lt;=#REF!+#REF!),$G$5,"")),"")</f>
        <v/>
      </c>
      <c r="AK86" s="36" t="str">
        <f ca="1">IFERROR(+IF(AL$27=#REF!,Milestone_Marker,IF(AND(AL$27&gt;#REF!,AL$27&lt;=#REF!+#REF!),$G$5,"")),"")</f>
        <v/>
      </c>
      <c r="AL86" s="36" t="str">
        <f ca="1">IFERROR(+IF(AM$27=#REF!,Milestone_Marker,IF(AND(AM$27&gt;#REF!,AM$27&lt;=#REF!+#REF!),$G$5,"")),"")</f>
        <v/>
      </c>
      <c r="AM86" s="36" t="str">
        <f ca="1">IFERROR(+IF(AN$27=#REF!,Milestone_Marker,IF(AND(AN$27&gt;#REF!,AN$27&lt;=#REF!+#REF!),$G$5,"")),"")</f>
        <v/>
      </c>
      <c r="AN86" s="36" t="str">
        <f ca="1">IFERROR(+IF(AO$27=#REF!,Milestone_Marker,IF(AND(AO$27&gt;#REF!,AO$27&lt;=#REF!+#REF!),$G$5,"")),"")</f>
        <v/>
      </c>
      <c r="AO86" s="36" t="str">
        <f ca="1">IFERROR(+IF(AP$27=#REF!,Milestone_Marker,IF(AND(AP$27&gt;#REF!,AP$27&lt;=#REF!+#REF!),$G$5,"")),"")</f>
        <v/>
      </c>
      <c r="AP86" s="36" t="str">
        <f ca="1">IFERROR(+IF(AQ$27=#REF!,Milestone_Marker,IF(AND(AQ$27&gt;#REF!,AQ$27&lt;=#REF!+#REF!),$G$5,"")),"")</f>
        <v/>
      </c>
      <c r="AQ86" s="36" t="str">
        <f ca="1">IFERROR(+IF(AR$27=#REF!,Milestone_Marker,IF(AND(AR$27&gt;#REF!,AR$27&lt;=#REF!+#REF!),$G$5,"")),"")</f>
        <v/>
      </c>
      <c r="AR86" s="36" t="str">
        <f ca="1">IFERROR(+IF(AS$27=#REF!,Milestone_Marker,IF(AND(AS$27&gt;#REF!,AS$27&lt;=#REF!+#REF!),$G$5,"")),"")</f>
        <v/>
      </c>
      <c r="AS86" s="36" t="str">
        <f ca="1">IFERROR(+IF(AT$27=#REF!,Milestone_Marker,IF(AND(AT$27&gt;#REF!,AT$27&lt;=#REF!+#REF!),$G$5,"")),"")</f>
        <v/>
      </c>
      <c r="AT86" s="36" t="str">
        <f ca="1">IFERROR(+IF(AU$27=#REF!,Milestone_Marker,IF(AND(AU$27&gt;#REF!,AU$27&lt;=#REF!+#REF!),$G$5,"")),"")</f>
        <v/>
      </c>
      <c r="AU86" s="36" t="str">
        <f ca="1">IFERROR(+IF(AV$27=#REF!,Milestone_Marker,IF(AND(AV$27&gt;#REF!,AV$27&lt;=#REF!+#REF!),$G$5,"")),"")</f>
        <v/>
      </c>
      <c r="AV86" s="36" t="str">
        <f ca="1">IFERROR(+IF(AW$27=#REF!,Milestone_Marker,IF(AND(AW$27&gt;#REF!,AW$27&lt;=#REF!+#REF!),$G$5,"")),"")</f>
        <v/>
      </c>
      <c r="AW86" s="36" t="str">
        <f ca="1">IFERROR(+IF(AX$27=#REF!,Milestone_Marker,IF(AND(AX$27&gt;#REF!,AX$27&lt;=#REF!+#REF!),$G$5,"")),"")</f>
        <v/>
      </c>
      <c r="AX86" s="36" t="str">
        <f ca="1">IFERROR(+IF(AY$27=#REF!,Milestone_Marker,IF(AND(AY$27&gt;#REF!,AY$27&lt;=#REF!+#REF!),$G$5,"")),"")</f>
        <v/>
      </c>
      <c r="AY86" s="36" t="str">
        <f ca="1">IFERROR(+IF(AZ$27=#REF!,Milestone_Marker,IF(AND(AZ$27&gt;#REF!,AZ$27&lt;=#REF!+#REF!),$G$5,"")),"")</f>
        <v/>
      </c>
      <c r="AZ86" s="36" t="str">
        <f ca="1">IFERROR(+IF(BA$27=#REF!,Milestone_Marker,IF(AND(BA$27&gt;#REF!,BA$27&lt;=#REF!+#REF!),$G$5,"")),"")</f>
        <v/>
      </c>
      <c r="BA86" s="36" t="str">
        <f ca="1">IFERROR(+IF(BB$27=#REF!,Milestone_Marker,IF(AND(BB$27&gt;#REF!,BB$27&lt;=#REF!+#REF!),$G$5,"")),"")</f>
        <v/>
      </c>
      <c r="BB86" s="36" t="str">
        <f ca="1">IFERROR(+IF(BC$27=#REF!,Milestone_Marker,IF(AND(BC$27&gt;#REF!,BC$27&lt;=#REF!+#REF!),$G$5,"")),"")</f>
        <v/>
      </c>
      <c r="BC86" s="36" t="str">
        <f ca="1">IFERROR(+IF(BD$27=#REF!,Milestone_Marker,IF(AND(BD$27&gt;#REF!,BD$27&lt;=#REF!+#REF!),$G$5,"")),"")</f>
        <v/>
      </c>
      <c r="BD86" s="36" t="str">
        <f ca="1">IFERROR(+IF(BE$27=#REF!,Milestone_Marker,IF(AND(BE$27&gt;#REF!,BE$27&lt;=#REF!+#REF!),$G$5,"")),"")</f>
        <v/>
      </c>
      <c r="BE86" s="36" t="str">
        <f ca="1">IFERROR(+IF(BF$27=#REF!,Milestone_Marker,IF(AND(BF$27&gt;#REF!,BF$27&lt;=#REF!+#REF!),$G$5,"")),"")</f>
        <v/>
      </c>
      <c r="BF86" s="36" t="str">
        <f ca="1">IFERROR(+IF(BG$27=#REF!,Milestone_Marker,IF(AND(BG$27&gt;#REF!,BG$27&lt;=#REF!+#REF!),$G$5,"")),"")</f>
        <v/>
      </c>
      <c r="BG86" s="36" t="str">
        <f ca="1">IFERROR(+IF(BH$27=#REF!,Milestone_Marker,IF(AND(BH$27&gt;#REF!,BH$27&lt;=#REF!+#REF!),$G$5,"")),"")</f>
        <v/>
      </c>
      <c r="BH86" s="36" t="str">
        <f ca="1">IFERROR(+IF(BI$27=#REF!,Milestone_Marker,IF(AND(BI$27&gt;#REF!,BI$27&lt;=#REF!+#REF!),$G$5,"")),"")</f>
        <v/>
      </c>
      <c r="BI86" s="36" t="str">
        <f ca="1">IFERROR(+IF(BJ$27=#REF!,Milestone_Marker,IF(AND(BJ$27&gt;#REF!,BJ$27&lt;=#REF!+#REF!),$G$5,"")),"")</f>
        <v/>
      </c>
      <c r="BJ86" s="36" t="str">
        <f ca="1">IFERROR(+IF(BK$27=#REF!,Milestone_Marker,IF(AND(BK$27&gt;#REF!,BK$27&lt;=#REF!+#REF!),$G$5,"")),"")</f>
        <v/>
      </c>
      <c r="BK86" s="36" t="str">
        <f ca="1">IFERROR(+IF(BL$27=#REF!,Milestone_Marker,IF(AND(BL$27&gt;#REF!,BL$27&lt;=#REF!+#REF!),$G$5,"")),"")</f>
        <v/>
      </c>
      <c r="BL86" s="36" t="str">
        <f ca="1">IFERROR(+IF(BM$27=#REF!,Milestone_Marker,IF(AND(BM$27&gt;#REF!,BM$27&lt;=#REF!+#REF!),$G$5,"")),"")</f>
        <v/>
      </c>
      <c r="BM86" s="36" t="str">
        <f ca="1">IFERROR(+IF(BN$27=#REF!,Milestone_Marker,IF(AND(BN$27&gt;#REF!,BN$27&lt;=#REF!+#REF!),$G$5,"")),"")</f>
        <v/>
      </c>
      <c r="BN86" s="36" t="str">
        <f ca="1">IFERROR(+IF(BO$27=#REF!,Milestone_Marker,IF(AND(BO$27&gt;#REF!,BO$27&lt;=#REF!+#REF!),$G$5,"")),"")</f>
        <v/>
      </c>
      <c r="BO86" s="36" t="str">
        <f ca="1">IFERROR(+IF(BP$27=#REF!,Milestone_Marker,IF(AND(BP$27&gt;#REF!,BP$27&lt;=#REF!+#REF!),$G$5,"")),"")</f>
        <v/>
      </c>
      <c r="BP86" s="36" t="str">
        <f ca="1">IFERROR(+IF(BQ$27=#REF!,Milestone_Marker,IF(AND(BQ$27&gt;#REF!,BQ$27&lt;=#REF!+#REF!),$G$5,"")),"")</f>
        <v/>
      </c>
      <c r="BQ86" s="36" t="str">
        <f ca="1">IFERROR(+IF(BR$27=#REF!,Milestone_Marker,IF(AND(BR$27&gt;#REF!,BR$27&lt;=#REF!+#REF!),$G$5,"")),"")</f>
        <v/>
      </c>
      <c r="BR86" s="36" t="str">
        <f ca="1">IFERROR(+IF(BS$27=#REF!,Milestone_Marker,IF(AND(BS$27&gt;#REF!,BS$27&lt;=#REF!+#REF!),$G$5,"")),"")</f>
        <v/>
      </c>
      <c r="BS86" s="36" t="str">
        <f ca="1">IFERROR(+IF(BT$27=#REF!,Milestone_Marker,IF(AND(BT$27&gt;#REF!,BT$27&lt;=#REF!+#REF!),$G$5,"")),"")</f>
        <v/>
      </c>
      <c r="BT86" s="36" t="str">
        <f ca="1">IFERROR(+IF(BU$27=#REF!,Milestone_Marker,IF(AND(BU$27&gt;#REF!,BU$27&lt;=#REF!+#REF!),$G$5,"")),"")</f>
        <v/>
      </c>
      <c r="BU86" s="36" t="str">
        <f ca="1">IFERROR(+IF(BV$27=#REF!,Milestone_Marker,IF(AND(BV$27&gt;#REF!,BV$27&lt;=#REF!+#REF!),$G$5,"")),"")</f>
        <v/>
      </c>
      <c r="BV86" s="36" t="str">
        <f ca="1">IFERROR(+IF(BW$27=#REF!,Milestone_Marker,IF(AND(BW$27&gt;#REF!,BW$27&lt;=#REF!+#REF!),$G$5,"")),"")</f>
        <v/>
      </c>
      <c r="BW86" s="36" t="str">
        <f ca="1">IFERROR(+IF(BX$27=#REF!,Milestone_Marker,IF(AND(BX$27&gt;#REF!,BX$27&lt;=#REF!+#REF!),$G$5,"")),"")</f>
        <v/>
      </c>
      <c r="BX86" s="36" t="str">
        <f ca="1">IFERROR(+IF(BY$27=#REF!,Milestone_Marker,IF(AND(BY$27&gt;#REF!,BY$27&lt;=#REF!+#REF!),$G$5,"")),"")</f>
        <v/>
      </c>
      <c r="BY86" s="36" t="str">
        <f ca="1">IFERROR(+IF(BZ$27=#REF!,Milestone_Marker,IF(AND(BZ$27&gt;#REF!,BZ$27&lt;=#REF!+#REF!),$G$5,"")),"")</f>
        <v/>
      </c>
      <c r="BZ86" s="36" t="str">
        <f ca="1">IFERROR(+IF(CA$27=#REF!,Milestone_Marker,IF(AND(CA$27&gt;#REF!,CA$27&lt;=#REF!+#REF!),$G$5,"")),"")</f>
        <v/>
      </c>
      <c r="CA86" s="36" t="str">
        <f ca="1">IFERROR(+IF(CB$27=#REF!,Milestone_Marker,IF(AND(CB$27&gt;#REF!,CB$27&lt;=#REF!+#REF!),$G$5,"")),"")</f>
        <v/>
      </c>
      <c r="CB86" s="36" t="str">
        <f ca="1">IFERROR(+IF(CC$27=#REF!,Milestone_Marker,IF(AND(CC$27&gt;#REF!,CC$27&lt;=#REF!+#REF!),$G$5,"")),"")</f>
        <v/>
      </c>
      <c r="CC86" s="36" t="str">
        <f ca="1">IFERROR(+IF(CD$27=#REF!,Milestone_Marker,IF(AND(CD$27&gt;#REF!,CD$27&lt;=#REF!+#REF!),$G$5,"")),"")</f>
        <v/>
      </c>
      <c r="CD86" s="36" t="str">
        <f ca="1">IFERROR(+IF(CE$27=#REF!,Milestone_Marker,IF(AND(CE$27&gt;#REF!,CE$27&lt;=#REF!+#REF!),$G$5,"")),"")</f>
        <v/>
      </c>
      <c r="CE86" s="36" t="str">
        <f ca="1">IFERROR(+IF(CF$27=#REF!,Milestone_Marker,IF(AND(CF$27&gt;#REF!,CF$27&lt;=#REF!+#REF!),$G$5,"")),"")</f>
        <v/>
      </c>
      <c r="CF86" s="36" t="str">
        <f ca="1">IFERROR(+IF(CG$27=#REF!,Milestone_Marker,IF(AND(CG$27&gt;#REF!,CG$27&lt;=#REF!+#REF!),$G$5,"")),"")</f>
        <v/>
      </c>
      <c r="CG86" s="36" t="str">
        <f ca="1">IFERROR(+IF(CH$27=#REF!,Milestone_Marker,IF(AND(CH$27&gt;#REF!,CH$27&lt;=#REF!+#REF!),$G$5,"")),"")</f>
        <v/>
      </c>
      <c r="CH86" s="36" t="str">
        <f ca="1">IFERROR(+IF(CI$27=#REF!,Milestone_Marker,IF(AND(CI$27&gt;#REF!,CI$27&lt;=#REF!+#REF!),$G$5,"")),"")</f>
        <v/>
      </c>
      <c r="CI86" s="36" t="str">
        <f ca="1">IFERROR(+IF(CJ$27=#REF!,Milestone_Marker,IF(AND(CJ$27&gt;#REF!,CJ$27&lt;=#REF!+#REF!),$G$5,"")),"")</f>
        <v/>
      </c>
      <c r="CJ86" s="36" t="str">
        <f ca="1">IFERROR(+IF(CK$27=#REF!,Milestone_Marker,IF(AND(CK$27&gt;#REF!,CK$27&lt;=#REF!+#REF!),$G$5,"")),"")</f>
        <v/>
      </c>
      <c r="CK86" s="36" t="str">
        <f ca="1">IFERROR(+IF(CL$27=#REF!,Milestone_Marker,IF(AND(CL$27&gt;#REF!,CL$27&lt;=#REF!+#REF!),$G$5,"")),"")</f>
        <v/>
      </c>
      <c r="CL86" s="36" t="str">
        <f ca="1">IFERROR(+IF(CM$27=#REF!,Milestone_Marker,IF(AND(CM$27&gt;#REF!,CM$27&lt;=#REF!+#REF!),$G$5,"")),"")</f>
        <v/>
      </c>
      <c r="CM86" s="36" t="str">
        <f ca="1">IFERROR(+IF(CN$27=#REF!,Milestone_Marker,IF(AND(CN$27&gt;#REF!,CN$27&lt;=#REF!+#REF!),$G$5,"")),"")</f>
        <v/>
      </c>
      <c r="CN86" s="36" t="str">
        <f ca="1">IFERROR(+IF(CO$27=#REF!,Milestone_Marker,IF(AND(CO$27&gt;#REF!,CO$27&lt;=#REF!+#REF!),$G$5,"")),"")</f>
        <v/>
      </c>
      <c r="CO86" s="36" t="str">
        <f ca="1">IFERROR(+IF(CP$27=#REF!,Milestone_Marker,IF(AND(CP$27&gt;#REF!,CP$27&lt;=#REF!+#REF!),$G$5,"")),"")</f>
        <v/>
      </c>
      <c r="CP86" s="36" t="str">
        <f ca="1">IFERROR(+IF(CQ$27=#REF!,Milestone_Marker,IF(AND(CQ$27&gt;#REF!,CQ$27&lt;=#REF!+#REF!),$G$5,"")),"")</f>
        <v/>
      </c>
      <c r="CQ86" s="36" t="str">
        <f ca="1">IFERROR(+IF(CR$27=#REF!,Milestone_Marker,IF(AND(CR$27&gt;#REF!,CR$27&lt;=#REF!+#REF!),$G$5,"")),"")</f>
        <v/>
      </c>
      <c r="CR86" s="36" t="str">
        <f ca="1">IFERROR(+IF(CS$27=#REF!,Milestone_Marker,IF(AND(CS$27&gt;#REF!,CS$27&lt;=#REF!+#REF!),$G$5,"")),"")</f>
        <v/>
      </c>
      <c r="CS86" s="36" t="str">
        <f ca="1">IFERROR(+IF(CT$27=#REF!,Milestone_Marker,IF(AND(CT$27&gt;#REF!,CT$27&lt;=#REF!+#REF!),$G$5,"")),"")</f>
        <v/>
      </c>
      <c r="CT86" s="36" t="str">
        <f ca="1">IFERROR(+IF(CU$27=#REF!,Milestone_Marker,IF(AND(CU$27&gt;#REF!,CU$27&lt;=#REF!+#REF!),$G$5,"")),"")</f>
        <v/>
      </c>
    </row>
    <row r="87" spans="1:125" ht="15" x14ac:dyDescent="0.25">
      <c r="A87"/>
      <c r="B87"/>
      <c r="C87"/>
      <c r="D87"/>
      <c r="E87"/>
      <c r="F87"/>
      <c r="G87" s="14"/>
      <c r="H87" s="14"/>
      <c r="I87"/>
      <c r="J87"/>
      <c r="K87" s="261"/>
      <c r="L87"/>
      <c r="M87" s="14"/>
      <c r="N87" s="309"/>
      <c r="O87" s="297"/>
      <c r="P87" s="36" t="str">
        <f ca="1">IFERROR(+IF(Q$27=#REF!,Milestone_Marker,IF(AND(Q$27&gt;#REF!,Q$27&lt;=#REF!+#REF!),$G$5,"")),"")</f>
        <v/>
      </c>
      <c r="Q87" s="36" t="str">
        <f ca="1">IFERROR(+IF(R$27=#REF!,Milestone_Marker,IF(AND(R$27&gt;#REF!,R$27&lt;=#REF!+#REF!),$G$5,"")),"")</f>
        <v/>
      </c>
      <c r="R87" s="36" t="str">
        <f ca="1">IFERROR(+IF(S$27=#REF!,Milestone_Marker,IF(AND(S$27&gt;#REF!,S$27&lt;=#REF!+#REF!),$G$5,"")),"")</f>
        <v/>
      </c>
      <c r="S87" s="36" t="str">
        <f ca="1">IFERROR(+IF(T$27=#REF!,Milestone_Marker,IF(AND(T$27&gt;#REF!,T$27&lt;=#REF!+#REF!),$G$5,"")),"")</f>
        <v/>
      </c>
      <c r="T87" s="36" t="str">
        <f ca="1">IFERROR(+IF(U$27=#REF!,Milestone_Marker,IF(AND(U$27&gt;#REF!,U$27&lt;=#REF!+#REF!),$G$5,"")),"")</f>
        <v/>
      </c>
      <c r="U87" s="36" t="str">
        <f ca="1">IFERROR(+IF(V$27=#REF!,Milestone_Marker,IF(AND(V$27&gt;#REF!,V$27&lt;=#REF!+#REF!),$G$5,"")),"")</f>
        <v/>
      </c>
      <c r="V87" s="36" t="str">
        <f ca="1">IFERROR(+IF(W$27=#REF!,Milestone_Marker,IF(AND(W$27&gt;#REF!,W$27&lt;=#REF!+#REF!),$G$5,"")),"")</f>
        <v/>
      </c>
      <c r="W87" s="36" t="str">
        <f ca="1">IFERROR(+IF(X$27=#REF!,Milestone_Marker,IF(AND(X$27&gt;#REF!,X$27&lt;=#REF!+#REF!),$G$5,"")),"")</f>
        <v/>
      </c>
      <c r="X87" s="36" t="str">
        <f ca="1">IFERROR(+IF(Y$27=#REF!,Milestone_Marker,IF(AND(Y$27&gt;#REF!,Y$27&lt;=#REF!+#REF!),$G$5,"")),"")</f>
        <v/>
      </c>
      <c r="Y87" s="36" t="str">
        <f ca="1">IFERROR(+IF(Z$27=#REF!,Milestone_Marker,IF(AND(Z$27&gt;#REF!,Z$27&lt;=#REF!+#REF!),$G$5,"")),"")</f>
        <v/>
      </c>
      <c r="Z87" s="36" t="str">
        <f ca="1">IFERROR(+IF(AA$27=#REF!,Milestone_Marker,IF(AND(AA$27&gt;#REF!,AA$27&lt;=#REF!+#REF!),$G$5,"")),"")</f>
        <v/>
      </c>
      <c r="AA87" s="36" t="str">
        <f ca="1">IFERROR(+IF(AB$27=#REF!,Milestone_Marker,IF(AND(AB$27&gt;#REF!,AB$27&lt;=#REF!+#REF!),$G$5,"")),"")</f>
        <v/>
      </c>
      <c r="AB87" s="36" t="str">
        <f ca="1">IFERROR(+IF(AC$27=#REF!,Milestone_Marker,IF(AND(AC$27&gt;#REF!,AC$27&lt;=#REF!+#REF!),$G$5,"")),"")</f>
        <v/>
      </c>
      <c r="AC87" s="36" t="str">
        <f ca="1">IFERROR(+IF(AD$27=#REF!,Milestone_Marker,IF(AND(AD$27&gt;#REF!,AD$27&lt;=#REF!+#REF!),$G$5,"")),"")</f>
        <v/>
      </c>
      <c r="AD87" s="36" t="str">
        <f ca="1">IFERROR(+IF(AE$27=#REF!,Milestone_Marker,IF(AND(AE$27&gt;#REF!,AE$27&lt;=#REF!+#REF!),$G$5,"")),"")</f>
        <v/>
      </c>
      <c r="AE87" s="36" t="str">
        <f ca="1">IFERROR(+IF(AF$27=#REF!,Milestone_Marker,IF(AND(AF$27&gt;#REF!,AF$27&lt;=#REF!+#REF!),$G$5,"")),"")</f>
        <v/>
      </c>
      <c r="AF87" s="36" t="str">
        <f ca="1">IFERROR(+IF(AG$27=#REF!,Milestone_Marker,IF(AND(AG$27&gt;#REF!,AG$27&lt;=#REF!+#REF!),$G$5,"")),"")</f>
        <v/>
      </c>
      <c r="AG87" s="36" t="str">
        <f ca="1">IFERROR(+IF(AH$27=#REF!,Milestone_Marker,IF(AND(AH$27&gt;#REF!,AH$27&lt;=#REF!+#REF!),$G$5,"")),"")</f>
        <v/>
      </c>
      <c r="AH87" s="36" t="str">
        <f ca="1">IFERROR(+IF(AI$27=#REF!,Milestone_Marker,IF(AND(AI$27&gt;#REF!,AI$27&lt;=#REF!+#REF!),$G$5,"")),"")</f>
        <v/>
      </c>
      <c r="AI87" s="36" t="str">
        <f ca="1">IFERROR(+IF(AJ$27=#REF!,Milestone_Marker,IF(AND(AJ$27&gt;#REF!,AJ$27&lt;=#REF!+#REF!),$G$5,"")),"")</f>
        <v/>
      </c>
      <c r="AJ87" s="36" t="str">
        <f ca="1">IFERROR(+IF(AK$27=#REF!,Milestone_Marker,IF(AND(AK$27&gt;#REF!,AK$27&lt;=#REF!+#REF!),$G$5,"")),"")</f>
        <v/>
      </c>
      <c r="AK87" s="36" t="str">
        <f ca="1">IFERROR(+IF(AL$27=#REF!,Milestone_Marker,IF(AND(AL$27&gt;#REF!,AL$27&lt;=#REF!+#REF!),$G$5,"")),"")</f>
        <v/>
      </c>
      <c r="AL87" s="36" t="str">
        <f ca="1">IFERROR(+IF(AM$27=#REF!,Milestone_Marker,IF(AND(AM$27&gt;#REF!,AM$27&lt;=#REF!+#REF!),$G$5,"")),"")</f>
        <v/>
      </c>
      <c r="AM87" s="36" t="str">
        <f ca="1">IFERROR(+IF(AN$27=#REF!,Milestone_Marker,IF(AND(AN$27&gt;#REF!,AN$27&lt;=#REF!+#REF!),$G$5,"")),"")</f>
        <v/>
      </c>
      <c r="AN87" s="36" t="str">
        <f ca="1">IFERROR(+IF(AO$27=#REF!,Milestone_Marker,IF(AND(AO$27&gt;#REF!,AO$27&lt;=#REF!+#REF!),$G$5,"")),"")</f>
        <v/>
      </c>
      <c r="AO87" s="36" t="str">
        <f ca="1">IFERROR(+IF(AP$27=#REF!,Milestone_Marker,IF(AND(AP$27&gt;#REF!,AP$27&lt;=#REF!+#REF!),$G$5,"")),"")</f>
        <v/>
      </c>
      <c r="AP87" s="36" t="str">
        <f ca="1">IFERROR(+IF(AQ$27=#REF!,Milestone_Marker,IF(AND(AQ$27&gt;#REF!,AQ$27&lt;=#REF!+#REF!),$G$5,"")),"")</f>
        <v/>
      </c>
      <c r="AQ87" s="36" t="str">
        <f ca="1">IFERROR(+IF(AR$27=#REF!,Milestone_Marker,IF(AND(AR$27&gt;#REF!,AR$27&lt;=#REF!+#REF!),$G$5,"")),"")</f>
        <v/>
      </c>
      <c r="AR87" s="36" t="str">
        <f ca="1">IFERROR(+IF(AS$27=#REF!,Milestone_Marker,IF(AND(AS$27&gt;#REF!,AS$27&lt;=#REF!+#REF!),$G$5,"")),"")</f>
        <v/>
      </c>
      <c r="AS87" s="36" t="str">
        <f ca="1">IFERROR(+IF(AT$27=#REF!,Milestone_Marker,IF(AND(AT$27&gt;#REF!,AT$27&lt;=#REF!+#REF!),$G$5,"")),"")</f>
        <v/>
      </c>
      <c r="AT87" s="36" t="str">
        <f ca="1">IFERROR(+IF(AU$27=#REF!,Milestone_Marker,IF(AND(AU$27&gt;#REF!,AU$27&lt;=#REF!+#REF!),$G$5,"")),"")</f>
        <v/>
      </c>
      <c r="AU87" s="36" t="str">
        <f ca="1">IFERROR(+IF(AV$27=#REF!,Milestone_Marker,IF(AND(AV$27&gt;#REF!,AV$27&lt;=#REF!+#REF!),$G$5,"")),"")</f>
        <v/>
      </c>
      <c r="AV87" s="36" t="str">
        <f ca="1">IFERROR(+IF(AW$27=#REF!,Milestone_Marker,IF(AND(AW$27&gt;#REF!,AW$27&lt;=#REF!+#REF!),$G$5,"")),"")</f>
        <v/>
      </c>
      <c r="AW87" s="36" t="str">
        <f ca="1">IFERROR(+IF(AX$27=#REF!,Milestone_Marker,IF(AND(AX$27&gt;#REF!,AX$27&lt;=#REF!+#REF!),$G$5,"")),"")</f>
        <v/>
      </c>
      <c r="AX87" s="36" t="str">
        <f ca="1">IFERROR(+IF(AY$27=#REF!,Milestone_Marker,IF(AND(AY$27&gt;#REF!,AY$27&lt;=#REF!+#REF!),$G$5,"")),"")</f>
        <v/>
      </c>
      <c r="AY87" s="36" t="str">
        <f ca="1">IFERROR(+IF(AZ$27=#REF!,Milestone_Marker,IF(AND(AZ$27&gt;#REF!,AZ$27&lt;=#REF!+#REF!),$G$5,"")),"")</f>
        <v/>
      </c>
      <c r="AZ87" s="36" t="str">
        <f ca="1">IFERROR(+IF(BA$27=#REF!,Milestone_Marker,IF(AND(BA$27&gt;#REF!,BA$27&lt;=#REF!+#REF!),$G$5,"")),"")</f>
        <v/>
      </c>
      <c r="BA87" s="36" t="str">
        <f ca="1">IFERROR(+IF(BB$27=#REF!,Milestone_Marker,IF(AND(BB$27&gt;#REF!,BB$27&lt;=#REF!+#REF!),$G$5,"")),"")</f>
        <v/>
      </c>
      <c r="BB87" s="36" t="str">
        <f ca="1">IFERROR(+IF(BC$27=#REF!,Milestone_Marker,IF(AND(BC$27&gt;#REF!,BC$27&lt;=#REF!+#REF!),$G$5,"")),"")</f>
        <v/>
      </c>
      <c r="BC87" s="36" t="str">
        <f ca="1">IFERROR(+IF(BD$27=#REF!,Milestone_Marker,IF(AND(BD$27&gt;#REF!,BD$27&lt;=#REF!+#REF!),$G$5,"")),"")</f>
        <v/>
      </c>
      <c r="BD87" s="36" t="str">
        <f ca="1">IFERROR(+IF(BE$27=#REF!,Milestone_Marker,IF(AND(BE$27&gt;#REF!,BE$27&lt;=#REF!+#REF!),$G$5,"")),"")</f>
        <v/>
      </c>
      <c r="BE87" s="36" t="str">
        <f ca="1">IFERROR(+IF(BF$27=#REF!,Milestone_Marker,IF(AND(BF$27&gt;#REF!,BF$27&lt;=#REF!+#REF!),$G$5,"")),"")</f>
        <v/>
      </c>
      <c r="BF87" s="36" t="str">
        <f ca="1">IFERROR(+IF(BG$27=#REF!,Milestone_Marker,IF(AND(BG$27&gt;#REF!,BG$27&lt;=#REF!+#REF!),$G$5,"")),"")</f>
        <v/>
      </c>
      <c r="BG87" s="36" t="str">
        <f ca="1">IFERROR(+IF(BH$27=#REF!,Milestone_Marker,IF(AND(BH$27&gt;#REF!,BH$27&lt;=#REF!+#REF!),$G$5,"")),"")</f>
        <v/>
      </c>
      <c r="BH87" s="36" t="str">
        <f ca="1">IFERROR(+IF(BI$27=#REF!,Milestone_Marker,IF(AND(BI$27&gt;#REF!,BI$27&lt;=#REF!+#REF!),$G$5,"")),"")</f>
        <v/>
      </c>
      <c r="BI87" s="36" t="str">
        <f ca="1">IFERROR(+IF(BJ$27=#REF!,Milestone_Marker,IF(AND(BJ$27&gt;#REF!,BJ$27&lt;=#REF!+#REF!),$G$5,"")),"")</f>
        <v/>
      </c>
      <c r="BJ87" s="36" t="str">
        <f ca="1">IFERROR(+IF(BK$27=#REF!,Milestone_Marker,IF(AND(BK$27&gt;#REF!,BK$27&lt;=#REF!+#REF!),$G$5,"")),"")</f>
        <v/>
      </c>
      <c r="BK87" s="36" t="str">
        <f ca="1">IFERROR(+IF(BL$27=#REF!,Milestone_Marker,IF(AND(BL$27&gt;#REF!,BL$27&lt;=#REF!+#REF!),$G$5,"")),"")</f>
        <v/>
      </c>
      <c r="BL87" s="36" t="str">
        <f ca="1">IFERROR(+IF(BM$27=#REF!,Milestone_Marker,IF(AND(BM$27&gt;#REF!,BM$27&lt;=#REF!+#REF!),$G$5,"")),"")</f>
        <v/>
      </c>
      <c r="BM87" s="36" t="str">
        <f ca="1">IFERROR(+IF(BN$27=#REF!,Milestone_Marker,IF(AND(BN$27&gt;#REF!,BN$27&lt;=#REF!+#REF!),$G$5,"")),"")</f>
        <v/>
      </c>
      <c r="BN87" s="36" t="str">
        <f ca="1">IFERROR(+IF(BO$27=#REF!,Milestone_Marker,IF(AND(BO$27&gt;#REF!,BO$27&lt;=#REF!+#REF!),$G$5,"")),"")</f>
        <v/>
      </c>
      <c r="BO87" s="36" t="str">
        <f ca="1">IFERROR(+IF(BP$27=#REF!,Milestone_Marker,IF(AND(BP$27&gt;#REF!,BP$27&lt;=#REF!+#REF!),$G$5,"")),"")</f>
        <v/>
      </c>
      <c r="BP87" s="36" t="str">
        <f ca="1">IFERROR(+IF(BQ$27=#REF!,Milestone_Marker,IF(AND(BQ$27&gt;#REF!,BQ$27&lt;=#REF!+#REF!),$G$5,"")),"")</f>
        <v/>
      </c>
      <c r="BQ87" s="36" t="str">
        <f ca="1">IFERROR(+IF(BR$27=#REF!,Milestone_Marker,IF(AND(BR$27&gt;#REF!,BR$27&lt;=#REF!+#REF!),$G$5,"")),"")</f>
        <v/>
      </c>
      <c r="BR87" s="36" t="str">
        <f ca="1">IFERROR(+IF(BS$27=#REF!,Milestone_Marker,IF(AND(BS$27&gt;#REF!,BS$27&lt;=#REF!+#REF!),$G$5,"")),"")</f>
        <v/>
      </c>
      <c r="BS87" s="36" t="str">
        <f ca="1">IFERROR(+IF(BT$27=#REF!,Milestone_Marker,IF(AND(BT$27&gt;#REF!,BT$27&lt;=#REF!+#REF!),$G$5,"")),"")</f>
        <v/>
      </c>
      <c r="BT87" s="36" t="str">
        <f ca="1">IFERROR(+IF(BU$27=#REF!,Milestone_Marker,IF(AND(BU$27&gt;#REF!,BU$27&lt;=#REF!+#REF!),$G$5,"")),"")</f>
        <v/>
      </c>
      <c r="BU87" s="36" t="str">
        <f ca="1">IFERROR(+IF(BV$27=#REF!,Milestone_Marker,IF(AND(BV$27&gt;#REF!,BV$27&lt;=#REF!+#REF!),$G$5,"")),"")</f>
        <v/>
      </c>
      <c r="BV87" s="36" t="str">
        <f ca="1">IFERROR(+IF(BW$27=#REF!,Milestone_Marker,IF(AND(BW$27&gt;#REF!,BW$27&lt;=#REF!+#REF!),$G$5,"")),"")</f>
        <v/>
      </c>
      <c r="BW87" s="36" t="str">
        <f ca="1">IFERROR(+IF(BX$27=#REF!,Milestone_Marker,IF(AND(BX$27&gt;#REF!,BX$27&lt;=#REF!+#REF!),$G$5,"")),"")</f>
        <v/>
      </c>
      <c r="BX87" s="36" t="str">
        <f ca="1">IFERROR(+IF(BY$27=#REF!,Milestone_Marker,IF(AND(BY$27&gt;#REF!,BY$27&lt;=#REF!+#REF!),$G$5,"")),"")</f>
        <v/>
      </c>
      <c r="BY87" s="36" t="str">
        <f ca="1">IFERROR(+IF(BZ$27=#REF!,Milestone_Marker,IF(AND(BZ$27&gt;#REF!,BZ$27&lt;=#REF!+#REF!),$G$5,"")),"")</f>
        <v/>
      </c>
      <c r="BZ87" s="36" t="str">
        <f ca="1">IFERROR(+IF(CA$27=#REF!,Milestone_Marker,IF(AND(CA$27&gt;#REF!,CA$27&lt;=#REF!+#REF!),$G$5,"")),"")</f>
        <v/>
      </c>
      <c r="CA87" s="36" t="str">
        <f ca="1">IFERROR(+IF(CB$27=#REF!,Milestone_Marker,IF(AND(CB$27&gt;#REF!,CB$27&lt;=#REF!+#REF!),$G$5,"")),"")</f>
        <v/>
      </c>
      <c r="CB87" s="36" t="str">
        <f ca="1">IFERROR(+IF(CC$27=#REF!,Milestone_Marker,IF(AND(CC$27&gt;#REF!,CC$27&lt;=#REF!+#REF!),$G$5,"")),"")</f>
        <v/>
      </c>
      <c r="CC87" s="36" t="str">
        <f ca="1">IFERROR(+IF(CD$27=#REF!,Milestone_Marker,IF(AND(CD$27&gt;#REF!,CD$27&lt;=#REF!+#REF!),$G$5,"")),"")</f>
        <v/>
      </c>
      <c r="CD87" s="36" t="str">
        <f ca="1">IFERROR(+IF(CE$27=#REF!,Milestone_Marker,IF(AND(CE$27&gt;#REF!,CE$27&lt;=#REF!+#REF!),$G$5,"")),"")</f>
        <v/>
      </c>
      <c r="CE87" s="36" t="str">
        <f ca="1">IFERROR(+IF(CF$27=#REF!,Milestone_Marker,IF(AND(CF$27&gt;#REF!,CF$27&lt;=#REF!+#REF!),$G$5,"")),"")</f>
        <v/>
      </c>
      <c r="CF87" s="36" t="str">
        <f ca="1">IFERROR(+IF(CG$27=#REF!,Milestone_Marker,IF(AND(CG$27&gt;#REF!,CG$27&lt;=#REF!+#REF!),$G$5,"")),"")</f>
        <v/>
      </c>
      <c r="CG87" s="36" t="str">
        <f ca="1">IFERROR(+IF(CH$27=#REF!,Milestone_Marker,IF(AND(CH$27&gt;#REF!,CH$27&lt;=#REF!+#REF!),$G$5,"")),"")</f>
        <v/>
      </c>
      <c r="CH87" s="36" t="str">
        <f ca="1">IFERROR(+IF(CI$27=#REF!,Milestone_Marker,IF(AND(CI$27&gt;#REF!,CI$27&lt;=#REF!+#REF!),$G$5,"")),"")</f>
        <v/>
      </c>
      <c r="CI87" s="36" t="str">
        <f ca="1">IFERROR(+IF(CJ$27=#REF!,Milestone_Marker,IF(AND(CJ$27&gt;#REF!,CJ$27&lt;=#REF!+#REF!),$G$5,"")),"")</f>
        <v/>
      </c>
      <c r="CJ87" s="36" t="str">
        <f ca="1">IFERROR(+IF(CK$27=#REF!,Milestone_Marker,IF(AND(CK$27&gt;#REF!,CK$27&lt;=#REF!+#REF!),$G$5,"")),"")</f>
        <v/>
      </c>
      <c r="CK87" s="36" t="str">
        <f ca="1">IFERROR(+IF(CL$27=#REF!,Milestone_Marker,IF(AND(CL$27&gt;#REF!,CL$27&lt;=#REF!+#REF!),$G$5,"")),"")</f>
        <v/>
      </c>
      <c r="CL87" s="36" t="str">
        <f ca="1">IFERROR(+IF(CM$27=#REF!,Milestone_Marker,IF(AND(CM$27&gt;#REF!,CM$27&lt;=#REF!+#REF!),$G$5,"")),"")</f>
        <v/>
      </c>
      <c r="CM87" s="36" t="str">
        <f ca="1">IFERROR(+IF(CN$27=#REF!,Milestone_Marker,IF(AND(CN$27&gt;#REF!,CN$27&lt;=#REF!+#REF!),$G$5,"")),"")</f>
        <v/>
      </c>
      <c r="CN87" s="36" t="str">
        <f ca="1">IFERROR(+IF(CO$27=#REF!,Milestone_Marker,IF(AND(CO$27&gt;#REF!,CO$27&lt;=#REF!+#REF!),$G$5,"")),"")</f>
        <v/>
      </c>
      <c r="CO87" s="36" t="str">
        <f ca="1">IFERROR(+IF(CP$27=#REF!,Milestone_Marker,IF(AND(CP$27&gt;#REF!,CP$27&lt;=#REF!+#REF!),$G$5,"")),"")</f>
        <v/>
      </c>
      <c r="CP87" s="36" t="str">
        <f ca="1">IFERROR(+IF(CQ$27=#REF!,Milestone_Marker,IF(AND(CQ$27&gt;#REF!,CQ$27&lt;=#REF!+#REF!),$G$5,"")),"")</f>
        <v/>
      </c>
      <c r="CQ87" s="36" t="str">
        <f ca="1">IFERROR(+IF(CR$27=#REF!,Milestone_Marker,IF(AND(CR$27&gt;#REF!,CR$27&lt;=#REF!+#REF!),$G$5,"")),"")</f>
        <v/>
      </c>
      <c r="CR87" s="36" t="str">
        <f ca="1">IFERROR(+IF(CS$27=#REF!,Milestone_Marker,IF(AND(CS$27&gt;#REF!,CS$27&lt;=#REF!+#REF!),$G$5,"")),"")</f>
        <v/>
      </c>
      <c r="CS87" s="36" t="str">
        <f ca="1">IFERROR(+IF(CT$27=#REF!,Milestone_Marker,IF(AND(CT$27&gt;#REF!,CT$27&lt;=#REF!+#REF!),$G$5,"")),"")</f>
        <v/>
      </c>
      <c r="CT87" s="36" t="str">
        <f ca="1">IFERROR(+IF(CU$27=#REF!,Milestone_Marker,IF(AND(CU$27&gt;#REF!,CU$27&lt;=#REF!+#REF!),$G$5,"")),"")</f>
        <v/>
      </c>
    </row>
    <row r="88" spans="1:125" ht="18" customHeight="1" x14ac:dyDescent="0.25">
      <c r="P88" s="36" t="str">
        <f ca="1">IFERROR(+IF(Q$27=#REF!,Milestone_Marker,IF(AND(Q$27&gt;#REF!,Q$27&lt;=#REF!+#REF!),$G$5,"")),"")</f>
        <v/>
      </c>
      <c r="Q88" s="36" t="str">
        <f ca="1">IFERROR(+IF(R$27=#REF!,Milestone_Marker,IF(AND(R$27&gt;#REF!,R$27&lt;=#REF!+#REF!),$G$5,"")),"")</f>
        <v/>
      </c>
      <c r="R88" s="36" t="str">
        <f ca="1">IFERROR(+IF(S$27=#REF!,Milestone_Marker,IF(AND(S$27&gt;#REF!,S$27&lt;=#REF!+#REF!),$G$5,"")),"")</f>
        <v/>
      </c>
      <c r="S88" s="36" t="str">
        <f ca="1">IFERROR(+IF(T$27=#REF!,Milestone_Marker,IF(AND(T$27&gt;#REF!,T$27&lt;=#REF!+#REF!),$G$5,"")),"")</f>
        <v/>
      </c>
      <c r="T88" s="36" t="str">
        <f ca="1">IFERROR(+IF(U$27=#REF!,Milestone_Marker,IF(AND(U$27&gt;#REF!,U$27&lt;=#REF!+#REF!),$G$5,"")),"")</f>
        <v/>
      </c>
      <c r="U88" s="36" t="str">
        <f ca="1">IFERROR(+IF(V$27=#REF!,Milestone_Marker,IF(AND(V$27&gt;#REF!,V$27&lt;=#REF!+#REF!),$G$5,"")),"")</f>
        <v/>
      </c>
      <c r="V88" s="36" t="str">
        <f ca="1">IFERROR(+IF(W$27=#REF!,Milestone_Marker,IF(AND(W$27&gt;#REF!,W$27&lt;=#REF!+#REF!),$G$5,"")),"")</f>
        <v/>
      </c>
      <c r="W88" s="36" t="str">
        <f ca="1">IFERROR(+IF(X$27=#REF!,Milestone_Marker,IF(AND(X$27&gt;#REF!,X$27&lt;=#REF!+#REF!),$G$5,"")),"")</f>
        <v/>
      </c>
      <c r="X88" s="36" t="str">
        <f ca="1">IFERROR(+IF(Y$27=#REF!,Milestone_Marker,IF(AND(Y$27&gt;#REF!,Y$27&lt;=#REF!+#REF!),$G$5,"")),"")</f>
        <v/>
      </c>
      <c r="Y88" s="36" t="str">
        <f ca="1">IFERROR(+IF(Z$27=#REF!,Milestone_Marker,IF(AND(Z$27&gt;#REF!,Z$27&lt;=#REF!+#REF!),$G$5,"")),"")</f>
        <v/>
      </c>
      <c r="Z88" s="36" t="str">
        <f ca="1">IFERROR(+IF(AA$27=#REF!,Milestone_Marker,IF(AND(AA$27&gt;#REF!,AA$27&lt;=#REF!+#REF!),$G$5,"")),"")</f>
        <v/>
      </c>
      <c r="AA88" s="36" t="str">
        <f ca="1">IFERROR(+IF(AB$27=#REF!,Milestone_Marker,IF(AND(AB$27&gt;#REF!,AB$27&lt;=#REF!+#REF!),$G$5,"")),"")</f>
        <v/>
      </c>
      <c r="AB88" s="36" t="str">
        <f ca="1">IFERROR(+IF(AC$27=#REF!,Milestone_Marker,IF(AND(AC$27&gt;#REF!,AC$27&lt;=#REF!+#REF!),$G$5,"")),"")</f>
        <v/>
      </c>
      <c r="AC88" s="36" t="str">
        <f ca="1">IFERROR(+IF(AD$27=#REF!,Milestone_Marker,IF(AND(AD$27&gt;#REF!,AD$27&lt;=#REF!+#REF!),$G$5,"")),"")</f>
        <v/>
      </c>
      <c r="AD88" s="36" t="str">
        <f ca="1">IFERROR(+IF(AE$27=#REF!,Milestone_Marker,IF(AND(AE$27&gt;#REF!,AE$27&lt;=#REF!+#REF!),$G$5,"")),"")</f>
        <v/>
      </c>
      <c r="AE88" s="36" t="str">
        <f ca="1">IFERROR(+IF(AF$27=#REF!,Milestone_Marker,IF(AND(AF$27&gt;#REF!,AF$27&lt;=#REF!+#REF!),$G$5,"")),"")</f>
        <v/>
      </c>
      <c r="AF88" s="36" t="str">
        <f ca="1">IFERROR(+IF(AG$27=#REF!,Milestone_Marker,IF(AND(AG$27&gt;#REF!,AG$27&lt;=#REF!+#REF!),$G$5,"")),"")</f>
        <v/>
      </c>
      <c r="AG88" s="36" t="str">
        <f ca="1">IFERROR(+IF(AH$27=#REF!,Milestone_Marker,IF(AND(AH$27&gt;#REF!,AH$27&lt;=#REF!+#REF!),$G$5,"")),"")</f>
        <v/>
      </c>
      <c r="AH88" s="36" t="str">
        <f ca="1">IFERROR(+IF(AI$27=#REF!,Milestone_Marker,IF(AND(AI$27&gt;#REF!,AI$27&lt;=#REF!+#REF!),$G$5,"")),"")</f>
        <v/>
      </c>
      <c r="AI88" s="36" t="str">
        <f ca="1">IFERROR(+IF(AJ$27=#REF!,Milestone_Marker,IF(AND(AJ$27&gt;#REF!,AJ$27&lt;=#REF!+#REF!),$G$5,"")),"")</f>
        <v/>
      </c>
      <c r="AJ88" s="36" t="str">
        <f ca="1">IFERROR(+IF(AK$27=#REF!,Milestone_Marker,IF(AND(AK$27&gt;#REF!,AK$27&lt;=#REF!+#REF!),$G$5,"")),"")</f>
        <v/>
      </c>
      <c r="AK88" s="36" t="str">
        <f ca="1">IFERROR(+IF(AL$27=#REF!,Milestone_Marker,IF(AND(AL$27&gt;#REF!,AL$27&lt;=#REF!+#REF!),$G$5,"")),"")</f>
        <v/>
      </c>
      <c r="AL88" s="36" t="str">
        <f ca="1">IFERROR(+IF(AM$27=#REF!,Milestone_Marker,IF(AND(AM$27&gt;#REF!,AM$27&lt;=#REF!+#REF!),$G$5,"")),"")</f>
        <v/>
      </c>
      <c r="AM88" s="36" t="str">
        <f ca="1">IFERROR(+IF(AN$27=#REF!,Milestone_Marker,IF(AND(AN$27&gt;#REF!,AN$27&lt;=#REF!+#REF!),$G$5,"")),"")</f>
        <v/>
      </c>
      <c r="AN88" s="36" t="str">
        <f ca="1">IFERROR(+IF(AO$27=#REF!,Milestone_Marker,IF(AND(AO$27&gt;#REF!,AO$27&lt;=#REF!+#REF!),$G$5,"")),"")</f>
        <v/>
      </c>
      <c r="AO88" s="36" t="str">
        <f ca="1">IFERROR(+IF(AP$27=#REF!,Milestone_Marker,IF(AND(AP$27&gt;#REF!,AP$27&lt;=#REF!+#REF!),$G$5,"")),"")</f>
        <v/>
      </c>
      <c r="AP88" s="36" t="str">
        <f ca="1">IFERROR(+IF(AQ$27=#REF!,Milestone_Marker,IF(AND(AQ$27&gt;#REF!,AQ$27&lt;=#REF!+#REF!),$G$5,"")),"")</f>
        <v/>
      </c>
      <c r="AQ88" s="36" t="str">
        <f ca="1">IFERROR(+IF(AR$27=#REF!,Milestone_Marker,IF(AND(AR$27&gt;#REF!,AR$27&lt;=#REF!+#REF!),$G$5,"")),"")</f>
        <v/>
      </c>
      <c r="AR88" s="36" t="str">
        <f ca="1">IFERROR(+IF(AS$27=#REF!,Milestone_Marker,IF(AND(AS$27&gt;#REF!,AS$27&lt;=#REF!+#REF!),$G$5,"")),"")</f>
        <v/>
      </c>
      <c r="AS88" s="36" t="str">
        <f ca="1">IFERROR(+IF(AT$27=#REF!,Milestone_Marker,IF(AND(AT$27&gt;#REF!,AT$27&lt;=#REF!+#REF!),$G$5,"")),"")</f>
        <v/>
      </c>
      <c r="AT88" s="36" t="str">
        <f ca="1">IFERROR(+IF(AU$27=#REF!,Milestone_Marker,IF(AND(AU$27&gt;#REF!,AU$27&lt;=#REF!+#REF!),$G$5,"")),"")</f>
        <v/>
      </c>
      <c r="AU88" s="36" t="str">
        <f ca="1">IFERROR(+IF(AV$27=#REF!,Milestone_Marker,IF(AND(AV$27&gt;#REF!,AV$27&lt;=#REF!+#REF!),$G$5,"")),"")</f>
        <v/>
      </c>
      <c r="AV88" s="36" t="str">
        <f ca="1">IFERROR(+IF(AW$27=#REF!,Milestone_Marker,IF(AND(AW$27&gt;#REF!,AW$27&lt;=#REF!+#REF!),$G$5,"")),"")</f>
        <v/>
      </c>
      <c r="AW88" s="36" t="str">
        <f ca="1">IFERROR(+IF(AX$27=#REF!,Milestone_Marker,IF(AND(AX$27&gt;#REF!,AX$27&lt;=#REF!+#REF!),$G$5,"")),"")</f>
        <v/>
      </c>
      <c r="AX88" s="36" t="str">
        <f ca="1">IFERROR(+IF(AY$27=#REF!,Milestone_Marker,IF(AND(AY$27&gt;#REF!,AY$27&lt;=#REF!+#REF!),$G$5,"")),"")</f>
        <v/>
      </c>
      <c r="AY88" s="36" t="str">
        <f ca="1">IFERROR(+IF(AZ$27=#REF!,Milestone_Marker,IF(AND(AZ$27&gt;#REF!,AZ$27&lt;=#REF!+#REF!),$G$5,"")),"")</f>
        <v/>
      </c>
      <c r="AZ88" s="36" t="str">
        <f ca="1">IFERROR(+IF(BA$27=#REF!,Milestone_Marker,IF(AND(BA$27&gt;#REF!,BA$27&lt;=#REF!+#REF!),$G$5,"")),"")</f>
        <v/>
      </c>
      <c r="BA88" s="36" t="str">
        <f ca="1">IFERROR(+IF(BB$27=#REF!,Milestone_Marker,IF(AND(BB$27&gt;#REF!,BB$27&lt;=#REF!+#REF!),$G$5,"")),"")</f>
        <v/>
      </c>
      <c r="BB88" s="36" t="str">
        <f ca="1">IFERROR(+IF(BC$27=#REF!,Milestone_Marker,IF(AND(BC$27&gt;#REF!,BC$27&lt;=#REF!+#REF!),$G$5,"")),"")</f>
        <v/>
      </c>
      <c r="BC88" s="36" t="str">
        <f ca="1">IFERROR(+IF(BD$27=#REF!,Milestone_Marker,IF(AND(BD$27&gt;#REF!,BD$27&lt;=#REF!+#REF!),$G$5,"")),"")</f>
        <v/>
      </c>
      <c r="BD88" s="36" t="str">
        <f ca="1">IFERROR(+IF(BE$27=#REF!,Milestone_Marker,IF(AND(BE$27&gt;#REF!,BE$27&lt;=#REF!+#REF!),$G$5,"")),"")</f>
        <v/>
      </c>
      <c r="BE88" s="36" t="str">
        <f ca="1">IFERROR(+IF(BF$27=#REF!,Milestone_Marker,IF(AND(BF$27&gt;#REF!,BF$27&lt;=#REF!+#REF!),$G$5,"")),"")</f>
        <v/>
      </c>
      <c r="BF88" s="36" t="str">
        <f ca="1">IFERROR(+IF(BG$27=#REF!,Milestone_Marker,IF(AND(BG$27&gt;#REF!,BG$27&lt;=#REF!+#REF!),$G$5,"")),"")</f>
        <v/>
      </c>
      <c r="BG88" s="36" t="str">
        <f ca="1">IFERROR(+IF(BH$27=#REF!,Milestone_Marker,IF(AND(BH$27&gt;#REF!,BH$27&lt;=#REF!+#REF!),$G$5,"")),"")</f>
        <v/>
      </c>
      <c r="BH88" s="36" t="str">
        <f ca="1">IFERROR(+IF(BI$27=#REF!,Milestone_Marker,IF(AND(BI$27&gt;#REF!,BI$27&lt;=#REF!+#REF!),$G$5,"")),"")</f>
        <v/>
      </c>
      <c r="BI88" s="36" t="str">
        <f ca="1">IFERROR(+IF(BJ$27=#REF!,Milestone_Marker,IF(AND(BJ$27&gt;#REF!,BJ$27&lt;=#REF!+#REF!),$G$5,"")),"")</f>
        <v/>
      </c>
      <c r="BJ88" s="36" t="str">
        <f ca="1">IFERROR(+IF(BK$27=#REF!,Milestone_Marker,IF(AND(BK$27&gt;#REF!,BK$27&lt;=#REF!+#REF!),$G$5,"")),"")</f>
        <v/>
      </c>
      <c r="BK88" s="36" t="str">
        <f ca="1">IFERROR(+IF(BL$27=#REF!,Milestone_Marker,IF(AND(BL$27&gt;#REF!,BL$27&lt;=#REF!+#REF!),$G$5,"")),"")</f>
        <v/>
      </c>
      <c r="BL88" s="36" t="str">
        <f ca="1">IFERROR(+IF(BM$27=#REF!,Milestone_Marker,IF(AND(BM$27&gt;#REF!,BM$27&lt;=#REF!+#REF!),$G$5,"")),"")</f>
        <v/>
      </c>
      <c r="BM88" s="36" t="str">
        <f ca="1">IFERROR(+IF(BN$27=#REF!,Milestone_Marker,IF(AND(BN$27&gt;#REF!,BN$27&lt;=#REF!+#REF!),$G$5,"")),"")</f>
        <v/>
      </c>
      <c r="BN88" s="36" t="str">
        <f ca="1">IFERROR(+IF(BO$27=#REF!,Milestone_Marker,IF(AND(BO$27&gt;#REF!,BO$27&lt;=#REF!+#REF!),$G$5,"")),"")</f>
        <v/>
      </c>
      <c r="BO88" s="36" t="str">
        <f ca="1">IFERROR(+IF(BP$27=#REF!,Milestone_Marker,IF(AND(BP$27&gt;#REF!,BP$27&lt;=#REF!+#REF!),$G$5,"")),"")</f>
        <v/>
      </c>
      <c r="BP88" s="36" t="str">
        <f ca="1">IFERROR(+IF(BQ$27=#REF!,Milestone_Marker,IF(AND(BQ$27&gt;#REF!,BQ$27&lt;=#REF!+#REF!),$G$5,"")),"")</f>
        <v/>
      </c>
      <c r="BQ88" s="36" t="str">
        <f ca="1">IFERROR(+IF(BR$27=#REF!,Milestone_Marker,IF(AND(BR$27&gt;#REF!,BR$27&lt;=#REF!+#REF!),$G$5,"")),"")</f>
        <v/>
      </c>
      <c r="BR88" s="36" t="str">
        <f ca="1">IFERROR(+IF(BS$27=#REF!,Milestone_Marker,IF(AND(BS$27&gt;#REF!,BS$27&lt;=#REF!+#REF!),$G$5,"")),"")</f>
        <v/>
      </c>
      <c r="BS88" s="36" t="str">
        <f ca="1">IFERROR(+IF(BT$27=#REF!,Milestone_Marker,IF(AND(BT$27&gt;#REF!,BT$27&lt;=#REF!+#REF!),$G$5,"")),"")</f>
        <v/>
      </c>
      <c r="BT88" s="36" t="str">
        <f ca="1">IFERROR(+IF(BU$27=#REF!,Milestone_Marker,IF(AND(BU$27&gt;#REF!,BU$27&lt;=#REF!+#REF!),$G$5,"")),"")</f>
        <v/>
      </c>
      <c r="BU88" s="36" t="str">
        <f ca="1">IFERROR(+IF(BV$27=#REF!,Milestone_Marker,IF(AND(BV$27&gt;#REF!,BV$27&lt;=#REF!+#REF!),$G$5,"")),"")</f>
        <v/>
      </c>
      <c r="BV88" s="36" t="str">
        <f ca="1">IFERROR(+IF(BW$27=#REF!,Milestone_Marker,IF(AND(BW$27&gt;#REF!,BW$27&lt;=#REF!+#REF!),$G$5,"")),"")</f>
        <v/>
      </c>
      <c r="BW88" s="36" t="str">
        <f ca="1">IFERROR(+IF(BX$27=#REF!,Milestone_Marker,IF(AND(BX$27&gt;#REF!,BX$27&lt;=#REF!+#REF!),$G$5,"")),"")</f>
        <v/>
      </c>
      <c r="BX88" s="36" t="str">
        <f ca="1">IFERROR(+IF(BY$27=#REF!,Milestone_Marker,IF(AND(BY$27&gt;#REF!,BY$27&lt;=#REF!+#REF!),$G$5,"")),"")</f>
        <v/>
      </c>
      <c r="BY88" s="36" t="str">
        <f ca="1">IFERROR(+IF(BZ$27=#REF!,Milestone_Marker,IF(AND(BZ$27&gt;#REF!,BZ$27&lt;=#REF!+#REF!),$G$5,"")),"")</f>
        <v/>
      </c>
      <c r="BZ88" s="36" t="str">
        <f ca="1">IFERROR(+IF(CA$27=#REF!,Milestone_Marker,IF(AND(CA$27&gt;#REF!,CA$27&lt;=#REF!+#REF!),$G$5,"")),"")</f>
        <v/>
      </c>
      <c r="CA88" s="36" t="str">
        <f ca="1">IFERROR(+IF(CB$27=#REF!,Milestone_Marker,IF(AND(CB$27&gt;#REF!,CB$27&lt;=#REF!+#REF!),$G$5,"")),"")</f>
        <v/>
      </c>
      <c r="CB88" s="36" t="str">
        <f ca="1">IFERROR(+IF(CC$27=#REF!,Milestone_Marker,IF(AND(CC$27&gt;#REF!,CC$27&lt;=#REF!+#REF!),$G$5,"")),"")</f>
        <v/>
      </c>
      <c r="CC88" s="36" t="str">
        <f ca="1">IFERROR(+IF(CD$27=#REF!,Milestone_Marker,IF(AND(CD$27&gt;#REF!,CD$27&lt;=#REF!+#REF!),$G$5,"")),"")</f>
        <v/>
      </c>
      <c r="CD88" s="36" t="str">
        <f ca="1">IFERROR(+IF(CE$27=#REF!,Milestone_Marker,IF(AND(CE$27&gt;#REF!,CE$27&lt;=#REF!+#REF!),$G$5,"")),"")</f>
        <v/>
      </c>
      <c r="CE88" s="36" t="str">
        <f ca="1">IFERROR(+IF(CF$27=#REF!,Milestone_Marker,IF(AND(CF$27&gt;#REF!,CF$27&lt;=#REF!+#REF!),$G$5,"")),"")</f>
        <v/>
      </c>
      <c r="CF88" s="36" t="str">
        <f ca="1">IFERROR(+IF(CG$27=#REF!,Milestone_Marker,IF(AND(CG$27&gt;#REF!,CG$27&lt;=#REF!+#REF!),$G$5,"")),"")</f>
        <v/>
      </c>
      <c r="CG88" s="36" t="str">
        <f ca="1">IFERROR(+IF(CH$27=#REF!,Milestone_Marker,IF(AND(CH$27&gt;#REF!,CH$27&lt;=#REF!+#REF!),$G$5,"")),"")</f>
        <v/>
      </c>
      <c r="CH88" s="36" t="str">
        <f ca="1">IFERROR(+IF(CI$27=#REF!,Milestone_Marker,IF(AND(CI$27&gt;#REF!,CI$27&lt;=#REF!+#REF!),$G$5,"")),"")</f>
        <v/>
      </c>
      <c r="CI88" s="36" t="str">
        <f ca="1">IFERROR(+IF(CJ$27=#REF!,Milestone_Marker,IF(AND(CJ$27&gt;#REF!,CJ$27&lt;=#REF!+#REF!),$G$5,"")),"")</f>
        <v/>
      </c>
      <c r="CJ88" s="36" t="str">
        <f ca="1">IFERROR(+IF(CK$27=#REF!,Milestone_Marker,IF(AND(CK$27&gt;#REF!,CK$27&lt;=#REF!+#REF!),$G$5,"")),"")</f>
        <v/>
      </c>
      <c r="CK88" s="36" t="str">
        <f ca="1">IFERROR(+IF(CL$27=#REF!,Milestone_Marker,IF(AND(CL$27&gt;#REF!,CL$27&lt;=#REF!+#REF!),$G$5,"")),"")</f>
        <v/>
      </c>
      <c r="CL88" s="36" t="str">
        <f ca="1">IFERROR(+IF(CM$27=#REF!,Milestone_Marker,IF(AND(CM$27&gt;#REF!,CM$27&lt;=#REF!+#REF!),$G$5,"")),"")</f>
        <v/>
      </c>
      <c r="CM88" s="36" t="str">
        <f ca="1">IFERROR(+IF(CN$27=#REF!,Milestone_Marker,IF(AND(CN$27&gt;#REF!,CN$27&lt;=#REF!+#REF!),$G$5,"")),"")</f>
        <v/>
      </c>
      <c r="CN88" s="36" t="str">
        <f ca="1">IFERROR(+IF(CO$27=#REF!,Milestone_Marker,IF(AND(CO$27&gt;#REF!,CO$27&lt;=#REF!+#REF!),$G$5,"")),"")</f>
        <v/>
      </c>
      <c r="CO88" s="36" t="str">
        <f ca="1">IFERROR(+IF(CP$27=#REF!,Milestone_Marker,IF(AND(CP$27&gt;#REF!,CP$27&lt;=#REF!+#REF!),$G$5,"")),"")</f>
        <v/>
      </c>
      <c r="CP88" s="36" t="str">
        <f ca="1">IFERROR(+IF(CQ$27=#REF!,Milestone_Marker,IF(AND(CQ$27&gt;#REF!,CQ$27&lt;=#REF!+#REF!),$G$5,"")),"")</f>
        <v/>
      </c>
      <c r="CQ88" s="36" t="str">
        <f ca="1">IFERROR(+IF(CR$27=#REF!,Milestone_Marker,IF(AND(CR$27&gt;#REF!,CR$27&lt;=#REF!+#REF!),$G$5,"")),"")</f>
        <v/>
      </c>
      <c r="CR88" s="36" t="str">
        <f ca="1">IFERROR(+IF(CS$27=#REF!,Milestone_Marker,IF(AND(CS$27&gt;#REF!,CS$27&lt;=#REF!+#REF!),$G$5,"")),"")</f>
        <v/>
      </c>
      <c r="CS88" s="36" t="str">
        <f ca="1">IFERROR(+IF(CT$27=#REF!,Milestone_Marker,IF(AND(CT$27&gt;#REF!,CT$27&lt;=#REF!+#REF!),$G$5,"")),"")</f>
        <v/>
      </c>
      <c r="CT88" s="36" t="str">
        <f ca="1">IFERROR(+IF(CU$27=#REF!,Milestone_Marker,IF(AND(CU$27&gt;#REF!,CU$27&lt;=#REF!+#REF!),$G$5,"")),"")</f>
        <v/>
      </c>
    </row>
    <row r="89" spans="1:125" ht="18" customHeight="1" x14ac:dyDescent="0.25">
      <c r="P89" s="36" t="str">
        <f ca="1">IFERROR(+IF(Q$27=#REF!,Milestone_Marker,IF(AND(Q$27&gt;#REF!,Q$27&lt;=#REF!+#REF!),$G$5,"")),"")</f>
        <v/>
      </c>
      <c r="Q89" s="36" t="str">
        <f ca="1">IFERROR(+IF(R$27=#REF!,Milestone_Marker,IF(AND(R$27&gt;#REF!,R$27&lt;=#REF!+#REF!),$G$5,"")),"")</f>
        <v/>
      </c>
      <c r="R89" s="36" t="str">
        <f ca="1">IFERROR(+IF(S$27=#REF!,Milestone_Marker,IF(AND(S$27&gt;#REF!,S$27&lt;=#REF!+#REF!),$G$5,"")),"")</f>
        <v/>
      </c>
      <c r="S89" s="36" t="str">
        <f ca="1">IFERROR(+IF(T$27=#REF!,Milestone_Marker,IF(AND(T$27&gt;#REF!,T$27&lt;=#REF!+#REF!),$G$5,"")),"")</f>
        <v/>
      </c>
      <c r="T89" s="36" t="str">
        <f ca="1">IFERROR(+IF(U$27=#REF!,Milestone_Marker,IF(AND(U$27&gt;#REF!,U$27&lt;=#REF!+#REF!),$G$5,"")),"")</f>
        <v/>
      </c>
      <c r="U89" s="36" t="str">
        <f ca="1">IFERROR(+IF(V$27=#REF!,Milestone_Marker,IF(AND(V$27&gt;#REF!,V$27&lt;=#REF!+#REF!),$G$5,"")),"")</f>
        <v/>
      </c>
      <c r="V89" s="36" t="str">
        <f ca="1">IFERROR(+IF(W$27=#REF!,Milestone_Marker,IF(AND(W$27&gt;#REF!,W$27&lt;=#REF!+#REF!),$G$5,"")),"")</f>
        <v/>
      </c>
      <c r="W89" s="36" t="str">
        <f ca="1">IFERROR(+IF(X$27=#REF!,Milestone_Marker,IF(AND(X$27&gt;#REF!,X$27&lt;=#REF!+#REF!),$G$5,"")),"")</f>
        <v/>
      </c>
      <c r="X89" s="36" t="str">
        <f ca="1">IFERROR(+IF(Y$27=#REF!,Milestone_Marker,IF(AND(Y$27&gt;#REF!,Y$27&lt;=#REF!+#REF!),$G$5,"")),"")</f>
        <v/>
      </c>
      <c r="Y89" s="36" t="str">
        <f ca="1">IFERROR(+IF(Z$27=#REF!,Milestone_Marker,IF(AND(Z$27&gt;#REF!,Z$27&lt;=#REF!+#REF!),$G$5,"")),"")</f>
        <v/>
      </c>
      <c r="Z89" s="36" t="str">
        <f ca="1">IFERROR(+IF(AA$27=#REF!,Milestone_Marker,IF(AND(AA$27&gt;#REF!,AA$27&lt;=#REF!+#REF!),$G$5,"")),"")</f>
        <v/>
      </c>
      <c r="AA89" s="36" t="str">
        <f ca="1">IFERROR(+IF(AB$27=#REF!,Milestone_Marker,IF(AND(AB$27&gt;#REF!,AB$27&lt;=#REF!+#REF!),$G$5,"")),"")</f>
        <v/>
      </c>
      <c r="AB89" s="36" t="str">
        <f ca="1">IFERROR(+IF(AC$27=#REF!,Milestone_Marker,IF(AND(AC$27&gt;#REF!,AC$27&lt;=#REF!+#REF!),$G$5,"")),"")</f>
        <v/>
      </c>
      <c r="AC89" s="36" t="str">
        <f ca="1">IFERROR(+IF(AD$27=#REF!,Milestone_Marker,IF(AND(AD$27&gt;#REF!,AD$27&lt;=#REF!+#REF!),$G$5,"")),"")</f>
        <v/>
      </c>
      <c r="AD89" s="36" t="str">
        <f ca="1">IFERROR(+IF(AE$27=#REF!,Milestone_Marker,IF(AND(AE$27&gt;#REF!,AE$27&lt;=#REF!+#REF!),$G$5,"")),"")</f>
        <v/>
      </c>
      <c r="AE89" s="36" t="str">
        <f ca="1">IFERROR(+IF(AF$27=#REF!,Milestone_Marker,IF(AND(AF$27&gt;#REF!,AF$27&lt;=#REF!+#REF!),$G$5,"")),"")</f>
        <v/>
      </c>
      <c r="AF89" s="36" t="str">
        <f ca="1">IFERROR(+IF(AG$27=#REF!,Milestone_Marker,IF(AND(AG$27&gt;#REF!,AG$27&lt;=#REF!+#REF!),$G$5,"")),"")</f>
        <v/>
      </c>
      <c r="AG89" s="36" t="str">
        <f ca="1">IFERROR(+IF(AH$27=#REF!,Milestone_Marker,IF(AND(AH$27&gt;#REF!,AH$27&lt;=#REF!+#REF!),$G$5,"")),"")</f>
        <v/>
      </c>
      <c r="AH89" s="36" t="str">
        <f ca="1">IFERROR(+IF(AI$27=#REF!,Milestone_Marker,IF(AND(AI$27&gt;#REF!,AI$27&lt;=#REF!+#REF!),$G$5,"")),"")</f>
        <v/>
      </c>
      <c r="AI89" s="36" t="str">
        <f ca="1">IFERROR(+IF(AJ$27=#REF!,Milestone_Marker,IF(AND(AJ$27&gt;#REF!,AJ$27&lt;=#REF!+#REF!),$G$5,"")),"")</f>
        <v/>
      </c>
      <c r="AJ89" s="36" t="str">
        <f ca="1">IFERROR(+IF(AK$27=#REF!,Milestone_Marker,IF(AND(AK$27&gt;#REF!,AK$27&lt;=#REF!+#REF!),$G$5,"")),"")</f>
        <v/>
      </c>
      <c r="AK89" s="36" t="str">
        <f ca="1">IFERROR(+IF(AL$27=#REF!,Milestone_Marker,IF(AND(AL$27&gt;#REF!,AL$27&lt;=#REF!+#REF!),$G$5,"")),"")</f>
        <v/>
      </c>
      <c r="AL89" s="36" t="str">
        <f ca="1">IFERROR(+IF(AM$27=#REF!,Milestone_Marker,IF(AND(AM$27&gt;#REF!,AM$27&lt;=#REF!+#REF!),$G$5,"")),"")</f>
        <v/>
      </c>
      <c r="AM89" s="36" t="str">
        <f ca="1">IFERROR(+IF(AN$27=#REF!,Milestone_Marker,IF(AND(AN$27&gt;#REF!,AN$27&lt;=#REF!+#REF!),$G$5,"")),"")</f>
        <v/>
      </c>
      <c r="AN89" s="36" t="str">
        <f ca="1">IFERROR(+IF(AO$27=#REF!,Milestone_Marker,IF(AND(AO$27&gt;#REF!,AO$27&lt;=#REF!+#REF!),$G$5,"")),"")</f>
        <v/>
      </c>
      <c r="AO89" s="36" t="str">
        <f ca="1">IFERROR(+IF(AP$27=#REF!,Milestone_Marker,IF(AND(AP$27&gt;#REF!,AP$27&lt;=#REF!+#REF!),$G$5,"")),"")</f>
        <v/>
      </c>
      <c r="AP89" s="36" t="str">
        <f ca="1">IFERROR(+IF(AQ$27=#REF!,Milestone_Marker,IF(AND(AQ$27&gt;#REF!,AQ$27&lt;=#REF!+#REF!),$G$5,"")),"")</f>
        <v/>
      </c>
      <c r="AQ89" s="36" t="str">
        <f ca="1">IFERROR(+IF(AR$27=#REF!,Milestone_Marker,IF(AND(AR$27&gt;#REF!,AR$27&lt;=#REF!+#REF!),$G$5,"")),"")</f>
        <v/>
      </c>
      <c r="AR89" s="36" t="str">
        <f ca="1">IFERROR(+IF(AS$27=#REF!,Milestone_Marker,IF(AND(AS$27&gt;#REF!,AS$27&lt;=#REF!+#REF!),$G$5,"")),"")</f>
        <v/>
      </c>
      <c r="AS89" s="36" t="str">
        <f ca="1">IFERROR(+IF(AT$27=#REF!,Milestone_Marker,IF(AND(AT$27&gt;#REF!,AT$27&lt;=#REF!+#REF!),$G$5,"")),"")</f>
        <v/>
      </c>
      <c r="AT89" s="36" t="str">
        <f ca="1">IFERROR(+IF(AU$27=#REF!,Milestone_Marker,IF(AND(AU$27&gt;#REF!,AU$27&lt;=#REF!+#REF!),$G$5,"")),"")</f>
        <v/>
      </c>
      <c r="AU89" s="36" t="str">
        <f ca="1">IFERROR(+IF(AV$27=#REF!,Milestone_Marker,IF(AND(AV$27&gt;#REF!,AV$27&lt;=#REF!+#REF!),$G$5,"")),"")</f>
        <v/>
      </c>
      <c r="AV89" s="36" t="str">
        <f ca="1">IFERROR(+IF(AW$27=#REF!,Milestone_Marker,IF(AND(AW$27&gt;#REF!,AW$27&lt;=#REF!+#REF!),$G$5,"")),"")</f>
        <v/>
      </c>
      <c r="AW89" s="36" t="str">
        <f ca="1">IFERROR(+IF(AX$27=#REF!,Milestone_Marker,IF(AND(AX$27&gt;#REF!,AX$27&lt;=#REF!+#REF!),$G$5,"")),"")</f>
        <v/>
      </c>
      <c r="AX89" s="36" t="str">
        <f ca="1">IFERROR(+IF(AY$27=#REF!,Milestone_Marker,IF(AND(AY$27&gt;#REF!,AY$27&lt;=#REF!+#REF!),$G$5,"")),"")</f>
        <v/>
      </c>
      <c r="AY89" s="36" t="str">
        <f ca="1">IFERROR(+IF(AZ$27=#REF!,Milestone_Marker,IF(AND(AZ$27&gt;#REF!,AZ$27&lt;=#REF!+#REF!),$G$5,"")),"")</f>
        <v/>
      </c>
      <c r="AZ89" s="36" t="str">
        <f ca="1">IFERROR(+IF(BA$27=#REF!,Milestone_Marker,IF(AND(BA$27&gt;#REF!,BA$27&lt;=#REF!+#REF!),$G$5,"")),"")</f>
        <v/>
      </c>
      <c r="BA89" s="36" t="str">
        <f ca="1">IFERROR(+IF(BB$27=#REF!,Milestone_Marker,IF(AND(BB$27&gt;#REF!,BB$27&lt;=#REF!+#REF!),$G$5,"")),"")</f>
        <v/>
      </c>
      <c r="BB89" s="36" t="str">
        <f ca="1">IFERROR(+IF(BC$27=#REF!,Milestone_Marker,IF(AND(BC$27&gt;#REF!,BC$27&lt;=#REF!+#REF!),$G$5,"")),"")</f>
        <v/>
      </c>
      <c r="BC89" s="36" t="str">
        <f ca="1">IFERROR(+IF(BD$27=#REF!,Milestone_Marker,IF(AND(BD$27&gt;#REF!,BD$27&lt;=#REF!+#REF!),$G$5,"")),"")</f>
        <v/>
      </c>
      <c r="BD89" s="36" t="str">
        <f ca="1">IFERROR(+IF(BE$27=#REF!,Milestone_Marker,IF(AND(BE$27&gt;#REF!,BE$27&lt;=#REF!+#REF!),$G$5,"")),"")</f>
        <v/>
      </c>
      <c r="BE89" s="36" t="str">
        <f ca="1">IFERROR(+IF(BF$27=#REF!,Milestone_Marker,IF(AND(BF$27&gt;#REF!,BF$27&lt;=#REF!+#REF!),$G$5,"")),"")</f>
        <v/>
      </c>
      <c r="BF89" s="36" t="str">
        <f ca="1">IFERROR(+IF(BG$27=#REF!,Milestone_Marker,IF(AND(BG$27&gt;#REF!,BG$27&lt;=#REF!+#REF!),$G$5,"")),"")</f>
        <v/>
      </c>
      <c r="BG89" s="36" t="str">
        <f ca="1">IFERROR(+IF(BH$27=#REF!,Milestone_Marker,IF(AND(BH$27&gt;#REF!,BH$27&lt;=#REF!+#REF!),$G$5,"")),"")</f>
        <v/>
      </c>
      <c r="BH89" s="36" t="str">
        <f ca="1">IFERROR(+IF(BI$27=#REF!,Milestone_Marker,IF(AND(BI$27&gt;#REF!,BI$27&lt;=#REF!+#REF!),$G$5,"")),"")</f>
        <v/>
      </c>
      <c r="BI89" s="36" t="str">
        <f ca="1">IFERROR(+IF(BJ$27=#REF!,Milestone_Marker,IF(AND(BJ$27&gt;#REF!,BJ$27&lt;=#REF!+#REF!),$G$5,"")),"")</f>
        <v/>
      </c>
      <c r="BJ89" s="36" t="str">
        <f ca="1">IFERROR(+IF(BK$27=#REF!,Milestone_Marker,IF(AND(BK$27&gt;#REF!,BK$27&lt;=#REF!+#REF!),$G$5,"")),"")</f>
        <v/>
      </c>
      <c r="BK89" s="36" t="str">
        <f ca="1">IFERROR(+IF(BL$27=#REF!,Milestone_Marker,IF(AND(BL$27&gt;#REF!,BL$27&lt;=#REF!+#REF!),$G$5,"")),"")</f>
        <v/>
      </c>
      <c r="BL89" s="36" t="str">
        <f ca="1">IFERROR(+IF(BM$27=#REF!,Milestone_Marker,IF(AND(BM$27&gt;#REF!,BM$27&lt;=#REF!+#REF!),$G$5,"")),"")</f>
        <v/>
      </c>
      <c r="BM89" s="36" t="str">
        <f ca="1">IFERROR(+IF(BN$27=#REF!,Milestone_Marker,IF(AND(BN$27&gt;#REF!,BN$27&lt;=#REF!+#REF!),$G$5,"")),"")</f>
        <v/>
      </c>
      <c r="BN89" s="36" t="str">
        <f ca="1">IFERROR(+IF(BO$27=#REF!,Milestone_Marker,IF(AND(BO$27&gt;#REF!,BO$27&lt;=#REF!+#REF!),$G$5,"")),"")</f>
        <v/>
      </c>
      <c r="BO89" s="36" t="str">
        <f ca="1">IFERROR(+IF(BP$27=#REF!,Milestone_Marker,IF(AND(BP$27&gt;#REF!,BP$27&lt;=#REF!+#REF!),$G$5,"")),"")</f>
        <v/>
      </c>
      <c r="BP89" s="36" t="str">
        <f ca="1">IFERROR(+IF(BQ$27=#REF!,Milestone_Marker,IF(AND(BQ$27&gt;#REF!,BQ$27&lt;=#REF!+#REF!),$G$5,"")),"")</f>
        <v/>
      </c>
      <c r="BQ89" s="36" t="str">
        <f ca="1">IFERROR(+IF(BR$27=#REF!,Milestone_Marker,IF(AND(BR$27&gt;#REF!,BR$27&lt;=#REF!+#REF!),$G$5,"")),"")</f>
        <v/>
      </c>
      <c r="BR89" s="36" t="str">
        <f ca="1">IFERROR(+IF(BS$27=#REF!,Milestone_Marker,IF(AND(BS$27&gt;#REF!,BS$27&lt;=#REF!+#REF!),$G$5,"")),"")</f>
        <v/>
      </c>
      <c r="BS89" s="36" t="str">
        <f ca="1">IFERROR(+IF(BT$27=#REF!,Milestone_Marker,IF(AND(BT$27&gt;#REF!,BT$27&lt;=#REF!+#REF!),$G$5,"")),"")</f>
        <v/>
      </c>
      <c r="BT89" s="36" t="str">
        <f ca="1">IFERROR(+IF(BU$27=#REF!,Milestone_Marker,IF(AND(BU$27&gt;#REF!,BU$27&lt;=#REF!+#REF!),$G$5,"")),"")</f>
        <v/>
      </c>
      <c r="BU89" s="36" t="str">
        <f ca="1">IFERROR(+IF(BV$27=#REF!,Milestone_Marker,IF(AND(BV$27&gt;#REF!,BV$27&lt;=#REF!+#REF!),$G$5,"")),"")</f>
        <v/>
      </c>
      <c r="BV89" s="36" t="str">
        <f ca="1">IFERROR(+IF(BW$27=#REF!,Milestone_Marker,IF(AND(BW$27&gt;#REF!,BW$27&lt;=#REF!+#REF!),$G$5,"")),"")</f>
        <v/>
      </c>
      <c r="BW89" s="36" t="str">
        <f ca="1">IFERROR(+IF(BX$27=#REF!,Milestone_Marker,IF(AND(BX$27&gt;#REF!,BX$27&lt;=#REF!+#REF!),$G$5,"")),"")</f>
        <v/>
      </c>
      <c r="BX89" s="36" t="str">
        <f ca="1">IFERROR(+IF(BY$27=#REF!,Milestone_Marker,IF(AND(BY$27&gt;#REF!,BY$27&lt;=#REF!+#REF!),$G$5,"")),"")</f>
        <v/>
      </c>
      <c r="BY89" s="36" t="str">
        <f ca="1">IFERROR(+IF(BZ$27=#REF!,Milestone_Marker,IF(AND(BZ$27&gt;#REF!,BZ$27&lt;=#REF!+#REF!),$G$5,"")),"")</f>
        <v/>
      </c>
      <c r="BZ89" s="36" t="str">
        <f ca="1">IFERROR(+IF(CA$27=#REF!,Milestone_Marker,IF(AND(CA$27&gt;#REF!,CA$27&lt;=#REF!+#REF!),$G$5,"")),"")</f>
        <v/>
      </c>
      <c r="CA89" s="36" t="str">
        <f ca="1">IFERROR(+IF(CB$27=#REF!,Milestone_Marker,IF(AND(CB$27&gt;#REF!,CB$27&lt;=#REF!+#REF!),$G$5,"")),"")</f>
        <v/>
      </c>
      <c r="CB89" s="36" t="str">
        <f ca="1">IFERROR(+IF(CC$27=#REF!,Milestone_Marker,IF(AND(CC$27&gt;#REF!,CC$27&lt;=#REF!+#REF!),$G$5,"")),"")</f>
        <v/>
      </c>
      <c r="CC89" s="36" t="str">
        <f ca="1">IFERROR(+IF(CD$27=#REF!,Milestone_Marker,IF(AND(CD$27&gt;#REF!,CD$27&lt;=#REF!+#REF!),$G$5,"")),"")</f>
        <v/>
      </c>
      <c r="CD89" s="36" t="str">
        <f ca="1">IFERROR(+IF(CE$27=#REF!,Milestone_Marker,IF(AND(CE$27&gt;#REF!,CE$27&lt;=#REF!+#REF!),$G$5,"")),"")</f>
        <v/>
      </c>
      <c r="CE89" s="36" t="str">
        <f ca="1">IFERROR(+IF(CF$27=#REF!,Milestone_Marker,IF(AND(CF$27&gt;#REF!,CF$27&lt;=#REF!+#REF!),$G$5,"")),"")</f>
        <v/>
      </c>
      <c r="CF89" s="36" t="str">
        <f ca="1">IFERROR(+IF(CG$27=#REF!,Milestone_Marker,IF(AND(CG$27&gt;#REF!,CG$27&lt;=#REF!+#REF!),$G$5,"")),"")</f>
        <v/>
      </c>
      <c r="CG89" s="36" t="str">
        <f ca="1">IFERROR(+IF(CH$27=#REF!,Milestone_Marker,IF(AND(CH$27&gt;#REF!,CH$27&lt;=#REF!+#REF!),$G$5,"")),"")</f>
        <v/>
      </c>
      <c r="CH89" s="36" t="str">
        <f ca="1">IFERROR(+IF(CI$27=#REF!,Milestone_Marker,IF(AND(CI$27&gt;#REF!,CI$27&lt;=#REF!+#REF!),$G$5,"")),"")</f>
        <v/>
      </c>
      <c r="CI89" s="36" t="str">
        <f ca="1">IFERROR(+IF(CJ$27=#REF!,Milestone_Marker,IF(AND(CJ$27&gt;#REF!,CJ$27&lt;=#REF!+#REF!),$G$5,"")),"")</f>
        <v/>
      </c>
      <c r="CJ89" s="36" t="str">
        <f ca="1">IFERROR(+IF(CK$27=#REF!,Milestone_Marker,IF(AND(CK$27&gt;#REF!,CK$27&lt;=#REF!+#REF!),$G$5,"")),"")</f>
        <v/>
      </c>
      <c r="CK89" s="36" t="str">
        <f ca="1">IFERROR(+IF(CL$27=#REF!,Milestone_Marker,IF(AND(CL$27&gt;#REF!,CL$27&lt;=#REF!+#REF!),$G$5,"")),"")</f>
        <v/>
      </c>
      <c r="CL89" s="36" t="str">
        <f ca="1">IFERROR(+IF(CM$27=#REF!,Milestone_Marker,IF(AND(CM$27&gt;#REF!,CM$27&lt;=#REF!+#REF!),$G$5,"")),"")</f>
        <v/>
      </c>
      <c r="CM89" s="36" t="str">
        <f ca="1">IFERROR(+IF(CN$27=#REF!,Milestone_Marker,IF(AND(CN$27&gt;#REF!,CN$27&lt;=#REF!+#REF!),$G$5,"")),"")</f>
        <v/>
      </c>
      <c r="CN89" s="36" t="str">
        <f ca="1">IFERROR(+IF(CO$27=#REF!,Milestone_Marker,IF(AND(CO$27&gt;#REF!,CO$27&lt;=#REF!+#REF!),$G$5,"")),"")</f>
        <v/>
      </c>
      <c r="CO89" s="36" t="str">
        <f ca="1">IFERROR(+IF(CP$27=#REF!,Milestone_Marker,IF(AND(CP$27&gt;#REF!,CP$27&lt;=#REF!+#REF!),$G$5,"")),"")</f>
        <v/>
      </c>
      <c r="CP89" s="36" t="str">
        <f ca="1">IFERROR(+IF(CQ$27=#REF!,Milestone_Marker,IF(AND(CQ$27&gt;#REF!,CQ$27&lt;=#REF!+#REF!),$G$5,"")),"")</f>
        <v/>
      </c>
      <c r="CQ89" s="36" t="str">
        <f ca="1">IFERROR(+IF(CR$27=#REF!,Milestone_Marker,IF(AND(CR$27&gt;#REF!,CR$27&lt;=#REF!+#REF!),$G$5,"")),"")</f>
        <v/>
      </c>
      <c r="CR89" s="36" t="str">
        <f ca="1">IFERROR(+IF(CS$27=#REF!,Milestone_Marker,IF(AND(CS$27&gt;#REF!,CS$27&lt;=#REF!+#REF!),$G$5,"")),"")</f>
        <v/>
      </c>
      <c r="CS89" s="36" t="str">
        <f ca="1">IFERROR(+IF(CT$27=#REF!,Milestone_Marker,IF(AND(CT$27&gt;#REF!,CT$27&lt;=#REF!+#REF!),$G$5,"")),"")</f>
        <v/>
      </c>
      <c r="CT89" s="36" t="str">
        <f ca="1">IFERROR(+IF(CU$27=#REF!,Milestone_Marker,IF(AND(CU$27&gt;#REF!,CU$27&lt;=#REF!+#REF!),$G$5,"")),"")</f>
        <v/>
      </c>
    </row>
    <row r="90" spans="1:125" ht="18" customHeight="1" x14ac:dyDescent="0.25">
      <c r="P90" s="36" t="str">
        <f ca="1">IFERROR(+IF(Q$27=#REF!,Milestone_Marker,IF(AND(Q$27&gt;#REF!,Q$27&lt;=#REF!+#REF!),$G$5,"")),"")</f>
        <v/>
      </c>
      <c r="Q90" s="36" t="str">
        <f ca="1">IFERROR(+IF(R$27=#REF!,Milestone_Marker,IF(AND(R$27&gt;#REF!,R$27&lt;=#REF!+#REF!),$G$5,"")),"")</f>
        <v/>
      </c>
      <c r="R90" s="36" t="str">
        <f ca="1">IFERROR(+IF(S$27=#REF!,Milestone_Marker,IF(AND(S$27&gt;#REF!,S$27&lt;=#REF!+#REF!),$G$5,"")),"")</f>
        <v/>
      </c>
      <c r="S90" s="36" t="str">
        <f ca="1">IFERROR(+IF(T$27=#REF!,Milestone_Marker,IF(AND(T$27&gt;#REF!,T$27&lt;=#REF!+#REF!),$G$5,"")),"")</f>
        <v/>
      </c>
      <c r="T90" s="36" t="str">
        <f ca="1">IFERROR(+IF(U$27=#REF!,Milestone_Marker,IF(AND(U$27&gt;#REF!,U$27&lt;=#REF!+#REF!),$G$5,"")),"")</f>
        <v/>
      </c>
      <c r="U90" s="36" t="str">
        <f ca="1">IFERROR(+IF(V$27=#REF!,Milestone_Marker,IF(AND(V$27&gt;#REF!,V$27&lt;=#REF!+#REF!),$G$5,"")),"")</f>
        <v/>
      </c>
      <c r="V90" s="36" t="str">
        <f ca="1">IFERROR(+IF(W$27=#REF!,Milestone_Marker,IF(AND(W$27&gt;#REF!,W$27&lt;=#REF!+#REF!),$G$5,"")),"")</f>
        <v/>
      </c>
      <c r="W90" s="36" t="str">
        <f ca="1">IFERROR(+IF(X$27=#REF!,Milestone_Marker,IF(AND(X$27&gt;#REF!,X$27&lt;=#REF!+#REF!),$G$5,"")),"")</f>
        <v/>
      </c>
      <c r="X90" s="36" t="str">
        <f ca="1">IFERROR(+IF(Y$27=#REF!,Milestone_Marker,IF(AND(Y$27&gt;#REF!,Y$27&lt;=#REF!+#REF!),$G$5,"")),"")</f>
        <v/>
      </c>
      <c r="Y90" s="36" t="str">
        <f ca="1">IFERROR(+IF(Z$27=#REF!,Milestone_Marker,IF(AND(Z$27&gt;#REF!,Z$27&lt;=#REF!+#REF!),$G$5,"")),"")</f>
        <v/>
      </c>
      <c r="Z90" s="36" t="str">
        <f ca="1">IFERROR(+IF(AA$27=#REF!,Milestone_Marker,IF(AND(AA$27&gt;#REF!,AA$27&lt;=#REF!+#REF!),$G$5,"")),"")</f>
        <v/>
      </c>
      <c r="AA90" s="36" t="str">
        <f ca="1">IFERROR(+IF(AB$27=#REF!,Milestone_Marker,IF(AND(AB$27&gt;#REF!,AB$27&lt;=#REF!+#REF!),$G$5,"")),"")</f>
        <v/>
      </c>
      <c r="AB90" s="36" t="str">
        <f ca="1">IFERROR(+IF(AC$27=#REF!,Milestone_Marker,IF(AND(AC$27&gt;#REF!,AC$27&lt;=#REF!+#REF!),$G$5,"")),"")</f>
        <v/>
      </c>
      <c r="AC90" s="36" t="str">
        <f ca="1">IFERROR(+IF(AD$27=#REF!,Milestone_Marker,IF(AND(AD$27&gt;#REF!,AD$27&lt;=#REF!+#REF!),$G$5,"")),"")</f>
        <v/>
      </c>
      <c r="AD90" s="36" t="str">
        <f ca="1">IFERROR(+IF(AE$27=#REF!,Milestone_Marker,IF(AND(AE$27&gt;#REF!,AE$27&lt;=#REF!+#REF!),$G$5,"")),"")</f>
        <v/>
      </c>
      <c r="AE90" s="36" t="str">
        <f ca="1">IFERROR(+IF(AF$27=#REF!,Milestone_Marker,IF(AND(AF$27&gt;#REF!,AF$27&lt;=#REF!+#REF!),$G$5,"")),"")</f>
        <v/>
      </c>
      <c r="AF90" s="36" t="str">
        <f ca="1">IFERROR(+IF(AG$27=#REF!,Milestone_Marker,IF(AND(AG$27&gt;#REF!,AG$27&lt;=#REF!+#REF!),$G$5,"")),"")</f>
        <v/>
      </c>
      <c r="AG90" s="36" t="str">
        <f ca="1">IFERROR(+IF(AH$27=#REF!,Milestone_Marker,IF(AND(AH$27&gt;#REF!,AH$27&lt;=#REF!+#REF!),$G$5,"")),"")</f>
        <v/>
      </c>
      <c r="AH90" s="36" t="str">
        <f ca="1">IFERROR(+IF(AI$27=#REF!,Milestone_Marker,IF(AND(AI$27&gt;#REF!,AI$27&lt;=#REF!+#REF!),$G$5,"")),"")</f>
        <v/>
      </c>
      <c r="AI90" s="36" t="str">
        <f ca="1">IFERROR(+IF(AJ$27=#REF!,Milestone_Marker,IF(AND(AJ$27&gt;#REF!,AJ$27&lt;=#REF!+#REF!),$G$5,"")),"")</f>
        <v/>
      </c>
      <c r="AJ90" s="36" t="str">
        <f ca="1">IFERROR(+IF(AK$27=#REF!,Milestone_Marker,IF(AND(AK$27&gt;#REF!,AK$27&lt;=#REF!+#REF!),$G$5,"")),"")</f>
        <v/>
      </c>
      <c r="AK90" s="36" t="str">
        <f ca="1">IFERROR(+IF(AL$27=#REF!,Milestone_Marker,IF(AND(AL$27&gt;#REF!,AL$27&lt;=#REF!+#REF!),$G$5,"")),"")</f>
        <v/>
      </c>
      <c r="AL90" s="36" t="str">
        <f ca="1">IFERROR(+IF(AM$27=#REF!,Milestone_Marker,IF(AND(AM$27&gt;#REF!,AM$27&lt;=#REF!+#REF!),$G$5,"")),"")</f>
        <v/>
      </c>
      <c r="AM90" s="36" t="str">
        <f ca="1">IFERROR(+IF(AN$27=#REF!,Milestone_Marker,IF(AND(AN$27&gt;#REF!,AN$27&lt;=#REF!+#REF!),$G$5,"")),"")</f>
        <v/>
      </c>
      <c r="AN90" s="36" t="str">
        <f ca="1">IFERROR(+IF(AO$27=#REF!,Milestone_Marker,IF(AND(AO$27&gt;#REF!,AO$27&lt;=#REF!+#REF!),$G$5,"")),"")</f>
        <v/>
      </c>
      <c r="AO90" s="36" t="str">
        <f ca="1">IFERROR(+IF(AP$27=#REF!,Milestone_Marker,IF(AND(AP$27&gt;#REF!,AP$27&lt;=#REF!+#REF!),$G$5,"")),"")</f>
        <v/>
      </c>
      <c r="AP90" s="36" t="str">
        <f ca="1">IFERROR(+IF(AQ$27=#REF!,Milestone_Marker,IF(AND(AQ$27&gt;#REF!,AQ$27&lt;=#REF!+#REF!),$G$5,"")),"")</f>
        <v/>
      </c>
      <c r="AQ90" s="36" t="str">
        <f ca="1">IFERROR(+IF(AR$27=#REF!,Milestone_Marker,IF(AND(AR$27&gt;#REF!,AR$27&lt;=#REF!+#REF!),$G$5,"")),"")</f>
        <v/>
      </c>
      <c r="AR90" s="36" t="str">
        <f ca="1">IFERROR(+IF(AS$27=#REF!,Milestone_Marker,IF(AND(AS$27&gt;#REF!,AS$27&lt;=#REF!+#REF!),$G$5,"")),"")</f>
        <v/>
      </c>
      <c r="AS90" s="36" t="str">
        <f ca="1">IFERROR(+IF(AT$27=#REF!,Milestone_Marker,IF(AND(AT$27&gt;#REF!,AT$27&lt;=#REF!+#REF!),$G$5,"")),"")</f>
        <v/>
      </c>
      <c r="AT90" s="36" t="str">
        <f ca="1">IFERROR(+IF(AU$27=#REF!,Milestone_Marker,IF(AND(AU$27&gt;#REF!,AU$27&lt;=#REF!+#REF!),$G$5,"")),"")</f>
        <v/>
      </c>
      <c r="AU90" s="36" t="str">
        <f ca="1">IFERROR(+IF(AV$27=#REF!,Milestone_Marker,IF(AND(AV$27&gt;#REF!,AV$27&lt;=#REF!+#REF!),$G$5,"")),"")</f>
        <v/>
      </c>
      <c r="AV90" s="36" t="str">
        <f ca="1">IFERROR(+IF(AW$27=#REF!,Milestone_Marker,IF(AND(AW$27&gt;#REF!,AW$27&lt;=#REF!+#REF!),$G$5,"")),"")</f>
        <v/>
      </c>
      <c r="AW90" s="36" t="str">
        <f ca="1">IFERROR(+IF(AX$27=#REF!,Milestone_Marker,IF(AND(AX$27&gt;#REF!,AX$27&lt;=#REF!+#REF!),$G$5,"")),"")</f>
        <v/>
      </c>
      <c r="AX90" s="36" t="str">
        <f ca="1">IFERROR(+IF(AY$27=#REF!,Milestone_Marker,IF(AND(AY$27&gt;#REF!,AY$27&lt;=#REF!+#REF!),$G$5,"")),"")</f>
        <v/>
      </c>
      <c r="AY90" s="36" t="str">
        <f ca="1">IFERROR(+IF(AZ$27=#REF!,Milestone_Marker,IF(AND(AZ$27&gt;#REF!,AZ$27&lt;=#REF!+#REF!),$G$5,"")),"")</f>
        <v/>
      </c>
      <c r="AZ90" s="36" t="str">
        <f ca="1">IFERROR(+IF(BA$27=#REF!,Milestone_Marker,IF(AND(BA$27&gt;#REF!,BA$27&lt;=#REF!+#REF!),$G$5,"")),"")</f>
        <v/>
      </c>
      <c r="BA90" s="36" t="str">
        <f ca="1">IFERROR(+IF(BB$27=#REF!,Milestone_Marker,IF(AND(BB$27&gt;#REF!,BB$27&lt;=#REF!+#REF!),$G$5,"")),"")</f>
        <v/>
      </c>
      <c r="BB90" s="36" t="str">
        <f ca="1">IFERROR(+IF(BC$27=#REF!,Milestone_Marker,IF(AND(BC$27&gt;#REF!,BC$27&lt;=#REF!+#REF!),$G$5,"")),"")</f>
        <v/>
      </c>
      <c r="BC90" s="36" t="str">
        <f ca="1">IFERROR(+IF(BD$27=#REF!,Milestone_Marker,IF(AND(BD$27&gt;#REF!,BD$27&lt;=#REF!+#REF!),$G$5,"")),"")</f>
        <v/>
      </c>
      <c r="BD90" s="36" t="str">
        <f ca="1">IFERROR(+IF(BE$27=#REF!,Milestone_Marker,IF(AND(BE$27&gt;#REF!,BE$27&lt;=#REF!+#REF!),$G$5,"")),"")</f>
        <v/>
      </c>
      <c r="BE90" s="36" t="str">
        <f ca="1">IFERROR(+IF(BF$27=#REF!,Milestone_Marker,IF(AND(BF$27&gt;#REF!,BF$27&lt;=#REF!+#REF!),$G$5,"")),"")</f>
        <v/>
      </c>
      <c r="BF90" s="36" t="str">
        <f ca="1">IFERROR(+IF(BG$27=#REF!,Milestone_Marker,IF(AND(BG$27&gt;#REF!,BG$27&lt;=#REF!+#REF!),$G$5,"")),"")</f>
        <v/>
      </c>
      <c r="BG90" s="36" t="str">
        <f ca="1">IFERROR(+IF(BH$27=#REF!,Milestone_Marker,IF(AND(BH$27&gt;#REF!,BH$27&lt;=#REF!+#REF!),$G$5,"")),"")</f>
        <v/>
      </c>
      <c r="BH90" s="36" t="str">
        <f ca="1">IFERROR(+IF(BI$27=#REF!,Milestone_Marker,IF(AND(BI$27&gt;#REF!,BI$27&lt;=#REF!+#REF!),$G$5,"")),"")</f>
        <v/>
      </c>
      <c r="BI90" s="36" t="str">
        <f ca="1">IFERROR(+IF(BJ$27=#REF!,Milestone_Marker,IF(AND(BJ$27&gt;#REF!,BJ$27&lt;=#REF!+#REF!),$G$5,"")),"")</f>
        <v/>
      </c>
      <c r="BJ90" s="36" t="str">
        <f ca="1">IFERROR(+IF(BK$27=#REF!,Milestone_Marker,IF(AND(BK$27&gt;#REF!,BK$27&lt;=#REF!+#REF!),$G$5,"")),"")</f>
        <v/>
      </c>
      <c r="BK90" s="36" t="str">
        <f ca="1">IFERROR(+IF(BL$27=#REF!,Milestone_Marker,IF(AND(BL$27&gt;#REF!,BL$27&lt;=#REF!+#REF!),$G$5,"")),"")</f>
        <v/>
      </c>
      <c r="BL90" s="36" t="str">
        <f ca="1">IFERROR(+IF(BM$27=#REF!,Milestone_Marker,IF(AND(BM$27&gt;#REF!,BM$27&lt;=#REF!+#REF!),$G$5,"")),"")</f>
        <v/>
      </c>
      <c r="BM90" s="36" t="str">
        <f ca="1">IFERROR(+IF(BN$27=#REF!,Milestone_Marker,IF(AND(BN$27&gt;#REF!,BN$27&lt;=#REF!+#REF!),$G$5,"")),"")</f>
        <v/>
      </c>
      <c r="BN90" s="36" t="str">
        <f ca="1">IFERROR(+IF(BO$27=#REF!,Milestone_Marker,IF(AND(BO$27&gt;#REF!,BO$27&lt;=#REF!+#REF!),$G$5,"")),"")</f>
        <v/>
      </c>
      <c r="BO90" s="36" t="str">
        <f ca="1">IFERROR(+IF(BP$27=#REF!,Milestone_Marker,IF(AND(BP$27&gt;#REF!,BP$27&lt;=#REF!+#REF!),$G$5,"")),"")</f>
        <v/>
      </c>
      <c r="BP90" s="36" t="str">
        <f ca="1">IFERROR(+IF(BQ$27=#REF!,Milestone_Marker,IF(AND(BQ$27&gt;#REF!,BQ$27&lt;=#REF!+#REF!),$G$5,"")),"")</f>
        <v/>
      </c>
      <c r="BQ90" s="36" t="str">
        <f ca="1">IFERROR(+IF(BR$27=#REF!,Milestone_Marker,IF(AND(BR$27&gt;#REF!,BR$27&lt;=#REF!+#REF!),$G$5,"")),"")</f>
        <v/>
      </c>
      <c r="BR90" s="36" t="str">
        <f ca="1">IFERROR(+IF(BS$27=#REF!,Milestone_Marker,IF(AND(BS$27&gt;#REF!,BS$27&lt;=#REF!+#REF!),$G$5,"")),"")</f>
        <v/>
      </c>
      <c r="BS90" s="36" t="str">
        <f ca="1">IFERROR(+IF(BT$27=#REF!,Milestone_Marker,IF(AND(BT$27&gt;#REF!,BT$27&lt;=#REF!+#REF!),$G$5,"")),"")</f>
        <v/>
      </c>
      <c r="BT90" s="36" t="str">
        <f ca="1">IFERROR(+IF(BU$27=#REF!,Milestone_Marker,IF(AND(BU$27&gt;#REF!,BU$27&lt;=#REF!+#REF!),$G$5,"")),"")</f>
        <v/>
      </c>
      <c r="BU90" s="36" t="str">
        <f ca="1">IFERROR(+IF(BV$27=#REF!,Milestone_Marker,IF(AND(BV$27&gt;#REF!,BV$27&lt;=#REF!+#REF!),$G$5,"")),"")</f>
        <v/>
      </c>
      <c r="BV90" s="36" t="str">
        <f ca="1">IFERROR(+IF(BW$27=#REF!,Milestone_Marker,IF(AND(BW$27&gt;#REF!,BW$27&lt;=#REF!+#REF!),$G$5,"")),"")</f>
        <v/>
      </c>
      <c r="BW90" s="36" t="str">
        <f ca="1">IFERROR(+IF(BX$27=#REF!,Milestone_Marker,IF(AND(BX$27&gt;#REF!,BX$27&lt;=#REF!+#REF!),$G$5,"")),"")</f>
        <v/>
      </c>
      <c r="BX90" s="36" t="str">
        <f ca="1">IFERROR(+IF(BY$27=#REF!,Milestone_Marker,IF(AND(BY$27&gt;#REF!,BY$27&lt;=#REF!+#REF!),$G$5,"")),"")</f>
        <v/>
      </c>
      <c r="BY90" s="36" t="str">
        <f ca="1">IFERROR(+IF(BZ$27=#REF!,Milestone_Marker,IF(AND(BZ$27&gt;#REF!,BZ$27&lt;=#REF!+#REF!),$G$5,"")),"")</f>
        <v/>
      </c>
      <c r="BZ90" s="36" t="str">
        <f ca="1">IFERROR(+IF(CA$27=#REF!,Milestone_Marker,IF(AND(CA$27&gt;#REF!,CA$27&lt;=#REF!+#REF!),$G$5,"")),"")</f>
        <v/>
      </c>
      <c r="CA90" s="36" t="str">
        <f ca="1">IFERROR(+IF(CB$27=#REF!,Milestone_Marker,IF(AND(CB$27&gt;#REF!,CB$27&lt;=#REF!+#REF!),$G$5,"")),"")</f>
        <v/>
      </c>
      <c r="CB90" s="36" t="str">
        <f ca="1">IFERROR(+IF(CC$27=#REF!,Milestone_Marker,IF(AND(CC$27&gt;#REF!,CC$27&lt;=#REF!+#REF!),$G$5,"")),"")</f>
        <v/>
      </c>
      <c r="CC90" s="36" t="str">
        <f ca="1">IFERROR(+IF(CD$27=#REF!,Milestone_Marker,IF(AND(CD$27&gt;#REF!,CD$27&lt;=#REF!+#REF!),$G$5,"")),"")</f>
        <v/>
      </c>
      <c r="CD90" s="36" t="str">
        <f ca="1">IFERROR(+IF(CE$27=#REF!,Milestone_Marker,IF(AND(CE$27&gt;#REF!,CE$27&lt;=#REF!+#REF!),$G$5,"")),"")</f>
        <v/>
      </c>
      <c r="CE90" s="36" t="str">
        <f ca="1">IFERROR(+IF(CF$27=#REF!,Milestone_Marker,IF(AND(CF$27&gt;#REF!,CF$27&lt;=#REF!+#REF!),$G$5,"")),"")</f>
        <v/>
      </c>
      <c r="CF90" s="36" t="str">
        <f ca="1">IFERROR(+IF(CG$27=#REF!,Milestone_Marker,IF(AND(CG$27&gt;#REF!,CG$27&lt;=#REF!+#REF!),$G$5,"")),"")</f>
        <v/>
      </c>
      <c r="CG90" s="36" t="str">
        <f ca="1">IFERROR(+IF(CH$27=#REF!,Milestone_Marker,IF(AND(CH$27&gt;#REF!,CH$27&lt;=#REF!+#REF!),$G$5,"")),"")</f>
        <v/>
      </c>
      <c r="CH90" s="36" t="str">
        <f ca="1">IFERROR(+IF(CI$27=#REF!,Milestone_Marker,IF(AND(CI$27&gt;#REF!,CI$27&lt;=#REF!+#REF!),$G$5,"")),"")</f>
        <v/>
      </c>
      <c r="CI90" s="36" t="str">
        <f ca="1">IFERROR(+IF(CJ$27=#REF!,Milestone_Marker,IF(AND(CJ$27&gt;#REF!,CJ$27&lt;=#REF!+#REF!),$G$5,"")),"")</f>
        <v/>
      </c>
      <c r="CJ90" s="36" t="str">
        <f ca="1">IFERROR(+IF(CK$27=#REF!,Milestone_Marker,IF(AND(CK$27&gt;#REF!,CK$27&lt;=#REF!+#REF!),$G$5,"")),"")</f>
        <v/>
      </c>
      <c r="CK90" s="36" t="str">
        <f ca="1">IFERROR(+IF(CL$27=#REF!,Milestone_Marker,IF(AND(CL$27&gt;#REF!,CL$27&lt;=#REF!+#REF!),$G$5,"")),"")</f>
        <v/>
      </c>
      <c r="CL90" s="36" t="str">
        <f ca="1">IFERROR(+IF(CM$27=#REF!,Milestone_Marker,IF(AND(CM$27&gt;#REF!,CM$27&lt;=#REF!+#REF!),$G$5,"")),"")</f>
        <v/>
      </c>
      <c r="CM90" s="36" t="str">
        <f ca="1">IFERROR(+IF(CN$27=#REF!,Milestone_Marker,IF(AND(CN$27&gt;#REF!,CN$27&lt;=#REF!+#REF!),$G$5,"")),"")</f>
        <v/>
      </c>
      <c r="CN90" s="36" t="str">
        <f ca="1">IFERROR(+IF(CO$27=#REF!,Milestone_Marker,IF(AND(CO$27&gt;#REF!,CO$27&lt;=#REF!+#REF!),$G$5,"")),"")</f>
        <v/>
      </c>
      <c r="CO90" s="36" t="str">
        <f ca="1">IFERROR(+IF(CP$27=#REF!,Milestone_Marker,IF(AND(CP$27&gt;#REF!,CP$27&lt;=#REF!+#REF!),$G$5,"")),"")</f>
        <v/>
      </c>
      <c r="CP90" s="36" t="str">
        <f ca="1">IFERROR(+IF(CQ$27=#REF!,Milestone_Marker,IF(AND(CQ$27&gt;#REF!,CQ$27&lt;=#REF!+#REF!),$G$5,"")),"")</f>
        <v/>
      </c>
      <c r="CQ90" s="36" t="str">
        <f ca="1">IFERROR(+IF(CR$27=#REF!,Milestone_Marker,IF(AND(CR$27&gt;#REF!,CR$27&lt;=#REF!+#REF!),$G$5,"")),"")</f>
        <v/>
      </c>
      <c r="CR90" s="36" t="str">
        <f ca="1">IFERROR(+IF(CS$27=#REF!,Milestone_Marker,IF(AND(CS$27&gt;#REF!,CS$27&lt;=#REF!+#REF!),$G$5,"")),"")</f>
        <v/>
      </c>
      <c r="CS90" s="36" t="str">
        <f ca="1">IFERROR(+IF(CT$27=#REF!,Milestone_Marker,IF(AND(CT$27&gt;#REF!,CT$27&lt;=#REF!+#REF!),$G$5,"")),"")</f>
        <v/>
      </c>
      <c r="CT90" s="36" t="str">
        <f ca="1">IFERROR(+IF(CU$27=#REF!,Milestone_Marker,IF(AND(CU$27&gt;#REF!,CU$27&lt;=#REF!+#REF!),$G$5,"")),"")</f>
        <v/>
      </c>
    </row>
    <row r="91" spans="1:125" ht="18" customHeight="1" x14ac:dyDescent="0.25">
      <c r="P91" s="36" t="str">
        <f ca="1">IFERROR(+IF(Q$27=#REF!,Milestone_Marker,IF(AND(Q$27&gt;#REF!,Q$27&lt;=#REF!+#REF!),$G$5,"")),"")</f>
        <v/>
      </c>
      <c r="Q91" s="36" t="str">
        <f ca="1">IFERROR(+IF(R$27=#REF!,Milestone_Marker,IF(AND(R$27&gt;#REF!,R$27&lt;=#REF!+#REF!),$G$5,"")),"")</f>
        <v/>
      </c>
      <c r="R91" s="36" t="str">
        <f ca="1">IFERROR(+IF(S$27=#REF!,Milestone_Marker,IF(AND(S$27&gt;#REF!,S$27&lt;=#REF!+#REF!),$G$5,"")),"")</f>
        <v/>
      </c>
      <c r="S91" s="36" t="str">
        <f ca="1">IFERROR(+IF(T$27=#REF!,Milestone_Marker,IF(AND(T$27&gt;#REF!,T$27&lt;=#REF!+#REF!),$G$5,"")),"")</f>
        <v/>
      </c>
      <c r="T91" s="36" t="str">
        <f ca="1">IFERROR(+IF(U$27=#REF!,Milestone_Marker,IF(AND(U$27&gt;#REF!,U$27&lt;=#REF!+#REF!),$G$5,"")),"")</f>
        <v/>
      </c>
      <c r="U91" s="36" t="str">
        <f ca="1">IFERROR(+IF(V$27=#REF!,Milestone_Marker,IF(AND(V$27&gt;#REF!,V$27&lt;=#REF!+#REF!),$G$5,"")),"")</f>
        <v/>
      </c>
      <c r="V91" s="36" t="str">
        <f ca="1">IFERROR(+IF(W$27=#REF!,Milestone_Marker,IF(AND(W$27&gt;#REF!,W$27&lt;=#REF!+#REF!),$G$5,"")),"")</f>
        <v/>
      </c>
      <c r="W91" s="36" t="str">
        <f ca="1">IFERROR(+IF(X$27=#REF!,Milestone_Marker,IF(AND(X$27&gt;#REF!,X$27&lt;=#REF!+#REF!),$G$5,"")),"")</f>
        <v/>
      </c>
      <c r="X91" s="36" t="str">
        <f ca="1">IFERROR(+IF(Y$27=#REF!,Milestone_Marker,IF(AND(Y$27&gt;#REF!,Y$27&lt;=#REF!+#REF!),$G$5,"")),"")</f>
        <v/>
      </c>
      <c r="Y91" s="36" t="str">
        <f ca="1">IFERROR(+IF(Z$27=#REF!,Milestone_Marker,IF(AND(Z$27&gt;#REF!,Z$27&lt;=#REF!+#REF!),$G$5,"")),"")</f>
        <v/>
      </c>
      <c r="Z91" s="36" t="str">
        <f ca="1">IFERROR(+IF(AA$27=#REF!,Milestone_Marker,IF(AND(AA$27&gt;#REF!,AA$27&lt;=#REF!+#REF!),$G$5,"")),"")</f>
        <v/>
      </c>
      <c r="AA91" s="36" t="str">
        <f ca="1">IFERROR(+IF(AB$27=#REF!,Milestone_Marker,IF(AND(AB$27&gt;#REF!,AB$27&lt;=#REF!+#REF!),$G$5,"")),"")</f>
        <v/>
      </c>
      <c r="AB91" s="36" t="str">
        <f ca="1">IFERROR(+IF(AC$27=#REF!,Milestone_Marker,IF(AND(AC$27&gt;#REF!,AC$27&lt;=#REF!+#REF!),$G$5,"")),"")</f>
        <v/>
      </c>
      <c r="AC91" s="36" t="str">
        <f ca="1">IFERROR(+IF(AD$27=#REF!,Milestone_Marker,IF(AND(AD$27&gt;#REF!,AD$27&lt;=#REF!+#REF!),$G$5,"")),"")</f>
        <v/>
      </c>
      <c r="AD91" s="36" t="str">
        <f ca="1">IFERROR(+IF(AE$27=#REF!,Milestone_Marker,IF(AND(AE$27&gt;#REF!,AE$27&lt;=#REF!+#REF!),$G$5,"")),"")</f>
        <v/>
      </c>
      <c r="AE91" s="36" t="str">
        <f ca="1">IFERROR(+IF(AF$27=#REF!,Milestone_Marker,IF(AND(AF$27&gt;#REF!,AF$27&lt;=#REF!+#REF!),$G$5,"")),"")</f>
        <v/>
      </c>
      <c r="AF91" s="36" t="str">
        <f ca="1">IFERROR(+IF(AG$27=#REF!,Milestone_Marker,IF(AND(AG$27&gt;#REF!,AG$27&lt;=#REF!+#REF!),$G$5,"")),"")</f>
        <v/>
      </c>
      <c r="AG91" s="36" t="str">
        <f ca="1">IFERROR(+IF(AH$27=#REF!,Milestone_Marker,IF(AND(AH$27&gt;#REF!,AH$27&lt;=#REF!+#REF!),$G$5,"")),"")</f>
        <v/>
      </c>
      <c r="AH91" s="36" t="str">
        <f ca="1">IFERROR(+IF(AI$27=#REF!,Milestone_Marker,IF(AND(AI$27&gt;#REF!,AI$27&lt;=#REF!+#REF!),$G$5,"")),"")</f>
        <v/>
      </c>
      <c r="AI91" s="36" t="str">
        <f ca="1">IFERROR(+IF(AJ$27=#REF!,Milestone_Marker,IF(AND(AJ$27&gt;#REF!,AJ$27&lt;=#REF!+#REF!),$G$5,"")),"")</f>
        <v/>
      </c>
      <c r="AJ91" s="36" t="str">
        <f ca="1">IFERROR(+IF(AK$27=#REF!,Milestone_Marker,IF(AND(AK$27&gt;#REF!,AK$27&lt;=#REF!+#REF!),$G$5,"")),"")</f>
        <v/>
      </c>
      <c r="AK91" s="36" t="str">
        <f ca="1">IFERROR(+IF(AL$27=#REF!,Milestone_Marker,IF(AND(AL$27&gt;#REF!,AL$27&lt;=#REF!+#REF!),$G$5,"")),"")</f>
        <v/>
      </c>
      <c r="AL91" s="36" t="str">
        <f ca="1">IFERROR(+IF(AM$27=#REF!,Milestone_Marker,IF(AND(AM$27&gt;#REF!,AM$27&lt;=#REF!+#REF!),$G$5,"")),"")</f>
        <v/>
      </c>
      <c r="AM91" s="36" t="str">
        <f ca="1">IFERROR(+IF(AN$27=#REF!,Milestone_Marker,IF(AND(AN$27&gt;#REF!,AN$27&lt;=#REF!+#REF!),$G$5,"")),"")</f>
        <v/>
      </c>
      <c r="AN91" s="36" t="str">
        <f ca="1">IFERROR(+IF(AO$27=#REF!,Milestone_Marker,IF(AND(AO$27&gt;#REF!,AO$27&lt;=#REF!+#REF!),$G$5,"")),"")</f>
        <v/>
      </c>
      <c r="AO91" s="36" t="str">
        <f ca="1">IFERROR(+IF(AP$27=#REF!,Milestone_Marker,IF(AND(AP$27&gt;#REF!,AP$27&lt;=#REF!+#REF!),$G$5,"")),"")</f>
        <v/>
      </c>
      <c r="AP91" s="36" t="str">
        <f ca="1">IFERROR(+IF(AQ$27=#REF!,Milestone_Marker,IF(AND(AQ$27&gt;#REF!,AQ$27&lt;=#REF!+#REF!),$G$5,"")),"")</f>
        <v/>
      </c>
      <c r="AQ91" s="36" t="str">
        <f ca="1">IFERROR(+IF(AR$27=#REF!,Milestone_Marker,IF(AND(AR$27&gt;#REF!,AR$27&lt;=#REF!+#REF!),$G$5,"")),"")</f>
        <v/>
      </c>
      <c r="AR91" s="36" t="str">
        <f ca="1">IFERROR(+IF(AS$27=#REF!,Milestone_Marker,IF(AND(AS$27&gt;#REF!,AS$27&lt;=#REF!+#REF!),$G$5,"")),"")</f>
        <v/>
      </c>
      <c r="AS91" s="36" t="str">
        <f ca="1">IFERROR(+IF(AT$27=#REF!,Milestone_Marker,IF(AND(AT$27&gt;#REF!,AT$27&lt;=#REF!+#REF!),$G$5,"")),"")</f>
        <v/>
      </c>
      <c r="AT91" s="36" t="str">
        <f ca="1">IFERROR(+IF(AU$27=#REF!,Milestone_Marker,IF(AND(AU$27&gt;#REF!,AU$27&lt;=#REF!+#REF!),$G$5,"")),"")</f>
        <v/>
      </c>
      <c r="AU91" s="36" t="str">
        <f ca="1">IFERROR(+IF(AV$27=#REF!,Milestone_Marker,IF(AND(AV$27&gt;#REF!,AV$27&lt;=#REF!+#REF!),$G$5,"")),"")</f>
        <v/>
      </c>
      <c r="AV91" s="36" t="str">
        <f ca="1">IFERROR(+IF(AW$27=#REF!,Milestone_Marker,IF(AND(AW$27&gt;#REF!,AW$27&lt;=#REF!+#REF!),$G$5,"")),"")</f>
        <v/>
      </c>
      <c r="AW91" s="36" t="str">
        <f ca="1">IFERROR(+IF(AX$27=#REF!,Milestone_Marker,IF(AND(AX$27&gt;#REF!,AX$27&lt;=#REF!+#REF!),$G$5,"")),"")</f>
        <v/>
      </c>
      <c r="AX91" s="36" t="str">
        <f ca="1">IFERROR(+IF(AY$27=#REF!,Milestone_Marker,IF(AND(AY$27&gt;#REF!,AY$27&lt;=#REF!+#REF!),$G$5,"")),"")</f>
        <v/>
      </c>
      <c r="AY91" s="36" t="str">
        <f ca="1">IFERROR(+IF(AZ$27=#REF!,Milestone_Marker,IF(AND(AZ$27&gt;#REF!,AZ$27&lt;=#REF!+#REF!),$G$5,"")),"")</f>
        <v/>
      </c>
      <c r="AZ91" s="36" t="str">
        <f ca="1">IFERROR(+IF(BA$27=#REF!,Milestone_Marker,IF(AND(BA$27&gt;#REF!,BA$27&lt;=#REF!+#REF!),$G$5,"")),"")</f>
        <v/>
      </c>
      <c r="BA91" s="36" t="str">
        <f ca="1">IFERROR(+IF(BB$27=#REF!,Milestone_Marker,IF(AND(BB$27&gt;#REF!,BB$27&lt;=#REF!+#REF!),$G$5,"")),"")</f>
        <v/>
      </c>
      <c r="BB91" s="36" t="str">
        <f ca="1">IFERROR(+IF(BC$27=#REF!,Milestone_Marker,IF(AND(BC$27&gt;#REF!,BC$27&lt;=#REF!+#REF!),$G$5,"")),"")</f>
        <v/>
      </c>
      <c r="BC91" s="36" t="str">
        <f ca="1">IFERROR(+IF(BD$27=#REF!,Milestone_Marker,IF(AND(BD$27&gt;#REF!,BD$27&lt;=#REF!+#REF!),$G$5,"")),"")</f>
        <v/>
      </c>
      <c r="BD91" s="36" t="str">
        <f ca="1">IFERROR(+IF(BE$27=#REF!,Milestone_Marker,IF(AND(BE$27&gt;#REF!,BE$27&lt;=#REF!+#REF!),$G$5,"")),"")</f>
        <v/>
      </c>
      <c r="BE91" s="36" t="str">
        <f ca="1">IFERROR(+IF(BF$27=#REF!,Milestone_Marker,IF(AND(BF$27&gt;#REF!,BF$27&lt;=#REF!+#REF!),$G$5,"")),"")</f>
        <v/>
      </c>
      <c r="BF91" s="36" t="str">
        <f ca="1">IFERROR(+IF(BG$27=#REF!,Milestone_Marker,IF(AND(BG$27&gt;#REF!,BG$27&lt;=#REF!+#REF!),$G$5,"")),"")</f>
        <v/>
      </c>
      <c r="BG91" s="36" t="str">
        <f ca="1">IFERROR(+IF(BH$27=#REF!,Milestone_Marker,IF(AND(BH$27&gt;#REF!,BH$27&lt;=#REF!+#REF!),$G$5,"")),"")</f>
        <v/>
      </c>
      <c r="BH91" s="36" t="str">
        <f ca="1">IFERROR(+IF(BI$27=#REF!,Milestone_Marker,IF(AND(BI$27&gt;#REF!,BI$27&lt;=#REF!+#REF!),$G$5,"")),"")</f>
        <v/>
      </c>
      <c r="BI91" s="36" t="str">
        <f ca="1">IFERROR(+IF(BJ$27=#REF!,Milestone_Marker,IF(AND(BJ$27&gt;#REF!,BJ$27&lt;=#REF!+#REF!),$G$5,"")),"")</f>
        <v/>
      </c>
      <c r="BJ91" s="36" t="str">
        <f ca="1">IFERROR(+IF(BK$27=#REF!,Milestone_Marker,IF(AND(BK$27&gt;#REF!,BK$27&lt;=#REF!+#REF!),$G$5,"")),"")</f>
        <v/>
      </c>
      <c r="BK91" s="36" t="str">
        <f ca="1">IFERROR(+IF(BL$27=#REF!,Milestone_Marker,IF(AND(BL$27&gt;#REF!,BL$27&lt;=#REF!+#REF!),$G$5,"")),"")</f>
        <v/>
      </c>
      <c r="BL91" s="36" t="str">
        <f ca="1">IFERROR(+IF(BM$27=#REF!,Milestone_Marker,IF(AND(BM$27&gt;#REF!,BM$27&lt;=#REF!+#REF!),$G$5,"")),"")</f>
        <v/>
      </c>
      <c r="BM91" s="36" t="str">
        <f ca="1">IFERROR(+IF(BN$27=#REF!,Milestone_Marker,IF(AND(BN$27&gt;#REF!,BN$27&lt;=#REF!+#REF!),$G$5,"")),"")</f>
        <v/>
      </c>
      <c r="BN91" s="36" t="str">
        <f ca="1">IFERROR(+IF(BO$27=#REF!,Milestone_Marker,IF(AND(BO$27&gt;#REF!,BO$27&lt;=#REF!+#REF!),$G$5,"")),"")</f>
        <v/>
      </c>
      <c r="BO91" s="36" t="str">
        <f ca="1">IFERROR(+IF(BP$27=#REF!,Milestone_Marker,IF(AND(BP$27&gt;#REF!,BP$27&lt;=#REF!+#REF!),$G$5,"")),"")</f>
        <v/>
      </c>
      <c r="BP91" s="36" t="str">
        <f ca="1">IFERROR(+IF(BQ$27=#REF!,Milestone_Marker,IF(AND(BQ$27&gt;#REF!,BQ$27&lt;=#REF!+#REF!),$G$5,"")),"")</f>
        <v/>
      </c>
      <c r="BQ91" s="36" t="str">
        <f ca="1">IFERROR(+IF(BR$27=#REF!,Milestone_Marker,IF(AND(BR$27&gt;#REF!,BR$27&lt;=#REF!+#REF!),$G$5,"")),"")</f>
        <v/>
      </c>
      <c r="BR91" s="36" t="str">
        <f ca="1">IFERROR(+IF(BS$27=#REF!,Milestone_Marker,IF(AND(BS$27&gt;#REF!,BS$27&lt;=#REF!+#REF!),$G$5,"")),"")</f>
        <v/>
      </c>
      <c r="BS91" s="36" t="str">
        <f ca="1">IFERROR(+IF(BT$27=#REF!,Milestone_Marker,IF(AND(BT$27&gt;#REF!,BT$27&lt;=#REF!+#REF!),$G$5,"")),"")</f>
        <v/>
      </c>
      <c r="BT91" s="36" t="str">
        <f ca="1">IFERROR(+IF(BU$27=#REF!,Milestone_Marker,IF(AND(BU$27&gt;#REF!,BU$27&lt;=#REF!+#REF!),$G$5,"")),"")</f>
        <v/>
      </c>
      <c r="BU91" s="36" t="str">
        <f ca="1">IFERROR(+IF(BV$27=#REF!,Milestone_Marker,IF(AND(BV$27&gt;#REF!,BV$27&lt;=#REF!+#REF!),$G$5,"")),"")</f>
        <v/>
      </c>
      <c r="BV91" s="36" t="str">
        <f ca="1">IFERROR(+IF(BW$27=#REF!,Milestone_Marker,IF(AND(BW$27&gt;#REF!,BW$27&lt;=#REF!+#REF!),$G$5,"")),"")</f>
        <v/>
      </c>
      <c r="BW91" s="36" t="str">
        <f ca="1">IFERROR(+IF(BX$27=#REF!,Milestone_Marker,IF(AND(BX$27&gt;#REF!,BX$27&lt;=#REF!+#REF!),$G$5,"")),"")</f>
        <v/>
      </c>
      <c r="BX91" s="36" t="str">
        <f ca="1">IFERROR(+IF(BY$27=#REF!,Milestone_Marker,IF(AND(BY$27&gt;#REF!,BY$27&lt;=#REF!+#REF!),$G$5,"")),"")</f>
        <v/>
      </c>
      <c r="BY91" s="36" t="str">
        <f ca="1">IFERROR(+IF(BZ$27=#REF!,Milestone_Marker,IF(AND(BZ$27&gt;#REF!,BZ$27&lt;=#REF!+#REF!),$G$5,"")),"")</f>
        <v/>
      </c>
      <c r="BZ91" s="36" t="str">
        <f ca="1">IFERROR(+IF(CA$27=#REF!,Milestone_Marker,IF(AND(CA$27&gt;#REF!,CA$27&lt;=#REF!+#REF!),$G$5,"")),"")</f>
        <v/>
      </c>
      <c r="CA91" s="36" t="str">
        <f ca="1">IFERROR(+IF(CB$27=#REF!,Milestone_Marker,IF(AND(CB$27&gt;#REF!,CB$27&lt;=#REF!+#REF!),$G$5,"")),"")</f>
        <v/>
      </c>
      <c r="CB91" s="36" t="str">
        <f ca="1">IFERROR(+IF(CC$27=#REF!,Milestone_Marker,IF(AND(CC$27&gt;#REF!,CC$27&lt;=#REF!+#REF!),$G$5,"")),"")</f>
        <v/>
      </c>
      <c r="CC91" s="36" t="str">
        <f ca="1">IFERROR(+IF(CD$27=#REF!,Milestone_Marker,IF(AND(CD$27&gt;#REF!,CD$27&lt;=#REF!+#REF!),$G$5,"")),"")</f>
        <v/>
      </c>
      <c r="CD91" s="36" t="str">
        <f ca="1">IFERROR(+IF(CE$27=#REF!,Milestone_Marker,IF(AND(CE$27&gt;#REF!,CE$27&lt;=#REF!+#REF!),$G$5,"")),"")</f>
        <v/>
      </c>
      <c r="CE91" s="36" t="str">
        <f ca="1">IFERROR(+IF(CF$27=#REF!,Milestone_Marker,IF(AND(CF$27&gt;#REF!,CF$27&lt;=#REF!+#REF!),$G$5,"")),"")</f>
        <v/>
      </c>
      <c r="CF91" s="36" t="str">
        <f ca="1">IFERROR(+IF(CG$27=#REF!,Milestone_Marker,IF(AND(CG$27&gt;#REF!,CG$27&lt;=#REF!+#REF!),$G$5,"")),"")</f>
        <v/>
      </c>
      <c r="CG91" s="36" t="str">
        <f ca="1">IFERROR(+IF(CH$27=#REF!,Milestone_Marker,IF(AND(CH$27&gt;#REF!,CH$27&lt;=#REF!+#REF!),$G$5,"")),"")</f>
        <v/>
      </c>
      <c r="CH91" s="36" t="str">
        <f ca="1">IFERROR(+IF(CI$27=#REF!,Milestone_Marker,IF(AND(CI$27&gt;#REF!,CI$27&lt;=#REF!+#REF!),$G$5,"")),"")</f>
        <v/>
      </c>
      <c r="CI91" s="36" t="str">
        <f ca="1">IFERROR(+IF(CJ$27=#REF!,Milestone_Marker,IF(AND(CJ$27&gt;#REF!,CJ$27&lt;=#REF!+#REF!),$G$5,"")),"")</f>
        <v/>
      </c>
      <c r="CJ91" s="36" t="str">
        <f ca="1">IFERROR(+IF(CK$27=#REF!,Milestone_Marker,IF(AND(CK$27&gt;#REF!,CK$27&lt;=#REF!+#REF!),$G$5,"")),"")</f>
        <v/>
      </c>
      <c r="CK91" s="36" t="str">
        <f ca="1">IFERROR(+IF(CL$27=#REF!,Milestone_Marker,IF(AND(CL$27&gt;#REF!,CL$27&lt;=#REF!+#REF!),$G$5,"")),"")</f>
        <v/>
      </c>
      <c r="CL91" s="36" t="str">
        <f ca="1">IFERROR(+IF(CM$27=#REF!,Milestone_Marker,IF(AND(CM$27&gt;#REF!,CM$27&lt;=#REF!+#REF!),$G$5,"")),"")</f>
        <v/>
      </c>
      <c r="CM91" s="36" t="str">
        <f ca="1">IFERROR(+IF(CN$27=#REF!,Milestone_Marker,IF(AND(CN$27&gt;#REF!,CN$27&lt;=#REF!+#REF!),$G$5,"")),"")</f>
        <v/>
      </c>
      <c r="CN91" s="36" t="str">
        <f ca="1">IFERROR(+IF(CO$27=#REF!,Milestone_Marker,IF(AND(CO$27&gt;#REF!,CO$27&lt;=#REF!+#REF!),$G$5,"")),"")</f>
        <v/>
      </c>
      <c r="CO91" s="36" t="str">
        <f ca="1">IFERROR(+IF(CP$27=#REF!,Milestone_Marker,IF(AND(CP$27&gt;#REF!,CP$27&lt;=#REF!+#REF!),$G$5,"")),"")</f>
        <v/>
      </c>
      <c r="CP91" s="36" t="str">
        <f ca="1">IFERROR(+IF(CQ$27=#REF!,Milestone_Marker,IF(AND(CQ$27&gt;#REF!,CQ$27&lt;=#REF!+#REF!),$G$5,"")),"")</f>
        <v/>
      </c>
      <c r="CQ91" s="36" t="str">
        <f ca="1">IFERROR(+IF(CR$27=#REF!,Milestone_Marker,IF(AND(CR$27&gt;#REF!,CR$27&lt;=#REF!+#REF!),$G$5,"")),"")</f>
        <v/>
      </c>
      <c r="CR91" s="36" t="str">
        <f ca="1">IFERROR(+IF(CS$27=#REF!,Milestone_Marker,IF(AND(CS$27&gt;#REF!,CS$27&lt;=#REF!+#REF!),$G$5,"")),"")</f>
        <v/>
      </c>
      <c r="CS91" s="36" t="str">
        <f ca="1">IFERROR(+IF(CT$27=#REF!,Milestone_Marker,IF(AND(CT$27&gt;#REF!,CT$27&lt;=#REF!+#REF!),$G$5,"")),"")</f>
        <v/>
      </c>
      <c r="CT91" s="36" t="str">
        <f ca="1">IFERROR(+IF(CU$27=#REF!,Milestone_Marker,IF(AND(CU$27&gt;#REF!,CU$27&lt;=#REF!+#REF!),$G$5,"")),"")</f>
        <v/>
      </c>
    </row>
    <row r="92" spans="1:125" ht="18" customHeight="1" x14ac:dyDescent="0.25">
      <c r="P92" s="36" t="str">
        <f ca="1">IFERROR(+IF(Q$27=#REF!,Milestone_Marker,IF(AND(Q$27&gt;#REF!,Q$27&lt;=#REF!+#REF!),$G$5,"")),"")</f>
        <v/>
      </c>
      <c r="Q92" s="36" t="str">
        <f ca="1">IFERROR(+IF(R$27=#REF!,Milestone_Marker,IF(AND(R$27&gt;#REF!,R$27&lt;=#REF!+#REF!),$G$5,"")),"")</f>
        <v/>
      </c>
      <c r="R92" s="36" t="str">
        <f ca="1">IFERROR(+IF(S$27=#REF!,Milestone_Marker,IF(AND(S$27&gt;#REF!,S$27&lt;=#REF!+#REF!),$G$5,"")),"")</f>
        <v/>
      </c>
      <c r="S92" s="36" t="str">
        <f ca="1">IFERROR(+IF(T$27=#REF!,Milestone_Marker,IF(AND(T$27&gt;#REF!,T$27&lt;=#REF!+#REF!),$G$5,"")),"")</f>
        <v/>
      </c>
      <c r="T92" s="36" t="str">
        <f ca="1">IFERROR(+IF(U$27=#REF!,Milestone_Marker,IF(AND(U$27&gt;#REF!,U$27&lt;=#REF!+#REF!),$G$5,"")),"")</f>
        <v/>
      </c>
      <c r="U92" s="36" t="str">
        <f ca="1">IFERROR(+IF(V$27=#REF!,Milestone_Marker,IF(AND(V$27&gt;#REF!,V$27&lt;=#REF!+#REF!),$G$5,"")),"")</f>
        <v/>
      </c>
      <c r="V92" s="36" t="str">
        <f ca="1">IFERROR(+IF(W$27=#REF!,Milestone_Marker,IF(AND(W$27&gt;#REF!,W$27&lt;=#REF!+#REF!),$G$5,"")),"")</f>
        <v/>
      </c>
      <c r="W92" s="36" t="str">
        <f ca="1">IFERROR(+IF(X$27=#REF!,Milestone_Marker,IF(AND(X$27&gt;#REF!,X$27&lt;=#REF!+#REF!),$G$5,"")),"")</f>
        <v/>
      </c>
      <c r="X92" s="36" t="str">
        <f ca="1">IFERROR(+IF(Y$27=#REF!,Milestone_Marker,IF(AND(Y$27&gt;#REF!,Y$27&lt;=#REF!+#REF!),$G$5,"")),"")</f>
        <v/>
      </c>
      <c r="Y92" s="36" t="str">
        <f ca="1">IFERROR(+IF(Z$27=#REF!,Milestone_Marker,IF(AND(Z$27&gt;#REF!,Z$27&lt;=#REF!+#REF!),$G$5,"")),"")</f>
        <v/>
      </c>
      <c r="Z92" s="36" t="str">
        <f ca="1">IFERROR(+IF(AA$27=#REF!,Milestone_Marker,IF(AND(AA$27&gt;#REF!,AA$27&lt;=#REF!+#REF!),$G$5,"")),"")</f>
        <v/>
      </c>
      <c r="AA92" s="36" t="str">
        <f ca="1">IFERROR(+IF(AB$27=#REF!,Milestone_Marker,IF(AND(AB$27&gt;#REF!,AB$27&lt;=#REF!+#REF!),$G$5,"")),"")</f>
        <v/>
      </c>
      <c r="AB92" s="36" t="str">
        <f ca="1">IFERROR(+IF(AC$27=#REF!,Milestone_Marker,IF(AND(AC$27&gt;#REF!,AC$27&lt;=#REF!+#REF!),$G$5,"")),"")</f>
        <v/>
      </c>
      <c r="AC92" s="36" t="str">
        <f ca="1">IFERROR(+IF(AD$27=#REF!,Milestone_Marker,IF(AND(AD$27&gt;#REF!,AD$27&lt;=#REF!+#REF!),$G$5,"")),"")</f>
        <v/>
      </c>
      <c r="AD92" s="36" t="str">
        <f ca="1">IFERROR(+IF(AE$27=#REF!,Milestone_Marker,IF(AND(AE$27&gt;#REF!,AE$27&lt;=#REF!+#REF!),$G$5,"")),"")</f>
        <v/>
      </c>
      <c r="AE92" s="36" t="str">
        <f ca="1">IFERROR(+IF(AF$27=#REF!,Milestone_Marker,IF(AND(AF$27&gt;#REF!,AF$27&lt;=#REF!+#REF!),$G$5,"")),"")</f>
        <v/>
      </c>
      <c r="AF92" s="36" t="str">
        <f ca="1">IFERROR(+IF(AG$27=#REF!,Milestone_Marker,IF(AND(AG$27&gt;#REF!,AG$27&lt;=#REF!+#REF!),$G$5,"")),"")</f>
        <v/>
      </c>
      <c r="AG92" s="36" t="str">
        <f ca="1">IFERROR(+IF(AH$27=#REF!,Milestone_Marker,IF(AND(AH$27&gt;#REF!,AH$27&lt;=#REF!+#REF!),$G$5,"")),"")</f>
        <v/>
      </c>
      <c r="AH92" s="36" t="str">
        <f ca="1">IFERROR(+IF(AI$27=#REF!,Milestone_Marker,IF(AND(AI$27&gt;#REF!,AI$27&lt;=#REF!+#REF!),$G$5,"")),"")</f>
        <v/>
      </c>
      <c r="AI92" s="36" t="str">
        <f ca="1">IFERROR(+IF(AJ$27=#REF!,Milestone_Marker,IF(AND(AJ$27&gt;#REF!,AJ$27&lt;=#REF!+#REF!),$G$5,"")),"")</f>
        <v/>
      </c>
      <c r="AJ92" s="36" t="str">
        <f ca="1">IFERROR(+IF(AK$27=#REF!,Milestone_Marker,IF(AND(AK$27&gt;#REF!,AK$27&lt;=#REF!+#REF!),$G$5,"")),"")</f>
        <v/>
      </c>
      <c r="AK92" s="36" t="str">
        <f ca="1">IFERROR(+IF(AL$27=#REF!,Milestone_Marker,IF(AND(AL$27&gt;#REF!,AL$27&lt;=#REF!+#REF!),$G$5,"")),"")</f>
        <v/>
      </c>
      <c r="AL92" s="36" t="str">
        <f ca="1">IFERROR(+IF(AM$27=#REF!,Milestone_Marker,IF(AND(AM$27&gt;#REF!,AM$27&lt;=#REF!+#REF!),$G$5,"")),"")</f>
        <v/>
      </c>
      <c r="AM92" s="36" t="str">
        <f ca="1">IFERROR(+IF(AN$27=#REF!,Milestone_Marker,IF(AND(AN$27&gt;#REF!,AN$27&lt;=#REF!+#REF!),$G$5,"")),"")</f>
        <v/>
      </c>
      <c r="AN92" s="36" t="str">
        <f ca="1">IFERROR(+IF(AO$27=#REF!,Milestone_Marker,IF(AND(AO$27&gt;#REF!,AO$27&lt;=#REF!+#REF!),$G$5,"")),"")</f>
        <v/>
      </c>
      <c r="AO92" s="36" t="str">
        <f ca="1">IFERROR(+IF(AP$27=#REF!,Milestone_Marker,IF(AND(AP$27&gt;#REF!,AP$27&lt;=#REF!+#REF!),$G$5,"")),"")</f>
        <v/>
      </c>
      <c r="AP92" s="36" t="str">
        <f ca="1">IFERROR(+IF(AQ$27=#REF!,Milestone_Marker,IF(AND(AQ$27&gt;#REF!,AQ$27&lt;=#REF!+#REF!),$G$5,"")),"")</f>
        <v/>
      </c>
      <c r="AQ92" s="36" t="str">
        <f ca="1">IFERROR(+IF(AR$27=#REF!,Milestone_Marker,IF(AND(AR$27&gt;#REF!,AR$27&lt;=#REF!+#REF!),$G$5,"")),"")</f>
        <v/>
      </c>
      <c r="AR92" s="36" t="str">
        <f ca="1">IFERROR(+IF(AS$27=#REF!,Milestone_Marker,IF(AND(AS$27&gt;#REF!,AS$27&lt;=#REF!+#REF!),$G$5,"")),"")</f>
        <v/>
      </c>
      <c r="AS92" s="36" t="str">
        <f ca="1">IFERROR(+IF(AT$27=#REF!,Milestone_Marker,IF(AND(AT$27&gt;#REF!,AT$27&lt;=#REF!+#REF!),$G$5,"")),"")</f>
        <v/>
      </c>
      <c r="AT92" s="36" t="str">
        <f ca="1">IFERROR(+IF(AU$27=#REF!,Milestone_Marker,IF(AND(AU$27&gt;#REF!,AU$27&lt;=#REF!+#REF!),$G$5,"")),"")</f>
        <v/>
      </c>
      <c r="AU92" s="36" t="str">
        <f ca="1">IFERROR(+IF(AV$27=#REF!,Milestone_Marker,IF(AND(AV$27&gt;#REF!,AV$27&lt;=#REF!+#REF!),$G$5,"")),"")</f>
        <v/>
      </c>
      <c r="AV92" s="36" t="str">
        <f ca="1">IFERROR(+IF(AW$27=#REF!,Milestone_Marker,IF(AND(AW$27&gt;#REF!,AW$27&lt;=#REF!+#REF!),$G$5,"")),"")</f>
        <v/>
      </c>
      <c r="AW92" s="36" t="str">
        <f ca="1">IFERROR(+IF(AX$27=#REF!,Milestone_Marker,IF(AND(AX$27&gt;#REF!,AX$27&lt;=#REF!+#REF!),$G$5,"")),"")</f>
        <v/>
      </c>
      <c r="AX92" s="36" t="str">
        <f ca="1">IFERROR(+IF(AY$27=#REF!,Milestone_Marker,IF(AND(AY$27&gt;#REF!,AY$27&lt;=#REF!+#REF!),$G$5,"")),"")</f>
        <v/>
      </c>
      <c r="AY92" s="36" t="str">
        <f ca="1">IFERROR(+IF(AZ$27=#REF!,Milestone_Marker,IF(AND(AZ$27&gt;#REF!,AZ$27&lt;=#REF!+#REF!),$G$5,"")),"")</f>
        <v/>
      </c>
      <c r="AZ92" s="36" t="str">
        <f ca="1">IFERROR(+IF(BA$27=#REF!,Milestone_Marker,IF(AND(BA$27&gt;#REF!,BA$27&lt;=#REF!+#REF!),$G$5,"")),"")</f>
        <v/>
      </c>
      <c r="BA92" s="36" t="str">
        <f ca="1">IFERROR(+IF(BB$27=#REF!,Milestone_Marker,IF(AND(BB$27&gt;#REF!,BB$27&lt;=#REF!+#REF!),$G$5,"")),"")</f>
        <v/>
      </c>
      <c r="BB92" s="36" t="str">
        <f ca="1">IFERROR(+IF(BC$27=#REF!,Milestone_Marker,IF(AND(BC$27&gt;#REF!,BC$27&lt;=#REF!+#REF!),$G$5,"")),"")</f>
        <v/>
      </c>
      <c r="BC92" s="36" t="str">
        <f ca="1">IFERROR(+IF(BD$27=#REF!,Milestone_Marker,IF(AND(BD$27&gt;#REF!,BD$27&lt;=#REF!+#REF!),$G$5,"")),"")</f>
        <v/>
      </c>
      <c r="BD92" s="36" t="str">
        <f ca="1">IFERROR(+IF(BE$27=#REF!,Milestone_Marker,IF(AND(BE$27&gt;#REF!,BE$27&lt;=#REF!+#REF!),$G$5,"")),"")</f>
        <v/>
      </c>
      <c r="BE92" s="36" t="str">
        <f ca="1">IFERROR(+IF(BF$27=#REF!,Milestone_Marker,IF(AND(BF$27&gt;#REF!,BF$27&lt;=#REF!+#REF!),$G$5,"")),"")</f>
        <v/>
      </c>
      <c r="BF92" s="36" t="str">
        <f ca="1">IFERROR(+IF(BG$27=#REF!,Milestone_Marker,IF(AND(BG$27&gt;#REF!,BG$27&lt;=#REF!+#REF!),$G$5,"")),"")</f>
        <v/>
      </c>
      <c r="BG92" s="36" t="str">
        <f ca="1">IFERROR(+IF(BH$27=#REF!,Milestone_Marker,IF(AND(BH$27&gt;#REF!,BH$27&lt;=#REF!+#REF!),$G$5,"")),"")</f>
        <v/>
      </c>
      <c r="BH92" s="36" t="str">
        <f ca="1">IFERROR(+IF(BI$27=#REF!,Milestone_Marker,IF(AND(BI$27&gt;#REF!,BI$27&lt;=#REF!+#REF!),$G$5,"")),"")</f>
        <v/>
      </c>
      <c r="BI92" s="36" t="str">
        <f ca="1">IFERROR(+IF(BJ$27=#REF!,Milestone_Marker,IF(AND(BJ$27&gt;#REF!,BJ$27&lt;=#REF!+#REF!),$G$5,"")),"")</f>
        <v/>
      </c>
      <c r="BJ92" s="36" t="str">
        <f ca="1">IFERROR(+IF(BK$27=#REF!,Milestone_Marker,IF(AND(BK$27&gt;#REF!,BK$27&lt;=#REF!+#REF!),$G$5,"")),"")</f>
        <v/>
      </c>
      <c r="BK92" s="36" t="str">
        <f ca="1">IFERROR(+IF(BL$27=#REF!,Milestone_Marker,IF(AND(BL$27&gt;#REF!,BL$27&lt;=#REF!+#REF!),$G$5,"")),"")</f>
        <v/>
      </c>
      <c r="BL92" s="36" t="str">
        <f ca="1">IFERROR(+IF(BM$27=#REF!,Milestone_Marker,IF(AND(BM$27&gt;#REF!,BM$27&lt;=#REF!+#REF!),$G$5,"")),"")</f>
        <v/>
      </c>
      <c r="BM92" s="36" t="str">
        <f ca="1">IFERROR(+IF(BN$27=#REF!,Milestone_Marker,IF(AND(BN$27&gt;#REF!,BN$27&lt;=#REF!+#REF!),$G$5,"")),"")</f>
        <v/>
      </c>
      <c r="BN92" s="36" t="str">
        <f ca="1">IFERROR(+IF(BO$27=#REF!,Milestone_Marker,IF(AND(BO$27&gt;#REF!,BO$27&lt;=#REF!+#REF!),$G$5,"")),"")</f>
        <v/>
      </c>
      <c r="BO92" s="36" t="str">
        <f ca="1">IFERROR(+IF(BP$27=#REF!,Milestone_Marker,IF(AND(BP$27&gt;#REF!,BP$27&lt;=#REF!+#REF!),$G$5,"")),"")</f>
        <v/>
      </c>
      <c r="BP92" s="36" t="str">
        <f ca="1">IFERROR(+IF(BQ$27=#REF!,Milestone_Marker,IF(AND(BQ$27&gt;#REF!,BQ$27&lt;=#REF!+#REF!),$G$5,"")),"")</f>
        <v/>
      </c>
      <c r="BQ92" s="36" t="str">
        <f ca="1">IFERROR(+IF(BR$27=#REF!,Milestone_Marker,IF(AND(BR$27&gt;#REF!,BR$27&lt;=#REF!+#REF!),$G$5,"")),"")</f>
        <v/>
      </c>
      <c r="BR92" s="36" t="str">
        <f ca="1">IFERROR(+IF(BS$27=#REF!,Milestone_Marker,IF(AND(BS$27&gt;#REF!,BS$27&lt;=#REF!+#REF!),$G$5,"")),"")</f>
        <v/>
      </c>
      <c r="BS92" s="36" t="str">
        <f ca="1">IFERROR(+IF(BT$27=#REF!,Milestone_Marker,IF(AND(BT$27&gt;#REF!,BT$27&lt;=#REF!+#REF!),$G$5,"")),"")</f>
        <v/>
      </c>
      <c r="BT92" s="36" t="str">
        <f ca="1">IFERROR(+IF(BU$27=#REF!,Milestone_Marker,IF(AND(BU$27&gt;#REF!,BU$27&lt;=#REF!+#REF!),$G$5,"")),"")</f>
        <v/>
      </c>
      <c r="BU92" s="36" t="str">
        <f ca="1">IFERROR(+IF(BV$27=#REF!,Milestone_Marker,IF(AND(BV$27&gt;#REF!,BV$27&lt;=#REF!+#REF!),$G$5,"")),"")</f>
        <v/>
      </c>
      <c r="BV92" s="36" t="str">
        <f ca="1">IFERROR(+IF(BW$27=#REF!,Milestone_Marker,IF(AND(BW$27&gt;#REF!,BW$27&lt;=#REF!+#REF!),$G$5,"")),"")</f>
        <v/>
      </c>
      <c r="BW92" s="36" t="str">
        <f ca="1">IFERROR(+IF(BX$27=#REF!,Milestone_Marker,IF(AND(BX$27&gt;#REF!,BX$27&lt;=#REF!+#REF!),$G$5,"")),"")</f>
        <v/>
      </c>
      <c r="BX92" s="36" t="str">
        <f ca="1">IFERROR(+IF(BY$27=#REF!,Milestone_Marker,IF(AND(BY$27&gt;#REF!,BY$27&lt;=#REF!+#REF!),$G$5,"")),"")</f>
        <v/>
      </c>
      <c r="BY92" s="36" t="str">
        <f ca="1">IFERROR(+IF(BZ$27=#REF!,Milestone_Marker,IF(AND(BZ$27&gt;#REF!,BZ$27&lt;=#REF!+#REF!),$G$5,"")),"")</f>
        <v/>
      </c>
      <c r="BZ92" s="36" t="str">
        <f ca="1">IFERROR(+IF(CA$27=#REF!,Milestone_Marker,IF(AND(CA$27&gt;#REF!,CA$27&lt;=#REF!+#REF!),$G$5,"")),"")</f>
        <v/>
      </c>
      <c r="CA92" s="36" t="str">
        <f ca="1">IFERROR(+IF(CB$27=#REF!,Milestone_Marker,IF(AND(CB$27&gt;#REF!,CB$27&lt;=#REF!+#REF!),$G$5,"")),"")</f>
        <v/>
      </c>
      <c r="CB92" s="36" t="str">
        <f ca="1">IFERROR(+IF(CC$27=#REF!,Milestone_Marker,IF(AND(CC$27&gt;#REF!,CC$27&lt;=#REF!+#REF!),$G$5,"")),"")</f>
        <v/>
      </c>
      <c r="CC92" s="36" t="str">
        <f ca="1">IFERROR(+IF(CD$27=#REF!,Milestone_Marker,IF(AND(CD$27&gt;#REF!,CD$27&lt;=#REF!+#REF!),$G$5,"")),"")</f>
        <v/>
      </c>
      <c r="CD92" s="36" t="str">
        <f ca="1">IFERROR(+IF(CE$27=#REF!,Milestone_Marker,IF(AND(CE$27&gt;#REF!,CE$27&lt;=#REF!+#REF!),$G$5,"")),"")</f>
        <v/>
      </c>
      <c r="CE92" s="36" t="str">
        <f ca="1">IFERROR(+IF(CF$27=#REF!,Milestone_Marker,IF(AND(CF$27&gt;#REF!,CF$27&lt;=#REF!+#REF!),$G$5,"")),"")</f>
        <v/>
      </c>
      <c r="CF92" s="36" t="str">
        <f ca="1">IFERROR(+IF(CG$27=#REF!,Milestone_Marker,IF(AND(CG$27&gt;#REF!,CG$27&lt;=#REF!+#REF!),$G$5,"")),"")</f>
        <v/>
      </c>
      <c r="CG92" s="36" t="str">
        <f ca="1">IFERROR(+IF(CH$27=#REF!,Milestone_Marker,IF(AND(CH$27&gt;#REF!,CH$27&lt;=#REF!+#REF!),$G$5,"")),"")</f>
        <v/>
      </c>
      <c r="CH92" s="36" t="str">
        <f ca="1">IFERROR(+IF(CI$27=#REF!,Milestone_Marker,IF(AND(CI$27&gt;#REF!,CI$27&lt;=#REF!+#REF!),$G$5,"")),"")</f>
        <v/>
      </c>
      <c r="CI92" s="36" t="str">
        <f ca="1">IFERROR(+IF(CJ$27=#REF!,Milestone_Marker,IF(AND(CJ$27&gt;#REF!,CJ$27&lt;=#REF!+#REF!),$G$5,"")),"")</f>
        <v/>
      </c>
      <c r="CJ92" s="36" t="str">
        <f ca="1">IFERROR(+IF(CK$27=#REF!,Milestone_Marker,IF(AND(CK$27&gt;#REF!,CK$27&lt;=#REF!+#REF!),$G$5,"")),"")</f>
        <v/>
      </c>
      <c r="CK92" s="36" t="str">
        <f ca="1">IFERROR(+IF(CL$27=#REF!,Milestone_Marker,IF(AND(CL$27&gt;#REF!,CL$27&lt;=#REF!+#REF!),$G$5,"")),"")</f>
        <v/>
      </c>
      <c r="CL92" s="36" t="str">
        <f ca="1">IFERROR(+IF(CM$27=#REF!,Milestone_Marker,IF(AND(CM$27&gt;#REF!,CM$27&lt;=#REF!+#REF!),$G$5,"")),"")</f>
        <v/>
      </c>
      <c r="CM92" s="36" t="str">
        <f ca="1">IFERROR(+IF(CN$27=#REF!,Milestone_Marker,IF(AND(CN$27&gt;#REF!,CN$27&lt;=#REF!+#REF!),$G$5,"")),"")</f>
        <v/>
      </c>
      <c r="CN92" s="36" t="str">
        <f ca="1">IFERROR(+IF(CO$27=#REF!,Milestone_Marker,IF(AND(CO$27&gt;#REF!,CO$27&lt;=#REF!+#REF!),$G$5,"")),"")</f>
        <v/>
      </c>
      <c r="CO92" s="36" t="str">
        <f ca="1">IFERROR(+IF(CP$27=#REF!,Milestone_Marker,IF(AND(CP$27&gt;#REF!,CP$27&lt;=#REF!+#REF!),$G$5,"")),"")</f>
        <v/>
      </c>
      <c r="CP92" s="36" t="str">
        <f ca="1">IFERROR(+IF(CQ$27=#REF!,Milestone_Marker,IF(AND(CQ$27&gt;#REF!,CQ$27&lt;=#REF!+#REF!),$G$5,"")),"")</f>
        <v/>
      </c>
      <c r="CQ92" s="36" t="str">
        <f ca="1">IFERROR(+IF(CR$27=#REF!,Milestone_Marker,IF(AND(CR$27&gt;#REF!,CR$27&lt;=#REF!+#REF!),$G$5,"")),"")</f>
        <v/>
      </c>
      <c r="CR92" s="36" t="str">
        <f ca="1">IFERROR(+IF(CS$27=#REF!,Milestone_Marker,IF(AND(CS$27&gt;#REF!,CS$27&lt;=#REF!+#REF!),$G$5,"")),"")</f>
        <v/>
      </c>
      <c r="CS92" s="36" t="str">
        <f ca="1">IFERROR(+IF(CT$27=#REF!,Milestone_Marker,IF(AND(CT$27&gt;#REF!,CT$27&lt;=#REF!+#REF!),$G$5,"")),"")</f>
        <v/>
      </c>
      <c r="CT92" s="36" t="str">
        <f ca="1">IFERROR(+IF(CU$27=#REF!,Milestone_Marker,IF(AND(CU$27&gt;#REF!,CU$27&lt;=#REF!+#REF!),$G$5,"")),"")</f>
        <v/>
      </c>
    </row>
    <row r="93" spans="1:125" ht="18" customHeight="1" x14ac:dyDescent="0.25">
      <c r="P93" s="36" t="str">
        <f ca="1">IFERROR(+IF(Q$27=#REF!,Milestone_Marker,IF(AND(Q$27&gt;#REF!,Q$27&lt;=#REF!+#REF!),$G$5,"")),"")</f>
        <v/>
      </c>
      <c r="Q93" s="36" t="str">
        <f ca="1">IFERROR(+IF(R$27=#REF!,Milestone_Marker,IF(AND(R$27&gt;#REF!,R$27&lt;=#REF!+#REF!),$G$5,"")),"")</f>
        <v/>
      </c>
      <c r="R93" s="36" t="str">
        <f ca="1">IFERROR(+IF(S$27=#REF!,Milestone_Marker,IF(AND(S$27&gt;#REF!,S$27&lt;=#REF!+#REF!),$G$5,"")),"")</f>
        <v/>
      </c>
      <c r="S93" s="36" t="str">
        <f ca="1">IFERROR(+IF(T$27=#REF!,Milestone_Marker,IF(AND(T$27&gt;#REF!,T$27&lt;=#REF!+#REF!),$G$5,"")),"")</f>
        <v/>
      </c>
      <c r="T93" s="36" t="str">
        <f ca="1">IFERROR(+IF(U$27=#REF!,Milestone_Marker,IF(AND(U$27&gt;#REF!,U$27&lt;=#REF!+#REF!),$G$5,"")),"")</f>
        <v/>
      </c>
      <c r="U93" s="36" t="str">
        <f ca="1">IFERROR(+IF(V$27=#REF!,Milestone_Marker,IF(AND(V$27&gt;#REF!,V$27&lt;=#REF!+#REF!),$G$5,"")),"")</f>
        <v/>
      </c>
      <c r="V93" s="36" t="str">
        <f ca="1">IFERROR(+IF(W$27=#REF!,Milestone_Marker,IF(AND(W$27&gt;#REF!,W$27&lt;=#REF!+#REF!),$G$5,"")),"")</f>
        <v/>
      </c>
      <c r="W93" s="36" t="str">
        <f ca="1">IFERROR(+IF(X$27=#REF!,Milestone_Marker,IF(AND(X$27&gt;#REF!,X$27&lt;=#REF!+#REF!),$G$5,"")),"")</f>
        <v/>
      </c>
      <c r="X93" s="36" t="str">
        <f ca="1">IFERROR(+IF(Y$27=#REF!,Milestone_Marker,IF(AND(Y$27&gt;#REF!,Y$27&lt;=#REF!+#REF!),$G$5,"")),"")</f>
        <v/>
      </c>
      <c r="Y93" s="36" t="str">
        <f ca="1">IFERROR(+IF(Z$27=#REF!,Milestone_Marker,IF(AND(Z$27&gt;#REF!,Z$27&lt;=#REF!+#REF!),$G$5,"")),"")</f>
        <v/>
      </c>
      <c r="Z93" s="36" t="str">
        <f ca="1">IFERROR(+IF(AA$27=#REF!,Milestone_Marker,IF(AND(AA$27&gt;#REF!,AA$27&lt;=#REF!+#REF!),$G$5,"")),"")</f>
        <v/>
      </c>
      <c r="AA93" s="36" t="str">
        <f ca="1">IFERROR(+IF(AB$27=#REF!,Milestone_Marker,IF(AND(AB$27&gt;#REF!,AB$27&lt;=#REF!+#REF!),$G$5,"")),"")</f>
        <v/>
      </c>
      <c r="AB93" s="36" t="str">
        <f ca="1">IFERROR(+IF(AC$27=#REF!,Milestone_Marker,IF(AND(AC$27&gt;#REF!,AC$27&lt;=#REF!+#REF!),$G$5,"")),"")</f>
        <v/>
      </c>
      <c r="AC93" s="36" t="str">
        <f ca="1">IFERROR(+IF(AD$27=#REF!,Milestone_Marker,IF(AND(AD$27&gt;#REF!,AD$27&lt;=#REF!+#REF!),$G$5,"")),"")</f>
        <v/>
      </c>
      <c r="AD93" s="36" t="str">
        <f ca="1">IFERROR(+IF(AE$27=#REF!,Milestone_Marker,IF(AND(AE$27&gt;#REF!,AE$27&lt;=#REF!+#REF!),$G$5,"")),"")</f>
        <v/>
      </c>
      <c r="AE93" s="36" t="str">
        <f ca="1">IFERROR(+IF(AF$27=#REF!,Milestone_Marker,IF(AND(AF$27&gt;#REF!,AF$27&lt;=#REF!+#REF!),$G$5,"")),"")</f>
        <v/>
      </c>
      <c r="AF93" s="36" t="str">
        <f ca="1">IFERROR(+IF(AG$27=#REF!,Milestone_Marker,IF(AND(AG$27&gt;#REF!,AG$27&lt;=#REF!+#REF!),$G$5,"")),"")</f>
        <v/>
      </c>
      <c r="AG93" s="36" t="str">
        <f ca="1">IFERROR(+IF(AH$27=#REF!,Milestone_Marker,IF(AND(AH$27&gt;#REF!,AH$27&lt;=#REF!+#REF!),$G$5,"")),"")</f>
        <v/>
      </c>
      <c r="AH93" s="36" t="str">
        <f ca="1">IFERROR(+IF(AI$27=#REF!,Milestone_Marker,IF(AND(AI$27&gt;#REF!,AI$27&lt;=#REF!+#REF!),$G$5,"")),"")</f>
        <v/>
      </c>
      <c r="AI93" s="36" t="str">
        <f ca="1">IFERROR(+IF(AJ$27=#REF!,Milestone_Marker,IF(AND(AJ$27&gt;#REF!,AJ$27&lt;=#REF!+#REF!),$G$5,"")),"")</f>
        <v/>
      </c>
      <c r="AJ93" s="36" t="str">
        <f ca="1">IFERROR(+IF(AK$27=#REF!,Milestone_Marker,IF(AND(AK$27&gt;#REF!,AK$27&lt;=#REF!+#REF!),$G$5,"")),"")</f>
        <v/>
      </c>
      <c r="AK93" s="36" t="str">
        <f ca="1">IFERROR(+IF(AL$27=#REF!,Milestone_Marker,IF(AND(AL$27&gt;#REF!,AL$27&lt;=#REF!+#REF!),$G$5,"")),"")</f>
        <v/>
      </c>
      <c r="AL93" s="36" t="str">
        <f ca="1">IFERROR(+IF(AM$27=#REF!,Milestone_Marker,IF(AND(AM$27&gt;#REF!,AM$27&lt;=#REF!+#REF!),$G$5,"")),"")</f>
        <v/>
      </c>
      <c r="AM93" s="36" t="str">
        <f ca="1">IFERROR(+IF(AN$27=#REF!,Milestone_Marker,IF(AND(AN$27&gt;#REF!,AN$27&lt;=#REF!+#REF!),$G$5,"")),"")</f>
        <v/>
      </c>
      <c r="AN93" s="36" t="str">
        <f ca="1">IFERROR(+IF(AO$27=#REF!,Milestone_Marker,IF(AND(AO$27&gt;#REF!,AO$27&lt;=#REF!+#REF!),$G$5,"")),"")</f>
        <v/>
      </c>
      <c r="AO93" s="36" t="str">
        <f ca="1">IFERROR(+IF(AP$27=#REF!,Milestone_Marker,IF(AND(AP$27&gt;#REF!,AP$27&lt;=#REF!+#REF!),$G$5,"")),"")</f>
        <v/>
      </c>
      <c r="AP93" s="36" t="str">
        <f ca="1">IFERROR(+IF(AQ$27=#REF!,Milestone_Marker,IF(AND(AQ$27&gt;#REF!,AQ$27&lt;=#REF!+#REF!),$G$5,"")),"")</f>
        <v/>
      </c>
      <c r="AQ93" s="36" t="str">
        <f ca="1">IFERROR(+IF(AR$27=#REF!,Milestone_Marker,IF(AND(AR$27&gt;#REF!,AR$27&lt;=#REF!+#REF!),$G$5,"")),"")</f>
        <v/>
      </c>
      <c r="AR93" s="36" t="str">
        <f ca="1">IFERROR(+IF(AS$27=#REF!,Milestone_Marker,IF(AND(AS$27&gt;#REF!,AS$27&lt;=#REF!+#REF!),$G$5,"")),"")</f>
        <v/>
      </c>
      <c r="AS93" s="36" t="str">
        <f ca="1">IFERROR(+IF(AT$27=#REF!,Milestone_Marker,IF(AND(AT$27&gt;#REF!,AT$27&lt;=#REF!+#REF!),$G$5,"")),"")</f>
        <v/>
      </c>
      <c r="AT93" s="36" t="str">
        <f ca="1">IFERROR(+IF(AU$27=#REF!,Milestone_Marker,IF(AND(AU$27&gt;#REF!,AU$27&lt;=#REF!+#REF!),$G$5,"")),"")</f>
        <v/>
      </c>
      <c r="AU93" s="36" t="str">
        <f ca="1">IFERROR(+IF(AV$27=#REF!,Milestone_Marker,IF(AND(AV$27&gt;#REF!,AV$27&lt;=#REF!+#REF!),$G$5,"")),"")</f>
        <v/>
      </c>
      <c r="AV93" s="36" t="str">
        <f ca="1">IFERROR(+IF(AW$27=#REF!,Milestone_Marker,IF(AND(AW$27&gt;#REF!,AW$27&lt;=#REF!+#REF!),$G$5,"")),"")</f>
        <v/>
      </c>
      <c r="AW93" s="36" t="str">
        <f ca="1">IFERROR(+IF(AX$27=#REF!,Milestone_Marker,IF(AND(AX$27&gt;#REF!,AX$27&lt;=#REF!+#REF!),$G$5,"")),"")</f>
        <v/>
      </c>
      <c r="AX93" s="36" t="str">
        <f ca="1">IFERROR(+IF(AY$27=#REF!,Milestone_Marker,IF(AND(AY$27&gt;#REF!,AY$27&lt;=#REF!+#REF!),$G$5,"")),"")</f>
        <v/>
      </c>
      <c r="AY93" s="36" t="str">
        <f ca="1">IFERROR(+IF(AZ$27=#REF!,Milestone_Marker,IF(AND(AZ$27&gt;#REF!,AZ$27&lt;=#REF!+#REF!),$G$5,"")),"")</f>
        <v/>
      </c>
      <c r="AZ93" s="36" t="str">
        <f ca="1">IFERROR(+IF(BA$27=#REF!,Milestone_Marker,IF(AND(BA$27&gt;#REF!,BA$27&lt;=#REF!+#REF!),$G$5,"")),"")</f>
        <v/>
      </c>
      <c r="BA93" s="36" t="str">
        <f ca="1">IFERROR(+IF(BB$27=#REF!,Milestone_Marker,IF(AND(BB$27&gt;#REF!,BB$27&lt;=#REF!+#REF!),$G$5,"")),"")</f>
        <v/>
      </c>
      <c r="BB93" s="36" t="str">
        <f ca="1">IFERROR(+IF(BC$27=#REF!,Milestone_Marker,IF(AND(BC$27&gt;#REF!,BC$27&lt;=#REF!+#REF!),$G$5,"")),"")</f>
        <v/>
      </c>
      <c r="BC93" s="36" t="str">
        <f ca="1">IFERROR(+IF(BD$27=#REF!,Milestone_Marker,IF(AND(BD$27&gt;#REF!,BD$27&lt;=#REF!+#REF!),$G$5,"")),"")</f>
        <v/>
      </c>
      <c r="BD93" s="36" t="str">
        <f ca="1">IFERROR(+IF(BE$27=#REF!,Milestone_Marker,IF(AND(BE$27&gt;#REF!,BE$27&lt;=#REF!+#REF!),$G$5,"")),"")</f>
        <v/>
      </c>
      <c r="BE93" s="36" t="str">
        <f ca="1">IFERROR(+IF(BF$27=#REF!,Milestone_Marker,IF(AND(BF$27&gt;#REF!,BF$27&lt;=#REF!+#REF!),$G$5,"")),"")</f>
        <v/>
      </c>
      <c r="BF93" s="36" t="str">
        <f ca="1">IFERROR(+IF(BG$27=#REF!,Milestone_Marker,IF(AND(BG$27&gt;#REF!,BG$27&lt;=#REF!+#REF!),$G$5,"")),"")</f>
        <v/>
      </c>
      <c r="BG93" s="36" t="str">
        <f ca="1">IFERROR(+IF(BH$27=#REF!,Milestone_Marker,IF(AND(BH$27&gt;#REF!,BH$27&lt;=#REF!+#REF!),$G$5,"")),"")</f>
        <v/>
      </c>
      <c r="BH93" s="36" t="str">
        <f ca="1">IFERROR(+IF(BI$27=#REF!,Milestone_Marker,IF(AND(BI$27&gt;#REF!,BI$27&lt;=#REF!+#REF!),$G$5,"")),"")</f>
        <v/>
      </c>
      <c r="BI93" s="36" t="str">
        <f ca="1">IFERROR(+IF(BJ$27=#REF!,Milestone_Marker,IF(AND(BJ$27&gt;#REF!,BJ$27&lt;=#REF!+#REF!),$G$5,"")),"")</f>
        <v/>
      </c>
      <c r="BJ93" s="36" t="str">
        <f ca="1">IFERROR(+IF(BK$27=#REF!,Milestone_Marker,IF(AND(BK$27&gt;#REF!,BK$27&lt;=#REF!+#REF!),$G$5,"")),"")</f>
        <v/>
      </c>
      <c r="BK93" s="36" t="str">
        <f ca="1">IFERROR(+IF(BL$27=#REF!,Milestone_Marker,IF(AND(BL$27&gt;#REF!,BL$27&lt;=#REF!+#REF!),$G$5,"")),"")</f>
        <v/>
      </c>
      <c r="BL93" s="36" t="str">
        <f ca="1">IFERROR(+IF(BM$27=#REF!,Milestone_Marker,IF(AND(BM$27&gt;#REF!,BM$27&lt;=#REF!+#REF!),$G$5,"")),"")</f>
        <v/>
      </c>
      <c r="BM93" s="36" t="str">
        <f ca="1">IFERROR(+IF(BN$27=#REF!,Milestone_Marker,IF(AND(BN$27&gt;#REF!,BN$27&lt;=#REF!+#REF!),$G$5,"")),"")</f>
        <v/>
      </c>
      <c r="BN93" s="36" t="str">
        <f ca="1">IFERROR(+IF(BO$27=#REF!,Milestone_Marker,IF(AND(BO$27&gt;#REF!,BO$27&lt;=#REF!+#REF!),$G$5,"")),"")</f>
        <v/>
      </c>
      <c r="BO93" s="36" t="str">
        <f ca="1">IFERROR(+IF(BP$27=#REF!,Milestone_Marker,IF(AND(BP$27&gt;#REF!,BP$27&lt;=#REF!+#REF!),$G$5,"")),"")</f>
        <v/>
      </c>
      <c r="BP93" s="36" t="str">
        <f ca="1">IFERROR(+IF(BQ$27=#REF!,Milestone_Marker,IF(AND(BQ$27&gt;#REF!,BQ$27&lt;=#REF!+#REF!),$G$5,"")),"")</f>
        <v/>
      </c>
      <c r="BQ93" s="36" t="str">
        <f ca="1">IFERROR(+IF(BR$27=#REF!,Milestone_Marker,IF(AND(BR$27&gt;#REF!,BR$27&lt;=#REF!+#REF!),$G$5,"")),"")</f>
        <v/>
      </c>
      <c r="BR93" s="36" t="str">
        <f ca="1">IFERROR(+IF(BS$27=#REF!,Milestone_Marker,IF(AND(BS$27&gt;#REF!,BS$27&lt;=#REF!+#REF!),$G$5,"")),"")</f>
        <v/>
      </c>
      <c r="BS93" s="36" t="str">
        <f ca="1">IFERROR(+IF(BT$27=#REF!,Milestone_Marker,IF(AND(BT$27&gt;#REF!,BT$27&lt;=#REF!+#REF!),$G$5,"")),"")</f>
        <v/>
      </c>
      <c r="BT93" s="36" t="str">
        <f ca="1">IFERROR(+IF(BU$27=#REF!,Milestone_Marker,IF(AND(BU$27&gt;#REF!,BU$27&lt;=#REF!+#REF!),$G$5,"")),"")</f>
        <v/>
      </c>
      <c r="BU93" s="36" t="str">
        <f ca="1">IFERROR(+IF(BV$27=#REF!,Milestone_Marker,IF(AND(BV$27&gt;#REF!,BV$27&lt;=#REF!+#REF!),$G$5,"")),"")</f>
        <v/>
      </c>
      <c r="BV93" s="36" t="str">
        <f ca="1">IFERROR(+IF(BW$27=#REF!,Milestone_Marker,IF(AND(BW$27&gt;#REF!,BW$27&lt;=#REF!+#REF!),$G$5,"")),"")</f>
        <v/>
      </c>
      <c r="BW93" s="36" t="str">
        <f ca="1">IFERROR(+IF(BX$27=#REF!,Milestone_Marker,IF(AND(BX$27&gt;#REF!,BX$27&lt;=#REF!+#REF!),$G$5,"")),"")</f>
        <v/>
      </c>
      <c r="BX93" s="36" t="str">
        <f ca="1">IFERROR(+IF(BY$27=#REF!,Milestone_Marker,IF(AND(BY$27&gt;#REF!,BY$27&lt;=#REF!+#REF!),$G$5,"")),"")</f>
        <v/>
      </c>
      <c r="BY93" s="36" t="str">
        <f ca="1">IFERROR(+IF(BZ$27=#REF!,Milestone_Marker,IF(AND(BZ$27&gt;#REF!,BZ$27&lt;=#REF!+#REF!),$G$5,"")),"")</f>
        <v/>
      </c>
      <c r="BZ93" s="36" t="str">
        <f ca="1">IFERROR(+IF(CA$27=#REF!,Milestone_Marker,IF(AND(CA$27&gt;#REF!,CA$27&lt;=#REF!+#REF!),$G$5,"")),"")</f>
        <v/>
      </c>
      <c r="CA93" s="36" t="str">
        <f ca="1">IFERROR(+IF(CB$27=#REF!,Milestone_Marker,IF(AND(CB$27&gt;#REF!,CB$27&lt;=#REF!+#REF!),$G$5,"")),"")</f>
        <v/>
      </c>
      <c r="CB93" s="36" t="str">
        <f ca="1">IFERROR(+IF(CC$27=#REF!,Milestone_Marker,IF(AND(CC$27&gt;#REF!,CC$27&lt;=#REF!+#REF!),$G$5,"")),"")</f>
        <v/>
      </c>
      <c r="CC93" s="36" t="str">
        <f ca="1">IFERROR(+IF(CD$27=#REF!,Milestone_Marker,IF(AND(CD$27&gt;#REF!,CD$27&lt;=#REF!+#REF!),$G$5,"")),"")</f>
        <v/>
      </c>
      <c r="CD93" s="36" t="str">
        <f ca="1">IFERROR(+IF(CE$27=#REF!,Milestone_Marker,IF(AND(CE$27&gt;#REF!,CE$27&lt;=#REF!+#REF!),$G$5,"")),"")</f>
        <v/>
      </c>
      <c r="CE93" s="36" t="str">
        <f ca="1">IFERROR(+IF(CF$27=#REF!,Milestone_Marker,IF(AND(CF$27&gt;#REF!,CF$27&lt;=#REF!+#REF!),$G$5,"")),"")</f>
        <v/>
      </c>
      <c r="CF93" s="36" t="str">
        <f ca="1">IFERROR(+IF(CG$27=#REF!,Milestone_Marker,IF(AND(CG$27&gt;#REF!,CG$27&lt;=#REF!+#REF!),$G$5,"")),"")</f>
        <v/>
      </c>
      <c r="CG93" s="36" t="str">
        <f ca="1">IFERROR(+IF(CH$27=#REF!,Milestone_Marker,IF(AND(CH$27&gt;#REF!,CH$27&lt;=#REF!+#REF!),$G$5,"")),"")</f>
        <v/>
      </c>
      <c r="CH93" s="36" t="str">
        <f ca="1">IFERROR(+IF(CI$27=#REF!,Milestone_Marker,IF(AND(CI$27&gt;#REF!,CI$27&lt;=#REF!+#REF!),$G$5,"")),"")</f>
        <v/>
      </c>
      <c r="CI93" s="36" t="str">
        <f ca="1">IFERROR(+IF(CJ$27=#REF!,Milestone_Marker,IF(AND(CJ$27&gt;#REF!,CJ$27&lt;=#REF!+#REF!),$G$5,"")),"")</f>
        <v/>
      </c>
      <c r="CJ93" s="36" t="str">
        <f ca="1">IFERROR(+IF(CK$27=#REF!,Milestone_Marker,IF(AND(CK$27&gt;#REF!,CK$27&lt;=#REF!+#REF!),$G$5,"")),"")</f>
        <v/>
      </c>
      <c r="CK93" s="36" t="str">
        <f ca="1">IFERROR(+IF(CL$27=#REF!,Milestone_Marker,IF(AND(CL$27&gt;#REF!,CL$27&lt;=#REF!+#REF!),$G$5,"")),"")</f>
        <v/>
      </c>
      <c r="CL93" s="36" t="str">
        <f ca="1">IFERROR(+IF(CM$27=#REF!,Milestone_Marker,IF(AND(CM$27&gt;#REF!,CM$27&lt;=#REF!+#REF!),$G$5,"")),"")</f>
        <v/>
      </c>
      <c r="CM93" s="36" t="str">
        <f ca="1">IFERROR(+IF(CN$27=#REF!,Milestone_Marker,IF(AND(CN$27&gt;#REF!,CN$27&lt;=#REF!+#REF!),$G$5,"")),"")</f>
        <v/>
      </c>
      <c r="CN93" s="36" t="str">
        <f ca="1">IFERROR(+IF(CO$27=#REF!,Milestone_Marker,IF(AND(CO$27&gt;#REF!,CO$27&lt;=#REF!+#REF!),$G$5,"")),"")</f>
        <v/>
      </c>
      <c r="CO93" s="36" t="str">
        <f ca="1">IFERROR(+IF(CP$27=#REF!,Milestone_Marker,IF(AND(CP$27&gt;#REF!,CP$27&lt;=#REF!+#REF!),$G$5,"")),"")</f>
        <v/>
      </c>
      <c r="CP93" s="36" t="str">
        <f ca="1">IFERROR(+IF(CQ$27=#REF!,Milestone_Marker,IF(AND(CQ$27&gt;#REF!,CQ$27&lt;=#REF!+#REF!),$G$5,"")),"")</f>
        <v/>
      </c>
      <c r="CQ93" s="36" t="str">
        <f ca="1">IFERROR(+IF(CR$27=#REF!,Milestone_Marker,IF(AND(CR$27&gt;#REF!,CR$27&lt;=#REF!+#REF!),$G$5,"")),"")</f>
        <v/>
      </c>
      <c r="CR93" s="36" t="str">
        <f ca="1">IFERROR(+IF(CS$27=#REF!,Milestone_Marker,IF(AND(CS$27&gt;#REF!,CS$27&lt;=#REF!+#REF!),$G$5,"")),"")</f>
        <v/>
      </c>
      <c r="CS93" s="36" t="str">
        <f ca="1">IFERROR(+IF(CT$27=#REF!,Milestone_Marker,IF(AND(CT$27&gt;#REF!,CT$27&lt;=#REF!+#REF!),$G$5,"")),"")</f>
        <v/>
      </c>
      <c r="CT93" s="36" t="str">
        <f ca="1">IFERROR(+IF(CU$27=#REF!,Milestone_Marker,IF(AND(CU$27&gt;#REF!,CU$27&lt;=#REF!+#REF!),$G$5,"")),"")</f>
        <v/>
      </c>
    </row>
    <row r="94" spans="1:125" ht="18" customHeight="1" x14ac:dyDescent="0.25">
      <c r="P94" s="36" t="str">
        <f ca="1">IFERROR(+IF(Q$27=#REF!,Milestone_Marker,IF(AND(Q$27&gt;#REF!,Q$27&lt;=#REF!+#REF!),$G$5,"")),"")</f>
        <v/>
      </c>
      <c r="Q94" s="36" t="str">
        <f ca="1">IFERROR(+IF(R$27=#REF!,Milestone_Marker,IF(AND(R$27&gt;#REF!,R$27&lt;=#REF!+#REF!),$G$5,"")),"")</f>
        <v/>
      </c>
      <c r="R94" s="36" t="str">
        <f ca="1">IFERROR(+IF(S$27=#REF!,Milestone_Marker,IF(AND(S$27&gt;#REF!,S$27&lt;=#REF!+#REF!),$G$5,"")),"")</f>
        <v/>
      </c>
      <c r="S94" s="36" t="str">
        <f ca="1">IFERROR(+IF(T$27=#REF!,Milestone_Marker,IF(AND(T$27&gt;#REF!,T$27&lt;=#REF!+#REF!),$G$5,"")),"")</f>
        <v/>
      </c>
      <c r="T94" s="36" t="str">
        <f ca="1">IFERROR(+IF(U$27=#REF!,Milestone_Marker,IF(AND(U$27&gt;#REF!,U$27&lt;=#REF!+#REF!),$G$5,"")),"")</f>
        <v/>
      </c>
      <c r="U94" s="36" t="str">
        <f ca="1">IFERROR(+IF(V$27=#REF!,Milestone_Marker,IF(AND(V$27&gt;#REF!,V$27&lt;=#REF!+#REF!),$G$5,"")),"")</f>
        <v/>
      </c>
      <c r="V94" s="36" t="str">
        <f ca="1">IFERROR(+IF(W$27=#REF!,Milestone_Marker,IF(AND(W$27&gt;#REF!,W$27&lt;=#REF!+#REF!),$G$5,"")),"")</f>
        <v/>
      </c>
      <c r="W94" s="36" t="str">
        <f ca="1">IFERROR(+IF(X$27=#REF!,Milestone_Marker,IF(AND(X$27&gt;#REF!,X$27&lt;=#REF!+#REF!),$G$5,"")),"")</f>
        <v/>
      </c>
      <c r="X94" s="36" t="str">
        <f ca="1">IFERROR(+IF(Y$27=#REF!,Milestone_Marker,IF(AND(Y$27&gt;#REF!,Y$27&lt;=#REF!+#REF!),$G$5,"")),"")</f>
        <v/>
      </c>
      <c r="Y94" s="36" t="str">
        <f ca="1">IFERROR(+IF(Z$27=#REF!,Milestone_Marker,IF(AND(Z$27&gt;#REF!,Z$27&lt;=#REF!+#REF!),$G$5,"")),"")</f>
        <v/>
      </c>
      <c r="Z94" s="36" t="str">
        <f ca="1">IFERROR(+IF(AA$27=#REF!,Milestone_Marker,IF(AND(AA$27&gt;#REF!,AA$27&lt;=#REF!+#REF!),$G$5,"")),"")</f>
        <v/>
      </c>
      <c r="AA94" s="36" t="str">
        <f ca="1">IFERROR(+IF(AB$27=#REF!,Milestone_Marker,IF(AND(AB$27&gt;#REF!,AB$27&lt;=#REF!+#REF!),$G$5,"")),"")</f>
        <v/>
      </c>
      <c r="AB94" s="36" t="str">
        <f ca="1">IFERROR(+IF(AC$27=#REF!,Milestone_Marker,IF(AND(AC$27&gt;#REF!,AC$27&lt;=#REF!+#REF!),$G$5,"")),"")</f>
        <v/>
      </c>
      <c r="AC94" s="36" t="str">
        <f ca="1">IFERROR(+IF(AD$27=#REF!,Milestone_Marker,IF(AND(AD$27&gt;#REF!,AD$27&lt;=#REF!+#REF!),$G$5,"")),"")</f>
        <v/>
      </c>
      <c r="AD94" s="36" t="str">
        <f ca="1">IFERROR(+IF(AE$27=#REF!,Milestone_Marker,IF(AND(AE$27&gt;#REF!,AE$27&lt;=#REF!+#REF!),$G$5,"")),"")</f>
        <v/>
      </c>
      <c r="AE94" s="36" t="str">
        <f ca="1">IFERROR(+IF(AF$27=#REF!,Milestone_Marker,IF(AND(AF$27&gt;#REF!,AF$27&lt;=#REF!+#REF!),$G$5,"")),"")</f>
        <v/>
      </c>
      <c r="AF94" s="36" t="str">
        <f ca="1">IFERROR(+IF(AG$27=#REF!,Milestone_Marker,IF(AND(AG$27&gt;#REF!,AG$27&lt;=#REF!+#REF!),$G$5,"")),"")</f>
        <v/>
      </c>
      <c r="AG94" s="36" t="str">
        <f ca="1">IFERROR(+IF(AH$27=#REF!,Milestone_Marker,IF(AND(AH$27&gt;#REF!,AH$27&lt;=#REF!+#REF!),$G$5,"")),"")</f>
        <v/>
      </c>
      <c r="AH94" s="36" t="str">
        <f ca="1">IFERROR(+IF(AI$27=#REF!,Milestone_Marker,IF(AND(AI$27&gt;#REF!,AI$27&lt;=#REF!+#REF!),$G$5,"")),"")</f>
        <v/>
      </c>
      <c r="AI94" s="36" t="str">
        <f ca="1">IFERROR(+IF(AJ$27=#REF!,Milestone_Marker,IF(AND(AJ$27&gt;#REF!,AJ$27&lt;=#REF!+#REF!),$G$5,"")),"")</f>
        <v/>
      </c>
      <c r="AJ94" s="36" t="str">
        <f ca="1">IFERROR(+IF(AK$27=#REF!,Milestone_Marker,IF(AND(AK$27&gt;#REF!,AK$27&lt;=#REF!+#REF!),$G$5,"")),"")</f>
        <v/>
      </c>
      <c r="AK94" s="36" t="str">
        <f ca="1">IFERROR(+IF(AL$27=#REF!,Milestone_Marker,IF(AND(AL$27&gt;#REF!,AL$27&lt;=#REF!+#REF!),$G$5,"")),"")</f>
        <v/>
      </c>
      <c r="AL94" s="36" t="str">
        <f ca="1">IFERROR(+IF(AM$27=#REF!,Milestone_Marker,IF(AND(AM$27&gt;#REF!,AM$27&lt;=#REF!+#REF!),$G$5,"")),"")</f>
        <v/>
      </c>
      <c r="AM94" s="36" t="str">
        <f ca="1">IFERROR(+IF(AN$27=#REF!,Milestone_Marker,IF(AND(AN$27&gt;#REF!,AN$27&lt;=#REF!+#REF!),$G$5,"")),"")</f>
        <v/>
      </c>
      <c r="AN94" s="36" t="str">
        <f ca="1">IFERROR(+IF(AO$27=#REF!,Milestone_Marker,IF(AND(AO$27&gt;#REF!,AO$27&lt;=#REF!+#REF!),$G$5,"")),"")</f>
        <v/>
      </c>
      <c r="AO94" s="36" t="str">
        <f ca="1">IFERROR(+IF(AP$27=#REF!,Milestone_Marker,IF(AND(AP$27&gt;#REF!,AP$27&lt;=#REF!+#REF!),$G$5,"")),"")</f>
        <v/>
      </c>
      <c r="AP94" s="36" t="str">
        <f ca="1">IFERROR(+IF(AQ$27=#REF!,Milestone_Marker,IF(AND(AQ$27&gt;#REF!,AQ$27&lt;=#REF!+#REF!),$G$5,"")),"")</f>
        <v/>
      </c>
      <c r="AQ94" s="36" t="str">
        <f ca="1">IFERROR(+IF(AR$27=#REF!,Milestone_Marker,IF(AND(AR$27&gt;#REF!,AR$27&lt;=#REF!+#REF!),$G$5,"")),"")</f>
        <v/>
      </c>
      <c r="AR94" s="36" t="str">
        <f ca="1">IFERROR(+IF(AS$27=#REF!,Milestone_Marker,IF(AND(AS$27&gt;#REF!,AS$27&lt;=#REF!+#REF!),$G$5,"")),"")</f>
        <v/>
      </c>
      <c r="AS94" s="36" t="str">
        <f ca="1">IFERROR(+IF(AT$27=#REF!,Milestone_Marker,IF(AND(AT$27&gt;#REF!,AT$27&lt;=#REF!+#REF!),$G$5,"")),"")</f>
        <v/>
      </c>
      <c r="AT94" s="36" t="str">
        <f ca="1">IFERROR(+IF(AU$27=#REF!,Milestone_Marker,IF(AND(AU$27&gt;#REF!,AU$27&lt;=#REF!+#REF!),$G$5,"")),"")</f>
        <v/>
      </c>
      <c r="AU94" s="36" t="str">
        <f ca="1">IFERROR(+IF(AV$27=#REF!,Milestone_Marker,IF(AND(AV$27&gt;#REF!,AV$27&lt;=#REF!+#REF!),$G$5,"")),"")</f>
        <v/>
      </c>
      <c r="AV94" s="36" t="str">
        <f ca="1">IFERROR(+IF(AW$27=#REF!,Milestone_Marker,IF(AND(AW$27&gt;#REF!,AW$27&lt;=#REF!+#REF!),$G$5,"")),"")</f>
        <v/>
      </c>
      <c r="AW94" s="36" t="str">
        <f ca="1">IFERROR(+IF(AX$27=#REF!,Milestone_Marker,IF(AND(AX$27&gt;#REF!,AX$27&lt;=#REF!+#REF!),$G$5,"")),"")</f>
        <v/>
      </c>
      <c r="AX94" s="36" t="str">
        <f ca="1">IFERROR(+IF(AY$27=#REF!,Milestone_Marker,IF(AND(AY$27&gt;#REF!,AY$27&lt;=#REF!+#REF!),$G$5,"")),"")</f>
        <v/>
      </c>
      <c r="AY94" s="36" t="str">
        <f ca="1">IFERROR(+IF(AZ$27=#REF!,Milestone_Marker,IF(AND(AZ$27&gt;#REF!,AZ$27&lt;=#REF!+#REF!),$G$5,"")),"")</f>
        <v/>
      </c>
      <c r="AZ94" s="36" t="str">
        <f ca="1">IFERROR(+IF(BA$27=#REF!,Milestone_Marker,IF(AND(BA$27&gt;#REF!,BA$27&lt;=#REF!+#REF!),$G$5,"")),"")</f>
        <v/>
      </c>
      <c r="BA94" s="36" t="str">
        <f ca="1">IFERROR(+IF(BB$27=#REF!,Milestone_Marker,IF(AND(BB$27&gt;#REF!,BB$27&lt;=#REF!+#REF!),$G$5,"")),"")</f>
        <v/>
      </c>
      <c r="BB94" s="36" t="str">
        <f ca="1">IFERROR(+IF(BC$27=#REF!,Milestone_Marker,IF(AND(BC$27&gt;#REF!,BC$27&lt;=#REF!+#REF!),$G$5,"")),"")</f>
        <v/>
      </c>
      <c r="BC94" s="36" t="str">
        <f ca="1">IFERROR(+IF(BD$27=#REF!,Milestone_Marker,IF(AND(BD$27&gt;#REF!,BD$27&lt;=#REF!+#REF!),$G$5,"")),"")</f>
        <v/>
      </c>
      <c r="BD94" s="36" t="str">
        <f ca="1">IFERROR(+IF(BE$27=#REF!,Milestone_Marker,IF(AND(BE$27&gt;#REF!,BE$27&lt;=#REF!+#REF!),$G$5,"")),"")</f>
        <v/>
      </c>
      <c r="BE94" s="36" t="str">
        <f ca="1">IFERROR(+IF(BF$27=#REF!,Milestone_Marker,IF(AND(BF$27&gt;#REF!,BF$27&lt;=#REF!+#REF!),$G$5,"")),"")</f>
        <v/>
      </c>
      <c r="BF94" s="36" t="str">
        <f ca="1">IFERROR(+IF(BG$27=#REF!,Milestone_Marker,IF(AND(BG$27&gt;#REF!,BG$27&lt;=#REF!+#REF!),$G$5,"")),"")</f>
        <v/>
      </c>
      <c r="BG94" s="36" t="str">
        <f ca="1">IFERROR(+IF(BH$27=#REF!,Milestone_Marker,IF(AND(BH$27&gt;#REF!,BH$27&lt;=#REF!+#REF!),$G$5,"")),"")</f>
        <v/>
      </c>
      <c r="BH94" s="36" t="str">
        <f ca="1">IFERROR(+IF(BI$27=#REF!,Milestone_Marker,IF(AND(BI$27&gt;#REF!,BI$27&lt;=#REF!+#REF!),$G$5,"")),"")</f>
        <v/>
      </c>
      <c r="BI94" s="36" t="str">
        <f ca="1">IFERROR(+IF(BJ$27=#REF!,Milestone_Marker,IF(AND(BJ$27&gt;#REF!,BJ$27&lt;=#REF!+#REF!),$G$5,"")),"")</f>
        <v/>
      </c>
      <c r="BJ94" s="36" t="str">
        <f ca="1">IFERROR(+IF(BK$27=#REF!,Milestone_Marker,IF(AND(BK$27&gt;#REF!,BK$27&lt;=#REF!+#REF!),$G$5,"")),"")</f>
        <v/>
      </c>
      <c r="BK94" s="36" t="str">
        <f ca="1">IFERROR(+IF(BL$27=#REF!,Milestone_Marker,IF(AND(BL$27&gt;#REF!,BL$27&lt;=#REF!+#REF!),$G$5,"")),"")</f>
        <v/>
      </c>
      <c r="BL94" s="36" t="str">
        <f ca="1">IFERROR(+IF(BM$27=#REF!,Milestone_Marker,IF(AND(BM$27&gt;#REF!,BM$27&lt;=#REF!+#REF!),$G$5,"")),"")</f>
        <v/>
      </c>
      <c r="BM94" s="36" t="str">
        <f ca="1">IFERROR(+IF(BN$27=#REF!,Milestone_Marker,IF(AND(BN$27&gt;#REF!,BN$27&lt;=#REF!+#REF!),$G$5,"")),"")</f>
        <v/>
      </c>
      <c r="BN94" s="36" t="str">
        <f ca="1">IFERROR(+IF(BO$27=#REF!,Milestone_Marker,IF(AND(BO$27&gt;#REF!,BO$27&lt;=#REF!+#REF!),$G$5,"")),"")</f>
        <v/>
      </c>
      <c r="BO94" s="36" t="str">
        <f ca="1">IFERROR(+IF(BP$27=#REF!,Milestone_Marker,IF(AND(BP$27&gt;#REF!,BP$27&lt;=#REF!+#REF!),$G$5,"")),"")</f>
        <v/>
      </c>
      <c r="BP94" s="36" t="str">
        <f ca="1">IFERROR(+IF(BQ$27=#REF!,Milestone_Marker,IF(AND(BQ$27&gt;#REF!,BQ$27&lt;=#REF!+#REF!),$G$5,"")),"")</f>
        <v/>
      </c>
      <c r="BQ94" s="36" t="str">
        <f ca="1">IFERROR(+IF(BR$27=#REF!,Milestone_Marker,IF(AND(BR$27&gt;#REF!,BR$27&lt;=#REF!+#REF!),$G$5,"")),"")</f>
        <v/>
      </c>
      <c r="BR94" s="36" t="str">
        <f ca="1">IFERROR(+IF(BS$27=#REF!,Milestone_Marker,IF(AND(BS$27&gt;#REF!,BS$27&lt;=#REF!+#REF!),$G$5,"")),"")</f>
        <v/>
      </c>
      <c r="BS94" s="36" t="str">
        <f ca="1">IFERROR(+IF(BT$27=#REF!,Milestone_Marker,IF(AND(BT$27&gt;#REF!,BT$27&lt;=#REF!+#REF!),$G$5,"")),"")</f>
        <v/>
      </c>
      <c r="BT94" s="36" t="str">
        <f ca="1">IFERROR(+IF(BU$27=#REF!,Milestone_Marker,IF(AND(BU$27&gt;#REF!,BU$27&lt;=#REF!+#REF!),$G$5,"")),"")</f>
        <v/>
      </c>
      <c r="BU94" s="36" t="str">
        <f ca="1">IFERROR(+IF(BV$27=#REF!,Milestone_Marker,IF(AND(BV$27&gt;#REF!,BV$27&lt;=#REF!+#REF!),$G$5,"")),"")</f>
        <v/>
      </c>
      <c r="BV94" s="36" t="str">
        <f ca="1">IFERROR(+IF(BW$27=#REF!,Milestone_Marker,IF(AND(BW$27&gt;#REF!,BW$27&lt;=#REF!+#REF!),$G$5,"")),"")</f>
        <v/>
      </c>
      <c r="BW94" s="36" t="str">
        <f ca="1">IFERROR(+IF(BX$27=#REF!,Milestone_Marker,IF(AND(BX$27&gt;#REF!,BX$27&lt;=#REF!+#REF!),$G$5,"")),"")</f>
        <v/>
      </c>
      <c r="BX94" s="36" t="str">
        <f ca="1">IFERROR(+IF(BY$27=#REF!,Milestone_Marker,IF(AND(BY$27&gt;#REF!,BY$27&lt;=#REF!+#REF!),$G$5,"")),"")</f>
        <v/>
      </c>
      <c r="BY94" s="36" t="str">
        <f ca="1">IFERROR(+IF(BZ$27=#REF!,Milestone_Marker,IF(AND(BZ$27&gt;#REF!,BZ$27&lt;=#REF!+#REF!),$G$5,"")),"")</f>
        <v/>
      </c>
      <c r="BZ94" s="36" t="str">
        <f ca="1">IFERROR(+IF(CA$27=#REF!,Milestone_Marker,IF(AND(CA$27&gt;#REF!,CA$27&lt;=#REF!+#REF!),$G$5,"")),"")</f>
        <v/>
      </c>
      <c r="CA94" s="36" t="str">
        <f ca="1">IFERROR(+IF(CB$27=#REF!,Milestone_Marker,IF(AND(CB$27&gt;#REF!,CB$27&lt;=#REF!+#REF!),$G$5,"")),"")</f>
        <v/>
      </c>
      <c r="CB94" s="36" t="str">
        <f ca="1">IFERROR(+IF(CC$27=#REF!,Milestone_Marker,IF(AND(CC$27&gt;#REF!,CC$27&lt;=#REF!+#REF!),$G$5,"")),"")</f>
        <v/>
      </c>
      <c r="CC94" s="36" t="str">
        <f ca="1">IFERROR(+IF(CD$27=#REF!,Milestone_Marker,IF(AND(CD$27&gt;#REF!,CD$27&lt;=#REF!+#REF!),$G$5,"")),"")</f>
        <v/>
      </c>
      <c r="CD94" s="36" t="str">
        <f ca="1">IFERROR(+IF(CE$27=#REF!,Milestone_Marker,IF(AND(CE$27&gt;#REF!,CE$27&lt;=#REF!+#REF!),$G$5,"")),"")</f>
        <v/>
      </c>
      <c r="CE94" s="36" t="str">
        <f ca="1">IFERROR(+IF(CF$27=#REF!,Milestone_Marker,IF(AND(CF$27&gt;#REF!,CF$27&lt;=#REF!+#REF!),$G$5,"")),"")</f>
        <v/>
      </c>
      <c r="CF94" s="36" t="str">
        <f ca="1">IFERROR(+IF(CG$27=#REF!,Milestone_Marker,IF(AND(CG$27&gt;#REF!,CG$27&lt;=#REF!+#REF!),$G$5,"")),"")</f>
        <v/>
      </c>
      <c r="CG94" s="36" t="str">
        <f ca="1">IFERROR(+IF(CH$27=#REF!,Milestone_Marker,IF(AND(CH$27&gt;#REF!,CH$27&lt;=#REF!+#REF!),$G$5,"")),"")</f>
        <v/>
      </c>
      <c r="CH94" s="36" t="str">
        <f ca="1">IFERROR(+IF(CI$27=#REF!,Milestone_Marker,IF(AND(CI$27&gt;#REF!,CI$27&lt;=#REF!+#REF!),$G$5,"")),"")</f>
        <v/>
      </c>
      <c r="CI94" s="36" t="str">
        <f ca="1">IFERROR(+IF(CJ$27=#REF!,Milestone_Marker,IF(AND(CJ$27&gt;#REF!,CJ$27&lt;=#REF!+#REF!),$G$5,"")),"")</f>
        <v/>
      </c>
      <c r="CJ94" s="36" t="str">
        <f ca="1">IFERROR(+IF(CK$27=#REF!,Milestone_Marker,IF(AND(CK$27&gt;#REF!,CK$27&lt;=#REF!+#REF!),$G$5,"")),"")</f>
        <v/>
      </c>
      <c r="CK94" s="36" t="str">
        <f ca="1">IFERROR(+IF(CL$27=#REF!,Milestone_Marker,IF(AND(CL$27&gt;#REF!,CL$27&lt;=#REF!+#REF!),$G$5,"")),"")</f>
        <v/>
      </c>
      <c r="CL94" s="36" t="str">
        <f ca="1">IFERROR(+IF(CM$27=#REF!,Milestone_Marker,IF(AND(CM$27&gt;#REF!,CM$27&lt;=#REF!+#REF!),$G$5,"")),"")</f>
        <v/>
      </c>
      <c r="CM94" s="36" t="str">
        <f ca="1">IFERROR(+IF(CN$27=#REF!,Milestone_Marker,IF(AND(CN$27&gt;#REF!,CN$27&lt;=#REF!+#REF!),$G$5,"")),"")</f>
        <v/>
      </c>
      <c r="CN94" s="36" t="str">
        <f ca="1">IFERROR(+IF(CO$27=#REF!,Milestone_Marker,IF(AND(CO$27&gt;#REF!,CO$27&lt;=#REF!+#REF!),$G$5,"")),"")</f>
        <v/>
      </c>
      <c r="CO94" s="36" t="str">
        <f ca="1">IFERROR(+IF(CP$27=#REF!,Milestone_Marker,IF(AND(CP$27&gt;#REF!,CP$27&lt;=#REF!+#REF!),$G$5,"")),"")</f>
        <v/>
      </c>
      <c r="CP94" s="36" t="str">
        <f ca="1">IFERROR(+IF(CQ$27=#REF!,Milestone_Marker,IF(AND(CQ$27&gt;#REF!,CQ$27&lt;=#REF!+#REF!),$G$5,"")),"")</f>
        <v/>
      </c>
      <c r="CQ94" s="36" t="str">
        <f ca="1">IFERROR(+IF(CR$27=#REF!,Milestone_Marker,IF(AND(CR$27&gt;#REF!,CR$27&lt;=#REF!+#REF!),$G$5,"")),"")</f>
        <v/>
      </c>
      <c r="CR94" s="36" t="str">
        <f ca="1">IFERROR(+IF(CS$27=#REF!,Milestone_Marker,IF(AND(CS$27&gt;#REF!,CS$27&lt;=#REF!+#REF!),$G$5,"")),"")</f>
        <v/>
      </c>
      <c r="CS94" s="36" t="str">
        <f ca="1">IFERROR(+IF(CT$27=#REF!,Milestone_Marker,IF(AND(CT$27&gt;#REF!,CT$27&lt;=#REF!+#REF!),$G$5,"")),"")</f>
        <v/>
      </c>
      <c r="CT94" s="36"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6" type="noConversion"/>
  <conditionalFormatting sqref="P7:BR7">
    <cfRule type="expression" dxfId="80" priority="1">
      <formula>P$27&lt;=TODAY()</formula>
    </cfRule>
  </conditionalFormatting>
  <conditionalFormatting sqref="P27:CU27">
    <cfRule type="expression" dxfId="79" priority="27">
      <formula>P$27&lt;=TODAY()</formula>
    </cfRule>
  </conditionalFormatting>
  <conditionalFormatting sqref="P7:DT7 AQ10:AQ15 AP14:AP15 AR14:DU15 AP16:DU16 P26:CU82 P28:DU34 AA35:DU35 P36:DU76 R73:CW82 P73:CT94 AP17:AP21 AQ17:DU23 AQ8:DU9">
    <cfRule type="expression" dxfId="78" priority="12">
      <formula>#REF!&lt;=Today</formula>
    </cfRule>
  </conditionalFormatting>
  <conditionalFormatting sqref="P28:DU34 P28:CU82 AA35:DU35 P36:DU76 AP73:DU81 R73:CW82 P73:CT94">
    <cfRule type="expression" dxfId="77" priority="4">
      <formula>#REF!&lt;=Today</formula>
    </cfRule>
  </conditionalFormatting>
  <conditionalFormatting sqref="AP77:DR81">
    <cfRule type="expression" dxfId="76" priority="2">
      <formula>#REF!&lt;=Today</formula>
    </cfRule>
  </conditionalFormatting>
  <conditionalFormatting sqref="AR10:DU11 AR13:DU19">
    <cfRule type="expression" dxfId="75"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14"/>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9.5703125" bestFit="1" customWidth="1"/>
    <col min="3" max="3" width="16.42578125" bestFit="1" customWidth="1"/>
    <col min="4" max="4" width="10.7109375" bestFit="1" customWidth="1"/>
    <col min="5" max="5" width="14.28515625" style="272" bestFit="1" customWidth="1"/>
    <col min="6" max="6" width="10" style="272" bestFit="1" customWidth="1"/>
    <col min="7" max="8" width="10.28515625" style="272" bestFit="1" customWidth="1"/>
    <col min="9" max="9" width="5.42578125" style="272" customWidth="1"/>
    <col min="10" max="10" width="50.7109375" bestFit="1" customWidth="1"/>
    <col min="11" max="12" width="9.7109375" bestFit="1" customWidth="1"/>
    <col min="13" max="13" width="8.7109375" style="261" customWidth="1"/>
    <col min="14" max="14" width="7.42578125" bestFit="1" customWidth="1"/>
    <col min="15" max="15" width="7.28515625" bestFit="1" customWidth="1"/>
    <col min="16" max="16" width="13.42578125" bestFit="1" customWidth="1"/>
    <col min="17" max="17" width="12" bestFit="1" customWidth="1"/>
    <col min="18" max="18" width="7.42578125" bestFit="1" customWidth="1"/>
    <col min="19" max="19" width="8" bestFit="1" customWidth="1"/>
    <col min="20" max="20" width="10.28515625" bestFit="1" customWidth="1"/>
    <col min="21" max="21" width="8" bestFit="1" customWidth="1"/>
    <col min="22" max="22" width="12" bestFit="1" customWidth="1"/>
    <col min="23" max="23" width="12" style="261" bestFit="1" customWidth="1"/>
    <col min="24" max="25" width="14.28515625" bestFit="1" customWidth="1"/>
  </cols>
  <sheetData>
    <row r="1" spans="1:23" x14ac:dyDescent="0.25">
      <c r="A1" s="938" t="s">
        <v>760</v>
      </c>
      <c r="B1" s="939"/>
      <c r="C1" s="641"/>
      <c r="D1" s="641"/>
      <c r="E1" s="641"/>
      <c r="F1" s="641"/>
      <c r="G1" s="793"/>
      <c r="I1" s="934" t="s">
        <v>761</v>
      </c>
      <c r="J1" s="935"/>
      <c r="K1" s="936"/>
      <c r="L1" s="937"/>
      <c r="M1"/>
      <c r="N1" s="924" t="s">
        <v>762</v>
      </c>
      <c r="O1" s="925"/>
      <c r="P1" s="925"/>
      <c r="Q1" s="925"/>
      <c r="R1" s="925"/>
      <c r="S1" s="926"/>
      <c r="W1"/>
    </row>
    <row r="2" spans="1:23" ht="15.75" thickBot="1" x14ac:dyDescent="0.3">
      <c r="A2" s="938" t="s">
        <v>763</v>
      </c>
      <c r="B2" s="939"/>
      <c r="C2" s="641"/>
      <c r="D2" s="641"/>
      <c r="E2" s="641"/>
      <c r="F2" s="641"/>
      <c r="G2" s="793"/>
      <c r="I2" s="930" t="s">
        <v>764</v>
      </c>
      <c r="J2" s="931"/>
      <c r="K2" s="932"/>
      <c r="L2" s="933"/>
      <c r="M2"/>
      <c r="N2" s="927" t="str">
        <f>"Recap Summary Table - " &amp; +Profit!B2</f>
        <v>Recap Summary Table - 7001 Outrigger Dr</v>
      </c>
      <c r="O2" s="928"/>
      <c r="P2" s="928"/>
      <c r="Q2" s="928"/>
      <c r="R2" s="928"/>
      <c r="S2" s="929"/>
      <c r="W2"/>
    </row>
    <row r="4" spans="1:23" s="62" customFormat="1" x14ac:dyDescent="0.25">
      <c r="A4" s="62" t="s">
        <v>717</v>
      </c>
      <c r="B4" s="22" t="s">
        <v>719</v>
      </c>
      <c r="C4" s="62" t="s">
        <v>720</v>
      </c>
      <c r="D4" s="3" t="s">
        <v>765</v>
      </c>
      <c r="E4" s="298" t="s">
        <v>102</v>
      </c>
      <c r="F4" s="3" t="s">
        <v>721</v>
      </c>
      <c r="G4" s="62" t="s">
        <v>722</v>
      </c>
      <c r="I4" s="62" t="s">
        <v>717</v>
      </c>
      <c r="J4" s="62" t="s">
        <v>766</v>
      </c>
      <c r="K4" s="299" t="s">
        <v>111</v>
      </c>
      <c r="L4" s="62" t="s">
        <v>722</v>
      </c>
      <c r="N4" t="s">
        <v>717</v>
      </c>
      <c r="O4" t="s">
        <v>719</v>
      </c>
      <c r="P4" t="s">
        <v>720</v>
      </c>
      <c r="Q4" t="s">
        <v>766</v>
      </c>
      <c r="R4" s="261" t="s">
        <v>111</v>
      </c>
      <c r="S4" t="s">
        <v>722</v>
      </c>
    </row>
    <row r="5" spans="1:23" x14ac:dyDescent="0.25">
      <c r="A5">
        <v>17</v>
      </c>
      <c r="B5" t="s">
        <v>692</v>
      </c>
      <c r="C5" t="s">
        <v>1152</v>
      </c>
      <c r="F5" s="300">
        <v>124.3</v>
      </c>
      <c r="G5"/>
      <c r="H5"/>
      <c r="I5"/>
      <c r="K5" s="261"/>
      <c r="M5"/>
      <c r="W5"/>
    </row>
    <row r="6" spans="1:23" x14ac:dyDescent="0.25">
      <c r="A6">
        <v>18</v>
      </c>
      <c r="F6" s="300"/>
      <c r="G6"/>
      <c r="H6"/>
      <c r="I6"/>
      <c r="K6" s="261"/>
      <c r="M6"/>
      <c r="R6" s="261"/>
      <c r="W6"/>
    </row>
    <row r="7" spans="1:23" x14ac:dyDescent="0.25">
      <c r="A7">
        <v>19</v>
      </c>
      <c r="F7" s="300"/>
      <c r="G7"/>
      <c r="H7"/>
      <c r="I7"/>
      <c r="K7" s="261"/>
      <c r="M7"/>
      <c r="W7"/>
    </row>
    <row r="8" spans="1:23" x14ac:dyDescent="0.25">
      <c r="A8">
        <v>20</v>
      </c>
      <c r="F8" s="300"/>
      <c r="G8"/>
      <c r="H8"/>
      <c r="I8"/>
      <c r="K8" s="261"/>
      <c r="M8"/>
      <c r="W8"/>
    </row>
    <row r="9" spans="1:23" x14ac:dyDescent="0.25">
      <c r="A9">
        <v>21</v>
      </c>
      <c r="F9" s="300"/>
      <c r="G9"/>
      <c r="H9"/>
      <c r="I9"/>
      <c r="K9" s="261"/>
      <c r="M9"/>
      <c r="W9"/>
    </row>
    <row r="10" spans="1:23" x14ac:dyDescent="0.25">
      <c r="A10">
        <v>22</v>
      </c>
      <c r="F10" s="300"/>
      <c r="G10"/>
      <c r="H10"/>
      <c r="I10"/>
      <c r="K10" s="261"/>
      <c r="M10"/>
      <c r="W10"/>
    </row>
    <row r="11" spans="1:23" x14ac:dyDescent="0.25">
      <c r="A11">
        <v>23</v>
      </c>
      <c r="F11" s="300"/>
      <c r="G11"/>
      <c r="H11"/>
      <c r="I11"/>
      <c r="K11" s="261"/>
      <c r="M11"/>
      <c r="W11"/>
    </row>
    <row r="12" spans="1:23" x14ac:dyDescent="0.25">
      <c r="A12">
        <v>4</v>
      </c>
      <c r="B12" t="s">
        <v>696</v>
      </c>
      <c r="C12" t="s">
        <v>697</v>
      </c>
      <c r="D12">
        <v>4</v>
      </c>
      <c r="F12" s="300"/>
      <c r="G12"/>
      <c r="H12"/>
      <c r="I12"/>
      <c r="K12" s="261"/>
      <c r="M12"/>
      <c r="U12" s="261"/>
      <c r="W12"/>
    </row>
    <row r="13" spans="1:23" x14ac:dyDescent="0.25">
      <c r="H13"/>
      <c r="I13"/>
      <c r="K13" s="261"/>
      <c r="M13"/>
      <c r="U13" s="261"/>
      <c r="W13"/>
    </row>
    <row r="14" spans="1:23" x14ac:dyDescent="0.25">
      <c r="H14"/>
      <c r="I14"/>
      <c r="K14" s="261"/>
      <c r="M14"/>
      <c r="U14" s="261"/>
      <c r="W14"/>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767</v>
      </c>
    </row>
    <row r="2" spans="1:11" x14ac:dyDescent="0.25">
      <c r="I2" s="942" t="s">
        <v>8</v>
      </c>
      <c r="J2" s="942" t="str">
        <f>IF(Profit!$Q$6,IF(K2="No","No","Yes"),"No")</f>
        <v>Yes</v>
      </c>
      <c r="K2" s="944"/>
    </row>
    <row r="3" spans="1:11" s="3" customFormat="1" ht="15.75" thickBot="1" x14ac:dyDescent="0.3">
      <c r="A3" s="3" t="s">
        <v>768</v>
      </c>
      <c r="B3" s="3" t="s">
        <v>111</v>
      </c>
      <c r="C3" s="13" t="s">
        <v>769</v>
      </c>
      <c r="D3" s="3" t="s">
        <v>770</v>
      </c>
      <c r="E3" s="13" t="s">
        <v>771</v>
      </c>
      <c r="F3" s="3" t="s">
        <v>772</v>
      </c>
      <c r="I3" s="943"/>
      <c r="J3" s="943"/>
      <c r="K3" s="945"/>
    </row>
    <row r="4" spans="1:11" s="3" customFormat="1" x14ac:dyDescent="0.25">
      <c r="C4" s="13"/>
      <c r="E4" s="13"/>
    </row>
    <row r="5" spans="1:11" s="3" customFormat="1" x14ac:dyDescent="0.25">
      <c r="A5" s="2" t="s">
        <v>773</v>
      </c>
      <c r="B5" s="12">
        <v>45316</v>
      </c>
      <c r="C5" s="328"/>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70</v>
      </c>
    </row>
    <row r="9" spans="1:11" x14ac:dyDescent="0.25">
      <c r="B9"/>
      <c r="C9" s="14"/>
      <c r="D9"/>
      <c r="E9" s="14"/>
      <c r="F9" s="14">
        <f t="shared" ref="F9:F12" si="0">+D9*E9</f>
        <v>0</v>
      </c>
    </row>
    <row r="10" spans="1:11" s="22" customFormat="1" x14ac:dyDescent="0.25">
      <c r="A10" s="2" t="s">
        <v>773</v>
      </c>
      <c r="B10" s="12">
        <v>45316</v>
      </c>
      <c r="C10" s="328"/>
      <c r="D10">
        <v>0</v>
      </c>
      <c r="E10" s="14">
        <v>35</v>
      </c>
      <c r="F10" s="14">
        <f t="shared" si="0"/>
        <v>0</v>
      </c>
      <c r="G10"/>
      <c r="H10" s="3"/>
      <c r="I10" s="3"/>
    </row>
    <row r="11" spans="1:11" x14ac:dyDescent="0.25">
      <c r="A11" s="2" t="s">
        <v>773</v>
      </c>
      <c r="B11" s="12">
        <v>45322</v>
      </c>
      <c r="C11" s="328"/>
      <c r="D11">
        <v>0</v>
      </c>
      <c r="E11" s="14">
        <v>55</v>
      </c>
      <c r="F11" s="14">
        <f t="shared" si="0"/>
        <v>0</v>
      </c>
    </row>
    <row r="12" spans="1:11" x14ac:dyDescent="0.25">
      <c r="A12" s="2" t="s">
        <v>774</v>
      </c>
      <c r="B12" s="12"/>
      <c r="C12" s="328"/>
      <c r="D12">
        <v>0</v>
      </c>
      <c r="E12" s="14"/>
      <c r="F12" s="14">
        <f t="shared" si="0"/>
        <v>0</v>
      </c>
    </row>
    <row r="13" spans="1:11" x14ac:dyDescent="0.25">
      <c r="A13" s="2" t="s">
        <v>775</v>
      </c>
      <c r="B13" s="12">
        <v>45315</v>
      </c>
      <c r="C13" s="328"/>
      <c r="D13">
        <v>0</v>
      </c>
      <c r="E13" s="14">
        <v>201.25</v>
      </c>
      <c r="F13" s="14">
        <f>+D13*E13</f>
        <v>0</v>
      </c>
    </row>
    <row r="14" spans="1:11" x14ac:dyDescent="0.25">
      <c r="A14" s="2" t="s">
        <v>776</v>
      </c>
      <c r="B14" s="12">
        <v>45322</v>
      </c>
      <c r="C14" s="328"/>
      <c r="D14">
        <v>0</v>
      </c>
      <c r="E14" s="14">
        <v>46</v>
      </c>
      <c r="F14" s="14">
        <f>+D14*E14</f>
        <v>0</v>
      </c>
    </row>
    <row r="15" spans="1:11" x14ac:dyDescent="0.25">
      <c r="A15" s="2" t="s">
        <v>777</v>
      </c>
      <c r="B15" s="12">
        <v>45322</v>
      </c>
      <c r="C15" s="328"/>
      <c r="D15">
        <v>0</v>
      </c>
      <c r="E15" s="14">
        <v>10</v>
      </c>
      <c r="F15" s="14">
        <f>+D15*E15</f>
        <v>0</v>
      </c>
    </row>
    <row r="16" spans="1:11" x14ac:dyDescent="0.25">
      <c r="B16" s="12"/>
      <c r="C16" s="328"/>
      <c r="D16">
        <v>1</v>
      </c>
      <c r="E16" s="14"/>
      <c r="F16" s="14">
        <f>+D16*E16</f>
        <v>0</v>
      </c>
    </row>
    <row r="17" spans="1:10" x14ac:dyDescent="0.25">
      <c r="B17" s="12"/>
      <c r="C17" s="328"/>
      <c r="D17">
        <v>1</v>
      </c>
      <c r="E17" s="14"/>
      <c r="F17" s="14">
        <f>+D17*E17</f>
        <v>0</v>
      </c>
    </row>
    <row r="18" spans="1:10" x14ac:dyDescent="0.25">
      <c r="B18" s="191"/>
      <c r="C18" s="14"/>
      <c r="D18"/>
      <c r="E18" s="14"/>
      <c r="F18" s="14">
        <f t="shared" ref="F18:F21" si="1">+D18*E18</f>
        <v>0</v>
      </c>
    </row>
    <row r="19" spans="1:10" x14ac:dyDescent="0.25">
      <c r="B19" s="19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0"/>
      <c r="D28" s="941"/>
      <c r="E28" s="941"/>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778</v>
      </c>
      <c r="B1" s="7" t="s">
        <v>779</v>
      </c>
    </row>
    <row r="2" spans="1:5" x14ac:dyDescent="0.25">
      <c r="A2" s="3" t="s">
        <v>780</v>
      </c>
      <c r="B2" s="6"/>
      <c r="C2" s="4"/>
    </row>
    <row r="4" spans="1:5" x14ac:dyDescent="0.25">
      <c r="A4" s="2" t="s">
        <v>781</v>
      </c>
      <c r="B4" s="1">
        <v>0</v>
      </c>
      <c r="C4" s="1">
        <v>0</v>
      </c>
    </row>
    <row r="5" spans="1:5" x14ac:dyDescent="0.25">
      <c r="A5" s="2" t="s">
        <v>782</v>
      </c>
      <c r="B5" s="1">
        <v>33</v>
      </c>
      <c r="C5"/>
      <c r="D5" s="1"/>
    </row>
    <row r="6" spans="1:5" ht="15.75" thickBot="1" x14ac:dyDescent="0.3">
      <c r="A6" s="2" t="s">
        <v>783</v>
      </c>
      <c r="B6" s="20">
        <v>0</v>
      </c>
      <c r="C6" s="20">
        <f>B5*B6</f>
        <v>0</v>
      </c>
      <c r="D6" s="29"/>
    </row>
    <row r="7" spans="1:5" x14ac:dyDescent="0.25">
      <c r="C7" s="9" t="s">
        <v>784</v>
      </c>
      <c r="D7" s="1">
        <f>SUM(C4:C6)</f>
        <v>0</v>
      </c>
    </row>
    <row r="8" spans="1:5" x14ac:dyDescent="0.25">
      <c r="D8" s="1"/>
    </row>
    <row r="10" spans="1:5" ht="15.75" thickBot="1" x14ac:dyDescent="0.3">
      <c r="D10" s="29"/>
    </row>
    <row r="11" spans="1:5" x14ac:dyDescent="0.25">
      <c r="D11" s="30" t="s">
        <v>785</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786</v>
      </c>
    </row>
    <row r="2" spans="1:7" s="3" customFormat="1" x14ac:dyDescent="0.25">
      <c r="B2" s="3" t="s">
        <v>787</v>
      </c>
      <c r="C2" s="3" t="s">
        <v>788</v>
      </c>
      <c r="D2" s="8" t="s">
        <v>789</v>
      </c>
      <c r="E2" s="3" t="s">
        <v>790</v>
      </c>
      <c r="F2" s="8" t="s">
        <v>679</v>
      </c>
      <c r="G2" s="3" t="s">
        <v>791</v>
      </c>
    </row>
    <row r="3" spans="1:7" x14ac:dyDescent="0.25">
      <c r="A3" s="200" t="s">
        <v>792</v>
      </c>
      <c r="B3" s="200"/>
      <c r="C3" s="201">
        <v>0</v>
      </c>
      <c r="D3" s="202">
        <v>0</v>
      </c>
      <c r="E3">
        <f>+C3*D3</f>
        <v>0</v>
      </c>
      <c r="F3" s="26">
        <f t="shared" ref="F3:F44" si="0">+E3*0.0725</f>
        <v>0</v>
      </c>
    </row>
    <row r="4" spans="1:7" x14ac:dyDescent="0.25">
      <c r="A4" s="200" t="s">
        <v>793</v>
      </c>
      <c r="B4" s="200"/>
      <c r="C4" s="201">
        <v>0</v>
      </c>
      <c r="D4" s="202">
        <v>0</v>
      </c>
      <c r="E4">
        <f t="shared" ref="E4:E61" si="1">+C4*D4</f>
        <v>0</v>
      </c>
      <c r="F4" s="26">
        <f t="shared" si="0"/>
        <v>0</v>
      </c>
    </row>
    <row r="5" spans="1:7" x14ac:dyDescent="0.25">
      <c r="A5" s="200" t="s">
        <v>794</v>
      </c>
      <c r="B5" s="200"/>
      <c r="C5" s="201">
        <v>0</v>
      </c>
      <c r="D5" s="202">
        <v>0</v>
      </c>
      <c r="E5">
        <f t="shared" si="1"/>
        <v>0</v>
      </c>
      <c r="F5" s="26">
        <f t="shared" si="0"/>
        <v>0</v>
      </c>
    </row>
    <row r="6" spans="1:7" x14ac:dyDescent="0.25">
      <c r="A6" s="200" t="s">
        <v>795</v>
      </c>
      <c r="B6" s="200"/>
      <c r="C6" s="201">
        <v>0</v>
      </c>
      <c r="D6" s="202">
        <v>0</v>
      </c>
      <c r="E6">
        <f t="shared" si="1"/>
        <v>0</v>
      </c>
      <c r="F6" s="26">
        <f t="shared" si="0"/>
        <v>0</v>
      </c>
    </row>
    <row r="7" spans="1:7" x14ac:dyDescent="0.25">
      <c r="A7" s="200" t="s">
        <v>796</v>
      </c>
      <c r="B7" s="200"/>
      <c r="C7" s="201">
        <v>0</v>
      </c>
      <c r="D7" s="202">
        <v>0</v>
      </c>
      <c r="E7">
        <f t="shared" si="1"/>
        <v>0</v>
      </c>
      <c r="F7" s="26">
        <f t="shared" si="0"/>
        <v>0</v>
      </c>
    </row>
    <row r="8" spans="1:7" x14ac:dyDescent="0.25">
      <c r="A8" s="200" t="s">
        <v>797</v>
      </c>
      <c r="B8" s="200"/>
      <c r="C8" s="201">
        <v>0</v>
      </c>
      <c r="D8" s="202">
        <v>0</v>
      </c>
      <c r="E8">
        <f t="shared" si="1"/>
        <v>0</v>
      </c>
      <c r="F8" s="26">
        <f t="shared" si="0"/>
        <v>0</v>
      </c>
    </row>
    <row r="9" spans="1:7" x14ac:dyDescent="0.25">
      <c r="A9" s="200" t="s">
        <v>798</v>
      </c>
      <c r="B9" s="200"/>
      <c r="C9" s="201">
        <v>0</v>
      </c>
      <c r="D9" s="202">
        <v>0</v>
      </c>
      <c r="E9">
        <f t="shared" si="1"/>
        <v>0</v>
      </c>
      <c r="F9" s="26">
        <f t="shared" si="0"/>
        <v>0</v>
      </c>
    </row>
    <row r="10" spans="1:7" x14ac:dyDescent="0.25">
      <c r="A10" s="200" t="s">
        <v>347</v>
      </c>
      <c r="B10" s="200"/>
      <c r="C10" s="201">
        <v>0</v>
      </c>
      <c r="D10" s="202">
        <v>0</v>
      </c>
      <c r="E10">
        <f t="shared" si="1"/>
        <v>0</v>
      </c>
      <c r="F10" s="26">
        <f t="shared" si="0"/>
        <v>0</v>
      </c>
    </row>
    <row r="11" spans="1:7" x14ac:dyDescent="0.25">
      <c r="A11" s="200"/>
      <c r="B11" s="200"/>
      <c r="C11" s="201">
        <v>0</v>
      </c>
      <c r="D11" s="202">
        <v>0</v>
      </c>
      <c r="E11">
        <f t="shared" si="1"/>
        <v>0</v>
      </c>
      <c r="F11" s="26">
        <f t="shared" si="0"/>
        <v>0</v>
      </c>
    </row>
    <row r="12" spans="1:7" x14ac:dyDescent="0.25">
      <c r="A12" s="200" t="s">
        <v>799</v>
      </c>
      <c r="B12" s="200"/>
      <c r="C12" s="201">
        <v>0</v>
      </c>
      <c r="D12" s="202">
        <v>0</v>
      </c>
      <c r="E12">
        <f t="shared" si="1"/>
        <v>0</v>
      </c>
      <c r="F12" s="26">
        <f t="shared" si="0"/>
        <v>0</v>
      </c>
    </row>
    <row r="13" spans="1:7" x14ac:dyDescent="0.25">
      <c r="A13" s="200" t="s">
        <v>800</v>
      </c>
      <c r="B13" s="200"/>
      <c r="C13" s="201">
        <v>0</v>
      </c>
      <c r="D13" s="202">
        <v>0</v>
      </c>
      <c r="E13">
        <f t="shared" si="1"/>
        <v>0</v>
      </c>
      <c r="F13" s="26">
        <f t="shared" si="0"/>
        <v>0</v>
      </c>
    </row>
    <row r="14" spans="1:7" x14ac:dyDescent="0.25">
      <c r="A14" s="200" t="s">
        <v>801</v>
      </c>
      <c r="B14" s="200"/>
      <c r="C14" s="201">
        <v>0</v>
      </c>
      <c r="D14" s="202">
        <v>0</v>
      </c>
      <c r="E14">
        <f t="shared" si="1"/>
        <v>0</v>
      </c>
      <c r="F14" s="26">
        <f t="shared" si="0"/>
        <v>0</v>
      </c>
    </row>
    <row r="15" spans="1:7" x14ac:dyDescent="0.25">
      <c r="A15" s="200" t="s">
        <v>802</v>
      </c>
      <c r="B15" s="200"/>
      <c r="C15" s="201">
        <v>0</v>
      </c>
      <c r="D15" s="202">
        <v>0</v>
      </c>
      <c r="E15">
        <f t="shared" si="1"/>
        <v>0</v>
      </c>
      <c r="F15" s="26">
        <f t="shared" si="0"/>
        <v>0</v>
      </c>
    </row>
    <row r="16" spans="1:7" x14ac:dyDescent="0.25">
      <c r="A16" s="200"/>
      <c r="B16" s="200"/>
      <c r="C16" s="201">
        <v>0</v>
      </c>
      <c r="D16" s="202">
        <v>0</v>
      </c>
      <c r="E16">
        <f t="shared" si="1"/>
        <v>0</v>
      </c>
      <c r="F16" s="26">
        <f t="shared" si="0"/>
        <v>0</v>
      </c>
    </row>
    <row r="17" spans="1:6" x14ac:dyDescent="0.25">
      <c r="A17" s="200" t="s">
        <v>803</v>
      </c>
      <c r="B17" s="200"/>
      <c r="C17" s="201">
        <v>0</v>
      </c>
      <c r="D17" s="202">
        <v>0</v>
      </c>
      <c r="E17">
        <f t="shared" si="1"/>
        <v>0</v>
      </c>
      <c r="F17" s="26">
        <f t="shared" si="0"/>
        <v>0</v>
      </c>
    </row>
    <row r="18" spans="1:6" x14ac:dyDescent="0.25">
      <c r="A18" s="200" t="s">
        <v>804</v>
      </c>
      <c r="B18" s="200"/>
      <c r="C18" s="201">
        <v>0</v>
      </c>
      <c r="D18" s="202">
        <v>0</v>
      </c>
      <c r="E18">
        <f t="shared" si="1"/>
        <v>0</v>
      </c>
      <c r="F18" s="26">
        <f t="shared" si="0"/>
        <v>0</v>
      </c>
    </row>
    <row r="19" spans="1:6" x14ac:dyDescent="0.25">
      <c r="A19" s="200"/>
      <c r="B19" s="200"/>
      <c r="C19" s="201">
        <v>0</v>
      </c>
      <c r="D19" s="202">
        <v>0</v>
      </c>
      <c r="E19">
        <f t="shared" si="1"/>
        <v>0</v>
      </c>
      <c r="F19" s="26">
        <f t="shared" si="0"/>
        <v>0</v>
      </c>
    </row>
    <row r="20" spans="1:6" x14ac:dyDescent="0.25">
      <c r="A20" s="200" t="s">
        <v>805</v>
      </c>
      <c r="B20" s="200"/>
      <c r="C20" s="201">
        <v>0</v>
      </c>
      <c r="D20" s="202">
        <v>0</v>
      </c>
      <c r="E20">
        <f t="shared" si="1"/>
        <v>0</v>
      </c>
      <c r="F20" s="26">
        <f t="shared" si="0"/>
        <v>0</v>
      </c>
    </row>
    <row r="21" spans="1:6" x14ac:dyDescent="0.25">
      <c r="A21" s="200" t="s">
        <v>806</v>
      </c>
      <c r="B21" s="200"/>
      <c r="C21" s="201">
        <v>0</v>
      </c>
      <c r="D21" s="202">
        <v>0</v>
      </c>
      <c r="E21">
        <f t="shared" si="1"/>
        <v>0</v>
      </c>
      <c r="F21" s="26">
        <f t="shared" si="0"/>
        <v>0</v>
      </c>
    </row>
    <row r="22" spans="1:6" x14ac:dyDescent="0.25">
      <c r="A22" s="200"/>
      <c r="B22" s="200"/>
      <c r="C22" s="201">
        <v>0</v>
      </c>
      <c r="D22" s="202">
        <v>0</v>
      </c>
      <c r="E22">
        <f t="shared" si="1"/>
        <v>0</v>
      </c>
      <c r="F22" s="26">
        <f t="shared" si="0"/>
        <v>0</v>
      </c>
    </row>
    <row r="23" spans="1:6" x14ac:dyDescent="0.25">
      <c r="A23" s="200" t="s">
        <v>807</v>
      </c>
      <c r="B23" s="200"/>
      <c r="C23" s="201">
        <v>0</v>
      </c>
      <c r="D23" s="202">
        <v>0</v>
      </c>
      <c r="E23">
        <f t="shared" si="1"/>
        <v>0</v>
      </c>
      <c r="F23" s="26">
        <f t="shared" si="0"/>
        <v>0</v>
      </c>
    </row>
    <row r="24" spans="1:6" x14ac:dyDescent="0.25">
      <c r="A24" s="200"/>
      <c r="B24" s="200"/>
      <c r="C24" s="201">
        <v>0</v>
      </c>
      <c r="D24" s="202">
        <v>0</v>
      </c>
      <c r="E24">
        <f t="shared" si="1"/>
        <v>0</v>
      </c>
      <c r="F24" s="26">
        <f t="shared" si="0"/>
        <v>0</v>
      </c>
    </row>
    <row r="25" spans="1:6" x14ac:dyDescent="0.25">
      <c r="A25" s="200"/>
      <c r="B25" s="200"/>
      <c r="C25" s="201">
        <v>0</v>
      </c>
      <c r="D25" s="202">
        <v>0</v>
      </c>
      <c r="E25">
        <f t="shared" si="1"/>
        <v>0</v>
      </c>
      <c r="F25" s="26">
        <f t="shared" si="0"/>
        <v>0</v>
      </c>
    </row>
    <row r="26" spans="1:6" x14ac:dyDescent="0.25">
      <c r="A26" s="200" t="s">
        <v>808</v>
      </c>
      <c r="B26" s="200"/>
      <c r="C26" s="201">
        <v>0</v>
      </c>
      <c r="D26" s="202">
        <v>0</v>
      </c>
      <c r="E26">
        <f t="shared" si="1"/>
        <v>0</v>
      </c>
      <c r="F26" s="26">
        <f t="shared" si="0"/>
        <v>0</v>
      </c>
    </row>
    <row r="27" spans="1:6" x14ac:dyDescent="0.25">
      <c r="A27" s="200" t="s">
        <v>809</v>
      </c>
      <c r="B27" s="200"/>
      <c r="C27" s="201">
        <v>0</v>
      </c>
      <c r="D27" s="202">
        <v>0</v>
      </c>
      <c r="E27">
        <f t="shared" si="1"/>
        <v>0</v>
      </c>
      <c r="F27" s="26">
        <f t="shared" si="0"/>
        <v>0</v>
      </c>
    </row>
    <row r="28" spans="1:6" x14ac:dyDescent="0.25">
      <c r="A28" s="200" t="s">
        <v>810</v>
      </c>
      <c r="B28" s="200"/>
      <c r="C28" s="201">
        <v>0</v>
      </c>
      <c r="D28" s="202">
        <v>0</v>
      </c>
      <c r="E28">
        <f t="shared" si="1"/>
        <v>0</v>
      </c>
      <c r="F28" s="26">
        <f t="shared" si="0"/>
        <v>0</v>
      </c>
    </row>
    <row r="29" spans="1:6" x14ac:dyDescent="0.25">
      <c r="A29" s="200" t="s">
        <v>811</v>
      </c>
      <c r="B29" s="200"/>
      <c r="C29" s="201">
        <v>0</v>
      </c>
      <c r="D29" s="202">
        <v>0</v>
      </c>
      <c r="E29">
        <f t="shared" si="1"/>
        <v>0</v>
      </c>
      <c r="F29" s="26">
        <f t="shared" si="0"/>
        <v>0</v>
      </c>
    </row>
    <row r="30" spans="1:6" x14ac:dyDescent="0.25">
      <c r="A30" s="200" t="s">
        <v>812</v>
      </c>
      <c r="B30" s="200"/>
      <c r="C30" s="201">
        <v>0</v>
      </c>
      <c r="D30" s="202">
        <v>0</v>
      </c>
      <c r="E30">
        <f t="shared" si="1"/>
        <v>0</v>
      </c>
      <c r="F30" s="26">
        <f t="shared" si="0"/>
        <v>0</v>
      </c>
    </row>
    <row r="31" spans="1:6" x14ac:dyDescent="0.25">
      <c r="A31" s="200" t="s">
        <v>813</v>
      </c>
      <c r="B31" s="200"/>
      <c r="C31" s="201">
        <v>0</v>
      </c>
      <c r="D31" s="202">
        <v>0</v>
      </c>
      <c r="E31">
        <f t="shared" si="1"/>
        <v>0</v>
      </c>
      <c r="F31" s="26">
        <f t="shared" si="0"/>
        <v>0</v>
      </c>
    </row>
    <row r="32" spans="1:6" x14ac:dyDescent="0.25">
      <c r="A32" s="200" t="s">
        <v>814</v>
      </c>
      <c r="B32" s="200"/>
      <c r="C32" s="201">
        <v>0</v>
      </c>
      <c r="D32" s="202">
        <v>0</v>
      </c>
      <c r="E32">
        <f t="shared" si="1"/>
        <v>0</v>
      </c>
      <c r="F32" s="26">
        <f t="shared" si="0"/>
        <v>0</v>
      </c>
    </row>
    <row r="33" spans="1:6" x14ac:dyDescent="0.25">
      <c r="A33" s="200" t="s">
        <v>815</v>
      </c>
      <c r="B33" s="200"/>
      <c r="C33" s="201">
        <v>0</v>
      </c>
      <c r="D33" s="202">
        <v>0</v>
      </c>
      <c r="E33">
        <f t="shared" si="1"/>
        <v>0</v>
      </c>
      <c r="F33" s="26">
        <f t="shared" si="0"/>
        <v>0</v>
      </c>
    </row>
    <row r="34" spans="1:6" x14ac:dyDescent="0.25">
      <c r="A34" s="200" t="s">
        <v>816</v>
      </c>
      <c r="B34" s="200"/>
      <c r="C34" s="201">
        <v>0</v>
      </c>
      <c r="D34" s="202">
        <v>0</v>
      </c>
      <c r="E34">
        <f t="shared" si="1"/>
        <v>0</v>
      </c>
      <c r="F34" s="26">
        <f t="shared" si="0"/>
        <v>0</v>
      </c>
    </row>
    <row r="35" spans="1:6" x14ac:dyDescent="0.25">
      <c r="A35" s="200" t="s">
        <v>817</v>
      </c>
      <c r="B35" s="200"/>
      <c r="C35" s="201">
        <v>0</v>
      </c>
      <c r="D35" s="202">
        <v>0</v>
      </c>
      <c r="E35">
        <f t="shared" si="1"/>
        <v>0</v>
      </c>
      <c r="F35" s="26">
        <f t="shared" si="0"/>
        <v>0</v>
      </c>
    </row>
    <row r="36" spans="1:6" x14ac:dyDescent="0.25">
      <c r="A36" s="200" t="s">
        <v>818</v>
      </c>
      <c r="B36" s="200"/>
      <c r="C36" s="201">
        <v>0</v>
      </c>
      <c r="D36" s="202">
        <v>0</v>
      </c>
      <c r="E36">
        <f t="shared" si="1"/>
        <v>0</v>
      </c>
      <c r="F36" s="26">
        <f t="shared" si="0"/>
        <v>0</v>
      </c>
    </row>
    <row r="37" spans="1:6" x14ac:dyDescent="0.25">
      <c r="A37" s="200"/>
      <c r="B37" s="200"/>
      <c r="C37" s="201">
        <v>0</v>
      </c>
      <c r="D37" s="202">
        <v>0</v>
      </c>
      <c r="E37">
        <f t="shared" si="1"/>
        <v>0</v>
      </c>
      <c r="F37" s="26">
        <f t="shared" si="0"/>
        <v>0</v>
      </c>
    </row>
    <row r="38" spans="1:6" x14ac:dyDescent="0.25">
      <c r="A38" s="200" t="s">
        <v>819</v>
      </c>
      <c r="B38" s="200"/>
      <c r="C38" s="201">
        <v>0</v>
      </c>
      <c r="D38" s="202">
        <v>0</v>
      </c>
      <c r="E38">
        <f t="shared" si="1"/>
        <v>0</v>
      </c>
      <c r="F38" s="26">
        <f t="shared" si="0"/>
        <v>0</v>
      </c>
    </row>
    <row r="39" spans="1:6" x14ac:dyDescent="0.25">
      <c r="A39" s="200" t="s">
        <v>820</v>
      </c>
      <c r="B39" s="200"/>
      <c r="C39" s="201">
        <v>0</v>
      </c>
      <c r="D39" s="202">
        <v>0</v>
      </c>
      <c r="E39">
        <f t="shared" si="1"/>
        <v>0</v>
      </c>
      <c r="F39" s="26">
        <f t="shared" si="0"/>
        <v>0</v>
      </c>
    </row>
    <row r="40" spans="1:6" x14ac:dyDescent="0.25">
      <c r="A40" s="200" t="s">
        <v>821</v>
      </c>
      <c r="B40" s="200"/>
      <c r="C40" s="201">
        <v>0</v>
      </c>
      <c r="D40" s="202">
        <v>0</v>
      </c>
      <c r="E40">
        <f t="shared" si="1"/>
        <v>0</v>
      </c>
      <c r="F40" s="26">
        <f t="shared" si="0"/>
        <v>0</v>
      </c>
    </row>
    <row r="41" spans="1:6" x14ac:dyDescent="0.25">
      <c r="A41" s="200" t="s">
        <v>822</v>
      </c>
      <c r="B41" s="200"/>
      <c r="C41" s="201">
        <v>0</v>
      </c>
      <c r="D41" s="202">
        <v>0</v>
      </c>
      <c r="E41">
        <f t="shared" si="1"/>
        <v>0</v>
      </c>
      <c r="F41" s="26">
        <f t="shared" si="0"/>
        <v>0</v>
      </c>
    </row>
    <row r="42" spans="1:6" x14ac:dyDescent="0.25">
      <c r="A42" s="200"/>
      <c r="B42" s="200"/>
      <c r="C42" s="201">
        <v>0</v>
      </c>
      <c r="D42" s="202">
        <v>0</v>
      </c>
      <c r="E42">
        <f t="shared" si="1"/>
        <v>0</v>
      </c>
      <c r="F42" s="26">
        <f t="shared" si="0"/>
        <v>0</v>
      </c>
    </row>
    <row r="43" spans="1:6" x14ac:dyDescent="0.25">
      <c r="A43" s="200" t="s">
        <v>823</v>
      </c>
      <c r="B43" s="200"/>
      <c r="C43" s="201">
        <v>0</v>
      </c>
      <c r="D43" s="202">
        <v>0</v>
      </c>
      <c r="E43">
        <f t="shared" ref="E43:E57" si="2">+C43*D43</f>
        <v>0</v>
      </c>
      <c r="F43" s="26">
        <f t="shared" si="0"/>
        <v>0</v>
      </c>
    </row>
    <row r="44" spans="1:6" x14ac:dyDescent="0.25">
      <c r="A44" s="200" t="s">
        <v>824</v>
      </c>
      <c r="B44" s="200"/>
      <c r="C44" s="201">
        <v>0</v>
      </c>
      <c r="D44" s="202">
        <v>0</v>
      </c>
      <c r="E44">
        <f t="shared" si="2"/>
        <v>0</v>
      </c>
      <c r="F44" s="26">
        <f t="shared" si="0"/>
        <v>0</v>
      </c>
    </row>
    <row r="45" spans="1:6" x14ac:dyDescent="0.25">
      <c r="A45" s="200" t="s">
        <v>825</v>
      </c>
      <c r="B45" s="200">
        <v>6973242570225</v>
      </c>
      <c r="C45" s="201">
        <v>0</v>
      </c>
      <c r="D45" s="202">
        <v>49.97</v>
      </c>
      <c r="E45">
        <f t="shared" si="2"/>
        <v>0</v>
      </c>
      <c r="F45" s="26">
        <f>+E45*0.0725</f>
        <v>0</v>
      </c>
    </row>
    <row r="46" spans="1:6" x14ac:dyDescent="0.25">
      <c r="A46" s="200" t="s">
        <v>826</v>
      </c>
      <c r="B46" s="200"/>
      <c r="C46" s="201">
        <v>0</v>
      </c>
      <c r="D46" s="202">
        <v>69.989999999999995</v>
      </c>
      <c r="E46">
        <f t="shared" si="2"/>
        <v>0</v>
      </c>
      <c r="F46" s="26">
        <f t="shared" ref="F46:F60" si="3">+E46*0.0725</f>
        <v>0</v>
      </c>
    </row>
    <row r="47" spans="1:6" x14ac:dyDescent="0.25">
      <c r="A47" s="200"/>
      <c r="B47" s="200"/>
      <c r="C47" s="201">
        <v>0</v>
      </c>
      <c r="D47" s="202">
        <v>0</v>
      </c>
      <c r="E47">
        <f t="shared" si="2"/>
        <v>0</v>
      </c>
      <c r="F47" s="26">
        <f t="shared" si="3"/>
        <v>0</v>
      </c>
    </row>
    <row r="48" spans="1:6" x14ac:dyDescent="0.25">
      <c r="A48" s="200"/>
      <c r="B48" s="200"/>
      <c r="C48" s="201">
        <v>0</v>
      </c>
      <c r="D48" s="202">
        <v>0</v>
      </c>
      <c r="E48">
        <f t="shared" si="2"/>
        <v>0</v>
      </c>
      <c r="F48" s="26">
        <f t="shared" si="3"/>
        <v>0</v>
      </c>
    </row>
    <row r="49" spans="1:7" x14ac:dyDescent="0.25">
      <c r="A49" s="200"/>
      <c r="B49" s="200"/>
      <c r="C49" s="201">
        <v>0</v>
      </c>
      <c r="D49" s="202">
        <v>0</v>
      </c>
      <c r="E49">
        <f t="shared" si="2"/>
        <v>0</v>
      </c>
      <c r="F49" s="26">
        <f t="shared" si="3"/>
        <v>0</v>
      </c>
    </row>
    <row r="50" spans="1:7" x14ac:dyDescent="0.25">
      <c r="A50" s="200"/>
      <c r="B50" s="200"/>
      <c r="C50" s="201">
        <v>0</v>
      </c>
      <c r="D50" s="202">
        <v>0</v>
      </c>
      <c r="E50">
        <f t="shared" si="2"/>
        <v>0</v>
      </c>
      <c r="F50" s="26">
        <f t="shared" si="3"/>
        <v>0</v>
      </c>
    </row>
    <row r="51" spans="1:7" x14ac:dyDescent="0.25">
      <c r="A51" s="200"/>
      <c r="B51" s="200"/>
      <c r="C51" s="201">
        <v>0</v>
      </c>
      <c r="D51" s="202">
        <v>0</v>
      </c>
      <c r="E51">
        <f t="shared" si="2"/>
        <v>0</v>
      </c>
      <c r="F51" s="26">
        <f t="shared" si="3"/>
        <v>0</v>
      </c>
    </row>
    <row r="52" spans="1:7" x14ac:dyDescent="0.25">
      <c r="A52" s="200"/>
      <c r="B52" s="200"/>
      <c r="C52" s="201">
        <v>0</v>
      </c>
      <c r="D52" s="202">
        <v>0</v>
      </c>
      <c r="E52">
        <f t="shared" si="2"/>
        <v>0</v>
      </c>
      <c r="F52" s="26">
        <f t="shared" si="3"/>
        <v>0</v>
      </c>
    </row>
    <row r="53" spans="1:7" x14ac:dyDescent="0.25">
      <c r="A53" s="200"/>
      <c r="B53" s="200"/>
      <c r="C53" s="201">
        <v>0</v>
      </c>
      <c r="D53" s="202">
        <v>0</v>
      </c>
      <c r="E53">
        <f t="shared" si="2"/>
        <v>0</v>
      </c>
      <c r="F53" s="26">
        <f t="shared" si="3"/>
        <v>0</v>
      </c>
    </row>
    <row r="54" spans="1:7" x14ac:dyDescent="0.25">
      <c r="A54" s="200"/>
      <c r="B54" s="200"/>
      <c r="C54" s="201">
        <v>0</v>
      </c>
      <c r="D54" s="202">
        <v>0</v>
      </c>
      <c r="E54">
        <f t="shared" si="2"/>
        <v>0</v>
      </c>
      <c r="F54" s="26">
        <f t="shared" si="3"/>
        <v>0</v>
      </c>
    </row>
    <row r="55" spans="1:7" x14ac:dyDescent="0.25">
      <c r="A55" s="200"/>
      <c r="B55" s="200"/>
      <c r="C55" s="201">
        <v>0</v>
      </c>
      <c r="D55" s="202">
        <v>0</v>
      </c>
      <c r="E55">
        <f t="shared" si="2"/>
        <v>0</v>
      </c>
      <c r="F55" s="26">
        <f t="shared" si="3"/>
        <v>0</v>
      </c>
    </row>
    <row r="56" spans="1:7" x14ac:dyDescent="0.25">
      <c r="A56" s="200"/>
      <c r="B56" s="200"/>
      <c r="C56" s="201">
        <v>0</v>
      </c>
      <c r="D56" s="202">
        <v>0</v>
      </c>
      <c r="E56">
        <f t="shared" si="2"/>
        <v>0</v>
      </c>
      <c r="F56" s="26">
        <f t="shared" si="3"/>
        <v>0</v>
      </c>
    </row>
    <row r="57" spans="1:7" x14ac:dyDescent="0.25">
      <c r="A57" s="200"/>
      <c r="B57" s="200"/>
      <c r="C57" s="201">
        <v>0</v>
      </c>
      <c r="D57" s="202">
        <v>0</v>
      </c>
      <c r="E57">
        <f t="shared" si="2"/>
        <v>0</v>
      </c>
      <c r="F57" s="26">
        <f t="shared" si="3"/>
        <v>0</v>
      </c>
    </row>
    <row r="58" spans="1:7" x14ac:dyDescent="0.25">
      <c r="A58" s="200"/>
      <c r="B58" s="200"/>
      <c r="C58" s="201">
        <v>0</v>
      </c>
      <c r="D58" s="202">
        <v>0</v>
      </c>
      <c r="E58">
        <f t="shared" si="1"/>
        <v>0</v>
      </c>
      <c r="F58" s="26">
        <f t="shared" si="3"/>
        <v>0</v>
      </c>
    </row>
    <row r="59" spans="1:7" x14ac:dyDescent="0.25">
      <c r="A59" s="200" t="s">
        <v>827</v>
      </c>
      <c r="B59" s="200"/>
      <c r="C59" s="201">
        <v>0</v>
      </c>
      <c r="D59" s="202">
        <v>0</v>
      </c>
      <c r="E59">
        <f t="shared" si="1"/>
        <v>0</v>
      </c>
      <c r="F59" s="26">
        <f t="shared" si="3"/>
        <v>0</v>
      </c>
    </row>
    <row r="60" spans="1:7" x14ac:dyDescent="0.25">
      <c r="A60" s="199"/>
      <c r="B60" s="200"/>
      <c r="C60" s="201">
        <v>0</v>
      </c>
      <c r="D60" s="202">
        <v>0</v>
      </c>
      <c r="E60">
        <f t="shared" si="1"/>
        <v>0</v>
      </c>
      <c r="F60" s="26">
        <f t="shared" si="3"/>
        <v>0</v>
      </c>
    </row>
    <row r="61" spans="1:7" ht="15.75" thickBot="1" x14ac:dyDescent="0.3">
      <c r="A61" s="199"/>
      <c r="B61" s="200"/>
      <c r="C61" s="201">
        <v>0</v>
      </c>
      <c r="D61" s="202">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E14" sqref="E14"/>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768</v>
      </c>
      <c r="B1" s="3" t="s">
        <v>111</v>
      </c>
      <c r="C1" s="13" t="s">
        <v>769</v>
      </c>
      <c r="D1" s="3" t="s">
        <v>770</v>
      </c>
      <c r="E1" s="13" t="s">
        <v>771</v>
      </c>
      <c r="F1" s="3" t="s">
        <v>772</v>
      </c>
    </row>
    <row r="2" spans="1:10" ht="15.75" thickBot="1" x14ac:dyDescent="0.3">
      <c r="A2" s="459" t="s">
        <v>828</v>
      </c>
      <c r="B2" s="460"/>
      <c r="C2" s="461"/>
      <c r="D2" s="460"/>
      <c r="E2" s="461"/>
      <c r="F2" s="461">
        <v>0</v>
      </c>
    </row>
    <row r="3" spans="1:10" x14ac:dyDescent="0.25">
      <c r="A3" s="459" t="s">
        <v>829</v>
      </c>
      <c r="B3" s="462"/>
      <c r="C3" s="461" t="s">
        <v>830</v>
      </c>
      <c r="D3" s="460">
        <v>1</v>
      </c>
      <c r="E3" s="461">
        <v>100</v>
      </c>
      <c r="F3" s="461">
        <f>IF($I$3="Yes",+D3*E3,0)</f>
        <v>0</v>
      </c>
      <c r="H3" s="942" t="s">
        <v>8</v>
      </c>
      <c r="I3" s="942" t="str">
        <f>IF(Profit!$Q$6,IF(J3,"Yes","N0"),"no")</f>
        <v>N0</v>
      </c>
      <c r="J3" s="946" t="b">
        <v>0</v>
      </c>
    </row>
    <row r="4" spans="1:10" ht="15.75" thickBot="1" x14ac:dyDescent="0.3">
      <c r="A4" s="459" t="s">
        <v>829</v>
      </c>
      <c r="B4" s="463"/>
      <c r="C4" s="461" t="s">
        <v>831</v>
      </c>
      <c r="D4" s="460">
        <v>3</v>
      </c>
      <c r="E4" s="461">
        <v>325</v>
      </c>
      <c r="F4" s="461">
        <f t="shared" ref="F4:F5" si="0">IF($I$3="Yes",+D4*E4,0)</f>
        <v>0</v>
      </c>
      <c r="H4" s="943"/>
      <c r="I4" s="943"/>
      <c r="J4" s="947"/>
    </row>
    <row r="5" spans="1:10" x14ac:dyDescent="0.25">
      <c r="A5" s="459" t="s">
        <v>829</v>
      </c>
      <c r="B5" s="460"/>
      <c r="C5" s="461" t="s">
        <v>832</v>
      </c>
      <c r="D5" s="460">
        <v>0</v>
      </c>
      <c r="E5" s="461">
        <v>104</v>
      </c>
      <c r="F5" s="461">
        <f t="shared" si="0"/>
        <v>0</v>
      </c>
      <c r="G5">
        <f>IF(I3="yes",+SUM(F2:F5),0)</f>
        <v>0</v>
      </c>
    </row>
    <row r="6" spans="1:10" s="22" customFormat="1" x14ac:dyDescent="0.25">
      <c r="A6" s="154" t="s">
        <v>829</v>
      </c>
      <c r="B6" s="499">
        <v>45925</v>
      </c>
      <c r="C6" s="500" t="s">
        <v>830</v>
      </c>
      <c r="D6" s="280">
        <v>1</v>
      </c>
      <c r="E6" s="500">
        <v>100</v>
      </c>
      <c r="F6" s="500">
        <f>IF($I$3="Yes",0,+D6*E6)</f>
        <v>100</v>
      </c>
      <c r="G6"/>
    </row>
    <row r="7" spans="1:10" x14ac:dyDescent="0.25">
      <c r="A7" s="154" t="s">
        <v>829</v>
      </c>
      <c r="B7" s="501">
        <v>45933</v>
      </c>
      <c r="C7" s="500" t="s">
        <v>833</v>
      </c>
      <c r="D7" s="280">
        <v>1</v>
      </c>
      <c r="E7" s="500">
        <v>325</v>
      </c>
      <c r="F7" s="500">
        <f t="shared" ref="F7:F19" si="1">IF($I$3="Yes",0,+D7*E7)</f>
        <v>325</v>
      </c>
    </row>
    <row r="8" spans="1:10" x14ac:dyDescent="0.25">
      <c r="A8" s="154" t="s">
        <v>829</v>
      </c>
      <c r="B8" s="501">
        <v>45933</v>
      </c>
      <c r="C8" s="500" t="s">
        <v>834</v>
      </c>
      <c r="D8" s="280">
        <v>1</v>
      </c>
      <c r="E8" s="500">
        <v>325</v>
      </c>
      <c r="F8" s="500">
        <f t="shared" si="1"/>
        <v>325</v>
      </c>
    </row>
    <row r="9" spans="1:10" x14ac:dyDescent="0.25">
      <c r="A9" s="154" t="s">
        <v>829</v>
      </c>
      <c r="B9" s="499">
        <v>45961</v>
      </c>
      <c r="C9" s="500" t="s">
        <v>835</v>
      </c>
      <c r="D9" s="280">
        <v>1</v>
      </c>
      <c r="E9" s="500">
        <v>5</v>
      </c>
      <c r="F9" s="500">
        <f t="shared" si="1"/>
        <v>5</v>
      </c>
    </row>
    <row r="10" spans="1:10" x14ac:dyDescent="0.25">
      <c r="A10" s="154" t="s">
        <v>829</v>
      </c>
      <c r="B10" s="499">
        <v>45991</v>
      </c>
      <c r="C10" s="500" t="s">
        <v>835</v>
      </c>
      <c r="D10" s="280">
        <v>1</v>
      </c>
      <c r="E10" s="500">
        <v>37.5</v>
      </c>
      <c r="F10" s="500">
        <f t="shared" si="1"/>
        <v>37.5</v>
      </c>
    </row>
    <row r="11" spans="1:10" x14ac:dyDescent="0.25">
      <c r="A11" s="154" t="s">
        <v>829</v>
      </c>
      <c r="B11" s="499">
        <v>46069</v>
      </c>
      <c r="C11" s="500" t="s">
        <v>836</v>
      </c>
      <c r="D11" s="280">
        <v>1</v>
      </c>
      <c r="E11" s="500">
        <v>347.75</v>
      </c>
      <c r="F11" s="500">
        <f t="shared" si="1"/>
        <v>347.75</v>
      </c>
    </row>
    <row r="12" spans="1:10" x14ac:dyDescent="0.25">
      <c r="A12" s="154" t="s">
        <v>837</v>
      </c>
      <c r="B12" s="501">
        <v>46090</v>
      </c>
      <c r="C12" s="500" t="s">
        <v>838</v>
      </c>
      <c r="D12" s="280">
        <v>1</v>
      </c>
      <c r="E12" s="500">
        <v>170</v>
      </c>
      <c r="F12" s="500">
        <f t="shared" si="1"/>
        <v>170</v>
      </c>
    </row>
    <row r="13" spans="1:10" x14ac:dyDescent="0.25">
      <c r="A13" s="154" t="s">
        <v>837</v>
      </c>
      <c r="B13" s="501">
        <v>46117</v>
      </c>
      <c r="C13" s="500" t="s">
        <v>1143</v>
      </c>
      <c r="D13" s="280">
        <v>1</v>
      </c>
      <c r="E13" s="500">
        <v>300</v>
      </c>
      <c r="F13" s="500">
        <f t="shared" ref="F13" si="2">IF($I$3="Yes",0,+D13*E13)</f>
        <v>300</v>
      </c>
    </row>
    <row r="14" spans="1:10" x14ac:dyDescent="0.25">
      <c r="A14" s="154" t="s">
        <v>829</v>
      </c>
      <c r="B14" s="501"/>
      <c r="C14" s="500" t="s">
        <v>839</v>
      </c>
      <c r="D14" s="280">
        <v>0</v>
      </c>
      <c r="E14" s="500">
        <v>472</v>
      </c>
      <c r="F14" s="500">
        <f t="shared" si="1"/>
        <v>0</v>
      </c>
    </row>
    <row r="15" spans="1:10" x14ac:dyDescent="0.25">
      <c r="A15" s="154" t="s">
        <v>840</v>
      </c>
      <c r="B15" s="501">
        <v>45939</v>
      </c>
      <c r="C15" s="500" t="s">
        <v>841</v>
      </c>
      <c r="D15" s="280">
        <v>1</v>
      </c>
      <c r="E15" s="500">
        <v>4951.47</v>
      </c>
      <c r="F15" s="500">
        <f t="shared" si="1"/>
        <v>4951.47</v>
      </c>
    </row>
    <row r="16" spans="1:10" x14ac:dyDescent="0.25">
      <c r="A16" s="154" t="s">
        <v>842</v>
      </c>
      <c r="B16" s="501"/>
      <c r="C16" s="154" t="s">
        <v>843</v>
      </c>
      <c r="D16" s="280">
        <v>0</v>
      </c>
      <c r="E16" s="500">
        <v>300</v>
      </c>
      <c r="F16" s="500">
        <f t="shared" si="1"/>
        <v>0</v>
      </c>
    </row>
    <row r="17" spans="1:10" x14ac:dyDescent="0.25">
      <c r="A17" s="154" t="s">
        <v>844</v>
      </c>
      <c r="B17" s="502"/>
      <c r="C17" s="154" t="s">
        <v>845</v>
      </c>
      <c r="D17" s="280">
        <v>0</v>
      </c>
      <c r="E17" s="500">
        <v>450</v>
      </c>
      <c r="F17" s="500">
        <f t="shared" si="1"/>
        <v>0</v>
      </c>
    </row>
    <row r="18" spans="1:10" x14ac:dyDescent="0.25">
      <c r="A18" s="154" t="s">
        <v>844</v>
      </c>
      <c r="B18" s="501"/>
      <c r="C18" s="500" t="s">
        <v>846</v>
      </c>
      <c r="D18" s="280">
        <v>0</v>
      </c>
      <c r="E18" s="500">
        <v>100</v>
      </c>
      <c r="F18" s="500">
        <f t="shared" si="1"/>
        <v>0</v>
      </c>
      <c r="I18" s="3"/>
    </row>
    <row r="19" spans="1:10" x14ac:dyDescent="0.25">
      <c r="A19" s="154" t="s">
        <v>844</v>
      </c>
      <c r="B19" s="501"/>
      <c r="C19" s="500" t="s">
        <v>847</v>
      </c>
      <c r="D19" s="280">
        <v>0</v>
      </c>
      <c r="E19" s="500">
        <v>150</v>
      </c>
      <c r="F19" s="500">
        <f t="shared" si="1"/>
        <v>0</v>
      </c>
      <c r="I19" s="3"/>
    </row>
    <row r="20" spans="1:10" x14ac:dyDescent="0.25">
      <c r="B20" s="191"/>
      <c r="C20" s="14"/>
      <c r="D20"/>
      <c r="E20" s="14"/>
      <c r="F20" s="14"/>
      <c r="G20">
        <f>IF(I4="yes",0,+SUM(F6:F19))</f>
        <v>6561.72</v>
      </c>
      <c r="I20" s="3"/>
    </row>
    <row r="21" spans="1:10" x14ac:dyDescent="0.25">
      <c r="B21" s="191"/>
      <c r="C21" s="14"/>
      <c r="D21"/>
      <c r="E21" s="14"/>
      <c r="F21" s="14"/>
      <c r="I21" s="3"/>
    </row>
    <row r="22" spans="1:10" x14ac:dyDescent="0.25">
      <c r="B22" s="191"/>
      <c r="C22" s="14"/>
      <c r="D22"/>
      <c r="E22" s="14"/>
      <c r="F22" s="14"/>
      <c r="I22" s="3"/>
    </row>
    <row r="23" spans="1:10" ht="15.75" thickBot="1" x14ac:dyDescent="0.3">
      <c r="B23"/>
      <c r="C23" s="14"/>
      <c r="D23"/>
      <c r="E23" s="14"/>
      <c r="F23" s="23"/>
      <c r="G23" s="23"/>
    </row>
    <row r="24" spans="1:10" x14ac:dyDescent="0.25">
      <c r="B24"/>
      <c r="C24" s="14"/>
      <c r="D24"/>
      <c r="E24" s="14"/>
      <c r="F24" s="14"/>
      <c r="G24" s="5">
        <f>+SUM(G2:G23)</f>
        <v>6561.72</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G26" sqref="G26"/>
    </sheetView>
  </sheetViews>
  <sheetFormatPr defaultRowHeight="15" x14ac:dyDescent="0.25"/>
  <cols>
    <col min="1" max="1" width="9.7109375" bestFit="1" customWidth="1"/>
    <col min="2" max="2" width="51.28515625" bestFit="1" customWidth="1"/>
    <col min="3" max="3" width="11" bestFit="1" customWidth="1"/>
    <col min="10" max="10" width="19.28515625" bestFit="1" customWidth="1"/>
  </cols>
  <sheetData>
    <row r="1" spans="1:12" x14ac:dyDescent="0.25">
      <c r="B1" s="3" t="s">
        <v>848</v>
      </c>
      <c r="C1" s="3"/>
      <c r="E1" s="5"/>
      <c r="F1" s="14"/>
      <c r="G1" s="14"/>
      <c r="H1" s="14"/>
    </row>
    <row r="2" spans="1:12" x14ac:dyDescent="0.25">
      <c r="B2" s="2"/>
      <c r="C2" s="2"/>
      <c r="D2" s="3"/>
      <c r="E2" s="8"/>
      <c r="F2" s="13"/>
      <c r="G2" s="13"/>
      <c r="H2" s="13"/>
    </row>
    <row r="3" spans="1:12" ht="15.75" thickBot="1" x14ac:dyDescent="0.3">
      <c r="A3" t="s">
        <v>111</v>
      </c>
      <c r="B3" s="3" t="s">
        <v>720</v>
      </c>
      <c r="C3" s="3" t="s">
        <v>849</v>
      </c>
      <c r="D3" s="3" t="s">
        <v>788</v>
      </c>
      <c r="E3" s="8" t="s">
        <v>789</v>
      </c>
      <c r="F3" s="13" t="s">
        <v>790</v>
      </c>
      <c r="G3" s="13" t="s">
        <v>679</v>
      </c>
      <c r="H3" s="13" t="s">
        <v>791</v>
      </c>
    </row>
    <row r="4" spans="1:12" x14ac:dyDescent="0.25">
      <c r="B4" s="464" t="s">
        <v>850</v>
      </c>
      <c r="C4" s="464"/>
      <c r="D4" s="464"/>
      <c r="E4" s="465"/>
      <c r="F4" s="466"/>
      <c r="G4" s="466"/>
      <c r="H4" s="466"/>
      <c r="J4" s="942" t="s">
        <v>8</v>
      </c>
      <c r="K4" s="942" t="str">
        <f>IF(Profit!$Q$6,IF(L4,"Yes","N0"),"no")</f>
        <v>N0</v>
      </c>
      <c r="L4" s="946" t="b">
        <v>0</v>
      </c>
    </row>
    <row r="5" spans="1:12" ht="15.75" thickBot="1" x14ac:dyDescent="0.3">
      <c r="B5" s="459" t="s">
        <v>851</v>
      </c>
      <c r="C5" s="459">
        <v>977057</v>
      </c>
      <c r="D5" s="460">
        <v>1</v>
      </c>
      <c r="E5" s="467">
        <v>149</v>
      </c>
      <c r="F5" s="461">
        <f>+D5*E5</f>
        <v>149</v>
      </c>
      <c r="G5" s="468">
        <f>+F5*0.0725</f>
        <v>10.802499999999998</v>
      </c>
      <c r="H5" s="466"/>
      <c r="J5" s="943"/>
      <c r="K5" s="943"/>
      <c r="L5" s="947"/>
    </row>
    <row r="6" spans="1:12" x14ac:dyDescent="0.25">
      <c r="B6" s="459" t="s">
        <v>852</v>
      </c>
      <c r="C6" s="459">
        <v>3648606</v>
      </c>
      <c r="D6" s="460">
        <v>1</v>
      </c>
      <c r="E6" s="467">
        <v>700</v>
      </c>
      <c r="F6" s="461">
        <f>+D6*E6</f>
        <v>700</v>
      </c>
      <c r="G6" s="468">
        <f t="shared" ref="G6" si="0">+F6*0.0725</f>
        <v>50.75</v>
      </c>
      <c r="H6" s="466"/>
    </row>
    <row r="7" spans="1:12" ht="15.75" thickBot="1" x14ac:dyDescent="0.3">
      <c r="B7" s="459" t="s">
        <v>853</v>
      </c>
      <c r="C7" s="459">
        <v>1654366</v>
      </c>
      <c r="D7" s="460">
        <v>1</v>
      </c>
      <c r="E7" s="467">
        <v>450</v>
      </c>
      <c r="F7" s="461">
        <f>+D7*E7</f>
        <v>450</v>
      </c>
      <c r="G7" s="468">
        <f t="shared" ref="G7" si="1">+F7*0.0725</f>
        <v>32.625</v>
      </c>
      <c r="H7" s="469"/>
    </row>
    <row r="8" spans="1:12" x14ac:dyDescent="0.25">
      <c r="B8" s="464"/>
      <c r="C8" s="464"/>
      <c r="D8" s="464"/>
      <c r="E8" s="251" t="s">
        <v>854</v>
      </c>
      <c r="F8" s="461"/>
      <c r="G8" s="461"/>
      <c r="H8" s="461">
        <f>IF(K4="yes",+SUM(F5:F7)+SUM(G5:G7),0)</f>
        <v>0</v>
      </c>
    </row>
    <row r="9" spans="1:12" x14ac:dyDescent="0.25">
      <c r="B9" s="154" t="s">
        <v>855</v>
      </c>
      <c r="C9" s="154">
        <v>977057</v>
      </c>
      <c r="D9" s="280">
        <v>0</v>
      </c>
      <c r="E9" s="266">
        <v>149</v>
      </c>
      <c r="F9" s="14">
        <f>+D9*E9</f>
        <v>0</v>
      </c>
      <c r="G9" s="26">
        <f>+F9*0.0725</f>
        <v>0</v>
      </c>
      <c r="H9" s="13"/>
    </row>
    <row r="10" spans="1:12" x14ac:dyDescent="0.25">
      <c r="B10" s="154" t="s">
        <v>856</v>
      </c>
      <c r="C10" s="154"/>
      <c r="D10" s="280">
        <v>0</v>
      </c>
      <c r="E10" s="266">
        <v>400</v>
      </c>
      <c r="F10" s="14">
        <f>+D10*E10</f>
        <v>0</v>
      </c>
      <c r="G10" s="26">
        <f>+F10*0.0725</f>
        <v>0</v>
      </c>
      <c r="H10" s="14"/>
    </row>
    <row r="11" spans="1:12" x14ac:dyDescent="0.25">
      <c r="B11" s="154" t="s">
        <v>857</v>
      </c>
      <c r="C11" s="154">
        <v>1008246199</v>
      </c>
      <c r="D11" s="280">
        <v>0</v>
      </c>
      <c r="E11" s="266">
        <v>448</v>
      </c>
      <c r="F11" s="14">
        <f>+D11*E11</f>
        <v>0</v>
      </c>
      <c r="G11" s="26">
        <f>+F11*0.0725</f>
        <v>0</v>
      </c>
      <c r="H11" s="14"/>
    </row>
    <row r="12" spans="1:12" ht="15.75" thickBot="1" x14ac:dyDescent="0.3">
      <c r="B12" s="154" t="s">
        <v>858</v>
      </c>
      <c r="C12" s="154">
        <v>205954</v>
      </c>
      <c r="D12" s="280">
        <v>0</v>
      </c>
      <c r="E12" s="266">
        <v>0</v>
      </c>
      <c r="F12" s="21"/>
      <c r="G12" s="21"/>
      <c r="H12" s="21"/>
    </row>
    <row r="13" spans="1:12" x14ac:dyDescent="0.25">
      <c r="B13" s="154"/>
      <c r="C13" s="154"/>
      <c r="D13" s="280"/>
      <c r="E13" s="281" t="s">
        <v>859</v>
      </c>
      <c r="F13" s="14"/>
      <c r="G13" s="14"/>
      <c r="H13" s="14">
        <f>IF(K4="yes",0,+SUM(F9:F12)+SUM(G9:G12))</f>
        <v>0</v>
      </c>
    </row>
    <row r="14" spans="1:12" x14ac:dyDescent="0.25">
      <c r="B14" s="154" t="s">
        <v>860</v>
      </c>
      <c r="C14" s="154">
        <v>206436</v>
      </c>
      <c r="D14" s="280">
        <v>0</v>
      </c>
      <c r="E14" s="281">
        <v>12.98</v>
      </c>
      <c r="F14" s="14">
        <v>0</v>
      </c>
      <c r="G14" s="26">
        <f>+F14*0.0725</f>
        <v>0</v>
      </c>
      <c r="H14" s="14">
        <v>0</v>
      </c>
    </row>
    <row r="15" spans="1:12" x14ac:dyDescent="0.25">
      <c r="B15" s="154" t="s">
        <v>861</v>
      </c>
      <c r="C15" s="154">
        <v>1006760329</v>
      </c>
      <c r="D15" s="280">
        <v>0</v>
      </c>
      <c r="E15" s="266">
        <v>698</v>
      </c>
      <c r="F15" s="14" t="s">
        <v>347</v>
      </c>
      <c r="G15" s="14"/>
      <c r="H15" s="14"/>
    </row>
    <row r="16" spans="1:12" x14ac:dyDescent="0.25">
      <c r="A16" s="191">
        <v>45990</v>
      </c>
      <c r="B16" s="154" t="s">
        <v>862</v>
      </c>
      <c r="C16" s="154">
        <v>1630551</v>
      </c>
      <c r="D16" s="280">
        <v>1</v>
      </c>
      <c r="E16" s="266">
        <v>200</v>
      </c>
      <c r="F16" s="14">
        <f>+D16*E16</f>
        <v>200</v>
      </c>
      <c r="G16" s="26"/>
      <c r="H16" s="14"/>
    </row>
    <row r="17" spans="1:9" x14ac:dyDescent="0.25">
      <c r="A17" s="191">
        <v>45990</v>
      </c>
      <c r="B17" s="154" t="s">
        <v>863</v>
      </c>
      <c r="C17" s="154">
        <v>3648606</v>
      </c>
      <c r="D17" s="280">
        <v>1</v>
      </c>
      <c r="E17" s="266">
        <v>200</v>
      </c>
      <c r="F17" s="14">
        <f>+D17*E17</f>
        <v>200</v>
      </c>
      <c r="G17" s="26"/>
      <c r="H17" s="14"/>
    </row>
    <row r="18" spans="1:9" x14ac:dyDescent="0.25">
      <c r="A18" s="191">
        <v>45990</v>
      </c>
      <c r="B18" s="154" t="s">
        <v>864</v>
      </c>
      <c r="C18" s="154">
        <v>1654366</v>
      </c>
      <c r="D18" s="280">
        <v>1</v>
      </c>
      <c r="E18" s="266">
        <v>350</v>
      </c>
      <c r="F18" s="14">
        <f>+D18*E18</f>
        <v>350</v>
      </c>
      <c r="G18" s="26"/>
      <c r="H18" s="14"/>
    </row>
    <row r="19" spans="1:9" x14ac:dyDescent="0.25">
      <c r="B19" s="154" t="s">
        <v>865</v>
      </c>
      <c r="C19" s="154">
        <v>118694</v>
      </c>
      <c r="D19" s="280">
        <v>0</v>
      </c>
      <c r="E19" s="266">
        <v>39.28</v>
      </c>
      <c r="F19" s="14">
        <f>+D19*E19</f>
        <v>0</v>
      </c>
      <c r="G19" s="26">
        <f t="shared" ref="G19:G29" si="2">+F19*0.0725</f>
        <v>0</v>
      </c>
      <c r="H19" s="14"/>
    </row>
    <row r="20" spans="1:9" x14ac:dyDescent="0.25">
      <c r="B20" s="154" t="s">
        <v>866</v>
      </c>
      <c r="C20" s="282"/>
      <c r="D20" s="280">
        <v>0</v>
      </c>
      <c r="E20" s="266">
        <v>189</v>
      </c>
      <c r="F20" s="14">
        <f>+D20*E20</f>
        <v>0</v>
      </c>
      <c r="G20" s="26">
        <f t="shared" si="2"/>
        <v>0</v>
      </c>
      <c r="H20" s="14"/>
    </row>
    <row r="21" spans="1:9" x14ac:dyDescent="0.25">
      <c r="B21" s="154" t="s">
        <v>867</v>
      </c>
      <c r="C21" s="282">
        <v>206332</v>
      </c>
      <c r="D21" s="280">
        <v>0</v>
      </c>
      <c r="E21" s="266">
        <v>32.85</v>
      </c>
      <c r="F21" s="14" t="s">
        <v>347</v>
      </c>
      <c r="G21" s="26"/>
      <c r="H21" s="14"/>
    </row>
    <row r="22" spans="1:9" x14ac:dyDescent="0.25">
      <c r="B22" s="154" t="s">
        <v>868</v>
      </c>
      <c r="C22" s="282"/>
      <c r="D22" s="280">
        <v>0</v>
      </c>
      <c r="E22" s="266">
        <v>169</v>
      </c>
      <c r="F22" s="14">
        <f t="shared" ref="F22:F29" si="3">+D22*E22</f>
        <v>0</v>
      </c>
      <c r="G22" s="26">
        <f t="shared" si="2"/>
        <v>0</v>
      </c>
      <c r="H22" s="14"/>
    </row>
    <row r="23" spans="1:9" x14ac:dyDescent="0.25">
      <c r="B23" s="282" t="s">
        <v>869</v>
      </c>
      <c r="C23" s="282">
        <v>1692925</v>
      </c>
      <c r="D23" s="280">
        <v>0</v>
      </c>
      <c r="E23" s="266">
        <v>170.39</v>
      </c>
      <c r="F23" s="14">
        <f t="shared" si="3"/>
        <v>0</v>
      </c>
      <c r="G23" s="26">
        <f t="shared" si="2"/>
        <v>0</v>
      </c>
      <c r="H23" s="14"/>
    </row>
    <row r="24" spans="1:9" x14ac:dyDescent="0.25">
      <c r="B24" s="282" t="s">
        <v>870</v>
      </c>
      <c r="C24" s="282"/>
      <c r="D24" s="280">
        <v>0</v>
      </c>
      <c r="E24" s="266">
        <v>900</v>
      </c>
      <c r="F24" s="14">
        <f t="shared" si="3"/>
        <v>0</v>
      </c>
      <c r="G24" s="26">
        <f>+F24*0.0725</f>
        <v>0</v>
      </c>
      <c r="H24" s="14"/>
    </row>
    <row r="25" spans="1:9" x14ac:dyDescent="0.25">
      <c r="B25" s="282" t="s">
        <v>871</v>
      </c>
      <c r="C25" s="282"/>
      <c r="D25" s="280">
        <v>0</v>
      </c>
      <c r="E25" s="266">
        <v>900</v>
      </c>
      <c r="F25" s="14">
        <f t="shared" si="3"/>
        <v>0</v>
      </c>
      <c r="G25" s="26">
        <f>+F25*0.0725</f>
        <v>0</v>
      </c>
      <c r="H25" s="14"/>
    </row>
    <row r="26" spans="1:9" x14ac:dyDescent="0.25">
      <c r="A26" s="12">
        <v>45999</v>
      </c>
      <c r="B26" s="282" t="s">
        <v>872</v>
      </c>
      <c r="C26" s="282"/>
      <c r="D26" s="280">
        <v>3</v>
      </c>
      <c r="E26" s="266">
        <v>62.5</v>
      </c>
      <c r="F26" s="14">
        <f t="shared" si="3"/>
        <v>187.5</v>
      </c>
      <c r="G26" s="26"/>
      <c r="H26" s="14"/>
    </row>
    <row r="27" spans="1:9" x14ac:dyDescent="0.25">
      <c r="B27" s="282"/>
      <c r="C27" s="282"/>
      <c r="D27" s="280">
        <v>0</v>
      </c>
      <c r="E27" s="266">
        <v>170.39</v>
      </c>
      <c r="F27" s="14">
        <f t="shared" si="3"/>
        <v>0</v>
      </c>
      <c r="G27" s="26"/>
      <c r="H27" s="14"/>
    </row>
    <row r="28" spans="1:9" x14ac:dyDescent="0.25">
      <c r="B28" s="282"/>
      <c r="C28" s="282"/>
      <c r="D28" s="280">
        <v>0</v>
      </c>
      <c r="E28" s="266">
        <v>170.39</v>
      </c>
      <c r="F28" s="14">
        <f t="shared" si="3"/>
        <v>0</v>
      </c>
      <c r="G28" s="26">
        <f>+F28*0.0725</f>
        <v>0</v>
      </c>
      <c r="H28" s="14"/>
    </row>
    <row r="29" spans="1:9" ht="15.75" thickBot="1" x14ac:dyDescent="0.3">
      <c r="B29" s="154" t="s">
        <v>873</v>
      </c>
      <c r="C29" s="282"/>
      <c r="D29" s="280">
        <v>0</v>
      </c>
      <c r="E29" s="266">
        <v>0</v>
      </c>
      <c r="F29" s="14">
        <f t="shared" si="3"/>
        <v>0</v>
      </c>
      <c r="G29" s="26">
        <f t="shared" si="2"/>
        <v>0</v>
      </c>
      <c r="H29" s="21"/>
    </row>
    <row r="30" spans="1:9" x14ac:dyDescent="0.25">
      <c r="C30" s="2"/>
      <c r="D30" s="941" t="s">
        <v>874</v>
      </c>
      <c r="E30" s="941"/>
      <c r="F30" s="941"/>
      <c r="G30" s="30"/>
      <c r="H30" s="14">
        <f>IF(K4="yes",0,SUM(F9:F29)+SUM(G9:G29))</f>
        <v>937.5</v>
      </c>
    </row>
    <row r="31" spans="1:9" x14ac:dyDescent="0.25">
      <c r="I31" s="14">
        <f>SUM(H8:H30)</f>
        <v>937.5</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M37"/>
  <sheetViews>
    <sheetView topLeftCell="B1" workbookViewId="0">
      <selection activeCell="I31" sqref="I31"/>
    </sheetView>
  </sheetViews>
  <sheetFormatPr defaultColWidth="9.140625" defaultRowHeight="15" x14ac:dyDescent="0.25"/>
  <cols>
    <col min="3" max="3" width="28" style="2" bestFit="1" customWidth="1"/>
    <col min="4" max="4" width="23.85546875" style="2" customWidth="1"/>
    <col min="6" max="6" width="10.140625" style="5" bestFit="1" customWidth="1"/>
    <col min="7" max="9" width="9.140625" style="14"/>
    <col min="11" max="11" width="19.28515625" bestFit="1" customWidth="1"/>
  </cols>
  <sheetData>
    <row r="1" spans="1:13" x14ac:dyDescent="0.25">
      <c r="A1" t="s">
        <v>111</v>
      </c>
      <c r="C1" s="3" t="s">
        <v>875</v>
      </c>
      <c r="D1" s="3"/>
    </row>
    <row r="2" spans="1:13" x14ac:dyDescent="0.25">
      <c r="E2" s="3"/>
      <c r="F2" s="8"/>
      <c r="G2" s="13"/>
      <c r="H2" s="13"/>
      <c r="I2" s="13"/>
    </row>
    <row r="3" spans="1:13" x14ac:dyDescent="0.25">
      <c r="B3" t="s">
        <v>111</v>
      </c>
      <c r="C3" s="3" t="s">
        <v>720</v>
      </c>
      <c r="D3" s="3" t="s">
        <v>849</v>
      </c>
      <c r="E3" s="3" t="s">
        <v>788</v>
      </c>
      <c r="F3" s="8" t="s">
        <v>789</v>
      </c>
      <c r="G3" s="13" t="s">
        <v>790</v>
      </c>
      <c r="H3" s="13" t="s">
        <v>679</v>
      </c>
      <c r="I3" s="13" t="s">
        <v>791</v>
      </c>
    </row>
    <row r="4" spans="1:13" ht="15.75" thickBot="1" x14ac:dyDescent="0.3">
      <c r="C4" s="3" t="s">
        <v>850</v>
      </c>
      <c r="D4" s="3"/>
      <c r="E4" s="3"/>
      <c r="F4" s="8"/>
      <c r="G4" s="13"/>
      <c r="H4" s="13"/>
      <c r="I4" s="13"/>
    </row>
    <row r="5" spans="1:13" x14ac:dyDescent="0.25">
      <c r="C5" s="470" t="s">
        <v>876</v>
      </c>
      <c r="D5" s="470"/>
      <c r="E5" s="460">
        <v>1</v>
      </c>
      <c r="F5" s="467">
        <v>179</v>
      </c>
      <c r="G5" s="461">
        <f>+E5*F5</f>
        <v>179</v>
      </c>
      <c r="H5" s="468">
        <f t="shared" ref="H5:H9" si="0">+G5*0.0725</f>
        <v>12.977499999999999</v>
      </c>
      <c r="I5" s="466"/>
      <c r="K5" s="942" t="s">
        <v>8</v>
      </c>
      <c r="L5" s="942" t="str">
        <f>IF(Profit!Q6,IF(M5,"Yes","No"),"No")</f>
        <v>No</v>
      </c>
      <c r="M5" s="946" t="b">
        <v>0</v>
      </c>
    </row>
    <row r="6" spans="1:13" ht="15.75" thickBot="1" x14ac:dyDescent="0.3">
      <c r="C6" s="470" t="s">
        <v>877</v>
      </c>
      <c r="D6" s="470"/>
      <c r="E6" s="460">
        <v>1</v>
      </c>
      <c r="F6" s="467">
        <v>53.98</v>
      </c>
      <c r="G6" s="461">
        <f>+E6*F6</f>
        <v>53.98</v>
      </c>
      <c r="H6" s="468">
        <f t="shared" si="0"/>
        <v>3.9135499999999994</v>
      </c>
      <c r="I6" s="466"/>
      <c r="K6" s="943"/>
      <c r="L6" s="943"/>
      <c r="M6" s="947"/>
    </row>
    <row r="7" spans="1:13" x14ac:dyDescent="0.25">
      <c r="C7" s="470" t="s">
        <v>811</v>
      </c>
      <c r="D7" s="470"/>
      <c r="E7" s="460">
        <v>2</v>
      </c>
      <c r="F7" s="467">
        <v>15.47</v>
      </c>
      <c r="G7" s="461">
        <f>+E7*F7</f>
        <v>30.94</v>
      </c>
      <c r="H7" s="468">
        <f t="shared" si="0"/>
        <v>2.24315</v>
      </c>
      <c r="I7" s="466"/>
    </row>
    <row r="8" spans="1:13" x14ac:dyDescent="0.25">
      <c r="C8" s="470" t="s">
        <v>878</v>
      </c>
      <c r="D8" s="470"/>
      <c r="E8" s="460">
        <v>5</v>
      </c>
      <c r="F8" s="467">
        <v>39.979999999999997</v>
      </c>
      <c r="G8" s="461">
        <v>0</v>
      </c>
      <c r="H8" s="468">
        <f t="shared" si="0"/>
        <v>0</v>
      </c>
      <c r="I8" s="466"/>
    </row>
    <row r="9" spans="1:13" ht="15.75" thickBot="1" x14ac:dyDescent="0.3">
      <c r="C9" s="470" t="s">
        <v>879</v>
      </c>
      <c r="D9" s="470">
        <v>732291231619</v>
      </c>
      <c r="E9" s="460">
        <v>3</v>
      </c>
      <c r="F9" s="467">
        <v>99</v>
      </c>
      <c r="G9" s="469">
        <f>+E9*F9</f>
        <v>297</v>
      </c>
      <c r="H9" s="469">
        <f t="shared" si="0"/>
        <v>21.532499999999999</v>
      </c>
      <c r="I9" s="469"/>
    </row>
    <row r="10" spans="1:13" x14ac:dyDescent="0.25">
      <c r="C10" s="470"/>
      <c r="D10" s="470"/>
      <c r="E10" s="460"/>
      <c r="F10" s="467"/>
      <c r="G10" s="461"/>
      <c r="H10" s="461"/>
      <c r="I10" s="461">
        <f>IF(L5="Yes",+SUM(G5:G9)+SUM(H5:H9),0)</f>
        <v>0</v>
      </c>
    </row>
    <row r="11" spans="1:13" x14ac:dyDescent="0.25">
      <c r="C11" s="282"/>
      <c r="D11" s="282"/>
      <c r="E11" s="280"/>
      <c r="F11" s="266"/>
      <c r="H11" s="26"/>
      <c r="I11" s="13"/>
    </row>
    <row r="12" spans="1:13" x14ac:dyDescent="0.25">
      <c r="C12" s="282"/>
      <c r="D12" s="282"/>
      <c r="E12" s="280"/>
      <c r="F12" s="266"/>
      <c r="H12" s="26"/>
      <c r="I12" s="13"/>
    </row>
    <row r="13" spans="1:13" x14ac:dyDescent="0.25">
      <c r="A13" s="191">
        <v>46071</v>
      </c>
      <c r="B13" s="191"/>
      <c r="C13" s="282" t="s">
        <v>880</v>
      </c>
      <c r="D13" s="282" t="s">
        <v>881</v>
      </c>
      <c r="E13" s="280">
        <v>1</v>
      </c>
      <c r="F13" s="266">
        <v>938.44</v>
      </c>
      <c r="G13" s="14">
        <f>+E13*F13</f>
        <v>938.44</v>
      </c>
      <c r="H13" s="26">
        <v>0</v>
      </c>
      <c r="I13" s="13"/>
    </row>
    <row r="14" spans="1:13" x14ac:dyDescent="0.25">
      <c r="B14" s="191">
        <v>46132</v>
      </c>
      <c r="C14" s="282" t="s">
        <v>1148</v>
      </c>
      <c r="D14" s="282" t="s">
        <v>1149</v>
      </c>
      <c r="E14" s="280">
        <v>1</v>
      </c>
      <c r="F14" s="266">
        <v>41.31</v>
      </c>
      <c r="G14" s="14">
        <f>+E14*F14</f>
        <v>41.31</v>
      </c>
      <c r="H14" s="26">
        <f t="shared" ref="H14:H30" si="1">+G14*0.0725</f>
        <v>2.9949750000000002</v>
      </c>
    </row>
    <row r="15" spans="1:13" x14ac:dyDescent="0.25">
      <c r="C15" s="282" t="s">
        <v>882</v>
      </c>
      <c r="D15" s="282">
        <v>2131173</v>
      </c>
      <c r="E15" s="280">
        <v>0</v>
      </c>
      <c r="F15" s="266">
        <v>53.98</v>
      </c>
      <c r="G15" s="14">
        <f>+E15*F15</f>
        <v>0</v>
      </c>
      <c r="H15" s="26">
        <f t="shared" si="1"/>
        <v>0</v>
      </c>
    </row>
    <row r="16" spans="1:13" x14ac:dyDescent="0.25">
      <c r="C16" s="282" t="s">
        <v>883</v>
      </c>
      <c r="D16" s="282">
        <v>1227792</v>
      </c>
      <c r="E16" s="280">
        <v>0</v>
      </c>
      <c r="F16" s="266">
        <v>15.47</v>
      </c>
      <c r="G16" s="14">
        <f>+E16*F16</f>
        <v>0</v>
      </c>
      <c r="H16" s="26">
        <f t="shared" si="1"/>
        <v>0</v>
      </c>
    </row>
    <row r="17" spans="3:12" x14ac:dyDescent="0.25">
      <c r="C17" s="282" t="s">
        <v>884</v>
      </c>
      <c r="D17" s="282">
        <v>1233228</v>
      </c>
      <c r="E17" s="280">
        <v>0</v>
      </c>
      <c r="F17" s="266">
        <v>39.979999999999997</v>
      </c>
      <c r="G17" s="14">
        <v>0</v>
      </c>
      <c r="H17" s="26">
        <f t="shared" si="1"/>
        <v>0</v>
      </c>
    </row>
    <row r="18" spans="3:12" x14ac:dyDescent="0.25">
      <c r="C18" s="282" t="s">
        <v>885</v>
      </c>
      <c r="D18" s="282" t="s">
        <v>347</v>
      </c>
      <c r="E18" s="280">
        <v>0</v>
      </c>
      <c r="F18" s="266">
        <v>6.99</v>
      </c>
      <c r="G18" s="14">
        <f t="shared" ref="G18:G29" si="2">+E18*F18</f>
        <v>0</v>
      </c>
      <c r="H18" s="26">
        <f t="shared" si="1"/>
        <v>0</v>
      </c>
    </row>
    <row r="19" spans="3:12" x14ac:dyDescent="0.25">
      <c r="C19" s="282" t="s">
        <v>886</v>
      </c>
      <c r="D19" s="282"/>
      <c r="E19" s="280">
        <v>0</v>
      </c>
      <c r="F19" s="266">
        <v>24.4</v>
      </c>
      <c r="G19" s="14">
        <f t="shared" si="2"/>
        <v>0</v>
      </c>
      <c r="H19" s="26">
        <f t="shared" si="1"/>
        <v>0</v>
      </c>
    </row>
    <row r="20" spans="3:12" x14ac:dyDescent="0.25">
      <c r="C20" s="282" t="s">
        <v>879</v>
      </c>
      <c r="D20" s="282" t="s">
        <v>887</v>
      </c>
      <c r="E20" s="280">
        <v>0</v>
      </c>
      <c r="F20" s="266">
        <v>89.1</v>
      </c>
      <c r="G20" s="14">
        <f t="shared" si="2"/>
        <v>0</v>
      </c>
      <c r="H20" s="26">
        <f t="shared" si="1"/>
        <v>0</v>
      </c>
    </row>
    <row r="21" spans="3:12" x14ac:dyDescent="0.25">
      <c r="C21" s="282" t="s">
        <v>888</v>
      </c>
      <c r="D21" s="301">
        <v>26508261804</v>
      </c>
      <c r="E21" s="280">
        <v>0</v>
      </c>
      <c r="F21" s="266">
        <v>114</v>
      </c>
      <c r="G21" s="14">
        <f t="shared" si="2"/>
        <v>0</v>
      </c>
      <c r="H21" s="26">
        <f t="shared" si="1"/>
        <v>0</v>
      </c>
    </row>
    <row r="22" spans="3:12" x14ac:dyDescent="0.25">
      <c r="C22" s="282" t="s">
        <v>811</v>
      </c>
      <c r="D22" s="282">
        <v>6925699939094</v>
      </c>
      <c r="E22" s="280">
        <v>0</v>
      </c>
      <c r="F22" s="266">
        <v>34.979999999999997</v>
      </c>
      <c r="G22" s="14">
        <f t="shared" si="2"/>
        <v>0</v>
      </c>
      <c r="H22" s="26">
        <f t="shared" si="1"/>
        <v>0</v>
      </c>
    </row>
    <row r="23" spans="3:12" x14ac:dyDescent="0.25">
      <c r="C23" s="282" t="s">
        <v>889</v>
      </c>
      <c r="D23" s="282"/>
      <c r="E23" s="280">
        <v>0</v>
      </c>
      <c r="F23" s="266"/>
      <c r="G23" s="14">
        <f t="shared" si="2"/>
        <v>0</v>
      </c>
      <c r="H23" s="26">
        <f t="shared" si="1"/>
        <v>0</v>
      </c>
    </row>
    <row r="24" spans="3:12" x14ac:dyDescent="0.25">
      <c r="C24" s="282" t="s">
        <v>876</v>
      </c>
      <c r="D24" s="282">
        <v>38877656754</v>
      </c>
      <c r="E24" s="280">
        <v>0</v>
      </c>
      <c r="F24" s="266">
        <v>169</v>
      </c>
      <c r="G24" s="14">
        <f t="shared" si="2"/>
        <v>0</v>
      </c>
      <c r="H24" s="26">
        <f t="shared" si="1"/>
        <v>0</v>
      </c>
    </row>
    <row r="25" spans="3:12" x14ac:dyDescent="0.25">
      <c r="C25" s="282" t="s">
        <v>879</v>
      </c>
      <c r="D25" s="282">
        <v>732291231619</v>
      </c>
      <c r="E25" s="280">
        <v>0</v>
      </c>
      <c r="F25" s="266">
        <v>99</v>
      </c>
      <c r="G25" s="14">
        <f t="shared" si="2"/>
        <v>0</v>
      </c>
      <c r="H25" s="26">
        <f t="shared" si="1"/>
        <v>0</v>
      </c>
    </row>
    <row r="26" spans="3:12" x14ac:dyDescent="0.25">
      <c r="C26" s="282" t="s">
        <v>890</v>
      </c>
      <c r="D26" s="282"/>
      <c r="E26" s="280">
        <v>0</v>
      </c>
      <c r="F26" s="266">
        <v>-29.7</v>
      </c>
      <c r="G26" s="14">
        <f t="shared" si="2"/>
        <v>0</v>
      </c>
      <c r="H26" s="26">
        <f t="shared" si="1"/>
        <v>0</v>
      </c>
    </row>
    <row r="27" spans="3:12" x14ac:dyDescent="0.25">
      <c r="C27" s="282"/>
      <c r="D27" s="282"/>
      <c r="E27" s="280"/>
      <c r="F27" s="266"/>
      <c r="G27" s="14">
        <f t="shared" si="2"/>
        <v>0</v>
      </c>
      <c r="H27" s="26">
        <f t="shared" si="1"/>
        <v>0</v>
      </c>
    </row>
    <row r="28" spans="3:12" x14ac:dyDescent="0.25">
      <c r="C28" s="282"/>
      <c r="D28" s="282"/>
      <c r="E28" s="280"/>
      <c r="F28" s="266"/>
      <c r="G28" s="14">
        <f t="shared" si="2"/>
        <v>0</v>
      </c>
      <c r="H28" s="26">
        <f t="shared" si="1"/>
        <v>0</v>
      </c>
    </row>
    <row r="29" spans="3:12" x14ac:dyDescent="0.25">
      <c r="C29" s="282"/>
      <c r="D29" s="282"/>
      <c r="E29" s="280"/>
      <c r="F29" s="266"/>
      <c r="G29" s="14">
        <f t="shared" si="2"/>
        <v>0</v>
      </c>
      <c r="H29" s="26">
        <f t="shared" si="1"/>
        <v>0</v>
      </c>
    </row>
    <row r="30" spans="3:12" ht="15.75" thickBot="1" x14ac:dyDescent="0.3">
      <c r="C30" s="282"/>
      <c r="D30" s="282"/>
      <c r="E30" s="280"/>
      <c r="F30" s="266"/>
      <c r="G30" s="21">
        <f>+E30*F30</f>
        <v>0</v>
      </c>
      <c r="H30" s="21">
        <f t="shared" si="1"/>
        <v>0</v>
      </c>
      <c r="I30" s="21"/>
    </row>
    <row r="31" spans="3:12" x14ac:dyDescent="0.25">
      <c r="I31" s="14">
        <f>IF(L5="No",+SUM(G13:G30)+SUM(H13:H30),0)</f>
        <v>982.74497499999995</v>
      </c>
      <c r="J31" s="14">
        <f>SUM(I10:I31)</f>
        <v>982.74497499999995</v>
      </c>
      <c r="L31" s="1"/>
    </row>
    <row r="34" spans="9:9" x14ac:dyDescent="0.25">
      <c r="I34"/>
    </row>
    <row r="35" spans="9:9" x14ac:dyDescent="0.25">
      <c r="I35"/>
    </row>
    <row r="36" spans="9:9" x14ac:dyDescent="0.25">
      <c r="I36"/>
    </row>
    <row r="37" spans="9:9" x14ac:dyDescent="0.25">
      <c r="I37"/>
    </row>
  </sheetData>
  <mergeCells count="3">
    <mergeCell ref="K5:K6"/>
    <mergeCell ref="L5:L6"/>
    <mergeCell ref="M5:M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4" activePane="bottomLeft" state="frozen"/>
      <selection pane="bottomLeft" activeCell="B34" sqref="B34"/>
    </sheetView>
  </sheetViews>
  <sheetFormatPr defaultColWidth="9.140625" defaultRowHeight="15" x14ac:dyDescent="0.25"/>
  <cols>
    <col min="1" max="1" width="9.7109375" style="511" bestFit="1" customWidth="1"/>
    <col min="2" max="2" width="34.7109375" style="25" bestFit="1"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614"/>
      <c r="B1" s="32" t="s">
        <v>891</v>
      </c>
      <c r="C1" s="32"/>
    </row>
    <row r="2" spans="1:13" x14ac:dyDescent="0.25">
      <c r="D2" s="3"/>
      <c r="E2" s="8"/>
      <c r="F2" s="13"/>
      <c r="G2" s="13"/>
      <c r="H2" s="13"/>
      <c r="K2" s="942" t="s">
        <v>8</v>
      </c>
      <c r="L2" s="942" t="str">
        <f>IF(Profit!Q6,IF(M2,"Yes","No"),"No")</f>
        <v>No</v>
      </c>
      <c r="M2" s="946" t="b">
        <v>0</v>
      </c>
    </row>
    <row r="3" spans="1:13" s="22" customFormat="1" ht="14.25" customHeight="1" thickBot="1" x14ac:dyDescent="0.3">
      <c r="A3" s="503" t="s">
        <v>111</v>
      </c>
      <c r="B3" s="3" t="s">
        <v>720</v>
      </c>
      <c r="C3" s="3" t="s">
        <v>849</v>
      </c>
      <c r="D3" s="3" t="s">
        <v>788</v>
      </c>
      <c r="E3" s="8" t="s">
        <v>789</v>
      </c>
      <c r="F3" s="13" t="s">
        <v>790</v>
      </c>
      <c r="G3" s="13"/>
      <c r="H3" s="13" t="s">
        <v>791</v>
      </c>
      <c r="K3" s="943"/>
      <c r="L3" s="943"/>
      <c r="M3" s="947"/>
    </row>
    <row r="4" spans="1:13" s="22" customFormat="1" ht="14.25" customHeight="1" x14ac:dyDescent="0.25">
      <c r="A4" s="614"/>
      <c r="B4" s="3"/>
      <c r="C4" s="3"/>
      <c r="D4" s="3"/>
      <c r="E4" s="8"/>
      <c r="F4" s="13"/>
      <c r="G4" s="13"/>
      <c r="H4" s="13"/>
      <c r="K4"/>
      <c r="L4"/>
      <c r="M4"/>
    </row>
    <row r="5" spans="1:13" s="22" customFormat="1" ht="14.25" customHeight="1" x14ac:dyDescent="0.25">
      <c r="A5" s="614"/>
      <c r="B5" s="3" t="s">
        <v>892</v>
      </c>
      <c r="C5" s="3"/>
      <c r="D5" s="3">
        <v>0</v>
      </c>
      <c r="E5" s="8">
        <v>2500</v>
      </c>
      <c r="F5" s="14">
        <f t="shared" ref="F5:F18" si="0">+D5*E5</f>
        <v>0</v>
      </c>
      <c r="G5" s="14"/>
      <c r="H5" s="13"/>
      <c r="K5"/>
      <c r="L5"/>
      <c r="M5"/>
    </row>
    <row r="6" spans="1:13" s="22" customFormat="1" ht="14.25" customHeight="1" x14ac:dyDescent="0.25">
      <c r="A6" s="614"/>
      <c r="B6" s="3" t="s">
        <v>893</v>
      </c>
      <c r="C6" s="3"/>
      <c r="D6" s="3">
        <v>0</v>
      </c>
      <c r="E6" s="8">
        <v>350</v>
      </c>
      <c r="F6" s="14">
        <f t="shared" si="0"/>
        <v>0</v>
      </c>
      <c r="G6" s="14">
        <f>+F6*0.0725</f>
        <v>0</v>
      </c>
      <c r="H6" s="13"/>
      <c r="K6"/>
      <c r="L6"/>
      <c r="M6"/>
    </row>
    <row r="7" spans="1:13" ht="14.25" customHeight="1" x14ac:dyDescent="0.25">
      <c r="A7" s="614"/>
      <c r="B7" s="32" t="s">
        <v>894</v>
      </c>
      <c r="C7" s="32">
        <v>935605</v>
      </c>
      <c r="D7" s="282">
        <v>0</v>
      </c>
      <c r="E7" s="266">
        <v>209</v>
      </c>
      <c r="F7" s="14">
        <f t="shared" si="0"/>
        <v>0</v>
      </c>
      <c r="G7" s="14">
        <f t="shared" ref="G7:G37" si="1">+F7*0.0725</f>
        <v>0</v>
      </c>
      <c r="H7" s="13"/>
    </row>
    <row r="8" spans="1:13" ht="14.25" customHeight="1" x14ac:dyDescent="0.25">
      <c r="A8" s="614"/>
      <c r="B8" s="32" t="s">
        <v>895</v>
      </c>
      <c r="C8" s="32">
        <v>935604</v>
      </c>
      <c r="D8" s="282">
        <v>0</v>
      </c>
      <c r="E8" s="266">
        <v>209</v>
      </c>
      <c r="F8" s="14">
        <f t="shared" si="0"/>
        <v>0</v>
      </c>
      <c r="G8" s="14">
        <f t="shared" si="1"/>
        <v>0</v>
      </c>
      <c r="H8" s="13"/>
    </row>
    <row r="9" spans="1:13" ht="14.25" customHeight="1" x14ac:dyDescent="0.25">
      <c r="A9" s="614"/>
      <c r="B9" s="32" t="s">
        <v>896</v>
      </c>
      <c r="C9" s="32">
        <v>935599</v>
      </c>
      <c r="D9" s="282">
        <v>0</v>
      </c>
      <c r="E9" s="266">
        <v>198.56</v>
      </c>
      <c r="F9" s="14">
        <f>+D9*E9</f>
        <v>0</v>
      </c>
      <c r="G9" s="14">
        <f t="shared" si="1"/>
        <v>0</v>
      </c>
      <c r="H9" s="13"/>
    </row>
    <row r="10" spans="1:13" ht="14.25" customHeight="1" x14ac:dyDescent="0.25">
      <c r="A10" s="614"/>
      <c r="B10" s="32" t="s">
        <v>897</v>
      </c>
      <c r="C10" s="32">
        <v>14005</v>
      </c>
      <c r="D10" s="280">
        <v>0</v>
      </c>
      <c r="E10" s="266">
        <v>179</v>
      </c>
      <c r="F10" s="14">
        <f t="shared" si="0"/>
        <v>0</v>
      </c>
      <c r="G10" s="14">
        <f t="shared" si="1"/>
        <v>0</v>
      </c>
    </row>
    <row r="11" spans="1:13" ht="14.25" customHeight="1" x14ac:dyDescent="0.25">
      <c r="A11" s="614">
        <v>46029</v>
      </c>
      <c r="B11" s="32" t="s">
        <v>898</v>
      </c>
      <c r="C11" s="32">
        <v>14006</v>
      </c>
      <c r="D11" s="280">
        <v>1</v>
      </c>
      <c r="E11" s="266">
        <v>579.99</v>
      </c>
      <c r="F11" s="14">
        <f t="shared" si="0"/>
        <v>579.99</v>
      </c>
      <c r="G11" s="14">
        <f t="shared" si="1"/>
        <v>42.049274999999994</v>
      </c>
    </row>
    <row r="12" spans="1:13" ht="14.25" customHeight="1" x14ac:dyDescent="0.25">
      <c r="A12" s="614"/>
      <c r="B12" s="32" t="s">
        <v>899</v>
      </c>
      <c r="C12" s="32">
        <v>935587</v>
      </c>
      <c r="D12" s="280">
        <v>0</v>
      </c>
      <c r="E12" s="266">
        <v>198.55</v>
      </c>
      <c r="F12" s="14">
        <f>+D12*E12</f>
        <v>0</v>
      </c>
      <c r="G12" s="14">
        <f t="shared" si="1"/>
        <v>0</v>
      </c>
    </row>
    <row r="13" spans="1:13" ht="14.25" customHeight="1" x14ac:dyDescent="0.25">
      <c r="A13" s="614"/>
      <c r="B13" s="32" t="s">
        <v>900</v>
      </c>
      <c r="C13" s="32">
        <v>49504</v>
      </c>
      <c r="D13" s="280">
        <v>0</v>
      </c>
      <c r="E13" s="266">
        <v>103</v>
      </c>
      <c r="F13" s="14">
        <f t="shared" si="0"/>
        <v>0</v>
      </c>
      <c r="G13" s="14">
        <f t="shared" si="1"/>
        <v>0</v>
      </c>
    </row>
    <row r="14" spans="1:13" ht="14.25" customHeight="1" x14ac:dyDescent="0.25">
      <c r="A14" s="614"/>
      <c r="B14" s="32" t="s">
        <v>901</v>
      </c>
      <c r="C14" s="32">
        <v>49706</v>
      </c>
      <c r="D14" s="280">
        <v>0</v>
      </c>
      <c r="E14" s="266">
        <v>103</v>
      </c>
      <c r="F14" s="14">
        <f t="shared" si="0"/>
        <v>0</v>
      </c>
      <c r="G14" s="14">
        <f t="shared" si="1"/>
        <v>0</v>
      </c>
    </row>
    <row r="15" spans="1:13" ht="14.25" customHeight="1" x14ac:dyDescent="0.25">
      <c r="A15" s="614"/>
      <c r="B15" s="32" t="s">
        <v>902</v>
      </c>
      <c r="C15" s="32">
        <v>47025</v>
      </c>
      <c r="D15" s="280">
        <v>0</v>
      </c>
      <c r="E15" s="266">
        <v>99</v>
      </c>
      <c r="F15" s="14">
        <f t="shared" si="0"/>
        <v>0</v>
      </c>
      <c r="G15" s="14">
        <f t="shared" si="1"/>
        <v>0</v>
      </c>
    </row>
    <row r="16" spans="1:13" ht="14.25" customHeight="1" x14ac:dyDescent="0.25">
      <c r="A16" s="614"/>
      <c r="B16" s="32" t="s">
        <v>903</v>
      </c>
      <c r="C16" s="32">
        <v>47422</v>
      </c>
      <c r="D16" s="280">
        <v>0</v>
      </c>
      <c r="E16" s="266">
        <v>99</v>
      </c>
      <c r="F16" s="14">
        <f t="shared" si="0"/>
        <v>0</v>
      </c>
      <c r="G16" s="14">
        <f t="shared" si="1"/>
        <v>0</v>
      </c>
    </row>
    <row r="17" spans="1:8" ht="14.25" customHeight="1" x14ac:dyDescent="0.25">
      <c r="A17" s="614">
        <v>46050</v>
      </c>
      <c r="B17" s="32" t="s">
        <v>904</v>
      </c>
      <c r="C17" s="32">
        <v>43359</v>
      </c>
      <c r="D17" s="280">
        <v>0</v>
      </c>
      <c r="E17" s="266">
        <v>99.99</v>
      </c>
      <c r="F17" s="14">
        <f t="shared" si="0"/>
        <v>0</v>
      </c>
      <c r="G17" s="14">
        <f t="shared" si="1"/>
        <v>0</v>
      </c>
    </row>
    <row r="18" spans="1:8" ht="14.25" customHeight="1" x14ac:dyDescent="0.25">
      <c r="A18" s="614"/>
      <c r="B18" s="32" t="s">
        <v>905</v>
      </c>
      <c r="C18" s="32">
        <v>44035</v>
      </c>
      <c r="D18" s="280">
        <v>0</v>
      </c>
      <c r="E18" s="266">
        <v>95</v>
      </c>
      <c r="F18" s="14">
        <f t="shared" si="0"/>
        <v>0</v>
      </c>
      <c r="G18" s="14">
        <f t="shared" si="1"/>
        <v>0</v>
      </c>
    </row>
    <row r="19" spans="1:8" ht="14.25" customHeight="1" x14ac:dyDescent="0.25">
      <c r="A19" s="615"/>
      <c r="B19" s="345" t="s">
        <v>906</v>
      </c>
      <c r="C19" s="345">
        <v>25598</v>
      </c>
      <c r="D19" s="280">
        <v>0</v>
      </c>
      <c r="E19" s="266">
        <v>101</v>
      </c>
      <c r="F19" s="14">
        <f t="shared" ref="F19:F37" si="2">+D19*E19</f>
        <v>0</v>
      </c>
      <c r="G19" s="14">
        <f t="shared" si="1"/>
        <v>0</v>
      </c>
    </row>
    <row r="20" spans="1:8" ht="14.25" customHeight="1" x14ac:dyDescent="0.25">
      <c r="A20" s="615"/>
      <c r="B20" s="345" t="s">
        <v>907</v>
      </c>
      <c r="C20" s="345">
        <v>30151125574</v>
      </c>
      <c r="D20" s="280">
        <v>0</v>
      </c>
      <c r="E20" s="266">
        <v>91.46</v>
      </c>
      <c r="F20" s="14">
        <f t="shared" si="2"/>
        <v>0</v>
      </c>
      <c r="G20" s="14">
        <f t="shared" si="1"/>
        <v>0</v>
      </c>
    </row>
    <row r="21" spans="1:8" ht="14.25" customHeight="1" x14ac:dyDescent="0.25">
      <c r="A21" s="614"/>
      <c r="B21" s="32" t="s">
        <v>908</v>
      </c>
      <c r="C21" s="32"/>
      <c r="D21" s="280">
        <v>0</v>
      </c>
      <c r="E21" s="266">
        <v>284.56</v>
      </c>
      <c r="F21" s="14">
        <f t="shared" si="2"/>
        <v>0</v>
      </c>
      <c r="G21" s="14">
        <f t="shared" si="1"/>
        <v>0</v>
      </c>
    </row>
    <row r="22" spans="1:8" ht="14.25" customHeight="1" x14ac:dyDescent="0.25">
      <c r="A22" s="614"/>
      <c r="B22" s="32" t="s">
        <v>909</v>
      </c>
      <c r="C22" s="32">
        <v>72904</v>
      </c>
      <c r="D22" s="280">
        <v>0</v>
      </c>
      <c r="E22" s="266">
        <v>429.62</v>
      </c>
      <c r="F22" s="14">
        <f>+D22*E22</f>
        <v>0</v>
      </c>
      <c r="G22" s="14">
        <f t="shared" si="1"/>
        <v>0</v>
      </c>
    </row>
    <row r="23" spans="1:8" ht="14.25" customHeight="1" x14ac:dyDescent="0.25">
      <c r="A23" s="614"/>
      <c r="B23" s="32" t="s">
        <v>910</v>
      </c>
      <c r="C23" s="32" t="s">
        <v>911</v>
      </c>
      <c r="D23" s="280">
        <v>0</v>
      </c>
      <c r="E23" s="266">
        <v>8.77</v>
      </c>
      <c r="F23" s="14">
        <f t="shared" si="2"/>
        <v>0</v>
      </c>
      <c r="G23" s="14">
        <f t="shared" si="1"/>
        <v>0</v>
      </c>
    </row>
    <row r="24" spans="1:8" ht="14.25" customHeight="1" x14ac:dyDescent="0.25">
      <c r="A24" s="615"/>
      <c r="B24" s="345" t="s">
        <v>912</v>
      </c>
      <c r="C24" s="345" t="s">
        <v>913</v>
      </c>
      <c r="D24" s="280">
        <v>0</v>
      </c>
      <c r="E24" s="266">
        <v>18.88</v>
      </c>
      <c r="F24" s="14">
        <f t="shared" si="2"/>
        <v>0</v>
      </c>
      <c r="G24" s="14">
        <f t="shared" si="1"/>
        <v>0</v>
      </c>
    </row>
    <row r="25" spans="1:8" ht="14.25" customHeight="1" x14ac:dyDescent="0.25">
      <c r="A25" s="615"/>
      <c r="B25" s="345" t="s">
        <v>914</v>
      </c>
      <c r="C25" s="345" t="s">
        <v>915</v>
      </c>
      <c r="D25" s="280">
        <v>0</v>
      </c>
      <c r="E25" s="266">
        <v>47.14</v>
      </c>
      <c r="F25" s="14">
        <f t="shared" si="2"/>
        <v>0</v>
      </c>
      <c r="G25" s="14">
        <f t="shared" si="1"/>
        <v>0</v>
      </c>
    </row>
    <row r="26" spans="1:8" ht="14.25" customHeight="1" x14ac:dyDescent="0.25">
      <c r="A26" s="615"/>
      <c r="B26" s="345" t="s">
        <v>914</v>
      </c>
      <c r="C26" s="345" t="s">
        <v>916</v>
      </c>
      <c r="D26" s="280">
        <v>0</v>
      </c>
      <c r="E26" s="266">
        <v>27.73</v>
      </c>
      <c r="F26" s="14">
        <f t="shared" si="2"/>
        <v>0</v>
      </c>
      <c r="G26" s="14">
        <f t="shared" si="1"/>
        <v>0</v>
      </c>
    </row>
    <row r="27" spans="1:8" ht="14.25" customHeight="1" x14ac:dyDescent="0.25">
      <c r="A27" s="614"/>
      <c r="B27" s="32" t="s">
        <v>917</v>
      </c>
      <c r="C27" s="32">
        <v>100619</v>
      </c>
      <c r="D27" s="280">
        <v>1</v>
      </c>
      <c r="E27" s="266">
        <v>79.98</v>
      </c>
      <c r="F27" s="14">
        <f t="shared" si="2"/>
        <v>79.98</v>
      </c>
      <c r="G27" s="14">
        <f t="shared" si="1"/>
        <v>5.7985499999999996</v>
      </c>
    </row>
    <row r="28" spans="1:8" ht="14.25" customHeight="1" x14ac:dyDescent="0.25">
      <c r="A28" s="614"/>
      <c r="B28" s="32" t="s">
        <v>918</v>
      </c>
      <c r="C28" s="32">
        <v>287027</v>
      </c>
      <c r="D28" s="280">
        <v>1</v>
      </c>
      <c r="E28" s="266">
        <v>50.48</v>
      </c>
      <c r="F28" s="14">
        <f t="shared" si="2"/>
        <v>50.48</v>
      </c>
      <c r="G28" s="14">
        <f t="shared" si="1"/>
        <v>3.6597999999999997</v>
      </c>
    </row>
    <row r="29" spans="1:8" ht="14.25" customHeight="1" x14ac:dyDescent="0.25">
      <c r="A29" s="614">
        <v>46050</v>
      </c>
      <c r="B29" s="32" t="s">
        <v>919</v>
      </c>
      <c r="C29" s="32"/>
      <c r="D29" s="280">
        <v>2</v>
      </c>
      <c r="E29" s="266">
        <v>12.64</v>
      </c>
      <c r="F29" s="14">
        <f t="shared" si="2"/>
        <v>25.28</v>
      </c>
      <c r="G29" s="14">
        <f t="shared" si="1"/>
        <v>1.8328</v>
      </c>
    </row>
    <row r="30" spans="1:8" ht="14.25" customHeight="1" x14ac:dyDescent="0.25">
      <c r="A30" s="614"/>
      <c r="B30" s="32" t="s">
        <v>920</v>
      </c>
      <c r="C30" s="32" t="s">
        <v>921</v>
      </c>
      <c r="D30" s="280">
        <v>0</v>
      </c>
      <c r="E30" s="266">
        <v>69.97</v>
      </c>
      <c r="F30" s="14">
        <f t="shared" si="2"/>
        <v>0</v>
      </c>
      <c r="G30" s="14">
        <f t="shared" si="1"/>
        <v>0</v>
      </c>
    </row>
    <row r="31" spans="1:8" ht="14.25" customHeight="1" x14ac:dyDescent="0.25">
      <c r="A31" s="614"/>
      <c r="B31" s="32" t="s">
        <v>922</v>
      </c>
      <c r="C31" s="32" t="s">
        <v>923</v>
      </c>
      <c r="D31" s="280">
        <v>0</v>
      </c>
      <c r="E31" s="266">
        <v>289</v>
      </c>
      <c r="F31" s="14">
        <f t="shared" si="2"/>
        <v>0</v>
      </c>
      <c r="G31" s="14">
        <f t="shared" si="1"/>
        <v>0</v>
      </c>
    </row>
    <row r="32" spans="1:8" ht="14.25" customHeight="1" x14ac:dyDescent="0.25">
      <c r="A32" s="614">
        <v>46050</v>
      </c>
      <c r="B32" s="32" t="s">
        <v>924</v>
      </c>
      <c r="C32" s="32" t="s">
        <v>925</v>
      </c>
      <c r="D32" s="280"/>
      <c r="E32" s="266">
        <v>13.99</v>
      </c>
      <c r="F32" s="14">
        <f t="shared" si="2"/>
        <v>0</v>
      </c>
      <c r="G32" s="14">
        <f t="shared" si="1"/>
        <v>0</v>
      </c>
      <c r="H32" s="14" t="s">
        <v>926</v>
      </c>
    </row>
    <row r="33" spans="1:11" ht="14.25" customHeight="1" x14ac:dyDescent="0.25">
      <c r="A33" s="614">
        <v>46050</v>
      </c>
      <c r="B33" s="32" t="s">
        <v>927</v>
      </c>
      <c r="C33" s="32"/>
      <c r="D33" s="280"/>
      <c r="E33" s="266">
        <v>14.99</v>
      </c>
      <c r="F33" s="14">
        <f t="shared" si="2"/>
        <v>0</v>
      </c>
      <c r="G33" s="14">
        <f t="shared" si="1"/>
        <v>0</v>
      </c>
      <c r="H33" s="14" t="s">
        <v>926</v>
      </c>
    </row>
    <row r="34" spans="1:11" ht="14.25" customHeight="1" x14ac:dyDescent="0.25">
      <c r="A34" s="614">
        <v>46075</v>
      </c>
      <c r="B34" s="32" t="s">
        <v>928</v>
      </c>
      <c r="C34" s="32">
        <v>30699285174</v>
      </c>
      <c r="D34" s="280">
        <v>1</v>
      </c>
      <c r="E34" s="266">
        <v>239.38</v>
      </c>
      <c r="F34" s="14">
        <f t="shared" si="2"/>
        <v>239.38</v>
      </c>
    </row>
    <row r="35" spans="1:11" ht="14.25" customHeight="1" x14ac:dyDescent="0.25">
      <c r="A35" s="614"/>
      <c r="B35" s="32" t="s">
        <v>929</v>
      </c>
      <c r="C35" s="302">
        <v>883351469845</v>
      </c>
      <c r="D35" s="280">
        <v>0</v>
      </c>
      <c r="E35" s="266">
        <v>47.97</v>
      </c>
      <c r="F35" s="14">
        <f t="shared" si="2"/>
        <v>0</v>
      </c>
      <c r="G35" s="14">
        <f t="shared" si="1"/>
        <v>0</v>
      </c>
    </row>
    <row r="36" spans="1:11" ht="14.25" customHeight="1" x14ac:dyDescent="0.25">
      <c r="A36" s="614"/>
      <c r="B36" s="32" t="s">
        <v>930</v>
      </c>
      <c r="C36" s="302">
        <v>883351891448</v>
      </c>
      <c r="D36" s="280">
        <v>0</v>
      </c>
      <c r="E36" s="266">
        <v>77.569999999999993</v>
      </c>
      <c r="F36" s="14">
        <f t="shared" si="2"/>
        <v>0</v>
      </c>
      <c r="G36" s="14">
        <f t="shared" si="1"/>
        <v>0</v>
      </c>
    </row>
    <row r="37" spans="1:11" ht="14.25" customHeight="1" thickBot="1" x14ac:dyDescent="0.3">
      <c r="A37" s="614"/>
      <c r="B37" s="32" t="s">
        <v>931</v>
      </c>
      <c r="C37" s="302">
        <v>883351396332</v>
      </c>
      <c r="D37" s="280">
        <v>0</v>
      </c>
      <c r="E37" s="266">
        <v>139</v>
      </c>
      <c r="F37" s="14">
        <f t="shared" si="2"/>
        <v>0</v>
      </c>
      <c r="G37" s="14">
        <f t="shared" si="1"/>
        <v>0</v>
      </c>
      <c r="H37" s="21"/>
    </row>
    <row r="38" spans="1:11" ht="14.25" customHeight="1" x14ac:dyDescent="0.25">
      <c r="A38" s="614"/>
      <c r="B38" s="32"/>
      <c r="C38" s="302"/>
      <c r="D38" s="304"/>
      <c r="E38" s="303"/>
      <c r="F38" s="14">
        <f>+D38*E38</f>
        <v>0</v>
      </c>
      <c r="H38" s="14">
        <f>IF(L2="no",SUM(F5:G37),0)</f>
        <v>1028.450425</v>
      </c>
      <c r="K38" s="1"/>
    </row>
    <row r="39" spans="1:11" ht="14.25" customHeight="1" x14ac:dyDescent="0.25">
      <c r="A39" s="614"/>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614"/>
      <c r="B48" s="32"/>
      <c r="D48" s="25"/>
      <c r="E48" s="25"/>
      <c r="F48" s="25"/>
      <c r="G48" s="25"/>
      <c r="H48" s="25"/>
      <c r="I48" s="25"/>
    </row>
    <row r="49" spans="1:9" x14ac:dyDescent="0.25">
      <c r="A49" s="614"/>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M51"/>
  <sheetViews>
    <sheetView workbookViewId="0">
      <pane ySplit="3" topLeftCell="A19" activePane="bottomLeft" state="frozen"/>
      <selection pane="bottomLeft" activeCell="G13" sqref="G13"/>
    </sheetView>
  </sheetViews>
  <sheetFormatPr defaultRowHeight="15" x14ac:dyDescent="0.25"/>
  <cols>
    <col min="2" max="2" width="32.85546875"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x14ac:dyDescent="0.3">
      <c r="B1" s="3" t="s">
        <v>932</v>
      </c>
      <c r="C1" s="3"/>
    </row>
    <row r="2" spans="1:13" x14ac:dyDescent="0.25">
      <c r="D2" s="3"/>
      <c r="E2" s="8"/>
      <c r="F2" s="13"/>
      <c r="G2" s="13"/>
      <c r="H2" s="13"/>
      <c r="K2" s="942" t="s">
        <v>8</v>
      </c>
      <c r="L2" s="942" t="str">
        <f>IF(Profit!Q6,IF(M2,"Yes","No"),"No")</f>
        <v>No</v>
      </c>
      <c r="M2" s="946" t="b">
        <v>0</v>
      </c>
    </row>
    <row r="3" spans="1:13" ht="15.75" thickBot="1" x14ac:dyDescent="0.3">
      <c r="A3" t="s">
        <v>111</v>
      </c>
      <c r="B3" s="31" t="s">
        <v>720</v>
      </c>
      <c r="C3" s="31" t="s">
        <v>849</v>
      </c>
      <c r="D3" s="31" t="s">
        <v>788</v>
      </c>
      <c r="E3" s="286" t="s">
        <v>789</v>
      </c>
      <c r="F3" s="287" t="s">
        <v>790</v>
      </c>
      <c r="G3" s="287" t="s">
        <v>679</v>
      </c>
      <c r="H3" s="287" t="s">
        <v>791</v>
      </c>
      <c r="K3" s="943"/>
      <c r="L3" s="943"/>
      <c r="M3" s="947"/>
    </row>
    <row r="4" spans="1:13" x14ac:dyDescent="0.25">
      <c r="B4" s="464" t="s">
        <v>933</v>
      </c>
      <c r="C4" s="464"/>
      <c r="D4" s="464">
        <v>1</v>
      </c>
      <c r="E4" s="562">
        <v>2500</v>
      </c>
      <c r="F4" s="472">
        <f>D4*E4</f>
        <v>2500</v>
      </c>
      <c r="G4" s="468">
        <f t="shared" ref="G4:G8" si="0">+F4*0.0725</f>
        <v>181.25</v>
      </c>
      <c r="H4" s="466">
        <f>SUM(F4:G4)</f>
        <v>2681.25</v>
      </c>
    </row>
    <row r="5" spans="1:13" x14ac:dyDescent="0.25">
      <c r="B5" s="464" t="s">
        <v>934</v>
      </c>
      <c r="C5" s="464"/>
      <c r="D5" s="464">
        <v>1</v>
      </c>
      <c r="E5" s="563">
        <v>700</v>
      </c>
      <c r="F5" s="472">
        <f>D5*E5</f>
        <v>700</v>
      </c>
      <c r="G5" s="468">
        <f t="shared" si="0"/>
        <v>50.75</v>
      </c>
      <c r="H5" s="466">
        <f>SUM(F5:G5)</f>
        <v>750.75</v>
      </c>
    </row>
    <row r="6" spans="1:13" x14ac:dyDescent="0.25">
      <c r="B6" s="464" t="s">
        <v>935</v>
      </c>
      <c r="C6" s="464"/>
      <c r="D6" s="464">
        <v>2</v>
      </c>
      <c r="E6" s="563">
        <v>300</v>
      </c>
      <c r="F6" s="472">
        <f t="shared" ref="F6:F8" si="1">D6*E6</f>
        <v>600</v>
      </c>
      <c r="G6" s="468">
        <f t="shared" si="0"/>
        <v>43.5</v>
      </c>
      <c r="H6" s="466">
        <f t="shared" ref="H6:H8" si="2">SUM(F6:G6)</f>
        <v>643.5</v>
      </c>
    </row>
    <row r="7" spans="1:13" x14ac:dyDescent="0.25">
      <c r="B7" s="464" t="s">
        <v>936</v>
      </c>
      <c r="C7" s="464"/>
      <c r="D7" s="464">
        <v>2</v>
      </c>
      <c r="E7" s="563">
        <v>450</v>
      </c>
      <c r="F7" s="472">
        <f t="shared" si="1"/>
        <v>900</v>
      </c>
      <c r="G7" s="468">
        <f t="shared" si="0"/>
        <v>65.25</v>
      </c>
      <c r="H7" s="466">
        <f t="shared" si="2"/>
        <v>965.25</v>
      </c>
    </row>
    <row r="8" spans="1:13" x14ac:dyDescent="0.25">
      <c r="B8" s="464"/>
      <c r="C8" s="464"/>
      <c r="D8" s="464"/>
      <c r="E8" s="563"/>
      <c r="F8" s="472">
        <f t="shared" si="1"/>
        <v>0</v>
      </c>
      <c r="G8" s="468">
        <f t="shared" si="0"/>
        <v>0</v>
      </c>
      <c r="H8" s="466">
        <f t="shared" si="2"/>
        <v>0</v>
      </c>
    </row>
    <row r="9" spans="1:13" x14ac:dyDescent="0.25">
      <c r="B9" s="464"/>
      <c r="C9" s="464"/>
      <c r="D9" s="470"/>
      <c r="E9" s="465"/>
      <c r="F9" s="472"/>
      <c r="G9" s="468"/>
      <c r="H9" s="466"/>
      <c r="I9">
        <f>IF(L2="Yes",+SUM(F4:G9),0)</f>
        <v>0</v>
      </c>
    </row>
    <row r="10" spans="1:13" x14ac:dyDescent="0.25">
      <c r="B10" s="464"/>
      <c r="C10" s="464"/>
      <c r="D10" s="470"/>
      <c r="E10" s="465"/>
      <c r="F10" s="472"/>
      <c r="G10" s="468"/>
      <c r="H10" s="466"/>
    </row>
    <row r="11" spans="1:13" x14ac:dyDescent="0.25">
      <c r="B11" s="284"/>
      <c r="C11" s="284" t="s">
        <v>937</v>
      </c>
      <c r="D11" s="282">
        <v>0</v>
      </c>
      <c r="E11" s="285">
        <v>154</v>
      </c>
      <c r="F11" s="1">
        <f>D11*E11</f>
        <v>0</v>
      </c>
      <c r="G11" s="26">
        <f t="shared" ref="G11:G29" si="3">+F11*0.0725</f>
        <v>0</v>
      </c>
      <c r="H11" s="13"/>
    </row>
    <row r="12" spans="1:13" x14ac:dyDescent="0.25">
      <c r="A12" s="191">
        <v>45988</v>
      </c>
      <c r="B12" s="282" t="s">
        <v>938</v>
      </c>
      <c r="C12" s="282">
        <v>795984</v>
      </c>
      <c r="D12" s="280">
        <v>1</v>
      </c>
      <c r="E12" s="266">
        <v>1000</v>
      </c>
      <c r="F12" s="1">
        <f>D12*E12</f>
        <v>1000</v>
      </c>
      <c r="G12" s="26"/>
    </row>
    <row r="13" spans="1:13" x14ac:dyDescent="0.25">
      <c r="B13" s="282" t="s">
        <v>939</v>
      </c>
      <c r="C13" s="282" t="s">
        <v>939</v>
      </c>
      <c r="D13" s="280">
        <v>0</v>
      </c>
      <c r="E13" s="266">
        <v>224</v>
      </c>
      <c r="F13" s="1">
        <f t="shared" ref="F13:F29" si="4">D13*E13</f>
        <v>0</v>
      </c>
      <c r="G13" s="26">
        <f t="shared" si="3"/>
        <v>0</v>
      </c>
    </row>
    <row r="14" spans="1:13" x14ac:dyDescent="0.25">
      <c r="B14" s="282" t="s">
        <v>940</v>
      </c>
      <c r="C14" s="282" t="s">
        <v>941</v>
      </c>
      <c r="D14" s="280">
        <v>0</v>
      </c>
      <c r="E14" s="266">
        <v>152</v>
      </c>
      <c r="F14" s="1">
        <f t="shared" si="4"/>
        <v>0</v>
      </c>
      <c r="G14" s="26">
        <f t="shared" si="3"/>
        <v>0</v>
      </c>
    </row>
    <row r="15" spans="1:13" x14ac:dyDescent="0.25">
      <c r="B15" s="282" t="s">
        <v>942</v>
      </c>
      <c r="C15" s="282" t="s">
        <v>943</v>
      </c>
      <c r="D15" s="280">
        <v>0</v>
      </c>
      <c r="E15" s="266">
        <v>50</v>
      </c>
      <c r="F15" s="1">
        <f t="shared" si="4"/>
        <v>0</v>
      </c>
      <c r="G15" s="26">
        <f t="shared" si="3"/>
        <v>0</v>
      </c>
    </row>
    <row r="16" spans="1:13" x14ac:dyDescent="0.25">
      <c r="B16" s="282" t="s">
        <v>944</v>
      </c>
      <c r="C16" s="282" t="s">
        <v>945</v>
      </c>
      <c r="D16" s="280">
        <v>0</v>
      </c>
      <c r="E16" s="266">
        <v>166</v>
      </c>
      <c r="F16" s="1">
        <f t="shared" si="4"/>
        <v>0</v>
      </c>
      <c r="G16" s="26">
        <f t="shared" si="3"/>
        <v>0</v>
      </c>
    </row>
    <row r="17" spans="2:11" x14ac:dyDescent="0.25">
      <c r="B17" s="282" t="s">
        <v>946</v>
      </c>
      <c r="C17" s="282" t="s">
        <v>947</v>
      </c>
      <c r="D17" s="280">
        <v>0</v>
      </c>
      <c r="E17" s="266">
        <v>104</v>
      </c>
      <c r="F17" s="1">
        <f t="shared" si="4"/>
        <v>0</v>
      </c>
      <c r="G17" s="26">
        <f t="shared" si="3"/>
        <v>0</v>
      </c>
    </row>
    <row r="18" spans="2:11" x14ac:dyDescent="0.25">
      <c r="B18" s="282" t="s">
        <v>948</v>
      </c>
      <c r="C18" s="282" t="s">
        <v>949</v>
      </c>
      <c r="D18" s="280">
        <v>0</v>
      </c>
      <c r="E18" s="266">
        <v>81.98</v>
      </c>
      <c r="F18" s="1">
        <f t="shared" si="4"/>
        <v>0</v>
      </c>
      <c r="G18" s="26">
        <f t="shared" si="3"/>
        <v>0</v>
      </c>
    </row>
    <row r="19" spans="2:11" x14ac:dyDescent="0.25">
      <c r="B19" s="282" t="s">
        <v>948</v>
      </c>
      <c r="C19" s="282" t="s">
        <v>950</v>
      </c>
      <c r="D19" s="280">
        <v>0</v>
      </c>
      <c r="E19" s="266">
        <v>143</v>
      </c>
      <c r="F19" s="1">
        <f t="shared" si="4"/>
        <v>0</v>
      </c>
      <c r="G19" s="26">
        <f t="shared" si="3"/>
        <v>0</v>
      </c>
    </row>
    <row r="20" spans="2:11" x14ac:dyDescent="0.25">
      <c r="B20" s="282" t="s">
        <v>948</v>
      </c>
      <c r="C20" s="282" t="s">
        <v>951</v>
      </c>
      <c r="D20" s="280">
        <v>0</v>
      </c>
      <c r="E20" s="266">
        <v>98.98</v>
      </c>
      <c r="F20" s="1">
        <f t="shared" si="4"/>
        <v>0</v>
      </c>
      <c r="G20" s="26">
        <f t="shared" si="3"/>
        <v>0</v>
      </c>
    </row>
    <row r="21" spans="2:11" x14ac:dyDescent="0.25">
      <c r="B21" s="282" t="s">
        <v>952</v>
      </c>
      <c r="C21" s="282" t="s">
        <v>953</v>
      </c>
      <c r="D21" s="280">
        <v>0</v>
      </c>
      <c r="E21" s="266">
        <v>165</v>
      </c>
      <c r="F21" s="1">
        <f t="shared" si="4"/>
        <v>0</v>
      </c>
      <c r="G21" s="26">
        <f t="shared" si="3"/>
        <v>0</v>
      </c>
    </row>
    <row r="22" spans="2:11" x14ac:dyDescent="0.25">
      <c r="B22" s="282" t="s">
        <v>954</v>
      </c>
      <c r="C22" s="282">
        <v>795984</v>
      </c>
      <c r="D22" s="280">
        <v>0</v>
      </c>
      <c r="E22" s="266">
        <v>144</v>
      </c>
      <c r="F22" s="1">
        <f t="shared" si="4"/>
        <v>0</v>
      </c>
      <c r="G22" s="26">
        <f t="shared" si="3"/>
        <v>0</v>
      </c>
    </row>
    <row r="23" spans="2:11" x14ac:dyDescent="0.25">
      <c r="B23" s="282"/>
      <c r="C23" s="282" t="s">
        <v>955</v>
      </c>
      <c r="D23" s="280">
        <v>0</v>
      </c>
      <c r="E23" s="266">
        <v>107</v>
      </c>
      <c r="F23" s="1">
        <f t="shared" si="4"/>
        <v>0</v>
      </c>
      <c r="G23" s="26">
        <f t="shared" si="3"/>
        <v>0</v>
      </c>
    </row>
    <row r="24" spans="2:11" x14ac:dyDescent="0.25">
      <c r="B24" s="282" t="s">
        <v>948</v>
      </c>
      <c r="C24" s="282" t="s">
        <v>956</v>
      </c>
      <c r="D24" s="280">
        <v>0</v>
      </c>
      <c r="E24" s="266">
        <v>112</v>
      </c>
      <c r="F24" s="1">
        <f t="shared" si="4"/>
        <v>0</v>
      </c>
      <c r="G24" s="26">
        <f t="shared" si="3"/>
        <v>0</v>
      </c>
    </row>
    <row r="25" spans="2:11" x14ac:dyDescent="0.25">
      <c r="B25" s="282" t="s">
        <v>957</v>
      </c>
      <c r="C25" s="282" t="s">
        <v>957</v>
      </c>
      <c r="D25" s="280">
        <v>0</v>
      </c>
      <c r="E25" s="266">
        <v>40.96</v>
      </c>
      <c r="F25" s="1">
        <f t="shared" si="4"/>
        <v>0</v>
      </c>
      <c r="G25" s="26">
        <f t="shared" si="3"/>
        <v>0</v>
      </c>
    </row>
    <row r="26" spans="2:11" x14ac:dyDescent="0.25">
      <c r="B26" s="282"/>
      <c r="C26" s="282" t="s">
        <v>958</v>
      </c>
      <c r="D26" s="280">
        <v>0</v>
      </c>
      <c r="E26" s="266">
        <v>18.28</v>
      </c>
      <c r="F26" s="1">
        <f t="shared" si="4"/>
        <v>0</v>
      </c>
      <c r="G26" s="26">
        <f t="shared" si="3"/>
        <v>0</v>
      </c>
    </row>
    <row r="27" spans="2:11" x14ac:dyDescent="0.25">
      <c r="B27" s="282" t="s">
        <v>959</v>
      </c>
      <c r="C27" s="282" t="s">
        <v>960</v>
      </c>
      <c r="D27" s="280">
        <v>0</v>
      </c>
      <c r="E27" s="266">
        <v>13.48</v>
      </c>
      <c r="F27" s="1">
        <f t="shared" si="4"/>
        <v>0</v>
      </c>
      <c r="G27" s="26">
        <f t="shared" si="3"/>
        <v>0</v>
      </c>
    </row>
    <row r="28" spans="2:11" x14ac:dyDescent="0.25">
      <c r="B28" s="282" t="s">
        <v>961</v>
      </c>
      <c r="C28" s="282"/>
      <c r="D28" s="280">
        <v>0</v>
      </c>
      <c r="E28" s="266">
        <v>0</v>
      </c>
      <c r="F28" s="1">
        <f t="shared" si="4"/>
        <v>0</v>
      </c>
      <c r="G28" s="26">
        <f t="shared" si="3"/>
        <v>0</v>
      </c>
    </row>
    <row r="29" spans="2:11" ht="15.75" thickBot="1" x14ac:dyDescent="0.3">
      <c r="B29" s="282" t="s">
        <v>962</v>
      </c>
      <c r="C29" s="282"/>
      <c r="D29" s="280">
        <v>0</v>
      </c>
      <c r="E29" s="266">
        <v>935.09</v>
      </c>
      <c r="F29" s="1">
        <f t="shared" si="4"/>
        <v>0</v>
      </c>
      <c r="G29" s="21">
        <f t="shared" si="3"/>
        <v>0</v>
      </c>
      <c r="H29" s="21"/>
    </row>
    <row r="30" spans="2:11" x14ac:dyDescent="0.25">
      <c r="I30" s="14">
        <f>IF(L2="No",+SUM(F11:G29),0)</f>
        <v>1000</v>
      </c>
      <c r="K30" s="1"/>
    </row>
    <row r="31" spans="2:11" x14ac:dyDescent="0.25">
      <c r="B31" s="32" t="s">
        <v>963</v>
      </c>
    </row>
    <row r="32" spans="2:11" x14ac:dyDescent="0.25">
      <c r="B32" s="3" t="s">
        <v>720</v>
      </c>
      <c r="C32" s="3" t="s">
        <v>849</v>
      </c>
      <c r="D32" s="3" t="s">
        <v>788</v>
      </c>
      <c r="E32" s="8" t="s">
        <v>789</v>
      </c>
      <c r="F32" s="13" t="s">
        <v>790</v>
      </c>
      <c r="G32" s="13"/>
      <c r="H32" s="13" t="s">
        <v>791</v>
      </c>
    </row>
    <row r="33" spans="2:9" x14ac:dyDescent="0.25">
      <c r="B33" s="154"/>
      <c r="C33" s="154" t="s">
        <v>964</v>
      </c>
      <c r="D33" s="280">
        <v>0</v>
      </c>
      <c r="E33" s="266">
        <v>2000</v>
      </c>
      <c r="F33" s="1">
        <f>D33*E33</f>
        <v>0</v>
      </c>
      <c r="G33" s="26">
        <f>+F33*0.0725</f>
        <v>0</v>
      </c>
    </row>
    <row r="34" spans="2:9" x14ac:dyDescent="0.25">
      <c r="B34" s="154"/>
      <c r="C34" s="154" t="s">
        <v>965</v>
      </c>
      <c r="D34" s="280">
        <v>0</v>
      </c>
      <c r="E34" s="266">
        <v>0</v>
      </c>
      <c r="F34" s="1">
        <f>D34*E34</f>
        <v>0</v>
      </c>
      <c r="G34" s="26">
        <f>+F34*0.0725</f>
        <v>0</v>
      </c>
    </row>
    <row r="35" spans="2:9" x14ac:dyDescent="0.25">
      <c r="B35" s="154"/>
      <c r="C35" s="154" t="s">
        <v>966</v>
      </c>
      <c r="D35" s="280">
        <v>0</v>
      </c>
      <c r="E35" s="266">
        <v>0</v>
      </c>
      <c r="F35" s="1">
        <f>D35*E35</f>
        <v>0</v>
      </c>
      <c r="G35" s="26">
        <f>+F35*0.0725</f>
        <v>0</v>
      </c>
    </row>
    <row r="36" spans="2:9" x14ac:dyDescent="0.25">
      <c r="B36" s="28" t="s">
        <v>967</v>
      </c>
      <c r="C36" s="154"/>
      <c r="D36" s="280">
        <v>0</v>
      </c>
      <c r="E36" s="266">
        <v>8800</v>
      </c>
      <c r="F36" s="1">
        <f>D36*E36</f>
        <v>0</v>
      </c>
      <c r="G36" s="26">
        <f>+F36*0.0725</f>
        <v>0</v>
      </c>
    </row>
    <row r="37" spans="2:9" x14ac:dyDescent="0.25">
      <c r="B37" s="154"/>
      <c r="C37" s="154"/>
      <c r="D37" s="280">
        <v>0</v>
      </c>
      <c r="E37" s="266">
        <v>0</v>
      </c>
      <c r="F37" s="1">
        <f>D37*E37</f>
        <v>0</v>
      </c>
      <c r="G37" s="26">
        <f>+F37*0.0725</f>
        <v>0</v>
      </c>
    </row>
    <row r="38" spans="2:9" ht="15.75" thickBot="1" x14ac:dyDescent="0.3">
      <c r="F38" s="21"/>
      <c r="G38" s="21"/>
      <c r="H38" s="21"/>
    </row>
    <row r="39" spans="2:9" x14ac:dyDescent="0.25">
      <c r="I39" s="14">
        <f>IF(L11="No",+SUM(F33:G37),0)</f>
        <v>0</v>
      </c>
    </row>
    <row r="41" spans="2:9" x14ac:dyDescent="0.25">
      <c r="B41" s="32" t="s">
        <v>968</v>
      </c>
    </row>
    <row r="42" spans="2:9" x14ac:dyDescent="0.25">
      <c r="B42" s="3" t="s">
        <v>720</v>
      </c>
      <c r="C42" s="3" t="s">
        <v>849</v>
      </c>
      <c r="D42" s="3" t="s">
        <v>788</v>
      </c>
      <c r="E42" s="8" t="s">
        <v>789</v>
      </c>
      <c r="F42" s="13" t="s">
        <v>790</v>
      </c>
      <c r="G42" s="13"/>
      <c r="H42" s="13" t="s">
        <v>791</v>
      </c>
    </row>
    <row r="43" spans="2:9" x14ac:dyDescent="0.25">
      <c r="B43" s="284" t="s">
        <v>969</v>
      </c>
      <c r="C43" s="284"/>
      <c r="D43" s="284">
        <v>0</v>
      </c>
      <c r="E43" s="285">
        <v>1100</v>
      </c>
      <c r="F43" s="14">
        <f t="shared" ref="F43:F48" si="5">+D43*E43</f>
        <v>0</v>
      </c>
      <c r="G43" s="26">
        <f t="shared" ref="G43:G48" si="6">+F43*0.0725</f>
        <v>0</v>
      </c>
      <c r="H43" s="13"/>
    </row>
    <row r="44" spans="2:9" x14ac:dyDescent="0.25">
      <c r="B44" s="154" t="s">
        <v>970</v>
      </c>
      <c r="C44" s="154">
        <v>400390</v>
      </c>
      <c r="D44" s="280">
        <v>0</v>
      </c>
      <c r="E44" s="266">
        <v>2.0499999999999998</v>
      </c>
      <c r="F44" s="14">
        <f t="shared" si="5"/>
        <v>0</v>
      </c>
      <c r="G44" s="26">
        <f t="shared" si="6"/>
        <v>0</v>
      </c>
    </row>
    <row r="45" spans="2:9" x14ac:dyDescent="0.25">
      <c r="B45" s="154" t="s">
        <v>971</v>
      </c>
      <c r="C45" s="154">
        <v>376787</v>
      </c>
      <c r="D45" s="280">
        <v>0</v>
      </c>
      <c r="E45" s="266">
        <v>4.9800000000000004</v>
      </c>
      <c r="F45" s="14">
        <f t="shared" si="5"/>
        <v>0</v>
      </c>
      <c r="G45" s="26">
        <f t="shared" si="6"/>
        <v>0</v>
      </c>
    </row>
    <row r="46" spans="2:9" x14ac:dyDescent="0.25">
      <c r="B46" s="154" t="s">
        <v>347</v>
      </c>
      <c r="C46" s="154" t="s">
        <v>347</v>
      </c>
      <c r="D46" s="280">
        <v>0</v>
      </c>
      <c r="E46" s="266">
        <v>0</v>
      </c>
      <c r="F46" s="14">
        <f t="shared" si="5"/>
        <v>0</v>
      </c>
      <c r="G46" s="26">
        <f t="shared" si="6"/>
        <v>0</v>
      </c>
    </row>
    <row r="47" spans="2:9" x14ac:dyDescent="0.25">
      <c r="B47" s="154" t="s">
        <v>972</v>
      </c>
      <c r="C47" s="154">
        <v>2280072</v>
      </c>
      <c r="D47" s="280">
        <v>0</v>
      </c>
      <c r="E47" s="266">
        <v>18.97</v>
      </c>
      <c r="F47" s="14">
        <f t="shared" si="5"/>
        <v>0</v>
      </c>
      <c r="G47" s="26">
        <f t="shared" si="6"/>
        <v>0</v>
      </c>
    </row>
    <row r="48" spans="2:9" ht="15.75" thickBot="1" x14ac:dyDescent="0.3">
      <c r="B48" s="154" t="s">
        <v>973</v>
      </c>
      <c r="C48" s="154">
        <v>1000707539</v>
      </c>
      <c r="D48" s="280">
        <v>0</v>
      </c>
      <c r="E48" s="266">
        <v>1.98</v>
      </c>
      <c r="F48" s="21">
        <f t="shared" si="5"/>
        <v>0</v>
      </c>
      <c r="G48" s="21">
        <f t="shared" si="6"/>
        <v>0</v>
      </c>
      <c r="H48" s="21"/>
    </row>
    <row r="49" spans="9:11" x14ac:dyDescent="0.25">
      <c r="I49" s="14">
        <f>IF(L21="No",+SUM(F43:G48),0)</f>
        <v>0</v>
      </c>
    </row>
    <row r="50" spans="9:11" ht="15.75" thickBot="1" x14ac:dyDescent="0.3">
      <c r="I50" s="21"/>
      <c r="K50" s="3" t="s">
        <v>347</v>
      </c>
    </row>
    <row r="51" spans="9:11" x14ac:dyDescent="0.25">
      <c r="I51" s="14">
        <f>SUM(I4:I49)</f>
        <v>1000</v>
      </c>
      <c r="K51" s="14"/>
    </row>
  </sheetData>
  <mergeCells count="3">
    <mergeCell ref="K2:K3"/>
    <mergeCell ref="L2:L3"/>
    <mergeCell ref="M2:M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P51"/>
  <sheetViews>
    <sheetView workbookViewId="0">
      <pane ySplit="2" topLeftCell="A16" activePane="bottomLeft" state="frozen"/>
      <selection pane="bottomLeft" activeCell="H46" sqref="H46"/>
    </sheetView>
  </sheetViews>
  <sheetFormatPr defaultRowHeight="15" x14ac:dyDescent="0.25"/>
  <cols>
    <col min="1" max="1" width="17.42578125" bestFit="1" customWidth="1"/>
    <col min="2" max="2" width="17.42578125" style="12" customWidth="1"/>
    <col min="3" max="3" width="51.85546875" style="2"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s>
  <sheetData>
    <row r="1" spans="1:14" x14ac:dyDescent="0.25">
      <c r="C1" s="32" t="s">
        <v>974</v>
      </c>
      <c r="D1" s="32"/>
      <c r="E1" s="32"/>
      <c r="L1" s="942" t="s">
        <v>8</v>
      </c>
      <c r="M1" s="942" t="str">
        <f>IF(Profit!Q6,IF(N1,"Yes","No"),"No")</f>
        <v>No</v>
      </c>
      <c r="N1" s="946" t="b">
        <v>0</v>
      </c>
    </row>
    <row r="2" spans="1:14" s="3" customFormat="1" ht="15.75" thickBot="1" x14ac:dyDescent="0.3">
      <c r="B2" s="503" t="s">
        <v>111</v>
      </c>
      <c r="C2" s="3" t="s">
        <v>720</v>
      </c>
      <c r="D2" s="3" t="s">
        <v>975</v>
      </c>
      <c r="E2" s="3" t="s">
        <v>976</v>
      </c>
      <c r="F2" s="3" t="s">
        <v>739</v>
      </c>
      <c r="G2" s="3" t="s">
        <v>688</v>
      </c>
      <c r="H2" s="8" t="s">
        <v>789</v>
      </c>
      <c r="I2" s="6" t="s">
        <v>790</v>
      </c>
      <c r="J2" s="13" t="s">
        <v>679</v>
      </c>
      <c r="K2" s="3" t="s">
        <v>791</v>
      </c>
      <c r="L2" s="943"/>
      <c r="M2" s="943"/>
      <c r="N2" s="947"/>
    </row>
    <row r="3" spans="1:14" s="3" customFormat="1" x14ac:dyDescent="0.25">
      <c r="A3" s="464"/>
      <c r="B3" s="611"/>
      <c r="C3" s="464" t="s">
        <v>850</v>
      </c>
      <c r="D3" s="464"/>
      <c r="E3" s="471">
        <f>+Profit!K9</f>
        <v>1976</v>
      </c>
      <c r="F3" s="464"/>
      <c r="G3" s="464"/>
      <c r="H3" s="465"/>
      <c r="I3" s="475"/>
      <c r="J3" s="466"/>
      <c r="L3"/>
      <c r="M3"/>
      <c r="N3" s="5"/>
    </row>
    <row r="4" spans="1:14" s="3" customFormat="1" x14ac:dyDescent="0.25">
      <c r="A4" s="459" t="s">
        <v>977</v>
      </c>
      <c r="B4" s="612"/>
      <c r="C4" s="459" t="s">
        <v>978</v>
      </c>
      <c r="D4" s="459"/>
      <c r="E4" s="459"/>
      <c r="F4" s="459" t="s">
        <v>979</v>
      </c>
      <c r="G4" s="473">
        <f>+E3/84.45</f>
        <v>23.398460627590289</v>
      </c>
      <c r="H4" s="467">
        <v>23</v>
      </c>
      <c r="I4" s="467">
        <f>+G4*H4</f>
        <v>538.16459443457666</v>
      </c>
      <c r="J4" s="468">
        <f>+I4*0.0725</f>
        <v>39.016933096506804</v>
      </c>
      <c r="L4"/>
      <c r="M4"/>
      <c r="N4" s="5"/>
    </row>
    <row r="5" spans="1:14" s="3" customFormat="1" x14ac:dyDescent="0.25">
      <c r="A5" s="459" t="s">
        <v>980</v>
      </c>
      <c r="B5" s="612"/>
      <c r="C5" s="459" t="s">
        <v>981</v>
      </c>
      <c r="D5" s="459"/>
      <c r="E5" s="459"/>
      <c r="F5" s="459" t="s">
        <v>982</v>
      </c>
      <c r="G5" s="473">
        <f>+$E$3/168.9</f>
        <v>11.699230313795145</v>
      </c>
      <c r="H5" s="467">
        <v>33.99</v>
      </c>
      <c r="I5" s="467">
        <f t="shared" ref="I5:I7" si="0">+G5*H5</f>
        <v>397.65683836589699</v>
      </c>
      <c r="J5" s="468">
        <f t="shared" ref="J5" si="1">+I5*0.0725</f>
        <v>28.83012078152753</v>
      </c>
      <c r="L5"/>
      <c r="M5"/>
      <c r="N5" s="5"/>
    </row>
    <row r="6" spans="1:14" s="3" customFormat="1" x14ac:dyDescent="0.25">
      <c r="A6" s="459" t="s">
        <v>983</v>
      </c>
      <c r="B6" s="612"/>
      <c r="C6" s="459" t="s">
        <v>984</v>
      </c>
      <c r="D6" s="459"/>
      <c r="E6" s="459"/>
      <c r="F6" s="459">
        <v>185342</v>
      </c>
      <c r="G6" s="473">
        <f>+$E$3/168.9</f>
        <v>11.699230313795145</v>
      </c>
      <c r="H6" s="460">
        <f>147/5</f>
        <v>29.4</v>
      </c>
      <c r="I6" s="467">
        <f t="shared" si="0"/>
        <v>343.95737122557722</v>
      </c>
      <c r="J6" s="468">
        <f>+I6*0.0725</f>
        <v>24.936909413854348</v>
      </c>
      <c r="L6"/>
      <c r="M6"/>
      <c r="N6" s="5"/>
    </row>
    <row r="7" spans="1:14" x14ac:dyDescent="0.25">
      <c r="A7" s="459" t="s">
        <v>985</v>
      </c>
      <c r="B7" s="612"/>
      <c r="C7" s="459" t="s">
        <v>986</v>
      </c>
      <c r="D7" s="459"/>
      <c r="E7" s="459"/>
      <c r="F7" s="459">
        <v>985007</v>
      </c>
      <c r="G7" s="473">
        <f>3/2526</f>
        <v>1.1876484560570072E-3</v>
      </c>
      <c r="H7" s="467">
        <v>52.23</v>
      </c>
      <c r="I7" s="467">
        <f t="shared" si="0"/>
        <v>6.2030878859857481E-2</v>
      </c>
      <c r="J7" s="468">
        <f t="shared" ref="J7" si="2">+I7*0.0725</f>
        <v>4.4972387173396675E-3</v>
      </c>
      <c r="K7"/>
    </row>
    <row r="8" spans="1:14" x14ac:dyDescent="0.25">
      <c r="A8" s="459" t="s">
        <v>987</v>
      </c>
      <c r="B8" s="612"/>
      <c r="C8" s="459"/>
      <c r="D8" s="459"/>
      <c r="E8" s="471">
        <f>+$E$3</f>
        <v>1976</v>
      </c>
      <c r="F8" s="459" t="s">
        <v>988</v>
      </c>
      <c r="G8" s="474">
        <v>5.1528384279475983</v>
      </c>
      <c r="H8" s="467">
        <v>2.41</v>
      </c>
      <c r="I8" s="467">
        <f>G8*$E$3</f>
        <v>10182.008733624454</v>
      </c>
      <c r="J8" s="472"/>
      <c r="K8"/>
    </row>
    <row r="9" spans="1:14" s="3" customFormat="1" x14ac:dyDescent="0.25">
      <c r="B9" s="503"/>
      <c r="G9" s="940" t="s">
        <v>989</v>
      </c>
      <c r="H9" s="941"/>
      <c r="I9" s="941"/>
      <c r="J9" s="30"/>
      <c r="K9" s="1">
        <f>IF(M1="Yes",SUM(I4:I8)+SUM(J4:J8),0)</f>
        <v>0</v>
      </c>
      <c r="L9"/>
      <c r="M9"/>
      <c r="N9" s="5"/>
    </row>
    <row r="10" spans="1:14" s="3" customFormat="1" x14ac:dyDescent="0.25">
      <c r="B10" s="503"/>
      <c r="L10"/>
      <c r="M10"/>
      <c r="N10" s="5"/>
    </row>
    <row r="11" spans="1:14" s="3" customFormat="1" x14ac:dyDescent="0.25">
      <c r="A11" t="s">
        <v>977</v>
      </c>
      <c r="B11" s="12"/>
      <c r="D11" s="32"/>
      <c r="L11"/>
      <c r="M11"/>
      <c r="N11" s="5"/>
    </row>
    <row r="12" spans="1:14" x14ac:dyDescent="0.25">
      <c r="C12" s="154" t="s">
        <v>978</v>
      </c>
      <c r="D12" s="154"/>
      <c r="F12" s="154" t="s">
        <v>979</v>
      </c>
      <c r="G12" s="280">
        <v>0</v>
      </c>
      <c r="H12" s="266">
        <v>68.540000000000006</v>
      </c>
      <c r="I12" s="5">
        <f t="shared" ref="I12:I18" si="3">+G12*H12</f>
        <v>0</v>
      </c>
      <c r="J12" s="26">
        <f t="shared" ref="J12:J18" si="4">+I12*0.0725</f>
        <v>0</v>
      </c>
      <c r="K12"/>
      <c r="N12" s="5"/>
    </row>
    <row r="13" spans="1:14" x14ac:dyDescent="0.25">
      <c r="C13" s="154" t="s">
        <v>990</v>
      </c>
      <c r="D13" s="154" t="s">
        <v>991</v>
      </c>
      <c r="F13" s="154" t="s">
        <v>992</v>
      </c>
      <c r="G13" s="280">
        <v>0</v>
      </c>
      <c r="H13" s="266">
        <f>35.99*5</f>
        <v>179.95000000000002</v>
      </c>
      <c r="I13" s="5">
        <f t="shared" si="3"/>
        <v>0</v>
      </c>
      <c r="J13" s="26">
        <f t="shared" si="4"/>
        <v>0</v>
      </c>
      <c r="K13"/>
      <c r="N13" s="5"/>
    </row>
    <row r="14" spans="1:14" x14ac:dyDescent="0.25">
      <c r="B14" s="12">
        <v>46027</v>
      </c>
      <c r="C14" s="459" t="s">
        <v>993</v>
      </c>
      <c r="D14" s="154" t="s">
        <v>994</v>
      </c>
      <c r="F14" s="154" t="s">
        <v>992</v>
      </c>
      <c r="G14" s="280">
        <v>10</v>
      </c>
      <c r="H14" s="266">
        <v>0</v>
      </c>
      <c r="I14" s="5">
        <f t="shared" si="3"/>
        <v>0</v>
      </c>
      <c r="J14" s="26">
        <f t="shared" si="4"/>
        <v>0</v>
      </c>
      <c r="K14"/>
      <c r="N14" s="5"/>
    </row>
    <row r="15" spans="1:14" x14ac:dyDescent="0.25">
      <c r="B15" s="12">
        <v>46027</v>
      </c>
      <c r="C15" s="154" t="s">
        <v>995</v>
      </c>
      <c r="D15" s="154" t="s">
        <v>996</v>
      </c>
      <c r="F15" s="154" t="s">
        <v>997</v>
      </c>
      <c r="G15" s="280">
        <v>10</v>
      </c>
      <c r="H15" s="266">
        <v>46.7</v>
      </c>
      <c r="I15" s="5">
        <f t="shared" si="3"/>
        <v>467</v>
      </c>
      <c r="J15" s="26">
        <f t="shared" si="4"/>
        <v>33.857499999999995</v>
      </c>
      <c r="K15"/>
    </row>
    <row r="16" spans="1:14" x14ac:dyDescent="0.25">
      <c r="A16" t="s">
        <v>980</v>
      </c>
      <c r="B16" s="12">
        <v>46027</v>
      </c>
      <c r="C16" s="154" t="s">
        <v>998</v>
      </c>
      <c r="D16" s="154"/>
      <c r="F16" s="154"/>
      <c r="G16" s="280">
        <v>10</v>
      </c>
      <c r="H16" s="266">
        <f>-H15/2</f>
        <v>-23.35</v>
      </c>
      <c r="I16" s="5">
        <f t="shared" si="3"/>
        <v>-233.5</v>
      </c>
      <c r="J16" s="26">
        <f t="shared" si="4"/>
        <v>-16.928749999999997</v>
      </c>
      <c r="K16"/>
    </row>
    <row r="17" spans="1:11" x14ac:dyDescent="0.25">
      <c r="B17" s="12">
        <v>46041</v>
      </c>
      <c r="C17" s="154" t="s">
        <v>999</v>
      </c>
      <c r="D17" s="154"/>
      <c r="F17" s="613" t="s">
        <v>1000</v>
      </c>
      <c r="G17" s="280">
        <v>1</v>
      </c>
      <c r="H17" s="266">
        <v>228.7</v>
      </c>
      <c r="I17" s="5">
        <f t="shared" si="3"/>
        <v>228.7</v>
      </c>
      <c r="J17" s="26">
        <f t="shared" si="4"/>
        <v>16.580749999999998</v>
      </c>
      <c r="K17"/>
    </row>
    <row r="18" spans="1:11" x14ac:dyDescent="0.25">
      <c r="C18" s="154" t="s">
        <v>1001</v>
      </c>
      <c r="D18" s="154"/>
      <c r="F18" s="154" t="s">
        <v>1002</v>
      </c>
      <c r="G18" s="280">
        <v>0</v>
      </c>
      <c r="H18" s="266">
        <v>65.64</v>
      </c>
      <c r="I18" s="5">
        <f t="shared" si="3"/>
        <v>0</v>
      </c>
      <c r="J18" s="26">
        <f t="shared" si="4"/>
        <v>0</v>
      </c>
      <c r="K18"/>
    </row>
    <row r="20" spans="1:11" x14ac:dyDescent="0.25">
      <c r="K20"/>
    </row>
    <row r="21" spans="1:11" x14ac:dyDescent="0.25">
      <c r="C21" s="154" t="s">
        <v>1003</v>
      </c>
      <c r="D21" s="154"/>
      <c r="F21" s="154" t="s">
        <v>982</v>
      </c>
      <c r="G21" s="280"/>
      <c r="H21" s="266">
        <v>33.99</v>
      </c>
      <c r="I21" s="5">
        <f>+G21*H21</f>
        <v>0</v>
      </c>
      <c r="J21" s="26">
        <f>+I21*0.0725</f>
        <v>0</v>
      </c>
      <c r="K21"/>
    </row>
    <row r="22" spans="1:11" x14ac:dyDescent="0.25">
      <c r="C22" s="154" t="s">
        <v>981</v>
      </c>
      <c r="D22" s="154"/>
      <c r="F22" s="154" t="s">
        <v>982</v>
      </c>
      <c r="G22" s="280"/>
      <c r="H22" s="266">
        <v>33.99</v>
      </c>
      <c r="I22" s="5">
        <f t="shared" ref="I22:I31" si="5">+G22*H22</f>
        <v>0</v>
      </c>
      <c r="J22" s="26">
        <f t="shared" ref="J22:J31" si="6">+I22*0.0725</f>
        <v>0</v>
      </c>
      <c r="K22"/>
    </row>
    <row r="23" spans="1:11" x14ac:dyDescent="0.25">
      <c r="A23" t="s">
        <v>983</v>
      </c>
      <c r="C23" s="154" t="s">
        <v>984</v>
      </c>
      <c r="D23" s="154"/>
      <c r="F23" s="154">
        <v>185342</v>
      </c>
      <c r="G23" s="280"/>
      <c r="H23" s="280">
        <f>147/5</f>
        <v>29.4</v>
      </c>
      <c r="I23" s="5">
        <f t="shared" si="5"/>
        <v>0</v>
      </c>
      <c r="J23" s="26">
        <f t="shared" si="6"/>
        <v>0</v>
      </c>
      <c r="K23"/>
    </row>
    <row r="24" spans="1:11" x14ac:dyDescent="0.25">
      <c r="B24" s="12">
        <v>46027</v>
      </c>
      <c r="C24" s="154" t="s">
        <v>1004</v>
      </c>
      <c r="D24" s="154"/>
      <c r="F24" s="154" t="s">
        <v>1005</v>
      </c>
      <c r="G24" s="280">
        <v>10</v>
      </c>
      <c r="H24" s="266">
        <v>22.86</v>
      </c>
      <c r="I24" s="5">
        <f t="shared" si="5"/>
        <v>228.6</v>
      </c>
      <c r="J24" s="26">
        <f t="shared" si="6"/>
        <v>16.573499999999999</v>
      </c>
      <c r="K24"/>
    </row>
    <row r="25" spans="1:11" x14ac:dyDescent="0.25">
      <c r="A25" t="s">
        <v>985</v>
      </c>
      <c r="B25" s="12">
        <v>46027</v>
      </c>
      <c r="C25" s="459" t="s">
        <v>1006</v>
      </c>
      <c r="D25" s="154"/>
      <c r="F25" s="154"/>
      <c r="G25" s="280">
        <v>10</v>
      </c>
      <c r="H25" s="266">
        <v>0</v>
      </c>
      <c r="I25" s="5">
        <f t="shared" si="5"/>
        <v>0</v>
      </c>
      <c r="J25" s="26">
        <f t="shared" si="6"/>
        <v>0</v>
      </c>
      <c r="K25"/>
    </row>
    <row r="26" spans="1:11" x14ac:dyDescent="0.25">
      <c r="B26" s="12">
        <v>46041</v>
      </c>
      <c r="C26" s="154" t="s">
        <v>1007</v>
      </c>
      <c r="D26" s="154" t="s">
        <v>1008</v>
      </c>
      <c r="F26" s="613" t="s">
        <v>1009</v>
      </c>
      <c r="G26" s="280">
        <v>1</v>
      </c>
      <c r="H26" s="266">
        <v>150</v>
      </c>
      <c r="I26" s="5">
        <f t="shared" si="5"/>
        <v>150</v>
      </c>
      <c r="J26" s="26">
        <f t="shared" si="6"/>
        <v>10.875</v>
      </c>
      <c r="K26"/>
    </row>
    <row r="27" spans="1:11" x14ac:dyDescent="0.25">
      <c r="C27" s="154" t="s">
        <v>1010</v>
      </c>
      <c r="D27" s="154"/>
      <c r="F27" s="154">
        <v>389832</v>
      </c>
      <c r="G27" s="280">
        <v>0</v>
      </c>
      <c r="H27" s="266">
        <v>39.979999999999997</v>
      </c>
      <c r="I27" s="5">
        <f t="shared" si="5"/>
        <v>0</v>
      </c>
      <c r="J27" s="26">
        <f t="shared" si="6"/>
        <v>0</v>
      </c>
      <c r="K27"/>
    </row>
    <row r="28" spans="1:11" x14ac:dyDescent="0.25">
      <c r="C28" s="154" t="s">
        <v>986</v>
      </c>
      <c r="D28" s="154"/>
      <c r="F28" s="154">
        <v>985007</v>
      </c>
      <c r="G28" s="280"/>
      <c r="H28" s="266">
        <v>52.23</v>
      </c>
      <c r="I28" s="5">
        <f t="shared" si="5"/>
        <v>0</v>
      </c>
      <c r="J28" s="26">
        <f t="shared" si="6"/>
        <v>0</v>
      </c>
      <c r="K28"/>
    </row>
    <row r="29" spans="1:11" x14ac:dyDescent="0.25">
      <c r="C29" s="154" t="s">
        <v>1011</v>
      </c>
      <c r="D29" s="154"/>
      <c r="F29" s="154">
        <v>814917</v>
      </c>
      <c r="G29" s="280"/>
      <c r="H29" s="266">
        <f>109/5</f>
        <v>21.8</v>
      </c>
      <c r="I29" s="5">
        <f t="shared" si="5"/>
        <v>0</v>
      </c>
      <c r="J29" s="26">
        <f t="shared" si="6"/>
        <v>0</v>
      </c>
      <c r="K29"/>
    </row>
    <row r="30" spans="1:11" x14ac:dyDescent="0.25">
      <c r="C30" s="154" t="s">
        <v>1012</v>
      </c>
      <c r="D30" s="154"/>
      <c r="F30" s="154" t="s">
        <v>1013</v>
      </c>
      <c r="G30" s="280">
        <v>0</v>
      </c>
      <c r="H30" s="266">
        <v>40</v>
      </c>
      <c r="I30" s="5">
        <f t="shared" si="5"/>
        <v>0</v>
      </c>
      <c r="J30" s="26">
        <f t="shared" si="6"/>
        <v>0</v>
      </c>
      <c r="K30"/>
    </row>
    <row r="31" spans="1:11" x14ac:dyDescent="0.25">
      <c r="C31" s="2" t="s">
        <v>1014</v>
      </c>
      <c r="F31" s="154" t="s">
        <v>1015</v>
      </c>
      <c r="G31" s="280">
        <v>0</v>
      </c>
      <c r="H31" s="266">
        <v>50.24</v>
      </c>
      <c r="I31" s="5">
        <f t="shared" si="5"/>
        <v>0</v>
      </c>
      <c r="J31" s="26">
        <f t="shared" si="6"/>
        <v>0</v>
      </c>
    </row>
    <row r="32" spans="1:11" x14ac:dyDescent="0.25">
      <c r="A32" t="s">
        <v>932</v>
      </c>
      <c r="D32" s="32"/>
      <c r="E32" s="155">
        <v>0</v>
      </c>
      <c r="G32"/>
      <c r="H32" s="5"/>
      <c r="J32" s="1"/>
      <c r="K32"/>
    </row>
    <row r="33" spans="1:16" x14ac:dyDescent="0.25">
      <c r="C33" s="154" t="s">
        <v>1016</v>
      </c>
      <c r="D33" s="154" t="s">
        <v>1017</v>
      </c>
      <c r="E33" s="282"/>
      <c r="F33" s="154" t="s">
        <v>1018</v>
      </c>
      <c r="G33" s="280">
        <v>0</v>
      </c>
      <c r="H33" s="266">
        <v>74.37</v>
      </c>
      <c r="I33" s="5">
        <f t="shared" ref="I33:I34" si="7">+G33*H33</f>
        <v>0</v>
      </c>
      <c r="J33" s="26">
        <f t="shared" ref="J33:J34" si="8">+I33*0.0725</f>
        <v>0</v>
      </c>
      <c r="K33"/>
    </row>
    <row r="34" spans="1:16" x14ac:dyDescent="0.25">
      <c r="C34" s="154" t="s">
        <v>1019</v>
      </c>
      <c r="D34" s="154"/>
      <c r="F34" s="154"/>
      <c r="G34" s="280"/>
      <c r="H34" s="266"/>
      <c r="I34" s="5">
        <f t="shared" si="7"/>
        <v>0</v>
      </c>
      <c r="J34" s="26">
        <f t="shared" si="8"/>
        <v>0</v>
      </c>
      <c r="K34"/>
    </row>
    <row r="35" spans="1:16" x14ac:dyDescent="0.25">
      <c r="E35" s="205">
        <f>+E3</f>
        <v>1976</v>
      </c>
      <c r="G35"/>
      <c r="H35" s="5"/>
      <c r="J35" s="1"/>
      <c r="K35"/>
    </row>
    <row r="36" spans="1:16" x14ac:dyDescent="0.25">
      <c r="A36" t="s">
        <v>1020</v>
      </c>
      <c r="D36" s="32"/>
      <c r="E36" s="155">
        <v>0</v>
      </c>
      <c r="G36"/>
      <c r="H36" s="5"/>
      <c r="J36" s="1"/>
      <c r="K36"/>
    </row>
    <row r="37" spans="1:16" x14ac:dyDescent="0.25">
      <c r="C37" s="154" t="s">
        <v>1021</v>
      </c>
      <c r="D37" s="154" t="s">
        <v>1022</v>
      </c>
      <c r="E37" s="282"/>
      <c r="F37" s="154" t="s">
        <v>1023</v>
      </c>
      <c r="G37" s="280"/>
      <c r="H37" s="266">
        <v>55.99</v>
      </c>
      <c r="I37" s="5">
        <f t="shared" ref="I37:I41" si="9">+G37*H37</f>
        <v>0</v>
      </c>
      <c r="J37" s="26">
        <f t="shared" ref="J37:J41" si="10">+I37*0.0725</f>
        <v>0</v>
      </c>
      <c r="K37"/>
    </row>
    <row r="38" spans="1:16" x14ac:dyDescent="0.25">
      <c r="A38" t="s">
        <v>1024</v>
      </c>
      <c r="D38" s="32"/>
      <c r="E38" s="155">
        <v>500</v>
      </c>
      <c r="G38" s="280"/>
      <c r="H38" s="266"/>
      <c r="I38" s="5">
        <f t="shared" si="9"/>
        <v>0</v>
      </c>
      <c r="J38" s="26">
        <f t="shared" si="10"/>
        <v>0</v>
      </c>
      <c r="K38"/>
    </row>
    <row r="39" spans="1:16" x14ac:dyDescent="0.25">
      <c r="C39" s="154" t="s">
        <v>1025</v>
      </c>
      <c r="D39" s="154"/>
      <c r="F39" s="154" t="s">
        <v>1026</v>
      </c>
      <c r="G39" s="280">
        <v>0</v>
      </c>
      <c r="H39" s="266">
        <v>47.98</v>
      </c>
      <c r="I39" s="5">
        <f t="shared" si="9"/>
        <v>0</v>
      </c>
      <c r="J39" s="26">
        <f t="shared" si="10"/>
        <v>0</v>
      </c>
      <c r="K39"/>
    </row>
    <row r="40" spans="1:16" x14ac:dyDescent="0.25">
      <c r="C40" s="2" t="s">
        <v>1027</v>
      </c>
      <c r="F40" s="154" t="s">
        <v>1028</v>
      </c>
      <c r="G40" s="280">
        <v>0</v>
      </c>
      <c r="H40" s="266">
        <v>48.98</v>
      </c>
      <c r="I40" s="5">
        <f t="shared" si="9"/>
        <v>0</v>
      </c>
      <c r="J40" s="26">
        <f t="shared" si="10"/>
        <v>0</v>
      </c>
      <c r="K40"/>
      <c r="L40" s="2"/>
    </row>
    <row r="41" spans="1:16" x14ac:dyDescent="0.25">
      <c r="G41" s="280">
        <v>0</v>
      </c>
      <c r="H41" s="266"/>
      <c r="I41" s="5">
        <f t="shared" si="9"/>
        <v>0</v>
      </c>
      <c r="J41" s="26">
        <f t="shared" si="10"/>
        <v>0</v>
      </c>
      <c r="L41" s="2"/>
    </row>
    <row r="42" spans="1:16" ht="15.75" thickBot="1" x14ac:dyDescent="0.3">
      <c r="G42"/>
      <c r="H42" s="5"/>
      <c r="I42" s="335"/>
      <c r="J42" s="283"/>
      <c r="K42" s="29"/>
    </row>
    <row r="43" spans="1:16" x14ac:dyDescent="0.25">
      <c r="G43" s="940" t="s">
        <v>1029</v>
      </c>
      <c r="H43" s="941"/>
      <c r="I43" s="941"/>
      <c r="J43" s="30"/>
      <c r="K43" s="5">
        <f>IF($M$1="No",SUM(I12:I42)+SUM(J12:J42),0)</f>
        <v>901.75799999999992</v>
      </c>
      <c r="P43" s="2"/>
    </row>
    <row r="45" spans="1:16" x14ac:dyDescent="0.25">
      <c r="C45" s="2" t="s">
        <v>987</v>
      </c>
      <c r="G45"/>
      <c r="H45" s="5"/>
      <c r="I45" s="1"/>
      <c r="J45" s="1"/>
      <c r="K45"/>
    </row>
    <row r="46" spans="1:16" x14ac:dyDescent="0.25">
      <c r="C46" s="154" t="s">
        <v>1030</v>
      </c>
      <c r="D46" s="154"/>
      <c r="E46" s="205">
        <f>+$E$3</f>
        <v>1976</v>
      </c>
      <c r="F46" s="154" t="s">
        <v>988</v>
      </c>
      <c r="G46" s="280">
        <v>0</v>
      </c>
      <c r="H46" s="266" t="s">
        <v>1151</v>
      </c>
      <c r="I46" s="1" t="str">
        <f>IF(G46="yes",E46*#REF!,H46)</f>
        <v>E</v>
      </c>
      <c r="J46" s="1"/>
      <c r="K46"/>
    </row>
    <row r="47" spans="1:16" x14ac:dyDescent="0.25">
      <c r="C47" s="154" t="s">
        <v>987</v>
      </c>
      <c r="D47" s="154"/>
      <c r="E47" s="205">
        <v>200</v>
      </c>
      <c r="F47" s="154" t="s">
        <v>1031</v>
      </c>
      <c r="G47" s="280">
        <v>0</v>
      </c>
      <c r="H47" s="266">
        <v>0</v>
      </c>
      <c r="I47" s="1">
        <f>IF(G47="yes",E47*#REF!,H47)</f>
        <v>0</v>
      </c>
      <c r="J47" s="1"/>
      <c r="K47"/>
    </row>
    <row r="48" spans="1:16" ht="15.75" thickBot="1" x14ac:dyDescent="0.3">
      <c r="C48" s="154" t="s">
        <v>987</v>
      </c>
      <c r="D48" s="154"/>
      <c r="E48" s="205">
        <f>+$E$3</f>
        <v>1976</v>
      </c>
      <c r="F48" s="154" t="s">
        <v>1032</v>
      </c>
      <c r="G48" s="280">
        <v>0</v>
      </c>
      <c r="H48" s="266">
        <v>0</v>
      </c>
      <c r="I48" s="1">
        <f>IF(G48="yes",E48*#REF!,H48)</f>
        <v>0</v>
      </c>
      <c r="J48" s="1"/>
      <c r="K48" s="23"/>
      <c r="M48" s="3"/>
    </row>
    <row r="49" spans="7:13" x14ac:dyDescent="0.25">
      <c r="G49"/>
      <c r="H49" s="5"/>
      <c r="I49" s="1"/>
      <c r="J49" s="1"/>
      <c r="K49" s="1">
        <f>IF($M$1="No",SUM(I46:J48),0)</f>
        <v>0</v>
      </c>
      <c r="M49" s="1"/>
    </row>
    <row r="50" spans="7:13" x14ac:dyDescent="0.25">
      <c r="G50"/>
      <c r="H50" s="5"/>
      <c r="I50" s="5" t="s">
        <v>1033</v>
      </c>
      <c r="L50" s="5">
        <f>SUM(K9:K49)</f>
        <v>901.75799999999992</v>
      </c>
    </row>
    <row r="51" spans="7:13" x14ac:dyDescent="0.25">
      <c r="G51"/>
      <c r="H51" s="5"/>
    </row>
  </sheetData>
  <mergeCells count="5">
    <mergeCell ref="G43:I43"/>
    <mergeCell ref="L1:L2"/>
    <mergeCell ref="M1:M2"/>
    <mergeCell ref="N1:N2"/>
    <mergeCell ref="G9:I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J6" sqref="J6"/>
    </sheetView>
  </sheetViews>
  <sheetFormatPr defaultRowHeight="15" x14ac:dyDescent="0.2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1034</v>
      </c>
      <c r="B1" s="32"/>
      <c r="J1" s="942" t="s">
        <v>8</v>
      </c>
      <c r="K1" s="942" t="str">
        <f>IF(Profit!Q6,IF(L1,"Yes","No"),"No")</f>
        <v>Yes</v>
      </c>
      <c r="L1" s="946" t="b">
        <v>1</v>
      </c>
    </row>
    <row r="2" spans="1:12" s="3" customFormat="1" ht="15.75" thickBot="1" x14ac:dyDescent="0.3">
      <c r="A2" s="287" t="s">
        <v>720</v>
      </c>
      <c r="B2" s="287" t="s">
        <v>976</v>
      </c>
      <c r="C2" s="287" t="s">
        <v>739</v>
      </c>
      <c r="D2" s="287" t="s">
        <v>688</v>
      </c>
      <c r="E2" s="287" t="s">
        <v>789</v>
      </c>
      <c r="F2" s="287" t="s">
        <v>790</v>
      </c>
      <c r="G2" s="287" t="s">
        <v>679</v>
      </c>
      <c r="H2" s="287" t="s">
        <v>791</v>
      </c>
      <c r="J2" s="943"/>
      <c r="K2" s="943"/>
      <c r="L2" s="947"/>
    </row>
    <row r="3" spans="1:12" x14ac:dyDescent="0.25">
      <c r="A3" s="464" t="s">
        <v>850</v>
      </c>
      <c r="B3" s="471">
        <f>+Profit!K9</f>
        <v>1976</v>
      </c>
      <c r="C3" s="459"/>
      <c r="D3" s="460"/>
      <c r="E3" s="467"/>
      <c r="F3" s="472"/>
      <c r="G3" s="468"/>
      <c r="H3" s="460"/>
      <c r="J3" s="3"/>
    </row>
    <row r="4" spans="1:12" x14ac:dyDescent="0.25">
      <c r="A4" s="459" t="s">
        <v>1035</v>
      </c>
      <c r="B4" s="471">
        <v>1976</v>
      </c>
      <c r="C4" s="459" t="s">
        <v>988</v>
      </c>
      <c r="D4" s="618">
        <v>2009</v>
      </c>
      <c r="E4" s="467">
        <v>2.1800000000000002</v>
      </c>
      <c r="F4" s="472">
        <f>+D4*E4</f>
        <v>4379.62</v>
      </c>
      <c r="G4" s="468"/>
      <c r="H4" s="460"/>
      <c r="J4" s="3"/>
    </row>
    <row r="5" spans="1:12" ht="15.75" thickBot="1" x14ac:dyDescent="0.3">
      <c r="A5" s="459" t="s">
        <v>961</v>
      </c>
      <c r="B5" s="471">
        <f>+B4</f>
        <v>1976</v>
      </c>
      <c r="C5" s="459"/>
      <c r="D5" s="618">
        <v>2009</v>
      </c>
      <c r="E5" s="460">
        <v>2.2482014388489207</v>
      </c>
      <c r="F5" s="472">
        <f>+D5*E5</f>
        <v>4516.6366906474814</v>
      </c>
      <c r="G5" s="468"/>
      <c r="H5" s="447"/>
      <c r="J5" s="3"/>
    </row>
    <row r="6" spans="1:12" x14ac:dyDescent="0.25">
      <c r="A6" s="459"/>
      <c r="B6" s="471"/>
      <c r="C6" s="459"/>
      <c r="D6" s="460"/>
      <c r="E6" s="467"/>
      <c r="F6" s="472"/>
      <c r="G6" s="468"/>
      <c r="H6" s="461">
        <f>IF(K1="Yes",SUM(F4:G5),0)</f>
        <v>8896.2566906474822</v>
      </c>
      <c r="J6" s="6">
        <f>SUM(F4:F5)</f>
        <v>8896.2566906474822</v>
      </c>
    </row>
    <row r="7" spans="1:12" x14ac:dyDescent="0.25">
      <c r="B7" s="205"/>
      <c r="D7"/>
      <c r="E7" s="5"/>
      <c r="F7" s="1"/>
      <c r="G7" s="26"/>
      <c r="H7"/>
      <c r="J7" s="3"/>
    </row>
    <row r="8" spans="1:12" x14ac:dyDescent="0.25">
      <c r="A8" s="154" t="s">
        <v>1036</v>
      </c>
      <c r="B8" s="221">
        <v>300</v>
      </c>
      <c r="C8" s="154" t="s">
        <v>988</v>
      </c>
      <c r="D8" s="280">
        <v>1</v>
      </c>
      <c r="E8" s="266">
        <f>8146/2526</f>
        <v>3.2248614410134602</v>
      </c>
      <c r="F8" s="472">
        <f t="shared" ref="F8:F20" si="0">B8*E8*D8</f>
        <v>967.45843230403807</v>
      </c>
      <c r="G8" s="26">
        <f t="shared" ref="G8:G20" si="1">+F8*0.0725</f>
        <v>70.140736342042757</v>
      </c>
      <c r="H8"/>
      <c r="I8" s="271"/>
    </row>
    <row r="9" spans="1:12" x14ac:dyDescent="0.25">
      <c r="A9" s="154" t="s">
        <v>1037</v>
      </c>
      <c r="B9" s="221">
        <v>800</v>
      </c>
      <c r="C9" s="154"/>
      <c r="D9" s="280">
        <v>0</v>
      </c>
      <c r="E9" s="266">
        <v>6.22</v>
      </c>
      <c r="F9" s="472">
        <f t="shared" si="0"/>
        <v>0</v>
      </c>
      <c r="G9" s="26">
        <f t="shared" si="1"/>
        <v>0</v>
      </c>
      <c r="H9"/>
    </row>
    <row r="10" spans="1:12" x14ac:dyDescent="0.25">
      <c r="A10" s="154" t="s">
        <v>1038</v>
      </c>
      <c r="B10" s="221">
        <v>1800</v>
      </c>
      <c r="C10" s="154"/>
      <c r="D10" s="280">
        <v>1</v>
      </c>
      <c r="E10" s="266">
        <v>3</v>
      </c>
      <c r="F10" s="472">
        <f t="shared" si="0"/>
        <v>5400</v>
      </c>
      <c r="G10" s="26">
        <f t="shared" si="1"/>
        <v>391.5</v>
      </c>
      <c r="H10"/>
    </row>
    <row r="11" spans="1:12" x14ac:dyDescent="0.25">
      <c r="A11" s="154"/>
      <c r="B11" s="221"/>
      <c r="C11" s="154"/>
      <c r="D11" s="280"/>
      <c r="E11" s="266"/>
      <c r="F11" s="472">
        <f t="shared" si="0"/>
        <v>0</v>
      </c>
      <c r="G11" s="26">
        <f t="shared" si="1"/>
        <v>0</v>
      </c>
      <c r="H11"/>
    </row>
    <row r="12" spans="1:12" x14ac:dyDescent="0.25">
      <c r="A12" s="154"/>
      <c r="B12" s="221"/>
      <c r="C12" s="154"/>
      <c r="D12" s="280"/>
      <c r="E12" s="266"/>
      <c r="F12" s="472">
        <f t="shared" si="0"/>
        <v>0</v>
      </c>
      <c r="G12" s="26">
        <f t="shared" si="1"/>
        <v>0</v>
      </c>
      <c r="H12"/>
    </row>
    <row r="13" spans="1:12" x14ac:dyDescent="0.25">
      <c r="A13" s="154"/>
      <c r="B13" s="221"/>
      <c r="C13" s="154"/>
      <c r="D13" s="280"/>
      <c r="E13" s="266"/>
      <c r="F13" s="472">
        <f t="shared" si="0"/>
        <v>0</v>
      </c>
      <c r="G13" s="26">
        <f t="shared" si="1"/>
        <v>0</v>
      </c>
      <c r="H13"/>
    </row>
    <row r="14" spans="1:12" x14ac:dyDescent="0.25">
      <c r="A14" s="154"/>
      <c r="B14" s="221"/>
      <c r="C14" s="154"/>
      <c r="D14" s="280"/>
      <c r="E14" s="266"/>
      <c r="F14" s="472">
        <f t="shared" si="0"/>
        <v>0</v>
      </c>
      <c r="G14" s="26">
        <f t="shared" si="1"/>
        <v>0</v>
      </c>
      <c r="H14"/>
    </row>
    <row r="15" spans="1:12" x14ac:dyDescent="0.25">
      <c r="A15" s="154"/>
      <c r="B15" s="221"/>
      <c r="C15" s="154"/>
      <c r="D15" s="280"/>
      <c r="E15" s="266"/>
      <c r="F15" s="472">
        <f t="shared" si="0"/>
        <v>0</v>
      </c>
      <c r="G15" s="26">
        <f t="shared" si="1"/>
        <v>0</v>
      </c>
      <c r="H15"/>
    </row>
    <row r="16" spans="1:12" x14ac:dyDescent="0.25">
      <c r="A16" s="154" t="s">
        <v>1039</v>
      </c>
      <c r="B16" s="221"/>
      <c r="C16" s="154"/>
      <c r="D16" s="280">
        <v>0</v>
      </c>
      <c r="E16" s="266">
        <v>0</v>
      </c>
      <c r="F16" s="472">
        <f t="shared" si="0"/>
        <v>0</v>
      </c>
      <c r="G16" s="26">
        <f t="shared" si="1"/>
        <v>0</v>
      </c>
      <c r="H16"/>
    </row>
    <row r="17" spans="1:11" x14ac:dyDescent="0.25">
      <c r="A17" s="154" t="s">
        <v>1039</v>
      </c>
      <c r="B17" s="221"/>
      <c r="C17" s="154"/>
      <c r="D17" s="280">
        <v>0</v>
      </c>
      <c r="E17" s="266"/>
      <c r="F17" s="472">
        <f t="shared" si="0"/>
        <v>0</v>
      </c>
      <c r="G17" s="26">
        <f t="shared" si="1"/>
        <v>0</v>
      </c>
      <c r="H17"/>
    </row>
    <row r="18" spans="1:11" x14ac:dyDescent="0.25">
      <c r="A18" s="154" t="s">
        <v>1039</v>
      </c>
      <c r="B18" s="221"/>
      <c r="C18" s="154"/>
      <c r="D18" s="280">
        <v>0</v>
      </c>
      <c r="E18" s="266"/>
      <c r="F18" s="472">
        <f t="shared" si="0"/>
        <v>0</v>
      </c>
      <c r="G18" s="26">
        <f t="shared" si="1"/>
        <v>0</v>
      </c>
      <c r="H18"/>
    </row>
    <row r="19" spans="1:11" x14ac:dyDescent="0.25">
      <c r="A19" s="154" t="s">
        <v>1039</v>
      </c>
      <c r="B19" s="221"/>
      <c r="C19" s="154"/>
      <c r="D19" s="280">
        <v>0</v>
      </c>
      <c r="E19" s="266"/>
      <c r="F19" s="472">
        <f t="shared" si="0"/>
        <v>0</v>
      </c>
      <c r="G19" s="26">
        <f t="shared" si="1"/>
        <v>0</v>
      </c>
      <c r="H19"/>
    </row>
    <row r="20" spans="1:11" ht="15.75" thickBot="1" x14ac:dyDescent="0.3">
      <c r="A20" s="154" t="s">
        <v>1040</v>
      </c>
      <c r="B20" s="221">
        <f>+$B$3</f>
        <v>1976</v>
      </c>
      <c r="C20" s="154"/>
      <c r="D20" s="280">
        <v>0</v>
      </c>
      <c r="E20" s="266">
        <v>1</v>
      </c>
      <c r="F20" s="472">
        <f t="shared" si="0"/>
        <v>0</v>
      </c>
      <c r="G20" s="26">
        <f t="shared" si="1"/>
        <v>0</v>
      </c>
      <c r="H20" s="23"/>
      <c r="K20" s="3"/>
    </row>
    <row r="21" spans="1:11" x14ac:dyDescent="0.25">
      <c r="D21"/>
      <c r="E21" s="5"/>
      <c r="F21" s="1"/>
      <c r="G21" s="1"/>
      <c r="H21" s="14">
        <f>IF(K1="No",SUM(F8:G20),0)</f>
        <v>0</v>
      </c>
      <c r="J21" s="2"/>
    </row>
    <row r="22" spans="1:11" x14ac:dyDescent="0.25">
      <c r="A22" s="2" t="s">
        <v>1041</v>
      </c>
      <c r="D22"/>
      <c r="F22" s="5">
        <v>0</v>
      </c>
      <c r="I22" s="14">
        <f>SUM(H6:H21)</f>
        <v>8896.2566906474822</v>
      </c>
      <c r="J22" s="2"/>
    </row>
    <row r="23" spans="1:11" x14ac:dyDescent="0.25">
      <c r="A23" s="2" t="s">
        <v>347</v>
      </c>
      <c r="D23" t="s">
        <v>347</v>
      </c>
      <c r="E23" s="5" t="s">
        <v>347</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H16" sqref="H16"/>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2" t="s">
        <v>8</v>
      </c>
      <c r="K1" s="942" t="str">
        <f>IF(Profit!Q6,IF(L1,"Yes","No"),"No")</f>
        <v>No</v>
      </c>
      <c r="L1" s="946" t="b">
        <v>0</v>
      </c>
    </row>
    <row r="2" spans="1:16" ht="15.75" thickBot="1" x14ac:dyDescent="0.3">
      <c r="A2" s="32" t="s">
        <v>1042</v>
      </c>
      <c r="B2" s="32"/>
      <c r="C2" s="32"/>
      <c r="J2" s="943"/>
      <c r="K2" s="943"/>
      <c r="L2" s="947"/>
    </row>
    <row r="3" spans="1:16" s="22" customFormat="1" x14ac:dyDescent="0.25">
      <c r="A3" s="3" t="s">
        <v>768</v>
      </c>
      <c r="B3" s="3" t="s">
        <v>720</v>
      </c>
      <c r="C3" s="3" t="s">
        <v>111</v>
      </c>
      <c r="D3" s="3" t="s">
        <v>1043</v>
      </c>
      <c r="E3" s="3" t="s">
        <v>788</v>
      </c>
      <c r="F3" s="8" t="s">
        <v>789</v>
      </c>
      <c r="G3" s="16" t="s">
        <v>772</v>
      </c>
      <c r="H3" s="3" t="s">
        <v>791</v>
      </c>
      <c r="J3" s="3"/>
      <c r="K3" s="3"/>
    </row>
    <row r="4" spans="1:16" s="22" customFormat="1" ht="15.75" thickBot="1" x14ac:dyDescent="0.3">
      <c r="A4" s="460"/>
      <c r="B4" s="460" t="s">
        <v>1044</v>
      </c>
      <c r="C4" s="460"/>
      <c r="D4" s="459" t="s">
        <v>1045</v>
      </c>
      <c r="E4" s="476">
        <v>1</v>
      </c>
      <c r="F4" s="467">
        <v>7000</v>
      </c>
      <c r="G4" s="468">
        <f>+E4*F4</f>
        <v>7000</v>
      </c>
      <c r="H4" s="477"/>
      <c r="J4" s="3"/>
      <c r="K4" s="3"/>
    </row>
    <row r="5" spans="1:16" s="22" customFormat="1" x14ac:dyDescent="0.25">
      <c r="A5" s="464"/>
      <c r="B5" s="464"/>
      <c r="C5" s="464"/>
      <c r="D5" s="464"/>
      <c r="E5" s="464"/>
      <c r="F5" s="465"/>
      <c r="G5" s="478"/>
      <c r="H5" s="479">
        <f>IF(K1="Yes",+SUM(G4),0)</f>
        <v>0</v>
      </c>
      <c r="J5" s="3"/>
      <c r="K5" s="3"/>
    </row>
    <row r="6" spans="1:16" s="22" customFormat="1" x14ac:dyDescent="0.25">
      <c r="A6" s="3"/>
      <c r="B6" s="3"/>
      <c r="C6" s="3"/>
      <c r="D6" s="3"/>
      <c r="E6" s="3"/>
      <c r="F6" s="8"/>
      <c r="G6" s="16"/>
      <c r="H6" s="3"/>
      <c r="J6" s="3"/>
      <c r="K6" s="3"/>
    </row>
    <row r="7" spans="1:16" s="22" customFormat="1" x14ac:dyDescent="0.25">
      <c r="A7" s="3"/>
      <c r="B7" s="3"/>
      <c r="C7" s="3"/>
      <c r="D7" s="3"/>
      <c r="E7" s="3"/>
      <c r="F7" s="8"/>
      <c r="G7" s="16"/>
      <c r="H7" s="3"/>
      <c r="J7" s="3"/>
      <c r="K7" s="3"/>
    </row>
    <row r="8" spans="1:16" x14ac:dyDescent="0.25">
      <c r="A8"/>
      <c r="B8" t="s">
        <v>1044</v>
      </c>
      <c r="C8"/>
      <c r="D8" s="2" t="s">
        <v>1045</v>
      </c>
      <c r="E8" s="11">
        <v>0</v>
      </c>
      <c r="F8" s="5">
        <v>6000</v>
      </c>
      <c r="G8" s="26">
        <f>+E8*F8</f>
        <v>0</v>
      </c>
    </row>
    <row r="9" spans="1:16" x14ac:dyDescent="0.25">
      <c r="A9"/>
      <c r="B9" t="s">
        <v>1046</v>
      </c>
      <c r="C9"/>
      <c r="D9" s="2" t="s">
        <v>1047</v>
      </c>
      <c r="E9" s="11">
        <v>0</v>
      </c>
      <c r="F9" s="5">
        <v>8.98</v>
      </c>
      <c r="G9" s="26">
        <f>+E9*F9</f>
        <v>0</v>
      </c>
    </row>
    <row r="10" spans="1:16" x14ac:dyDescent="0.25">
      <c r="A10"/>
      <c r="B10" t="s">
        <v>1048</v>
      </c>
      <c r="C10"/>
      <c r="D10" s="2" t="s">
        <v>1049</v>
      </c>
      <c r="E10" s="11">
        <v>0</v>
      </c>
      <c r="F10" s="5">
        <v>22.97</v>
      </c>
      <c r="G10" s="26">
        <f t="shared" ref="G10:G15" si="0">+E10*F10</f>
        <v>0</v>
      </c>
    </row>
    <row r="11" spans="1:16" x14ac:dyDescent="0.25">
      <c r="A11"/>
      <c r="B11" t="s">
        <v>1050</v>
      </c>
      <c r="C11"/>
      <c r="D11" s="2" t="s">
        <v>1051</v>
      </c>
      <c r="E11" s="11">
        <v>0</v>
      </c>
      <c r="F11" s="5">
        <v>44.93</v>
      </c>
      <c r="G11" s="26">
        <f t="shared" si="0"/>
        <v>0</v>
      </c>
    </row>
    <row r="12" spans="1:16" x14ac:dyDescent="0.25">
      <c r="A12"/>
      <c r="B12" t="s">
        <v>1052</v>
      </c>
      <c r="C12"/>
      <c r="D12" s="2" t="s">
        <v>1053</v>
      </c>
      <c r="E12" s="11">
        <v>0</v>
      </c>
      <c r="F12" s="5">
        <v>5.98</v>
      </c>
      <c r="G12" s="26">
        <f t="shared" si="0"/>
        <v>0</v>
      </c>
    </row>
    <row r="13" spans="1:16" x14ac:dyDescent="0.25">
      <c r="A13"/>
      <c r="B13" t="s">
        <v>1052</v>
      </c>
      <c r="C13"/>
      <c r="D13" s="2" t="s">
        <v>1054</v>
      </c>
      <c r="E13" s="11">
        <v>0</v>
      </c>
      <c r="F13" s="5">
        <v>4.97</v>
      </c>
      <c r="G13" s="26">
        <f t="shared" si="0"/>
        <v>0</v>
      </c>
      <c r="K13" s="32"/>
      <c r="L13" s="2"/>
      <c r="N13" s="5"/>
      <c r="O13" s="26"/>
    </row>
    <row r="14" spans="1:16" x14ac:dyDescent="0.25">
      <c r="A14"/>
      <c r="B14" t="s">
        <v>1055</v>
      </c>
      <c r="C14"/>
      <c r="D14" s="2" t="s">
        <v>1056</v>
      </c>
      <c r="E14" s="11">
        <v>0</v>
      </c>
      <c r="F14" s="5">
        <v>23</v>
      </c>
      <c r="G14" s="26">
        <f t="shared" si="0"/>
        <v>0</v>
      </c>
      <c r="K14" s="3"/>
      <c r="L14" s="3"/>
      <c r="M14" s="3"/>
      <c r="N14" s="8"/>
      <c r="O14" s="16"/>
      <c r="P14" s="3"/>
    </row>
    <row r="15" spans="1:16" x14ac:dyDescent="0.25">
      <c r="A15"/>
      <c r="B15"/>
      <c r="C15"/>
      <c r="E15" s="11"/>
      <c r="G15" s="26">
        <f t="shared" si="0"/>
        <v>0</v>
      </c>
      <c r="L15" s="2"/>
      <c r="M15" s="11"/>
      <c r="N15" s="5"/>
      <c r="O15" s="26"/>
    </row>
    <row r="16" spans="1:16" ht="15.75" thickBot="1" x14ac:dyDescent="0.3">
      <c r="A16" s="2" t="s">
        <v>1057</v>
      </c>
      <c r="B16" s="2" t="s">
        <v>1058</v>
      </c>
      <c r="C16" s="511">
        <v>46118</v>
      </c>
      <c r="E16">
        <v>1</v>
      </c>
      <c r="F16" s="5">
        <v>152.30000000000001</v>
      </c>
      <c r="G16" s="29">
        <f>+E16*F16</f>
        <v>152.30000000000001</v>
      </c>
      <c r="H16" s="29"/>
      <c r="L16" s="2"/>
      <c r="M16" s="11"/>
      <c r="N16" s="5"/>
      <c r="O16" s="26"/>
    </row>
    <row r="17" spans="5:16" x14ac:dyDescent="0.25">
      <c r="E17" s="940"/>
      <c r="F17" s="941"/>
      <c r="G17" s="941"/>
      <c r="H17">
        <f>IF(K1="No",+SUM(G8:G16),0)</f>
        <v>152.30000000000001</v>
      </c>
      <c r="L17" s="2"/>
      <c r="M17" s="11"/>
      <c r="N17" s="5"/>
      <c r="O17" s="26"/>
    </row>
    <row r="18" spans="5:16" x14ac:dyDescent="0.25">
      <c r="I18" s="1">
        <f>SUM(H5:H17)</f>
        <v>152.30000000000001</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0"/>
      <c r="N24" s="941"/>
      <c r="O24" s="941"/>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4" activePane="bottomLeft" state="frozen"/>
      <selection pane="bottomLeft" activeCell="J1" sqref="J1:J2"/>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1059</v>
      </c>
      <c r="B1" s="3"/>
      <c r="I1" s="942" t="s">
        <v>8</v>
      </c>
      <c r="J1" s="942" t="str">
        <f>IF(Profit!Q6,IF(K1,"Yes","No"),"No")</f>
        <v>No</v>
      </c>
      <c r="K1" s="946" t="b">
        <v>0</v>
      </c>
    </row>
    <row r="2" spans="1:11" ht="15.75" thickBot="1" x14ac:dyDescent="0.3">
      <c r="C2" s="3"/>
      <c r="D2" s="8"/>
      <c r="E2" s="13"/>
      <c r="F2" s="13"/>
      <c r="G2" s="13"/>
      <c r="I2" s="943"/>
      <c r="J2" s="943"/>
      <c r="K2" s="947"/>
    </row>
    <row r="3" spans="1:11" x14ac:dyDescent="0.25">
      <c r="A3" s="3" t="s">
        <v>720</v>
      </c>
      <c r="B3" s="3" t="s">
        <v>849</v>
      </c>
      <c r="C3" s="3" t="s">
        <v>788</v>
      </c>
      <c r="D3" s="8" t="s">
        <v>789</v>
      </c>
      <c r="E3" s="13" t="s">
        <v>790</v>
      </c>
      <c r="F3" s="13" t="s">
        <v>679</v>
      </c>
      <c r="G3" s="13" t="s">
        <v>791</v>
      </c>
    </row>
    <row r="4" spans="1:11" x14ac:dyDescent="0.25">
      <c r="A4" s="470" t="s">
        <v>1060</v>
      </c>
      <c r="B4" s="470" t="s">
        <v>1061</v>
      </c>
      <c r="C4" s="460">
        <v>4</v>
      </c>
      <c r="D4" s="467">
        <v>21.97</v>
      </c>
      <c r="E4" s="461">
        <f>+C4*D4</f>
        <v>87.88</v>
      </c>
      <c r="F4" s="468">
        <f t="shared" ref="F4:F7" si="0">+E4*0.0725</f>
        <v>6.3712999999999989</v>
      </c>
      <c r="G4" s="466"/>
    </row>
    <row r="5" spans="1:11" x14ac:dyDescent="0.25">
      <c r="A5" s="470" t="s">
        <v>1062</v>
      </c>
      <c r="B5" s="470" t="s">
        <v>1063</v>
      </c>
      <c r="C5" s="460">
        <v>2</v>
      </c>
      <c r="D5" s="467">
        <v>79.97</v>
      </c>
      <c r="E5" s="461">
        <f t="shared" ref="E5:E7" si="1">+C5*D5</f>
        <v>159.94</v>
      </c>
      <c r="F5" s="468">
        <f t="shared" si="0"/>
        <v>11.595649999999999</v>
      </c>
      <c r="G5" s="461"/>
    </row>
    <row r="6" spans="1:11" x14ac:dyDescent="0.25">
      <c r="A6" s="470" t="s">
        <v>1064</v>
      </c>
      <c r="B6" s="470" t="s">
        <v>1065</v>
      </c>
      <c r="C6" s="460">
        <v>1</v>
      </c>
      <c r="D6" s="467">
        <v>123</v>
      </c>
      <c r="E6" s="461">
        <f t="shared" si="1"/>
        <v>123</v>
      </c>
      <c r="F6" s="468">
        <f t="shared" si="0"/>
        <v>8.9174999999999986</v>
      </c>
      <c r="G6" s="461"/>
    </row>
    <row r="7" spans="1:11" ht="15.75" thickBot="1" x14ac:dyDescent="0.3">
      <c r="A7" s="470" t="s">
        <v>1066</v>
      </c>
      <c r="B7" s="470" t="s">
        <v>1067</v>
      </c>
      <c r="C7" s="460">
        <v>2</v>
      </c>
      <c r="D7" s="467">
        <v>54.98</v>
      </c>
      <c r="E7" s="461">
        <f t="shared" si="1"/>
        <v>109.96</v>
      </c>
      <c r="F7" s="468">
        <f t="shared" si="0"/>
        <v>7.9720999999999993</v>
      </c>
      <c r="G7" s="469"/>
    </row>
    <row r="8" spans="1:11" x14ac:dyDescent="0.25">
      <c r="A8" s="464"/>
      <c r="B8" s="464"/>
      <c r="C8" s="464"/>
      <c r="D8" s="465"/>
      <c r="E8" s="466"/>
      <c r="F8" s="466"/>
      <c r="G8" s="461">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1068</v>
      </c>
      <c r="B11" s="3" t="s">
        <v>1069</v>
      </c>
      <c r="C11" s="30">
        <v>0</v>
      </c>
      <c r="D11" s="8">
        <v>39.97</v>
      </c>
      <c r="E11" s="14">
        <f>+C11*D11</f>
        <v>0</v>
      </c>
      <c r="F11" s="26">
        <f t="shared" ref="F11:F33" si="2">+E11*0.0725</f>
        <v>0</v>
      </c>
      <c r="G11" s="13"/>
    </row>
    <row r="12" spans="1:11" x14ac:dyDescent="0.25">
      <c r="A12" s="30" t="s">
        <v>1060</v>
      </c>
      <c r="B12" s="30" t="s">
        <v>1061</v>
      </c>
      <c r="C12">
        <v>0</v>
      </c>
      <c r="D12" s="5">
        <v>21.97</v>
      </c>
      <c r="E12" s="14">
        <f>+C12*D12</f>
        <v>0</v>
      </c>
      <c r="F12" s="26">
        <f t="shared" si="2"/>
        <v>0</v>
      </c>
    </row>
    <row r="13" spans="1:11" x14ac:dyDescent="0.25">
      <c r="A13" s="30" t="s">
        <v>1060</v>
      </c>
      <c r="B13" s="30" t="s">
        <v>1070</v>
      </c>
      <c r="C13">
        <v>0</v>
      </c>
      <c r="D13" s="5">
        <v>29.97</v>
      </c>
      <c r="E13" s="14">
        <f>+C13*D13</f>
        <v>0</v>
      </c>
      <c r="F13" s="26">
        <f t="shared" si="2"/>
        <v>0</v>
      </c>
    </row>
    <row r="14" spans="1:11" x14ac:dyDescent="0.25">
      <c r="A14" s="30" t="s">
        <v>1060</v>
      </c>
      <c r="B14" s="30" t="s">
        <v>1071</v>
      </c>
      <c r="C14">
        <v>0</v>
      </c>
      <c r="D14" s="5">
        <v>21.97</v>
      </c>
      <c r="E14" s="14">
        <f>+C14*D14</f>
        <v>0</v>
      </c>
      <c r="F14" s="26">
        <f t="shared" si="2"/>
        <v>0</v>
      </c>
    </row>
    <row r="15" spans="1:11" x14ac:dyDescent="0.25">
      <c r="A15" s="30" t="s">
        <v>1060</v>
      </c>
      <c r="B15" s="30" t="s">
        <v>1072</v>
      </c>
      <c r="C15">
        <v>0</v>
      </c>
      <c r="D15" s="5">
        <v>69.97</v>
      </c>
      <c r="E15" s="14">
        <f>+C15*D15</f>
        <v>0</v>
      </c>
      <c r="F15" s="26">
        <f t="shared" si="2"/>
        <v>0</v>
      </c>
    </row>
    <row r="16" spans="1:11" x14ac:dyDescent="0.25">
      <c r="A16" s="30" t="s">
        <v>1073</v>
      </c>
      <c r="B16" s="30" t="s">
        <v>1074</v>
      </c>
      <c r="C16">
        <v>0</v>
      </c>
      <c r="D16" s="5">
        <v>64.97</v>
      </c>
      <c r="E16" s="14">
        <f t="shared" ref="E16:E33" si="3">+C16*D16</f>
        <v>0</v>
      </c>
      <c r="F16" s="26">
        <f t="shared" si="2"/>
        <v>0</v>
      </c>
    </row>
    <row r="17" spans="1:6" x14ac:dyDescent="0.25">
      <c r="A17" s="30" t="s">
        <v>1075</v>
      </c>
      <c r="B17" s="30" t="s">
        <v>1076</v>
      </c>
      <c r="C17">
        <v>0</v>
      </c>
      <c r="D17" s="5">
        <v>89.97</v>
      </c>
      <c r="E17" s="14">
        <f t="shared" si="3"/>
        <v>0</v>
      </c>
      <c r="F17" s="26">
        <f t="shared" si="2"/>
        <v>0</v>
      </c>
    </row>
    <row r="18" spans="1:6" x14ac:dyDescent="0.25">
      <c r="A18" s="30" t="s">
        <v>1077</v>
      </c>
      <c r="B18" s="30">
        <v>2535475</v>
      </c>
      <c r="C18">
        <v>0</v>
      </c>
      <c r="D18" s="5">
        <v>24.98</v>
      </c>
      <c r="E18" s="14">
        <f t="shared" si="3"/>
        <v>0</v>
      </c>
      <c r="F18" s="26">
        <f t="shared" si="2"/>
        <v>0</v>
      </c>
    </row>
    <row r="19" spans="1:6" x14ac:dyDescent="0.25">
      <c r="A19" s="30" t="s">
        <v>1078</v>
      </c>
      <c r="B19" s="30"/>
      <c r="C19">
        <v>0</v>
      </c>
      <c r="D19" s="5">
        <v>10.9</v>
      </c>
      <c r="E19" s="14">
        <f t="shared" si="3"/>
        <v>0</v>
      </c>
      <c r="F19" s="26">
        <f t="shared" si="2"/>
        <v>0</v>
      </c>
    </row>
    <row r="20" spans="1:6" x14ac:dyDescent="0.25">
      <c r="A20" s="30" t="s">
        <v>1079</v>
      </c>
      <c r="B20" s="30" t="s">
        <v>1080</v>
      </c>
      <c r="C20">
        <v>0</v>
      </c>
      <c r="D20" s="5">
        <v>62.97</v>
      </c>
      <c r="E20" s="14">
        <f t="shared" si="3"/>
        <v>0</v>
      </c>
      <c r="F20" s="26">
        <f t="shared" si="2"/>
        <v>0</v>
      </c>
    </row>
    <row r="21" spans="1:6" x14ac:dyDescent="0.25">
      <c r="A21" s="30" t="s">
        <v>1066</v>
      </c>
      <c r="B21" s="30" t="s">
        <v>1067</v>
      </c>
      <c r="C21">
        <v>0</v>
      </c>
      <c r="D21" s="5">
        <v>54.98</v>
      </c>
      <c r="E21" s="14">
        <f t="shared" si="3"/>
        <v>0</v>
      </c>
      <c r="F21" s="26">
        <f t="shared" si="2"/>
        <v>0</v>
      </c>
    </row>
    <row r="22" spans="1:6" x14ac:dyDescent="0.25">
      <c r="A22" s="30" t="s">
        <v>1081</v>
      </c>
      <c r="B22" s="30" t="s">
        <v>1082</v>
      </c>
      <c r="C22">
        <v>0</v>
      </c>
      <c r="D22" s="5">
        <v>17.97</v>
      </c>
      <c r="E22" s="14">
        <f t="shared" si="3"/>
        <v>0</v>
      </c>
      <c r="F22" s="26">
        <f t="shared" si="2"/>
        <v>0</v>
      </c>
    </row>
    <row r="23" spans="1:6" x14ac:dyDescent="0.25">
      <c r="A23" s="30" t="s">
        <v>1083</v>
      </c>
      <c r="B23" s="30" t="s">
        <v>1084</v>
      </c>
      <c r="C23">
        <v>0</v>
      </c>
      <c r="D23" s="5">
        <v>16.98</v>
      </c>
      <c r="E23" s="14">
        <f t="shared" si="3"/>
        <v>0</v>
      </c>
      <c r="F23" s="26">
        <f t="shared" si="2"/>
        <v>0</v>
      </c>
    </row>
    <row r="24" spans="1:6" x14ac:dyDescent="0.25">
      <c r="A24" s="30" t="s">
        <v>1085</v>
      </c>
      <c r="B24" s="30" t="s">
        <v>1086</v>
      </c>
      <c r="C24">
        <v>0</v>
      </c>
      <c r="D24" s="5">
        <v>3.27</v>
      </c>
      <c r="E24" s="14">
        <f t="shared" si="3"/>
        <v>0</v>
      </c>
      <c r="F24" s="26">
        <f t="shared" si="2"/>
        <v>0</v>
      </c>
    </row>
    <row r="25" spans="1:6" x14ac:dyDescent="0.25">
      <c r="A25" s="30" t="s">
        <v>1062</v>
      </c>
      <c r="B25" s="30" t="s">
        <v>1063</v>
      </c>
      <c r="C25">
        <v>0</v>
      </c>
      <c r="D25" s="5">
        <v>79.97</v>
      </c>
      <c r="E25" s="14">
        <f t="shared" si="3"/>
        <v>0</v>
      </c>
      <c r="F25" s="26">
        <f t="shared" si="2"/>
        <v>0</v>
      </c>
    </row>
    <row r="26" spans="1:6" x14ac:dyDescent="0.25">
      <c r="A26" s="30" t="s">
        <v>1064</v>
      </c>
      <c r="B26" s="30" t="s">
        <v>1065</v>
      </c>
      <c r="C26">
        <v>0</v>
      </c>
      <c r="D26" s="5">
        <v>123</v>
      </c>
      <c r="E26" s="14">
        <f t="shared" si="3"/>
        <v>0</v>
      </c>
      <c r="F26" s="26">
        <f t="shared" si="2"/>
        <v>0</v>
      </c>
    </row>
    <row r="27" spans="1:6" x14ac:dyDescent="0.25">
      <c r="A27" s="30" t="s">
        <v>1087</v>
      </c>
      <c r="B27" s="30" t="s">
        <v>1088</v>
      </c>
      <c r="C27">
        <v>0</v>
      </c>
      <c r="D27" s="5">
        <v>13.98</v>
      </c>
      <c r="E27" s="14">
        <f t="shared" si="3"/>
        <v>0</v>
      </c>
      <c r="F27" s="26">
        <f t="shared" si="2"/>
        <v>0</v>
      </c>
    </row>
    <row r="28" spans="1:6" x14ac:dyDescent="0.25">
      <c r="A28" s="30" t="s">
        <v>1089</v>
      </c>
      <c r="B28" s="30">
        <v>39800072986</v>
      </c>
      <c r="C28">
        <v>0</v>
      </c>
      <c r="D28" s="5">
        <v>17.87</v>
      </c>
      <c r="E28" s="14">
        <f t="shared" si="3"/>
        <v>0</v>
      </c>
      <c r="F28" s="26">
        <f t="shared" si="2"/>
        <v>0</v>
      </c>
    </row>
    <row r="29" spans="1:6" x14ac:dyDescent="0.25">
      <c r="A29" s="30" t="s">
        <v>1090</v>
      </c>
      <c r="B29" s="302">
        <v>46335120372</v>
      </c>
      <c r="C29">
        <v>0</v>
      </c>
      <c r="D29" s="5">
        <v>99.97</v>
      </c>
      <c r="E29" s="14">
        <f t="shared" si="3"/>
        <v>0</v>
      </c>
      <c r="F29" s="26">
        <f t="shared" si="2"/>
        <v>0</v>
      </c>
    </row>
    <row r="30" spans="1:6" x14ac:dyDescent="0.25">
      <c r="A30" s="30" t="s">
        <v>1091</v>
      </c>
      <c r="B30" s="302">
        <v>792145370178</v>
      </c>
      <c r="C30">
        <v>0</v>
      </c>
      <c r="D30" s="5">
        <v>59.97</v>
      </c>
      <c r="E30" s="14">
        <f t="shared" si="3"/>
        <v>0</v>
      </c>
      <c r="F30" s="26">
        <f t="shared" si="2"/>
        <v>0</v>
      </c>
    </row>
    <row r="31" spans="1:6" x14ac:dyDescent="0.25">
      <c r="A31" s="30" t="s">
        <v>1092</v>
      </c>
      <c r="B31" s="30">
        <v>82392573331</v>
      </c>
      <c r="C31">
        <v>0</v>
      </c>
      <c r="D31" s="5">
        <v>109</v>
      </c>
      <c r="E31" s="14">
        <f t="shared" si="3"/>
        <v>0</v>
      </c>
      <c r="F31" s="26">
        <f t="shared" si="2"/>
        <v>0</v>
      </c>
    </row>
    <row r="32" spans="1:6" x14ac:dyDescent="0.25">
      <c r="A32" s="30" t="s">
        <v>1093</v>
      </c>
      <c r="B32" s="30">
        <v>5190530</v>
      </c>
      <c r="C32">
        <v>0</v>
      </c>
      <c r="D32" s="5">
        <v>18.98</v>
      </c>
      <c r="E32" s="14">
        <f t="shared" si="3"/>
        <v>0</v>
      </c>
      <c r="F32" s="26">
        <f t="shared" si="2"/>
        <v>0</v>
      </c>
    </row>
    <row r="33" spans="1:10" ht="15.75" thickBot="1" x14ac:dyDescent="0.3">
      <c r="A33" s="30" t="s">
        <v>1094</v>
      </c>
      <c r="B33" s="30"/>
      <c r="C33">
        <v>0</v>
      </c>
      <c r="D33" s="5">
        <v>-19.98</v>
      </c>
      <c r="E33" s="21">
        <f t="shared" si="3"/>
        <v>0</v>
      </c>
      <c r="F33" s="21">
        <f t="shared" si="2"/>
        <v>0</v>
      </c>
      <c r="G33" s="21"/>
    </row>
    <row r="34" spans="1:10" x14ac:dyDescent="0.25">
      <c r="A34" s="30"/>
      <c r="B34" s="30"/>
    </row>
    <row r="35" spans="1:10" x14ac:dyDescent="0.25">
      <c r="G35" s="14">
        <f>IF(J1="No",SUM(E11:F33),0)</f>
        <v>0</v>
      </c>
      <c r="J35" s="1"/>
    </row>
    <row r="36" spans="1:10" x14ac:dyDescent="0.25">
      <c r="H36" s="14">
        <f>SUM(G8:G35)</f>
        <v>0</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24" t="s">
        <v>1095</v>
      </c>
      <c r="C1" s="825"/>
      <c r="E1" s="824" t="s">
        <v>1096</v>
      </c>
      <c r="F1" s="825"/>
      <c r="H1" s="824" t="s">
        <v>1097</v>
      </c>
      <c r="I1" s="825"/>
      <c r="L1" s="824" t="s">
        <v>1098</v>
      </c>
      <c r="M1" s="825"/>
    </row>
    <row r="2" spans="1:14" x14ac:dyDescent="0.25">
      <c r="A2" s="2" t="s">
        <v>1099</v>
      </c>
    </row>
    <row r="3" spans="1:14" x14ac:dyDescent="0.25">
      <c r="A3" s="2" t="s">
        <v>1100</v>
      </c>
      <c r="B3" s="346">
        <v>0.56000000000000005</v>
      </c>
      <c r="E3" s="346">
        <f>+B3</f>
        <v>0.56000000000000005</v>
      </c>
      <c r="H3" s="346">
        <f>+E3</f>
        <v>0.56000000000000005</v>
      </c>
      <c r="L3" s="346">
        <f>+E3</f>
        <v>0.56000000000000005</v>
      </c>
    </row>
    <row r="4" spans="1:14" ht="15.75" thickBot="1" x14ac:dyDescent="0.3">
      <c r="A4" s="2" t="s">
        <v>1101</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1102</v>
      </c>
      <c r="B12" s="824" t="s">
        <v>1095</v>
      </c>
      <c r="C12" s="825"/>
      <c r="D12" s="3"/>
      <c r="E12" s="824" t="s">
        <v>1096</v>
      </c>
      <c r="F12" s="825"/>
      <c r="G12" s="3"/>
      <c r="H12" s="824" t="s">
        <v>1097</v>
      </c>
      <c r="I12" s="825"/>
      <c r="J12" s="3"/>
      <c r="K12" s="3"/>
    </row>
    <row r="13" spans="1:14" x14ac:dyDescent="0.25">
      <c r="A13" s="2" t="s">
        <v>1103</v>
      </c>
      <c r="B13" s="346">
        <v>0.2</v>
      </c>
      <c r="C13">
        <f>+B13*STR!$C$4</f>
        <v>0</v>
      </c>
      <c r="E13" s="346">
        <f>+B13</f>
        <v>0.2</v>
      </c>
      <c r="F13">
        <f>+E13*STR!$F$4</f>
        <v>0</v>
      </c>
      <c r="H13" s="346">
        <f>+E13</f>
        <v>0.2</v>
      </c>
      <c r="I13">
        <f>+H13*STR!$M$4</f>
        <v>0</v>
      </c>
      <c r="K13" s="4">
        <f>+C13+F13+I13</f>
        <v>0</v>
      </c>
    </row>
    <row r="14" spans="1:14" ht="15.75" thickBot="1" x14ac:dyDescent="0.3">
      <c r="A14" s="2" t="s">
        <v>1104</v>
      </c>
      <c r="B14" s="346">
        <v>0.05</v>
      </c>
      <c r="C14">
        <f>+B14*STR!$C$4</f>
        <v>0</v>
      </c>
      <c r="E14" s="346">
        <v>0.05</v>
      </c>
      <c r="F14">
        <f>+E14*STR!$C$4</f>
        <v>0</v>
      </c>
      <c r="H14" s="346">
        <v>0.05</v>
      </c>
      <c r="I14">
        <f>+H14*STR!$C$4</f>
        <v>0</v>
      </c>
      <c r="K14" s="34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20" activePane="bottomLeft" state="frozen"/>
      <selection pane="bottomLeft" activeCell="I3" sqref="I3"/>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1105</v>
      </c>
      <c r="B1" s="16"/>
      <c r="H1" s="942" t="s">
        <v>8</v>
      </c>
      <c r="I1" s="942" t="s">
        <v>1106</v>
      </c>
      <c r="J1" s="944"/>
    </row>
    <row r="2" spans="1:10" s="15" customFormat="1" ht="15.75" thickBot="1" x14ac:dyDescent="0.3">
      <c r="A2" s="3" t="s">
        <v>717</v>
      </c>
      <c r="B2" s="17" t="s">
        <v>1107</v>
      </c>
      <c r="C2" s="30" t="s">
        <v>1108</v>
      </c>
      <c r="D2" s="3" t="s">
        <v>788</v>
      </c>
      <c r="E2" s="8" t="s">
        <v>1109</v>
      </c>
      <c r="F2" s="6" t="s">
        <v>1110</v>
      </c>
      <c r="G2" s="15" t="s">
        <v>791</v>
      </c>
      <c r="H2" s="943"/>
      <c r="I2" s="943"/>
      <c r="J2" s="945"/>
    </row>
    <row r="4" spans="1:10" x14ac:dyDescent="0.25">
      <c r="A4" s="2" t="s">
        <v>1111</v>
      </c>
      <c r="B4" s="18">
        <v>0.79</v>
      </c>
      <c r="C4" s="2">
        <v>500</v>
      </c>
      <c r="D4">
        <v>0</v>
      </c>
      <c r="E4" s="5">
        <v>60</v>
      </c>
      <c r="F4" s="1">
        <f>+C4*B4*D4</f>
        <v>0</v>
      </c>
    </row>
    <row r="5" spans="1:10" x14ac:dyDescent="0.25">
      <c r="A5" s="2" t="s">
        <v>1112</v>
      </c>
      <c r="B5" s="18">
        <v>1</v>
      </c>
      <c r="C5" s="2">
        <f>24*10</f>
        <v>240</v>
      </c>
      <c r="D5">
        <v>0</v>
      </c>
      <c r="E5" s="5">
        <v>60</v>
      </c>
      <c r="F5" s="1">
        <f>+C5*B5*D5</f>
        <v>0</v>
      </c>
    </row>
    <row r="6" spans="1:10" x14ac:dyDescent="0.25">
      <c r="A6" s="2" t="s">
        <v>1113</v>
      </c>
      <c r="D6">
        <v>0</v>
      </c>
      <c r="E6" s="5">
        <v>150</v>
      </c>
      <c r="F6" s="1">
        <f t="shared" ref="F6:F11" si="0">+D6*E6</f>
        <v>0</v>
      </c>
    </row>
    <row r="7" spans="1:10" x14ac:dyDescent="0.25">
      <c r="A7" s="2" t="s">
        <v>1114</v>
      </c>
      <c r="D7">
        <v>0</v>
      </c>
      <c r="E7" s="5">
        <v>3000</v>
      </c>
      <c r="F7" s="1">
        <f t="shared" si="0"/>
        <v>0</v>
      </c>
    </row>
    <row r="8" spans="1:10" x14ac:dyDescent="0.25">
      <c r="A8" s="2" t="s">
        <v>1115</v>
      </c>
      <c r="D8">
        <v>0</v>
      </c>
      <c r="E8" s="5">
        <v>165</v>
      </c>
      <c r="F8" s="1">
        <f t="shared" si="0"/>
        <v>0</v>
      </c>
    </row>
    <row r="9" spans="1:10" x14ac:dyDescent="0.25">
      <c r="A9" s="2" t="s">
        <v>1116</v>
      </c>
      <c r="D9">
        <v>0</v>
      </c>
      <c r="E9" s="5">
        <v>29</v>
      </c>
      <c r="F9" s="1">
        <f t="shared" si="0"/>
        <v>0</v>
      </c>
    </row>
    <row r="10" spans="1:10" x14ac:dyDescent="0.25">
      <c r="A10" s="2" t="s">
        <v>1117</v>
      </c>
      <c r="D10">
        <v>1</v>
      </c>
      <c r="E10" s="5">
        <v>1246.9100000000001</v>
      </c>
      <c r="F10" s="1">
        <f t="shared" si="0"/>
        <v>1246.9100000000001</v>
      </c>
    </row>
    <row r="11" spans="1:10" x14ac:dyDescent="0.25">
      <c r="A11" s="2" t="s">
        <v>1118</v>
      </c>
      <c r="D11">
        <v>0</v>
      </c>
      <c r="E11" s="5">
        <v>1100</v>
      </c>
      <c r="F11" s="1">
        <f t="shared" si="0"/>
        <v>0</v>
      </c>
    </row>
    <row r="12" spans="1:10" x14ac:dyDescent="0.25">
      <c r="A12" s="2" t="s">
        <v>1119</v>
      </c>
      <c r="D12">
        <v>0</v>
      </c>
      <c r="E12" s="5">
        <v>285</v>
      </c>
      <c r="F12" s="1">
        <v>0</v>
      </c>
    </row>
    <row r="13" spans="1:10" x14ac:dyDescent="0.25">
      <c r="A13" s="2" t="s">
        <v>1120</v>
      </c>
      <c r="D13">
        <v>0</v>
      </c>
      <c r="E13" s="5">
        <v>975</v>
      </c>
      <c r="F13" s="1">
        <f>+D13*E13</f>
        <v>0</v>
      </c>
    </row>
    <row r="14" spans="1:10" x14ac:dyDescent="0.25">
      <c r="A14" s="2" t="s">
        <v>1121</v>
      </c>
      <c r="D14">
        <v>0</v>
      </c>
      <c r="E14" s="5">
        <v>60</v>
      </c>
      <c r="F14" s="1">
        <f>+D14*E14</f>
        <v>0</v>
      </c>
    </row>
    <row r="15" spans="1:10" x14ac:dyDescent="0.25">
      <c r="A15" s="2" t="s">
        <v>1122</v>
      </c>
      <c r="D15">
        <v>0</v>
      </c>
      <c r="E15" s="5">
        <v>800</v>
      </c>
      <c r="F15" s="1">
        <f>+D15*E15</f>
        <v>0</v>
      </c>
    </row>
    <row r="16" spans="1:10" ht="15.75" thickBot="1" x14ac:dyDescent="0.3">
      <c r="F16" s="29"/>
      <c r="G16" s="23"/>
    </row>
    <row r="17" spans="3:7" x14ac:dyDescent="0.25">
      <c r="C17" s="2">
        <f>+SUM(C4:C16)</f>
        <v>740</v>
      </c>
      <c r="F17" s="15" t="s">
        <v>791</v>
      </c>
      <c r="G17" s="1">
        <f>IF(I1="No",+SUM(F4:F16),0)</f>
        <v>1246.9100000000001</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K24"/>
  <sheetViews>
    <sheetView workbookViewId="0">
      <pane ySplit="2" topLeftCell="A3" activePane="bottomLeft" state="frozen"/>
      <selection pane="bottomLeft" activeCell="E15" sqref="E15"/>
    </sheetView>
  </sheetViews>
  <sheetFormatPr defaultRowHeight="15" x14ac:dyDescent="0.25"/>
  <cols>
    <col min="1" max="1" width="9.7109375" style="12" bestFit="1" customWidth="1"/>
    <col min="2" max="2" width="35.5703125" style="2" bestFit="1"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1" s="3" customFormat="1" x14ac:dyDescent="0.25">
      <c r="A1" s="503"/>
      <c r="B1" s="32" t="s">
        <v>1123</v>
      </c>
      <c r="C1" s="32"/>
      <c r="D1" s="16"/>
      <c r="I1" s="942" t="s">
        <v>8</v>
      </c>
      <c r="J1" s="942" t="str">
        <f>IF(Profit!Q6,IF(K1,"Yes","No"),"No")</f>
        <v>No</v>
      </c>
      <c r="K1" s="946" t="b">
        <v>0</v>
      </c>
    </row>
    <row r="2" spans="1:11" s="62" customFormat="1" ht="30.75" thickBot="1" x14ac:dyDescent="0.3">
      <c r="A2" s="616" t="s">
        <v>111</v>
      </c>
      <c r="B2" s="62" t="s">
        <v>717</v>
      </c>
      <c r="C2" s="62" t="s">
        <v>688</v>
      </c>
      <c r="D2" s="343" t="s">
        <v>1124</v>
      </c>
      <c r="E2" s="62" t="s">
        <v>791</v>
      </c>
      <c r="F2" s="62" t="s">
        <v>1125</v>
      </c>
      <c r="G2" s="275"/>
      <c r="H2" s="343">
        <v>20</v>
      </c>
      <c r="I2" s="943"/>
      <c r="J2" s="943"/>
      <c r="K2" s="947"/>
    </row>
    <row r="4" spans="1:11" x14ac:dyDescent="0.25">
      <c r="B4" s="2" t="s">
        <v>1126</v>
      </c>
      <c r="C4" s="2">
        <v>0</v>
      </c>
      <c r="D4" s="18">
        <v>800</v>
      </c>
      <c r="E4" s="5">
        <f>+C4*D4</f>
        <v>0</v>
      </c>
    </row>
    <row r="5" spans="1:11" x14ac:dyDescent="0.25">
      <c r="B5" s="2" t="s">
        <v>1127</v>
      </c>
      <c r="C5" s="2">
        <v>0</v>
      </c>
      <c r="D5" s="18">
        <v>28.46</v>
      </c>
      <c r="E5" s="5">
        <f t="shared" ref="E5:E15" si="0">+C5*D5</f>
        <v>0</v>
      </c>
    </row>
    <row r="6" spans="1:11" x14ac:dyDescent="0.25">
      <c r="B6" s="2" t="s">
        <v>1128</v>
      </c>
      <c r="C6" s="2">
        <v>0</v>
      </c>
      <c r="D6" s="18">
        <v>32.979999999999997</v>
      </c>
      <c r="E6" s="5">
        <f t="shared" si="0"/>
        <v>0</v>
      </c>
    </row>
    <row r="7" spans="1:11" x14ac:dyDescent="0.25">
      <c r="B7" s="2" t="s">
        <v>1129</v>
      </c>
      <c r="C7" s="2">
        <v>0</v>
      </c>
      <c r="D7" s="18">
        <v>28.47</v>
      </c>
      <c r="E7" s="5">
        <f t="shared" si="0"/>
        <v>0</v>
      </c>
    </row>
    <row r="8" spans="1:11" x14ac:dyDescent="0.25">
      <c r="B8" s="2" t="s">
        <v>1130</v>
      </c>
      <c r="E8" s="5">
        <f t="shared" si="0"/>
        <v>0</v>
      </c>
    </row>
    <row r="9" spans="1:11" x14ac:dyDescent="0.25">
      <c r="B9" s="2" t="s">
        <v>1131</v>
      </c>
      <c r="C9" s="2">
        <v>0</v>
      </c>
      <c r="D9" s="18">
        <v>1000</v>
      </c>
      <c r="E9" s="5">
        <f t="shared" si="0"/>
        <v>0</v>
      </c>
    </row>
    <row r="10" spans="1:11" x14ac:dyDescent="0.25">
      <c r="B10" s="2" t="s">
        <v>1132</v>
      </c>
      <c r="E10" s="5">
        <f t="shared" si="0"/>
        <v>0</v>
      </c>
    </row>
    <row r="11" spans="1:11" x14ac:dyDescent="0.25">
      <c r="B11" s="2" t="s">
        <v>1132</v>
      </c>
      <c r="E11" s="5">
        <f t="shared" si="0"/>
        <v>0</v>
      </c>
    </row>
    <row r="12" spans="1:11" x14ac:dyDescent="0.25">
      <c r="A12" s="12">
        <v>46050</v>
      </c>
      <c r="B12" s="2" t="s">
        <v>1133</v>
      </c>
      <c r="C12" s="2">
        <v>3</v>
      </c>
      <c r="D12" s="18">
        <v>10.49</v>
      </c>
      <c r="E12" s="5">
        <f t="shared" si="0"/>
        <v>31.47</v>
      </c>
    </row>
    <row r="13" spans="1:11" x14ac:dyDescent="0.25">
      <c r="A13" s="12">
        <v>46052</v>
      </c>
      <c r="B13" s="2" t="s">
        <v>1134</v>
      </c>
      <c r="C13" s="2">
        <v>1</v>
      </c>
      <c r="D13" s="18">
        <v>350</v>
      </c>
      <c r="E13" s="5">
        <f t="shared" si="0"/>
        <v>350</v>
      </c>
    </row>
    <row r="14" spans="1:11" x14ac:dyDescent="0.25">
      <c r="A14" s="12">
        <v>46111</v>
      </c>
      <c r="B14" s="2" t="s">
        <v>1150</v>
      </c>
      <c r="C14" s="2">
        <v>1</v>
      </c>
      <c r="D14" s="18">
        <v>230</v>
      </c>
      <c r="E14" s="5">
        <f>+C14*D14</f>
        <v>230</v>
      </c>
    </row>
    <row r="15" spans="1:11" x14ac:dyDescent="0.25">
      <c r="C15" s="2">
        <v>0</v>
      </c>
      <c r="E15" s="5">
        <f t="shared" si="0"/>
        <v>0</v>
      </c>
      <c r="J15" s="3" t="s">
        <v>347</v>
      </c>
    </row>
    <row r="16" spans="1:11" x14ac:dyDescent="0.25">
      <c r="B16" s="2" t="s">
        <v>1135</v>
      </c>
      <c r="C16" s="2">
        <v>0</v>
      </c>
      <c r="D16" s="18">
        <v>7.33</v>
      </c>
      <c r="E16" s="5">
        <f>+C16*D16</f>
        <v>0</v>
      </c>
      <c r="J16" s="3"/>
    </row>
    <row r="17" spans="1:10" x14ac:dyDescent="0.25">
      <c r="B17" s="2" t="s">
        <v>1136</v>
      </c>
      <c r="C17" s="2">
        <v>0</v>
      </c>
      <c r="D17" s="18">
        <v>9.9700000000000006</v>
      </c>
      <c r="E17" s="5">
        <f>+C17*D17</f>
        <v>0</v>
      </c>
      <c r="J17" s="3"/>
    </row>
    <row r="18" spans="1:10" x14ac:dyDescent="0.25">
      <c r="A18" s="12">
        <v>46072</v>
      </c>
      <c r="B18" s="2" t="s">
        <v>1137</v>
      </c>
      <c r="C18" s="2">
        <v>1</v>
      </c>
      <c r="D18" s="18">
        <v>2620.5700000000002</v>
      </c>
      <c r="E18" s="5">
        <f>+C18*D18</f>
        <v>2620.5700000000002</v>
      </c>
      <c r="J18" s="3"/>
    </row>
    <row r="19" spans="1:10" x14ac:dyDescent="0.25">
      <c r="B19" s="2" t="s">
        <v>1138</v>
      </c>
      <c r="C19" s="2">
        <v>0</v>
      </c>
      <c r="D19" s="18">
        <v>7.68</v>
      </c>
      <c r="E19" s="5">
        <f>+C19*D19</f>
        <v>0</v>
      </c>
      <c r="I19" s="1"/>
      <c r="J19" t="s">
        <v>347</v>
      </c>
    </row>
    <row r="20" spans="1:10" x14ac:dyDescent="0.25">
      <c r="B20" s="2" t="s">
        <v>1139</v>
      </c>
      <c r="C20" s="2">
        <v>0</v>
      </c>
      <c r="D20" s="18">
        <v>10000</v>
      </c>
      <c r="E20" s="5">
        <f>+C20*D20</f>
        <v>0</v>
      </c>
    </row>
    <row r="22" spans="1:10" x14ac:dyDescent="0.25">
      <c r="G22" s="5">
        <f>IF(J1="No",SUM(E4:E20),0)</f>
        <v>3232.04</v>
      </c>
    </row>
    <row r="23" spans="1:10" x14ac:dyDescent="0.25">
      <c r="J23" s="2"/>
    </row>
    <row r="24" spans="1:10" x14ac:dyDescent="0.25">
      <c r="J24"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1140</v>
      </c>
      <c r="C2">
        <v>1000</v>
      </c>
    </row>
    <row r="3" spans="1:3" x14ac:dyDescent="0.25">
      <c r="A3" t="s">
        <v>1141</v>
      </c>
      <c r="C3">
        <v>9000</v>
      </c>
    </row>
    <row r="18" spans="6:7" x14ac:dyDescent="0.25">
      <c r="F18" s="30" t="s">
        <v>1142</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 
</file>

<file path=customXml/itemProps1.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xml><?xml version="1.0" encoding="utf-8"?>
<ds:datastoreItem xmlns:ds="http://schemas.openxmlformats.org/officeDocument/2006/customXml" ds:itemID="{98C4DA37-4AFD-4CD2-9A66-0C8B8DF4AF27}">
  <ds:schemaRefs>
    <ds:schemaRef ds:uri="http://www.w3.org/XML/1998/namespace"/>
    <ds:schemaRef ds:uri="http://schemas.microsoft.com/office/2006/metadata/properties"/>
    <ds:schemaRef ds:uri="42cc25d9-27fe-4f07-accb-ded05ec47eee"/>
    <ds:schemaRef ds:uri="http://purl.org/dc/terms/"/>
    <ds:schemaRef ds:uri="http://schemas.microsoft.com/office/2006/documentManagement/types"/>
    <ds:schemaRef ds:uri="http://purl.org/dc/dcmitype/"/>
    <ds:schemaRef ds:uri="http://purl.org/dc/elements/1.1/"/>
    <ds:schemaRef ds:uri="http://schemas.microsoft.com/office/infopath/2007/PartnerControls"/>
    <ds:schemaRef ds:uri="http://schemas.openxmlformats.org/package/2006/metadata/core-properties"/>
    <ds:schemaRef ds:uri="ab9fedca-001d-4cc9-b244-d9c3be5a27d3"/>
  </ds:schemaRefs>
</ds:datastoreItem>
</file>

<file path=customXml/itemProps3.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4.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5.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6.xml><?xml version="1.0" encoding="utf-8"?>
<ds:datastoreItem xmlns:ds="http://schemas.openxmlformats.org/officeDocument/2006/customXml" ds:itemID="{076F0DCC-4BA7-45C3-90DA-5A559BC6FB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3</vt:i4>
      </vt:variant>
    </vt:vector>
  </HeadingPairs>
  <TitlesOfParts>
    <vt:vector size="31" baseType="lpstr">
      <vt:lpstr>Profit</vt:lpstr>
      <vt:lpstr>Amortization</vt:lpstr>
      <vt:lpstr>Docs</vt:lpstr>
      <vt:lpstr>MOG</vt:lpstr>
      <vt:lpstr>Todo</vt:lpstr>
      <vt:lpstr>Past</vt:lpstr>
      <vt:lpstr>Contact</vt:lpstr>
      <vt:lpstr>Carrying</vt:lpstr>
      <vt:lpstr>Contract</vt:lpstr>
      <vt:lpstr>UpdateContract</vt:lpstr>
      <vt:lpstr>Gnatt Chart</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STR</vt:lpstr>
      <vt:lpstr>Landscape</vt:lpstr>
      <vt:lpstr>Exterior</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dcterms:created xsi:type="dcterms:W3CDTF">2019-07-25T11:32:14Z</dcterms:created>
  <dcterms:modified xsi:type="dcterms:W3CDTF">2026-05-29T13:13:48Z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